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ebstormProjects\dtm\dtm_dashboard\excel_data\"/>
    </mc:Choice>
  </mc:AlternateContent>
  <xr:revisionPtr revIDLastSave="0" documentId="8_{BFF4D337-C32F-47C7-A774-F183334C840F}" xr6:coauthVersionLast="47" xr6:coauthVersionMax="47" xr10:uidLastSave="{00000000-0000-0000-0000-000000000000}"/>
  <bookViews>
    <workbookView xWindow="-120" yWindow="-120" windowWidth="29040" windowHeight="15840" firstSheet="2" activeTab="2" xr2:uid="{C716BBE7-B591-4AAF-BE0C-14D5C4092785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Сводка" sheetId="6" r:id="rId6"/>
    <sheet name="Центрополимер Зеленодольск" sheetId="7" r:id="rId7"/>
    <sheet name="Центрополимер Баумана" sheetId="8" r:id="rId8"/>
    <sheet name="Центрополимер Новикова-Прибоя" sheetId="9" r:id="rId9"/>
    <sheet name="Центрополимер Екатеринбург" sheetId="10" r:id="rId10"/>
    <sheet name="Центрополимер Новосибирск" sheetId="11" r:id="rId11"/>
    <sheet name="Юг Полимер Зеленодольск" sheetId="12" r:id="rId12"/>
    <sheet name="Юг Полимер Новикова-Прибоя" sheetId="13" r:id="rId13"/>
    <sheet name="Юг Полимер Баумана" sheetId="14" r:id="rId14"/>
    <sheet name="Приоритет Казань_Автосервисная" sheetId="15" r:id="rId15"/>
    <sheet name="Приоритет Казань_Приволжская" sheetId="16" r:id="rId16"/>
    <sheet name="Приоритет Зеленодольск" sheetId="17" r:id="rId17"/>
    <sheet name="Приоритет Екатеринбург" sheetId="18" r:id="rId18"/>
    <sheet name="Приоритет Новикова-Прибоя" sheetId="19" r:id="rId19"/>
    <sheet name="Приоритет Баумана" sheetId="20" r:id="rId20"/>
    <sheet name="Фармпласт Новикова-Прибоя" sheetId="21" r:id="rId21"/>
    <sheet name="Фармпласт Баумана" sheetId="22" r:id="rId22"/>
    <sheet name="Фармпласт Казань_Автосервисная" sheetId="23" r:id="rId23"/>
    <sheet name="Фармпласт Новосибирск" sheetId="24" r:id="rId24"/>
    <sheet name="Фармпласт Екатеринбург" sheetId="25" r:id="rId25"/>
    <sheet name="Зеленодольск экспорт" sheetId="26" r:id="rId26"/>
    <sheet name="Литейные решения" sheetId="27" r:id="rId27"/>
    <sheet name="ЛС-Техномет" sheetId="28" r:id="rId28"/>
    <sheet name="Сандекс" sheetId="29" r:id="rId29"/>
    <sheet name="СтройТех" sheetId="30" r:id="rId30"/>
    <sheet name="Ергарда" sheetId="31" r:id="rId31"/>
    <sheet name="Казань_Автосервисная экспорт" sheetId="32" r:id="rId32"/>
    <sheet name="Екатеринбург экспорт" sheetId="33" r:id="rId33"/>
    <sheet name="Баумана KPI" sheetId="34" r:id="rId34"/>
    <sheet name="Баумана Полимеры" sheetId="35" r:id="rId35"/>
    <sheet name="Баумана Полиом" sheetId="36" r:id="rId36"/>
    <sheet name="Екатеринбург KPI" sheetId="37" r:id="rId37"/>
    <sheet name="Екатеринбург НПЭГ" sheetId="38" r:id="rId38"/>
    <sheet name="Екатеринбург Полимеры" sheetId="39" r:id="rId39"/>
    <sheet name="Екатеринбург Полиом" sheetId="40" r:id="rId40"/>
    <sheet name="ЕкатеринбургЧкаловский KPI" sheetId="41" r:id="rId41"/>
    <sheet name="ЕкатеринбургЧкаловский Полимеры" sheetId="42" r:id="rId42"/>
    <sheet name="ЕкатеринбургЧкаловский Полиом" sheetId="43" r:id="rId43"/>
    <sheet name="Зеленодольск Данафлекс" sheetId="44" r:id="rId44"/>
    <sheet name="Зеленодольск Полимеры" sheetId="45" r:id="rId45"/>
    <sheet name="Зеленодольск Полиом" sheetId="46" r:id="rId46"/>
    <sheet name="Казань_Автосервисная Полимеры" sheetId="47" r:id="rId47"/>
    <sheet name="Казань_Автосервисная Полиом" sheetId="48" r:id="rId48"/>
    <sheet name="Казань_Приволжская Полимеры" sheetId="49" r:id="rId49"/>
    <sheet name="Новикова-Прибоя KPI" sheetId="50" r:id="rId50"/>
    <sheet name="Новикова-Прибоя Полимеры" sheetId="51" r:id="rId51"/>
    <sheet name="Новикова-Прибоя Полиом" sheetId="52" r:id="rId52"/>
    <sheet name="Новосибирск KPI" sheetId="53" r:id="rId53"/>
    <sheet name="Новосибирск Полимеры" sheetId="54" r:id="rId54"/>
    <sheet name="Новосибирск Полиом" sheetId="55" r:id="rId55"/>
    <sheet name="Новосибирск Порошок" sheetId="56" r:id="rId56"/>
    <sheet name="Новосибирск_Пасечная Порошок" sheetId="57" r:id="rId57"/>
    <sheet name="Праздники" sheetId="58" r:id="rId58"/>
  </sheets>
  <externalReferences>
    <externalReference r:id="rId5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33" l="1"/>
  <c r="F11" i="33"/>
  <c r="G11" i="33" s="1"/>
  <c r="F10" i="33"/>
  <c r="G10" i="33" s="1"/>
  <c r="A7" i="33"/>
  <c r="A4" i="33"/>
  <c r="A3" i="33"/>
  <c r="G12" i="33" l="1"/>
  <c r="F12" i="33"/>
  <c r="B14" i="32" l="1"/>
  <c r="F11" i="32"/>
  <c r="G11" i="32" s="1"/>
  <c r="F10" i="32"/>
  <c r="G10" i="32" s="1"/>
  <c r="G12" i="32" s="1"/>
  <c r="A7" i="32"/>
  <c r="A4" i="32"/>
  <c r="A3" i="32"/>
  <c r="F12" i="32" l="1"/>
  <c r="I34" i="31"/>
  <c r="H34" i="31"/>
  <c r="G34" i="31"/>
  <c r="J34" i="31" s="1"/>
  <c r="I33" i="31"/>
  <c r="H33" i="31"/>
  <c r="G33" i="31"/>
  <c r="J33" i="31" s="1"/>
  <c r="I32" i="31"/>
  <c r="H32" i="31"/>
  <c r="G32" i="31"/>
  <c r="J32" i="31" s="1"/>
  <c r="I31" i="31"/>
  <c r="H31" i="31"/>
  <c r="G31" i="31"/>
  <c r="J31" i="31" s="1"/>
  <c r="I30" i="31"/>
  <c r="H30" i="31"/>
  <c r="G30" i="31"/>
  <c r="J30" i="31" s="1"/>
  <c r="I29" i="31"/>
  <c r="H29" i="31"/>
  <c r="G29" i="31"/>
  <c r="J29" i="31" s="1"/>
  <c r="I28" i="31"/>
  <c r="H28" i="31"/>
  <c r="G28" i="31"/>
  <c r="J28" i="31" s="1"/>
  <c r="I27" i="31"/>
  <c r="H27" i="31"/>
  <c r="G27" i="31"/>
  <c r="J27" i="31" s="1"/>
  <c r="I26" i="31"/>
  <c r="H26" i="31"/>
  <c r="G26" i="31"/>
  <c r="J26" i="31" s="1"/>
  <c r="I25" i="31"/>
  <c r="H25" i="31"/>
  <c r="G25" i="31"/>
  <c r="J25" i="31" s="1"/>
  <c r="I24" i="31"/>
  <c r="H24" i="31"/>
  <c r="G24" i="31"/>
  <c r="J24" i="31" s="1"/>
  <c r="I23" i="31"/>
  <c r="H23" i="31"/>
  <c r="G23" i="31"/>
  <c r="J23" i="31" s="1"/>
  <c r="I22" i="31"/>
  <c r="H22" i="31"/>
  <c r="G22" i="31"/>
  <c r="J22" i="31" s="1"/>
  <c r="I21" i="31"/>
  <c r="H21" i="31"/>
  <c r="G21" i="31"/>
  <c r="J21" i="31" s="1"/>
  <c r="I20" i="31"/>
  <c r="H20" i="31"/>
  <c r="G20" i="31"/>
  <c r="J20" i="31" s="1"/>
  <c r="I19" i="31"/>
  <c r="H19" i="31"/>
  <c r="G19" i="31"/>
  <c r="J19" i="31" s="1"/>
  <c r="I18" i="31"/>
  <c r="H18" i="31"/>
  <c r="G18" i="31"/>
  <c r="J18" i="31" s="1"/>
  <c r="I17" i="31"/>
  <c r="H17" i="31"/>
  <c r="G17" i="31"/>
  <c r="J17" i="31" s="1"/>
  <c r="I16" i="31"/>
  <c r="H16" i="31"/>
  <c r="G16" i="31"/>
  <c r="J16" i="31" s="1"/>
  <c r="I15" i="31"/>
  <c r="H15" i="31"/>
  <c r="G15" i="31"/>
  <c r="J15" i="31" s="1"/>
  <c r="I14" i="31"/>
  <c r="H14" i="31"/>
  <c r="G14" i="31"/>
  <c r="J14" i="31" s="1"/>
  <c r="J13" i="31"/>
  <c r="I13" i="31"/>
  <c r="H13" i="31"/>
  <c r="G13" i="31"/>
  <c r="I12" i="31"/>
  <c r="H12" i="31"/>
  <c r="G12" i="31"/>
  <c r="J12" i="31" s="1"/>
  <c r="I11" i="31"/>
  <c r="H11" i="31"/>
  <c r="G11" i="31"/>
  <c r="J11" i="31" s="1"/>
  <c r="I10" i="31"/>
  <c r="H10" i="31"/>
  <c r="G10" i="31"/>
  <c r="J10" i="31" s="1"/>
  <c r="J9" i="31"/>
  <c r="I9" i="31"/>
  <c r="H9" i="31"/>
  <c r="G9" i="31"/>
  <c r="I8" i="31"/>
  <c r="H8" i="31"/>
  <c r="G8" i="31"/>
  <c r="J8" i="31" s="1"/>
  <c r="I7" i="31"/>
  <c r="H7" i="31"/>
  <c r="G7" i="31"/>
  <c r="J7" i="31" s="1"/>
  <c r="I6" i="31"/>
  <c r="H6" i="31"/>
  <c r="G6" i="31"/>
  <c r="J6" i="31" s="1"/>
  <c r="I5" i="31"/>
  <c r="H5" i="31"/>
  <c r="G5" i="31"/>
  <c r="J5" i="31" s="1"/>
  <c r="I4" i="31"/>
  <c r="I35" i="31" s="1"/>
  <c r="H4" i="31"/>
  <c r="H35" i="31" s="1"/>
  <c r="G4" i="31"/>
  <c r="G35" i="31" s="1"/>
  <c r="I35" i="30"/>
  <c r="H35" i="30"/>
  <c r="I34" i="30"/>
  <c r="H34" i="30"/>
  <c r="I33" i="30"/>
  <c r="H33" i="30"/>
  <c r="I32" i="30"/>
  <c r="H32" i="30"/>
  <c r="I31" i="30"/>
  <c r="H31" i="30"/>
  <c r="I30" i="30"/>
  <c r="H30" i="30"/>
  <c r="I29" i="30"/>
  <c r="H29" i="30"/>
  <c r="I28" i="30"/>
  <c r="H28" i="30"/>
  <c r="I27" i="30"/>
  <c r="H27" i="30"/>
  <c r="I26" i="30"/>
  <c r="H26" i="30"/>
  <c r="I25" i="30"/>
  <c r="H25" i="30"/>
  <c r="I24" i="30"/>
  <c r="H24" i="30"/>
  <c r="I23" i="30"/>
  <c r="H23" i="30"/>
  <c r="I22" i="30"/>
  <c r="H22" i="30"/>
  <c r="I21" i="30"/>
  <c r="H21" i="30"/>
  <c r="I20" i="30"/>
  <c r="H20" i="30"/>
  <c r="I19" i="30"/>
  <c r="H19" i="30"/>
  <c r="I18" i="30"/>
  <c r="H18" i="30"/>
  <c r="I17" i="30"/>
  <c r="H17" i="30"/>
  <c r="I16" i="30"/>
  <c r="H16" i="30"/>
  <c r="I15" i="30"/>
  <c r="H15" i="30"/>
  <c r="I14" i="30"/>
  <c r="H14" i="30"/>
  <c r="I13" i="30"/>
  <c r="H13" i="30"/>
  <c r="I12" i="30"/>
  <c r="H12" i="30"/>
  <c r="I11" i="30"/>
  <c r="H11" i="30"/>
  <c r="I10" i="30"/>
  <c r="H10" i="30"/>
  <c r="I9" i="30"/>
  <c r="H9" i="30"/>
  <c r="I8" i="30"/>
  <c r="H8" i="30"/>
  <c r="I7" i="30"/>
  <c r="H7" i="30"/>
  <c r="I6" i="30"/>
  <c r="H6" i="30"/>
  <c r="G6" i="30"/>
  <c r="J5" i="30"/>
  <c r="I5" i="30"/>
  <c r="I36" i="30" s="1"/>
  <c r="H5" i="30"/>
  <c r="H36" i="30" s="1"/>
  <c r="J38" i="29"/>
  <c r="I38" i="29"/>
  <c r="H38" i="29"/>
  <c r="G38" i="29"/>
  <c r="F38" i="29"/>
  <c r="E38" i="29"/>
  <c r="D38" i="29"/>
  <c r="C38" i="29"/>
  <c r="Q37" i="29"/>
  <c r="P37" i="29"/>
  <c r="O37" i="29"/>
  <c r="N37" i="29"/>
  <c r="M37" i="29"/>
  <c r="L37" i="29"/>
  <c r="Q36" i="29"/>
  <c r="P36" i="29"/>
  <c r="O36" i="29"/>
  <c r="N36" i="29"/>
  <c r="M36" i="29"/>
  <c r="L36" i="29"/>
  <c r="Q35" i="29"/>
  <c r="P35" i="29"/>
  <c r="O35" i="29"/>
  <c r="N35" i="29"/>
  <c r="M35" i="29"/>
  <c r="L35" i="29"/>
  <c r="Q34" i="29"/>
  <c r="P34" i="29"/>
  <c r="O34" i="29"/>
  <c r="N34" i="29"/>
  <c r="M34" i="29"/>
  <c r="L34" i="29"/>
  <c r="Q33" i="29"/>
  <c r="P33" i="29"/>
  <c r="O33" i="29"/>
  <c r="N33" i="29"/>
  <c r="M33" i="29"/>
  <c r="L33" i="29"/>
  <c r="Q32" i="29"/>
  <c r="P32" i="29"/>
  <c r="O32" i="29"/>
  <c r="N32" i="29"/>
  <c r="M32" i="29"/>
  <c r="L32" i="29"/>
  <c r="Q31" i="29"/>
  <c r="P31" i="29"/>
  <c r="O31" i="29"/>
  <c r="N31" i="29"/>
  <c r="M31" i="29"/>
  <c r="L31" i="29"/>
  <c r="Q30" i="29"/>
  <c r="P30" i="29"/>
  <c r="O30" i="29"/>
  <c r="N30" i="29"/>
  <c r="M30" i="29"/>
  <c r="L30" i="29"/>
  <c r="Q29" i="29"/>
  <c r="P29" i="29"/>
  <c r="O29" i="29"/>
  <c r="N29" i="29"/>
  <c r="M29" i="29"/>
  <c r="L29" i="29"/>
  <c r="Q28" i="29"/>
  <c r="P28" i="29"/>
  <c r="O28" i="29"/>
  <c r="N28" i="29"/>
  <c r="M28" i="29"/>
  <c r="L28" i="29"/>
  <c r="Q27" i="29"/>
  <c r="P27" i="29"/>
  <c r="O27" i="29"/>
  <c r="N27" i="29"/>
  <c r="M27" i="29"/>
  <c r="L27" i="29"/>
  <c r="Q26" i="29"/>
  <c r="P26" i="29"/>
  <c r="O26" i="29"/>
  <c r="N26" i="29"/>
  <c r="M26" i="29"/>
  <c r="L26" i="29"/>
  <c r="Q25" i="29"/>
  <c r="P25" i="29"/>
  <c r="O25" i="29"/>
  <c r="N25" i="29"/>
  <c r="M25" i="29"/>
  <c r="L25" i="29"/>
  <c r="Q24" i="29"/>
  <c r="P24" i="29"/>
  <c r="O24" i="29"/>
  <c r="N24" i="29"/>
  <c r="M24" i="29"/>
  <c r="L24" i="29"/>
  <c r="Q23" i="29"/>
  <c r="P23" i="29"/>
  <c r="O23" i="29"/>
  <c r="N23" i="29"/>
  <c r="M23" i="29"/>
  <c r="L23" i="29"/>
  <c r="Q22" i="29"/>
  <c r="P22" i="29"/>
  <c r="O22" i="29"/>
  <c r="N22" i="29"/>
  <c r="M22" i="29"/>
  <c r="L22" i="29"/>
  <c r="Q21" i="29"/>
  <c r="P21" i="29"/>
  <c r="O21" i="29"/>
  <c r="N21" i="29"/>
  <c r="M21" i="29"/>
  <c r="L21" i="29"/>
  <c r="Q20" i="29"/>
  <c r="P20" i="29"/>
  <c r="O20" i="29"/>
  <c r="N20" i="29"/>
  <c r="M20" i="29"/>
  <c r="L20" i="29"/>
  <c r="Q19" i="29"/>
  <c r="P19" i="29"/>
  <c r="O19" i="29"/>
  <c r="N19" i="29"/>
  <c r="M19" i="29"/>
  <c r="L19" i="29"/>
  <c r="Q18" i="29"/>
  <c r="P18" i="29"/>
  <c r="O18" i="29"/>
  <c r="N18" i="29"/>
  <c r="M18" i="29"/>
  <c r="L18" i="29"/>
  <c r="Q17" i="29"/>
  <c r="P17" i="29"/>
  <c r="O17" i="29"/>
  <c r="N17" i="29"/>
  <c r="M17" i="29"/>
  <c r="L17" i="29"/>
  <c r="Q16" i="29"/>
  <c r="P16" i="29"/>
  <c r="O16" i="29"/>
  <c r="N16" i="29"/>
  <c r="M16" i="29"/>
  <c r="L16" i="29"/>
  <c r="Q15" i="29"/>
  <c r="P15" i="29"/>
  <c r="O15" i="29"/>
  <c r="N15" i="29"/>
  <c r="M15" i="29"/>
  <c r="L15" i="29"/>
  <c r="Q14" i="29"/>
  <c r="P14" i="29"/>
  <c r="O14" i="29"/>
  <c r="N14" i="29"/>
  <c r="M14" i="29"/>
  <c r="L14" i="29"/>
  <c r="Q13" i="29"/>
  <c r="P13" i="29"/>
  <c r="O13" i="29"/>
  <c r="N13" i="29"/>
  <c r="M13" i="29"/>
  <c r="L13" i="29"/>
  <c r="Q12" i="29"/>
  <c r="P12" i="29"/>
  <c r="O12" i="29"/>
  <c r="N12" i="29"/>
  <c r="M12" i="29"/>
  <c r="L12" i="29"/>
  <c r="Q11" i="29"/>
  <c r="P11" i="29"/>
  <c r="O11" i="29"/>
  <c r="N11" i="29"/>
  <c r="M11" i="29"/>
  <c r="L11" i="29"/>
  <c r="Q10" i="29"/>
  <c r="P10" i="29"/>
  <c r="O10" i="29"/>
  <c r="N10" i="29"/>
  <c r="M10" i="29"/>
  <c r="L10" i="29"/>
  <c r="Q9" i="29"/>
  <c r="P9" i="29"/>
  <c r="O9" i="29"/>
  <c r="N9" i="29"/>
  <c r="M9" i="29"/>
  <c r="L9" i="29"/>
  <c r="Q8" i="29"/>
  <c r="P8" i="29"/>
  <c r="O8" i="29"/>
  <c r="N8" i="29"/>
  <c r="M8" i="29"/>
  <c r="L8" i="29"/>
  <c r="K8" i="29"/>
  <c r="K9" i="29" s="1"/>
  <c r="Q7" i="29"/>
  <c r="Q38" i="29" s="1"/>
  <c r="P7" i="29"/>
  <c r="P38" i="29" s="1"/>
  <c r="O7" i="29"/>
  <c r="O38" i="29" s="1"/>
  <c r="N7" i="29"/>
  <c r="N38" i="29" s="1"/>
  <c r="M7" i="29"/>
  <c r="M38" i="29" s="1"/>
  <c r="L7" i="29"/>
  <c r="K7" i="29"/>
  <c r="R7" i="29" s="1"/>
  <c r="F36" i="28"/>
  <c r="E36" i="28"/>
  <c r="D36" i="28"/>
  <c r="Q35" i="28"/>
  <c r="P35" i="28"/>
  <c r="O35" i="28"/>
  <c r="R35" i="28" s="1"/>
  <c r="N35" i="28"/>
  <c r="M35" i="28"/>
  <c r="L35" i="28"/>
  <c r="K35" i="28"/>
  <c r="Q34" i="28"/>
  <c r="P34" i="28"/>
  <c r="N34" i="28"/>
  <c r="M34" i="28"/>
  <c r="L34" i="28"/>
  <c r="K34" i="28"/>
  <c r="Q33" i="28"/>
  <c r="P33" i="28"/>
  <c r="N33" i="28"/>
  <c r="M33" i="28"/>
  <c r="L33" i="28"/>
  <c r="K33" i="28"/>
  <c r="Q32" i="28"/>
  <c r="P32" i="28"/>
  <c r="N32" i="28"/>
  <c r="M32" i="28"/>
  <c r="L32" i="28"/>
  <c r="K32" i="28"/>
  <c r="Q31" i="28"/>
  <c r="P31" i="28"/>
  <c r="N31" i="28"/>
  <c r="M31" i="28"/>
  <c r="L31" i="28"/>
  <c r="K31" i="28"/>
  <c r="Q30" i="28"/>
  <c r="P30" i="28"/>
  <c r="N30" i="28"/>
  <c r="M30" i="28"/>
  <c r="L30" i="28"/>
  <c r="K30" i="28"/>
  <c r="Q29" i="28"/>
  <c r="P29" i="28"/>
  <c r="N29" i="28"/>
  <c r="M29" i="28"/>
  <c r="L29" i="28"/>
  <c r="K29" i="28"/>
  <c r="Q28" i="28"/>
  <c r="P28" i="28"/>
  <c r="N28" i="28"/>
  <c r="M28" i="28"/>
  <c r="L28" i="28"/>
  <c r="K28" i="28"/>
  <c r="Q27" i="28"/>
  <c r="P27" i="28"/>
  <c r="N27" i="28"/>
  <c r="M27" i="28"/>
  <c r="L27" i="28"/>
  <c r="K27" i="28"/>
  <c r="Q26" i="28"/>
  <c r="P26" i="28"/>
  <c r="N26" i="28"/>
  <c r="M26" i="28"/>
  <c r="L26" i="28"/>
  <c r="K26" i="28"/>
  <c r="Q25" i="28"/>
  <c r="P25" i="28"/>
  <c r="N25" i="28"/>
  <c r="M25" i="28"/>
  <c r="L25" i="28"/>
  <c r="K25" i="28"/>
  <c r="Q24" i="28"/>
  <c r="P24" i="28"/>
  <c r="N24" i="28"/>
  <c r="M24" i="28"/>
  <c r="L24" i="28"/>
  <c r="K24" i="28"/>
  <c r="Q23" i="28"/>
  <c r="P23" i="28"/>
  <c r="N23" i="28"/>
  <c r="M23" i="28"/>
  <c r="L23" i="28"/>
  <c r="K23" i="28"/>
  <c r="Q22" i="28"/>
  <c r="P22" i="28"/>
  <c r="N22" i="28"/>
  <c r="M22" i="28"/>
  <c r="L22" i="28"/>
  <c r="K22" i="28"/>
  <c r="Q21" i="28"/>
  <c r="P21" i="28"/>
  <c r="N21" i="28"/>
  <c r="M21" i="28"/>
  <c r="L21" i="28"/>
  <c r="K21" i="28"/>
  <c r="Q20" i="28"/>
  <c r="P20" i="28"/>
  <c r="N20" i="28"/>
  <c r="M20" i="28"/>
  <c r="L20" i="28"/>
  <c r="K20" i="28"/>
  <c r="Q19" i="28"/>
  <c r="P19" i="28"/>
  <c r="N19" i="28"/>
  <c r="M19" i="28"/>
  <c r="L19" i="28"/>
  <c r="K19" i="28"/>
  <c r="Q18" i="28"/>
  <c r="P18" i="28"/>
  <c r="N18" i="28"/>
  <c r="M18" i="28"/>
  <c r="L18" i="28"/>
  <c r="K18" i="28"/>
  <c r="Q17" i="28"/>
  <c r="P17" i="28"/>
  <c r="N17" i="28"/>
  <c r="M17" i="28"/>
  <c r="L17" i="28"/>
  <c r="K17" i="28"/>
  <c r="Q16" i="28"/>
  <c r="P16" i="28"/>
  <c r="N16" i="28"/>
  <c r="M16" i="28"/>
  <c r="L16" i="28"/>
  <c r="K16" i="28"/>
  <c r="Q15" i="28"/>
  <c r="P15" i="28"/>
  <c r="N15" i="28"/>
  <c r="M15" i="28"/>
  <c r="L15" i="28"/>
  <c r="K15" i="28"/>
  <c r="Q14" i="28"/>
  <c r="P14" i="28"/>
  <c r="N14" i="28"/>
  <c r="M14" i="28"/>
  <c r="L14" i="28"/>
  <c r="K14" i="28"/>
  <c r="Q13" i="28"/>
  <c r="P13" i="28"/>
  <c r="N13" i="28"/>
  <c r="M13" i="28"/>
  <c r="L13" i="28"/>
  <c r="K13" i="28"/>
  <c r="Q12" i="28"/>
  <c r="P12" i="28"/>
  <c r="N12" i="28"/>
  <c r="M12" i="28"/>
  <c r="L12" i="28"/>
  <c r="K12" i="28"/>
  <c r="Q11" i="28"/>
  <c r="P11" i="28"/>
  <c r="N11" i="28"/>
  <c r="M11" i="28"/>
  <c r="L11" i="28"/>
  <c r="K11" i="28"/>
  <c r="Q10" i="28"/>
  <c r="P10" i="28"/>
  <c r="N10" i="28"/>
  <c r="M10" i="28"/>
  <c r="L10" i="28"/>
  <c r="K10" i="28"/>
  <c r="Q9" i="28"/>
  <c r="P9" i="28"/>
  <c r="N9" i="28"/>
  <c r="M9" i="28"/>
  <c r="L9" i="28"/>
  <c r="K9" i="28"/>
  <c r="Q8" i="28"/>
  <c r="P8" i="28"/>
  <c r="N8" i="28"/>
  <c r="M8" i="28"/>
  <c r="L8" i="28"/>
  <c r="K8" i="28"/>
  <c r="Q7" i="28"/>
  <c r="P7" i="28"/>
  <c r="N7" i="28"/>
  <c r="M7" i="28"/>
  <c r="L7" i="28"/>
  <c r="K7" i="28"/>
  <c r="H7" i="28"/>
  <c r="H8" i="28" s="1"/>
  <c r="Q6" i="28"/>
  <c r="P6" i="28"/>
  <c r="N6" i="28"/>
  <c r="M6" i="28"/>
  <c r="L6" i="28"/>
  <c r="K6" i="28"/>
  <c r="H6" i="28"/>
  <c r="O6" i="28" s="1"/>
  <c r="Q5" i="28"/>
  <c r="Q36" i="28" s="1"/>
  <c r="P5" i="28"/>
  <c r="P36" i="28" s="1"/>
  <c r="O5" i="28"/>
  <c r="N5" i="28"/>
  <c r="N36" i="28" s="1"/>
  <c r="M5" i="28"/>
  <c r="M36" i="28" s="1"/>
  <c r="L5" i="28"/>
  <c r="R5" i="28" s="1"/>
  <c r="K5" i="28"/>
  <c r="K36" i="28" s="1"/>
  <c r="F36" i="27"/>
  <c r="E36" i="27"/>
  <c r="D36" i="27"/>
  <c r="Q35" i="27"/>
  <c r="P35" i="27"/>
  <c r="N35" i="27"/>
  <c r="M35" i="27"/>
  <c r="L35" i="27"/>
  <c r="K35" i="27"/>
  <c r="Q34" i="27"/>
  <c r="P34" i="27"/>
  <c r="N34" i="27"/>
  <c r="M34" i="27"/>
  <c r="L34" i="27"/>
  <c r="K34" i="27"/>
  <c r="Q33" i="27"/>
  <c r="P33" i="27"/>
  <c r="N33" i="27"/>
  <c r="M33" i="27"/>
  <c r="L33" i="27"/>
  <c r="K33" i="27"/>
  <c r="Q32" i="27"/>
  <c r="P32" i="27"/>
  <c r="N32" i="27"/>
  <c r="M32" i="27"/>
  <c r="L32" i="27"/>
  <c r="K32" i="27"/>
  <c r="Q31" i="27"/>
  <c r="P31" i="27"/>
  <c r="N31" i="27"/>
  <c r="M31" i="27"/>
  <c r="L31" i="27"/>
  <c r="K31" i="27"/>
  <c r="Q30" i="27"/>
  <c r="P30" i="27"/>
  <c r="N30" i="27"/>
  <c r="M30" i="27"/>
  <c r="L30" i="27"/>
  <c r="K30" i="27"/>
  <c r="Q29" i="27"/>
  <c r="P29" i="27"/>
  <c r="N29" i="27"/>
  <c r="M29" i="27"/>
  <c r="L29" i="27"/>
  <c r="K29" i="27"/>
  <c r="Q28" i="27"/>
  <c r="P28" i="27"/>
  <c r="N28" i="27"/>
  <c r="M28" i="27"/>
  <c r="L28" i="27"/>
  <c r="K28" i="27"/>
  <c r="Q27" i="27"/>
  <c r="P27" i="27"/>
  <c r="N27" i="27"/>
  <c r="M27" i="27"/>
  <c r="L27" i="27"/>
  <c r="K27" i="27"/>
  <c r="Q26" i="27"/>
  <c r="P26" i="27"/>
  <c r="N26" i="27"/>
  <c r="M26" i="27"/>
  <c r="L26" i="27"/>
  <c r="K26" i="27"/>
  <c r="Q25" i="27"/>
  <c r="P25" i="27"/>
  <c r="N25" i="27"/>
  <c r="M25" i="27"/>
  <c r="L25" i="27"/>
  <c r="K25" i="27"/>
  <c r="Q24" i="27"/>
  <c r="P24" i="27"/>
  <c r="N24" i="27"/>
  <c r="M24" i="27"/>
  <c r="L24" i="27"/>
  <c r="K24" i="27"/>
  <c r="Q23" i="27"/>
  <c r="P23" i="27"/>
  <c r="N23" i="27"/>
  <c r="M23" i="27"/>
  <c r="L23" i="27"/>
  <c r="K23" i="27"/>
  <c r="Q22" i="27"/>
  <c r="P22" i="27"/>
  <c r="N22" i="27"/>
  <c r="M22" i="27"/>
  <c r="L22" i="27"/>
  <c r="K22" i="27"/>
  <c r="Q21" i="27"/>
  <c r="P21" i="27"/>
  <c r="N21" i="27"/>
  <c r="M21" i="27"/>
  <c r="L21" i="27"/>
  <c r="K21" i="27"/>
  <c r="Q20" i="27"/>
  <c r="P20" i="27"/>
  <c r="N20" i="27"/>
  <c r="M20" i="27"/>
  <c r="L20" i="27"/>
  <c r="K20" i="27"/>
  <c r="Q19" i="27"/>
  <c r="P19" i="27"/>
  <c r="N19" i="27"/>
  <c r="M19" i="27"/>
  <c r="L19" i="27"/>
  <c r="K19" i="27"/>
  <c r="Q18" i="27"/>
  <c r="P18" i="27"/>
  <c r="N18" i="27"/>
  <c r="M18" i="27"/>
  <c r="L18" i="27"/>
  <c r="K18" i="27"/>
  <c r="Q17" i="27"/>
  <c r="P17" i="27"/>
  <c r="N17" i="27"/>
  <c r="M17" i="27"/>
  <c r="L17" i="27"/>
  <c r="K17" i="27"/>
  <c r="Q16" i="27"/>
  <c r="P16" i="27"/>
  <c r="N16" i="27"/>
  <c r="M16" i="27"/>
  <c r="L16" i="27"/>
  <c r="K16" i="27"/>
  <c r="Q15" i="27"/>
  <c r="P15" i="27"/>
  <c r="N15" i="27"/>
  <c r="M15" i="27"/>
  <c r="L15" i="27"/>
  <c r="K15" i="27"/>
  <c r="Q14" i="27"/>
  <c r="P14" i="27"/>
  <c r="N14" i="27"/>
  <c r="M14" i="27"/>
  <c r="L14" i="27"/>
  <c r="K14" i="27"/>
  <c r="Q13" i="27"/>
  <c r="P13" i="27"/>
  <c r="N13" i="27"/>
  <c r="M13" i="27"/>
  <c r="L13" i="27"/>
  <c r="K13" i="27"/>
  <c r="Q12" i="27"/>
  <c r="P12" i="27"/>
  <c r="N12" i="27"/>
  <c r="M12" i="27"/>
  <c r="L12" i="27"/>
  <c r="K12" i="27"/>
  <c r="Q11" i="27"/>
  <c r="P11" i="27"/>
  <c r="N11" i="27"/>
  <c r="M11" i="27"/>
  <c r="L11" i="27"/>
  <c r="K11" i="27"/>
  <c r="Q10" i="27"/>
  <c r="P10" i="27"/>
  <c r="N10" i="27"/>
  <c r="M10" i="27"/>
  <c r="L10" i="27"/>
  <c r="K10" i="27"/>
  <c r="Q9" i="27"/>
  <c r="P9" i="27"/>
  <c r="N9" i="27"/>
  <c r="M9" i="27"/>
  <c r="L9" i="27"/>
  <c r="K9" i="27"/>
  <c r="Q8" i="27"/>
  <c r="P8" i="27"/>
  <c r="N8" i="27"/>
  <c r="M8" i="27"/>
  <c r="L8" i="27"/>
  <c r="K8" i="27"/>
  <c r="Q7" i="27"/>
  <c r="P7" i="27"/>
  <c r="N7" i="27"/>
  <c r="M7" i="27"/>
  <c r="L7" i="27"/>
  <c r="K7" i="27"/>
  <c r="Q6" i="27"/>
  <c r="P6" i="27"/>
  <c r="N6" i="27"/>
  <c r="M6" i="27"/>
  <c r="L6" i="27"/>
  <c r="K6" i="27"/>
  <c r="H6" i="27"/>
  <c r="H7" i="27" s="1"/>
  <c r="Q5" i="27"/>
  <c r="Q36" i="27" s="1"/>
  <c r="P5" i="27"/>
  <c r="P36" i="27" s="1"/>
  <c r="O5" i="27"/>
  <c r="N5" i="27"/>
  <c r="N36" i="27" s="1"/>
  <c r="M5" i="27"/>
  <c r="R5" i="27" s="1"/>
  <c r="L5" i="27"/>
  <c r="L36" i="27" s="1"/>
  <c r="K5" i="27"/>
  <c r="K36" i="27" s="1"/>
  <c r="J4" i="31" l="1"/>
  <c r="J35" i="31" s="1"/>
  <c r="A1" i="31" s="1"/>
  <c r="K5" i="30"/>
  <c r="J6" i="30"/>
  <c r="G7" i="30"/>
  <c r="K10" i="29"/>
  <c r="R9" i="29"/>
  <c r="S9" i="29" s="1"/>
  <c r="S7" i="29"/>
  <c r="R8" i="29"/>
  <c r="L38" i="29"/>
  <c r="R6" i="28"/>
  <c r="O8" i="28"/>
  <c r="R8" i="28" s="1"/>
  <c r="H9" i="28"/>
  <c r="L36" i="28"/>
  <c r="O7" i="28"/>
  <c r="O7" i="27"/>
  <c r="H8" i="27"/>
  <c r="R6" i="27"/>
  <c r="R7" i="27"/>
  <c r="M36" i="27"/>
  <c r="O6" i="27"/>
  <c r="K6" i="30" l="1"/>
  <c r="G8" i="30"/>
  <c r="J7" i="30"/>
  <c r="K7" i="30" s="1"/>
  <c r="S8" i="29"/>
  <c r="K11" i="29"/>
  <c r="R10" i="29"/>
  <c r="S10" i="29" s="1"/>
  <c r="R7" i="28"/>
  <c r="H10" i="28"/>
  <c r="O9" i="28"/>
  <c r="R9" i="28" s="1"/>
  <c r="O8" i="27"/>
  <c r="R8" i="27" s="1"/>
  <c r="H9" i="27"/>
  <c r="G9" i="30" l="1"/>
  <c r="J8" i="30"/>
  <c r="K8" i="30" s="1"/>
  <c r="K12" i="29"/>
  <c r="R11" i="29"/>
  <c r="S11" i="29" s="1"/>
  <c r="O10" i="28"/>
  <c r="R10" i="28" s="1"/>
  <c r="H11" i="28"/>
  <c r="H10" i="27"/>
  <c r="O9" i="27"/>
  <c r="R9" i="27" s="1"/>
  <c r="G10" i="30" l="1"/>
  <c r="J9" i="30"/>
  <c r="K9" i="30" s="1"/>
  <c r="K13" i="29"/>
  <c r="R12" i="29"/>
  <c r="S12" i="29" s="1"/>
  <c r="H12" i="28"/>
  <c r="O11" i="28"/>
  <c r="R11" i="28" s="1"/>
  <c r="O10" i="27"/>
  <c r="R10" i="27" s="1"/>
  <c r="H11" i="27"/>
  <c r="G11" i="30" l="1"/>
  <c r="J10" i="30"/>
  <c r="K10" i="30" s="1"/>
  <c r="K14" i="29"/>
  <c r="R13" i="29"/>
  <c r="S13" i="29" s="1"/>
  <c r="O12" i="28"/>
  <c r="R12" i="28" s="1"/>
  <c r="H13" i="28"/>
  <c r="H12" i="27"/>
  <c r="O11" i="27"/>
  <c r="R11" i="27" s="1"/>
  <c r="G12" i="30" l="1"/>
  <c r="J11" i="30"/>
  <c r="K11" i="30" s="1"/>
  <c r="K15" i="29"/>
  <c r="R14" i="29"/>
  <c r="S14" i="29" s="1"/>
  <c r="H14" i="28"/>
  <c r="O13" i="28"/>
  <c r="R13" i="28" s="1"/>
  <c r="H13" i="27"/>
  <c r="O12" i="27"/>
  <c r="R12" i="27" s="1"/>
  <c r="G13" i="30" l="1"/>
  <c r="J12" i="30"/>
  <c r="K12" i="30" s="1"/>
  <c r="K16" i="29"/>
  <c r="R15" i="29"/>
  <c r="S15" i="29" s="1"/>
  <c r="H15" i="28"/>
  <c r="O14" i="28"/>
  <c r="R14" i="28" s="1"/>
  <c r="H14" i="27"/>
  <c r="O13" i="27"/>
  <c r="R13" i="27" s="1"/>
  <c r="G14" i="30" l="1"/>
  <c r="J13" i="30"/>
  <c r="K13" i="30" s="1"/>
  <c r="R16" i="29"/>
  <c r="S16" i="29" s="1"/>
  <c r="K17" i="29"/>
  <c r="O15" i="28"/>
  <c r="R15" i="28" s="1"/>
  <c r="H16" i="28"/>
  <c r="H15" i="27"/>
  <c r="O14" i="27"/>
  <c r="R14" i="27" s="1"/>
  <c r="G15" i="30" l="1"/>
  <c r="J14" i="30"/>
  <c r="K14" i="30" s="1"/>
  <c r="K18" i="29"/>
  <c r="R17" i="29"/>
  <c r="S17" i="29" s="1"/>
  <c r="O16" i="28"/>
  <c r="R16" i="28" s="1"/>
  <c r="H17" i="28"/>
  <c r="O15" i="27"/>
  <c r="R15" i="27" s="1"/>
  <c r="H16" i="27"/>
  <c r="G16" i="30" l="1"/>
  <c r="J15" i="30"/>
  <c r="K15" i="30" s="1"/>
  <c r="K19" i="29"/>
  <c r="R18" i="29"/>
  <c r="S18" i="29" s="1"/>
  <c r="O17" i="28"/>
  <c r="R17" i="28" s="1"/>
  <c r="H18" i="28"/>
  <c r="O16" i="27"/>
  <c r="R16" i="27" s="1"/>
  <c r="H17" i="27"/>
  <c r="G17" i="30" l="1"/>
  <c r="J16" i="30"/>
  <c r="K16" i="30" s="1"/>
  <c r="K20" i="29"/>
  <c r="R19" i="29"/>
  <c r="S19" i="29" s="1"/>
  <c r="H19" i="28"/>
  <c r="O18" i="28"/>
  <c r="R18" i="28" s="1"/>
  <c r="H18" i="27"/>
  <c r="O17" i="27"/>
  <c r="R17" i="27" s="1"/>
  <c r="J17" i="30" l="1"/>
  <c r="K17" i="30" s="1"/>
  <c r="G18" i="30"/>
  <c r="K21" i="29"/>
  <c r="R20" i="29"/>
  <c r="S20" i="29" s="1"/>
  <c r="H20" i="28"/>
  <c r="O19" i="28"/>
  <c r="R19" i="28" s="1"/>
  <c r="H19" i="27"/>
  <c r="O18" i="27"/>
  <c r="R18" i="27" s="1"/>
  <c r="G19" i="30" l="1"/>
  <c r="J18" i="30"/>
  <c r="K18" i="30" s="1"/>
  <c r="K22" i="29"/>
  <c r="R21" i="29"/>
  <c r="S21" i="29" s="1"/>
  <c r="H21" i="28"/>
  <c r="O20" i="28"/>
  <c r="R20" i="28" s="1"/>
  <c r="H20" i="27"/>
  <c r="O19" i="27"/>
  <c r="R19" i="27" s="1"/>
  <c r="G20" i="30" l="1"/>
  <c r="J19" i="30"/>
  <c r="K19" i="30" s="1"/>
  <c r="R22" i="29"/>
  <c r="S22" i="29" s="1"/>
  <c r="K23" i="29"/>
  <c r="H22" i="28"/>
  <c r="O21" i="28"/>
  <c r="R21" i="28" s="1"/>
  <c r="H21" i="27"/>
  <c r="O20" i="27"/>
  <c r="R20" i="27" s="1"/>
  <c r="J20" i="30" l="1"/>
  <c r="K20" i="30" s="1"/>
  <c r="G21" i="30"/>
  <c r="R23" i="29"/>
  <c r="S23" i="29" s="1"/>
  <c r="K24" i="29"/>
  <c r="O22" i="28"/>
  <c r="R22" i="28" s="1"/>
  <c r="H23" i="28"/>
  <c r="H22" i="27"/>
  <c r="O21" i="27"/>
  <c r="R21" i="27" s="1"/>
  <c r="G22" i="30" l="1"/>
  <c r="J21" i="30"/>
  <c r="K21" i="30" s="1"/>
  <c r="K25" i="29"/>
  <c r="R24" i="29"/>
  <c r="S24" i="29" s="1"/>
  <c r="H24" i="28"/>
  <c r="O23" i="28"/>
  <c r="R23" i="28" s="1"/>
  <c r="H23" i="27"/>
  <c r="O22" i="27"/>
  <c r="R22" i="27" s="1"/>
  <c r="G23" i="30" l="1"/>
  <c r="J22" i="30"/>
  <c r="K22" i="30" s="1"/>
  <c r="R25" i="29"/>
  <c r="S25" i="29" s="1"/>
  <c r="K26" i="29"/>
  <c r="O24" i="28"/>
  <c r="R24" i="28" s="1"/>
  <c r="H25" i="28"/>
  <c r="H24" i="27"/>
  <c r="O23" i="27"/>
  <c r="R23" i="27" s="1"/>
  <c r="G24" i="30" l="1"/>
  <c r="J23" i="30"/>
  <c r="K23" i="30" s="1"/>
  <c r="K27" i="29"/>
  <c r="R26" i="29"/>
  <c r="S26" i="29" s="1"/>
  <c r="H26" i="28"/>
  <c r="O25" i="28"/>
  <c r="R25" i="28" s="1"/>
  <c r="O24" i="27"/>
  <c r="R24" i="27" s="1"/>
  <c r="H25" i="27"/>
  <c r="G25" i="30" l="1"/>
  <c r="J24" i="30"/>
  <c r="K24" i="30" s="1"/>
  <c r="K28" i="29"/>
  <c r="R27" i="29"/>
  <c r="S27" i="29" s="1"/>
  <c r="O26" i="28"/>
  <c r="R26" i="28" s="1"/>
  <c r="H27" i="28"/>
  <c r="H26" i="27"/>
  <c r="O25" i="27"/>
  <c r="R25" i="27" s="1"/>
  <c r="G26" i="30" l="1"/>
  <c r="J25" i="30"/>
  <c r="K25" i="30" s="1"/>
  <c r="K29" i="29"/>
  <c r="R28" i="29"/>
  <c r="S28" i="29" s="1"/>
  <c r="H28" i="28"/>
  <c r="O27" i="28"/>
  <c r="R27" i="28" s="1"/>
  <c r="O26" i="27"/>
  <c r="R26" i="27" s="1"/>
  <c r="H27" i="27"/>
  <c r="G27" i="30" l="1"/>
  <c r="J26" i="30"/>
  <c r="K26" i="30" s="1"/>
  <c r="K30" i="29"/>
  <c r="R29" i="29"/>
  <c r="S29" i="29" s="1"/>
  <c r="H29" i="28"/>
  <c r="O28" i="28"/>
  <c r="R28" i="28" s="1"/>
  <c r="H28" i="27"/>
  <c r="O27" i="27"/>
  <c r="R27" i="27" s="1"/>
  <c r="G28" i="30" l="1"/>
  <c r="J27" i="30"/>
  <c r="K27" i="30" s="1"/>
  <c r="K31" i="29"/>
  <c r="R30" i="29"/>
  <c r="S30" i="29" s="1"/>
  <c r="H30" i="28"/>
  <c r="O29" i="28"/>
  <c r="R29" i="28" s="1"/>
  <c r="H29" i="27"/>
  <c r="O28" i="27"/>
  <c r="R28" i="27" s="1"/>
  <c r="G29" i="30" l="1"/>
  <c r="J28" i="30"/>
  <c r="K28" i="30" s="1"/>
  <c r="K32" i="29"/>
  <c r="R31" i="29"/>
  <c r="S31" i="29" s="1"/>
  <c r="H31" i="28"/>
  <c r="O30" i="28"/>
  <c r="R30" i="28" s="1"/>
  <c r="H30" i="27"/>
  <c r="O29" i="27"/>
  <c r="R29" i="27" s="1"/>
  <c r="G30" i="30" l="1"/>
  <c r="J29" i="30"/>
  <c r="K29" i="30" s="1"/>
  <c r="R32" i="29"/>
  <c r="S32" i="29" s="1"/>
  <c r="K33" i="29"/>
  <c r="O31" i="28"/>
  <c r="R31" i="28" s="1"/>
  <c r="H32" i="28"/>
  <c r="H31" i="27"/>
  <c r="O30" i="27"/>
  <c r="R30" i="27" s="1"/>
  <c r="G31" i="30" l="1"/>
  <c r="J30" i="30"/>
  <c r="K30" i="30" s="1"/>
  <c r="K34" i="29"/>
  <c r="R33" i="29"/>
  <c r="S33" i="29" s="1"/>
  <c r="H33" i="28"/>
  <c r="O32" i="28"/>
  <c r="R32" i="28" s="1"/>
  <c r="O31" i="27"/>
  <c r="R31" i="27" s="1"/>
  <c r="H32" i="27"/>
  <c r="G32" i="30" l="1"/>
  <c r="J31" i="30"/>
  <c r="K31" i="30" s="1"/>
  <c r="K35" i="29"/>
  <c r="R34" i="29"/>
  <c r="S34" i="29" s="1"/>
  <c r="O33" i="28"/>
  <c r="R33" i="28" s="1"/>
  <c r="H34" i="28"/>
  <c r="H33" i="27"/>
  <c r="O32" i="27"/>
  <c r="R32" i="27" s="1"/>
  <c r="G33" i="30" l="1"/>
  <c r="J32" i="30"/>
  <c r="K32" i="30" s="1"/>
  <c r="K36" i="29"/>
  <c r="R35" i="29"/>
  <c r="S35" i="29" s="1"/>
  <c r="O34" i="28"/>
  <c r="H36" i="28"/>
  <c r="O33" i="27"/>
  <c r="R33" i="27" s="1"/>
  <c r="H34" i="27"/>
  <c r="J33" i="30" l="1"/>
  <c r="K33" i="30" s="1"/>
  <c r="G34" i="30"/>
  <c r="K37" i="29"/>
  <c r="R36" i="29"/>
  <c r="S36" i="29" s="1"/>
  <c r="R34" i="28"/>
  <c r="R36" i="28" s="1"/>
  <c r="A1" i="28" s="1"/>
  <c r="O36" i="28"/>
  <c r="H35" i="27"/>
  <c r="O34" i="27"/>
  <c r="R34" i="27" s="1"/>
  <c r="G35" i="30" l="1"/>
  <c r="J34" i="30"/>
  <c r="K34" i="30" s="1"/>
  <c r="R37" i="29"/>
  <c r="K38" i="29"/>
  <c r="O35" i="27"/>
  <c r="H36" i="27"/>
  <c r="J35" i="30" l="1"/>
  <c r="G36" i="30"/>
  <c r="S37" i="29"/>
  <c r="S38" i="29" s="1"/>
  <c r="S39" i="29" s="1"/>
  <c r="A1" i="29" s="1"/>
  <c r="R38" i="29"/>
  <c r="R35" i="27"/>
  <c r="R36" i="27" s="1"/>
  <c r="A1" i="27" s="1"/>
  <c r="O36" i="27"/>
  <c r="K35" i="30" l="1"/>
  <c r="K36" i="30" s="1"/>
  <c r="A1" i="30" s="1"/>
  <c r="J36" i="30"/>
  <c r="B14" i="26" l="1"/>
  <c r="F11" i="26"/>
  <c r="G11" i="26" s="1"/>
  <c r="F10" i="26"/>
  <c r="G10" i="26" s="1"/>
  <c r="G12" i="26" s="1"/>
  <c r="A7" i="26"/>
  <c r="A4" i="26"/>
  <c r="A3" i="26"/>
  <c r="F12" i="26" l="1"/>
  <c r="H36" i="25" l="1"/>
  <c r="G36" i="25"/>
  <c r="E36" i="25"/>
  <c r="D36" i="25"/>
  <c r="M35" i="25"/>
  <c r="L35" i="25"/>
  <c r="K35" i="25"/>
  <c r="N35" i="25" s="1"/>
  <c r="J35" i="25"/>
  <c r="I35" i="25"/>
  <c r="M34" i="25"/>
  <c r="L34" i="25"/>
  <c r="J34" i="25"/>
  <c r="I34" i="25"/>
  <c r="N34" i="25" s="1"/>
  <c r="M33" i="25"/>
  <c r="L33" i="25"/>
  <c r="J33" i="25"/>
  <c r="I33" i="25"/>
  <c r="F33" i="25"/>
  <c r="F34" i="25" s="1"/>
  <c r="K34" i="25" s="1"/>
  <c r="M32" i="25"/>
  <c r="L32" i="25"/>
  <c r="J32" i="25"/>
  <c r="I32" i="25"/>
  <c r="F32" i="25"/>
  <c r="K32" i="25" s="1"/>
  <c r="M31" i="25"/>
  <c r="L31" i="25"/>
  <c r="K31" i="25"/>
  <c r="J31" i="25"/>
  <c r="I31" i="25"/>
  <c r="N31" i="25" s="1"/>
  <c r="M30" i="25"/>
  <c r="L30" i="25"/>
  <c r="J30" i="25"/>
  <c r="I30" i="25"/>
  <c r="M29" i="25"/>
  <c r="L29" i="25"/>
  <c r="J29" i="25"/>
  <c r="I29" i="25"/>
  <c r="M28" i="25"/>
  <c r="L28" i="25"/>
  <c r="J28" i="25"/>
  <c r="I28" i="25"/>
  <c r="M27" i="25"/>
  <c r="L27" i="25"/>
  <c r="J27" i="25"/>
  <c r="I27" i="25"/>
  <c r="M26" i="25"/>
  <c r="L26" i="25"/>
  <c r="J26" i="25"/>
  <c r="I26" i="25"/>
  <c r="M25" i="25"/>
  <c r="L25" i="25"/>
  <c r="J25" i="25"/>
  <c r="I25" i="25"/>
  <c r="M24" i="25"/>
  <c r="L24" i="25"/>
  <c r="J24" i="25"/>
  <c r="I24" i="25"/>
  <c r="M23" i="25"/>
  <c r="L23" i="25"/>
  <c r="J23" i="25"/>
  <c r="I23" i="25"/>
  <c r="M22" i="25"/>
  <c r="L22" i="25"/>
  <c r="J22" i="25"/>
  <c r="I22" i="25"/>
  <c r="M21" i="25"/>
  <c r="L21" i="25"/>
  <c r="J21" i="25"/>
  <c r="I21" i="25"/>
  <c r="M20" i="25"/>
  <c r="L20" i="25"/>
  <c r="J20" i="25"/>
  <c r="I20" i="25"/>
  <c r="M19" i="25"/>
  <c r="L19" i="25"/>
  <c r="J19" i="25"/>
  <c r="I19" i="25"/>
  <c r="M18" i="25"/>
  <c r="L18" i="25"/>
  <c r="J18" i="25"/>
  <c r="I18" i="25"/>
  <c r="M17" i="25"/>
  <c r="L17" i="25"/>
  <c r="J17" i="25"/>
  <c r="I17" i="25"/>
  <c r="M16" i="25"/>
  <c r="L16" i="25"/>
  <c r="J16" i="25"/>
  <c r="I16" i="25"/>
  <c r="M15" i="25"/>
  <c r="L15" i="25"/>
  <c r="J15" i="25"/>
  <c r="I15" i="25"/>
  <c r="M14" i="25"/>
  <c r="L14" i="25"/>
  <c r="J14" i="25"/>
  <c r="I14" i="25"/>
  <c r="M13" i="25"/>
  <c r="L13" i="25"/>
  <c r="J13" i="25"/>
  <c r="I13" i="25"/>
  <c r="M12" i="25"/>
  <c r="L12" i="25"/>
  <c r="J12" i="25"/>
  <c r="I12" i="25"/>
  <c r="M11" i="25"/>
  <c r="L11" i="25"/>
  <c r="J11" i="25"/>
  <c r="I11" i="25"/>
  <c r="M10" i="25"/>
  <c r="L10" i="25"/>
  <c r="J10" i="25"/>
  <c r="I10" i="25"/>
  <c r="M9" i="25"/>
  <c r="L9" i="25"/>
  <c r="J9" i="25"/>
  <c r="I9" i="25"/>
  <c r="M8" i="25"/>
  <c r="L8" i="25"/>
  <c r="J8" i="25"/>
  <c r="I8" i="25"/>
  <c r="M7" i="25"/>
  <c r="L7" i="25"/>
  <c r="J7" i="25"/>
  <c r="I7" i="25"/>
  <c r="M6" i="25"/>
  <c r="L6" i="25"/>
  <c r="J6" i="25"/>
  <c r="I6" i="25"/>
  <c r="F6" i="25"/>
  <c r="F7" i="25" s="1"/>
  <c r="M5" i="25"/>
  <c r="M36" i="25" s="1"/>
  <c r="L5" i="25"/>
  <c r="L36" i="25" s="1"/>
  <c r="K5" i="25"/>
  <c r="J5" i="25"/>
  <c r="J36" i="25" s="1"/>
  <c r="I5" i="25"/>
  <c r="A2" i="25"/>
  <c r="H36" i="24"/>
  <c r="G36" i="24"/>
  <c r="E36" i="24"/>
  <c r="D36" i="24"/>
  <c r="M35" i="24"/>
  <c r="L35" i="24"/>
  <c r="K35" i="24"/>
  <c r="N35" i="24" s="1"/>
  <c r="J35" i="24"/>
  <c r="I35" i="24"/>
  <c r="M34" i="24"/>
  <c r="L34" i="24"/>
  <c r="J34" i="24"/>
  <c r="I34" i="24"/>
  <c r="M33" i="24"/>
  <c r="L33" i="24"/>
  <c r="J33" i="24"/>
  <c r="I33" i="24"/>
  <c r="M32" i="24"/>
  <c r="L32" i="24"/>
  <c r="J32" i="24"/>
  <c r="I32" i="24"/>
  <c r="M31" i="24"/>
  <c r="L31" i="24"/>
  <c r="J31" i="24"/>
  <c r="I31" i="24"/>
  <c r="M30" i="24"/>
  <c r="L30" i="24"/>
  <c r="J30" i="24"/>
  <c r="I30" i="24"/>
  <c r="M29" i="24"/>
  <c r="L29" i="24"/>
  <c r="J29" i="24"/>
  <c r="I29" i="24"/>
  <c r="M28" i="24"/>
  <c r="L28" i="24"/>
  <c r="J28" i="24"/>
  <c r="I28" i="24"/>
  <c r="M27" i="24"/>
  <c r="L27" i="24"/>
  <c r="J27" i="24"/>
  <c r="I27" i="24"/>
  <c r="M26" i="24"/>
  <c r="L26" i="24"/>
  <c r="J26" i="24"/>
  <c r="I26" i="24"/>
  <c r="M25" i="24"/>
  <c r="L25" i="24"/>
  <c r="J25" i="24"/>
  <c r="I25" i="24"/>
  <c r="M24" i="24"/>
  <c r="L24" i="24"/>
  <c r="J24" i="24"/>
  <c r="I24" i="24"/>
  <c r="M23" i="24"/>
  <c r="L23" i="24"/>
  <c r="J23" i="24"/>
  <c r="I23" i="24"/>
  <c r="M22" i="24"/>
  <c r="L22" i="24"/>
  <c r="J22" i="24"/>
  <c r="I22" i="24"/>
  <c r="M21" i="24"/>
  <c r="L21" i="24"/>
  <c r="J21" i="24"/>
  <c r="I21" i="24"/>
  <c r="M20" i="24"/>
  <c r="L20" i="24"/>
  <c r="J20" i="24"/>
  <c r="I20" i="24"/>
  <c r="M19" i="24"/>
  <c r="L19" i="24"/>
  <c r="J19" i="24"/>
  <c r="I19" i="24"/>
  <c r="M18" i="24"/>
  <c r="L18" i="24"/>
  <c r="J18" i="24"/>
  <c r="I18" i="24"/>
  <c r="M17" i="24"/>
  <c r="L17" i="24"/>
  <c r="J17" i="24"/>
  <c r="I17" i="24"/>
  <c r="M16" i="24"/>
  <c r="L16" i="24"/>
  <c r="J16" i="24"/>
  <c r="I16" i="24"/>
  <c r="M15" i="24"/>
  <c r="L15" i="24"/>
  <c r="J15" i="24"/>
  <c r="I15" i="24"/>
  <c r="M14" i="24"/>
  <c r="L14" i="24"/>
  <c r="J14" i="24"/>
  <c r="I14" i="24"/>
  <c r="M13" i="24"/>
  <c r="L13" i="24"/>
  <c r="J13" i="24"/>
  <c r="I13" i="24"/>
  <c r="M12" i="24"/>
  <c r="L12" i="24"/>
  <c r="J12" i="24"/>
  <c r="I12" i="24"/>
  <c r="M11" i="24"/>
  <c r="L11" i="24"/>
  <c r="J11" i="24"/>
  <c r="I11" i="24"/>
  <c r="M10" i="24"/>
  <c r="L10" i="24"/>
  <c r="J10" i="24"/>
  <c r="I10" i="24"/>
  <c r="M9" i="24"/>
  <c r="L9" i="24"/>
  <c r="J9" i="24"/>
  <c r="I9" i="24"/>
  <c r="M8" i="24"/>
  <c r="L8" i="24"/>
  <c r="J8" i="24"/>
  <c r="I8" i="24"/>
  <c r="M7" i="24"/>
  <c r="L7" i="24"/>
  <c r="J7" i="24"/>
  <c r="I7" i="24"/>
  <c r="M6" i="24"/>
  <c r="L6" i="24"/>
  <c r="K6" i="24"/>
  <c r="J6" i="24"/>
  <c r="I6" i="24"/>
  <c r="I36" i="24" s="1"/>
  <c r="F6" i="24"/>
  <c r="F7" i="24" s="1"/>
  <c r="M5" i="24"/>
  <c r="M36" i="24" s="1"/>
  <c r="L5" i="24"/>
  <c r="L36" i="24" s="1"/>
  <c r="K5" i="24"/>
  <c r="J5" i="24"/>
  <c r="J36" i="24" s="1"/>
  <c r="I5" i="24"/>
  <c r="A2" i="24"/>
  <c r="H36" i="23"/>
  <c r="G36" i="23"/>
  <c r="E36" i="23"/>
  <c r="D36" i="23"/>
  <c r="M35" i="23"/>
  <c r="L35" i="23"/>
  <c r="K35" i="23"/>
  <c r="N35" i="23" s="1"/>
  <c r="J35" i="23"/>
  <c r="I35" i="23"/>
  <c r="M34" i="23"/>
  <c r="L34" i="23"/>
  <c r="J34" i="23"/>
  <c r="I34" i="23"/>
  <c r="M33" i="23"/>
  <c r="L33" i="23"/>
  <c r="J33" i="23"/>
  <c r="I33" i="23"/>
  <c r="M32" i="23"/>
  <c r="L32" i="23"/>
  <c r="J32" i="23"/>
  <c r="I32" i="23"/>
  <c r="M31" i="23"/>
  <c r="L31" i="23"/>
  <c r="J31" i="23"/>
  <c r="I31" i="23"/>
  <c r="M30" i="23"/>
  <c r="L30" i="23"/>
  <c r="J30" i="23"/>
  <c r="I30" i="23"/>
  <c r="M29" i="23"/>
  <c r="L29" i="23"/>
  <c r="J29" i="23"/>
  <c r="I29" i="23"/>
  <c r="M28" i="23"/>
  <c r="L28" i="23"/>
  <c r="J28" i="23"/>
  <c r="I28" i="23"/>
  <c r="M27" i="23"/>
  <c r="L27" i="23"/>
  <c r="J27" i="23"/>
  <c r="I27" i="23"/>
  <c r="M26" i="23"/>
  <c r="L26" i="23"/>
  <c r="J26" i="23"/>
  <c r="I26" i="23"/>
  <c r="M25" i="23"/>
  <c r="L25" i="23"/>
  <c r="J25" i="23"/>
  <c r="I25" i="23"/>
  <c r="M24" i="23"/>
  <c r="L24" i="23"/>
  <c r="J24" i="23"/>
  <c r="I24" i="23"/>
  <c r="M23" i="23"/>
  <c r="L23" i="23"/>
  <c r="J23" i="23"/>
  <c r="I23" i="23"/>
  <c r="M22" i="23"/>
  <c r="L22" i="23"/>
  <c r="J22" i="23"/>
  <c r="I22" i="23"/>
  <c r="M21" i="23"/>
  <c r="L21" i="23"/>
  <c r="J21" i="23"/>
  <c r="I21" i="23"/>
  <c r="M20" i="23"/>
  <c r="L20" i="23"/>
  <c r="J20" i="23"/>
  <c r="I20" i="23"/>
  <c r="M19" i="23"/>
  <c r="L19" i="23"/>
  <c r="J19" i="23"/>
  <c r="I19" i="23"/>
  <c r="M18" i="23"/>
  <c r="L18" i="23"/>
  <c r="J18" i="23"/>
  <c r="I18" i="23"/>
  <c r="M17" i="23"/>
  <c r="L17" i="23"/>
  <c r="J17" i="23"/>
  <c r="I17" i="23"/>
  <c r="M16" i="23"/>
  <c r="L16" i="23"/>
  <c r="J16" i="23"/>
  <c r="I16" i="23"/>
  <c r="M15" i="23"/>
  <c r="L15" i="23"/>
  <c r="J15" i="23"/>
  <c r="I15" i="23"/>
  <c r="M14" i="23"/>
  <c r="L14" i="23"/>
  <c r="J14" i="23"/>
  <c r="I14" i="23"/>
  <c r="M13" i="23"/>
  <c r="L13" i="23"/>
  <c r="J13" i="23"/>
  <c r="I13" i="23"/>
  <c r="M12" i="23"/>
  <c r="L12" i="23"/>
  <c r="J12" i="23"/>
  <c r="I12" i="23"/>
  <c r="M11" i="23"/>
  <c r="L11" i="23"/>
  <c r="J11" i="23"/>
  <c r="I11" i="23"/>
  <c r="M10" i="23"/>
  <c r="L10" i="23"/>
  <c r="J10" i="23"/>
  <c r="I10" i="23"/>
  <c r="M9" i="23"/>
  <c r="L9" i="23"/>
  <c r="J9" i="23"/>
  <c r="I9" i="23"/>
  <c r="M8" i="23"/>
  <c r="L8" i="23"/>
  <c r="J8" i="23"/>
  <c r="I8" i="23"/>
  <c r="M7" i="23"/>
  <c r="L7" i="23"/>
  <c r="J7" i="23"/>
  <c r="I7" i="23"/>
  <c r="M6" i="23"/>
  <c r="L6" i="23"/>
  <c r="K6" i="23"/>
  <c r="J6" i="23"/>
  <c r="I6" i="23"/>
  <c r="I36" i="23" s="1"/>
  <c r="F6" i="23"/>
  <c r="F7" i="23" s="1"/>
  <c r="M5" i="23"/>
  <c r="M36" i="23" s="1"/>
  <c r="L5" i="23"/>
  <c r="L36" i="23" s="1"/>
  <c r="K5" i="23"/>
  <c r="J5" i="23"/>
  <c r="J36" i="23" s="1"/>
  <c r="I5" i="23"/>
  <c r="A2" i="23"/>
  <c r="H36" i="22"/>
  <c r="G36" i="22"/>
  <c r="E36" i="22"/>
  <c r="D36" i="22"/>
  <c r="M35" i="22"/>
  <c r="L35" i="22"/>
  <c r="J35" i="22"/>
  <c r="I35" i="22"/>
  <c r="M34" i="22"/>
  <c r="L34" i="22"/>
  <c r="J34" i="22"/>
  <c r="I34" i="22"/>
  <c r="M33" i="22"/>
  <c r="L33" i="22"/>
  <c r="J33" i="22"/>
  <c r="I33" i="22"/>
  <c r="M32" i="22"/>
  <c r="L32" i="22"/>
  <c r="J32" i="22"/>
  <c r="I32" i="22"/>
  <c r="M31" i="22"/>
  <c r="L31" i="22"/>
  <c r="J31" i="22"/>
  <c r="I31" i="22"/>
  <c r="M30" i="22"/>
  <c r="L30" i="22"/>
  <c r="J30" i="22"/>
  <c r="I30" i="22"/>
  <c r="M29" i="22"/>
  <c r="L29" i="22"/>
  <c r="J29" i="22"/>
  <c r="I29" i="22"/>
  <c r="M28" i="22"/>
  <c r="L28" i="22"/>
  <c r="J28" i="22"/>
  <c r="I28" i="22"/>
  <c r="M27" i="22"/>
  <c r="L27" i="22"/>
  <c r="J27" i="22"/>
  <c r="I27" i="22"/>
  <c r="M26" i="22"/>
  <c r="L26" i="22"/>
  <c r="J26" i="22"/>
  <c r="I26" i="22"/>
  <c r="M25" i="22"/>
  <c r="L25" i="22"/>
  <c r="J25" i="22"/>
  <c r="I25" i="22"/>
  <c r="M24" i="22"/>
  <c r="L24" i="22"/>
  <c r="J24" i="22"/>
  <c r="I24" i="22"/>
  <c r="M23" i="22"/>
  <c r="L23" i="22"/>
  <c r="J23" i="22"/>
  <c r="I23" i="22"/>
  <c r="M22" i="22"/>
  <c r="L22" i="22"/>
  <c r="J22" i="22"/>
  <c r="I22" i="22"/>
  <c r="M21" i="22"/>
  <c r="L21" i="22"/>
  <c r="J21" i="22"/>
  <c r="I21" i="22"/>
  <c r="M20" i="22"/>
  <c r="L20" i="22"/>
  <c r="J20" i="22"/>
  <c r="I20" i="22"/>
  <c r="M19" i="22"/>
  <c r="L19" i="22"/>
  <c r="J19" i="22"/>
  <c r="I19" i="22"/>
  <c r="M18" i="22"/>
  <c r="L18" i="22"/>
  <c r="J18" i="22"/>
  <c r="I18" i="22"/>
  <c r="M17" i="22"/>
  <c r="L17" i="22"/>
  <c r="J17" i="22"/>
  <c r="I17" i="22"/>
  <c r="M16" i="22"/>
  <c r="L16" i="22"/>
  <c r="J16" i="22"/>
  <c r="I16" i="22"/>
  <c r="M15" i="22"/>
  <c r="L15" i="22"/>
  <c r="J15" i="22"/>
  <c r="I15" i="22"/>
  <c r="M14" i="22"/>
  <c r="L14" i="22"/>
  <c r="J14" i="22"/>
  <c r="I14" i="22"/>
  <c r="M13" i="22"/>
  <c r="L13" i="22"/>
  <c r="J13" i="22"/>
  <c r="I13" i="22"/>
  <c r="M12" i="22"/>
  <c r="L12" i="22"/>
  <c r="J12" i="22"/>
  <c r="I12" i="22"/>
  <c r="M11" i="22"/>
  <c r="L11" i="22"/>
  <c r="J11" i="22"/>
  <c r="I11" i="22"/>
  <c r="M10" i="22"/>
  <c r="L10" i="22"/>
  <c r="J10" i="22"/>
  <c r="I10" i="22"/>
  <c r="M9" i="22"/>
  <c r="L9" i="22"/>
  <c r="J9" i="22"/>
  <c r="I9" i="22"/>
  <c r="M8" i="22"/>
  <c r="L8" i="22"/>
  <c r="J8" i="22"/>
  <c r="I8" i="22"/>
  <c r="M7" i="22"/>
  <c r="L7" i="22"/>
  <c r="J7" i="22"/>
  <c r="I7" i="22"/>
  <c r="M6" i="22"/>
  <c r="L6" i="22"/>
  <c r="J6" i="22"/>
  <c r="I6" i="22"/>
  <c r="I36" i="22" s="1"/>
  <c r="F6" i="22"/>
  <c r="F7" i="22" s="1"/>
  <c r="M5" i="22"/>
  <c r="M36" i="22" s="1"/>
  <c r="L5" i="22"/>
  <c r="L36" i="22" s="1"/>
  <c r="K5" i="22"/>
  <c r="J5" i="22"/>
  <c r="J36" i="22" s="1"/>
  <c r="I5" i="22"/>
  <c r="A2" i="22"/>
  <c r="H36" i="21"/>
  <c r="G36" i="21"/>
  <c r="E36" i="21"/>
  <c r="D36" i="21"/>
  <c r="M35" i="21"/>
  <c r="L35" i="21"/>
  <c r="J35" i="21"/>
  <c r="I35" i="21"/>
  <c r="M34" i="21"/>
  <c r="L34" i="21"/>
  <c r="J34" i="21"/>
  <c r="I34" i="21"/>
  <c r="M33" i="21"/>
  <c r="L33" i="21"/>
  <c r="J33" i="21"/>
  <c r="I33" i="21"/>
  <c r="M32" i="21"/>
  <c r="L32" i="21"/>
  <c r="J32" i="21"/>
  <c r="I32" i="21"/>
  <c r="M31" i="21"/>
  <c r="L31" i="21"/>
  <c r="J31" i="21"/>
  <c r="I31" i="21"/>
  <c r="M30" i="21"/>
  <c r="L30" i="21"/>
  <c r="J30" i="21"/>
  <c r="I30" i="21"/>
  <c r="M29" i="21"/>
  <c r="L29" i="21"/>
  <c r="J29" i="21"/>
  <c r="I29" i="21"/>
  <c r="M28" i="21"/>
  <c r="L28" i="21"/>
  <c r="J28" i="21"/>
  <c r="I28" i="21"/>
  <c r="M27" i="21"/>
  <c r="L27" i="21"/>
  <c r="J27" i="21"/>
  <c r="I27" i="21"/>
  <c r="M26" i="21"/>
  <c r="L26" i="21"/>
  <c r="J26" i="21"/>
  <c r="I26" i="21"/>
  <c r="M25" i="21"/>
  <c r="L25" i="21"/>
  <c r="J25" i="21"/>
  <c r="I25" i="21"/>
  <c r="M24" i="21"/>
  <c r="L24" i="21"/>
  <c r="J24" i="21"/>
  <c r="I24" i="21"/>
  <c r="M23" i="21"/>
  <c r="L23" i="21"/>
  <c r="J23" i="21"/>
  <c r="I23" i="21"/>
  <c r="M22" i="21"/>
  <c r="L22" i="21"/>
  <c r="J22" i="21"/>
  <c r="I22" i="21"/>
  <c r="M21" i="21"/>
  <c r="L21" i="21"/>
  <c r="J21" i="21"/>
  <c r="I21" i="21"/>
  <c r="M20" i="21"/>
  <c r="L20" i="21"/>
  <c r="J20" i="21"/>
  <c r="I20" i="21"/>
  <c r="M19" i="21"/>
  <c r="L19" i="21"/>
  <c r="J19" i="21"/>
  <c r="I19" i="21"/>
  <c r="M18" i="21"/>
  <c r="L18" i="21"/>
  <c r="J18" i="21"/>
  <c r="I18" i="21"/>
  <c r="M17" i="21"/>
  <c r="L17" i="21"/>
  <c r="J17" i="21"/>
  <c r="I17" i="21"/>
  <c r="M16" i="21"/>
  <c r="L16" i="21"/>
  <c r="J16" i="21"/>
  <c r="I16" i="21"/>
  <c r="M15" i="21"/>
  <c r="L15" i="21"/>
  <c r="J15" i="21"/>
  <c r="I15" i="21"/>
  <c r="M14" i="21"/>
  <c r="L14" i="21"/>
  <c r="J14" i="21"/>
  <c r="I14" i="21"/>
  <c r="M13" i="21"/>
  <c r="L13" i="21"/>
  <c r="J13" i="21"/>
  <c r="I13" i="21"/>
  <c r="M12" i="21"/>
  <c r="L12" i="21"/>
  <c r="J12" i="21"/>
  <c r="I12" i="21"/>
  <c r="M11" i="21"/>
  <c r="L11" i="21"/>
  <c r="J11" i="21"/>
  <c r="I11" i="21"/>
  <c r="M10" i="21"/>
  <c r="L10" i="21"/>
  <c r="J10" i="21"/>
  <c r="I10" i="21"/>
  <c r="M9" i="21"/>
  <c r="L9" i="21"/>
  <c r="L36" i="21" s="1"/>
  <c r="J9" i="21"/>
  <c r="I9" i="21"/>
  <c r="M8" i="21"/>
  <c r="M36" i="21" s="1"/>
  <c r="L8" i="21"/>
  <c r="J8" i="21"/>
  <c r="I8" i="21"/>
  <c r="M7" i="21"/>
  <c r="L7" i="21"/>
  <c r="J7" i="21"/>
  <c r="I7" i="21"/>
  <c r="M6" i="21"/>
  <c r="L6" i="21"/>
  <c r="J6" i="21"/>
  <c r="I6" i="21"/>
  <c r="F6" i="21"/>
  <c r="F7" i="21" s="1"/>
  <c r="M5" i="21"/>
  <c r="L5" i="21"/>
  <c r="K5" i="21"/>
  <c r="J5" i="21"/>
  <c r="J36" i="21" s="1"/>
  <c r="I5" i="21"/>
  <c r="I36" i="21" s="1"/>
  <c r="A2" i="21"/>
  <c r="N32" i="25" l="1"/>
  <c r="K7" i="25"/>
  <c r="N7" i="25" s="1"/>
  <c r="F8" i="25"/>
  <c r="N5" i="25"/>
  <c r="K33" i="25"/>
  <c r="N33" i="25" s="1"/>
  <c r="K6" i="25"/>
  <c r="N6" i="25" s="1"/>
  <c r="I36" i="25"/>
  <c r="K7" i="24"/>
  <c r="N7" i="24" s="1"/>
  <c r="F8" i="24"/>
  <c r="N5" i="24"/>
  <c r="N6" i="24"/>
  <c r="K7" i="23"/>
  <c r="N7" i="23" s="1"/>
  <c r="F8" i="23"/>
  <c r="N5" i="23"/>
  <c r="N6" i="23"/>
  <c r="K7" i="22"/>
  <c r="F8" i="22"/>
  <c r="N7" i="22"/>
  <c r="N5" i="22"/>
  <c r="K6" i="22"/>
  <c r="N6" i="22"/>
  <c r="K7" i="21"/>
  <c r="N7" i="21" s="1"/>
  <c r="F8" i="21"/>
  <c r="N5" i="21"/>
  <c r="K6" i="21"/>
  <c r="F9" i="25" l="1"/>
  <c r="K8" i="25"/>
  <c r="F9" i="24"/>
  <c r="K8" i="24"/>
  <c r="F9" i="23"/>
  <c r="K8" i="23"/>
  <c r="F9" i="22"/>
  <c r="K8" i="22"/>
  <c r="N6" i="21"/>
  <c r="F9" i="21"/>
  <c r="K8" i="21"/>
  <c r="N8" i="21" s="1"/>
  <c r="K9" i="25" l="1"/>
  <c r="N9" i="25" s="1"/>
  <c r="F10" i="25"/>
  <c r="N8" i="25"/>
  <c r="F10" i="24"/>
  <c r="K9" i="24"/>
  <c r="N9" i="24" s="1"/>
  <c r="N8" i="24"/>
  <c r="F10" i="23"/>
  <c r="K9" i="23"/>
  <c r="N9" i="23" s="1"/>
  <c r="N8" i="23"/>
  <c r="N8" i="22"/>
  <c r="F10" i="22"/>
  <c r="K9" i="22"/>
  <c r="N9" i="22" s="1"/>
  <c r="F10" i="21"/>
  <c r="K9" i="21"/>
  <c r="N9" i="21" s="1"/>
  <c r="F11" i="25" l="1"/>
  <c r="K10" i="25"/>
  <c r="F11" i="24"/>
  <c r="K10" i="24"/>
  <c r="F11" i="23"/>
  <c r="K10" i="23"/>
  <c r="F11" i="22"/>
  <c r="K10" i="22"/>
  <c r="N10" i="22" s="1"/>
  <c r="F11" i="21"/>
  <c r="K10" i="21"/>
  <c r="N10" i="21" s="1"/>
  <c r="N10" i="25" l="1"/>
  <c r="F12" i="25"/>
  <c r="K11" i="25"/>
  <c r="N11" i="25" s="1"/>
  <c r="F12" i="24"/>
  <c r="K11" i="24"/>
  <c r="N11" i="24" s="1"/>
  <c r="N10" i="24"/>
  <c r="N10" i="23"/>
  <c r="F12" i="23"/>
  <c r="K11" i="23"/>
  <c r="N11" i="23" s="1"/>
  <c r="F12" i="22"/>
  <c r="K11" i="22"/>
  <c r="N11" i="22" s="1"/>
  <c r="F12" i="21"/>
  <c r="K11" i="21"/>
  <c r="N11" i="21" s="1"/>
  <c r="F13" i="25" l="1"/>
  <c r="K12" i="25"/>
  <c r="N12" i="25" s="1"/>
  <c r="F13" i="24"/>
  <c r="K12" i="24"/>
  <c r="F13" i="23"/>
  <c r="K12" i="23"/>
  <c r="K12" i="22"/>
  <c r="N12" i="22" s="1"/>
  <c r="F13" i="22"/>
  <c r="K12" i="21"/>
  <c r="N12" i="21" s="1"/>
  <c r="F13" i="21"/>
  <c r="F14" i="25" l="1"/>
  <c r="K13" i="25"/>
  <c r="N13" i="25" s="1"/>
  <c r="N12" i="24"/>
  <c r="F14" i="24"/>
  <c r="K13" i="24"/>
  <c r="N13" i="24" s="1"/>
  <c r="N12" i="23"/>
  <c r="F14" i="23"/>
  <c r="K13" i="23"/>
  <c r="N13" i="23" s="1"/>
  <c r="F14" i="22"/>
  <c r="K13" i="22"/>
  <c r="N13" i="22" s="1"/>
  <c r="F14" i="21"/>
  <c r="K13" i="21"/>
  <c r="N13" i="21" s="1"/>
  <c r="K14" i="25" l="1"/>
  <c r="N14" i="25" s="1"/>
  <c r="F15" i="25"/>
  <c r="K14" i="24"/>
  <c r="N14" i="24" s="1"/>
  <c r="F15" i="24"/>
  <c r="K14" i="23"/>
  <c r="N14" i="23" s="1"/>
  <c r="F15" i="23"/>
  <c r="K14" i="22"/>
  <c r="N14" i="22" s="1"/>
  <c r="F15" i="22"/>
  <c r="K14" i="21"/>
  <c r="N14" i="21" s="1"/>
  <c r="F15" i="21"/>
  <c r="F16" i="25" l="1"/>
  <c r="K15" i="25"/>
  <c r="N15" i="25" s="1"/>
  <c r="F16" i="24"/>
  <c r="K15" i="24"/>
  <c r="N15" i="24" s="1"/>
  <c r="F16" i="23"/>
  <c r="K15" i="23"/>
  <c r="N15" i="23" s="1"/>
  <c r="F16" i="22"/>
  <c r="K15" i="22"/>
  <c r="N15" i="22" s="1"/>
  <c r="F16" i="21"/>
  <c r="K15" i="21"/>
  <c r="N15" i="21" s="1"/>
  <c r="K16" i="25" l="1"/>
  <c r="N16" i="25" s="1"/>
  <c r="F17" i="25"/>
  <c r="K16" i="24"/>
  <c r="N16" i="24" s="1"/>
  <c r="F17" i="24"/>
  <c r="K16" i="23"/>
  <c r="N16" i="23" s="1"/>
  <c r="F17" i="23"/>
  <c r="F17" i="22"/>
  <c r="K16" i="22"/>
  <c r="N16" i="22" s="1"/>
  <c r="F17" i="21"/>
  <c r="K16" i="21"/>
  <c r="N16" i="21" s="1"/>
  <c r="F18" i="25" l="1"/>
  <c r="K17" i="25"/>
  <c r="N17" i="25" s="1"/>
  <c r="F18" i="24"/>
  <c r="K17" i="24"/>
  <c r="N17" i="24" s="1"/>
  <c r="F18" i="23"/>
  <c r="K17" i="23"/>
  <c r="N17" i="23" s="1"/>
  <c r="F18" i="22"/>
  <c r="K17" i="22"/>
  <c r="N17" i="22" s="1"/>
  <c r="F18" i="21"/>
  <c r="K17" i="21"/>
  <c r="N17" i="21" s="1"/>
  <c r="F19" i="25" l="1"/>
  <c r="K18" i="25"/>
  <c r="N18" i="25" s="1"/>
  <c r="F19" i="24"/>
  <c r="K18" i="24"/>
  <c r="N18" i="24" s="1"/>
  <c r="F19" i="23"/>
  <c r="K18" i="23"/>
  <c r="N18" i="23" s="1"/>
  <c r="F19" i="22"/>
  <c r="K18" i="22"/>
  <c r="N18" i="22" s="1"/>
  <c r="F19" i="21"/>
  <c r="K18" i="21"/>
  <c r="N18" i="21" s="1"/>
  <c r="F20" i="25" l="1"/>
  <c r="K19" i="25"/>
  <c r="N19" i="25" s="1"/>
  <c r="F20" i="24"/>
  <c r="K19" i="24"/>
  <c r="N19" i="24" s="1"/>
  <c r="F20" i="23"/>
  <c r="K19" i="23"/>
  <c r="N19" i="23" s="1"/>
  <c r="F20" i="22"/>
  <c r="K19" i="22"/>
  <c r="N19" i="22" s="1"/>
  <c r="F20" i="21"/>
  <c r="K19" i="21"/>
  <c r="N19" i="21" s="1"/>
  <c r="F21" i="25" l="1"/>
  <c r="K20" i="25"/>
  <c r="N20" i="25" s="1"/>
  <c r="F21" i="24"/>
  <c r="K20" i="24"/>
  <c r="N20" i="24" s="1"/>
  <c r="F21" i="23"/>
  <c r="K20" i="23"/>
  <c r="N20" i="23" s="1"/>
  <c r="F21" i="22"/>
  <c r="K20" i="22"/>
  <c r="N20" i="22" s="1"/>
  <c r="F21" i="21"/>
  <c r="K20" i="21"/>
  <c r="N20" i="21" s="1"/>
  <c r="K21" i="25" l="1"/>
  <c r="N21" i="25" s="1"/>
  <c r="F22" i="25"/>
  <c r="K21" i="24"/>
  <c r="N21" i="24" s="1"/>
  <c r="F22" i="24"/>
  <c r="K21" i="23"/>
  <c r="N21" i="23" s="1"/>
  <c r="F22" i="23"/>
  <c r="K21" i="22"/>
  <c r="N21" i="22" s="1"/>
  <c r="F22" i="22"/>
  <c r="K21" i="21"/>
  <c r="N21" i="21" s="1"/>
  <c r="F22" i="21"/>
  <c r="F23" i="25" l="1"/>
  <c r="K22" i="25"/>
  <c r="N22" i="25" s="1"/>
  <c r="F23" i="24"/>
  <c r="K22" i="24"/>
  <c r="N22" i="24" s="1"/>
  <c r="F23" i="23"/>
  <c r="K22" i="23"/>
  <c r="N22" i="23" s="1"/>
  <c r="F23" i="22"/>
  <c r="K22" i="22"/>
  <c r="N22" i="22" s="1"/>
  <c r="F23" i="21"/>
  <c r="K22" i="21"/>
  <c r="N22" i="21" s="1"/>
  <c r="K23" i="25" l="1"/>
  <c r="N23" i="25" s="1"/>
  <c r="F24" i="25"/>
  <c r="K23" i="24"/>
  <c r="N23" i="24" s="1"/>
  <c r="F24" i="24"/>
  <c r="K23" i="23"/>
  <c r="N23" i="23" s="1"/>
  <c r="F24" i="23"/>
  <c r="K23" i="22"/>
  <c r="N23" i="22" s="1"/>
  <c r="F24" i="22"/>
  <c r="K23" i="21"/>
  <c r="N23" i="21" s="1"/>
  <c r="F24" i="21"/>
  <c r="F25" i="25" l="1"/>
  <c r="K24" i="25"/>
  <c r="N24" i="25" s="1"/>
  <c r="F25" i="24"/>
  <c r="K24" i="24"/>
  <c r="N24" i="24" s="1"/>
  <c r="F25" i="23"/>
  <c r="K24" i="23"/>
  <c r="N24" i="23" s="1"/>
  <c r="F25" i="22"/>
  <c r="K24" i="22"/>
  <c r="N24" i="22" s="1"/>
  <c r="F25" i="21"/>
  <c r="K24" i="21"/>
  <c r="N24" i="21" s="1"/>
  <c r="K25" i="25" l="1"/>
  <c r="N25" i="25" s="1"/>
  <c r="F26" i="25"/>
  <c r="F26" i="24"/>
  <c r="K25" i="24"/>
  <c r="N25" i="24" s="1"/>
  <c r="F26" i="23"/>
  <c r="K25" i="23"/>
  <c r="N25" i="23" s="1"/>
  <c r="F26" i="22"/>
  <c r="K25" i="22"/>
  <c r="N25" i="22" s="1"/>
  <c r="F26" i="21"/>
  <c r="K25" i="21"/>
  <c r="N25" i="21" s="1"/>
  <c r="F27" i="25" l="1"/>
  <c r="K26" i="25"/>
  <c r="N26" i="25" s="1"/>
  <c r="F27" i="24"/>
  <c r="K26" i="24"/>
  <c r="N26" i="24" s="1"/>
  <c r="F27" i="23"/>
  <c r="K26" i="23"/>
  <c r="N26" i="23" s="1"/>
  <c r="F27" i="22"/>
  <c r="K26" i="22"/>
  <c r="N26" i="22" s="1"/>
  <c r="F27" i="21"/>
  <c r="K26" i="21"/>
  <c r="N26" i="21" s="1"/>
  <c r="F28" i="25" l="1"/>
  <c r="K27" i="25"/>
  <c r="N27" i="25" s="1"/>
  <c r="F28" i="24"/>
  <c r="K27" i="24"/>
  <c r="N27" i="24" s="1"/>
  <c r="F28" i="23"/>
  <c r="K27" i="23"/>
  <c r="N27" i="23" s="1"/>
  <c r="F28" i="22"/>
  <c r="K27" i="22"/>
  <c r="N27" i="22" s="1"/>
  <c r="K27" i="21"/>
  <c r="N27" i="21" s="1"/>
  <c r="F28" i="21"/>
  <c r="F29" i="25" l="1"/>
  <c r="K28" i="25"/>
  <c r="N28" i="25" s="1"/>
  <c r="F29" i="24"/>
  <c r="K28" i="24"/>
  <c r="N28" i="24" s="1"/>
  <c r="K28" i="23"/>
  <c r="N28" i="23" s="1"/>
  <c r="F29" i="23"/>
  <c r="K28" i="22"/>
  <c r="N28" i="22" s="1"/>
  <c r="F29" i="22"/>
  <c r="K28" i="21"/>
  <c r="N28" i="21" s="1"/>
  <c r="F29" i="21"/>
  <c r="F30" i="25" l="1"/>
  <c r="K29" i="25"/>
  <c r="N29" i="25" s="1"/>
  <c r="F30" i="24"/>
  <c r="K29" i="24"/>
  <c r="N29" i="24" s="1"/>
  <c r="F30" i="23"/>
  <c r="K29" i="23"/>
  <c r="N29" i="23" s="1"/>
  <c r="F30" i="22"/>
  <c r="K29" i="22"/>
  <c r="N29" i="22" s="1"/>
  <c r="F30" i="21"/>
  <c r="K29" i="21"/>
  <c r="N29" i="21" s="1"/>
  <c r="K30" i="25" l="1"/>
  <c r="F36" i="25"/>
  <c r="K30" i="24"/>
  <c r="N30" i="24" s="1"/>
  <c r="F31" i="24"/>
  <c r="K30" i="23"/>
  <c r="N30" i="23" s="1"/>
  <c r="F31" i="23"/>
  <c r="K30" i="22"/>
  <c r="N30" i="22" s="1"/>
  <c r="F31" i="22"/>
  <c r="K30" i="21"/>
  <c r="N30" i="21" s="1"/>
  <c r="F31" i="21"/>
  <c r="N30" i="25" l="1"/>
  <c r="N36" i="25" s="1"/>
  <c r="N37" i="25" s="1"/>
  <c r="A1" i="25" s="1"/>
  <c r="K36" i="25"/>
  <c r="F32" i="24"/>
  <c r="K31" i="24"/>
  <c r="N31" i="24" s="1"/>
  <c r="F32" i="23"/>
  <c r="K31" i="23"/>
  <c r="N31" i="23" s="1"/>
  <c r="F32" i="22"/>
  <c r="K31" i="22"/>
  <c r="N31" i="22" s="1"/>
  <c r="F32" i="21"/>
  <c r="K31" i="21"/>
  <c r="N31" i="21" s="1"/>
  <c r="K32" i="24" l="1"/>
  <c r="N32" i="24" s="1"/>
  <c r="F33" i="24"/>
  <c r="K32" i="23"/>
  <c r="N32" i="23" s="1"/>
  <c r="F33" i="23"/>
  <c r="F33" i="22"/>
  <c r="K32" i="22"/>
  <c r="N32" i="22" s="1"/>
  <c r="F33" i="21"/>
  <c r="K32" i="21"/>
  <c r="N32" i="21" s="1"/>
  <c r="F34" i="24" l="1"/>
  <c r="K33" i="24"/>
  <c r="N33" i="24" s="1"/>
  <c r="F34" i="23"/>
  <c r="K33" i="23"/>
  <c r="N33" i="23" s="1"/>
  <c r="F34" i="22"/>
  <c r="K33" i="22"/>
  <c r="N33" i="22" s="1"/>
  <c r="F34" i="21"/>
  <c r="K33" i="21"/>
  <c r="N33" i="21" s="1"/>
  <c r="K34" i="24" l="1"/>
  <c r="F36" i="24"/>
  <c r="K34" i="23"/>
  <c r="F36" i="23"/>
  <c r="F35" i="22"/>
  <c r="K34" i="22"/>
  <c r="N34" i="22" s="1"/>
  <c r="F35" i="21"/>
  <c r="K34" i="21"/>
  <c r="N34" i="21" s="1"/>
  <c r="N34" i="24" l="1"/>
  <c r="N36" i="24" s="1"/>
  <c r="N37" i="24" s="1"/>
  <c r="A1" i="24" s="1"/>
  <c r="K36" i="24"/>
  <c r="N34" i="23"/>
  <c r="N36" i="23" s="1"/>
  <c r="N37" i="23" s="1"/>
  <c r="A1" i="23" s="1"/>
  <c r="K36" i="23"/>
  <c r="K35" i="22"/>
  <c r="F36" i="22"/>
  <c r="K35" i="21"/>
  <c r="F36" i="21"/>
  <c r="N35" i="22" l="1"/>
  <c r="N36" i="22" s="1"/>
  <c r="N37" i="22" s="1"/>
  <c r="A1" i="22" s="1"/>
  <c r="K36" i="22"/>
  <c r="N35" i="21"/>
  <c r="N36" i="21" s="1"/>
  <c r="N37" i="21" s="1"/>
  <c r="A1" i="21" s="1"/>
  <c r="K36" i="21"/>
  <c r="H36" i="20" l="1"/>
  <c r="G36" i="20"/>
  <c r="E36" i="20"/>
  <c r="D36" i="20"/>
  <c r="M35" i="20"/>
  <c r="L35" i="20"/>
  <c r="J35" i="20"/>
  <c r="I35" i="20"/>
  <c r="M34" i="20"/>
  <c r="L34" i="20"/>
  <c r="J34" i="20"/>
  <c r="I34" i="20"/>
  <c r="M33" i="20"/>
  <c r="L33" i="20"/>
  <c r="J33" i="20"/>
  <c r="I33" i="20"/>
  <c r="M32" i="20"/>
  <c r="L32" i="20"/>
  <c r="J32" i="20"/>
  <c r="I32" i="20"/>
  <c r="M31" i="20"/>
  <c r="L31" i="20"/>
  <c r="J31" i="20"/>
  <c r="I31" i="20"/>
  <c r="M30" i="20"/>
  <c r="L30" i="20"/>
  <c r="J30" i="20"/>
  <c r="I30" i="20"/>
  <c r="M29" i="20"/>
  <c r="L29" i="20"/>
  <c r="J29" i="20"/>
  <c r="I29" i="20"/>
  <c r="M28" i="20"/>
  <c r="L28" i="20"/>
  <c r="J28" i="20"/>
  <c r="I28" i="20"/>
  <c r="M27" i="20"/>
  <c r="L27" i="20"/>
  <c r="J27" i="20"/>
  <c r="I27" i="20"/>
  <c r="M26" i="20"/>
  <c r="L26" i="20"/>
  <c r="J26" i="20"/>
  <c r="I26" i="20"/>
  <c r="M25" i="20"/>
  <c r="L25" i="20"/>
  <c r="J25" i="20"/>
  <c r="I25" i="20"/>
  <c r="M24" i="20"/>
  <c r="L24" i="20"/>
  <c r="J24" i="20"/>
  <c r="I24" i="20"/>
  <c r="M23" i="20"/>
  <c r="L23" i="20"/>
  <c r="J23" i="20"/>
  <c r="I23" i="20"/>
  <c r="M22" i="20"/>
  <c r="L22" i="20"/>
  <c r="J22" i="20"/>
  <c r="I22" i="20"/>
  <c r="M21" i="20"/>
  <c r="L21" i="20"/>
  <c r="J21" i="20"/>
  <c r="I21" i="20"/>
  <c r="M20" i="20"/>
  <c r="L20" i="20"/>
  <c r="J20" i="20"/>
  <c r="I20" i="20"/>
  <c r="M19" i="20"/>
  <c r="L19" i="20"/>
  <c r="J19" i="20"/>
  <c r="I19" i="20"/>
  <c r="M18" i="20"/>
  <c r="L18" i="20"/>
  <c r="J18" i="20"/>
  <c r="I18" i="20"/>
  <c r="M17" i="20"/>
  <c r="L17" i="20"/>
  <c r="J17" i="20"/>
  <c r="I17" i="20"/>
  <c r="M16" i="20"/>
  <c r="L16" i="20"/>
  <c r="J16" i="20"/>
  <c r="I16" i="20"/>
  <c r="M15" i="20"/>
  <c r="L15" i="20"/>
  <c r="J15" i="20"/>
  <c r="I15" i="20"/>
  <c r="M14" i="20"/>
  <c r="L14" i="20"/>
  <c r="J14" i="20"/>
  <c r="I14" i="20"/>
  <c r="M13" i="20"/>
  <c r="L13" i="20"/>
  <c r="J13" i="20"/>
  <c r="I13" i="20"/>
  <c r="M12" i="20"/>
  <c r="L12" i="20"/>
  <c r="J12" i="20"/>
  <c r="I12" i="20"/>
  <c r="M11" i="20"/>
  <c r="L11" i="20"/>
  <c r="J11" i="20"/>
  <c r="I11" i="20"/>
  <c r="M10" i="20"/>
  <c r="L10" i="20"/>
  <c r="J10" i="20"/>
  <c r="I10" i="20"/>
  <c r="M9" i="20"/>
  <c r="L9" i="20"/>
  <c r="J9" i="20"/>
  <c r="I9" i="20"/>
  <c r="M8" i="20"/>
  <c r="L8" i="20"/>
  <c r="J8" i="20"/>
  <c r="I8" i="20"/>
  <c r="M7" i="20"/>
  <c r="L7" i="20"/>
  <c r="J7" i="20"/>
  <c r="I7" i="20"/>
  <c r="M6" i="20"/>
  <c r="L6" i="20"/>
  <c r="J6" i="20"/>
  <c r="I6" i="20"/>
  <c r="I36" i="20" s="1"/>
  <c r="F6" i="20"/>
  <c r="F7" i="20" s="1"/>
  <c r="M5" i="20"/>
  <c r="M36" i="20" s="1"/>
  <c r="L5" i="20"/>
  <c r="L36" i="20" s="1"/>
  <c r="K5" i="20"/>
  <c r="J5" i="20"/>
  <c r="J36" i="20" s="1"/>
  <c r="I5" i="20"/>
  <c r="A2" i="20"/>
  <c r="H36" i="19"/>
  <c r="G36" i="19"/>
  <c r="E36" i="19"/>
  <c r="D36" i="19"/>
  <c r="M35" i="19"/>
  <c r="L35" i="19"/>
  <c r="J35" i="19"/>
  <c r="I35" i="19"/>
  <c r="M34" i="19"/>
  <c r="L34" i="19"/>
  <c r="J34" i="19"/>
  <c r="I34" i="19"/>
  <c r="M33" i="19"/>
  <c r="L33" i="19"/>
  <c r="J33" i="19"/>
  <c r="I33" i="19"/>
  <c r="M32" i="19"/>
  <c r="L32" i="19"/>
  <c r="J32" i="19"/>
  <c r="I32" i="19"/>
  <c r="M31" i="19"/>
  <c r="L31" i="19"/>
  <c r="J31" i="19"/>
  <c r="I31" i="19"/>
  <c r="M30" i="19"/>
  <c r="L30" i="19"/>
  <c r="J30" i="19"/>
  <c r="I30" i="19"/>
  <c r="M29" i="19"/>
  <c r="L29" i="19"/>
  <c r="J29" i="19"/>
  <c r="I29" i="19"/>
  <c r="M28" i="19"/>
  <c r="L28" i="19"/>
  <c r="J28" i="19"/>
  <c r="I28" i="19"/>
  <c r="M27" i="19"/>
  <c r="L27" i="19"/>
  <c r="J27" i="19"/>
  <c r="I27" i="19"/>
  <c r="M26" i="19"/>
  <c r="L26" i="19"/>
  <c r="J26" i="19"/>
  <c r="I26" i="19"/>
  <c r="M25" i="19"/>
  <c r="L25" i="19"/>
  <c r="J25" i="19"/>
  <c r="I25" i="19"/>
  <c r="M24" i="19"/>
  <c r="L24" i="19"/>
  <c r="J24" i="19"/>
  <c r="I24" i="19"/>
  <c r="M23" i="19"/>
  <c r="L23" i="19"/>
  <c r="J23" i="19"/>
  <c r="I23" i="19"/>
  <c r="M22" i="19"/>
  <c r="L22" i="19"/>
  <c r="J22" i="19"/>
  <c r="I22" i="19"/>
  <c r="M21" i="19"/>
  <c r="L21" i="19"/>
  <c r="J21" i="19"/>
  <c r="I21" i="19"/>
  <c r="M20" i="19"/>
  <c r="L20" i="19"/>
  <c r="J20" i="19"/>
  <c r="I20" i="19"/>
  <c r="M19" i="19"/>
  <c r="L19" i="19"/>
  <c r="J19" i="19"/>
  <c r="I19" i="19"/>
  <c r="M18" i="19"/>
  <c r="L18" i="19"/>
  <c r="J18" i="19"/>
  <c r="I18" i="19"/>
  <c r="M17" i="19"/>
  <c r="L17" i="19"/>
  <c r="J17" i="19"/>
  <c r="I17" i="19"/>
  <c r="M16" i="19"/>
  <c r="L16" i="19"/>
  <c r="J16" i="19"/>
  <c r="I16" i="19"/>
  <c r="M15" i="19"/>
  <c r="L15" i="19"/>
  <c r="J15" i="19"/>
  <c r="I15" i="19"/>
  <c r="M14" i="19"/>
  <c r="L14" i="19"/>
  <c r="J14" i="19"/>
  <c r="I14" i="19"/>
  <c r="M13" i="19"/>
  <c r="L13" i="19"/>
  <c r="J13" i="19"/>
  <c r="I13" i="19"/>
  <c r="M12" i="19"/>
  <c r="L12" i="19"/>
  <c r="J12" i="19"/>
  <c r="I12" i="19"/>
  <c r="M11" i="19"/>
  <c r="L11" i="19"/>
  <c r="J11" i="19"/>
  <c r="I11" i="19"/>
  <c r="M10" i="19"/>
  <c r="L10" i="19"/>
  <c r="J10" i="19"/>
  <c r="I10" i="19"/>
  <c r="M9" i="19"/>
  <c r="L9" i="19"/>
  <c r="J9" i="19"/>
  <c r="I9" i="19"/>
  <c r="M8" i="19"/>
  <c r="L8" i="19"/>
  <c r="J8" i="19"/>
  <c r="I8" i="19"/>
  <c r="M7" i="19"/>
  <c r="L7" i="19"/>
  <c r="J7" i="19"/>
  <c r="I7" i="19"/>
  <c r="M6" i="19"/>
  <c r="L6" i="19"/>
  <c r="J6" i="19"/>
  <c r="I6" i="19"/>
  <c r="I36" i="19" s="1"/>
  <c r="F6" i="19"/>
  <c r="F7" i="19" s="1"/>
  <c r="M5" i="19"/>
  <c r="M36" i="19" s="1"/>
  <c r="L5" i="19"/>
  <c r="L36" i="19" s="1"/>
  <c r="K5" i="19"/>
  <c r="J5" i="19"/>
  <c r="J36" i="19" s="1"/>
  <c r="I5" i="19"/>
  <c r="A2" i="19"/>
  <c r="H36" i="18"/>
  <c r="G36" i="18"/>
  <c r="E36" i="18"/>
  <c r="D36" i="18"/>
  <c r="M35" i="18"/>
  <c r="L35" i="18"/>
  <c r="J35" i="18"/>
  <c r="I35" i="18"/>
  <c r="M34" i="18"/>
  <c r="L34" i="18"/>
  <c r="J34" i="18"/>
  <c r="I34" i="18"/>
  <c r="M33" i="18"/>
  <c r="L33" i="18"/>
  <c r="J33" i="18"/>
  <c r="I33" i="18"/>
  <c r="M32" i="18"/>
  <c r="L32" i="18"/>
  <c r="J32" i="18"/>
  <c r="I32" i="18"/>
  <c r="M31" i="18"/>
  <c r="L31" i="18"/>
  <c r="J31" i="18"/>
  <c r="I31" i="18"/>
  <c r="M30" i="18"/>
  <c r="L30" i="18"/>
  <c r="J30" i="18"/>
  <c r="I30" i="18"/>
  <c r="M29" i="18"/>
  <c r="L29" i="18"/>
  <c r="J29" i="18"/>
  <c r="I29" i="18"/>
  <c r="M28" i="18"/>
  <c r="L28" i="18"/>
  <c r="J28" i="18"/>
  <c r="I28" i="18"/>
  <c r="M27" i="18"/>
  <c r="L27" i="18"/>
  <c r="J27" i="18"/>
  <c r="I27" i="18"/>
  <c r="M26" i="18"/>
  <c r="L26" i="18"/>
  <c r="J26" i="18"/>
  <c r="I26" i="18"/>
  <c r="M25" i="18"/>
  <c r="L25" i="18"/>
  <c r="J25" i="18"/>
  <c r="I25" i="18"/>
  <c r="M24" i="18"/>
  <c r="L24" i="18"/>
  <c r="J24" i="18"/>
  <c r="I24" i="18"/>
  <c r="M23" i="18"/>
  <c r="L23" i="18"/>
  <c r="J23" i="18"/>
  <c r="I23" i="18"/>
  <c r="M22" i="18"/>
  <c r="L22" i="18"/>
  <c r="J22" i="18"/>
  <c r="I22" i="18"/>
  <c r="M21" i="18"/>
  <c r="L21" i="18"/>
  <c r="J21" i="18"/>
  <c r="I21" i="18"/>
  <c r="M20" i="18"/>
  <c r="L20" i="18"/>
  <c r="J20" i="18"/>
  <c r="I20" i="18"/>
  <c r="M19" i="18"/>
  <c r="L19" i="18"/>
  <c r="J19" i="18"/>
  <c r="I19" i="18"/>
  <c r="M18" i="18"/>
  <c r="L18" i="18"/>
  <c r="J18" i="18"/>
  <c r="I18" i="18"/>
  <c r="M17" i="18"/>
  <c r="L17" i="18"/>
  <c r="J17" i="18"/>
  <c r="I17" i="18"/>
  <c r="M16" i="18"/>
  <c r="L16" i="18"/>
  <c r="J16" i="18"/>
  <c r="I16" i="18"/>
  <c r="M15" i="18"/>
  <c r="L15" i="18"/>
  <c r="J15" i="18"/>
  <c r="I15" i="18"/>
  <c r="M14" i="18"/>
  <c r="L14" i="18"/>
  <c r="J14" i="18"/>
  <c r="I14" i="18"/>
  <c r="M13" i="18"/>
  <c r="L13" i="18"/>
  <c r="J13" i="18"/>
  <c r="I13" i="18"/>
  <c r="M12" i="18"/>
  <c r="L12" i="18"/>
  <c r="J12" i="18"/>
  <c r="I12" i="18"/>
  <c r="M11" i="18"/>
  <c r="L11" i="18"/>
  <c r="J11" i="18"/>
  <c r="I11" i="18"/>
  <c r="M10" i="18"/>
  <c r="L10" i="18"/>
  <c r="J10" i="18"/>
  <c r="I10" i="18"/>
  <c r="M9" i="18"/>
  <c r="L9" i="18"/>
  <c r="J9" i="18"/>
  <c r="I9" i="18"/>
  <c r="M8" i="18"/>
  <c r="L8" i="18"/>
  <c r="J8" i="18"/>
  <c r="I8" i="18"/>
  <c r="M7" i="18"/>
  <c r="L7" i="18"/>
  <c r="J7" i="18"/>
  <c r="I7" i="18"/>
  <c r="M6" i="18"/>
  <c r="L6" i="18"/>
  <c r="J6" i="18"/>
  <c r="I6" i="18"/>
  <c r="I36" i="18" s="1"/>
  <c r="F6" i="18"/>
  <c r="F7" i="18" s="1"/>
  <c r="M5" i="18"/>
  <c r="M36" i="18" s="1"/>
  <c r="L5" i="18"/>
  <c r="L36" i="18" s="1"/>
  <c r="K5" i="18"/>
  <c r="J5" i="18"/>
  <c r="J36" i="18" s="1"/>
  <c r="I5" i="18"/>
  <c r="A2" i="18"/>
  <c r="H36" i="17"/>
  <c r="G36" i="17"/>
  <c r="E36" i="17"/>
  <c r="D36" i="17"/>
  <c r="M35" i="17"/>
  <c r="L35" i="17"/>
  <c r="J35" i="17"/>
  <c r="I35" i="17"/>
  <c r="M34" i="17"/>
  <c r="L34" i="17"/>
  <c r="J34" i="17"/>
  <c r="I34" i="17"/>
  <c r="M33" i="17"/>
  <c r="L33" i="17"/>
  <c r="J33" i="17"/>
  <c r="I33" i="17"/>
  <c r="M32" i="17"/>
  <c r="L32" i="17"/>
  <c r="J32" i="17"/>
  <c r="I32" i="17"/>
  <c r="M31" i="17"/>
  <c r="L31" i="17"/>
  <c r="J31" i="17"/>
  <c r="I31" i="17"/>
  <c r="M30" i="17"/>
  <c r="L30" i="17"/>
  <c r="J30" i="17"/>
  <c r="I30" i="17"/>
  <c r="M29" i="17"/>
  <c r="L29" i="17"/>
  <c r="J29" i="17"/>
  <c r="I29" i="17"/>
  <c r="M28" i="17"/>
  <c r="L28" i="17"/>
  <c r="J28" i="17"/>
  <c r="I28" i="17"/>
  <c r="M27" i="17"/>
  <c r="L27" i="17"/>
  <c r="J27" i="17"/>
  <c r="I27" i="17"/>
  <c r="M26" i="17"/>
  <c r="L26" i="17"/>
  <c r="J26" i="17"/>
  <c r="I26" i="17"/>
  <c r="M25" i="17"/>
  <c r="L25" i="17"/>
  <c r="J25" i="17"/>
  <c r="I25" i="17"/>
  <c r="M24" i="17"/>
  <c r="L24" i="17"/>
  <c r="J24" i="17"/>
  <c r="I24" i="17"/>
  <c r="M23" i="17"/>
  <c r="L23" i="17"/>
  <c r="J23" i="17"/>
  <c r="I23" i="17"/>
  <c r="M22" i="17"/>
  <c r="L22" i="17"/>
  <c r="J22" i="17"/>
  <c r="I22" i="17"/>
  <c r="M21" i="17"/>
  <c r="L21" i="17"/>
  <c r="J21" i="17"/>
  <c r="I21" i="17"/>
  <c r="M20" i="17"/>
  <c r="L20" i="17"/>
  <c r="J20" i="17"/>
  <c r="I20" i="17"/>
  <c r="M19" i="17"/>
  <c r="L19" i="17"/>
  <c r="J19" i="17"/>
  <c r="I19" i="17"/>
  <c r="M18" i="17"/>
  <c r="L18" i="17"/>
  <c r="J18" i="17"/>
  <c r="I18" i="17"/>
  <c r="M17" i="17"/>
  <c r="L17" i="17"/>
  <c r="J17" i="17"/>
  <c r="I17" i="17"/>
  <c r="M16" i="17"/>
  <c r="L16" i="17"/>
  <c r="J16" i="17"/>
  <c r="I16" i="17"/>
  <c r="M15" i="17"/>
  <c r="L15" i="17"/>
  <c r="J15" i="17"/>
  <c r="I15" i="17"/>
  <c r="M14" i="17"/>
  <c r="L14" i="17"/>
  <c r="J14" i="17"/>
  <c r="I14" i="17"/>
  <c r="M13" i="17"/>
  <c r="L13" i="17"/>
  <c r="J13" i="17"/>
  <c r="I13" i="17"/>
  <c r="M12" i="17"/>
  <c r="L12" i="17"/>
  <c r="J12" i="17"/>
  <c r="I12" i="17"/>
  <c r="M11" i="17"/>
  <c r="L11" i="17"/>
  <c r="J11" i="17"/>
  <c r="I11" i="17"/>
  <c r="M10" i="17"/>
  <c r="L10" i="17"/>
  <c r="J10" i="17"/>
  <c r="I10" i="17"/>
  <c r="M9" i="17"/>
  <c r="L9" i="17"/>
  <c r="J9" i="17"/>
  <c r="I9" i="17"/>
  <c r="M8" i="17"/>
  <c r="L8" i="17"/>
  <c r="J8" i="17"/>
  <c r="I8" i="17"/>
  <c r="M7" i="17"/>
  <c r="L7" i="17"/>
  <c r="J7" i="17"/>
  <c r="I7" i="17"/>
  <c r="M6" i="17"/>
  <c r="L6" i="17"/>
  <c r="J6" i="17"/>
  <c r="I6" i="17"/>
  <c r="F6" i="17"/>
  <c r="K6" i="17" s="1"/>
  <c r="M5" i="17"/>
  <c r="M36" i="17" s="1"/>
  <c r="L5" i="17"/>
  <c r="L36" i="17" s="1"/>
  <c r="K5" i="17"/>
  <c r="J5" i="17"/>
  <c r="J36" i="17" s="1"/>
  <c r="I5" i="17"/>
  <c r="I36" i="17" s="1"/>
  <c r="A2" i="17"/>
  <c r="H36" i="16"/>
  <c r="G36" i="16"/>
  <c r="E36" i="16"/>
  <c r="D36" i="16"/>
  <c r="M35" i="16"/>
  <c r="L35" i="16"/>
  <c r="J35" i="16"/>
  <c r="I35" i="16"/>
  <c r="M34" i="16"/>
  <c r="L34" i="16"/>
  <c r="J34" i="16"/>
  <c r="I34" i="16"/>
  <c r="M33" i="16"/>
  <c r="L33" i="16"/>
  <c r="J33" i="16"/>
  <c r="I33" i="16"/>
  <c r="M32" i="16"/>
  <c r="L32" i="16"/>
  <c r="J32" i="16"/>
  <c r="I32" i="16"/>
  <c r="M31" i="16"/>
  <c r="L31" i="16"/>
  <c r="J31" i="16"/>
  <c r="I31" i="16"/>
  <c r="M30" i="16"/>
  <c r="L30" i="16"/>
  <c r="J30" i="16"/>
  <c r="I30" i="16"/>
  <c r="M29" i="16"/>
  <c r="L29" i="16"/>
  <c r="J29" i="16"/>
  <c r="I29" i="16"/>
  <c r="M28" i="16"/>
  <c r="L28" i="16"/>
  <c r="J28" i="16"/>
  <c r="I28" i="16"/>
  <c r="M27" i="16"/>
  <c r="L27" i="16"/>
  <c r="J27" i="16"/>
  <c r="I27" i="16"/>
  <c r="M26" i="16"/>
  <c r="L26" i="16"/>
  <c r="J26" i="16"/>
  <c r="I26" i="16"/>
  <c r="M25" i="16"/>
  <c r="L25" i="16"/>
  <c r="J25" i="16"/>
  <c r="I25" i="16"/>
  <c r="M24" i="16"/>
  <c r="L24" i="16"/>
  <c r="J24" i="16"/>
  <c r="I24" i="16"/>
  <c r="M23" i="16"/>
  <c r="L23" i="16"/>
  <c r="J23" i="16"/>
  <c r="I23" i="16"/>
  <c r="M22" i="16"/>
  <c r="L22" i="16"/>
  <c r="J22" i="16"/>
  <c r="I22" i="16"/>
  <c r="M21" i="16"/>
  <c r="L21" i="16"/>
  <c r="J21" i="16"/>
  <c r="I21" i="16"/>
  <c r="M20" i="16"/>
  <c r="L20" i="16"/>
  <c r="J20" i="16"/>
  <c r="I20" i="16"/>
  <c r="M19" i="16"/>
  <c r="L19" i="16"/>
  <c r="J19" i="16"/>
  <c r="I19" i="16"/>
  <c r="M18" i="16"/>
  <c r="L18" i="16"/>
  <c r="J18" i="16"/>
  <c r="I18" i="16"/>
  <c r="M17" i="16"/>
  <c r="L17" i="16"/>
  <c r="J17" i="16"/>
  <c r="I17" i="16"/>
  <c r="M16" i="16"/>
  <c r="L16" i="16"/>
  <c r="J16" i="16"/>
  <c r="I16" i="16"/>
  <c r="M15" i="16"/>
  <c r="L15" i="16"/>
  <c r="J15" i="16"/>
  <c r="I15" i="16"/>
  <c r="M14" i="16"/>
  <c r="L14" i="16"/>
  <c r="J14" i="16"/>
  <c r="I14" i="16"/>
  <c r="M13" i="16"/>
  <c r="L13" i="16"/>
  <c r="J13" i="16"/>
  <c r="I13" i="16"/>
  <c r="M12" i="16"/>
  <c r="L12" i="16"/>
  <c r="J12" i="16"/>
  <c r="I12" i="16"/>
  <c r="M11" i="16"/>
  <c r="L11" i="16"/>
  <c r="J11" i="16"/>
  <c r="I11" i="16"/>
  <c r="M10" i="16"/>
  <c r="L10" i="16"/>
  <c r="J10" i="16"/>
  <c r="I10" i="16"/>
  <c r="M9" i="16"/>
  <c r="L9" i="16"/>
  <c r="J9" i="16"/>
  <c r="I9" i="16"/>
  <c r="M8" i="16"/>
  <c r="L8" i="16"/>
  <c r="J8" i="16"/>
  <c r="I8" i="16"/>
  <c r="M7" i="16"/>
  <c r="L7" i="16"/>
  <c r="J7" i="16"/>
  <c r="I7" i="16"/>
  <c r="M6" i="16"/>
  <c r="L6" i="16"/>
  <c r="J6" i="16"/>
  <c r="I6" i="16"/>
  <c r="I36" i="16" s="1"/>
  <c r="F6" i="16"/>
  <c r="F7" i="16" s="1"/>
  <c r="M5" i="16"/>
  <c r="N5" i="16" s="1"/>
  <c r="L5" i="16"/>
  <c r="L36" i="16" s="1"/>
  <c r="K5" i="16"/>
  <c r="J5" i="16"/>
  <c r="J36" i="16" s="1"/>
  <c r="I5" i="16"/>
  <c r="A2" i="16"/>
  <c r="I36" i="15"/>
  <c r="H36" i="15"/>
  <c r="G36" i="15"/>
  <c r="E36" i="15"/>
  <c r="D36" i="15"/>
  <c r="M35" i="15"/>
  <c r="L35" i="15"/>
  <c r="K35" i="15"/>
  <c r="N35" i="15" s="1"/>
  <c r="J35" i="15"/>
  <c r="I35" i="15"/>
  <c r="M34" i="15"/>
  <c r="L34" i="15"/>
  <c r="J34" i="15"/>
  <c r="I34" i="15"/>
  <c r="M33" i="15"/>
  <c r="L33" i="15"/>
  <c r="J33" i="15"/>
  <c r="I33" i="15"/>
  <c r="M32" i="15"/>
  <c r="L32" i="15"/>
  <c r="J32" i="15"/>
  <c r="I32" i="15"/>
  <c r="M31" i="15"/>
  <c r="L31" i="15"/>
  <c r="J31" i="15"/>
  <c r="I31" i="15"/>
  <c r="M30" i="15"/>
  <c r="L30" i="15"/>
  <c r="J30" i="15"/>
  <c r="I30" i="15"/>
  <c r="M29" i="15"/>
  <c r="L29" i="15"/>
  <c r="J29" i="15"/>
  <c r="I29" i="15"/>
  <c r="M28" i="15"/>
  <c r="L28" i="15"/>
  <c r="J28" i="15"/>
  <c r="I28" i="15"/>
  <c r="M27" i="15"/>
  <c r="L27" i="15"/>
  <c r="J27" i="15"/>
  <c r="I27" i="15"/>
  <c r="M26" i="15"/>
  <c r="L26" i="15"/>
  <c r="J26" i="15"/>
  <c r="I26" i="15"/>
  <c r="M25" i="15"/>
  <c r="L25" i="15"/>
  <c r="J25" i="15"/>
  <c r="I25" i="15"/>
  <c r="M24" i="15"/>
  <c r="L24" i="15"/>
  <c r="J24" i="15"/>
  <c r="I24" i="15"/>
  <c r="M23" i="15"/>
  <c r="L23" i="15"/>
  <c r="J23" i="15"/>
  <c r="I23" i="15"/>
  <c r="M22" i="15"/>
  <c r="L22" i="15"/>
  <c r="J22" i="15"/>
  <c r="I22" i="15"/>
  <c r="M21" i="15"/>
  <c r="L21" i="15"/>
  <c r="J21" i="15"/>
  <c r="I21" i="15"/>
  <c r="M20" i="15"/>
  <c r="L20" i="15"/>
  <c r="J20" i="15"/>
  <c r="I20" i="15"/>
  <c r="M19" i="15"/>
  <c r="L19" i="15"/>
  <c r="J19" i="15"/>
  <c r="I19" i="15"/>
  <c r="M18" i="15"/>
  <c r="L18" i="15"/>
  <c r="J18" i="15"/>
  <c r="I18" i="15"/>
  <c r="M17" i="15"/>
  <c r="L17" i="15"/>
  <c r="J17" i="15"/>
  <c r="I17" i="15"/>
  <c r="M16" i="15"/>
  <c r="L16" i="15"/>
  <c r="J16" i="15"/>
  <c r="I16" i="15"/>
  <c r="M15" i="15"/>
  <c r="L15" i="15"/>
  <c r="J15" i="15"/>
  <c r="I15" i="15"/>
  <c r="M14" i="15"/>
  <c r="L14" i="15"/>
  <c r="J14" i="15"/>
  <c r="I14" i="15"/>
  <c r="M13" i="15"/>
  <c r="L13" i="15"/>
  <c r="J13" i="15"/>
  <c r="I13" i="15"/>
  <c r="M12" i="15"/>
  <c r="L12" i="15"/>
  <c r="J12" i="15"/>
  <c r="I12" i="15"/>
  <c r="M11" i="15"/>
  <c r="L11" i="15"/>
  <c r="J11" i="15"/>
  <c r="I11" i="15"/>
  <c r="M10" i="15"/>
  <c r="L10" i="15"/>
  <c r="J10" i="15"/>
  <c r="I10" i="15"/>
  <c r="M9" i="15"/>
  <c r="L9" i="15"/>
  <c r="J9" i="15"/>
  <c r="I9" i="15"/>
  <c r="M8" i="15"/>
  <c r="L8" i="15"/>
  <c r="J8" i="15"/>
  <c r="I8" i="15"/>
  <c r="M7" i="15"/>
  <c r="L7" i="15"/>
  <c r="J7" i="15"/>
  <c r="I7" i="15"/>
  <c r="M6" i="15"/>
  <c r="L6" i="15"/>
  <c r="J6" i="15"/>
  <c r="I6" i="15"/>
  <c r="F6" i="15"/>
  <c r="F7" i="15" s="1"/>
  <c r="M5" i="15"/>
  <c r="M36" i="15" s="1"/>
  <c r="L5" i="15"/>
  <c r="N5" i="15" s="1"/>
  <c r="K5" i="15"/>
  <c r="J5" i="15"/>
  <c r="J36" i="15" s="1"/>
  <c r="I5" i="15"/>
  <c r="A2" i="15"/>
  <c r="K7" i="20" l="1"/>
  <c r="F8" i="20"/>
  <c r="N7" i="20"/>
  <c r="N5" i="20"/>
  <c r="K6" i="20"/>
  <c r="N6" i="20"/>
  <c r="K7" i="19"/>
  <c r="F8" i="19"/>
  <c r="N7" i="19"/>
  <c r="N5" i="19"/>
  <c r="K6" i="19"/>
  <c r="N6" i="19"/>
  <c r="F8" i="18"/>
  <c r="K7" i="18"/>
  <c r="N7" i="18"/>
  <c r="N5" i="18"/>
  <c r="K6" i="18"/>
  <c r="N6" i="18" s="1"/>
  <c r="N6" i="17"/>
  <c r="N5" i="17"/>
  <c r="F7" i="17"/>
  <c r="K7" i="16"/>
  <c r="F8" i="16"/>
  <c r="N7" i="16"/>
  <c r="K6" i="16"/>
  <c r="N6" i="16"/>
  <c r="M36" i="16"/>
  <c r="K7" i="15"/>
  <c r="N7" i="15" s="1"/>
  <c r="F8" i="15"/>
  <c r="N6" i="15"/>
  <c r="K6" i="15"/>
  <c r="L36" i="15"/>
  <c r="F9" i="20" l="1"/>
  <c r="K8" i="20"/>
  <c r="N8" i="20" s="1"/>
  <c r="F9" i="19"/>
  <c r="K8" i="19"/>
  <c r="N8" i="19" s="1"/>
  <c r="F9" i="18"/>
  <c r="K8" i="18"/>
  <c r="N8" i="18" s="1"/>
  <c r="K7" i="17"/>
  <c r="F8" i="17"/>
  <c r="K8" i="16"/>
  <c r="N8" i="16" s="1"/>
  <c r="F9" i="16"/>
  <c r="F9" i="15"/>
  <c r="K8" i="15"/>
  <c r="N8" i="15" s="1"/>
  <c r="F10" i="20" l="1"/>
  <c r="K9" i="20"/>
  <c r="N9" i="20" s="1"/>
  <c r="F10" i="19"/>
  <c r="K9" i="19"/>
  <c r="N9" i="19" s="1"/>
  <c r="F10" i="18"/>
  <c r="K9" i="18"/>
  <c r="N9" i="18" s="1"/>
  <c r="F9" i="17"/>
  <c r="K8" i="17"/>
  <c r="N8" i="17" s="1"/>
  <c r="N7" i="17"/>
  <c r="F10" i="16"/>
  <c r="K9" i="16"/>
  <c r="N9" i="16" s="1"/>
  <c r="F10" i="15"/>
  <c r="K9" i="15"/>
  <c r="N9" i="15" s="1"/>
  <c r="F11" i="20" l="1"/>
  <c r="K10" i="20"/>
  <c r="N10" i="20" s="1"/>
  <c r="F11" i="19"/>
  <c r="K10" i="19"/>
  <c r="N10" i="19" s="1"/>
  <c r="F11" i="18"/>
  <c r="K10" i="18"/>
  <c r="N10" i="18" s="1"/>
  <c r="F10" i="17"/>
  <c r="K9" i="17"/>
  <c r="F11" i="16"/>
  <c r="K10" i="16"/>
  <c r="K10" i="15"/>
  <c r="N10" i="15" s="1"/>
  <c r="F11" i="15"/>
  <c r="F12" i="20" l="1"/>
  <c r="K11" i="20"/>
  <c r="N11" i="20" s="1"/>
  <c r="F12" i="19"/>
  <c r="K11" i="19"/>
  <c r="N11" i="19" s="1"/>
  <c r="F12" i="18"/>
  <c r="K11" i="18"/>
  <c r="N11" i="18" s="1"/>
  <c r="N9" i="17"/>
  <c r="F11" i="17"/>
  <c r="K10" i="17"/>
  <c r="N10" i="17" s="1"/>
  <c r="N10" i="16"/>
  <c r="F12" i="16"/>
  <c r="K11" i="16"/>
  <c r="N11" i="16" s="1"/>
  <c r="F12" i="15"/>
  <c r="K11" i="15"/>
  <c r="N11" i="15" s="1"/>
  <c r="K12" i="20" l="1"/>
  <c r="N12" i="20" s="1"/>
  <c r="F13" i="20"/>
  <c r="K12" i="19"/>
  <c r="N12" i="19" s="1"/>
  <c r="F13" i="19"/>
  <c r="K12" i="18"/>
  <c r="N12" i="18" s="1"/>
  <c r="F13" i="18"/>
  <c r="F12" i="17"/>
  <c r="K11" i="17"/>
  <c r="N11" i="17" s="1"/>
  <c r="K12" i="16"/>
  <c r="N12" i="16" s="1"/>
  <c r="F13" i="16"/>
  <c r="K12" i="15"/>
  <c r="N12" i="15" s="1"/>
  <c r="F13" i="15"/>
  <c r="F14" i="20" l="1"/>
  <c r="K13" i="20"/>
  <c r="N13" i="20" s="1"/>
  <c r="F14" i="19"/>
  <c r="K13" i="19"/>
  <c r="N13" i="19" s="1"/>
  <c r="F14" i="18"/>
  <c r="K13" i="18"/>
  <c r="N13" i="18" s="1"/>
  <c r="K12" i="17"/>
  <c r="N12" i="17" s="1"/>
  <c r="F13" i="17"/>
  <c r="K13" i="16"/>
  <c r="N13" i="16" s="1"/>
  <c r="F14" i="16"/>
  <c r="K13" i="15"/>
  <c r="N13" i="15" s="1"/>
  <c r="F14" i="15"/>
  <c r="K14" i="20" l="1"/>
  <c r="N14" i="20" s="1"/>
  <c r="F15" i="20"/>
  <c r="K14" i="19"/>
  <c r="N14" i="19" s="1"/>
  <c r="F15" i="19"/>
  <c r="K14" i="18"/>
  <c r="N14" i="18" s="1"/>
  <c r="F15" i="18"/>
  <c r="K13" i="17"/>
  <c r="N13" i="17" s="1"/>
  <c r="F14" i="17"/>
  <c r="K14" i="16"/>
  <c r="N14" i="16" s="1"/>
  <c r="F15" i="16"/>
  <c r="K14" i="15"/>
  <c r="N14" i="15" s="1"/>
  <c r="F15" i="15"/>
  <c r="K15" i="20" l="1"/>
  <c r="N15" i="20" s="1"/>
  <c r="F16" i="20"/>
  <c r="K15" i="19"/>
  <c r="N15" i="19" s="1"/>
  <c r="F16" i="19"/>
  <c r="K15" i="18"/>
  <c r="N15" i="18" s="1"/>
  <c r="F16" i="18"/>
  <c r="K14" i="17"/>
  <c r="N14" i="17" s="1"/>
  <c r="F15" i="17"/>
  <c r="K15" i="16"/>
  <c r="N15" i="16" s="1"/>
  <c r="F16" i="16"/>
  <c r="K15" i="15"/>
  <c r="N15" i="15" s="1"/>
  <c r="F16" i="15"/>
  <c r="F17" i="20" l="1"/>
  <c r="K16" i="20"/>
  <c r="N16" i="20" s="1"/>
  <c r="F17" i="19"/>
  <c r="K16" i="19"/>
  <c r="N16" i="19" s="1"/>
  <c r="F17" i="18"/>
  <c r="K16" i="18"/>
  <c r="N16" i="18" s="1"/>
  <c r="K15" i="17"/>
  <c r="N15" i="17" s="1"/>
  <c r="F16" i="17"/>
  <c r="F17" i="16"/>
  <c r="K16" i="16"/>
  <c r="N16" i="16" s="1"/>
  <c r="K16" i="15"/>
  <c r="N16" i="15" s="1"/>
  <c r="F17" i="15"/>
  <c r="F18" i="20" l="1"/>
  <c r="K17" i="20"/>
  <c r="N17" i="20" s="1"/>
  <c r="F18" i="19"/>
  <c r="K17" i="19"/>
  <c r="N17" i="19" s="1"/>
  <c r="F18" i="18"/>
  <c r="K17" i="18"/>
  <c r="N17" i="18" s="1"/>
  <c r="F17" i="17"/>
  <c r="K16" i="17"/>
  <c r="N16" i="17" s="1"/>
  <c r="F18" i="16"/>
  <c r="K17" i="16"/>
  <c r="N17" i="16" s="1"/>
  <c r="K17" i="15"/>
  <c r="N17" i="15" s="1"/>
  <c r="F18" i="15"/>
  <c r="F19" i="20" l="1"/>
  <c r="K18" i="20"/>
  <c r="N18" i="20" s="1"/>
  <c r="F19" i="19"/>
  <c r="K18" i="19"/>
  <c r="N18" i="19" s="1"/>
  <c r="F19" i="18"/>
  <c r="K18" i="18"/>
  <c r="N18" i="18" s="1"/>
  <c r="F18" i="17"/>
  <c r="K17" i="17"/>
  <c r="N17" i="17" s="1"/>
  <c r="F19" i="16"/>
  <c r="K18" i="16"/>
  <c r="N18" i="16" s="1"/>
  <c r="F19" i="15"/>
  <c r="K18" i="15"/>
  <c r="N18" i="15" s="1"/>
  <c r="K19" i="20" l="1"/>
  <c r="N19" i="20" s="1"/>
  <c r="F20" i="20"/>
  <c r="K19" i="19"/>
  <c r="N19" i="19" s="1"/>
  <c r="F20" i="19"/>
  <c r="K19" i="18"/>
  <c r="N19" i="18" s="1"/>
  <c r="F20" i="18"/>
  <c r="F19" i="17"/>
  <c r="K18" i="17"/>
  <c r="N18" i="17" s="1"/>
  <c r="K19" i="16"/>
  <c r="N19" i="16" s="1"/>
  <c r="F20" i="16"/>
  <c r="K19" i="15"/>
  <c r="N19" i="15" s="1"/>
  <c r="F20" i="15"/>
  <c r="F21" i="20" l="1"/>
  <c r="K20" i="20"/>
  <c r="N20" i="20" s="1"/>
  <c r="F21" i="19"/>
  <c r="K20" i="19"/>
  <c r="N20" i="19" s="1"/>
  <c r="F21" i="18"/>
  <c r="K20" i="18"/>
  <c r="N20" i="18" s="1"/>
  <c r="K19" i="17"/>
  <c r="N19" i="17" s="1"/>
  <c r="F20" i="17"/>
  <c r="F21" i="16"/>
  <c r="K20" i="16"/>
  <c r="N20" i="16" s="1"/>
  <c r="F21" i="15"/>
  <c r="K20" i="15"/>
  <c r="N20" i="15" s="1"/>
  <c r="K21" i="20" l="1"/>
  <c r="N21" i="20" s="1"/>
  <c r="F22" i="20"/>
  <c r="K21" i="19"/>
  <c r="N21" i="19" s="1"/>
  <c r="F22" i="19"/>
  <c r="K21" i="18"/>
  <c r="N21" i="18" s="1"/>
  <c r="F22" i="18"/>
  <c r="F21" i="17"/>
  <c r="K20" i="17"/>
  <c r="N20" i="17" s="1"/>
  <c r="K21" i="16"/>
  <c r="N21" i="16" s="1"/>
  <c r="F22" i="16"/>
  <c r="K21" i="15"/>
  <c r="N21" i="15" s="1"/>
  <c r="F22" i="15"/>
  <c r="F23" i="20" l="1"/>
  <c r="K22" i="20"/>
  <c r="N22" i="20" s="1"/>
  <c r="F23" i="19"/>
  <c r="K22" i="19"/>
  <c r="N22" i="19" s="1"/>
  <c r="F23" i="18"/>
  <c r="K22" i="18"/>
  <c r="N22" i="18" s="1"/>
  <c r="F22" i="17"/>
  <c r="K21" i="17"/>
  <c r="N21" i="17" s="1"/>
  <c r="K22" i="16"/>
  <c r="N22" i="16" s="1"/>
  <c r="F23" i="16"/>
  <c r="F23" i="15"/>
  <c r="K22" i="15"/>
  <c r="N22" i="15" s="1"/>
  <c r="K23" i="20" l="1"/>
  <c r="N23" i="20" s="1"/>
  <c r="F24" i="20"/>
  <c r="K23" i="19"/>
  <c r="N23" i="19" s="1"/>
  <c r="F24" i="19"/>
  <c r="K23" i="18"/>
  <c r="N23" i="18" s="1"/>
  <c r="F24" i="18"/>
  <c r="F23" i="17"/>
  <c r="K22" i="17"/>
  <c r="N22" i="17" s="1"/>
  <c r="K23" i="16"/>
  <c r="N23" i="16" s="1"/>
  <c r="F24" i="16"/>
  <c r="K23" i="15"/>
  <c r="N23" i="15" s="1"/>
  <c r="F24" i="15"/>
  <c r="F25" i="20" l="1"/>
  <c r="K24" i="20"/>
  <c r="N24" i="20" s="1"/>
  <c r="F25" i="19"/>
  <c r="K24" i="19"/>
  <c r="N24" i="19" s="1"/>
  <c r="F25" i="18"/>
  <c r="K24" i="18"/>
  <c r="N24" i="18" s="1"/>
  <c r="F24" i="17"/>
  <c r="K23" i="17"/>
  <c r="N23" i="17" s="1"/>
  <c r="F25" i="16"/>
  <c r="K24" i="16"/>
  <c r="N24" i="16" s="1"/>
  <c r="K24" i="15"/>
  <c r="N24" i="15" s="1"/>
  <c r="F25" i="15"/>
  <c r="F26" i="20" l="1"/>
  <c r="K25" i="20"/>
  <c r="N25" i="20" s="1"/>
  <c r="F26" i="19"/>
  <c r="K25" i="19"/>
  <c r="N25" i="19" s="1"/>
  <c r="F26" i="18"/>
  <c r="K25" i="18"/>
  <c r="N25" i="18" s="1"/>
  <c r="F25" i="17"/>
  <c r="K24" i="17"/>
  <c r="N24" i="17" s="1"/>
  <c r="F26" i="16"/>
  <c r="K25" i="16"/>
  <c r="N25" i="16" s="1"/>
  <c r="F26" i="15"/>
  <c r="K25" i="15"/>
  <c r="N25" i="15" s="1"/>
  <c r="F27" i="20" l="1"/>
  <c r="K26" i="20"/>
  <c r="N26" i="20" s="1"/>
  <c r="F27" i="19"/>
  <c r="K26" i="19"/>
  <c r="N26" i="19" s="1"/>
  <c r="F27" i="18"/>
  <c r="K26" i="18"/>
  <c r="N26" i="18" s="1"/>
  <c r="F26" i="17"/>
  <c r="K25" i="17"/>
  <c r="N25" i="17" s="1"/>
  <c r="F27" i="16"/>
  <c r="K26" i="16"/>
  <c r="N26" i="16" s="1"/>
  <c r="K26" i="15"/>
  <c r="N26" i="15" s="1"/>
  <c r="F27" i="15"/>
  <c r="F28" i="20" l="1"/>
  <c r="K27" i="20"/>
  <c r="N27" i="20" s="1"/>
  <c r="F28" i="19"/>
  <c r="K27" i="19"/>
  <c r="N27" i="19" s="1"/>
  <c r="F28" i="18"/>
  <c r="K27" i="18"/>
  <c r="N27" i="18" s="1"/>
  <c r="F27" i="17"/>
  <c r="K26" i="17"/>
  <c r="N26" i="17" s="1"/>
  <c r="F28" i="16"/>
  <c r="K27" i="16"/>
  <c r="N27" i="16" s="1"/>
  <c r="F28" i="15"/>
  <c r="K27" i="15"/>
  <c r="N27" i="15" s="1"/>
  <c r="K28" i="20" l="1"/>
  <c r="N28" i="20" s="1"/>
  <c r="F29" i="20"/>
  <c r="K28" i="19"/>
  <c r="N28" i="19" s="1"/>
  <c r="F29" i="19"/>
  <c r="K28" i="18"/>
  <c r="N28" i="18" s="1"/>
  <c r="F29" i="18"/>
  <c r="F28" i="17"/>
  <c r="K27" i="17"/>
  <c r="N27" i="17" s="1"/>
  <c r="K28" i="16"/>
  <c r="N28" i="16" s="1"/>
  <c r="F29" i="16"/>
  <c r="K28" i="15"/>
  <c r="N28" i="15" s="1"/>
  <c r="F29" i="15"/>
  <c r="F30" i="20" l="1"/>
  <c r="K29" i="20"/>
  <c r="N29" i="20" s="1"/>
  <c r="F30" i="19"/>
  <c r="K29" i="19"/>
  <c r="N29" i="19" s="1"/>
  <c r="F30" i="18"/>
  <c r="K29" i="18"/>
  <c r="N29" i="18" s="1"/>
  <c r="K28" i="17"/>
  <c r="N28" i="17" s="1"/>
  <c r="F29" i="17"/>
  <c r="F30" i="16"/>
  <c r="K29" i="16"/>
  <c r="N29" i="16" s="1"/>
  <c r="F30" i="15"/>
  <c r="K29" i="15"/>
  <c r="N29" i="15" s="1"/>
  <c r="K30" i="20" l="1"/>
  <c r="N30" i="20" s="1"/>
  <c r="F31" i="20"/>
  <c r="K30" i="19"/>
  <c r="N30" i="19" s="1"/>
  <c r="F31" i="19"/>
  <c r="K30" i="18"/>
  <c r="N30" i="18" s="1"/>
  <c r="F31" i="18"/>
  <c r="F30" i="17"/>
  <c r="K29" i="17"/>
  <c r="N29" i="17" s="1"/>
  <c r="K30" i="16"/>
  <c r="N30" i="16" s="1"/>
  <c r="F31" i="16"/>
  <c r="K30" i="15"/>
  <c r="N30" i="15" s="1"/>
  <c r="F31" i="15"/>
  <c r="F32" i="20" l="1"/>
  <c r="K31" i="20"/>
  <c r="N31" i="20" s="1"/>
  <c r="F32" i="19"/>
  <c r="K31" i="19"/>
  <c r="N31" i="19" s="1"/>
  <c r="F32" i="18"/>
  <c r="K31" i="18"/>
  <c r="N31" i="18" s="1"/>
  <c r="K30" i="17"/>
  <c r="N30" i="17" s="1"/>
  <c r="F31" i="17"/>
  <c r="K31" i="16"/>
  <c r="N31" i="16" s="1"/>
  <c r="F32" i="16"/>
  <c r="F32" i="15"/>
  <c r="K31" i="15"/>
  <c r="N31" i="15" s="1"/>
  <c r="F33" i="20" l="1"/>
  <c r="K32" i="20"/>
  <c r="N32" i="20" s="1"/>
  <c r="F33" i="19"/>
  <c r="K32" i="19"/>
  <c r="N32" i="19" s="1"/>
  <c r="F33" i="18"/>
  <c r="K32" i="18"/>
  <c r="N32" i="18" s="1"/>
  <c r="F32" i="17"/>
  <c r="K31" i="17"/>
  <c r="N31" i="17" s="1"/>
  <c r="F33" i="16"/>
  <c r="K32" i="16"/>
  <c r="N32" i="16" s="1"/>
  <c r="F33" i="15"/>
  <c r="K32" i="15"/>
  <c r="N32" i="15" s="1"/>
  <c r="F34" i="20" l="1"/>
  <c r="K33" i="20"/>
  <c r="N33" i="20" s="1"/>
  <c r="F34" i="19"/>
  <c r="K33" i="19"/>
  <c r="N33" i="19" s="1"/>
  <c r="F34" i="18"/>
  <c r="K33" i="18"/>
  <c r="N33" i="18" s="1"/>
  <c r="F33" i="17"/>
  <c r="K32" i="17"/>
  <c r="N32" i="17" s="1"/>
  <c r="F34" i="16"/>
  <c r="K33" i="16"/>
  <c r="N33" i="16" s="1"/>
  <c r="F34" i="15"/>
  <c r="K33" i="15"/>
  <c r="N33" i="15" s="1"/>
  <c r="F35" i="20" l="1"/>
  <c r="K34" i="20"/>
  <c r="N34" i="20" s="1"/>
  <c r="F35" i="19"/>
  <c r="K34" i="19"/>
  <c r="N34" i="19" s="1"/>
  <c r="F35" i="18"/>
  <c r="K34" i="18"/>
  <c r="N34" i="18" s="1"/>
  <c r="F34" i="17"/>
  <c r="K33" i="17"/>
  <c r="N33" i="17" s="1"/>
  <c r="F35" i="16"/>
  <c r="K34" i="16"/>
  <c r="N34" i="16" s="1"/>
  <c r="K34" i="15"/>
  <c r="F36" i="15"/>
  <c r="K35" i="20" l="1"/>
  <c r="F36" i="20"/>
  <c r="K35" i="19"/>
  <c r="F36" i="19"/>
  <c r="K35" i="18"/>
  <c r="F36" i="18"/>
  <c r="F35" i="17"/>
  <c r="K34" i="17"/>
  <c r="N34" i="17" s="1"/>
  <c r="K35" i="16"/>
  <c r="F36" i="16"/>
  <c r="N34" i="15"/>
  <c r="N36" i="15" s="1"/>
  <c r="N37" i="15" s="1"/>
  <c r="A1" i="15" s="1"/>
  <c r="K36" i="15"/>
  <c r="N35" i="20" l="1"/>
  <c r="N36" i="20" s="1"/>
  <c r="N37" i="20" s="1"/>
  <c r="A1" i="20" s="1"/>
  <c r="K36" i="20"/>
  <c r="N35" i="19"/>
  <c r="N36" i="19" s="1"/>
  <c r="N37" i="19" s="1"/>
  <c r="A1" i="19" s="1"/>
  <c r="K36" i="19"/>
  <c r="N35" i="18"/>
  <c r="N36" i="18" s="1"/>
  <c r="N37" i="18" s="1"/>
  <c r="A1" i="18" s="1"/>
  <c r="K36" i="18"/>
  <c r="K35" i="17"/>
  <c r="F36" i="17"/>
  <c r="N35" i="16"/>
  <c r="N36" i="16" s="1"/>
  <c r="N37" i="16" s="1"/>
  <c r="A1" i="16" s="1"/>
  <c r="K36" i="16"/>
  <c r="N35" i="17" l="1"/>
  <c r="N36" i="17" s="1"/>
  <c r="N37" i="17" s="1"/>
  <c r="A1" i="17" s="1"/>
  <c r="K36" i="17"/>
  <c r="H36" i="14" l="1"/>
  <c r="G36" i="14"/>
  <c r="E36" i="14"/>
  <c r="D36" i="14"/>
  <c r="M35" i="14"/>
  <c r="L35" i="14"/>
  <c r="J35" i="14"/>
  <c r="I35" i="14"/>
  <c r="M34" i="14"/>
  <c r="L34" i="14"/>
  <c r="J34" i="14"/>
  <c r="I34" i="14"/>
  <c r="M33" i="14"/>
  <c r="L33" i="14"/>
  <c r="J33" i="14"/>
  <c r="I33" i="14"/>
  <c r="M32" i="14"/>
  <c r="L32" i="14"/>
  <c r="J32" i="14"/>
  <c r="I32" i="14"/>
  <c r="M31" i="14"/>
  <c r="L31" i="14"/>
  <c r="J31" i="14"/>
  <c r="I31" i="14"/>
  <c r="M30" i="14"/>
  <c r="L30" i="14"/>
  <c r="J30" i="14"/>
  <c r="I30" i="14"/>
  <c r="M29" i="14"/>
  <c r="L29" i="14"/>
  <c r="J29" i="14"/>
  <c r="I29" i="14"/>
  <c r="M28" i="14"/>
  <c r="L28" i="14"/>
  <c r="J28" i="14"/>
  <c r="I28" i="14"/>
  <c r="M27" i="14"/>
  <c r="L27" i="14"/>
  <c r="J27" i="14"/>
  <c r="I27" i="14"/>
  <c r="M26" i="14"/>
  <c r="L26" i="14"/>
  <c r="J26" i="14"/>
  <c r="I26" i="14"/>
  <c r="M25" i="14"/>
  <c r="L25" i="14"/>
  <c r="J25" i="14"/>
  <c r="I25" i="14"/>
  <c r="M24" i="14"/>
  <c r="L24" i="14"/>
  <c r="J24" i="14"/>
  <c r="I24" i="14"/>
  <c r="M23" i="14"/>
  <c r="L23" i="14"/>
  <c r="J23" i="14"/>
  <c r="I23" i="14"/>
  <c r="M22" i="14"/>
  <c r="L22" i="14"/>
  <c r="J22" i="14"/>
  <c r="I22" i="14"/>
  <c r="M21" i="14"/>
  <c r="L21" i="14"/>
  <c r="J21" i="14"/>
  <c r="I21" i="14"/>
  <c r="M20" i="14"/>
  <c r="L20" i="14"/>
  <c r="J20" i="14"/>
  <c r="I20" i="14"/>
  <c r="M19" i="14"/>
  <c r="L19" i="14"/>
  <c r="J19" i="14"/>
  <c r="I19" i="14"/>
  <c r="M18" i="14"/>
  <c r="L18" i="14"/>
  <c r="J18" i="14"/>
  <c r="I18" i="14"/>
  <c r="M17" i="14"/>
  <c r="L17" i="14"/>
  <c r="J17" i="14"/>
  <c r="I17" i="14"/>
  <c r="M16" i="14"/>
  <c r="L16" i="14"/>
  <c r="J16" i="14"/>
  <c r="I16" i="14"/>
  <c r="M15" i="14"/>
  <c r="L15" i="14"/>
  <c r="J15" i="14"/>
  <c r="I15" i="14"/>
  <c r="M14" i="14"/>
  <c r="L14" i="14"/>
  <c r="J14" i="14"/>
  <c r="I14" i="14"/>
  <c r="M13" i="14"/>
  <c r="L13" i="14"/>
  <c r="J13" i="14"/>
  <c r="I13" i="14"/>
  <c r="M12" i="14"/>
  <c r="L12" i="14"/>
  <c r="J12" i="14"/>
  <c r="I12" i="14"/>
  <c r="M11" i="14"/>
  <c r="L11" i="14"/>
  <c r="J11" i="14"/>
  <c r="I11" i="14"/>
  <c r="M10" i="14"/>
  <c r="L10" i="14"/>
  <c r="J10" i="14"/>
  <c r="I10" i="14"/>
  <c r="M9" i="14"/>
  <c r="L9" i="14"/>
  <c r="J9" i="14"/>
  <c r="I9" i="14"/>
  <c r="M8" i="14"/>
  <c r="L8" i="14"/>
  <c r="J8" i="14"/>
  <c r="I8" i="14"/>
  <c r="M7" i="14"/>
  <c r="L7" i="14"/>
  <c r="J7" i="14"/>
  <c r="I7" i="14"/>
  <c r="M6" i="14"/>
  <c r="L6" i="14"/>
  <c r="J6" i="14"/>
  <c r="J36" i="14" s="1"/>
  <c r="I6" i="14"/>
  <c r="F6" i="14"/>
  <c r="K6" i="14" s="1"/>
  <c r="M5" i="14"/>
  <c r="M36" i="14" s="1"/>
  <c r="L5" i="14"/>
  <c r="L36" i="14" s="1"/>
  <c r="K5" i="14"/>
  <c r="J5" i="14"/>
  <c r="I5" i="14"/>
  <c r="I36" i="14" s="1"/>
  <c r="A2" i="14"/>
  <c r="H36" i="13"/>
  <c r="G36" i="13"/>
  <c r="E36" i="13"/>
  <c r="D36" i="13"/>
  <c r="M35" i="13"/>
  <c r="L35" i="13"/>
  <c r="K35" i="13"/>
  <c r="N35" i="13" s="1"/>
  <c r="J35" i="13"/>
  <c r="I35" i="13"/>
  <c r="M34" i="13"/>
  <c r="L34" i="13"/>
  <c r="J34" i="13"/>
  <c r="I34" i="13"/>
  <c r="M33" i="13"/>
  <c r="L33" i="13"/>
  <c r="J33" i="13"/>
  <c r="I33" i="13"/>
  <c r="M32" i="13"/>
  <c r="L32" i="13"/>
  <c r="J32" i="13"/>
  <c r="I32" i="13"/>
  <c r="M31" i="13"/>
  <c r="L31" i="13"/>
  <c r="J31" i="13"/>
  <c r="I31" i="13"/>
  <c r="M30" i="13"/>
  <c r="L30" i="13"/>
  <c r="J30" i="13"/>
  <c r="I30" i="13"/>
  <c r="M29" i="13"/>
  <c r="L29" i="13"/>
  <c r="J29" i="13"/>
  <c r="I29" i="13"/>
  <c r="M28" i="13"/>
  <c r="L28" i="13"/>
  <c r="J28" i="13"/>
  <c r="I28" i="13"/>
  <c r="M27" i="13"/>
  <c r="L27" i="13"/>
  <c r="J27" i="13"/>
  <c r="I27" i="13"/>
  <c r="M26" i="13"/>
  <c r="L26" i="13"/>
  <c r="J26" i="13"/>
  <c r="I26" i="13"/>
  <c r="M25" i="13"/>
  <c r="L25" i="13"/>
  <c r="J25" i="13"/>
  <c r="I25" i="13"/>
  <c r="M24" i="13"/>
  <c r="L24" i="13"/>
  <c r="J24" i="13"/>
  <c r="I24" i="13"/>
  <c r="M23" i="13"/>
  <c r="L23" i="13"/>
  <c r="J23" i="13"/>
  <c r="I23" i="13"/>
  <c r="M22" i="13"/>
  <c r="L22" i="13"/>
  <c r="J22" i="13"/>
  <c r="I22" i="13"/>
  <c r="M21" i="13"/>
  <c r="L21" i="13"/>
  <c r="J21" i="13"/>
  <c r="I21" i="13"/>
  <c r="M20" i="13"/>
  <c r="L20" i="13"/>
  <c r="J20" i="13"/>
  <c r="I20" i="13"/>
  <c r="M19" i="13"/>
  <c r="L19" i="13"/>
  <c r="J19" i="13"/>
  <c r="I19" i="13"/>
  <c r="M18" i="13"/>
  <c r="L18" i="13"/>
  <c r="J18" i="13"/>
  <c r="I18" i="13"/>
  <c r="M17" i="13"/>
  <c r="L17" i="13"/>
  <c r="J17" i="13"/>
  <c r="I17" i="13"/>
  <c r="M16" i="13"/>
  <c r="L16" i="13"/>
  <c r="J16" i="13"/>
  <c r="I16" i="13"/>
  <c r="M15" i="13"/>
  <c r="L15" i="13"/>
  <c r="J15" i="13"/>
  <c r="I15" i="13"/>
  <c r="M14" i="13"/>
  <c r="L14" i="13"/>
  <c r="J14" i="13"/>
  <c r="I14" i="13"/>
  <c r="M13" i="13"/>
  <c r="L13" i="13"/>
  <c r="J13" i="13"/>
  <c r="I13" i="13"/>
  <c r="M12" i="13"/>
  <c r="L12" i="13"/>
  <c r="J12" i="13"/>
  <c r="I12" i="13"/>
  <c r="M11" i="13"/>
  <c r="L11" i="13"/>
  <c r="J11" i="13"/>
  <c r="I11" i="13"/>
  <c r="M10" i="13"/>
  <c r="L10" i="13"/>
  <c r="J10" i="13"/>
  <c r="I10" i="13"/>
  <c r="M9" i="13"/>
  <c r="L9" i="13"/>
  <c r="J9" i="13"/>
  <c r="I9" i="13"/>
  <c r="M8" i="13"/>
  <c r="L8" i="13"/>
  <c r="J8" i="13"/>
  <c r="I8" i="13"/>
  <c r="M7" i="13"/>
  <c r="L7" i="13"/>
  <c r="J7" i="13"/>
  <c r="I7" i="13"/>
  <c r="M6" i="13"/>
  <c r="L6" i="13"/>
  <c r="J6" i="13"/>
  <c r="I6" i="13"/>
  <c r="F6" i="13"/>
  <c r="F7" i="13" s="1"/>
  <c r="M5" i="13"/>
  <c r="M36" i="13" s="1"/>
  <c r="L5" i="13"/>
  <c r="N5" i="13" s="1"/>
  <c r="K5" i="13"/>
  <c r="J5" i="13"/>
  <c r="J36" i="13" s="1"/>
  <c r="I5" i="13"/>
  <c r="A2" i="13"/>
  <c r="H36" i="12"/>
  <c r="G36" i="12"/>
  <c r="E36" i="12"/>
  <c r="D36" i="12"/>
  <c r="M35" i="12"/>
  <c r="L35" i="12"/>
  <c r="K35" i="12"/>
  <c r="N35" i="12" s="1"/>
  <c r="J35" i="12"/>
  <c r="I35" i="12"/>
  <c r="M34" i="12"/>
  <c r="L34" i="12"/>
  <c r="J34" i="12"/>
  <c r="I34" i="12"/>
  <c r="M33" i="12"/>
  <c r="L33" i="12"/>
  <c r="J33" i="12"/>
  <c r="I33" i="12"/>
  <c r="M32" i="12"/>
  <c r="L32" i="12"/>
  <c r="J32" i="12"/>
  <c r="I32" i="12"/>
  <c r="M31" i="12"/>
  <c r="L31" i="12"/>
  <c r="J31" i="12"/>
  <c r="I31" i="12"/>
  <c r="M30" i="12"/>
  <c r="L30" i="12"/>
  <c r="J30" i="12"/>
  <c r="I30" i="12"/>
  <c r="M29" i="12"/>
  <c r="L29" i="12"/>
  <c r="J29" i="12"/>
  <c r="I29" i="12"/>
  <c r="M28" i="12"/>
  <c r="L28" i="12"/>
  <c r="J28" i="12"/>
  <c r="I28" i="12"/>
  <c r="M27" i="12"/>
  <c r="L27" i="12"/>
  <c r="J27" i="12"/>
  <c r="I27" i="12"/>
  <c r="M26" i="12"/>
  <c r="L26" i="12"/>
  <c r="J26" i="12"/>
  <c r="I26" i="12"/>
  <c r="M25" i="12"/>
  <c r="L25" i="12"/>
  <c r="J25" i="12"/>
  <c r="I25" i="12"/>
  <c r="M24" i="12"/>
  <c r="L24" i="12"/>
  <c r="J24" i="12"/>
  <c r="I24" i="12"/>
  <c r="M23" i="12"/>
  <c r="L23" i="12"/>
  <c r="J23" i="12"/>
  <c r="I23" i="12"/>
  <c r="M22" i="12"/>
  <c r="L22" i="12"/>
  <c r="J22" i="12"/>
  <c r="I22" i="12"/>
  <c r="M21" i="12"/>
  <c r="L21" i="12"/>
  <c r="J21" i="12"/>
  <c r="I21" i="12"/>
  <c r="M20" i="12"/>
  <c r="L20" i="12"/>
  <c r="J20" i="12"/>
  <c r="I20" i="12"/>
  <c r="M19" i="12"/>
  <c r="L19" i="12"/>
  <c r="J19" i="12"/>
  <c r="I19" i="12"/>
  <c r="M18" i="12"/>
  <c r="L18" i="12"/>
  <c r="J18" i="12"/>
  <c r="I18" i="12"/>
  <c r="M17" i="12"/>
  <c r="L17" i="12"/>
  <c r="J17" i="12"/>
  <c r="I17" i="12"/>
  <c r="M16" i="12"/>
  <c r="L16" i="12"/>
  <c r="J16" i="12"/>
  <c r="I16" i="12"/>
  <c r="M15" i="12"/>
  <c r="L15" i="12"/>
  <c r="J15" i="12"/>
  <c r="I15" i="12"/>
  <c r="M14" i="12"/>
  <c r="L14" i="12"/>
  <c r="J14" i="12"/>
  <c r="I14" i="12"/>
  <c r="M13" i="12"/>
  <c r="L13" i="12"/>
  <c r="J13" i="12"/>
  <c r="I13" i="12"/>
  <c r="M12" i="12"/>
  <c r="L12" i="12"/>
  <c r="J12" i="12"/>
  <c r="I12" i="12"/>
  <c r="M11" i="12"/>
  <c r="L11" i="12"/>
  <c r="J11" i="12"/>
  <c r="I11" i="12"/>
  <c r="M10" i="12"/>
  <c r="L10" i="12"/>
  <c r="J10" i="12"/>
  <c r="I10" i="12"/>
  <c r="M9" i="12"/>
  <c r="L9" i="12"/>
  <c r="J9" i="12"/>
  <c r="I9" i="12"/>
  <c r="M8" i="12"/>
  <c r="L8" i="12"/>
  <c r="J8" i="12"/>
  <c r="I8" i="12"/>
  <c r="M7" i="12"/>
  <c r="L7" i="12"/>
  <c r="J7" i="12"/>
  <c r="I7" i="12"/>
  <c r="M6" i="12"/>
  <c r="L6" i="12"/>
  <c r="J6" i="12"/>
  <c r="I6" i="12"/>
  <c r="F6" i="12"/>
  <c r="F7" i="12" s="1"/>
  <c r="M5" i="12"/>
  <c r="M36" i="12" s="1"/>
  <c r="L5" i="12"/>
  <c r="L36" i="12" s="1"/>
  <c r="K5" i="12"/>
  <c r="J5" i="12"/>
  <c r="J36" i="12" s="1"/>
  <c r="I5" i="12"/>
  <c r="I36" i="12" s="1"/>
  <c r="A2" i="12"/>
  <c r="N6" i="14" l="1"/>
  <c r="F7" i="14"/>
  <c r="N5" i="14"/>
  <c r="K7" i="13"/>
  <c r="N7" i="13" s="1"/>
  <c r="F8" i="13"/>
  <c r="K6" i="13"/>
  <c r="I36" i="13"/>
  <c r="L36" i="13"/>
  <c r="N6" i="12"/>
  <c r="K7" i="12"/>
  <c r="F8" i="12"/>
  <c r="N5" i="12"/>
  <c r="K6" i="12"/>
  <c r="K7" i="14" l="1"/>
  <c r="F8" i="14"/>
  <c r="N6" i="13"/>
  <c r="K8" i="13"/>
  <c r="N8" i="13" s="1"/>
  <c r="F9" i="13"/>
  <c r="K8" i="12"/>
  <c r="N8" i="12" s="1"/>
  <c r="F9" i="12"/>
  <c r="N7" i="12"/>
  <c r="F9" i="14" l="1"/>
  <c r="K8" i="14"/>
  <c r="N8" i="14" s="1"/>
  <c r="N7" i="14"/>
  <c r="F10" i="13"/>
  <c r="K9" i="13"/>
  <c r="N9" i="13" s="1"/>
  <c r="F10" i="12"/>
  <c r="K9" i="12"/>
  <c r="N9" i="12" s="1"/>
  <c r="F10" i="14" l="1"/>
  <c r="K9" i="14"/>
  <c r="F11" i="13"/>
  <c r="K10" i="13"/>
  <c r="N10" i="13" s="1"/>
  <c r="F11" i="12"/>
  <c r="K10" i="12"/>
  <c r="N10" i="12" s="1"/>
  <c r="F11" i="14" l="1"/>
  <c r="K10" i="14"/>
  <c r="N10" i="14" s="1"/>
  <c r="N9" i="14"/>
  <c r="F12" i="13"/>
  <c r="K11" i="13"/>
  <c r="N11" i="13" s="1"/>
  <c r="F12" i="12"/>
  <c r="K11" i="12"/>
  <c r="N11" i="12" s="1"/>
  <c r="K11" i="14" l="1"/>
  <c r="F12" i="14"/>
  <c r="K12" i="13"/>
  <c r="N12" i="13" s="1"/>
  <c r="F13" i="13"/>
  <c r="F13" i="12"/>
  <c r="K12" i="12"/>
  <c r="N12" i="12" s="1"/>
  <c r="K12" i="14" l="1"/>
  <c r="N12" i="14" s="1"/>
  <c r="F13" i="14"/>
  <c r="N11" i="14"/>
  <c r="F14" i="13"/>
  <c r="K13" i="13"/>
  <c r="N13" i="13" s="1"/>
  <c r="F14" i="12"/>
  <c r="K13" i="12"/>
  <c r="N13" i="12" s="1"/>
  <c r="F14" i="14" l="1"/>
  <c r="K13" i="14"/>
  <c r="N13" i="14" s="1"/>
  <c r="K14" i="13"/>
  <c r="N14" i="13" s="1"/>
  <c r="F15" i="13"/>
  <c r="K14" i="12"/>
  <c r="N14" i="12" s="1"/>
  <c r="F15" i="12"/>
  <c r="K14" i="14" l="1"/>
  <c r="N14" i="14" s="1"/>
  <c r="F15" i="14"/>
  <c r="K15" i="13"/>
  <c r="N15" i="13" s="1"/>
  <c r="F16" i="13"/>
  <c r="F16" i="12"/>
  <c r="K15" i="12"/>
  <c r="N15" i="12" s="1"/>
  <c r="K15" i="14" l="1"/>
  <c r="N15" i="14" s="1"/>
  <c r="F16" i="14"/>
  <c r="F17" i="13"/>
  <c r="K16" i="13"/>
  <c r="N16" i="13" s="1"/>
  <c r="K16" i="12"/>
  <c r="N16" i="12" s="1"/>
  <c r="F17" i="12"/>
  <c r="F17" i="14" l="1"/>
  <c r="K16" i="14"/>
  <c r="N16" i="14" s="1"/>
  <c r="K17" i="13"/>
  <c r="N17" i="13" s="1"/>
  <c r="F18" i="13"/>
  <c r="K17" i="12"/>
  <c r="N17" i="12" s="1"/>
  <c r="F18" i="12"/>
  <c r="F18" i="14" l="1"/>
  <c r="K17" i="14"/>
  <c r="N17" i="14" s="1"/>
  <c r="F19" i="13"/>
  <c r="K18" i="13"/>
  <c r="N18" i="13" s="1"/>
  <c r="F19" i="12"/>
  <c r="K18" i="12"/>
  <c r="N18" i="12" s="1"/>
  <c r="F19" i="14" l="1"/>
  <c r="K18" i="14"/>
  <c r="N18" i="14" s="1"/>
  <c r="F20" i="13"/>
  <c r="K19" i="13"/>
  <c r="N19" i="13" s="1"/>
  <c r="K19" i="12"/>
  <c r="N19" i="12" s="1"/>
  <c r="F20" i="12"/>
  <c r="F20" i="14" l="1"/>
  <c r="K19" i="14"/>
  <c r="N19" i="14" s="1"/>
  <c r="F21" i="13"/>
  <c r="K20" i="13"/>
  <c r="N20" i="13" s="1"/>
  <c r="F21" i="12"/>
  <c r="K20" i="12"/>
  <c r="N20" i="12" s="1"/>
  <c r="F21" i="14" l="1"/>
  <c r="K20" i="14"/>
  <c r="N20" i="14" s="1"/>
  <c r="K21" i="13"/>
  <c r="N21" i="13" s="1"/>
  <c r="F22" i="13"/>
  <c r="K21" i="12"/>
  <c r="N21" i="12" s="1"/>
  <c r="F22" i="12"/>
  <c r="K21" i="14" l="1"/>
  <c r="N21" i="14" s="1"/>
  <c r="F22" i="14"/>
  <c r="K22" i="13"/>
  <c r="N22" i="13" s="1"/>
  <c r="F23" i="13"/>
  <c r="F23" i="12"/>
  <c r="K22" i="12"/>
  <c r="N22" i="12" s="1"/>
  <c r="K22" i="14" l="1"/>
  <c r="N22" i="14" s="1"/>
  <c r="F23" i="14"/>
  <c r="F24" i="13"/>
  <c r="K23" i="13"/>
  <c r="N23" i="13" s="1"/>
  <c r="K23" i="12"/>
  <c r="N23" i="12" s="1"/>
  <c r="F24" i="12"/>
  <c r="F24" i="14" l="1"/>
  <c r="K23" i="14"/>
  <c r="N23" i="14" s="1"/>
  <c r="F25" i="13"/>
  <c r="K24" i="13"/>
  <c r="N24" i="13" s="1"/>
  <c r="F25" i="12"/>
  <c r="K24" i="12"/>
  <c r="N24" i="12" s="1"/>
  <c r="F25" i="14" l="1"/>
  <c r="K24" i="14"/>
  <c r="N24" i="14" s="1"/>
  <c r="F26" i="13"/>
  <c r="K25" i="13"/>
  <c r="N25" i="13" s="1"/>
  <c r="F26" i="12"/>
  <c r="K25" i="12"/>
  <c r="N25" i="12" s="1"/>
  <c r="F26" i="14" l="1"/>
  <c r="K25" i="14"/>
  <c r="N25" i="14" s="1"/>
  <c r="F27" i="13"/>
  <c r="K26" i="13"/>
  <c r="N26" i="13" s="1"/>
  <c r="F27" i="12"/>
  <c r="K26" i="12"/>
  <c r="N26" i="12" s="1"/>
  <c r="F27" i="14" l="1"/>
  <c r="K26" i="14"/>
  <c r="N26" i="14" s="1"/>
  <c r="K27" i="13"/>
  <c r="N27" i="13" s="1"/>
  <c r="F28" i="13"/>
  <c r="F28" i="12"/>
  <c r="K27" i="12"/>
  <c r="N27" i="12" s="1"/>
  <c r="F28" i="14" l="1"/>
  <c r="K27" i="14"/>
  <c r="N27" i="14" s="1"/>
  <c r="K28" i="13"/>
  <c r="N28" i="13" s="1"/>
  <c r="F29" i="13"/>
  <c r="F29" i="12"/>
  <c r="K28" i="12"/>
  <c r="N28" i="12" s="1"/>
  <c r="K28" i="14" l="1"/>
  <c r="N28" i="14" s="1"/>
  <c r="F29" i="14"/>
  <c r="F30" i="13"/>
  <c r="K29" i="13"/>
  <c r="N29" i="13" s="1"/>
  <c r="F30" i="12"/>
  <c r="K29" i="12"/>
  <c r="N29" i="12" s="1"/>
  <c r="K29" i="14" l="1"/>
  <c r="N29" i="14" s="1"/>
  <c r="F30" i="14"/>
  <c r="K30" i="13"/>
  <c r="N30" i="13" s="1"/>
  <c r="F31" i="13"/>
  <c r="K30" i="12"/>
  <c r="N30" i="12" s="1"/>
  <c r="F31" i="12"/>
  <c r="K30" i="14" l="1"/>
  <c r="N30" i="14" s="1"/>
  <c r="F31" i="14"/>
  <c r="F32" i="13"/>
  <c r="K31" i="13"/>
  <c r="N31" i="13" s="1"/>
  <c r="K31" i="12"/>
  <c r="N31" i="12" s="1"/>
  <c r="F32" i="12"/>
  <c r="F32" i="14" l="1"/>
  <c r="K31" i="14"/>
  <c r="N31" i="14" s="1"/>
  <c r="K32" i="13"/>
  <c r="N32" i="13" s="1"/>
  <c r="F33" i="13"/>
  <c r="K32" i="12"/>
  <c r="N32" i="12" s="1"/>
  <c r="F33" i="12"/>
  <c r="F33" i="14" l="1"/>
  <c r="K32" i="14"/>
  <c r="N32" i="14" s="1"/>
  <c r="F34" i="13"/>
  <c r="K33" i="13"/>
  <c r="N33" i="13" s="1"/>
  <c r="F34" i="12"/>
  <c r="K33" i="12"/>
  <c r="N33" i="12" s="1"/>
  <c r="F34" i="14" l="1"/>
  <c r="K33" i="14"/>
  <c r="N33" i="14" s="1"/>
  <c r="K34" i="13"/>
  <c r="F36" i="13"/>
  <c r="K34" i="12"/>
  <c r="F36" i="12"/>
  <c r="F35" i="14" l="1"/>
  <c r="K34" i="14"/>
  <c r="N34" i="14" s="1"/>
  <c r="N34" i="13"/>
  <c r="N36" i="13" s="1"/>
  <c r="N37" i="13" s="1"/>
  <c r="A1" i="13" s="1"/>
  <c r="K36" i="13"/>
  <c r="N34" i="12"/>
  <c r="N36" i="12" s="1"/>
  <c r="N37" i="12" s="1"/>
  <c r="A1" i="12" s="1"/>
  <c r="K36" i="12"/>
  <c r="K35" i="14" l="1"/>
  <c r="F36" i="14"/>
  <c r="N35" i="14" l="1"/>
  <c r="N36" i="14" s="1"/>
  <c r="N37" i="14" s="1"/>
  <c r="A1" i="14" s="1"/>
  <c r="K36" i="14"/>
  <c r="H36" i="11" l="1"/>
  <c r="G36" i="11"/>
  <c r="E36" i="11"/>
  <c r="D36" i="11"/>
  <c r="M35" i="11"/>
  <c r="L35" i="11"/>
  <c r="J35" i="11"/>
  <c r="I35" i="11"/>
  <c r="M34" i="11"/>
  <c r="L34" i="11"/>
  <c r="J34" i="11"/>
  <c r="I34" i="11"/>
  <c r="M33" i="11"/>
  <c r="L33" i="11"/>
  <c r="J33" i="11"/>
  <c r="I33" i="11"/>
  <c r="M32" i="11"/>
  <c r="L32" i="11"/>
  <c r="J32" i="11"/>
  <c r="I32" i="11"/>
  <c r="M31" i="11"/>
  <c r="L31" i="11"/>
  <c r="J31" i="11"/>
  <c r="I31" i="11"/>
  <c r="M30" i="11"/>
  <c r="L30" i="11"/>
  <c r="J30" i="11"/>
  <c r="I30" i="11"/>
  <c r="M29" i="11"/>
  <c r="L29" i="11"/>
  <c r="J29" i="11"/>
  <c r="I29" i="11"/>
  <c r="M28" i="11"/>
  <c r="L28" i="11"/>
  <c r="J28" i="11"/>
  <c r="I28" i="11"/>
  <c r="M27" i="11"/>
  <c r="L27" i="11"/>
  <c r="J27" i="11"/>
  <c r="I27" i="11"/>
  <c r="M26" i="11"/>
  <c r="L26" i="11"/>
  <c r="J26" i="11"/>
  <c r="I26" i="11"/>
  <c r="M25" i="11"/>
  <c r="L25" i="11"/>
  <c r="J25" i="11"/>
  <c r="I25" i="11"/>
  <c r="M24" i="11"/>
  <c r="L24" i="11"/>
  <c r="J24" i="11"/>
  <c r="I24" i="11"/>
  <c r="M23" i="11"/>
  <c r="L23" i="11"/>
  <c r="J23" i="11"/>
  <c r="I23" i="11"/>
  <c r="M22" i="11"/>
  <c r="L22" i="11"/>
  <c r="J22" i="11"/>
  <c r="I22" i="11"/>
  <c r="M21" i="11"/>
  <c r="L21" i="11"/>
  <c r="J21" i="11"/>
  <c r="I21" i="11"/>
  <c r="M20" i="11"/>
  <c r="L20" i="11"/>
  <c r="J20" i="11"/>
  <c r="I20" i="11"/>
  <c r="M19" i="11"/>
  <c r="L19" i="11"/>
  <c r="J19" i="11"/>
  <c r="I19" i="11"/>
  <c r="M18" i="11"/>
  <c r="L18" i="11"/>
  <c r="J18" i="11"/>
  <c r="I18" i="11"/>
  <c r="M17" i="11"/>
  <c r="L17" i="11"/>
  <c r="J17" i="11"/>
  <c r="I17" i="11"/>
  <c r="M16" i="11"/>
  <c r="L16" i="11"/>
  <c r="J16" i="11"/>
  <c r="I16" i="11"/>
  <c r="M15" i="11"/>
  <c r="L15" i="11"/>
  <c r="J15" i="11"/>
  <c r="I15" i="11"/>
  <c r="M14" i="11"/>
  <c r="L14" i="11"/>
  <c r="J14" i="11"/>
  <c r="I14" i="11"/>
  <c r="M13" i="11"/>
  <c r="L13" i="11"/>
  <c r="J13" i="11"/>
  <c r="I13" i="11"/>
  <c r="M12" i="11"/>
  <c r="L12" i="11"/>
  <c r="J12" i="11"/>
  <c r="I12" i="11"/>
  <c r="M11" i="11"/>
  <c r="L11" i="11"/>
  <c r="J11" i="11"/>
  <c r="I11" i="11"/>
  <c r="M10" i="11"/>
  <c r="L10" i="11"/>
  <c r="J10" i="11"/>
  <c r="I10" i="11"/>
  <c r="M9" i="11"/>
  <c r="L9" i="11"/>
  <c r="J9" i="11"/>
  <c r="I9" i="11"/>
  <c r="M8" i="11"/>
  <c r="L8" i="11"/>
  <c r="J8" i="11"/>
  <c r="I8" i="11"/>
  <c r="M7" i="11"/>
  <c r="L7" i="11"/>
  <c r="J7" i="11"/>
  <c r="I7" i="11"/>
  <c r="M6" i="11"/>
  <c r="L6" i="11"/>
  <c r="J6" i="11"/>
  <c r="I6" i="11"/>
  <c r="I36" i="11" s="1"/>
  <c r="F6" i="11"/>
  <c r="F7" i="11" s="1"/>
  <c r="M5" i="11"/>
  <c r="M36" i="11" s="1"/>
  <c r="L5" i="11"/>
  <c r="L36" i="11" s="1"/>
  <c r="K5" i="11"/>
  <c r="J5" i="11"/>
  <c r="J36" i="11" s="1"/>
  <c r="I5" i="11"/>
  <c r="A2" i="11"/>
  <c r="H36" i="10"/>
  <c r="G36" i="10"/>
  <c r="E36" i="10"/>
  <c r="D36" i="10"/>
  <c r="M35" i="10"/>
  <c r="L35" i="10"/>
  <c r="K35" i="10"/>
  <c r="N35" i="10" s="1"/>
  <c r="J35" i="10"/>
  <c r="I35" i="10"/>
  <c r="M34" i="10"/>
  <c r="L34" i="10"/>
  <c r="J34" i="10"/>
  <c r="I34" i="10"/>
  <c r="M33" i="10"/>
  <c r="L33" i="10"/>
  <c r="J33" i="10"/>
  <c r="I33" i="10"/>
  <c r="M32" i="10"/>
  <c r="L32" i="10"/>
  <c r="J32" i="10"/>
  <c r="I32" i="10"/>
  <c r="M31" i="10"/>
  <c r="L31" i="10"/>
  <c r="J31" i="10"/>
  <c r="I31" i="10"/>
  <c r="M30" i="10"/>
  <c r="L30" i="10"/>
  <c r="J30" i="10"/>
  <c r="I30" i="10"/>
  <c r="M29" i="10"/>
  <c r="L29" i="10"/>
  <c r="J29" i="10"/>
  <c r="I29" i="10"/>
  <c r="M28" i="10"/>
  <c r="L28" i="10"/>
  <c r="J28" i="10"/>
  <c r="I28" i="10"/>
  <c r="M27" i="10"/>
  <c r="L27" i="10"/>
  <c r="J27" i="10"/>
  <c r="I27" i="10"/>
  <c r="M26" i="10"/>
  <c r="L26" i="10"/>
  <c r="J26" i="10"/>
  <c r="I26" i="10"/>
  <c r="M25" i="10"/>
  <c r="L25" i="10"/>
  <c r="J25" i="10"/>
  <c r="I25" i="10"/>
  <c r="M24" i="10"/>
  <c r="L24" i="10"/>
  <c r="J24" i="10"/>
  <c r="I24" i="10"/>
  <c r="M23" i="10"/>
  <c r="L23" i="10"/>
  <c r="J23" i="10"/>
  <c r="I23" i="10"/>
  <c r="M22" i="10"/>
  <c r="L22" i="10"/>
  <c r="J22" i="10"/>
  <c r="I22" i="10"/>
  <c r="M21" i="10"/>
  <c r="L21" i="10"/>
  <c r="J21" i="10"/>
  <c r="I21" i="10"/>
  <c r="M20" i="10"/>
  <c r="L20" i="10"/>
  <c r="J20" i="10"/>
  <c r="I20" i="10"/>
  <c r="M19" i="10"/>
  <c r="L19" i="10"/>
  <c r="J19" i="10"/>
  <c r="I19" i="10"/>
  <c r="M18" i="10"/>
  <c r="L18" i="10"/>
  <c r="J18" i="10"/>
  <c r="I18" i="10"/>
  <c r="M17" i="10"/>
  <c r="L17" i="10"/>
  <c r="J17" i="10"/>
  <c r="I17" i="10"/>
  <c r="M16" i="10"/>
  <c r="L16" i="10"/>
  <c r="J16" i="10"/>
  <c r="I16" i="10"/>
  <c r="M15" i="10"/>
  <c r="L15" i="10"/>
  <c r="J15" i="10"/>
  <c r="I15" i="10"/>
  <c r="M14" i="10"/>
  <c r="L14" i="10"/>
  <c r="J14" i="10"/>
  <c r="I14" i="10"/>
  <c r="M13" i="10"/>
  <c r="L13" i="10"/>
  <c r="J13" i="10"/>
  <c r="I13" i="10"/>
  <c r="M12" i="10"/>
  <c r="L12" i="10"/>
  <c r="J12" i="10"/>
  <c r="I12" i="10"/>
  <c r="M11" i="10"/>
  <c r="L11" i="10"/>
  <c r="J11" i="10"/>
  <c r="I11" i="10"/>
  <c r="M10" i="10"/>
  <c r="L10" i="10"/>
  <c r="J10" i="10"/>
  <c r="I10" i="10"/>
  <c r="M9" i="10"/>
  <c r="L9" i="10"/>
  <c r="J9" i="10"/>
  <c r="I9" i="10"/>
  <c r="M8" i="10"/>
  <c r="L8" i="10"/>
  <c r="J8" i="10"/>
  <c r="I8" i="10"/>
  <c r="M7" i="10"/>
  <c r="L7" i="10"/>
  <c r="J7" i="10"/>
  <c r="I7" i="10"/>
  <c r="M6" i="10"/>
  <c r="L6" i="10"/>
  <c r="J6" i="10"/>
  <c r="I6" i="10"/>
  <c r="I36" i="10" s="1"/>
  <c r="F6" i="10"/>
  <c r="F7" i="10" s="1"/>
  <c r="M5" i="10"/>
  <c r="M36" i="10" s="1"/>
  <c r="L5" i="10"/>
  <c r="L36" i="10" s="1"/>
  <c r="K5" i="10"/>
  <c r="J5" i="10"/>
  <c r="J36" i="10" s="1"/>
  <c r="I5" i="10"/>
  <c r="A2" i="10"/>
  <c r="H36" i="9"/>
  <c r="G36" i="9"/>
  <c r="E36" i="9"/>
  <c r="D36" i="9"/>
  <c r="M35" i="9"/>
  <c r="L35" i="9"/>
  <c r="J35" i="9"/>
  <c r="I35" i="9"/>
  <c r="M34" i="9"/>
  <c r="L34" i="9"/>
  <c r="J34" i="9"/>
  <c r="I34" i="9"/>
  <c r="M33" i="9"/>
  <c r="L33" i="9"/>
  <c r="J33" i="9"/>
  <c r="I33" i="9"/>
  <c r="M32" i="9"/>
  <c r="L32" i="9"/>
  <c r="J32" i="9"/>
  <c r="I32" i="9"/>
  <c r="M31" i="9"/>
  <c r="L31" i="9"/>
  <c r="J31" i="9"/>
  <c r="I31" i="9"/>
  <c r="M30" i="9"/>
  <c r="L30" i="9"/>
  <c r="J30" i="9"/>
  <c r="I30" i="9"/>
  <c r="M29" i="9"/>
  <c r="L29" i="9"/>
  <c r="J29" i="9"/>
  <c r="I29" i="9"/>
  <c r="M28" i="9"/>
  <c r="L28" i="9"/>
  <c r="J28" i="9"/>
  <c r="I28" i="9"/>
  <c r="M27" i="9"/>
  <c r="L27" i="9"/>
  <c r="J27" i="9"/>
  <c r="I27" i="9"/>
  <c r="M26" i="9"/>
  <c r="L26" i="9"/>
  <c r="J26" i="9"/>
  <c r="I26" i="9"/>
  <c r="M25" i="9"/>
  <c r="L25" i="9"/>
  <c r="J25" i="9"/>
  <c r="I25" i="9"/>
  <c r="M24" i="9"/>
  <c r="L24" i="9"/>
  <c r="J24" i="9"/>
  <c r="I24" i="9"/>
  <c r="M23" i="9"/>
  <c r="L23" i="9"/>
  <c r="J23" i="9"/>
  <c r="I23" i="9"/>
  <c r="M22" i="9"/>
  <c r="L22" i="9"/>
  <c r="J22" i="9"/>
  <c r="I22" i="9"/>
  <c r="M21" i="9"/>
  <c r="L21" i="9"/>
  <c r="J21" i="9"/>
  <c r="I21" i="9"/>
  <c r="M20" i="9"/>
  <c r="L20" i="9"/>
  <c r="J20" i="9"/>
  <c r="I20" i="9"/>
  <c r="M19" i="9"/>
  <c r="L19" i="9"/>
  <c r="J19" i="9"/>
  <c r="I19" i="9"/>
  <c r="M18" i="9"/>
  <c r="L18" i="9"/>
  <c r="J18" i="9"/>
  <c r="I18" i="9"/>
  <c r="M17" i="9"/>
  <c r="L17" i="9"/>
  <c r="J17" i="9"/>
  <c r="I17" i="9"/>
  <c r="M16" i="9"/>
  <c r="L16" i="9"/>
  <c r="J16" i="9"/>
  <c r="I16" i="9"/>
  <c r="M15" i="9"/>
  <c r="L15" i="9"/>
  <c r="J15" i="9"/>
  <c r="I15" i="9"/>
  <c r="M14" i="9"/>
  <c r="L14" i="9"/>
  <c r="J14" i="9"/>
  <c r="I14" i="9"/>
  <c r="M13" i="9"/>
  <c r="L13" i="9"/>
  <c r="J13" i="9"/>
  <c r="I13" i="9"/>
  <c r="M12" i="9"/>
  <c r="L12" i="9"/>
  <c r="J12" i="9"/>
  <c r="I12" i="9"/>
  <c r="M11" i="9"/>
  <c r="L11" i="9"/>
  <c r="J11" i="9"/>
  <c r="I11" i="9"/>
  <c r="M10" i="9"/>
  <c r="L10" i="9"/>
  <c r="J10" i="9"/>
  <c r="I10" i="9"/>
  <c r="M9" i="9"/>
  <c r="L9" i="9"/>
  <c r="J9" i="9"/>
  <c r="I9" i="9"/>
  <c r="M8" i="9"/>
  <c r="L8" i="9"/>
  <c r="J8" i="9"/>
  <c r="I8" i="9"/>
  <c r="M7" i="9"/>
  <c r="L7" i="9"/>
  <c r="J7" i="9"/>
  <c r="I7" i="9"/>
  <c r="M6" i="9"/>
  <c r="L6" i="9"/>
  <c r="J6" i="9"/>
  <c r="I6" i="9"/>
  <c r="F6" i="9"/>
  <c r="F7" i="9" s="1"/>
  <c r="N5" i="9"/>
  <c r="M5" i="9"/>
  <c r="M36" i="9" s="1"/>
  <c r="L5" i="9"/>
  <c r="L36" i="9" s="1"/>
  <c r="K5" i="9"/>
  <c r="J5" i="9"/>
  <c r="J36" i="9" s="1"/>
  <c r="I5" i="9"/>
  <c r="I36" i="9" s="1"/>
  <c r="A2" i="9"/>
  <c r="H36" i="8"/>
  <c r="G36" i="8"/>
  <c r="E36" i="8"/>
  <c r="D36" i="8"/>
  <c r="M35" i="8"/>
  <c r="L35" i="8"/>
  <c r="J35" i="8"/>
  <c r="I35" i="8"/>
  <c r="M34" i="8"/>
  <c r="L34" i="8"/>
  <c r="J34" i="8"/>
  <c r="I34" i="8"/>
  <c r="M33" i="8"/>
  <c r="L33" i="8"/>
  <c r="J33" i="8"/>
  <c r="I33" i="8"/>
  <c r="M32" i="8"/>
  <c r="L32" i="8"/>
  <c r="J32" i="8"/>
  <c r="I32" i="8"/>
  <c r="M31" i="8"/>
  <c r="L31" i="8"/>
  <c r="J31" i="8"/>
  <c r="I31" i="8"/>
  <c r="M30" i="8"/>
  <c r="L30" i="8"/>
  <c r="J30" i="8"/>
  <c r="I30" i="8"/>
  <c r="M29" i="8"/>
  <c r="L29" i="8"/>
  <c r="J29" i="8"/>
  <c r="I29" i="8"/>
  <c r="M28" i="8"/>
  <c r="L28" i="8"/>
  <c r="J28" i="8"/>
  <c r="I28" i="8"/>
  <c r="M27" i="8"/>
  <c r="L27" i="8"/>
  <c r="J27" i="8"/>
  <c r="I27" i="8"/>
  <c r="M26" i="8"/>
  <c r="L26" i="8"/>
  <c r="J26" i="8"/>
  <c r="I26" i="8"/>
  <c r="M25" i="8"/>
  <c r="L25" i="8"/>
  <c r="J25" i="8"/>
  <c r="I25" i="8"/>
  <c r="M24" i="8"/>
  <c r="L24" i="8"/>
  <c r="J24" i="8"/>
  <c r="I24" i="8"/>
  <c r="M23" i="8"/>
  <c r="L23" i="8"/>
  <c r="J23" i="8"/>
  <c r="I23" i="8"/>
  <c r="M22" i="8"/>
  <c r="L22" i="8"/>
  <c r="J22" i="8"/>
  <c r="I22" i="8"/>
  <c r="M21" i="8"/>
  <c r="L21" i="8"/>
  <c r="J21" i="8"/>
  <c r="I21" i="8"/>
  <c r="M20" i="8"/>
  <c r="L20" i="8"/>
  <c r="J20" i="8"/>
  <c r="I20" i="8"/>
  <c r="M19" i="8"/>
  <c r="L19" i="8"/>
  <c r="J19" i="8"/>
  <c r="I19" i="8"/>
  <c r="M18" i="8"/>
  <c r="L18" i="8"/>
  <c r="J18" i="8"/>
  <c r="I18" i="8"/>
  <c r="M17" i="8"/>
  <c r="L17" i="8"/>
  <c r="J17" i="8"/>
  <c r="I17" i="8"/>
  <c r="M16" i="8"/>
  <c r="L16" i="8"/>
  <c r="J16" i="8"/>
  <c r="I16" i="8"/>
  <c r="M15" i="8"/>
  <c r="L15" i="8"/>
  <c r="J15" i="8"/>
  <c r="I15" i="8"/>
  <c r="M14" i="8"/>
  <c r="L14" i="8"/>
  <c r="J14" i="8"/>
  <c r="I14" i="8"/>
  <c r="M13" i="8"/>
  <c r="L13" i="8"/>
  <c r="J13" i="8"/>
  <c r="I13" i="8"/>
  <c r="M12" i="8"/>
  <c r="L12" i="8"/>
  <c r="J12" i="8"/>
  <c r="I12" i="8"/>
  <c r="M11" i="8"/>
  <c r="L11" i="8"/>
  <c r="J11" i="8"/>
  <c r="I11" i="8"/>
  <c r="M10" i="8"/>
  <c r="L10" i="8"/>
  <c r="J10" i="8"/>
  <c r="I10" i="8"/>
  <c r="M9" i="8"/>
  <c r="L9" i="8"/>
  <c r="J9" i="8"/>
  <c r="I9" i="8"/>
  <c r="M8" i="8"/>
  <c r="L8" i="8"/>
  <c r="J8" i="8"/>
  <c r="I8" i="8"/>
  <c r="M7" i="8"/>
  <c r="L7" i="8"/>
  <c r="J7" i="8"/>
  <c r="I7" i="8"/>
  <c r="M6" i="8"/>
  <c r="L6" i="8"/>
  <c r="J6" i="8"/>
  <c r="J36" i="8" s="1"/>
  <c r="I6" i="8"/>
  <c r="I36" i="8" s="1"/>
  <c r="F6" i="8"/>
  <c r="F7" i="8" s="1"/>
  <c r="M5" i="8"/>
  <c r="M36" i="8" s="1"/>
  <c r="L5" i="8"/>
  <c r="L36" i="8" s="1"/>
  <c r="K5" i="8"/>
  <c r="J5" i="8"/>
  <c r="I5" i="8"/>
  <c r="A2" i="8"/>
  <c r="H36" i="7"/>
  <c r="G36" i="7"/>
  <c r="E36" i="7"/>
  <c r="D36" i="7"/>
  <c r="M35" i="7"/>
  <c r="L35" i="7"/>
  <c r="J35" i="7"/>
  <c r="I35" i="7"/>
  <c r="M34" i="7"/>
  <c r="L34" i="7"/>
  <c r="J34" i="7"/>
  <c r="I34" i="7"/>
  <c r="M33" i="7"/>
  <c r="L33" i="7"/>
  <c r="J33" i="7"/>
  <c r="I33" i="7"/>
  <c r="M32" i="7"/>
  <c r="L32" i="7"/>
  <c r="J32" i="7"/>
  <c r="I32" i="7"/>
  <c r="M31" i="7"/>
  <c r="L31" i="7"/>
  <c r="J31" i="7"/>
  <c r="I31" i="7"/>
  <c r="M30" i="7"/>
  <c r="L30" i="7"/>
  <c r="J30" i="7"/>
  <c r="I30" i="7"/>
  <c r="M29" i="7"/>
  <c r="L29" i="7"/>
  <c r="J29" i="7"/>
  <c r="I29" i="7"/>
  <c r="M28" i="7"/>
  <c r="L28" i="7"/>
  <c r="J28" i="7"/>
  <c r="I28" i="7"/>
  <c r="M27" i="7"/>
  <c r="L27" i="7"/>
  <c r="J27" i="7"/>
  <c r="I27" i="7"/>
  <c r="M26" i="7"/>
  <c r="L26" i="7"/>
  <c r="J26" i="7"/>
  <c r="I26" i="7"/>
  <c r="M25" i="7"/>
  <c r="L25" i="7"/>
  <c r="J25" i="7"/>
  <c r="I25" i="7"/>
  <c r="M24" i="7"/>
  <c r="L24" i="7"/>
  <c r="J24" i="7"/>
  <c r="I24" i="7"/>
  <c r="M23" i="7"/>
  <c r="L23" i="7"/>
  <c r="J23" i="7"/>
  <c r="I23" i="7"/>
  <c r="M22" i="7"/>
  <c r="L22" i="7"/>
  <c r="J22" i="7"/>
  <c r="I22" i="7"/>
  <c r="M21" i="7"/>
  <c r="L21" i="7"/>
  <c r="J21" i="7"/>
  <c r="I21" i="7"/>
  <c r="M20" i="7"/>
  <c r="L20" i="7"/>
  <c r="J20" i="7"/>
  <c r="I20" i="7"/>
  <c r="M19" i="7"/>
  <c r="L19" i="7"/>
  <c r="J19" i="7"/>
  <c r="I19" i="7"/>
  <c r="M18" i="7"/>
  <c r="L18" i="7"/>
  <c r="J18" i="7"/>
  <c r="I18" i="7"/>
  <c r="M17" i="7"/>
  <c r="L17" i="7"/>
  <c r="J17" i="7"/>
  <c r="I17" i="7"/>
  <c r="M16" i="7"/>
  <c r="L16" i="7"/>
  <c r="J16" i="7"/>
  <c r="I16" i="7"/>
  <c r="M15" i="7"/>
  <c r="L15" i="7"/>
  <c r="J15" i="7"/>
  <c r="I15" i="7"/>
  <c r="M14" i="7"/>
  <c r="L14" i="7"/>
  <c r="J14" i="7"/>
  <c r="I14" i="7"/>
  <c r="M13" i="7"/>
  <c r="L13" i="7"/>
  <c r="J13" i="7"/>
  <c r="I13" i="7"/>
  <c r="M12" i="7"/>
  <c r="L12" i="7"/>
  <c r="J12" i="7"/>
  <c r="I12" i="7"/>
  <c r="M11" i="7"/>
  <c r="L11" i="7"/>
  <c r="J11" i="7"/>
  <c r="I11" i="7"/>
  <c r="M10" i="7"/>
  <c r="L10" i="7"/>
  <c r="J10" i="7"/>
  <c r="I10" i="7"/>
  <c r="M9" i="7"/>
  <c r="L9" i="7"/>
  <c r="J9" i="7"/>
  <c r="I9" i="7"/>
  <c r="M8" i="7"/>
  <c r="L8" i="7"/>
  <c r="L36" i="7" s="1"/>
  <c r="J8" i="7"/>
  <c r="I8" i="7"/>
  <c r="M7" i="7"/>
  <c r="M36" i="7" s="1"/>
  <c r="L7" i="7"/>
  <c r="J7" i="7"/>
  <c r="I7" i="7"/>
  <c r="M6" i="7"/>
  <c r="L6" i="7"/>
  <c r="K6" i="7"/>
  <c r="J6" i="7"/>
  <c r="I6" i="7"/>
  <c r="N6" i="7" s="1"/>
  <c r="F6" i="7"/>
  <c r="F7" i="7" s="1"/>
  <c r="M5" i="7"/>
  <c r="L5" i="7"/>
  <c r="K5" i="7"/>
  <c r="J5" i="7"/>
  <c r="J36" i="7" s="1"/>
  <c r="I5" i="7"/>
  <c r="I36" i="7" s="1"/>
  <c r="F5" i="7"/>
  <c r="A2" i="7"/>
  <c r="F8" i="11" l="1"/>
  <c r="K7" i="11"/>
  <c r="N7" i="11"/>
  <c r="N5" i="11"/>
  <c r="K6" i="11"/>
  <c r="N6" i="11"/>
  <c r="K7" i="10"/>
  <c r="N7" i="10" s="1"/>
  <c r="F8" i="10"/>
  <c r="N5" i="10"/>
  <c r="K6" i="10"/>
  <c r="N6" i="10"/>
  <c r="K7" i="9"/>
  <c r="F8" i="9"/>
  <c r="N7" i="9"/>
  <c r="K6" i="9"/>
  <c r="F8" i="8"/>
  <c r="K7" i="8"/>
  <c r="N7" i="8"/>
  <c r="N5" i="8"/>
  <c r="K6" i="8"/>
  <c r="N6" i="8"/>
  <c r="K7" i="7"/>
  <c r="N7" i="7" s="1"/>
  <c r="F8" i="7"/>
  <c r="N5" i="7"/>
  <c r="F9" i="11" l="1"/>
  <c r="K8" i="11"/>
  <c r="N8" i="11" s="1"/>
  <c r="F9" i="10"/>
  <c r="K8" i="10"/>
  <c r="N8" i="10" s="1"/>
  <c r="N6" i="9"/>
  <c r="F9" i="9"/>
  <c r="K8" i="9"/>
  <c r="N8" i="9" s="1"/>
  <c r="F9" i="8"/>
  <c r="K8" i="8"/>
  <c r="N8" i="8" s="1"/>
  <c r="F9" i="7"/>
  <c r="K8" i="7"/>
  <c r="N8" i="7" s="1"/>
  <c r="F10" i="11" l="1"/>
  <c r="K9" i="11"/>
  <c r="N9" i="11" s="1"/>
  <c r="F10" i="10"/>
  <c r="K9" i="10"/>
  <c r="N9" i="10" s="1"/>
  <c r="F10" i="9"/>
  <c r="K9" i="9"/>
  <c r="N9" i="9" s="1"/>
  <c r="F10" i="8"/>
  <c r="K9" i="8"/>
  <c r="N9" i="8" s="1"/>
  <c r="F10" i="7"/>
  <c r="K9" i="7"/>
  <c r="N9" i="7" s="1"/>
  <c r="F11" i="11" l="1"/>
  <c r="K10" i="11"/>
  <c r="N10" i="11" s="1"/>
  <c r="F11" i="10"/>
  <c r="K10" i="10"/>
  <c r="N10" i="10" s="1"/>
  <c r="F11" i="9"/>
  <c r="K10" i="9"/>
  <c r="N10" i="9" s="1"/>
  <c r="K10" i="8"/>
  <c r="N10" i="8" s="1"/>
  <c r="F11" i="8"/>
  <c r="F11" i="7"/>
  <c r="K10" i="7"/>
  <c r="F12" i="11" l="1"/>
  <c r="K11" i="11"/>
  <c r="N11" i="11" s="1"/>
  <c r="F12" i="10"/>
  <c r="K11" i="10"/>
  <c r="N11" i="10" s="1"/>
  <c r="F12" i="9"/>
  <c r="K11" i="9"/>
  <c r="N11" i="9" s="1"/>
  <c r="F12" i="8"/>
  <c r="K11" i="8"/>
  <c r="N11" i="8" s="1"/>
  <c r="N10" i="7"/>
  <c r="K11" i="7"/>
  <c r="N11" i="7" s="1"/>
  <c r="F12" i="7"/>
  <c r="K12" i="11" l="1"/>
  <c r="N12" i="11" s="1"/>
  <c r="F13" i="11"/>
  <c r="F13" i="10"/>
  <c r="K12" i="10"/>
  <c r="N12" i="10" s="1"/>
  <c r="K12" i="9"/>
  <c r="N12" i="9" s="1"/>
  <c r="F13" i="9"/>
  <c r="K12" i="8"/>
  <c r="N12" i="8" s="1"/>
  <c r="F13" i="8"/>
  <c r="F13" i="7"/>
  <c r="K12" i="7"/>
  <c r="N12" i="7" s="1"/>
  <c r="F14" i="11" l="1"/>
  <c r="K13" i="11"/>
  <c r="N13" i="11" s="1"/>
  <c r="F14" i="10"/>
  <c r="K13" i="10"/>
  <c r="N13" i="10" s="1"/>
  <c r="F14" i="9"/>
  <c r="K13" i="9"/>
  <c r="N13" i="9" s="1"/>
  <c r="F14" i="8"/>
  <c r="K13" i="8"/>
  <c r="N13" i="8" s="1"/>
  <c r="F14" i="7"/>
  <c r="K13" i="7"/>
  <c r="N13" i="7" s="1"/>
  <c r="K14" i="11" l="1"/>
  <c r="N14" i="11" s="1"/>
  <c r="F15" i="11"/>
  <c r="K14" i="10"/>
  <c r="N14" i="10" s="1"/>
  <c r="F15" i="10"/>
  <c r="K14" i="9"/>
  <c r="N14" i="9" s="1"/>
  <c r="F15" i="9"/>
  <c r="K14" i="8"/>
  <c r="N14" i="8" s="1"/>
  <c r="F15" i="8"/>
  <c r="K14" i="7"/>
  <c r="N14" i="7" s="1"/>
  <c r="F15" i="7"/>
  <c r="F16" i="11" l="1"/>
  <c r="K15" i="11"/>
  <c r="N15" i="11" s="1"/>
  <c r="F16" i="10"/>
  <c r="K15" i="10"/>
  <c r="N15" i="10" s="1"/>
  <c r="F16" i="9"/>
  <c r="K15" i="9"/>
  <c r="N15" i="9" s="1"/>
  <c r="F16" i="8"/>
  <c r="K15" i="8"/>
  <c r="N15" i="8" s="1"/>
  <c r="K15" i="7"/>
  <c r="N15" i="7" s="1"/>
  <c r="F16" i="7"/>
  <c r="F17" i="11" l="1"/>
  <c r="K16" i="11"/>
  <c r="N16" i="11" s="1"/>
  <c r="K16" i="10"/>
  <c r="N16" i="10" s="1"/>
  <c r="F17" i="10"/>
  <c r="F17" i="9"/>
  <c r="K16" i="9"/>
  <c r="N16" i="9" s="1"/>
  <c r="F17" i="8"/>
  <c r="K16" i="8"/>
  <c r="N16" i="8" s="1"/>
  <c r="K16" i="7"/>
  <c r="N16" i="7" s="1"/>
  <c r="F17" i="7"/>
  <c r="F18" i="11" l="1"/>
  <c r="K17" i="11"/>
  <c r="N17" i="11" s="1"/>
  <c r="F18" i="10"/>
  <c r="K17" i="10"/>
  <c r="N17" i="10" s="1"/>
  <c r="F18" i="9"/>
  <c r="K17" i="9"/>
  <c r="N17" i="9" s="1"/>
  <c r="F18" i="8"/>
  <c r="K17" i="8"/>
  <c r="N17" i="8" s="1"/>
  <c r="F18" i="7"/>
  <c r="K17" i="7"/>
  <c r="N17" i="7" s="1"/>
  <c r="F19" i="11" l="1"/>
  <c r="K18" i="11"/>
  <c r="N18" i="11" s="1"/>
  <c r="F19" i="10"/>
  <c r="K18" i="10"/>
  <c r="N18" i="10" s="1"/>
  <c r="F19" i="9"/>
  <c r="K18" i="9"/>
  <c r="N18" i="9" s="1"/>
  <c r="F19" i="8"/>
  <c r="K18" i="8"/>
  <c r="N18" i="8" s="1"/>
  <c r="F19" i="7"/>
  <c r="K18" i="7"/>
  <c r="N18" i="7" s="1"/>
  <c r="K19" i="11" l="1"/>
  <c r="N19" i="11" s="1"/>
  <c r="F20" i="11"/>
  <c r="F20" i="10"/>
  <c r="K19" i="10"/>
  <c r="N19" i="10" s="1"/>
  <c r="F20" i="9"/>
  <c r="K19" i="9"/>
  <c r="N19" i="9" s="1"/>
  <c r="K19" i="8"/>
  <c r="N19" i="8" s="1"/>
  <c r="F20" i="8"/>
  <c r="F20" i="7"/>
  <c r="K19" i="7"/>
  <c r="N19" i="7" s="1"/>
  <c r="F21" i="11" l="1"/>
  <c r="K20" i="11"/>
  <c r="N20" i="11" s="1"/>
  <c r="F21" i="10"/>
  <c r="K20" i="10"/>
  <c r="N20" i="10" s="1"/>
  <c r="F21" i="9"/>
  <c r="K20" i="9"/>
  <c r="N20" i="9" s="1"/>
  <c r="F21" i="8"/>
  <c r="K20" i="8"/>
  <c r="N20" i="8" s="1"/>
  <c r="F21" i="7"/>
  <c r="K20" i="7"/>
  <c r="N20" i="7" s="1"/>
  <c r="K21" i="11" l="1"/>
  <c r="N21" i="11" s="1"/>
  <c r="F22" i="11"/>
  <c r="K21" i="10"/>
  <c r="N21" i="10" s="1"/>
  <c r="F22" i="10"/>
  <c r="K21" i="9"/>
  <c r="N21" i="9" s="1"/>
  <c r="F22" i="9"/>
  <c r="K21" i="8"/>
  <c r="N21" i="8" s="1"/>
  <c r="F22" i="8"/>
  <c r="F22" i="7"/>
  <c r="K21" i="7"/>
  <c r="N21" i="7" s="1"/>
  <c r="F23" i="11" l="1"/>
  <c r="K22" i="11"/>
  <c r="N22" i="11" s="1"/>
  <c r="F23" i="10"/>
  <c r="K22" i="10"/>
  <c r="N22" i="10" s="1"/>
  <c r="F23" i="9"/>
  <c r="K22" i="9"/>
  <c r="N22" i="9" s="1"/>
  <c r="F23" i="8"/>
  <c r="K22" i="8"/>
  <c r="N22" i="8" s="1"/>
  <c r="F23" i="7"/>
  <c r="K22" i="7"/>
  <c r="N22" i="7" s="1"/>
  <c r="K23" i="11" l="1"/>
  <c r="N23" i="11" s="1"/>
  <c r="F24" i="11"/>
  <c r="K23" i="10"/>
  <c r="N23" i="10" s="1"/>
  <c r="F24" i="10"/>
  <c r="K23" i="9"/>
  <c r="N23" i="9" s="1"/>
  <c r="F24" i="9"/>
  <c r="K23" i="8"/>
  <c r="N23" i="8" s="1"/>
  <c r="F24" i="8"/>
  <c r="K23" i="7"/>
  <c r="N23" i="7" s="1"/>
  <c r="F24" i="7"/>
  <c r="F25" i="11" l="1"/>
  <c r="K24" i="11"/>
  <c r="N24" i="11" s="1"/>
  <c r="F25" i="10"/>
  <c r="K24" i="10"/>
  <c r="N24" i="10" s="1"/>
  <c r="F25" i="9"/>
  <c r="K24" i="9"/>
  <c r="N24" i="9" s="1"/>
  <c r="F25" i="8"/>
  <c r="K24" i="8"/>
  <c r="N24" i="8" s="1"/>
  <c r="F25" i="7"/>
  <c r="K24" i="7"/>
  <c r="N24" i="7" s="1"/>
  <c r="F26" i="11" l="1"/>
  <c r="K25" i="11"/>
  <c r="N25" i="11" s="1"/>
  <c r="F26" i="10"/>
  <c r="K25" i="10"/>
  <c r="N25" i="10" s="1"/>
  <c r="F26" i="9"/>
  <c r="K25" i="9"/>
  <c r="N25" i="9" s="1"/>
  <c r="F26" i="8"/>
  <c r="K25" i="8"/>
  <c r="N25" i="8" s="1"/>
  <c r="K25" i="7"/>
  <c r="N25" i="7" s="1"/>
  <c r="F26" i="7"/>
  <c r="F27" i="11" l="1"/>
  <c r="K26" i="11"/>
  <c r="N26" i="11" s="1"/>
  <c r="F27" i="10"/>
  <c r="K26" i="10"/>
  <c r="N26" i="10" s="1"/>
  <c r="F27" i="9"/>
  <c r="K26" i="9"/>
  <c r="N26" i="9" s="1"/>
  <c r="K26" i="8"/>
  <c r="N26" i="8" s="1"/>
  <c r="F27" i="8"/>
  <c r="F27" i="7"/>
  <c r="K26" i="7"/>
  <c r="N26" i="7" s="1"/>
  <c r="F28" i="11" l="1"/>
  <c r="K27" i="11"/>
  <c r="N27" i="11" s="1"/>
  <c r="F28" i="10"/>
  <c r="K27" i="10"/>
  <c r="N27" i="10" s="1"/>
  <c r="F28" i="9"/>
  <c r="K27" i="9"/>
  <c r="N27" i="9" s="1"/>
  <c r="F28" i="8"/>
  <c r="K27" i="8"/>
  <c r="N27" i="8" s="1"/>
  <c r="F28" i="7"/>
  <c r="K27" i="7"/>
  <c r="N27" i="7" s="1"/>
  <c r="K28" i="11" l="1"/>
  <c r="N28" i="11" s="1"/>
  <c r="F29" i="11"/>
  <c r="K28" i="10"/>
  <c r="N28" i="10" s="1"/>
  <c r="F29" i="10"/>
  <c r="K28" i="9"/>
  <c r="N28" i="9" s="1"/>
  <c r="F29" i="9"/>
  <c r="K28" i="8"/>
  <c r="N28" i="8" s="1"/>
  <c r="F29" i="8"/>
  <c r="F29" i="7"/>
  <c r="K28" i="7"/>
  <c r="N28" i="7" s="1"/>
  <c r="F30" i="11" l="1"/>
  <c r="K29" i="11"/>
  <c r="N29" i="11" s="1"/>
  <c r="F30" i="10"/>
  <c r="K29" i="10"/>
  <c r="N29" i="10" s="1"/>
  <c r="F30" i="9"/>
  <c r="K29" i="9"/>
  <c r="N29" i="9" s="1"/>
  <c r="F30" i="8"/>
  <c r="K29" i="8"/>
  <c r="N29" i="8" s="1"/>
  <c r="F30" i="7"/>
  <c r="K29" i="7"/>
  <c r="N29" i="7" s="1"/>
  <c r="K30" i="11" l="1"/>
  <c r="N30" i="11" s="1"/>
  <c r="F31" i="11"/>
  <c r="K30" i="10"/>
  <c r="N30" i="10" s="1"/>
  <c r="F31" i="10"/>
  <c r="K30" i="9"/>
  <c r="N30" i="9" s="1"/>
  <c r="F31" i="9"/>
  <c r="K30" i="8"/>
  <c r="N30" i="8" s="1"/>
  <c r="F31" i="8"/>
  <c r="K30" i="7"/>
  <c r="N30" i="7" s="1"/>
  <c r="F31" i="7"/>
  <c r="F32" i="11" l="1"/>
  <c r="K31" i="11"/>
  <c r="N31" i="11" s="1"/>
  <c r="F32" i="10"/>
  <c r="K31" i="10"/>
  <c r="N31" i="10" s="1"/>
  <c r="F32" i="9"/>
  <c r="K31" i="9"/>
  <c r="N31" i="9" s="1"/>
  <c r="F32" i="8"/>
  <c r="K31" i="8"/>
  <c r="N31" i="8" s="1"/>
  <c r="K31" i="7"/>
  <c r="N31" i="7" s="1"/>
  <c r="F32" i="7"/>
  <c r="F33" i="11" l="1"/>
  <c r="K32" i="11"/>
  <c r="N32" i="11" s="1"/>
  <c r="K32" i="10"/>
  <c r="N32" i="10" s="1"/>
  <c r="F33" i="10"/>
  <c r="F33" i="9"/>
  <c r="K32" i="9"/>
  <c r="N32" i="9" s="1"/>
  <c r="F33" i="8"/>
  <c r="K32" i="8"/>
  <c r="N32" i="8" s="1"/>
  <c r="K32" i="7"/>
  <c r="N32" i="7" s="1"/>
  <c r="F33" i="7"/>
  <c r="F34" i="11" l="1"/>
  <c r="K33" i="11"/>
  <c r="N33" i="11" s="1"/>
  <c r="F34" i="10"/>
  <c r="K33" i="10"/>
  <c r="N33" i="10" s="1"/>
  <c r="F34" i="9"/>
  <c r="K33" i="9"/>
  <c r="N33" i="9" s="1"/>
  <c r="F34" i="8"/>
  <c r="K33" i="8"/>
  <c r="N33" i="8" s="1"/>
  <c r="F34" i="7"/>
  <c r="K33" i="7"/>
  <c r="N33" i="7" s="1"/>
  <c r="F35" i="11" l="1"/>
  <c r="K34" i="11"/>
  <c r="N34" i="11" s="1"/>
  <c r="K34" i="10"/>
  <c r="F36" i="10"/>
  <c r="F35" i="9"/>
  <c r="K34" i="9"/>
  <c r="N34" i="9" s="1"/>
  <c r="F35" i="8"/>
  <c r="K34" i="8"/>
  <c r="N34" i="8" s="1"/>
  <c r="F35" i="7"/>
  <c r="K34" i="7"/>
  <c r="N34" i="7" s="1"/>
  <c r="K35" i="11" l="1"/>
  <c r="F36" i="11"/>
  <c r="N34" i="10"/>
  <c r="N36" i="10" s="1"/>
  <c r="N37" i="10" s="1"/>
  <c r="A1" i="10" s="1"/>
  <c r="K36" i="10"/>
  <c r="K35" i="9"/>
  <c r="F36" i="9"/>
  <c r="K35" i="8"/>
  <c r="F36" i="8"/>
  <c r="K35" i="7"/>
  <c r="F36" i="7"/>
  <c r="N35" i="11" l="1"/>
  <c r="N36" i="11" s="1"/>
  <c r="N37" i="11" s="1"/>
  <c r="A1" i="11" s="1"/>
  <c r="K36" i="11"/>
  <c r="N35" i="9"/>
  <c r="N36" i="9" s="1"/>
  <c r="N37" i="9" s="1"/>
  <c r="A1" i="9" s="1"/>
  <c r="K36" i="9"/>
  <c r="N35" i="8"/>
  <c r="N36" i="8" s="1"/>
  <c r="N37" i="8" s="1"/>
  <c r="A1" i="8" s="1"/>
  <c r="K36" i="8"/>
  <c r="N35" i="7"/>
  <c r="N36" i="7" s="1"/>
  <c r="N37" i="7" s="1"/>
  <c r="A1" i="7" s="1"/>
  <c r="K36" i="7"/>
  <c r="F17" i="5" l="1"/>
  <c r="F15" i="5"/>
  <c r="F16" i="5" s="1"/>
  <c r="F14" i="5"/>
  <c r="C37" i="3"/>
  <c r="E15" i="3"/>
  <c r="G15" i="3" s="1"/>
  <c r="F14" i="3"/>
  <c r="E14" i="3"/>
  <c r="F13" i="3"/>
  <c r="E13" i="3"/>
  <c r="F12" i="3"/>
  <c r="F11" i="3"/>
  <c r="F10" i="3"/>
  <c r="F9" i="3"/>
  <c r="F8" i="3"/>
  <c r="E8" i="3"/>
  <c r="F7" i="3"/>
  <c r="F6" i="3"/>
  <c r="C110" i="6" a="1"/>
  <c r="C109" i="6" a="1"/>
  <c r="E53" i="3" a="1"/>
  <c r="L51" i="3" a="1"/>
  <c r="D51" i="3" a="1"/>
  <c r="K49" i="3" a="1"/>
  <c r="C49" i="3" a="1"/>
  <c r="J47" i="3" a="1"/>
  <c r="B47" i="3" a="1"/>
  <c r="I45" i="3" a="1"/>
  <c r="C35" i="3" a="1"/>
  <c r="C31" i="3" a="1"/>
  <c r="B68" i="3" a="1"/>
  <c r="B60" i="3" a="1"/>
  <c r="I54" i="3" a="1"/>
  <c r="H52" i="3" a="1"/>
  <c r="G50" i="3" a="1"/>
  <c r="F48" i="3" a="1"/>
  <c r="E46" i="3" a="1"/>
  <c r="G41" i="3" a="1"/>
  <c r="C26" i="3" a="1"/>
  <c r="C22" i="3" a="1"/>
  <c r="L53" i="3" a="1"/>
  <c r="D53" i="3" a="1"/>
  <c r="K51" i="3" a="1"/>
  <c r="C51" i="3" a="1"/>
  <c r="J49" i="3" a="1"/>
  <c r="B49" i="3" a="1"/>
  <c r="I47" i="3" a="1"/>
  <c r="H45" i="3" a="1"/>
  <c r="G34" i="3" a="1"/>
  <c r="G30" i="3" a="1"/>
  <c r="B67" i="3" a="1"/>
  <c r="B59" i="3" a="1"/>
  <c r="H54" i="3" a="1"/>
  <c r="G52" i="3" a="1"/>
  <c r="F50" i="3" a="1"/>
  <c r="E48" i="3" a="1"/>
  <c r="L46" i="3" a="1"/>
  <c r="D46" i="3" a="1"/>
  <c r="G40" i="3" a="1"/>
  <c r="G25" i="3" a="1"/>
  <c r="G21" i="3" a="1"/>
  <c r="K53" i="3" a="1"/>
  <c r="C53" i="3" a="1"/>
  <c r="J51" i="3" a="1"/>
  <c r="B51" i="3" a="1"/>
  <c r="I49" i="3" a="1"/>
  <c r="H47" i="3" a="1"/>
  <c r="G45" i="3" a="1"/>
  <c r="C34" i="3" a="1"/>
  <c r="C30" i="3" a="1"/>
  <c r="B66" i="3" a="1"/>
  <c r="B58" i="3" a="1"/>
  <c r="G54" i="3" a="1"/>
  <c r="F52" i="3" a="1"/>
  <c r="E50" i="3" a="1"/>
  <c r="L48" i="3" a="1"/>
  <c r="D48" i="3" a="1"/>
  <c r="K46" i="3" a="1"/>
  <c r="C46" i="3" a="1"/>
  <c r="G39" i="3" a="1"/>
  <c r="C25" i="3" a="1"/>
  <c r="C21" i="3" a="1"/>
  <c r="G24" i="3" a="1"/>
  <c r="J53" i="3" a="1"/>
  <c r="B53" i="3" a="1"/>
  <c r="I51" i="3" a="1"/>
  <c r="H49" i="3" a="1"/>
  <c r="G47" i="3" a="1"/>
  <c r="F45" i="3" a="1"/>
  <c r="G33" i="3" a="1"/>
  <c r="G29" i="3" a="1"/>
  <c r="B65" i="3" a="1"/>
  <c r="B57" i="3" a="1"/>
  <c r="F54" i="3" a="1"/>
  <c r="E52" i="3" a="1"/>
  <c r="L50" i="3" a="1"/>
  <c r="D50" i="3" a="1"/>
  <c r="K48" i="3" a="1"/>
  <c r="C48" i="3" a="1"/>
  <c r="J46" i="3" a="1"/>
  <c r="B46" i="3" a="1"/>
  <c r="G38" i="3" a="1"/>
  <c r="G20" i="3" a="1"/>
  <c r="I53" i="3" a="1"/>
  <c r="H51" i="3" a="1"/>
  <c r="G49" i="3" a="1"/>
  <c r="F47" i="3" a="1"/>
  <c r="E45" i="3" a="1"/>
  <c r="C33" i="3" a="1"/>
  <c r="B64" i="3" a="1"/>
  <c r="E54" i="3" a="1"/>
  <c r="L52" i="3" a="1"/>
  <c r="D52" i="3" a="1"/>
  <c r="K50" i="3" a="1"/>
  <c r="C50" i="3" a="1"/>
  <c r="J48" i="3" a="1"/>
  <c r="B48" i="3" a="1"/>
  <c r="I46" i="3" a="1"/>
  <c r="G37" i="3" a="1"/>
  <c r="G28" i="3" a="1"/>
  <c r="C24" i="3" a="1"/>
  <c r="C20" i="3" a="1"/>
  <c r="H53" i="3" a="1"/>
  <c r="G51" i="3" a="1"/>
  <c r="F49" i="3" a="1"/>
  <c r="E47" i="3" a="1"/>
  <c r="L45" i="3" a="1"/>
  <c r="D45" i="3" a="1"/>
  <c r="G32" i="3" a="1"/>
  <c r="B63" i="3" a="1"/>
  <c r="L54" i="3" a="1"/>
  <c r="D54" i="3" a="1"/>
  <c r="K52" i="3" a="1"/>
  <c r="C52" i="3" a="1"/>
  <c r="J50" i="3" a="1"/>
  <c r="B50" i="3" a="1"/>
  <c r="I48" i="3" a="1"/>
  <c r="H46" i="3" a="1"/>
  <c r="G27" i="3" a="1"/>
  <c r="G23" i="3" a="1"/>
  <c r="G19" i="3" a="1"/>
  <c r="G53" i="3" a="1"/>
  <c r="F51" i="3" a="1"/>
  <c r="E49" i="3" a="1"/>
  <c r="L47" i="3" a="1"/>
  <c r="D47" i="3" a="1"/>
  <c r="K45" i="3" a="1"/>
  <c r="C45" i="3" a="1"/>
  <c r="G36" i="3" a="1"/>
  <c r="C32" i="3" a="1"/>
  <c r="B62" i="3" a="1"/>
  <c r="K54" i="3" a="1"/>
  <c r="C54" i="3" a="1"/>
  <c r="J52" i="3" a="1"/>
  <c r="B52" i="3" a="1"/>
  <c r="I50" i="3" a="1"/>
  <c r="H48" i="3" a="1"/>
  <c r="G46" i="3" a="1"/>
  <c r="C27" i="3" a="1"/>
  <c r="C23" i="3" a="1"/>
  <c r="C19" i="3" a="1"/>
  <c r="F53" i="3" a="1"/>
  <c r="E51" i="3" a="1"/>
  <c r="L49" i="3" a="1"/>
  <c r="D49" i="3" a="1"/>
  <c r="K47" i="3" a="1"/>
  <c r="C47" i="3" a="1"/>
  <c r="J45" i="3" a="1"/>
  <c r="B45" i="3" a="1"/>
  <c r="G35" i="3" a="1"/>
  <c r="G31" i="3" a="1"/>
  <c r="B61" i="3" a="1"/>
  <c r="J54" i="3" a="1"/>
  <c r="B54" i="3" a="1"/>
  <c r="I52" i="3" a="1"/>
  <c r="H50" i="3" a="1"/>
  <c r="G48" i="3" a="1"/>
  <c r="F46" i="3" a="1"/>
  <c r="G26" i="3" a="1"/>
  <c r="G22" i="3" a="1"/>
  <c r="C109" i="6" l="1"/>
  <c r="C110" i="6"/>
  <c r="G22" i="3"/>
  <c r="G26" i="3"/>
  <c r="F46" i="3"/>
  <c r="G48" i="3"/>
  <c r="H50" i="3"/>
  <c r="I52" i="3"/>
  <c r="B54" i="3"/>
  <c r="J54" i="3"/>
  <c r="B61" i="3"/>
  <c r="D7" i="3" s="1"/>
  <c r="G31" i="3"/>
  <c r="G35" i="3"/>
  <c r="B45" i="3"/>
  <c r="J45" i="3"/>
  <c r="C47" i="3"/>
  <c r="K47" i="3"/>
  <c r="D49" i="3"/>
  <c r="L49" i="3"/>
  <c r="E51" i="3"/>
  <c r="F53" i="3"/>
  <c r="C19" i="3"/>
  <c r="C23" i="3"/>
  <c r="C27" i="3"/>
  <c r="G46" i="3"/>
  <c r="H48" i="3"/>
  <c r="I50" i="3"/>
  <c r="B52" i="3"/>
  <c r="J52" i="3"/>
  <c r="C54" i="3"/>
  <c r="K54" i="3"/>
  <c r="B62" i="3"/>
  <c r="D10" i="3" s="1"/>
  <c r="C32" i="3"/>
  <c r="G36" i="3"/>
  <c r="C45" i="3"/>
  <c r="K45" i="3"/>
  <c r="D47" i="3"/>
  <c r="L47" i="3"/>
  <c r="E49" i="3"/>
  <c r="F51" i="3"/>
  <c r="G53" i="3"/>
  <c r="G19" i="3"/>
  <c r="G23" i="3"/>
  <c r="G27" i="3"/>
  <c r="H46" i="3"/>
  <c r="I48" i="3"/>
  <c r="B50" i="3"/>
  <c r="J50" i="3"/>
  <c r="C52" i="3"/>
  <c r="K52" i="3"/>
  <c r="D54" i="3"/>
  <c r="L54" i="3"/>
  <c r="B63" i="3"/>
  <c r="D9" i="3" s="1"/>
  <c r="G32" i="3"/>
  <c r="D45" i="3"/>
  <c r="L45" i="3"/>
  <c r="E47" i="3"/>
  <c r="F49" i="3"/>
  <c r="G51" i="3"/>
  <c r="H53" i="3"/>
  <c r="C20" i="3"/>
  <c r="C24" i="3"/>
  <c r="G28" i="3"/>
  <c r="G37" i="3"/>
  <c r="I46" i="3"/>
  <c r="B48" i="3"/>
  <c r="J48" i="3"/>
  <c r="C50" i="3"/>
  <c r="K50" i="3"/>
  <c r="D52" i="3"/>
  <c r="L52" i="3"/>
  <c r="E54" i="3"/>
  <c r="B64" i="3"/>
  <c r="D11" i="3" s="1"/>
  <c r="C33" i="3"/>
  <c r="E45" i="3"/>
  <c r="F47" i="3"/>
  <c r="G49" i="3"/>
  <c r="H51" i="3"/>
  <c r="I53" i="3"/>
  <c r="G20" i="3"/>
  <c r="G38" i="3"/>
  <c r="B46" i="3"/>
  <c r="J46" i="3"/>
  <c r="C48" i="3"/>
  <c r="K48" i="3"/>
  <c r="D50" i="3"/>
  <c r="L50" i="3"/>
  <c r="E52" i="3"/>
  <c r="F54" i="3"/>
  <c r="B57" i="3"/>
  <c r="B65" i="3"/>
  <c r="D12" i="3" s="1"/>
  <c r="G29" i="3"/>
  <c r="G33" i="3"/>
  <c r="F45" i="3"/>
  <c r="G47" i="3"/>
  <c r="H49" i="3"/>
  <c r="I51" i="3"/>
  <c r="B53" i="3"/>
  <c r="J53" i="3"/>
  <c r="G24" i="3"/>
  <c r="C21" i="3"/>
  <c r="C25" i="3"/>
  <c r="G39" i="3"/>
  <c r="C46" i="3"/>
  <c r="K46" i="3"/>
  <c r="D48" i="3"/>
  <c r="L48" i="3"/>
  <c r="E50" i="3"/>
  <c r="F52" i="3"/>
  <c r="G54" i="3"/>
  <c r="B58" i="3"/>
  <c r="B66" i="3"/>
  <c r="D13" i="3" s="1"/>
  <c r="C30" i="3"/>
  <c r="C34" i="3"/>
  <c r="G45" i="3"/>
  <c r="H47" i="3"/>
  <c r="I49" i="3"/>
  <c r="B51" i="3"/>
  <c r="J51" i="3"/>
  <c r="C53" i="3"/>
  <c r="K53" i="3"/>
  <c r="G21" i="3"/>
  <c r="G25" i="3"/>
  <c r="G40" i="3"/>
  <c r="D46" i="3"/>
  <c r="L46" i="3"/>
  <c r="E48" i="3"/>
  <c r="F50" i="3"/>
  <c r="G52" i="3"/>
  <c r="H54" i="3"/>
  <c r="B59" i="3"/>
  <c r="D14" i="3" s="1"/>
  <c r="B67" i="3"/>
  <c r="G30" i="3"/>
  <c r="G34" i="3"/>
  <c r="H45" i="3"/>
  <c r="I47" i="3"/>
  <c r="B49" i="3"/>
  <c r="J49" i="3"/>
  <c r="C51" i="3"/>
  <c r="K51" i="3"/>
  <c r="D53" i="3"/>
  <c r="L53" i="3"/>
  <c r="C22" i="3"/>
  <c r="C26" i="3"/>
  <c r="G41" i="3"/>
  <c r="E46" i="3"/>
  <c r="F48" i="3"/>
  <c r="G50" i="3"/>
  <c r="H52" i="3"/>
  <c r="I54" i="3"/>
  <c r="B60" i="3"/>
  <c r="D6" i="3" s="1"/>
  <c r="B68" i="3"/>
  <c r="D8" i="3" s="1"/>
  <c r="C31" i="3"/>
  <c r="C35" i="3"/>
  <c r="I45" i="3"/>
  <c r="B47" i="3"/>
  <c r="J47" i="3"/>
  <c r="C49" i="3"/>
  <c r="K49" i="3"/>
  <c r="D51" i="3"/>
  <c r="L51" i="3"/>
  <c r="E53" i="3"/>
  <c r="C43" i="6"/>
  <c r="C105" i="6" a="1"/>
  <c r="C46" i="6"/>
  <c r="C19" i="6"/>
  <c r="C134" i="6" a="1"/>
  <c r="C96" i="6"/>
  <c r="C103" i="6" a="1"/>
  <c r="C50" i="6"/>
  <c r="C137" i="6" a="1"/>
  <c r="C99" i="6"/>
  <c r="C132" i="6" a="1"/>
  <c r="C54" i="6"/>
  <c r="C56" i="6"/>
  <c r="C12" i="6"/>
  <c r="C23" i="6"/>
  <c r="C107" i="6" a="1"/>
  <c r="C145" i="6"/>
  <c r="C15" i="6"/>
  <c r="C26" i="6"/>
  <c r="C77" i="6"/>
  <c r="C2" i="6"/>
  <c r="C141" i="6"/>
  <c r="C64" i="6"/>
  <c r="C20" i="6"/>
  <c r="C31" i="6"/>
  <c r="C6" i="6"/>
  <c r="C87" i="6"/>
  <c r="C74" i="6"/>
  <c r="C127" i="6" a="1"/>
  <c r="C51" i="6"/>
  <c r="C69" i="6"/>
  <c r="C60" i="6"/>
  <c r="C65" i="6"/>
  <c r="C93" i="6"/>
  <c r="C24" i="6"/>
  <c r="C17" i="6"/>
  <c r="C28" i="6"/>
  <c r="C37" i="6"/>
  <c r="C140" i="6"/>
  <c r="C95" i="6"/>
  <c r="C144" i="6"/>
  <c r="C33" i="6"/>
  <c r="C78" i="6"/>
  <c r="C30" i="6"/>
  <c r="C101" i="6" a="1"/>
  <c r="C114" i="6" a="1"/>
  <c r="C119" i="6" a="1"/>
  <c r="C113" i="6" a="1"/>
  <c r="C62" i="6"/>
  <c r="C123" i="6" a="1"/>
  <c r="C92" i="6"/>
  <c r="C10" i="6"/>
  <c r="C149" i="6"/>
  <c r="C79" i="6"/>
  <c r="C57" i="6"/>
  <c r="C121" i="6" a="1"/>
  <c r="C40" i="6"/>
  <c r="C102" i="6" a="1"/>
  <c r="C83" i="6"/>
  <c r="C36" i="6"/>
  <c r="C11" i="6"/>
  <c r="C142" i="6"/>
  <c r="C48" i="6"/>
  <c r="C13" i="6"/>
  <c r="C41" i="6"/>
  <c r="C32" i="6"/>
  <c r="C75" i="6"/>
  <c r="C16" i="6"/>
  <c r="C27" i="6"/>
  <c r="C143" i="6"/>
  <c r="C104" i="6" a="1"/>
  <c r="C116" i="6" a="1"/>
  <c r="C106" i="6" a="1"/>
  <c r="C100" i="6" a="1"/>
  <c r="C58" i="6"/>
  <c r="C108" i="6" a="1"/>
  <c r="C85" i="6"/>
  <c r="C4" i="6"/>
  <c r="C66" i="6"/>
  <c r="C90" i="6"/>
  <c r="C8" i="6"/>
  <c r="C124" i="6" a="1"/>
  <c r="C29" i="6"/>
  <c r="C38" i="6"/>
  <c r="C126" i="6" a="1"/>
  <c r="C81" i="6"/>
  <c r="C136" i="6" a="1"/>
  <c r="C98" i="6"/>
  <c r="C34" i="6"/>
  <c r="C148" i="6"/>
  <c r="C61" i="6"/>
  <c r="C111" i="6" a="1"/>
  <c r="C44" i="6"/>
  <c r="C129" i="6" a="1"/>
  <c r="C47" i="6"/>
  <c r="C80" i="6"/>
  <c r="C89" i="6"/>
  <c r="C131" i="6" a="1"/>
  <c r="C146" i="6"/>
  <c r="C84" i="6"/>
  <c r="C115" i="6" a="1"/>
  <c r="C70" i="6"/>
  <c r="C3" i="6"/>
  <c r="C55" i="6"/>
  <c r="C88" i="6"/>
  <c r="C135" i="6" a="1"/>
  <c r="C97" i="6"/>
  <c r="C7" i="6"/>
  <c r="C67" i="6"/>
  <c r="C45" i="6"/>
  <c r="C39" i="6"/>
  <c r="C76" i="6"/>
  <c r="C117" i="6" a="1"/>
  <c r="C52" i="6"/>
  <c r="C122" i="6" a="1"/>
  <c r="C139" i="6"/>
  <c r="C21" i="6"/>
  <c r="C71" i="6"/>
  <c r="C118" i="6" a="1"/>
  <c r="C120" i="6" a="1"/>
  <c r="C94" i="6"/>
  <c r="C147" i="6"/>
  <c r="C128" i="6" a="1"/>
  <c r="C53" i="6"/>
  <c r="C18" i="6"/>
  <c r="C112" i="6" a="1"/>
  <c r="C72" i="6"/>
  <c r="C130" i="6" a="1"/>
  <c r="C49" i="6"/>
  <c r="C14" i="6"/>
  <c r="C25" i="6"/>
  <c r="C42" i="6"/>
  <c r="C86" i="6"/>
  <c r="C1" i="6"/>
  <c r="C63" i="6"/>
  <c r="C5" i="6"/>
  <c r="C22" i="6"/>
  <c r="C68" i="6"/>
  <c r="C125" i="6" a="1"/>
  <c r="C59" i="6"/>
  <c r="C133" i="6" a="1"/>
  <c r="C73" i="6"/>
  <c r="C82" i="6"/>
  <c r="C91" i="6"/>
  <c r="C9" i="6"/>
  <c r="C35" i="6"/>
  <c r="C133" i="6" l="1"/>
  <c r="C125" i="6"/>
  <c r="C130" i="6"/>
  <c r="C112" i="6"/>
  <c r="C128" i="6"/>
  <c r="C120" i="6"/>
  <c r="C118" i="6"/>
  <c r="C122" i="6"/>
  <c r="C117" i="6"/>
  <c r="C135" i="6"/>
  <c r="C115" i="6"/>
  <c r="C131" i="6"/>
  <c r="C129" i="6"/>
  <c r="C111" i="6"/>
  <c r="C136" i="6"/>
  <c r="C126" i="6"/>
  <c r="C124" i="6"/>
  <c r="C108" i="6"/>
  <c r="C100" i="6"/>
  <c r="C106" i="6"/>
  <c r="C116" i="6"/>
  <c r="C104" i="6"/>
  <c r="C102" i="6"/>
  <c r="C121" i="6"/>
  <c r="C123" i="6"/>
  <c r="C113" i="6"/>
  <c r="C119" i="6"/>
  <c r="C114" i="6"/>
  <c r="C101" i="6"/>
  <c r="C127" i="6"/>
  <c r="C107" i="6"/>
  <c r="C132" i="6"/>
  <c r="C137" i="6"/>
  <c r="C103" i="6"/>
  <c r="C134" i="6"/>
  <c r="C105" i="6"/>
  <c r="E9" i="3"/>
  <c r="E5" i="3"/>
  <c r="E11" i="3"/>
  <c r="C138" i="6"/>
  <c r="E12" i="3"/>
  <c r="D5" i="3"/>
  <c r="M53" i="3"/>
  <c r="B12" i="3" s="1"/>
  <c r="M48" i="3"/>
  <c r="B7" i="3" s="1"/>
  <c r="E10" i="3"/>
  <c r="C29" i="3"/>
  <c r="C13" i="3" s="1"/>
  <c r="C16" i="3" s="1"/>
  <c r="M50" i="3"/>
  <c r="B9" i="3" s="1"/>
  <c r="M45" i="3"/>
  <c r="M52" i="3"/>
  <c r="B11" i="3" s="1"/>
  <c r="D4" i="3"/>
  <c r="B56" i="3"/>
  <c r="E4" i="3"/>
  <c r="G18" i="3"/>
  <c r="M54" i="3"/>
  <c r="B14" i="3" s="1"/>
  <c r="G14" i="3" s="1"/>
  <c r="M47" i="3"/>
  <c r="B6" i="3" s="1"/>
  <c r="E7" i="3"/>
  <c r="F4" i="3"/>
  <c r="C18" i="3"/>
  <c r="M49" i="3"/>
  <c r="B8" i="3" s="1"/>
  <c r="G8" i="3" s="1"/>
  <c r="M51" i="3"/>
  <c r="B10" i="3" s="1"/>
  <c r="M46" i="3"/>
  <c r="B5" i="3" s="1"/>
  <c r="F5" i="3"/>
  <c r="E6" i="3"/>
  <c r="G7" i="3" l="1"/>
  <c r="G9" i="3"/>
  <c r="G12" i="3"/>
  <c r="F16" i="3"/>
  <c r="G13" i="3"/>
  <c r="G10" i="3"/>
  <c r="D16" i="3"/>
  <c r="G11" i="3"/>
  <c r="E16" i="3"/>
  <c r="G6" i="3"/>
  <c r="B4" i="3"/>
  <c r="K43" i="3"/>
  <c r="G5" i="3"/>
  <c r="B16" i="3" l="1"/>
  <c r="G4" i="3"/>
  <c r="G16" i="3" s="1"/>
  <c r="A1" i="3" s="1"/>
  <c r="K36" i="2" l="1"/>
  <c r="J36" i="2"/>
  <c r="I36" i="2"/>
  <c r="H36" i="2"/>
  <c r="S35" i="2"/>
  <c r="R35" i="2"/>
  <c r="Q35" i="2"/>
  <c r="N35" i="2"/>
  <c r="M35" i="2"/>
  <c r="L35" i="2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Q10" i="2"/>
  <c r="N10" i="2"/>
  <c r="M10" i="2"/>
  <c r="L10" i="2"/>
  <c r="S9" i="2"/>
  <c r="R9" i="2"/>
  <c r="Q9" i="2"/>
  <c r="N9" i="2"/>
  <c r="M9" i="2"/>
  <c r="L9" i="2"/>
  <c r="S8" i="2"/>
  <c r="R8" i="2"/>
  <c r="Q8" i="2"/>
  <c r="Q36" i="2" s="1"/>
  <c r="N8" i="2"/>
  <c r="M8" i="2"/>
  <c r="L8" i="2"/>
  <c r="S7" i="2"/>
  <c r="R7" i="2"/>
  <c r="Q7" i="2"/>
  <c r="N7" i="2"/>
  <c r="M7" i="2"/>
  <c r="L7" i="2"/>
  <c r="S6" i="2"/>
  <c r="R6" i="2"/>
  <c r="Q6" i="2"/>
  <c r="O6" i="2"/>
  <c r="N6" i="2"/>
  <c r="M6" i="2"/>
  <c r="L6" i="2"/>
  <c r="F6" i="2"/>
  <c r="F7" i="2" s="1"/>
  <c r="S5" i="2"/>
  <c r="S36" i="2" s="1"/>
  <c r="R5" i="2"/>
  <c r="R36" i="2" s="1"/>
  <c r="Q5" i="2"/>
  <c r="O5" i="2"/>
  <c r="N5" i="2"/>
  <c r="N36" i="2" s="1"/>
  <c r="M5" i="2"/>
  <c r="M36" i="2" s="1"/>
  <c r="L5" i="2"/>
  <c r="L36" i="2" s="1"/>
  <c r="A2" i="2"/>
  <c r="T7" i="2" l="1"/>
  <c r="O7" i="2"/>
  <c r="F8" i="2"/>
  <c r="G7" i="2"/>
  <c r="P7" i="2" s="1"/>
  <c r="G6" i="2"/>
  <c r="P6" i="2" s="1"/>
  <c r="T6" i="2" s="1"/>
  <c r="G5" i="2"/>
  <c r="G8" i="2"/>
  <c r="P8" i="2" s="1"/>
  <c r="F9" i="2" l="1"/>
  <c r="O8" i="2"/>
  <c r="P5" i="2"/>
  <c r="T5" i="2" l="1"/>
  <c r="T8" i="2"/>
  <c r="O9" i="2"/>
  <c r="F10" i="2"/>
  <c r="G9" i="2"/>
  <c r="P9" i="2" l="1"/>
  <c r="T9" i="2"/>
  <c r="O10" i="2"/>
  <c r="F11" i="2"/>
  <c r="G10" i="2"/>
  <c r="P10" i="2" s="1"/>
  <c r="F12" i="2" l="1"/>
  <c r="O11" i="2"/>
  <c r="G11" i="2"/>
  <c r="P11" i="2" s="1"/>
  <c r="T10" i="2"/>
  <c r="F13" i="2" l="1"/>
  <c r="O12" i="2"/>
  <c r="G12" i="2"/>
  <c r="P12" i="2" s="1"/>
  <c r="T11" i="2"/>
  <c r="T12" i="2" l="1"/>
  <c r="F14" i="2"/>
  <c r="O13" i="2"/>
  <c r="G13" i="2"/>
  <c r="P13" i="2" s="1"/>
  <c r="T13" i="2" l="1"/>
  <c r="F15" i="2"/>
  <c r="O14" i="2"/>
  <c r="G14" i="2"/>
  <c r="P14" i="2" s="1"/>
  <c r="F16" i="2" l="1"/>
  <c r="O15" i="2"/>
  <c r="G15" i="2"/>
  <c r="P15" i="2" s="1"/>
  <c r="T14" i="2"/>
  <c r="T15" i="2" l="1"/>
  <c r="O16" i="2"/>
  <c r="F17" i="2"/>
  <c r="G16" i="2"/>
  <c r="P16" i="2" s="1"/>
  <c r="F18" i="2" l="1"/>
  <c r="O17" i="2"/>
  <c r="G17" i="2"/>
  <c r="P17" i="2" s="1"/>
  <c r="T16" i="2"/>
  <c r="T17" i="2" l="1"/>
  <c r="O18" i="2"/>
  <c r="F19" i="2"/>
  <c r="G18" i="2"/>
  <c r="P18" i="2" s="1"/>
  <c r="O19" i="2" l="1"/>
  <c r="F20" i="2"/>
  <c r="G19" i="2"/>
  <c r="P19" i="2" s="1"/>
  <c r="T18" i="2"/>
  <c r="O20" i="2" l="1"/>
  <c r="F21" i="2"/>
  <c r="G20" i="2"/>
  <c r="P20" i="2" s="1"/>
  <c r="T19" i="2"/>
  <c r="F22" i="2" l="1"/>
  <c r="O21" i="2"/>
  <c r="G21" i="2"/>
  <c r="P21" i="2" s="1"/>
  <c r="T20" i="2"/>
  <c r="T21" i="2" l="1"/>
  <c r="O22" i="2"/>
  <c r="F23" i="2"/>
  <c r="G22" i="2"/>
  <c r="P22" i="2" s="1"/>
  <c r="T22" i="2" l="1"/>
  <c r="O23" i="2"/>
  <c r="F24" i="2"/>
  <c r="G23" i="2"/>
  <c r="P23" i="2" s="1"/>
  <c r="F25" i="2" l="1"/>
  <c r="O24" i="2"/>
  <c r="G24" i="2"/>
  <c r="P24" i="2" s="1"/>
  <c r="T23" i="2"/>
  <c r="T24" i="2" l="1"/>
  <c r="O25" i="2"/>
  <c r="F26" i="2"/>
  <c r="G25" i="2"/>
  <c r="P25" i="2" s="1"/>
  <c r="O26" i="2" l="1"/>
  <c r="F27" i="2"/>
  <c r="G26" i="2"/>
  <c r="P26" i="2" s="1"/>
  <c r="T25" i="2"/>
  <c r="F28" i="2" l="1"/>
  <c r="O27" i="2"/>
  <c r="G27" i="2"/>
  <c r="P27" i="2" s="1"/>
  <c r="T26" i="2"/>
  <c r="T27" i="2" l="1"/>
  <c r="F29" i="2"/>
  <c r="O28" i="2"/>
  <c r="G28" i="2"/>
  <c r="P28" i="2" s="1"/>
  <c r="T28" i="2" l="1"/>
  <c r="O29" i="2"/>
  <c r="F30" i="2"/>
  <c r="G29" i="2"/>
  <c r="P29" i="2" s="1"/>
  <c r="T29" i="2" l="1"/>
  <c r="F31" i="2"/>
  <c r="O30" i="2"/>
  <c r="G30" i="2"/>
  <c r="P30" i="2" s="1"/>
  <c r="T30" i="2" l="1"/>
  <c r="F32" i="2"/>
  <c r="O31" i="2"/>
  <c r="G31" i="2"/>
  <c r="P31" i="2" s="1"/>
  <c r="T31" i="2" l="1"/>
  <c r="F33" i="2"/>
  <c r="O32" i="2"/>
  <c r="G32" i="2"/>
  <c r="P32" i="2" s="1"/>
  <c r="T32" i="2" l="1"/>
  <c r="F34" i="2"/>
  <c r="O33" i="2"/>
  <c r="G33" i="2"/>
  <c r="P33" i="2" s="1"/>
  <c r="T33" i="2" l="1"/>
  <c r="O34" i="2"/>
  <c r="F35" i="2"/>
  <c r="G34" i="2"/>
  <c r="P34" i="2" s="1"/>
  <c r="O35" i="2" l="1"/>
  <c r="G35" i="2"/>
  <c r="F36" i="2"/>
  <c r="T34" i="2"/>
  <c r="P35" i="2" l="1"/>
  <c r="P36" i="2" s="1"/>
  <c r="G36" i="2"/>
  <c r="T35" i="2"/>
  <c r="T36" i="2" s="1"/>
  <c r="T37" i="2" s="1"/>
  <c r="A1" i="2" s="1"/>
  <c r="O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<sst xmlns="http://schemas.openxmlformats.org/spreadsheetml/2006/main" count="2235" uniqueCount="217">
  <si>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</si>
  <si>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</si>
  <si>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</si>
  <si>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</si>
  <si>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</si>
  <si>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</si>
  <si>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</si>
  <si>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</si>
  <si>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</si>
  <si>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</si>
  <si>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</si>
  <si>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</si>
  <si>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</si>
  <si>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</si>
  <si>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</si>
  <si>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</si>
  <si>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</si>
  <si>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</si>
  <si>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</si>
  <si>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</si>
  <si>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</si>
  <si>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</si>
  <si>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</si>
  <si>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</si>
  <si>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</si>
  <si>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</si>
  <si>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</si>
  <si>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</si>
  <si>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</si>
  <si>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</si>
  <si>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</si>
  <si>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</si>
  <si>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</si>
  <si>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</si>
  <si>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</si>
  <si>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</si>
  <si>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</si>
  <si>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</si>
  <si>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ЕкатеринбургЧкаловский</t>
  </si>
  <si>
    <t>Монастырка</t>
  </si>
  <si>
    <t>Завод "Посуда"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</si>
  <si>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</si>
  <si>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</si>
  <si>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</si>
  <si>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</si>
  <si>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</si>
  <si>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</si>
  <si>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</si>
  <si>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</si>
  <si>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</si>
  <si>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</si>
  <si>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</si>
  <si>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</si>
  <si>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</si>
  <si>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</si>
  <si>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</si>
  <si>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</si>
  <si>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</si>
  <si>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</si>
  <si>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</si>
  <si>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</si>
  <si>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</si>
  <si>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</si>
  <si>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МТО 2520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</si>
  <si>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</si>
  <si>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</si>
  <si>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</si>
  <si>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</si>
  <si>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</si>
  <si>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</si>
  <si>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</si>
  <si>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</si>
  <si>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</si>
  <si>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СБС</t>
  </si>
  <si>
    <t>Порошок</t>
  </si>
  <si>
    <t>НПЭГ</t>
  </si>
  <si>
    <t>Экспорт</t>
  </si>
  <si>
    <t>Доп услуги</t>
  </si>
  <si>
    <t>ИТОГО</t>
  </si>
  <si>
    <t>Березовая Пойма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</si>
  <si>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</si>
  <si>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</si>
  <si>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</si>
  <si>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</si>
  <si>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</si>
  <si>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</si>
  <si>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</si>
  <si>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</si>
  <si>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</si>
  <si>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</si>
  <si>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</si>
  <si>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</si>
  <si>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</si>
  <si>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</si>
  <si>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</si>
  <si>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</si>
  <si>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КП КОС</t>
  </si>
  <si>
    <t>КП Нижнекамск</t>
  </si>
  <si>
    <t>Цены</t>
  </si>
  <si>
    <t>Выгрузка</t>
  </si>
  <si>
    <t>Загрузка</t>
  </si>
  <si>
    <t>Переконсолидация</t>
  </si>
  <si>
    <t>Новикова</t>
  </si>
  <si>
    <t xml:space="preserve">по Договору хранения № СХ.47103 от «10» апреля 2025 г.      </t>
  </si>
  <si>
    <t xml:space="preserve">     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</si>
  <si>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</si>
  <si>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</si>
  <si>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</si>
  <si>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</si>
  <si>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</si>
  <si>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</si>
  <si>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четыре тысячи рублей ноль копеек</t>
  </si>
  <si>
    <t xml:space="preserve">Без налога (НДС): </t>
  </si>
  <si>
    <t>четыре тысячи восемьсот восемьдесят рублей ноль копеек</t>
  </si>
  <si>
    <t>ПАО "СИБУР Холдинг"</t>
  </si>
  <si>
    <t>____________________Расстегаев Д.О.</t>
  </si>
  <si>
    <t>Отчет по хранению  товара  за Июнь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</si>
  <si>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</si>
  <si>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</si>
  <si>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</si>
  <si>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</si>
  <si>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</si>
  <si>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</si>
  <si>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</si>
  <si>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</si>
  <si>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</si>
  <si>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</si>
  <si>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</si>
  <si>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Июнь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</si>
  <si>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</si>
  <si>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</si>
  <si>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</si>
  <si>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</si>
  <si>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</si>
  <si>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</si>
  <si>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</si>
  <si>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</si>
  <si>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</si>
  <si>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Июнь</t>
  </si>
  <si>
    <t>ручная загрузка</t>
  </si>
  <si>
    <t>стоимость загр.. Работ</t>
  </si>
  <si>
    <t>Расход паллет</t>
  </si>
  <si>
    <t>мультипак</t>
  </si>
  <si>
    <t>шт,.</t>
  </si>
  <si>
    <t>Отчет по хранению  товара  Ергарда за Июнь</t>
  </si>
  <si>
    <t>сорок тысяч рублей ноль копеек</t>
  </si>
  <si>
    <t>сорок тысяч восемьсот восемьдесят рублей ноль копеек</t>
  </si>
  <si>
    <t>двенадцать тысяч рублей ноль копеек</t>
  </si>
  <si>
    <t>четырнадцать тысяч шестьсот сорок рублей ноль копеек</t>
  </si>
  <si>
    <t>Отчет по хранению товара за Июль 2026 Баумана KPI</t>
  </si>
  <si>
    <t>Резервирование 0</t>
  </si>
  <si>
    <t>Мин. Суточный резерв 0</t>
  </si>
  <si>
    <t>Взвешивание</t>
  </si>
  <si>
    <t>стоимость взвешивания</t>
  </si>
  <si>
    <t>стоимость выгрузки за 1 месяц</t>
  </si>
  <si>
    <t>стоимость загрузки за 1 месяц</t>
  </si>
  <si>
    <t>стоимость хранения 
за 1 месяц</t>
  </si>
  <si>
    <t>Доплата за хранение за 1 месяц</t>
  </si>
  <si>
    <t>Доплата за ПРР за 1 месяц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</si>
  <si>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</si>
  <si>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</si>
  <si>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</si>
  <si>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</si>
  <si>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</si>
  <si>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</si>
  <si>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</si>
  <si>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</si>
  <si>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</si>
  <si>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</si>
  <si>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</si>
  <si>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</si>
  <si>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</si>
  <si>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</si>
  <si>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</si>
  <si>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</si>
  <si>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</si>
  <si>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</si>
  <si>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</si>
  <si>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</si>
  <si>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</si>
  <si>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</si>
  <si>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</si>
  <si>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</si>
  <si>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</si>
  <si>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</si>
  <si>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</si>
  <si>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</si>
  <si>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</si>
  <si>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</si>
  <si>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</si>
  <si>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Отчет по хранению товара за Июль 2026 Баумана Полимеры</t>
  </si>
  <si>
    <t>Отчет по хранению товара за Июль 2026 Баумана Полиом</t>
  </si>
  <si>
    <t>Отчет по хранению товара за Июль 2026 Екатеринбург KPI</t>
  </si>
  <si>
    <t>Отчет по хранению товара за Июль 2026 Екатеринбург НПЭГ</t>
  </si>
  <si>
    <t>Отчет по хранению товара за Июль 2026 Екатеринбург Полимеры</t>
  </si>
  <si>
    <t>Отчет по хранению товара за Июль 2026 Екатеринбург Полиом</t>
  </si>
  <si>
    <t>Отчет по хранению товара за Июль 2026 ЕкатеринбургЧкаловский KPI</t>
  </si>
  <si>
    <t>Отчет по хранению товара за Июль 2026 ЕкатеринбургЧкаловский Полимеры</t>
  </si>
  <si>
    <t>Отчет по хранению товара за Июль 2026 ЕкатеринбургЧкаловский Полиом</t>
  </si>
  <si>
    <t>Отчет по хранению товара за Июль 2026 Зеленодольск Данафлекс</t>
  </si>
  <si>
    <t>Отчет по хранению товара за Июль 2026 Зеленодольск Полимеры</t>
  </si>
  <si>
    <t>Отчет по хранению товара за Июль 2026 Зеленодольск Полиом</t>
  </si>
  <si>
    <t>Отчет по хранению товара за Июль 2026 Казань_Автосервисная Полимеры</t>
  </si>
  <si>
    <t>Резервирование 0 т</t>
  </si>
  <si>
    <t>стоимость хранения за 1 месяц</t>
  </si>
  <si>
    <t>Отчет по хранению товара за Июль 2026 Казань_Автосервисная Полиом</t>
  </si>
  <si>
    <t>Отчет по хранению товара за Июль 2026 Казань_Приволжская Полимеры</t>
  </si>
  <si>
    <t>Отчет по хранению товара за Июль 2026 Новикова-Прибоя KPI</t>
  </si>
  <si>
    <t>Отчет по хранению товара за Июль 2026 Новикова-Прибоя Полимеры</t>
  </si>
  <si>
    <t>Отчет по хранению товара за Июль 2026 Новикова-Прибоя Полиом</t>
  </si>
  <si>
    <t>Отчет по хранению товара за Июль 2026 Новосибирск KPI</t>
  </si>
  <si>
    <t>Отчет по хранению товара за Июль 2026 Новосибирск Полимеры</t>
  </si>
  <si>
    <t>Отчет по хранению товара за Июль 2026 Новосибирск Полиом</t>
  </si>
  <si>
    <t>Отчет по хранению товара за Июль 2026 Новосибирск Порошок Порошок</t>
  </si>
  <si>
    <t>Отчет по хранению товара за Июль 2026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</si>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</sst>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₽&quot;#,##0.00_);\(&quot;₽&quot;#,##0.00\)"/>
    <numFmt numFmtId="44" formatCode="_(&quot;₽&quot;* #,##0.00_);_(&quot;₽&quot;* \(#,##0.00\);_(&quot;₽&quot;* &quot;-&quot;??_);_(@_)"/>
    <numFmt numFmtId="164" formatCode="0.000000"/>
    <numFmt numFmtId="165" formatCode="0.000"/>
    <numFmt numFmtId="166" formatCode="0.0000"/>
    <numFmt numFmtId="167" formatCode="#,##0.00\ &quot;₽&quot;"/>
    <numFmt numFmtId="168" formatCode="0.0"/>
    <numFmt numFmtId="169" formatCode="_-* #,##0.00\ &quot;₽&quot;_-;\-* #,##0.00\ &quot;₽&quot;_-;_-* &quot;-&quot;??\ &quot;₽&quot;_-;_-@"/>
  </numFmts>
  <fonts count="12">
    <font>
      <sz val="11"/>
      <color theme="1"/>
      <name val="Calibri"/>
      <family val="2"/>
      <charset val="204"/>
    </font>
    <font>
      <sz val="12"/>
      <color theme="1"/>
      <name val="0xProto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ptos Narrow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72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4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44" fontId="3" fillId="0" borderId="0" applyFont="0" applyFill="0" applyBorder="0" applyAlignment="0" applyProtection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35">
    <xf numFmtId="0" fontId="0" fillId="0" borderId="0" xfId="0"/>
    <xf numFmtId="0" fontId="6" fillId="0" borderId="9" xfId="6" applyFont="1" applyBorder="1" applyAlignment="1">
      <alignment horizontal="center"/>
    </xf>
    <xf numFmtId="0" fontId="6" fillId="0" borderId="27" xfId="6" applyFont="1" applyBorder="1" applyAlignment="1">
      <alignment horizontal="center"/>
    </xf>
    <xf numFmtId="0" fontId="6" fillId="0" borderId="19" xfId="6" applyFont="1" applyBorder="1"/>
    <xf numFmtId="0" fontId="6" fillId="0" borderId="0" xfId="6" applyFont="1"/>
    <xf numFmtId="0" fontId="6" fillId="0" borderId="5" xfId="6" applyFont="1" applyBorder="1"/>
    <xf numFmtId="167" fontId="6" fillId="0" borderId="5" xfId="6" applyNumberFormat="1" applyFont="1" applyBorder="1"/>
    <xf numFmtId="167" fontId="7" fillId="0" borderId="5" xfId="5" applyNumberFormat="1" applyFont="1" applyBorder="1" applyAlignment="1">
      <alignment horizontal="right" vertical="center" wrapText="1"/>
    </xf>
    <xf numFmtId="167" fontId="7" fillId="0" borderId="11" xfId="5" applyNumberFormat="1" applyFont="1" applyBorder="1" applyAlignment="1">
      <alignment horizontal="right" vertical="center" wrapText="1"/>
    </xf>
    <xf numFmtId="44" fontId="7" fillId="0" borderId="0" xfId="5" applyFont="1" applyBorder="1" applyAlignment="1">
      <alignment horizontal="center" vertical="center" wrapText="1"/>
    </xf>
    <xf numFmtId="0" fontId="6" fillId="0" borderId="11" xfId="6" applyFont="1" applyBorder="1"/>
    <xf numFmtId="167" fontId="6" fillId="0" borderId="11" xfId="6" applyNumberFormat="1" applyFont="1" applyBorder="1"/>
    <xf numFmtId="167" fontId="6" fillId="0" borderId="0" xfId="6" applyNumberFormat="1" applyFont="1"/>
    <xf numFmtId="0" fontId="6" fillId="0" borderId="34" xfId="6" applyFont="1" applyBorder="1" applyAlignment="1">
      <alignment horizontal="center"/>
    </xf>
    <xf numFmtId="0" fontId="6" fillId="0" borderId="35" xfId="6" applyFont="1" applyBorder="1" applyAlignment="1">
      <alignment horizontal="center"/>
    </xf>
    <xf numFmtId="0" fontId="6" fillId="0" borderId="36" xfId="6" applyFont="1" applyBorder="1" applyAlignment="1">
      <alignment horizontal="center"/>
    </xf>
    <xf numFmtId="0" fontId="6" fillId="0" borderId="37" xfId="6" applyFont="1" applyBorder="1" applyAlignment="1">
      <alignment horizontal="center"/>
    </xf>
    <xf numFmtId="167" fontId="7" fillId="0" borderId="8" xfId="5" applyNumberFormat="1" applyFont="1" applyBorder="1" applyAlignment="1">
      <alignment horizontal="right" vertical="center" wrapText="1"/>
    </xf>
    <xf numFmtId="0" fontId="6" fillId="0" borderId="8" xfId="6" applyFont="1" applyBorder="1"/>
    <xf numFmtId="167" fontId="6" fillId="0" borderId="8" xfId="6" applyNumberFormat="1" applyFont="1" applyBorder="1"/>
    <xf numFmtId="0" fontId="6" fillId="0" borderId="0" xfId="6" applyFont="1" applyAlignment="1">
      <alignment horizontal="center"/>
    </xf>
    <xf numFmtId="167" fontId="7" fillId="0" borderId="0" xfId="5" applyNumberFormat="1" applyFont="1" applyBorder="1" applyAlignment="1">
      <alignment horizontal="right" vertical="center" wrapText="1"/>
    </xf>
    <xf numFmtId="167" fontId="7" fillId="0" borderId="0" xfId="5" applyNumberFormat="1" applyFont="1" applyBorder="1" applyAlignment="1">
      <alignment horizontal="center" vertical="center" wrapText="1"/>
    </xf>
    <xf numFmtId="0" fontId="7" fillId="0" borderId="11" xfId="6" applyFont="1" applyBorder="1" applyAlignment="1">
      <alignment horizontal="center"/>
    </xf>
    <xf numFmtId="0" fontId="7" fillId="0" borderId="27" xfId="6" applyFont="1" applyBorder="1" applyAlignment="1">
      <alignment horizontal="center"/>
    </xf>
    <xf numFmtId="0" fontId="6" fillId="0" borderId="46" xfId="1" applyFont="1" applyBorder="1"/>
    <xf numFmtId="0" fontId="6" fillId="0" borderId="39" xfId="1" applyFont="1" applyBorder="1"/>
    <xf numFmtId="0" fontId="8" fillId="0" borderId="17" xfId="1" applyFont="1" applyBorder="1" applyAlignment="1">
      <alignment horizontal="center" vertical="center" wrapText="1"/>
    </xf>
    <xf numFmtId="0" fontId="6" fillId="0" borderId="47" xfId="1" applyFont="1" applyBorder="1"/>
    <xf numFmtId="0" fontId="8" fillId="0" borderId="48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 wrapText="1"/>
    </xf>
    <xf numFmtId="0" fontId="8" fillId="0" borderId="50" xfId="1" applyFont="1" applyBorder="1" applyAlignment="1">
      <alignment horizontal="center" vertical="center" wrapText="1"/>
    </xf>
    <xf numFmtId="169" fontId="8" fillId="0" borderId="51" xfId="1" applyNumberFormat="1" applyFont="1" applyBorder="1" applyAlignment="1">
      <alignment horizontal="center" vertical="center" wrapText="1"/>
    </xf>
    <xf numFmtId="0" fontId="6" fillId="0" borderId="52" xfId="1" applyFont="1" applyBorder="1"/>
    <xf numFmtId="0" fontId="6" fillId="0" borderId="53" xfId="1" applyFont="1" applyBorder="1"/>
    <xf numFmtId="0" fontId="6" fillId="0" borderId="54" xfId="1" applyFont="1" applyBorder="1"/>
    <xf numFmtId="0" fontId="8" fillId="0" borderId="54" xfId="1" applyFont="1" applyBorder="1" applyAlignment="1">
      <alignment horizontal="center" vertical="center" wrapText="1"/>
    </xf>
    <xf numFmtId="0" fontId="8" fillId="0" borderId="55" xfId="1" applyFont="1" applyBorder="1" applyAlignment="1">
      <alignment horizontal="center" vertical="center" wrapText="1"/>
    </xf>
    <xf numFmtId="0" fontId="6" fillId="0" borderId="56" xfId="1" applyFont="1" applyBorder="1"/>
    <xf numFmtId="0" fontId="6" fillId="0" borderId="57" xfId="1" applyFont="1" applyBorder="1"/>
    <xf numFmtId="0" fontId="6" fillId="0" borderId="59" xfId="1" applyFont="1" applyBorder="1"/>
    <xf numFmtId="167" fontId="2" fillId="0" borderId="5" xfId="1" applyNumberFormat="1" applyFont="1" applyBorder="1" applyAlignment="1">
      <alignment horizontal="right"/>
    </xf>
    <xf numFmtId="169" fontId="8" fillId="0" borderId="5" xfId="1" applyNumberFormat="1" applyFont="1" applyBorder="1" applyAlignment="1">
      <alignment horizontal="right"/>
    </xf>
    <xf numFmtId="169" fontId="8" fillId="0" borderId="41" xfId="1" applyNumberFormat="1" applyFont="1" applyBorder="1" applyAlignment="1">
      <alignment horizontal="right"/>
    </xf>
    <xf numFmtId="0" fontId="6" fillId="0" borderId="61" xfId="1" applyFont="1" applyBorder="1"/>
    <xf numFmtId="0" fontId="8" fillId="0" borderId="19" xfId="1" applyFont="1" applyBorder="1" applyAlignment="1">
      <alignment horizontal="center"/>
    </xf>
    <xf numFmtId="167" fontId="8" fillId="0" borderId="20" xfId="1" applyNumberFormat="1" applyFont="1" applyBorder="1" applyAlignment="1">
      <alignment horizontal="right"/>
    </xf>
    <xf numFmtId="167" fontId="8" fillId="0" borderId="62" xfId="1" applyNumberFormat="1" applyFont="1" applyBorder="1" applyAlignment="1">
      <alignment horizontal="right"/>
    </xf>
    <xf numFmtId="169" fontId="8" fillId="0" borderId="63" xfId="1" applyNumberFormat="1" applyFont="1" applyBorder="1" applyAlignment="1">
      <alignment horizontal="right"/>
    </xf>
    <xf numFmtId="0" fontId="0" fillId="0" borderId="0" xfId="0" applyFont="1"/>
    <xf numFmtId="44" fontId="2" fillId="0" borderId="0" xfId="1" applyNumberFormat="1" applyFont="1"/>
    <xf numFmtId="0" fontId="2" fillId="0" borderId="0" xfId="1" applyFont="1"/>
    <xf numFmtId="0" fontId="2" fillId="0" borderId="0" xfId="1" quotePrefix="1" applyFont="1"/>
    <xf numFmtId="0" fontId="8" fillId="0" borderId="2" xfId="1" applyFont="1" applyBorder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  <xf numFmtId="0" fontId="8" fillId="0" borderId="2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8" fillId="0" borderId="6" xfId="1" applyFont="1" applyBorder="1" applyAlignment="1">
      <alignment horizontal="center" wrapText="1"/>
    </xf>
    <xf numFmtId="0" fontId="8" fillId="0" borderId="7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/>
    </xf>
    <xf numFmtId="0" fontId="6" fillId="0" borderId="10" xfId="3" applyFont="1" applyBorder="1" applyAlignment="1">
      <alignment vertical="top"/>
    </xf>
    <xf numFmtId="164" fontId="6" fillId="0" borderId="10" xfId="4" applyNumberFormat="1" applyFont="1" applyBorder="1" applyAlignment="1">
      <alignment horizontal="right" vertical="top"/>
    </xf>
    <xf numFmtId="164" fontId="6" fillId="0" borderId="11" xfId="2" applyNumberFormat="1" applyFont="1" applyBorder="1" applyAlignment="1">
      <alignment horizontal="right" vertical="top"/>
    </xf>
    <xf numFmtId="165" fontId="2" fillId="0" borderId="11" xfId="1" applyNumberFormat="1" applyFont="1" applyBorder="1"/>
    <xf numFmtId="0" fontId="2" fillId="0" borderId="11" xfId="1" applyFont="1" applyBorder="1"/>
    <xf numFmtId="44" fontId="2" fillId="0" borderId="11" xfId="1" applyNumberFormat="1" applyFont="1" applyBorder="1"/>
    <xf numFmtId="0" fontId="2" fillId="0" borderId="11" xfId="1" applyFont="1" applyBorder="1" applyAlignment="1">
      <alignment horizontal="center"/>
    </xf>
    <xf numFmtId="0" fontId="6" fillId="0" borderId="10" xfId="3" applyFont="1" applyBorder="1" applyAlignment="1">
      <alignment horizontal="right" vertical="top"/>
    </xf>
    <xf numFmtId="166" fontId="6" fillId="0" borderId="10" xfId="3" applyNumberFormat="1" applyFont="1" applyBorder="1" applyAlignment="1">
      <alignment horizontal="right" vertical="top"/>
    </xf>
    <xf numFmtId="0" fontId="2" fillId="0" borderId="12" xfId="1" applyFont="1" applyBorder="1"/>
    <xf numFmtId="0" fontId="6" fillId="0" borderId="13" xfId="3" applyFont="1" applyBorder="1" applyAlignment="1">
      <alignment vertical="top"/>
    </xf>
    <xf numFmtId="164" fontId="6" fillId="0" borderId="14" xfId="4" applyNumberFormat="1" applyFont="1" applyBorder="1" applyAlignment="1">
      <alignment horizontal="right" vertical="top"/>
    </xf>
    <xf numFmtId="0" fontId="6" fillId="0" borderId="15" xfId="3" applyFont="1" applyBorder="1" applyAlignment="1">
      <alignment vertical="top"/>
    </xf>
    <xf numFmtId="165" fontId="8" fillId="0" borderId="11" xfId="1" applyNumberFormat="1" applyFont="1" applyBorder="1"/>
    <xf numFmtId="1" fontId="8" fillId="0" borderId="11" xfId="1" applyNumberFormat="1" applyFont="1" applyBorder="1"/>
    <xf numFmtId="44" fontId="8" fillId="0" borderId="11" xfId="1" applyNumberFormat="1" applyFont="1" applyBorder="1"/>
    <xf numFmtId="0" fontId="8" fillId="0" borderId="0" xfId="1" applyFont="1"/>
    <xf numFmtId="44" fontId="9" fillId="0" borderId="11" xfId="1" applyNumberFormat="1" applyFont="1" applyBorder="1"/>
    <xf numFmtId="164" fontId="2" fillId="0" borderId="0" xfId="1" applyNumberFormat="1" applyFont="1"/>
    <xf numFmtId="0" fontId="8" fillId="0" borderId="1" xfId="1" applyFont="1" applyBorder="1" applyAlignment="1">
      <alignment horizontal="center"/>
    </xf>
    <xf numFmtId="14" fontId="7" fillId="2" borderId="9" xfId="2" applyNumberFormat="1" applyFont="1" applyFill="1" applyBorder="1" applyAlignment="1">
      <alignment horizontal="center" vertical="top"/>
    </xf>
    <xf numFmtId="0" fontId="7" fillId="2" borderId="9" xfId="2" applyFont="1" applyFill="1" applyBorder="1" applyAlignment="1">
      <alignment horizontal="center" vertical="top"/>
    </xf>
    <xf numFmtId="166" fontId="6" fillId="0" borderId="11" xfId="3" applyNumberFormat="1" applyFont="1" applyBorder="1" applyAlignment="1">
      <alignment horizontal="right" vertical="top"/>
    </xf>
    <xf numFmtId="0" fontId="6" fillId="0" borderId="11" xfId="3" applyFont="1" applyBorder="1" applyAlignment="1">
      <alignment horizontal="right" vertical="top"/>
    </xf>
    <xf numFmtId="0" fontId="6" fillId="0" borderId="11" xfId="3" applyFont="1" applyBorder="1" applyAlignment="1">
      <alignment vertical="top"/>
    </xf>
    <xf numFmtId="0" fontId="7" fillId="0" borderId="17" xfId="6" applyFont="1" applyBorder="1" applyAlignment="1">
      <alignment horizontal="center"/>
    </xf>
    <xf numFmtId="0" fontId="7" fillId="0" borderId="18" xfId="6" applyFont="1" applyBorder="1" applyAlignment="1">
      <alignment horizontal="center"/>
    </xf>
    <xf numFmtId="0" fontId="7" fillId="0" borderId="19" xfId="6" applyFont="1" applyBorder="1" applyAlignment="1">
      <alignment horizontal="center"/>
    </xf>
    <xf numFmtId="0" fontId="7" fillId="0" borderId="20" xfId="6" applyFont="1" applyBorder="1" applyAlignment="1">
      <alignment horizontal="center"/>
    </xf>
    <xf numFmtId="0" fontId="7" fillId="0" borderId="21" xfId="6" applyFont="1" applyBorder="1" applyAlignment="1">
      <alignment horizontal="center"/>
    </xf>
    <xf numFmtId="44" fontId="6" fillId="0" borderId="22" xfId="5" applyFont="1" applyBorder="1"/>
    <xf numFmtId="167" fontId="6" fillId="0" borderId="23" xfId="5" applyNumberFormat="1" applyFont="1" applyBorder="1"/>
    <xf numFmtId="0" fontId="6" fillId="0" borderId="24" xfId="6" applyFont="1" applyBorder="1" applyAlignment="1">
      <alignment horizontal="center"/>
    </xf>
    <xf numFmtId="167" fontId="6" fillId="0" borderId="5" xfId="5" applyNumberFormat="1" applyFont="1" applyBorder="1" applyAlignment="1">
      <alignment horizontal="right"/>
    </xf>
    <xf numFmtId="167" fontId="9" fillId="0" borderId="25" xfId="5" applyNumberFormat="1" applyFont="1" applyBorder="1" applyAlignment="1">
      <alignment horizontal="right"/>
    </xf>
    <xf numFmtId="44" fontId="6" fillId="0" borderId="9" xfId="5" applyFont="1" applyBorder="1"/>
    <xf numFmtId="167" fontId="6" fillId="0" borderId="26" xfId="5" applyNumberFormat="1" applyFont="1" applyBorder="1"/>
    <xf numFmtId="44" fontId="6" fillId="0" borderId="28" xfId="5" applyFont="1" applyBorder="1"/>
    <xf numFmtId="167" fontId="6" fillId="0" borderId="29" xfId="5" applyNumberFormat="1" applyFont="1" applyBorder="1"/>
    <xf numFmtId="167" fontId="8" fillId="0" borderId="30" xfId="5" applyNumberFormat="1" applyFont="1" applyBorder="1" applyAlignment="1">
      <alignment horizontal="right" vertical="center"/>
    </xf>
    <xf numFmtId="44" fontId="8" fillId="0" borderId="0" xfId="5" applyFont="1" applyBorder="1" applyAlignment="1"/>
    <xf numFmtId="0" fontId="7" fillId="0" borderId="31" xfId="6" applyFont="1" applyBorder="1" applyAlignment="1">
      <alignment horizontal="center"/>
    </xf>
    <xf numFmtId="0" fontId="7" fillId="0" borderId="32" xfId="6" applyFont="1" applyBorder="1" applyAlignment="1">
      <alignment horizontal="center"/>
    </xf>
    <xf numFmtId="167" fontId="9" fillId="0" borderId="33" xfId="6" applyNumberFormat="1" applyFont="1" applyBorder="1" applyAlignment="1">
      <alignment horizontal="right"/>
    </xf>
    <xf numFmtId="0" fontId="7" fillId="0" borderId="19" xfId="6" applyFont="1" applyBorder="1" applyAlignment="1">
      <alignment horizontal="center"/>
    </xf>
    <xf numFmtId="0" fontId="7" fillId="0" borderId="20" xfId="6" applyFont="1" applyBorder="1" applyAlignment="1">
      <alignment horizontal="center"/>
    </xf>
    <xf numFmtId="167" fontId="9" fillId="0" borderId="21" xfId="6" applyNumberFormat="1" applyFont="1" applyBorder="1" applyAlignment="1">
      <alignment horizontal="right"/>
    </xf>
    <xf numFmtId="44" fontId="9" fillId="0" borderId="0" xfId="6" applyNumberFormat="1" applyFont="1"/>
    <xf numFmtId="0" fontId="7" fillId="0" borderId="0" xfId="6" applyFont="1" applyAlignment="1">
      <alignment horizontal="center"/>
    </xf>
    <xf numFmtId="0" fontId="7" fillId="0" borderId="33" xfId="6" applyFont="1" applyBorder="1" applyAlignment="1">
      <alignment horizontal="center"/>
    </xf>
    <xf numFmtId="167" fontId="9" fillId="0" borderId="31" xfId="6" applyNumberFormat="1" applyFont="1" applyBorder="1" applyAlignment="1">
      <alignment horizontal="center"/>
    </xf>
    <xf numFmtId="167" fontId="9" fillId="0" borderId="32" xfId="6" applyNumberFormat="1" applyFont="1" applyBorder="1" applyAlignment="1">
      <alignment horizontal="center"/>
    </xf>
    <xf numFmtId="167" fontId="9" fillId="0" borderId="33" xfId="6" applyNumberFormat="1" applyFont="1" applyBorder="1" applyAlignment="1">
      <alignment horizontal="center"/>
    </xf>
    <xf numFmtId="0" fontId="7" fillId="0" borderId="38" xfId="6" applyFont="1" applyBorder="1" applyAlignment="1">
      <alignment horizontal="center"/>
    </xf>
    <xf numFmtId="0" fontId="7" fillId="0" borderId="32" xfId="6" applyFont="1" applyBorder="1" applyAlignment="1">
      <alignment horizontal="center"/>
    </xf>
    <xf numFmtId="0" fontId="7" fillId="0" borderId="30" xfId="6" applyFont="1" applyBorder="1" applyAlignment="1">
      <alignment horizontal="center"/>
    </xf>
    <xf numFmtId="0" fontId="7" fillId="0" borderId="5" xfId="6" applyFont="1" applyBorder="1" applyAlignment="1">
      <alignment horizontal="center"/>
    </xf>
    <xf numFmtId="167" fontId="6" fillId="0" borderId="5" xfId="5" applyNumberFormat="1" applyFont="1" applyBorder="1"/>
    <xf numFmtId="167" fontId="7" fillId="0" borderId="5" xfId="6" applyNumberFormat="1" applyFont="1" applyBorder="1"/>
    <xf numFmtId="44" fontId="6" fillId="0" borderId="0" xfId="5" applyFont="1" applyBorder="1"/>
    <xf numFmtId="44" fontId="7" fillId="0" borderId="0" xfId="6" applyNumberFormat="1" applyFont="1"/>
    <xf numFmtId="0" fontId="7" fillId="0" borderId="31" xfId="6" applyFont="1" applyBorder="1" applyAlignment="1">
      <alignment horizontal="center"/>
    </xf>
    <xf numFmtId="167" fontId="7" fillId="0" borderId="0" xfId="5" applyNumberFormat="1" applyFont="1" applyBorder="1" applyAlignment="1">
      <alignment horizontal="center" vertical="center"/>
    </xf>
    <xf numFmtId="44" fontId="7" fillId="0" borderId="16" xfId="6" applyNumberFormat="1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167" fontId="9" fillId="0" borderId="30" xfId="5" applyNumberFormat="1" applyFont="1" applyBorder="1" applyAlignment="1">
      <alignment horizontal="right" vertical="center"/>
    </xf>
    <xf numFmtId="44" fontId="9" fillId="0" borderId="0" xfId="5" applyFont="1" applyBorder="1" applyAlignment="1"/>
    <xf numFmtId="44" fontId="2" fillId="0" borderId="0" xfId="5" applyFont="1"/>
    <xf numFmtId="0" fontId="10" fillId="0" borderId="0" xfId="1" applyFont="1"/>
    <xf numFmtId="0" fontId="2" fillId="0" borderId="11" xfId="1" applyFont="1" applyBorder="1" applyAlignment="1">
      <alignment horizontal="center" vertical="center"/>
    </xf>
    <xf numFmtId="0" fontId="2" fillId="0" borderId="0" xfId="1" applyFont="1" applyAlignment="1">
      <alignment wrapText="1"/>
    </xf>
    <xf numFmtId="1" fontId="2" fillId="0" borderId="11" xfId="1" applyNumberFormat="1" applyFont="1" applyBorder="1" applyAlignment="1">
      <alignment horizontal="center" vertical="center"/>
    </xf>
    <xf numFmtId="44" fontId="2" fillId="0" borderId="11" xfId="5" applyFont="1" applyBorder="1" applyAlignment="1">
      <alignment vertical="center"/>
    </xf>
    <xf numFmtId="0" fontId="2" fillId="0" borderId="39" xfId="1" applyFont="1" applyBorder="1" applyAlignment="1">
      <alignment vertical="center" wrapText="1"/>
    </xf>
    <xf numFmtId="0" fontId="2" fillId="0" borderId="11" xfId="1" applyFont="1" applyBorder="1" applyAlignment="1">
      <alignment horizontal="left" vertical="top" wrapText="1"/>
    </xf>
    <xf numFmtId="44" fontId="2" fillId="0" borderId="11" xfId="5" applyFont="1" applyBorder="1"/>
    <xf numFmtId="44" fontId="8" fillId="0" borderId="0" xfId="5" applyFont="1"/>
    <xf numFmtId="44" fontId="8" fillId="0" borderId="0" xfId="5" applyFont="1" applyFill="1" applyBorder="1"/>
    <xf numFmtId="44" fontId="2" fillId="0" borderId="0" xfId="8" applyFont="1"/>
    <xf numFmtId="0" fontId="2" fillId="0" borderId="0" xfId="7" applyFont="1"/>
    <xf numFmtId="0" fontId="8" fillId="0" borderId="11" xfId="1" applyFont="1" applyBorder="1" applyAlignment="1">
      <alignment wrapText="1"/>
    </xf>
    <xf numFmtId="44" fontId="8" fillId="0" borderId="11" xfId="5" applyFont="1" applyBorder="1" applyAlignment="1">
      <alignment wrapText="1"/>
    </xf>
    <xf numFmtId="165" fontId="6" fillId="0" borderId="40" xfId="4" applyNumberFormat="1" applyFont="1" applyBorder="1" applyAlignment="1">
      <alignment horizontal="right" vertical="top"/>
    </xf>
    <xf numFmtId="0" fontId="6" fillId="0" borderId="40" xfId="9" applyFont="1" applyBorder="1" applyAlignment="1">
      <alignment vertical="top"/>
    </xf>
    <xf numFmtId="165" fontId="6" fillId="0" borderId="40" xfId="9" applyNumberFormat="1" applyFont="1" applyBorder="1" applyAlignment="1">
      <alignment horizontal="right" vertical="top"/>
    </xf>
    <xf numFmtId="0" fontId="8" fillId="0" borderId="0" xfId="1" applyFont="1" applyAlignment="1">
      <alignment horizontal="center"/>
    </xf>
    <xf numFmtId="0" fontId="6" fillId="0" borderId="40" xfId="10" applyFont="1" applyBorder="1" applyAlignment="1">
      <alignment vertical="top"/>
    </xf>
    <xf numFmtId="165" fontId="6" fillId="0" borderId="40" xfId="10" applyNumberFormat="1" applyFont="1" applyBorder="1" applyAlignment="1">
      <alignment horizontal="right" vertical="top"/>
    </xf>
    <xf numFmtId="165" fontId="6" fillId="0" borderId="40" xfId="10" applyNumberFormat="1" applyFont="1" applyBorder="1" applyAlignment="1">
      <alignment vertical="top"/>
    </xf>
    <xf numFmtId="0" fontId="8" fillId="0" borderId="0" xfId="1" applyFont="1" applyAlignment="1">
      <alignment wrapText="1"/>
    </xf>
    <xf numFmtId="0" fontId="6" fillId="0" borderId="40" xfId="11" applyFont="1" applyBorder="1" applyAlignment="1">
      <alignment vertical="top"/>
    </xf>
    <xf numFmtId="165" fontId="6" fillId="0" borderId="40" xfId="11" applyNumberFormat="1" applyFont="1" applyBorder="1" applyAlignment="1">
      <alignment horizontal="right" vertical="top"/>
    </xf>
    <xf numFmtId="165" fontId="6" fillId="0" borderId="40" xfId="11" applyNumberFormat="1" applyFont="1" applyBorder="1" applyAlignment="1">
      <alignment vertical="top"/>
    </xf>
    <xf numFmtId="165" fontId="2" fillId="0" borderId="0" xfId="1" applyNumberFormat="1" applyFont="1"/>
    <xf numFmtId="0" fontId="6" fillId="0" borderId="40" xfId="12" applyFont="1" applyBorder="1" applyAlignment="1">
      <alignment vertical="top"/>
    </xf>
    <xf numFmtId="168" fontId="6" fillId="0" borderId="40" xfId="12" applyNumberFormat="1" applyFont="1" applyBorder="1" applyAlignment="1">
      <alignment horizontal="right" vertical="top"/>
    </xf>
    <xf numFmtId="1" fontId="6" fillId="0" borderId="40" xfId="12" applyNumberFormat="1" applyFont="1" applyBorder="1" applyAlignment="1">
      <alignment horizontal="right" vertical="top"/>
    </xf>
    <xf numFmtId="165" fontId="6" fillId="0" borderId="40" xfId="13" applyNumberFormat="1" applyFont="1" applyBorder="1" applyAlignment="1">
      <alignment horizontal="right" vertical="top"/>
    </xf>
    <xf numFmtId="0" fontId="6" fillId="0" borderId="40" xfId="14" applyFont="1" applyBorder="1" applyAlignment="1">
      <alignment vertical="top"/>
    </xf>
    <xf numFmtId="165" fontId="6" fillId="0" borderId="40" xfId="14" applyNumberFormat="1" applyFont="1" applyBorder="1" applyAlignment="1">
      <alignment horizontal="right" vertical="top"/>
    </xf>
    <xf numFmtId="165" fontId="6" fillId="0" borderId="40" xfId="14" applyNumberFormat="1" applyFont="1" applyBorder="1" applyAlignment="1">
      <alignment vertical="top"/>
    </xf>
    <xf numFmtId="168" fontId="6" fillId="0" borderId="40" xfId="15" applyNumberFormat="1" applyFont="1" applyBorder="1" applyAlignment="1">
      <alignment horizontal="right" vertical="top"/>
    </xf>
    <xf numFmtId="0" fontId="6" fillId="0" borderId="40" xfId="15" applyFont="1" applyBorder="1" applyAlignment="1">
      <alignment vertical="top"/>
    </xf>
    <xf numFmtId="1" fontId="6" fillId="0" borderId="40" xfId="15" applyNumberFormat="1" applyFont="1" applyBorder="1" applyAlignment="1">
      <alignment horizontal="right" vertical="top"/>
    </xf>
    <xf numFmtId="0" fontId="6" fillId="0" borderId="40" xfId="16" applyFont="1" applyBorder="1" applyAlignment="1">
      <alignment vertical="top"/>
    </xf>
    <xf numFmtId="168" fontId="6" fillId="0" borderId="40" xfId="16" applyNumberFormat="1" applyFont="1" applyBorder="1" applyAlignment="1">
      <alignment horizontal="right" vertical="top"/>
    </xf>
    <xf numFmtId="0" fontId="6" fillId="0" borderId="40" xfId="17" applyFont="1" applyBorder="1" applyAlignment="1">
      <alignment vertical="top"/>
    </xf>
    <xf numFmtId="168" fontId="6" fillId="0" borderId="40" xfId="17" applyNumberFormat="1" applyFont="1" applyBorder="1" applyAlignment="1">
      <alignment horizontal="right" vertical="top"/>
    </xf>
    <xf numFmtId="0" fontId="6" fillId="0" borderId="40" xfId="18" applyFont="1" applyBorder="1" applyAlignment="1">
      <alignment vertical="top"/>
    </xf>
    <xf numFmtId="1" fontId="6" fillId="0" borderId="40" xfId="18" applyNumberFormat="1" applyFont="1" applyBorder="1" applyAlignment="1">
      <alignment horizontal="right" vertical="top"/>
    </xf>
    <xf numFmtId="168" fontId="6" fillId="0" borderId="40" xfId="18" applyNumberFormat="1" applyFont="1" applyBorder="1" applyAlignment="1">
      <alignment horizontal="right" vertical="top"/>
    </xf>
    <xf numFmtId="165" fontId="6" fillId="0" borderId="40" xfId="18" applyNumberFormat="1" applyFont="1" applyBorder="1" applyAlignment="1">
      <alignment horizontal="right" vertical="top"/>
    </xf>
    <xf numFmtId="0" fontId="6" fillId="0" borderId="40" xfId="19" applyFont="1" applyBorder="1" applyAlignment="1">
      <alignment vertical="top"/>
    </xf>
    <xf numFmtId="165" fontId="6" fillId="0" borderId="40" xfId="19" applyNumberFormat="1" applyFont="1" applyBorder="1" applyAlignment="1">
      <alignment horizontal="right" vertical="top"/>
    </xf>
    <xf numFmtId="165" fontId="6" fillId="0" borderId="40" xfId="19" applyNumberFormat="1" applyFont="1" applyBorder="1" applyAlignment="1">
      <alignment vertical="top"/>
    </xf>
    <xf numFmtId="1" fontId="6" fillId="0" borderId="40" xfId="19" applyNumberFormat="1" applyFont="1" applyBorder="1" applyAlignment="1">
      <alignment horizontal="right" vertical="top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1" fontId="2" fillId="0" borderId="0" xfId="1" applyNumberFormat="1" applyFont="1"/>
    <xf numFmtId="167" fontId="2" fillId="0" borderId="41" xfId="1" applyNumberFormat="1" applyFont="1" applyBorder="1" applyAlignment="1">
      <alignment horizontal="center"/>
    </xf>
    <xf numFmtId="0" fontId="8" fillId="0" borderId="42" xfId="1" applyFont="1" applyBorder="1" applyAlignment="1">
      <alignment horizontal="center" wrapText="1"/>
    </xf>
    <xf numFmtId="0" fontId="8" fillId="0" borderId="43" xfId="1" applyFont="1" applyBorder="1" applyAlignment="1">
      <alignment horizontal="center" wrapText="1"/>
    </xf>
    <xf numFmtId="0" fontId="8" fillId="0" borderId="44" xfId="1" applyFont="1" applyBorder="1" applyAlignment="1">
      <alignment horizontal="center" wrapText="1"/>
    </xf>
    <xf numFmtId="0" fontId="8" fillId="0" borderId="42" xfId="1" applyFont="1" applyBorder="1" applyAlignment="1">
      <alignment horizontal="center" wrapText="1"/>
    </xf>
    <xf numFmtId="0" fontId="2" fillId="0" borderId="41" xfId="1" applyFont="1" applyBorder="1" applyAlignment="1">
      <alignment horizontal="center"/>
    </xf>
    <xf numFmtId="0" fontId="2" fillId="0" borderId="41" xfId="1" applyFont="1" applyBorder="1" applyAlignment="1">
      <alignment horizontal="center" vertical="center"/>
    </xf>
    <xf numFmtId="0" fontId="2" fillId="0" borderId="41" xfId="1" applyFont="1" applyBorder="1"/>
    <xf numFmtId="0" fontId="2" fillId="3" borderId="41" xfId="1" applyFont="1" applyFill="1" applyBorder="1" applyAlignment="1">
      <alignment horizontal="center"/>
    </xf>
    <xf numFmtId="0" fontId="2" fillId="3" borderId="41" xfId="1" applyFont="1" applyFill="1" applyBorder="1" applyAlignment="1">
      <alignment horizontal="center" vertical="center"/>
    </xf>
    <xf numFmtId="0" fontId="2" fillId="3" borderId="41" xfId="1" applyFont="1" applyFill="1" applyBorder="1"/>
    <xf numFmtId="0" fontId="8" fillId="0" borderId="19" xfId="1" applyFont="1" applyBorder="1"/>
    <xf numFmtId="0" fontId="8" fillId="0" borderId="20" xfId="1" applyFont="1" applyBorder="1"/>
    <xf numFmtId="1" fontId="8" fillId="0" borderId="20" xfId="1" applyNumberFormat="1" applyFont="1" applyBorder="1"/>
    <xf numFmtId="165" fontId="8" fillId="0" borderId="20" xfId="1" applyNumberFormat="1" applyFont="1" applyBorder="1"/>
    <xf numFmtId="167" fontId="9" fillId="0" borderId="21" xfId="1" applyNumberFormat="1" applyFont="1" applyBorder="1"/>
    <xf numFmtId="14" fontId="7" fillId="3" borderId="9" xfId="20" applyNumberFormat="1" applyFont="1" applyFill="1" applyBorder="1" applyAlignment="1">
      <alignment horizontal="center" vertical="top"/>
    </xf>
    <xf numFmtId="0" fontId="7" fillId="3" borderId="9" xfId="20" applyFont="1" applyFill="1" applyBorder="1" applyAlignment="1">
      <alignment horizontal="center" vertical="top"/>
    </xf>
    <xf numFmtId="0" fontId="6" fillId="0" borderId="41" xfId="21" applyFont="1" applyBorder="1" applyAlignment="1">
      <alignment horizontal="center" vertical="top"/>
    </xf>
    <xf numFmtId="0" fontId="6" fillId="3" borderId="41" xfId="21" applyFont="1" applyFill="1" applyBorder="1" applyAlignment="1">
      <alignment horizontal="center" vertical="top"/>
    </xf>
    <xf numFmtId="169" fontId="2" fillId="0" borderId="0" xfId="1" applyNumberFormat="1" applyFont="1"/>
    <xf numFmtId="0" fontId="2" fillId="0" borderId="0" xfId="1" applyFont="1"/>
    <xf numFmtId="0" fontId="2" fillId="0" borderId="5" xfId="1" applyFont="1" applyBorder="1" applyAlignment="1">
      <alignment horizontal="center" vertical="top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wrapText="1"/>
    </xf>
    <xf numFmtId="0" fontId="2" fillId="0" borderId="41" xfId="1" applyFont="1" applyBorder="1" applyAlignment="1">
      <alignment horizontal="center" vertical="top"/>
    </xf>
    <xf numFmtId="0" fontId="2" fillId="0" borderId="41" xfId="1" applyFont="1" applyBorder="1" applyAlignment="1">
      <alignment horizontal="center" wrapText="1"/>
    </xf>
    <xf numFmtId="0" fontId="2" fillId="5" borderId="41" xfId="1" applyFont="1" applyFill="1" applyBorder="1" applyAlignment="1">
      <alignment horizontal="center" vertical="top"/>
    </xf>
    <xf numFmtId="0" fontId="2" fillId="5" borderId="41" xfId="1" applyFont="1" applyFill="1" applyBorder="1" applyAlignment="1">
      <alignment horizontal="center" vertical="center"/>
    </xf>
    <xf numFmtId="0" fontId="2" fillId="5" borderId="41" xfId="1" applyFont="1" applyFill="1" applyBorder="1" applyAlignment="1">
      <alignment horizontal="center" wrapText="1"/>
    </xf>
    <xf numFmtId="0" fontId="8" fillId="0" borderId="22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45" xfId="1" applyFont="1" applyBorder="1" applyAlignment="1">
      <alignment horizontal="center"/>
    </xf>
    <xf numFmtId="14" fontId="8" fillId="4" borderId="58" xfId="1" applyNumberFormat="1" applyFont="1" applyFill="1" applyBorder="1" applyAlignment="1">
      <alignment horizontal="center" vertical="top"/>
    </xf>
    <xf numFmtId="14" fontId="8" fillId="4" borderId="60" xfId="1" applyNumberFormat="1" applyFont="1" applyFill="1" applyBorder="1" applyAlignment="1">
      <alignment horizontal="center" vertical="top"/>
    </xf>
    <xf numFmtId="169" fontId="9" fillId="0" borderId="23" xfId="1" applyNumberFormat="1" applyFont="1" applyBorder="1" applyAlignment="1">
      <alignment horizontal="center"/>
    </xf>
    <xf numFmtId="4" fontId="2" fillId="0" borderId="0" xfId="1" applyNumberFormat="1" applyFont="1"/>
    <xf numFmtId="0" fontId="8" fillId="0" borderId="64" xfId="1" applyFont="1" applyBorder="1" applyAlignment="1">
      <alignment horizontal="center"/>
    </xf>
    <xf numFmtId="0" fontId="8" fillId="0" borderId="65" xfId="1" applyFont="1" applyBorder="1" applyAlignment="1">
      <alignment horizontal="center"/>
    </xf>
    <xf numFmtId="0" fontId="8" fillId="0" borderId="66" xfId="1" applyFont="1" applyBorder="1" applyAlignment="1">
      <alignment horizontal="center" vertical="center"/>
    </xf>
    <xf numFmtId="0" fontId="8" fillId="0" borderId="41" xfId="1" applyFont="1" applyBorder="1" applyAlignment="1">
      <alignment horizontal="center"/>
    </xf>
    <xf numFmtId="4" fontId="2" fillId="0" borderId="41" xfId="1" applyNumberFormat="1" applyFont="1" applyBorder="1"/>
    <xf numFmtId="0" fontId="6" fillId="0" borderId="41" xfId="22" applyFont="1" applyBorder="1" applyAlignment="1">
      <alignment horizontal="center" vertical="top"/>
    </xf>
    <xf numFmtId="0" fontId="6" fillId="0" borderId="41" xfId="23" applyFont="1" applyBorder="1" applyAlignment="1">
      <alignment horizontal="center" vertical="top"/>
    </xf>
    <xf numFmtId="44" fontId="2" fillId="0" borderId="41" xfId="5" applyFont="1" applyBorder="1"/>
    <xf numFmtId="165" fontId="6" fillId="0" borderId="11" xfId="2" applyNumberFormat="1" applyFont="1" applyBorder="1" applyAlignment="1">
      <alignment horizontal="right" vertical="top"/>
    </xf>
    <xf numFmtId="7" fontId="2" fillId="0" borderId="11" xfId="1" applyNumberFormat="1" applyFont="1" applyBorder="1"/>
    <xf numFmtId="7" fontId="8" fillId="0" borderId="11" xfId="1" applyNumberFormat="1" applyFont="1" applyBorder="1"/>
    <xf numFmtId="7" fontId="9" fillId="0" borderId="11" xfId="1" applyNumberFormat="1" applyFont="1" applyBorder="1"/>
    <xf numFmtId="165" fontId="6" fillId="0" borderId="67" xfId="4" applyNumberFormat="1" applyFont="1" applyBorder="1" applyAlignment="1">
      <alignment horizontal="right" vertical="top"/>
    </xf>
    <xf numFmtId="2" fontId="2" fillId="0" borderId="0" xfId="1" applyNumberFormat="1" applyFont="1"/>
    <xf numFmtId="14" fontId="2" fillId="0" borderId="0" xfId="1" applyNumberFormat="1" applyFont="1"/>
    <xf numFmtId="167" fontId="11" fillId="0" borderId="0" xfId="5" applyNumberFormat="1" applyFont="1" applyBorder="1" applyAlignment="1">
      <alignment horizontal="center" vertical="center"/>
    </xf>
  </cellXfs>
  <cellStyles count="24">
    <cellStyle name="Денежный 2" xfId="5" xr:uid="{44395EE3-F667-4E6B-B2A1-1D17FEB00880}"/>
    <cellStyle name="Денежный 2 2" xfId="8" xr:uid="{FA060F50-2847-46CC-A402-8AEF875404BC}"/>
    <cellStyle name="Обычный" xfId="0" builtinId="0" customBuiltin="1"/>
    <cellStyle name="Обычный 2" xfId="1" xr:uid="{5D5312F0-13D8-4623-ABE1-4E600BDE2158}"/>
    <cellStyle name="Обычный 5" xfId="6" xr:uid="{C82D06F6-E449-4C2F-BD76-9695BDAE83A7}"/>
    <cellStyle name="Обычный 6" xfId="7" xr:uid="{9A9E428A-B527-4C2C-8455-EDDA98D3BF62}"/>
    <cellStyle name="Обычный_Биаксплен Новосибирск" xfId="3" xr:uid="{03993663-8D5F-4431-8C20-002037C43A6F}"/>
    <cellStyle name="Обычный_Ергарда" xfId="23" xr:uid="{CB3CC9BD-29BD-443A-9F81-601F5515DB85}"/>
    <cellStyle name="Обычный_Лист1" xfId="21" xr:uid="{CFFCE540-9044-4352-B35C-B48DDFD7DE53}"/>
    <cellStyle name="Обычный_Приоритет Баумана" xfId="16" xr:uid="{28CCE435-2D20-4804-9F0F-F7CFB51B9DA1}"/>
    <cellStyle name="Обычный_Приоритет Екатеринбург" xfId="15" xr:uid="{2D0F0D57-6A90-448C-8603-D085B8D7A865}"/>
    <cellStyle name="Обычный_Приоритет Зеленодольск" xfId="14" xr:uid="{92FC6CE0-6A2A-4FEF-BF1A-6E4D869832CC}"/>
    <cellStyle name="Обычный_Приоритет Казань_Приволжская" xfId="13" xr:uid="{6F15D01C-56F6-4175-8484-0B59848A338B}"/>
    <cellStyle name="Обычный_РусВинил ББ" xfId="20" xr:uid="{83F45147-7FBE-4DE7-8F55-C7D8B7FFCE50}"/>
    <cellStyle name="Обычный_Сибур" xfId="2" xr:uid="{798F4AA8-5C2E-405D-BCD2-9140DBEAF656}"/>
    <cellStyle name="Обычный_Сибур 1" xfId="4" xr:uid="{038DDFBE-808E-4248-8A7F-61F469C52FC7}"/>
    <cellStyle name="Обычный_СтройТех" xfId="22" xr:uid="{190C8A18-E911-4F77-8E21-A4E12F0247E1}"/>
    <cellStyle name="Обычный_Фармпласт Баумана" xfId="18" xr:uid="{58AA975C-0798-44DE-8F61-513279A537CB}"/>
    <cellStyle name="Обычный_Фармпласт Екатеринбург" xfId="19" xr:uid="{3E7D1347-AEE4-4234-998C-AE9289D83E43}"/>
    <cellStyle name="Обычный_Фармпласт Новикова-Прибоя" xfId="17" xr:uid="{154D1650-5A5C-4386-9492-823BA9C36B7B}"/>
    <cellStyle name="Обычный_Центрополимер Баумана" xfId="9" xr:uid="{6FAB0C3F-9989-46B4-88E4-D4DEA7570D5B}"/>
    <cellStyle name="Обычный_Центрополимер Екатеринбург" xfId="11" xr:uid="{BAFD613A-B0BE-41B8-B922-9F3965088CFE}"/>
    <cellStyle name="Обычный_Центрополимер Новикова-Прибоя" xfId="10" xr:uid="{976138B0-5FEC-45AB-AB84-4FBEF7B300FA}"/>
    <cellStyle name="Обычный_Юг Полимер Баумана" xfId="12" xr:uid="{C296EDF3-FBBC-4299-9C66-11199412B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041;&#1080;&#1083;&#1083;&#1080;&#1085;&#1075;%20&#1084;&#1077;&#1083;&#1082;&#1080;&#1077;\&#1048;&#1058;&#1054;&#1043;&#1054;.xlsx" TargetMode="External"/><Relationship Id="rId1" Type="http://schemas.openxmlformats.org/officeDocument/2006/relationships/externalLinkPath" Target="/Users/user/Desktop/&#1041;&#1080;&#1083;&#1083;&#1080;&#1085;&#1075;%20&#1084;&#1077;&#1083;&#1082;&#1080;&#1077;/&#1048;&#1058;&#1054;&#1043;&#10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"/>
      <sheetName val="Другое"/>
      <sheetName val="Нижнекамск завод"/>
      <sheetName val="Сводка"/>
    </sheetNames>
    <sheetDataSet>
      <sheetData sheetId="0">
        <row r="35">
          <cell r="G35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DCA6-14B4-4134-BC11-A1DA73277CE8}">
  <dimension ref="A1"/>
  <sheetViews>
    <sheetView workbookViewId="0"/>
  </sheetViews>
  <sheetFormatPr defaultRowHeight="15"/>
  <cols>
    <col min="1" max="16384" width="9.140625" style="49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F7B7-020F-4569-A633-DB5C33A0D2F7}">
  <dimension ref="A1:T40"/>
  <sheetViews>
    <sheetView topLeftCell="A14" workbookViewId="0">
      <selection activeCell="I25" sqref="I25"/>
    </sheetView>
  </sheetViews>
  <sheetFormatPr defaultRowHeight="15"/>
  <cols>
    <col min="1" max="1" width="13.140625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A1" s="50">
        <f>T37</f>
        <v>194710.505256</v>
      </c>
      <c r="I1" s="52"/>
    </row>
    <row r="2" spans="1:20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5</v>
      </c>
      <c r="H3" s="53" t="s">
        <v>6</v>
      </c>
      <c r="I3" s="53" t="s">
        <v>7</v>
      </c>
      <c r="J3" s="53" t="s">
        <v>8</v>
      </c>
      <c r="K3" s="53" t="s">
        <v>9</v>
      </c>
      <c r="L3" s="53" t="s">
        <v>10</v>
      </c>
      <c r="M3" s="53" t="s">
        <v>11</v>
      </c>
      <c r="N3" s="53" t="s">
        <v>12</v>
      </c>
      <c r="O3" s="53" t="s">
        <v>13</v>
      </c>
      <c r="P3" s="53" t="s">
        <v>14</v>
      </c>
      <c r="Q3" s="53" t="s">
        <v>15</v>
      </c>
      <c r="R3" s="53" t="s">
        <v>16</v>
      </c>
      <c r="S3" s="53" t="s">
        <v>17</v>
      </c>
      <c r="T3" s="53" t="s">
        <v>18</v>
      </c>
    </row>
    <row r="4" spans="1:20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2">
        <v>1</v>
      </c>
      <c r="B5" s="83">
        <v>46204</v>
      </c>
      <c r="C5" s="84"/>
      <c r="D5" s="63"/>
      <c r="E5" s="63"/>
      <c r="F5" s="64">
        <v>0</v>
      </c>
      <c r="G5" s="65">
        <f>IF(OR(B5="",NOT(ISERROR(SEARCH("KPI",$A$2))),NOT(ISERROR(SEARCH("Полиом",$A$2)))),0,IF(70-F5&lt;=0,0,70-F5))</f>
        <v>70</v>
      </c>
      <c r="H5" s="65"/>
      <c r="I5" s="66"/>
      <c r="J5" s="66"/>
      <c r="K5" s="67"/>
      <c r="L5" s="68">
        <f>SUM(K5*240)</f>
        <v>0</v>
      </c>
      <c r="M5" s="68">
        <f>SUM(D5*120)</f>
        <v>0</v>
      </c>
      <c r="N5" s="68">
        <f>SUM(E5*120)</f>
        <v>0</v>
      </c>
      <c r="O5" s="68">
        <f>SUM(F5*54)</f>
        <v>0</v>
      </c>
      <c r="P5" s="68">
        <f>SUM(G5*54)</f>
        <v>3780</v>
      </c>
      <c r="Q5" s="68">
        <f>SUM(H5*120)</f>
        <v>0</v>
      </c>
      <c r="R5" s="68">
        <f>SUM(I5*1000)</f>
        <v>0</v>
      </c>
      <c r="S5" s="68">
        <f>SUM(J5*140)</f>
        <v>0</v>
      </c>
      <c r="T5" s="68">
        <f>SUM(L5:S5)</f>
        <v>3780</v>
      </c>
    </row>
    <row r="6" spans="1:20">
      <c r="A6" s="69">
        <v>2</v>
      </c>
      <c r="B6" s="83">
        <v>46205</v>
      </c>
      <c r="C6" s="84"/>
      <c r="D6" s="70"/>
      <c r="E6" s="71"/>
      <c r="F6" s="64">
        <f>F5-E6+D6</f>
        <v>0</v>
      </c>
      <c r="G6" s="65">
        <f t="shared" ref="G6:G33" si="0">IF(OR(B6="",NOT(ISERROR(SEARCH("KPI",$A$2))),NOT(ISERROR(SEARCH("Полиом",$A$2)))),0,IF(70-F6&lt;=0,0,70-F6))</f>
        <v>70</v>
      </c>
      <c r="H6" s="65"/>
      <c r="I6" s="66"/>
      <c r="J6" s="66"/>
      <c r="K6" s="67"/>
      <c r="L6" s="68">
        <f t="shared" ref="L6:L35" si="1">SUM(K6*240)</f>
        <v>0</v>
      </c>
      <c r="M6" s="68">
        <f t="shared" ref="M6:N35" si="2">SUM(D6*120)</f>
        <v>0</v>
      </c>
      <c r="N6" s="68">
        <f t="shared" si="2"/>
        <v>0</v>
      </c>
      <c r="O6" s="68">
        <f t="shared" ref="O6:P35" si="3">SUM(F6*54)</f>
        <v>0</v>
      </c>
      <c r="P6" s="68">
        <f t="shared" si="3"/>
        <v>3780</v>
      </c>
      <c r="Q6" s="68">
        <f t="shared" ref="Q6:Q35" si="4">SUM(H6*120)</f>
        <v>0</v>
      </c>
      <c r="R6" s="68">
        <f t="shared" ref="R6:R35" si="5">SUM(I6*1000)</f>
        <v>0</v>
      </c>
      <c r="S6" s="68">
        <f t="shared" ref="S6:S35" si="6">SUM(J6*140)</f>
        <v>0</v>
      </c>
      <c r="T6" s="68">
        <f t="shared" ref="T6:T35" si="7">SUM(L6:S6)</f>
        <v>3780</v>
      </c>
    </row>
    <row r="7" spans="1:20">
      <c r="A7" s="69">
        <v>3</v>
      </c>
      <c r="B7" s="83">
        <v>46206</v>
      </c>
      <c r="C7" s="84"/>
      <c r="D7" s="71"/>
      <c r="E7" s="70"/>
      <c r="F7" s="64">
        <f t="shared" ref="F7:F31" si="8">F6-E7+D7</f>
        <v>0</v>
      </c>
      <c r="G7" s="65">
        <f t="shared" si="0"/>
        <v>70</v>
      </c>
      <c r="H7" s="65"/>
      <c r="I7" s="66"/>
      <c r="J7" s="66"/>
      <c r="K7" s="67"/>
      <c r="L7" s="68">
        <f t="shared" si="1"/>
        <v>0</v>
      </c>
      <c r="M7" s="68">
        <f t="shared" si="2"/>
        <v>0</v>
      </c>
      <c r="N7" s="68">
        <f t="shared" si="2"/>
        <v>0</v>
      </c>
      <c r="O7" s="68">
        <f t="shared" si="3"/>
        <v>0</v>
      </c>
      <c r="P7" s="68">
        <f t="shared" si="3"/>
        <v>3780</v>
      </c>
      <c r="Q7" s="68">
        <f t="shared" si="4"/>
        <v>0</v>
      </c>
      <c r="R7" s="68">
        <f t="shared" si="5"/>
        <v>0</v>
      </c>
      <c r="S7" s="68">
        <f t="shared" si="6"/>
        <v>0</v>
      </c>
      <c r="T7" s="68">
        <f t="shared" si="7"/>
        <v>3780</v>
      </c>
    </row>
    <row r="8" spans="1:20">
      <c r="A8" s="69">
        <v>4</v>
      </c>
      <c r="B8" s="83">
        <v>46207</v>
      </c>
      <c r="C8" s="84"/>
      <c r="D8" s="63"/>
      <c r="E8" s="63"/>
      <c r="F8" s="64">
        <f t="shared" si="8"/>
        <v>0</v>
      </c>
      <c r="G8" s="65">
        <f t="shared" si="0"/>
        <v>70</v>
      </c>
      <c r="H8" s="65"/>
      <c r="I8" s="66"/>
      <c r="J8" s="66"/>
      <c r="K8" s="67"/>
      <c r="L8" s="68">
        <f t="shared" si="1"/>
        <v>0</v>
      </c>
      <c r="M8" s="68">
        <f t="shared" si="2"/>
        <v>0</v>
      </c>
      <c r="N8" s="68">
        <f t="shared" si="2"/>
        <v>0</v>
      </c>
      <c r="O8" s="68">
        <f t="shared" si="3"/>
        <v>0</v>
      </c>
      <c r="P8" s="68">
        <f t="shared" si="3"/>
        <v>3780</v>
      </c>
      <c r="Q8" s="68">
        <f t="shared" si="4"/>
        <v>0</v>
      </c>
      <c r="R8" s="68">
        <f t="shared" si="5"/>
        <v>0</v>
      </c>
      <c r="S8" s="68">
        <f t="shared" si="6"/>
        <v>0</v>
      </c>
      <c r="T8" s="68">
        <f t="shared" si="7"/>
        <v>3780</v>
      </c>
    </row>
    <row r="9" spans="1:20">
      <c r="A9" s="69">
        <v>5</v>
      </c>
      <c r="B9" s="83">
        <v>46208</v>
      </c>
      <c r="C9" s="84"/>
      <c r="D9" s="70"/>
      <c r="E9" s="71"/>
      <c r="F9" s="64">
        <f t="shared" si="8"/>
        <v>0</v>
      </c>
      <c r="G9" s="65">
        <f t="shared" si="0"/>
        <v>70</v>
      </c>
      <c r="H9" s="65"/>
      <c r="I9" s="66"/>
      <c r="J9" s="66"/>
      <c r="K9" s="67"/>
      <c r="L9" s="68">
        <f t="shared" si="1"/>
        <v>0</v>
      </c>
      <c r="M9" s="68">
        <f t="shared" si="2"/>
        <v>0</v>
      </c>
      <c r="N9" s="68">
        <f t="shared" si="2"/>
        <v>0</v>
      </c>
      <c r="O9" s="68">
        <f t="shared" si="3"/>
        <v>0</v>
      </c>
      <c r="P9" s="68">
        <f t="shared" si="3"/>
        <v>3780</v>
      </c>
      <c r="Q9" s="68">
        <f t="shared" si="4"/>
        <v>0</v>
      </c>
      <c r="R9" s="68">
        <f t="shared" si="5"/>
        <v>0</v>
      </c>
      <c r="S9" s="68">
        <f t="shared" si="6"/>
        <v>0</v>
      </c>
      <c r="T9" s="68">
        <f t="shared" si="7"/>
        <v>3780</v>
      </c>
    </row>
    <row r="10" spans="1:20">
      <c r="A10" s="69">
        <v>6</v>
      </c>
      <c r="B10" s="83">
        <v>46209</v>
      </c>
      <c r="C10" s="84"/>
      <c r="D10" s="70"/>
      <c r="E10" s="71"/>
      <c r="F10" s="64">
        <f t="shared" si="8"/>
        <v>0</v>
      </c>
      <c r="G10" s="65">
        <f t="shared" si="0"/>
        <v>70</v>
      </c>
      <c r="H10" s="65"/>
      <c r="I10" s="66"/>
      <c r="J10" s="66"/>
      <c r="K10" s="67"/>
      <c r="L10" s="68">
        <f t="shared" si="1"/>
        <v>0</v>
      </c>
      <c r="M10" s="68">
        <f t="shared" si="2"/>
        <v>0</v>
      </c>
      <c r="N10" s="68">
        <f t="shared" si="2"/>
        <v>0</v>
      </c>
      <c r="O10" s="68">
        <f t="shared" si="3"/>
        <v>0</v>
      </c>
      <c r="P10" s="68">
        <f t="shared" si="3"/>
        <v>3780</v>
      </c>
      <c r="Q10" s="68">
        <f t="shared" si="4"/>
        <v>0</v>
      </c>
      <c r="R10" s="68">
        <f t="shared" si="5"/>
        <v>0</v>
      </c>
      <c r="S10" s="68">
        <f t="shared" si="6"/>
        <v>0</v>
      </c>
      <c r="T10" s="68">
        <f t="shared" si="7"/>
        <v>3780</v>
      </c>
    </row>
    <row r="11" spans="1:20">
      <c r="A11" s="69">
        <v>7</v>
      </c>
      <c r="B11" s="83">
        <v>46210</v>
      </c>
      <c r="C11" s="84"/>
      <c r="D11" s="63"/>
      <c r="E11" s="63"/>
      <c r="F11" s="64">
        <f t="shared" si="8"/>
        <v>0</v>
      </c>
      <c r="G11" s="65">
        <f t="shared" si="0"/>
        <v>70</v>
      </c>
      <c r="H11" s="65"/>
      <c r="I11" s="66"/>
      <c r="J11" s="66"/>
      <c r="K11" s="67"/>
      <c r="L11" s="68">
        <f t="shared" si="1"/>
        <v>0</v>
      </c>
      <c r="M11" s="68">
        <f t="shared" si="2"/>
        <v>0</v>
      </c>
      <c r="N11" s="68">
        <f t="shared" si="2"/>
        <v>0</v>
      </c>
      <c r="O11" s="68">
        <f t="shared" si="3"/>
        <v>0</v>
      </c>
      <c r="P11" s="68">
        <f t="shared" si="3"/>
        <v>3780</v>
      </c>
      <c r="Q11" s="68">
        <f t="shared" si="4"/>
        <v>0</v>
      </c>
      <c r="R11" s="68">
        <f t="shared" si="5"/>
        <v>0</v>
      </c>
      <c r="S11" s="68">
        <f t="shared" si="6"/>
        <v>0</v>
      </c>
      <c r="T11" s="68">
        <f t="shared" si="7"/>
        <v>3780</v>
      </c>
    </row>
    <row r="12" spans="1:20">
      <c r="A12" s="69">
        <v>8</v>
      </c>
      <c r="B12" s="83">
        <v>46211</v>
      </c>
      <c r="C12" s="84"/>
      <c r="D12" s="63"/>
      <c r="E12" s="63"/>
      <c r="F12" s="64">
        <f t="shared" si="8"/>
        <v>0</v>
      </c>
      <c r="G12" s="65">
        <f t="shared" si="0"/>
        <v>70</v>
      </c>
      <c r="H12" s="65"/>
      <c r="I12" s="66"/>
      <c r="J12" s="66"/>
      <c r="K12" s="67"/>
      <c r="L12" s="68">
        <f t="shared" si="1"/>
        <v>0</v>
      </c>
      <c r="M12" s="68">
        <f t="shared" si="2"/>
        <v>0</v>
      </c>
      <c r="N12" s="68">
        <f t="shared" si="2"/>
        <v>0</v>
      </c>
      <c r="O12" s="68">
        <f t="shared" si="3"/>
        <v>0</v>
      </c>
      <c r="P12" s="68">
        <f t="shared" si="3"/>
        <v>3780</v>
      </c>
      <c r="Q12" s="68">
        <f t="shared" si="4"/>
        <v>0</v>
      </c>
      <c r="R12" s="68">
        <f t="shared" si="5"/>
        <v>0</v>
      </c>
      <c r="S12" s="68">
        <f t="shared" si="6"/>
        <v>0</v>
      </c>
      <c r="T12" s="68">
        <f t="shared" si="7"/>
        <v>3780</v>
      </c>
    </row>
    <row r="13" spans="1:20">
      <c r="A13" s="69">
        <v>9</v>
      </c>
      <c r="B13" s="83">
        <v>46212</v>
      </c>
      <c r="C13" s="84"/>
      <c r="D13" s="63"/>
      <c r="E13" s="63"/>
      <c r="F13" s="64">
        <f t="shared" si="8"/>
        <v>0</v>
      </c>
      <c r="G13" s="65">
        <f t="shared" si="0"/>
        <v>70</v>
      </c>
      <c r="H13" s="65"/>
      <c r="I13" s="66"/>
      <c r="J13" s="66"/>
      <c r="K13" s="67"/>
      <c r="L13" s="68">
        <f t="shared" si="1"/>
        <v>0</v>
      </c>
      <c r="M13" s="68">
        <f t="shared" si="2"/>
        <v>0</v>
      </c>
      <c r="N13" s="68">
        <f t="shared" si="2"/>
        <v>0</v>
      </c>
      <c r="O13" s="68">
        <f t="shared" si="3"/>
        <v>0</v>
      </c>
      <c r="P13" s="68">
        <f t="shared" si="3"/>
        <v>3780</v>
      </c>
      <c r="Q13" s="68">
        <f t="shared" si="4"/>
        <v>0</v>
      </c>
      <c r="R13" s="68">
        <f t="shared" si="5"/>
        <v>0</v>
      </c>
      <c r="S13" s="68">
        <f t="shared" si="6"/>
        <v>0</v>
      </c>
      <c r="T13" s="68">
        <f t="shared" si="7"/>
        <v>3780</v>
      </c>
    </row>
    <row r="14" spans="1:20">
      <c r="A14" s="69">
        <v>10</v>
      </c>
      <c r="B14" s="83">
        <v>46213</v>
      </c>
      <c r="C14" s="84"/>
      <c r="D14" s="63"/>
      <c r="E14" s="63"/>
      <c r="F14" s="64">
        <f t="shared" si="8"/>
        <v>0</v>
      </c>
      <c r="G14" s="65">
        <f t="shared" si="0"/>
        <v>70</v>
      </c>
      <c r="H14" s="65"/>
      <c r="I14" s="66"/>
      <c r="J14" s="66"/>
      <c r="K14" s="67"/>
      <c r="L14" s="68">
        <f t="shared" si="1"/>
        <v>0</v>
      </c>
      <c r="M14" s="68">
        <f t="shared" si="2"/>
        <v>0</v>
      </c>
      <c r="N14" s="68">
        <f t="shared" si="2"/>
        <v>0</v>
      </c>
      <c r="O14" s="68">
        <f t="shared" si="3"/>
        <v>0</v>
      </c>
      <c r="P14" s="68">
        <f t="shared" si="3"/>
        <v>3780</v>
      </c>
      <c r="Q14" s="68">
        <f t="shared" si="4"/>
        <v>0</v>
      </c>
      <c r="R14" s="68">
        <f t="shared" si="5"/>
        <v>0</v>
      </c>
      <c r="S14" s="68">
        <f t="shared" si="6"/>
        <v>0</v>
      </c>
      <c r="T14" s="68">
        <f t="shared" si="7"/>
        <v>3780</v>
      </c>
    </row>
    <row r="15" spans="1:20">
      <c r="A15" s="69">
        <v>11</v>
      </c>
      <c r="B15" s="83">
        <v>46214</v>
      </c>
      <c r="C15" s="84"/>
      <c r="D15" s="70"/>
      <c r="E15" s="71"/>
      <c r="F15" s="64">
        <f t="shared" si="8"/>
        <v>0</v>
      </c>
      <c r="G15" s="65">
        <f t="shared" si="0"/>
        <v>70</v>
      </c>
      <c r="H15" s="65"/>
      <c r="I15" s="66"/>
      <c r="J15" s="66"/>
      <c r="K15" s="67"/>
      <c r="L15" s="68">
        <f t="shared" si="1"/>
        <v>0</v>
      </c>
      <c r="M15" s="68">
        <f t="shared" si="2"/>
        <v>0</v>
      </c>
      <c r="N15" s="68">
        <f t="shared" si="2"/>
        <v>0</v>
      </c>
      <c r="O15" s="68">
        <f t="shared" si="3"/>
        <v>0</v>
      </c>
      <c r="P15" s="68">
        <f t="shared" si="3"/>
        <v>3780</v>
      </c>
      <c r="Q15" s="68">
        <f t="shared" si="4"/>
        <v>0</v>
      </c>
      <c r="R15" s="68">
        <f t="shared" si="5"/>
        <v>0</v>
      </c>
      <c r="S15" s="68">
        <f t="shared" si="6"/>
        <v>0</v>
      </c>
      <c r="T15" s="68">
        <f t="shared" si="7"/>
        <v>3780</v>
      </c>
    </row>
    <row r="16" spans="1:20">
      <c r="A16" s="69">
        <v>12</v>
      </c>
      <c r="B16" s="83">
        <v>46215</v>
      </c>
      <c r="C16" s="84"/>
      <c r="D16" s="63"/>
      <c r="E16" s="63"/>
      <c r="F16" s="64">
        <f t="shared" si="8"/>
        <v>0</v>
      </c>
      <c r="G16" s="65">
        <f t="shared" si="0"/>
        <v>70</v>
      </c>
      <c r="H16" s="65"/>
      <c r="I16" s="66"/>
      <c r="J16" s="66"/>
      <c r="K16" s="72"/>
      <c r="L16" s="68">
        <f t="shared" si="1"/>
        <v>0</v>
      </c>
      <c r="M16" s="68">
        <f t="shared" si="2"/>
        <v>0</v>
      </c>
      <c r="N16" s="68">
        <f t="shared" si="2"/>
        <v>0</v>
      </c>
      <c r="O16" s="68">
        <f t="shared" si="3"/>
        <v>0</v>
      </c>
      <c r="P16" s="68">
        <f t="shared" si="3"/>
        <v>3780</v>
      </c>
      <c r="Q16" s="68">
        <f t="shared" si="4"/>
        <v>0</v>
      </c>
      <c r="R16" s="68">
        <f t="shared" si="5"/>
        <v>0</v>
      </c>
      <c r="S16" s="68">
        <f t="shared" si="6"/>
        <v>0</v>
      </c>
      <c r="T16" s="68">
        <f t="shared" si="7"/>
        <v>3780</v>
      </c>
    </row>
    <row r="17" spans="1:20">
      <c r="A17" s="69">
        <v>13</v>
      </c>
      <c r="B17" s="83">
        <v>46216</v>
      </c>
      <c r="C17" s="84"/>
      <c r="D17" s="70"/>
      <c r="E17" s="71"/>
      <c r="F17" s="64">
        <f t="shared" si="8"/>
        <v>0</v>
      </c>
      <c r="G17" s="65">
        <f t="shared" si="0"/>
        <v>70</v>
      </c>
      <c r="H17" s="65"/>
      <c r="I17" s="66"/>
      <c r="J17" s="66"/>
      <c r="K17" s="67"/>
      <c r="L17" s="68">
        <f t="shared" si="1"/>
        <v>0</v>
      </c>
      <c r="M17" s="68">
        <f t="shared" si="2"/>
        <v>0</v>
      </c>
      <c r="N17" s="68">
        <f t="shared" si="2"/>
        <v>0</v>
      </c>
      <c r="O17" s="68">
        <f t="shared" si="3"/>
        <v>0</v>
      </c>
      <c r="P17" s="68">
        <f t="shared" si="3"/>
        <v>3780</v>
      </c>
      <c r="Q17" s="68">
        <f t="shared" si="4"/>
        <v>0</v>
      </c>
      <c r="R17" s="68">
        <f t="shared" si="5"/>
        <v>0</v>
      </c>
      <c r="S17" s="68">
        <f t="shared" si="6"/>
        <v>0</v>
      </c>
      <c r="T17" s="68">
        <f t="shared" si="7"/>
        <v>3780</v>
      </c>
    </row>
    <row r="18" spans="1:20">
      <c r="A18" s="69">
        <v>14</v>
      </c>
      <c r="B18" s="83">
        <v>46217</v>
      </c>
      <c r="C18" s="84"/>
      <c r="D18" s="63"/>
      <c r="E18" s="63"/>
      <c r="F18" s="64">
        <f t="shared" si="8"/>
        <v>0</v>
      </c>
      <c r="G18" s="65">
        <f t="shared" si="0"/>
        <v>70</v>
      </c>
      <c r="H18" s="65"/>
      <c r="I18" s="66"/>
      <c r="J18" s="66"/>
      <c r="K18" s="67"/>
      <c r="L18" s="68">
        <f t="shared" si="1"/>
        <v>0</v>
      </c>
      <c r="M18" s="68">
        <f t="shared" si="2"/>
        <v>0</v>
      </c>
      <c r="N18" s="68">
        <f t="shared" si="2"/>
        <v>0</v>
      </c>
      <c r="O18" s="68">
        <f t="shared" si="3"/>
        <v>0</v>
      </c>
      <c r="P18" s="68">
        <f t="shared" si="3"/>
        <v>3780</v>
      </c>
      <c r="Q18" s="68">
        <f t="shared" si="4"/>
        <v>0</v>
      </c>
      <c r="R18" s="68">
        <f t="shared" si="5"/>
        <v>0</v>
      </c>
      <c r="S18" s="68">
        <f t="shared" si="6"/>
        <v>0</v>
      </c>
      <c r="T18" s="68">
        <f t="shared" si="7"/>
        <v>3780</v>
      </c>
    </row>
    <row r="19" spans="1:20">
      <c r="A19" s="69">
        <v>15</v>
      </c>
      <c r="B19" s="83">
        <v>46218</v>
      </c>
      <c r="C19" s="84"/>
      <c r="D19" s="63"/>
      <c r="E19" s="63"/>
      <c r="F19" s="64">
        <f t="shared" si="8"/>
        <v>0</v>
      </c>
      <c r="G19" s="65">
        <f t="shared" si="0"/>
        <v>70</v>
      </c>
      <c r="H19" s="65"/>
      <c r="I19" s="66"/>
      <c r="J19" s="66"/>
      <c r="K19" s="67"/>
      <c r="L19" s="68">
        <f t="shared" si="1"/>
        <v>0</v>
      </c>
      <c r="M19" s="68">
        <f t="shared" si="2"/>
        <v>0</v>
      </c>
      <c r="N19" s="68">
        <f t="shared" si="2"/>
        <v>0</v>
      </c>
      <c r="O19" s="68">
        <f t="shared" si="3"/>
        <v>0</v>
      </c>
      <c r="P19" s="68">
        <f t="shared" si="3"/>
        <v>3780</v>
      </c>
      <c r="Q19" s="68">
        <f t="shared" si="4"/>
        <v>0</v>
      </c>
      <c r="R19" s="68">
        <f t="shared" si="5"/>
        <v>0</v>
      </c>
      <c r="S19" s="68">
        <f t="shared" si="6"/>
        <v>0</v>
      </c>
      <c r="T19" s="68">
        <f t="shared" si="7"/>
        <v>3780</v>
      </c>
    </row>
    <row r="20" spans="1:20">
      <c r="A20" s="69">
        <v>16</v>
      </c>
      <c r="B20" s="83">
        <v>46219</v>
      </c>
      <c r="C20" s="84"/>
      <c r="D20" s="63"/>
      <c r="E20" s="63"/>
      <c r="F20" s="64">
        <f t="shared" si="8"/>
        <v>0</v>
      </c>
      <c r="G20" s="65">
        <f t="shared" si="0"/>
        <v>70</v>
      </c>
      <c r="H20" s="65"/>
      <c r="I20" s="66"/>
      <c r="J20" s="66"/>
      <c r="K20" s="67"/>
      <c r="L20" s="68">
        <f t="shared" si="1"/>
        <v>0</v>
      </c>
      <c r="M20" s="68">
        <f t="shared" si="2"/>
        <v>0</v>
      </c>
      <c r="N20" s="68">
        <f t="shared" si="2"/>
        <v>0</v>
      </c>
      <c r="O20" s="68">
        <f t="shared" si="3"/>
        <v>0</v>
      </c>
      <c r="P20" s="68">
        <f t="shared" si="3"/>
        <v>3780</v>
      </c>
      <c r="Q20" s="68">
        <f t="shared" si="4"/>
        <v>0</v>
      </c>
      <c r="R20" s="68">
        <f t="shared" si="5"/>
        <v>0</v>
      </c>
      <c r="S20" s="68">
        <f t="shared" si="6"/>
        <v>0</v>
      </c>
      <c r="T20" s="68">
        <f t="shared" si="7"/>
        <v>3780</v>
      </c>
    </row>
    <row r="21" spans="1:20">
      <c r="A21" s="69">
        <v>17</v>
      </c>
      <c r="B21" s="83">
        <v>46220</v>
      </c>
      <c r="C21" s="84"/>
      <c r="D21" s="70"/>
      <c r="E21" s="71"/>
      <c r="F21" s="64">
        <f t="shared" si="8"/>
        <v>0</v>
      </c>
      <c r="G21" s="65">
        <f t="shared" si="0"/>
        <v>70</v>
      </c>
      <c r="H21" s="65"/>
      <c r="I21" s="66"/>
      <c r="J21" s="66"/>
      <c r="K21" s="67"/>
      <c r="L21" s="68">
        <f t="shared" si="1"/>
        <v>0</v>
      </c>
      <c r="M21" s="68">
        <f t="shared" si="2"/>
        <v>0</v>
      </c>
      <c r="N21" s="68">
        <f t="shared" si="2"/>
        <v>0</v>
      </c>
      <c r="O21" s="68">
        <f t="shared" si="3"/>
        <v>0</v>
      </c>
      <c r="P21" s="68">
        <f t="shared" si="3"/>
        <v>3780</v>
      </c>
      <c r="Q21" s="68">
        <f t="shared" si="4"/>
        <v>0</v>
      </c>
      <c r="R21" s="68">
        <f t="shared" si="5"/>
        <v>0</v>
      </c>
      <c r="S21" s="68">
        <f t="shared" si="6"/>
        <v>0</v>
      </c>
      <c r="T21" s="68">
        <f t="shared" si="7"/>
        <v>3780</v>
      </c>
    </row>
    <row r="22" spans="1:20">
      <c r="A22" s="69">
        <v>18</v>
      </c>
      <c r="B22" s="83">
        <v>46221</v>
      </c>
      <c r="C22" s="84"/>
      <c r="D22" s="70"/>
      <c r="E22" s="71"/>
      <c r="F22" s="64">
        <f t="shared" si="8"/>
        <v>0</v>
      </c>
      <c r="G22" s="65">
        <f t="shared" si="0"/>
        <v>70</v>
      </c>
      <c r="H22" s="65"/>
      <c r="I22" s="66"/>
      <c r="J22" s="66"/>
      <c r="K22" s="67"/>
      <c r="L22" s="68">
        <f t="shared" si="1"/>
        <v>0</v>
      </c>
      <c r="M22" s="68">
        <f t="shared" si="2"/>
        <v>0</v>
      </c>
      <c r="N22" s="68">
        <f t="shared" si="2"/>
        <v>0</v>
      </c>
      <c r="O22" s="68">
        <f t="shared" si="3"/>
        <v>0</v>
      </c>
      <c r="P22" s="68">
        <f t="shared" si="3"/>
        <v>3780</v>
      </c>
      <c r="Q22" s="68">
        <f t="shared" si="4"/>
        <v>0</v>
      </c>
      <c r="R22" s="68">
        <f t="shared" si="5"/>
        <v>0</v>
      </c>
      <c r="S22" s="68">
        <f t="shared" si="6"/>
        <v>0</v>
      </c>
      <c r="T22" s="68">
        <f t="shared" si="7"/>
        <v>3780</v>
      </c>
    </row>
    <row r="23" spans="1:20">
      <c r="A23" s="69">
        <v>19</v>
      </c>
      <c r="B23" s="83">
        <v>46222</v>
      </c>
      <c r="C23" s="84"/>
      <c r="D23" s="63"/>
      <c r="E23" s="63"/>
      <c r="F23" s="64">
        <f t="shared" si="8"/>
        <v>0</v>
      </c>
      <c r="G23" s="65">
        <f t="shared" si="0"/>
        <v>70</v>
      </c>
      <c r="H23" s="65"/>
      <c r="I23" s="66"/>
      <c r="J23" s="66"/>
      <c r="K23" s="67"/>
      <c r="L23" s="68">
        <f t="shared" si="1"/>
        <v>0</v>
      </c>
      <c r="M23" s="68">
        <f t="shared" si="2"/>
        <v>0</v>
      </c>
      <c r="N23" s="68">
        <f t="shared" si="2"/>
        <v>0</v>
      </c>
      <c r="O23" s="68">
        <f t="shared" si="3"/>
        <v>0</v>
      </c>
      <c r="P23" s="68">
        <f t="shared" si="3"/>
        <v>3780</v>
      </c>
      <c r="Q23" s="68">
        <f t="shared" si="4"/>
        <v>0</v>
      </c>
      <c r="R23" s="68">
        <f t="shared" si="5"/>
        <v>0</v>
      </c>
      <c r="S23" s="68">
        <f t="shared" si="6"/>
        <v>0</v>
      </c>
      <c r="T23" s="68">
        <f t="shared" si="7"/>
        <v>3780</v>
      </c>
    </row>
    <row r="24" spans="1:20">
      <c r="A24" s="69">
        <v>20</v>
      </c>
      <c r="B24" s="83">
        <v>46223</v>
      </c>
      <c r="C24" s="84"/>
      <c r="D24" s="73"/>
      <c r="E24" s="73"/>
      <c r="F24" s="64">
        <f t="shared" si="8"/>
        <v>0</v>
      </c>
      <c r="G24" s="65">
        <f t="shared" si="0"/>
        <v>70</v>
      </c>
      <c r="H24" s="65"/>
      <c r="I24" s="66"/>
      <c r="J24" s="66"/>
      <c r="K24" s="67"/>
      <c r="L24" s="68">
        <f t="shared" si="1"/>
        <v>0</v>
      </c>
      <c r="M24" s="68">
        <f t="shared" si="2"/>
        <v>0</v>
      </c>
      <c r="N24" s="68">
        <f t="shared" si="2"/>
        <v>0</v>
      </c>
      <c r="O24" s="68">
        <f t="shared" si="3"/>
        <v>0</v>
      </c>
      <c r="P24" s="68">
        <f t="shared" si="3"/>
        <v>3780</v>
      </c>
      <c r="Q24" s="68">
        <f t="shared" si="4"/>
        <v>0</v>
      </c>
      <c r="R24" s="68">
        <f t="shared" si="5"/>
        <v>0</v>
      </c>
      <c r="S24" s="68">
        <f t="shared" si="6"/>
        <v>0</v>
      </c>
      <c r="T24" s="68">
        <f t="shared" si="7"/>
        <v>3780</v>
      </c>
    </row>
    <row r="25" spans="1:20">
      <c r="A25" s="69">
        <v>21</v>
      </c>
      <c r="B25" s="83">
        <v>46224</v>
      </c>
      <c r="C25" s="84"/>
      <c r="D25" s="85">
        <v>35.086399999999998</v>
      </c>
      <c r="E25" s="86"/>
      <c r="F25" s="74">
        <f t="shared" si="8"/>
        <v>35.086399999999998</v>
      </c>
      <c r="G25" s="65">
        <f t="shared" si="0"/>
        <v>34.913600000000002</v>
      </c>
      <c r="H25" s="65"/>
      <c r="I25" s="66"/>
      <c r="J25" s="66"/>
      <c r="K25" s="67"/>
      <c r="L25" s="68">
        <f t="shared" si="1"/>
        <v>0</v>
      </c>
      <c r="M25" s="68">
        <f t="shared" si="2"/>
        <v>4210.3679999999995</v>
      </c>
      <c r="N25" s="68">
        <f t="shared" si="2"/>
        <v>0</v>
      </c>
      <c r="O25" s="68">
        <f t="shared" si="3"/>
        <v>1894.6655999999998</v>
      </c>
      <c r="P25" s="68">
        <f t="shared" si="3"/>
        <v>1885.3344000000002</v>
      </c>
      <c r="Q25" s="68">
        <f t="shared" si="4"/>
        <v>0</v>
      </c>
      <c r="R25" s="68">
        <f t="shared" si="5"/>
        <v>0</v>
      </c>
      <c r="S25" s="68">
        <f t="shared" si="6"/>
        <v>0</v>
      </c>
      <c r="T25" s="68">
        <f t="shared" si="7"/>
        <v>7990.3679999999986</v>
      </c>
    </row>
    <row r="26" spans="1:20">
      <c r="A26" s="69">
        <v>22</v>
      </c>
      <c r="B26" s="83">
        <v>46225</v>
      </c>
      <c r="C26" s="84"/>
      <c r="D26" s="85">
        <v>36.284500000000001</v>
      </c>
      <c r="E26" s="86"/>
      <c r="F26" s="74">
        <f t="shared" si="8"/>
        <v>71.370900000000006</v>
      </c>
      <c r="G26" s="65">
        <f t="shared" si="0"/>
        <v>0</v>
      </c>
      <c r="H26" s="65"/>
      <c r="I26" s="66"/>
      <c r="J26" s="66"/>
      <c r="K26" s="67"/>
      <c r="L26" s="68">
        <f t="shared" si="1"/>
        <v>0</v>
      </c>
      <c r="M26" s="68">
        <f t="shared" si="2"/>
        <v>4354.1400000000003</v>
      </c>
      <c r="N26" s="68">
        <f t="shared" si="2"/>
        <v>0</v>
      </c>
      <c r="O26" s="68">
        <f t="shared" si="3"/>
        <v>3854.0286000000006</v>
      </c>
      <c r="P26" s="68">
        <f t="shared" si="3"/>
        <v>0</v>
      </c>
      <c r="Q26" s="68">
        <f t="shared" si="4"/>
        <v>0</v>
      </c>
      <c r="R26" s="68">
        <f t="shared" si="5"/>
        <v>0</v>
      </c>
      <c r="S26" s="68">
        <f t="shared" si="6"/>
        <v>0</v>
      </c>
      <c r="T26" s="68">
        <f t="shared" si="7"/>
        <v>8208.1686000000009</v>
      </c>
    </row>
    <row r="27" spans="1:20">
      <c r="A27" s="69">
        <v>23</v>
      </c>
      <c r="B27" s="83">
        <v>46226</v>
      </c>
      <c r="C27" s="84"/>
      <c r="D27" s="86"/>
      <c r="E27" s="85">
        <v>14.0867</v>
      </c>
      <c r="F27" s="74">
        <f t="shared" si="8"/>
        <v>57.284200000000006</v>
      </c>
      <c r="G27" s="65">
        <f t="shared" si="0"/>
        <v>12.715799999999994</v>
      </c>
      <c r="H27" s="65"/>
      <c r="I27" s="66"/>
      <c r="J27" s="66"/>
      <c r="K27" s="67"/>
      <c r="L27" s="68">
        <f t="shared" si="1"/>
        <v>0</v>
      </c>
      <c r="M27" s="68">
        <f t="shared" si="2"/>
        <v>0</v>
      </c>
      <c r="N27" s="68">
        <f t="shared" si="2"/>
        <v>1690.404</v>
      </c>
      <c r="O27" s="68">
        <f t="shared" si="3"/>
        <v>3093.3468000000003</v>
      </c>
      <c r="P27" s="68">
        <f t="shared" si="3"/>
        <v>686.65319999999974</v>
      </c>
      <c r="Q27" s="68">
        <f t="shared" si="4"/>
        <v>0</v>
      </c>
      <c r="R27" s="68">
        <f t="shared" si="5"/>
        <v>0</v>
      </c>
      <c r="S27" s="68">
        <f t="shared" si="6"/>
        <v>0</v>
      </c>
      <c r="T27" s="68">
        <f t="shared" si="7"/>
        <v>5470.4039999999995</v>
      </c>
    </row>
    <row r="28" spans="1:20">
      <c r="A28" s="69">
        <v>24</v>
      </c>
      <c r="B28" s="83">
        <v>46227</v>
      </c>
      <c r="C28" s="84"/>
      <c r="D28" s="87"/>
      <c r="E28" s="87"/>
      <c r="F28" s="74">
        <f t="shared" si="8"/>
        <v>57.284200000000006</v>
      </c>
      <c r="G28" s="65">
        <f t="shared" si="0"/>
        <v>12.715799999999994</v>
      </c>
      <c r="H28" s="65"/>
      <c r="I28" s="66"/>
      <c r="J28" s="66"/>
      <c r="K28" s="67"/>
      <c r="L28" s="68">
        <f t="shared" si="1"/>
        <v>0</v>
      </c>
      <c r="M28" s="68">
        <f t="shared" si="2"/>
        <v>0</v>
      </c>
      <c r="N28" s="68">
        <f t="shared" si="2"/>
        <v>0</v>
      </c>
      <c r="O28" s="68">
        <f t="shared" si="3"/>
        <v>3093.3468000000003</v>
      </c>
      <c r="P28" s="68">
        <f t="shared" si="3"/>
        <v>686.65319999999974</v>
      </c>
      <c r="Q28" s="68">
        <f t="shared" si="4"/>
        <v>0</v>
      </c>
      <c r="R28" s="68">
        <f t="shared" si="5"/>
        <v>0</v>
      </c>
      <c r="S28" s="68">
        <f t="shared" si="6"/>
        <v>0</v>
      </c>
      <c r="T28" s="68">
        <f t="shared" si="7"/>
        <v>3780</v>
      </c>
    </row>
    <row r="29" spans="1:20">
      <c r="A29" s="69">
        <v>25</v>
      </c>
      <c r="B29" s="83">
        <v>46228</v>
      </c>
      <c r="C29" s="84"/>
      <c r="D29" s="87"/>
      <c r="E29" s="87"/>
      <c r="F29" s="74">
        <f t="shared" si="8"/>
        <v>57.284200000000006</v>
      </c>
      <c r="G29" s="65">
        <f t="shared" si="0"/>
        <v>12.715799999999994</v>
      </c>
      <c r="H29" s="65"/>
      <c r="I29" s="66"/>
      <c r="J29" s="66"/>
      <c r="K29" s="67"/>
      <c r="L29" s="68">
        <f t="shared" si="1"/>
        <v>0</v>
      </c>
      <c r="M29" s="68">
        <f t="shared" si="2"/>
        <v>0</v>
      </c>
      <c r="N29" s="68">
        <f t="shared" si="2"/>
        <v>0</v>
      </c>
      <c r="O29" s="68">
        <f t="shared" si="3"/>
        <v>3093.3468000000003</v>
      </c>
      <c r="P29" s="68">
        <f t="shared" si="3"/>
        <v>686.65319999999974</v>
      </c>
      <c r="Q29" s="68">
        <f t="shared" si="4"/>
        <v>0</v>
      </c>
      <c r="R29" s="68">
        <f t="shared" si="5"/>
        <v>0</v>
      </c>
      <c r="S29" s="68">
        <f t="shared" si="6"/>
        <v>0</v>
      </c>
      <c r="T29" s="68">
        <f t="shared" si="7"/>
        <v>3780</v>
      </c>
    </row>
    <row r="30" spans="1:20">
      <c r="A30" s="69">
        <v>26</v>
      </c>
      <c r="B30" s="83">
        <v>46229</v>
      </c>
      <c r="C30" s="84"/>
      <c r="D30" s="87"/>
      <c r="E30" s="87"/>
      <c r="F30" s="74">
        <f t="shared" si="8"/>
        <v>57.284200000000006</v>
      </c>
      <c r="G30" s="65">
        <f t="shared" si="0"/>
        <v>12.715799999999994</v>
      </c>
      <c r="H30" s="65"/>
      <c r="I30" s="66"/>
      <c r="J30" s="66"/>
      <c r="K30" s="67"/>
      <c r="L30" s="68">
        <f t="shared" si="1"/>
        <v>0</v>
      </c>
      <c r="M30" s="68">
        <f t="shared" si="2"/>
        <v>0</v>
      </c>
      <c r="N30" s="68">
        <f t="shared" si="2"/>
        <v>0</v>
      </c>
      <c r="O30" s="68">
        <f t="shared" si="3"/>
        <v>3093.3468000000003</v>
      </c>
      <c r="P30" s="68">
        <f t="shared" si="3"/>
        <v>686.65319999999974</v>
      </c>
      <c r="Q30" s="68">
        <f t="shared" si="4"/>
        <v>0</v>
      </c>
      <c r="R30" s="68">
        <f t="shared" si="5"/>
        <v>0</v>
      </c>
      <c r="S30" s="68">
        <f t="shared" si="6"/>
        <v>0</v>
      </c>
      <c r="T30" s="68">
        <f t="shared" si="7"/>
        <v>3780</v>
      </c>
    </row>
    <row r="31" spans="1:20">
      <c r="A31" s="69">
        <v>27</v>
      </c>
      <c r="B31" s="83">
        <v>46230</v>
      </c>
      <c r="C31" s="84"/>
      <c r="D31" s="85">
        <v>36.056199999999997</v>
      </c>
      <c r="E31" s="86"/>
      <c r="F31" s="74">
        <f t="shared" si="8"/>
        <v>93.340400000000002</v>
      </c>
      <c r="G31" s="65">
        <f t="shared" si="0"/>
        <v>0</v>
      </c>
      <c r="H31" s="65"/>
      <c r="I31" s="66"/>
      <c r="J31" s="66"/>
      <c r="K31" s="67"/>
      <c r="L31" s="68">
        <f t="shared" si="1"/>
        <v>0</v>
      </c>
      <c r="M31" s="68">
        <f t="shared" si="2"/>
        <v>4326.7439999999997</v>
      </c>
      <c r="N31" s="68">
        <f t="shared" si="2"/>
        <v>0</v>
      </c>
      <c r="O31" s="68">
        <f t="shared" si="3"/>
        <v>5040.3815999999997</v>
      </c>
      <c r="P31" s="68">
        <f t="shared" si="3"/>
        <v>0</v>
      </c>
      <c r="Q31" s="68">
        <f t="shared" si="4"/>
        <v>0</v>
      </c>
      <c r="R31" s="68">
        <f t="shared" si="5"/>
        <v>0</v>
      </c>
      <c r="S31" s="68">
        <f t="shared" si="6"/>
        <v>0</v>
      </c>
      <c r="T31" s="68">
        <f t="shared" si="7"/>
        <v>9367.1255999999994</v>
      </c>
    </row>
    <row r="32" spans="1:20">
      <c r="A32" s="69">
        <v>28</v>
      </c>
      <c r="B32" s="83">
        <v>46231</v>
      </c>
      <c r="C32" s="84"/>
      <c r="D32" s="85">
        <v>35.739100000000001</v>
      </c>
      <c r="E32" s="86"/>
      <c r="F32" s="74">
        <f>F31-E32+D32</f>
        <v>129.0795</v>
      </c>
      <c r="G32" s="65">
        <f t="shared" si="0"/>
        <v>0</v>
      </c>
      <c r="H32" s="65"/>
      <c r="I32" s="66"/>
      <c r="J32" s="66"/>
      <c r="K32" s="67"/>
      <c r="L32" s="68">
        <f t="shared" si="1"/>
        <v>0</v>
      </c>
      <c r="M32" s="68">
        <f t="shared" si="2"/>
        <v>4288.692</v>
      </c>
      <c r="N32" s="68">
        <f t="shared" si="2"/>
        <v>0</v>
      </c>
      <c r="O32" s="68">
        <f t="shared" si="3"/>
        <v>6970.2929999999997</v>
      </c>
      <c r="P32" s="68">
        <f t="shared" si="3"/>
        <v>0</v>
      </c>
      <c r="Q32" s="68">
        <f t="shared" si="4"/>
        <v>0</v>
      </c>
      <c r="R32" s="68">
        <f t="shared" si="5"/>
        <v>0</v>
      </c>
      <c r="S32" s="68">
        <f t="shared" si="6"/>
        <v>0</v>
      </c>
      <c r="T32" s="68">
        <f t="shared" si="7"/>
        <v>11258.985000000001</v>
      </c>
    </row>
    <row r="33" spans="1:20">
      <c r="A33" s="69">
        <v>29</v>
      </c>
      <c r="B33" s="83">
        <v>46232</v>
      </c>
      <c r="C33" s="84"/>
      <c r="D33" s="87"/>
      <c r="E33" s="87"/>
      <c r="F33" s="74">
        <f t="shared" ref="F33" si="9">F32-E33+D33</f>
        <v>129.0795</v>
      </c>
      <c r="G33" s="65">
        <f t="shared" si="0"/>
        <v>0</v>
      </c>
      <c r="H33" s="65"/>
      <c r="I33" s="66"/>
      <c r="J33" s="66"/>
      <c r="K33" s="67"/>
      <c r="L33" s="68">
        <f t="shared" si="1"/>
        <v>0</v>
      </c>
      <c r="M33" s="68">
        <f t="shared" si="2"/>
        <v>0</v>
      </c>
      <c r="N33" s="68">
        <f t="shared" si="2"/>
        <v>0</v>
      </c>
      <c r="O33" s="68">
        <f t="shared" si="3"/>
        <v>6970.2929999999997</v>
      </c>
      <c r="P33" s="68">
        <f t="shared" si="3"/>
        <v>0</v>
      </c>
      <c r="Q33" s="68">
        <f t="shared" si="4"/>
        <v>0</v>
      </c>
      <c r="R33" s="68">
        <f t="shared" si="5"/>
        <v>0</v>
      </c>
      <c r="S33" s="68">
        <f t="shared" si="6"/>
        <v>0</v>
      </c>
      <c r="T33" s="68">
        <f t="shared" si="7"/>
        <v>6970.2929999999997</v>
      </c>
    </row>
    <row r="34" spans="1:20">
      <c r="A34" s="69">
        <v>30</v>
      </c>
      <c r="B34" s="83">
        <v>46233</v>
      </c>
      <c r="C34" s="84"/>
      <c r="D34" s="87"/>
      <c r="E34" s="87"/>
      <c r="F34" s="74">
        <f>F33-E34+D34</f>
        <v>129.0795</v>
      </c>
      <c r="G34" s="65">
        <f>IF(OR(B34="",NOT(ISERROR(SEARCH("KPI",$A$2))),NOT(ISERROR(SEARCH("Полиом",$A$2)))),0,IF(70-F34&lt;=0,0,70-F34))</f>
        <v>0</v>
      </c>
      <c r="H34" s="65"/>
      <c r="I34" s="66"/>
      <c r="J34" s="66"/>
      <c r="K34" s="67"/>
      <c r="L34" s="68">
        <f t="shared" si="1"/>
        <v>0</v>
      </c>
      <c r="M34" s="68">
        <f t="shared" si="2"/>
        <v>0</v>
      </c>
      <c r="N34" s="68">
        <f t="shared" si="2"/>
        <v>0</v>
      </c>
      <c r="O34" s="68">
        <f>SUM(F34*54)</f>
        <v>6970.2929999999997</v>
      </c>
      <c r="P34" s="68">
        <f t="shared" si="3"/>
        <v>0</v>
      </c>
      <c r="Q34" s="68">
        <f t="shared" si="4"/>
        <v>0</v>
      </c>
      <c r="R34" s="68">
        <f t="shared" si="5"/>
        <v>0</v>
      </c>
      <c r="S34" s="68">
        <f t="shared" si="6"/>
        <v>0</v>
      </c>
      <c r="T34" s="68">
        <f t="shared" si="7"/>
        <v>6970.2929999999997</v>
      </c>
    </row>
    <row r="35" spans="1:20">
      <c r="A35" s="69"/>
      <c r="B35" s="83">
        <v>46234</v>
      </c>
      <c r="C35" s="84"/>
      <c r="D35" s="85">
        <v>51.150500000000001</v>
      </c>
      <c r="E35" s="85">
        <v>8.3735999999999997</v>
      </c>
      <c r="F35" s="74">
        <f>F34-E35+D35</f>
        <v>171.85640000000001</v>
      </c>
      <c r="G35" s="65">
        <f>IF(OR(B35="",NOT(ISERROR(SEARCH("KPI",$A$2))),NOT(ISERROR(SEARCH("Полиом",$A$2)))),0,IF(70-F35&lt;=0,0,70-F35))</f>
        <v>0</v>
      </c>
      <c r="H35" s="65"/>
      <c r="I35" s="66"/>
      <c r="J35" s="66"/>
      <c r="K35" s="67"/>
      <c r="L35" s="68">
        <f t="shared" si="1"/>
        <v>0</v>
      </c>
      <c r="M35" s="68">
        <f t="shared" si="2"/>
        <v>6138.06</v>
      </c>
      <c r="N35" s="68">
        <f t="shared" si="2"/>
        <v>1004.832</v>
      </c>
      <c r="O35" s="68">
        <f>SUM(F35*54)</f>
        <v>9280.2456000000002</v>
      </c>
      <c r="P35" s="68">
        <f t="shared" si="3"/>
        <v>0</v>
      </c>
      <c r="Q35" s="68">
        <f t="shared" si="4"/>
        <v>0</v>
      </c>
      <c r="R35" s="68">
        <f t="shared" si="5"/>
        <v>0</v>
      </c>
      <c r="S35" s="68">
        <f t="shared" si="6"/>
        <v>0</v>
      </c>
      <c r="T35" s="68">
        <f t="shared" si="7"/>
        <v>16423.137600000002</v>
      </c>
    </row>
    <row r="36" spans="1:20">
      <c r="D36" s="75"/>
      <c r="E36" s="75"/>
      <c r="F36" s="76">
        <f>SUM(F5:F35)</f>
        <v>988.02940000000001</v>
      </c>
      <c r="G36" s="76">
        <f t="shared" ref="G36:T36" si="10">SUM(G5:G35)</f>
        <v>1485.7767999999999</v>
      </c>
      <c r="H36" s="76">
        <f t="shared" si="10"/>
        <v>0</v>
      </c>
      <c r="I36" s="76">
        <f t="shared" si="10"/>
        <v>0</v>
      </c>
      <c r="J36" s="76">
        <f t="shared" si="10"/>
        <v>0</v>
      </c>
      <c r="K36" s="77">
        <f t="shared" si="10"/>
        <v>0</v>
      </c>
      <c r="L36" s="78">
        <f t="shared" si="10"/>
        <v>0</v>
      </c>
      <c r="M36" s="78">
        <f t="shared" si="10"/>
        <v>23318.004000000001</v>
      </c>
      <c r="N36" s="78">
        <f t="shared" si="10"/>
        <v>2695.2359999999999</v>
      </c>
      <c r="O36" s="78">
        <f t="shared" si="10"/>
        <v>53353.587599999999</v>
      </c>
      <c r="P36" s="78">
        <f t="shared" si="10"/>
        <v>80231.94720000001</v>
      </c>
      <c r="Q36" s="78">
        <f t="shared" si="10"/>
        <v>0</v>
      </c>
      <c r="R36" s="78">
        <f t="shared" si="10"/>
        <v>0</v>
      </c>
      <c r="S36" s="78">
        <f t="shared" si="10"/>
        <v>0</v>
      </c>
      <c r="T36" s="78">
        <f t="shared" si="10"/>
        <v>159598.77480000001</v>
      </c>
    </row>
    <row r="37" spans="1:20">
      <c r="R37" s="79"/>
      <c r="S37" s="79"/>
      <c r="T37" s="80">
        <f>T36*1.22</f>
        <v>194710.505256</v>
      </c>
    </row>
    <row r="40" spans="1:20">
      <c r="F40" s="81"/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BCCB-A41B-411F-933F-9C4DC249E7CF}">
  <dimension ref="A1:M125"/>
  <sheetViews>
    <sheetView tabSelected="1" zoomScaleNormal="100" workbookViewId="0">
      <selection activeCell="E32" sqref="E32"/>
    </sheetView>
  </sheetViews>
  <sheetFormatPr defaultColWidth="14.42578125" defaultRowHeight="15" customHeight="1"/>
  <cols>
    <col min="1" max="1" width="28.5703125" style="4" customWidth="1"/>
    <col min="2" max="2" width="17.7109375" style="4" customWidth="1"/>
    <col min="3" max="3" width="17.140625" style="4" customWidth="1"/>
    <col min="4" max="4" width="18.42578125" style="4" customWidth="1"/>
    <col min="5" max="5" width="20.85546875" style="4" customWidth="1"/>
    <col min="6" max="6" width="21.85546875" style="4" customWidth="1"/>
    <col min="7" max="9" width="22.28515625" style="4" customWidth="1"/>
    <col min="10" max="10" width="19.28515625" style="4" customWidth="1"/>
    <col min="11" max="11" width="22.5703125" style="4" customWidth="1"/>
    <col min="12" max="12" width="30.28515625" style="4" customWidth="1"/>
    <col min="13" max="13" width="31.28515625" style="4" customWidth="1"/>
    <col min="14" max="16384" width="14.42578125" style="4"/>
  </cols>
  <sheetData>
    <row r="1" spans="1:10" ht="161.25" customHeight="1" thickBot="1">
      <c r="A1" s="234">
        <f ca="1">G16</f>
        <v>147084646.73525602</v>
      </c>
      <c r="B1" s="125"/>
      <c r="C1" s="125"/>
      <c r="D1" s="125"/>
      <c r="E1" s="125"/>
      <c r="F1" s="125"/>
      <c r="G1" s="125"/>
    </row>
    <row r="2" spans="1:10" ht="12.75" customHeight="1" thickBot="1">
      <c r="A2" s="126"/>
      <c r="B2" s="127"/>
      <c r="C2" s="127"/>
      <c r="D2" s="127"/>
      <c r="E2" s="127"/>
      <c r="F2" s="127"/>
      <c r="I2" s="88" t="s">
        <v>19</v>
      </c>
      <c r="J2" s="89"/>
    </row>
    <row r="3" spans="1:10" ht="14.25" customHeight="1" thickBot="1">
      <c r="A3" s="90" t="s">
        <v>20</v>
      </c>
      <c r="B3" s="91" t="s">
        <v>21</v>
      </c>
      <c r="C3" s="91" t="s">
        <v>22</v>
      </c>
      <c r="D3" s="91" t="s">
        <v>23</v>
      </c>
      <c r="E3" s="91" t="s">
        <v>24</v>
      </c>
      <c r="F3" s="91" t="s">
        <v>25</v>
      </c>
      <c r="G3" s="92" t="s">
        <v>26</v>
      </c>
      <c r="I3" s="93" t="s">
        <v>27</v>
      </c>
      <c r="J3" s="94">
        <v>23143268.370000001</v>
      </c>
    </row>
    <row r="4" spans="1:10" ht="14.25" customHeight="1">
      <c r="A4" s="95" t="s">
        <v>28</v>
      </c>
      <c r="B4" s="96">
        <f t="shared" ref="B4:B14" ca="1" si="0">INDEX($M$45:$M$54,MATCH(A4,$A$45:$A$54,0),1)</f>
        <v>7960861.3500000006</v>
      </c>
      <c r="C4" s="96">
        <v>0</v>
      </c>
      <c r="D4" s="96">
        <f t="shared" ref="D4:D14" ca="1" si="1">INDEX($B$57:$B$73,MATCH(A4,$A$57:$A$73,0),1)</f>
        <v>0</v>
      </c>
      <c r="E4" s="96">
        <f t="shared" ref="E4:E15" ca="1" si="2">SUMIF($F$19:$F$42,A4,$G$19:$G$42)</f>
        <v>1138316.73</v>
      </c>
      <c r="F4" s="96">
        <f t="shared" ref="F4:F14" ca="1" si="3">SUMIF($B$19:$B$27,A4,$C$19:$C$27)</f>
        <v>184417</v>
      </c>
      <c r="G4" s="97">
        <f t="shared" ref="G4:G13" ca="1" si="4">SUM(B4:F4)</f>
        <v>9283595.0800000001</v>
      </c>
      <c r="I4" s="98" t="s">
        <v>29</v>
      </c>
      <c r="J4" s="99">
        <v>19482962</v>
      </c>
    </row>
    <row r="5" spans="1:10" ht="14.25" customHeight="1">
      <c r="A5" s="1" t="s">
        <v>30</v>
      </c>
      <c r="B5" s="96">
        <f t="shared" ca="1" si="0"/>
        <v>10570080</v>
      </c>
      <c r="C5" s="96">
        <v>0</v>
      </c>
      <c r="D5" s="96">
        <f t="shared" ca="1" si="1"/>
        <v>0</v>
      </c>
      <c r="E5" s="96">
        <f t="shared" ca="1" si="2"/>
        <v>179523</v>
      </c>
      <c r="F5" s="96">
        <f t="shared" ca="1" si="3"/>
        <v>0</v>
      </c>
      <c r="G5" s="97">
        <f t="shared" ca="1" si="4"/>
        <v>10749603</v>
      </c>
      <c r="I5" s="98" t="s">
        <v>30</v>
      </c>
      <c r="J5" s="99">
        <v>14483152.129999999</v>
      </c>
    </row>
    <row r="6" spans="1:10" ht="14.25" customHeight="1">
      <c r="A6" s="1" t="s">
        <v>31</v>
      </c>
      <c r="B6" s="96">
        <f t="shared" ca="1" si="0"/>
        <v>11713974.57</v>
      </c>
      <c r="C6" s="96">
        <v>0</v>
      </c>
      <c r="D6" s="96">
        <f t="shared" ca="1" si="1"/>
        <v>0</v>
      </c>
      <c r="E6" s="96">
        <f t="shared" ca="1" si="2"/>
        <v>0</v>
      </c>
      <c r="F6" s="96">
        <f t="shared" si="3"/>
        <v>0</v>
      </c>
      <c r="G6" s="97">
        <f t="shared" ca="1" si="4"/>
        <v>11713974.57</v>
      </c>
      <c r="I6" s="98" t="s">
        <v>31</v>
      </c>
      <c r="J6" s="99">
        <v>11908608.83</v>
      </c>
    </row>
    <row r="7" spans="1:10" ht="14.25" customHeight="1">
      <c r="A7" s="1" t="s">
        <v>32</v>
      </c>
      <c r="B7" s="96">
        <f t="shared" ca="1" si="0"/>
        <v>5953601.8300000001</v>
      </c>
      <c r="C7" s="96">
        <v>0</v>
      </c>
      <c r="D7" s="96">
        <f t="shared" ca="1" si="1"/>
        <v>0</v>
      </c>
      <c r="E7" s="96">
        <f t="shared" ca="1" si="2"/>
        <v>194710.505256</v>
      </c>
      <c r="F7" s="96">
        <f t="shared" si="3"/>
        <v>0</v>
      </c>
      <c r="G7" s="97">
        <f t="shared" ca="1" si="4"/>
        <v>6148312.335256</v>
      </c>
      <c r="I7" s="98" t="s">
        <v>28</v>
      </c>
      <c r="J7" s="99">
        <v>11544503.229999999</v>
      </c>
    </row>
    <row r="8" spans="1:10" ht="14.25" customHeight="1">
      <c r="A8" s="1" t="s">
        <v>33</v>
      </c>
      <c r="B8" s="96">
        <f t="shared" ca="1" si="0"/>
        <v>5686668.2300000004</v>
      </c>
      <c r="C8" s="96">
        <v>0</v>
      </c>
      <c r="D8" s="96">
        <f t="shared" ca="1" si="1"/>
        <v>0</v>
      </c>
      <c r="E8" s="96">
        <f t="shared" si="2"/>
        <v>0</v>
      </c>
      <c r="F8" s="96">
        <f t="shared" si="3"/>
        <v>0</v>
      </c>
      <c r="G8" s="97">
        <f t="shared" ca="1" si="4"/>
        <v>5686668.2300000004</v>
      </c>
      <c r="I8" s="98"/>
      <c r="J8" s="99"/>
    </row>
    <row r="9" spans="1:10" ht="14.25" customHeight="1">
      <c r="A9" s="1" t="s">
        <v>27</v>
      </c>
      <c r="B9" s="96">
        <f t="shared" ca="1" si="0"/>
        <v>18503047.039999999</v>
      </c>
      <c r="C9" s="96">
        <v>0</v>
      </c>
      <c r="D9" s="96">
        <f t="shared" ca="1" si="1"/>
        <v>0</v>
      </c>
      <c r="E9" s="96">
        <f t="shared" ca="1" si="2"/>
        <v>0</v>
      </c>
      <c r="F9" s="96">
        <f t="shared" si="3"/>
        <v>0</v>
      </c>
      <c r="G9" s="97">
        <f t="shared" ca="1" si="4"/>
        <v>18503047.039999999</v>
      </c>
      <c r="I9" s="98" t="s">
        <v>34</v>
      </c>
      <c r="J9" s="99">
        <v>9900926.8800000008</v>
      </c>
    </row>
    <row r="10" spans="1:10" ht="14.25" customHeight="1">
      <c r="A10" s="1" t="s">
        <v>34</v>
      </c>
      <c r="B10" s="96">
        <f t="shared" ca="1" si="0"/>
        <v>9749437.4800000004</v>
      </c>
      <c r="C10" s="96">
        <v>0</v>
      </c>
      <c r="D10" s="96">
        <f t="shared" ca="1" si="1"/>
        <v>0</v>
      </c>
      <c r="E10" s="96">
        <f t="shared" ca="1" si="2"/>
        <v>0</v>
      </c>
      <c r="F10" s="96">
        <f t="shared" si="3"/>
        <v>0</v>
      </c>
      <c r="G10" s="97">
        <f t="shared" ca="1" si="4"/>
        <v>9749437.4800000004</v>
      </c>
      <c r="I10" s="98" t="s">
        <v>35</v>
      </c>
      <c r="J10" s="99">
        <v>9082789.1400000006</v>
      </c>
    </row>
    <row r="11" spans="1:10" ht="14.25" customHeight="1">
      <c r="A11" s="1" t="s">
        <v>35</v>
      </c>
      <c r="B11" s="96">
        <f t="shared" ca="1" si="0"/>
        <v>8115504.1200000001</v>
      </c>
      <c r="C11" s="96">
        <v>0</v>
      </c>
      <c r="D11" s="96">
        <f t="shared" ca="1" si="1"/>
        <v>0</v>
      </c>
      <c r="E11" s="96">
        <f t="shared" ca="1" si="2"/>
        <v>86302.8</v>
      </c>
      <c r="F11" s="96">
        <f t="shared" si="3"/>
        <v>0</v>
      </c>
      <c r="G11" s="97">
        <f t="shared" ca="1" si="4"/>
        <v>8201806.9199999999</v>
      </c>
      <c r="I11" s="98" t="s">
        <v>32</v>
      </c>
      <c r="J11" s="99">
        <v>7932975.6470719995</v>
      </c>
    </row>
    <row r="12" spans="1:10" ht="14.25" customHeight="1">
      <c r="A12" s="1" t="s">
        <v>36</v>
      </c>
      <c r="B12" s="96">
        <f t="shared" ca="1" si="0"/>
        <v>0</v>
      </c>
      <c r="C12" s="96">
        <v>0</v>
      </c>
      <c r="D12" s="96">
        <f t="shared" ca="1" si="1"/>
        <v>0</v>
      </c>
      <c r="E12" s="96">
        <f t="shared" ca="1" si="2"/>
        <v>0</v>
      </c>
      <c r="F12" s="96">
        <f t="shared" si="3"/>
        <v>0</v>
      </c>
      <c r="G12" s="97">
        <f t="shared" ca="1" si="4"/>
        <v>0</v>
      </c>
      <c r="I12" s="98" t="s">
        <v>36</v>
      </c>
      <c r="J12" s="99">
        <v>7580244.574</v>
      </c>
    </row>
    <row r="13" spans="1:10" ht="14.25" customHeight="1">
      <c r="A13" s="2" t="s">
        <v>29</v>
      </c>
      <c r="B13" s="96">
        <v>0</v>
      </c>
      <c r="C13" s="96">
        <f ca="1">C29+C37</f>
        <v>53285555</v>
      </c>
      <c r="D13" s="96">
        <f t="shared" ca="1" si="1"/>
        <v>0</v>
      </c>
      <c r="E13" s="96">
        <f t="shared" si="2"/>
        <v>0</v>
      </c>
      <c r="F13" s="96">
        <f t="shared" si="3"/>
        <v>0</v>
      </c>
      <c r="G13" s="97">
        <f t="shared" ca="1" si="4"/>
        <v>53285555</v>
      </c>
      <c r="I13" s="98" t="s">
        <v>37</v>
      </c>
      <c r="J13" s="99">
        <v>6720000</v>
      </c>
    </row>
    <row r="14" spans="1:10" ht="14.25" customHeight="1" thickBot="1">
      <c r="A14" s="2" t="s">
        <v>38</v>
      </c>
      <c r="B14" s="96">
        <f t="shared" ca="1" si="0"/>
        <v>11372374.08</v>
      </c>
      <c r="C14" s="96">
        <v>0</v>
      </c>
      <c r="D14" s="96">
        <f t="shared" ca="1" si="1"/>
        <v>0</v>
      </c>
      <c r="E14" s="96">
        <f t="shared" si="2"/>
        <v>0</v>
      </c>
      <c r="F14" s="96">
        <f t="shared" si="3"/>
        <v>0</v>
      </c>
      <c r="G14" s="97">
        <f ca="1">SUM(B14:F14)</f>
        <v>11372374.08</v>
      </c>
      <c r="I14" s="100" t="s">
        <v>39</v>
      </c>
      <c r="J14" s="101">
        <v>2464921.6199999992</v>
      </c>
    </row>
    <row r="15" spans="1:10" ht="14.25" customHeight="1" thickBot="1">
      <c r="A15" s="23" t="s">
        <v>40</v>
      </c>
      <c r="B15" s="96">
        <v>0</v>
      </c>
      <c r="C15" s="96">
        <v>0</v>
      </c>
      <c r="D15" s="96">
        <v>0</v>
      </c>
      <c r="E15" s="96">
        <f t="shared" si="2"/>
        <v>0</v>
      </c>
      <c r="F15" s="96">
        <v>2390273</v>
      </c>
      <c r="G15" s="97">
        <f>SUM(B15:F15)</f>
        <v>2390273</v>
      </c>
    </row>
    <row r="16" spans="1:10" ht="14.25" customHeight="1" thickBot="1">
      <c r="A16" s="3"/>
      <c r="B16" s="102">
        <f t="shared" ref="B16:G16" ca="1" si="5">SUM(B4:B15)</f>
        <v>89625548.700000003</v>
      </c>
      <c r="C16" s="102">
        <f t="shared" ca="1" si="5"/>
        <v>53285555</v>
      </c>
      <c r="D16" s="102">
        <f t="shared" ca="1" si="5"/>
        <v>0</v>
      </c>
      <c r="E16" s="102">
        <f t="shared" ca="1" si="5"/>
        <v>1598853.035256</v>
      </c>
      <c r="F16" s="102">
        <f t="shared" ca="1" si="5"/>
        <v>2574690</v>
      </c>
      <c r="G16" s="128">
        <f t="shared" ca="1" si="5"/>
        <v>147084646.73525602</v>
      </c>
    </row>
    <row r="17" spans="1:9" ht="14.25" customHeight="1" thickBot="1">
      <c r="B17" s="103"/>
      <c r="C17" s="103"/>
      <c r="D17" s="103"/>
      <c r="E17" s="103"/>
      <c r="F17" s="129"/>
    </row>
    <row r="18" spans="1:9" ht="14.25" customHeight="1" thickBot="1">
      <c r="A18" s="104" t="s">
        <v>41</v>
      </c>
      <c r="B18" s="105"/>
      <c r="C18" s="106">
        <f ca="1">SUM(C19:C27)</f>
        <v>184417</v>
      </c>
      <c r="E18" s="107" t="s">
        <v>24</v>
      </c>
      <c r="F18" s="108"/>
      <c r="G18" s="109">
        <f ca="1">SUM(G19:G41)</f>
        <v>1598853.0352560002</v>
      </c>
      <c r="H18" s="110"/>
      <c r="I18" s="111"/>
    </row>
    <row r="19" spans="1:9" ht="14.25" customHeight="1">
      <c r="A19" s="5" t="s">
        <v>42</v>
      </c>
      <c r="B19" s="6" t="s">
        <v>28</v>
      </c>
      <c r="C19" s="7" cm="1">
        <f t="array" aca="1" ref="C19" ca="1">IFERROR(INDIRECT("'" &amp; A19 &amp; "'!A1"),)</f>
        <v>55733</v>
      </c>
      <c r="E19" s="5" t="s">
        <v>43</v>
      </c>
      <c r="F19" s="6" t="s">
        <v>28</v>
      </c>
      <c r="G19" s="8" cm="1">
        <f t="array" aca="1" ref="G19" ca="1">IFERROR(INDIRECT("'" &amp; E19 &amp; " "  &amp; F19 &amp; "'!A1"),0)</f>
        <v>122207.4</v>
      </c>
      <c r="H19" s="9"/>
      <c r="I19" s="9"/>
    </row>
    <row r="20" spans="1:9" ht="14.25" customHeight="1">
      <c r="A20" s="10" t="s">
        <v>44</v>
      </c>
      <c r="B20" s="11" t="s">
        <v>28</v>
      </c>
      <c r="C20" s="7" cm="1">
        <f t="array" aca="1" ref="C20" ca="1">IFERROR(INDIRECT("'" &amp; A20 &amp; "'!A1"),)</f>
        <v>7812</v>
      </c>
      <c r="E20" s="10" t="s">
        <v>45</v>
      </c>
      <c r="F20" s="11" t="s">
        <v>28</v>
      </c>
      <c r="G20" s="8" cm="1">
        <f t="array" aca="1" ref="G20" ca="1">IFERROR(INDIRECT("'" &amp; E20 &amp; " "  &amp; F20 &amp; "'!A1"),0)</f>
        <v>416008.41</v>
      </c>
      <c r="H20" s="9"/>
      <c r="I20" s="9"/>
    </row>
    <row r="21" spans="1:9" ht="14.25" customHeight="1">
      <c r="A21" s="10" t="s">
        <v>46</v>
      </c>
      <c r="B21" s="11" t="s">
        <v>28</v>
      </c>
      <c r="C21" s="7" cm="1">
        <f t="array" aca="1" ref="C21" ca="1">IFERROR(INDIRECT("'" &amp; A21 &amp; "'!A1"),)</f>
        <v>102164</v>
      </c>
      <c r="E21" s="5" t="s">
        <v>47</v>
      </c>
      <c r="F21" s="6" t="s">
        <v>28</v>
      </c>
      <c r="G21" s="8" cm="1">
        <f t="array" aca="1" ref="G21" ca="1">IFERROR(INDIRECT("'" &amp; E21 &amp; " "  &amp; F21 &amp; "'!A1"),0)</f>
        <v>337898.52</v>
      </c>
      <c r="H21" s="9"/>
      <c r="I21" s="9"/>
    </row>
    <row r="22" spans="1:9" ht="14.25" customHeight="1">
      <c r="A22" s="10" t="s">
        <v>48</v>
      </c>
      <c r="B22" s="11" t="s">
        <v>28</v>
      </c>
      <c r="C22" s="7" cm="1">
        <f t="array" aca="1" ref="C22" ca="1">IFERROR(INDIRECT("'" &amp; A22 &amp; "'!A1"),)</f>
        <v>17102.400000000001</v>
      </c>
      <c r="E22" s="5" t="s">
        <v>49</v>
      </c>
      <c r="F22" s="6" t="s">
        <v>31</v>
      </c>
      <c r="G22" s="8" cm="1">
        <f t="array" aca="1" ref="G22" ca="1">IFERROR(INDIRECT("'" &amp; E22 &amp; " "  &amp; F22 &amp; "'!A1"),0)</f>
        <v>0</v>
      </c>
      <c r="H22" s="9"/>
      <c r="I22" s="9"/>
    </row>
    <row r="23" spans="1:9" ht="14.25" customHeight="1">
      <c r="A23" s="10" t="s">
        <v>50</v>
      </c>
      <c r="B23" s="11" t="s">
        <v>28</v>
      </c>
      <c r="C23" s="7" cm="1">
        <f t="array" aca="1" ref="C23" ca="1">IFERROR(INDIRECT("'" &amp; A23 &amp; "'!A1"),)</f>
        <v>1605.5999999999979</v>
      </c>
      <c r="E23" s="10" t="s">
        <v>43</v>
      </c>
      <c r="F23" s="11" t="s">
        <v>31</v>
      </c>
      <c r="G23" s="8" cm="1">
        <f t="array" aca="1" ref="G23" ca="1">IFERROR(INDIRECT("'" &amp; E23 &amp; " "  &amp; F23 &amp; "'!A1"),0)</f>
        <v>0</v>
      </c>
      <c r="H23" s="9"/>
      <c r="I23" s="9"/>
    </row>
    <row r="24" spans="1:9" ht="14.25" customHeight="1">
      <c r="A24" s="10" t="s">
        <v>51</v>
      </c>
      <c r="B24" s="11" t="s">
        <v>37</v>
      </c>
      <c r="C24" s="7" cm="1">
        <f t="array" aca="1" ref="C24" ca="1">IFERROR(INDIRECT("'" &amp; A24 &amp; "'!A1"),)</f>
        <v>0</v>
      </c>
      <c r="E24" s="10" t="s">
        <v>45</v>
      </c>
      <c r="F24" s="11" t="s">
        <v>31</v>
      </c>
      <c r="G24" s="8" cm="1">
        <f t="array" aca="1" ref="G24" ca="1">IFERROR(INDIRECT("'" &amp; E24 &amp; " "  &amp; F24 &amp; "'!A1"),0)</f>
        <v>0</v>
      </c>
      <c r="H24" s="9"/>
      <c r="I24" s="9"/>
    </row>
    <row r="25" spans="1:9" ht="14.25" customHeight="1">
      <c r="A25" s="10" t="s">
        <v>52</v>
      </c>
      <c r="B25" s="11" t="s">
        <v>30</v>
      </c>
      <c r="C25" s="7" cm="1">
        <f t="array" aca="1" ref="C25" ca="1">IFERROR(INDIRECT("'" &amp; A25 &amp; "'!A1"),)</f>
        <v>0</v>
      </c>
      <c r="E25" s="10" t="s">
        <v>43</v>
      </c>
      <c r="F25" s="11" t="s">
        <v>35</v>
      </c>
      <c r="G25" s="8" cm="1">
        <f t="array" aca="1" ref="G25" ca="1">IFERROR(INDIRECT("'" &amp; E25 &amp; " "  &amp; F25 &amp; "'!A1"),0)</f>
        <v>0</v>
      </c>
      <c r="H25" s="9"/>
      <c r="I25" s="9"/>
    </row>
    <row r="26" spans="1:9" ht="14.25" customHeight="1">
      <c r="A26" s="10" t="s">
        <v>53</v>
      </c>
      <c r="B26" s="11" t="s">
        <v>30</v>
      </c>
      <c r="C26" s="7" cm="1">
        <f t="array" aca="1" ref="C26" ca="1">IFERROR(INDIRECT("'" &amp; A26 &amp; "'!A1"),)</f>
        <v>0</v>
      </c>
      <c r="E26" s="10" t="s">
        <v>54</v>
      </c>
      <c r="F26" s="11" t="s">
        <v>35</v>
      </c>
      <c r="G26" s="8" cm="1">
        <f t="array" aca="1" ref="G26" ca="1">IFERROR(INDIRECT("'" &amp; E26 &amp; " "  &amp; F26 &amp; "'!t37"),0)</f>
        <v>0</v>
      </c>
      <c r="H26" s="9"/>
      <c r="I26" s="9"/>
    </row>
    <row r="27" spans="1:9" ht="14.25" customHeight="1">
      <c r="A27" s="10" t="s">
        <v>55</v>
      </c>
      <c r="B27" s="11" t="s">
        <v>30</v>
      </c>
      <c r="C27" s="7" cm="1">
        <f t="array" aca="1" ref="C27" ca="1">IFERROR(INDIRECT("'" &amp; A27 &amp; "'!A1"),)</f>
        <v>0</v>
      </c>
      <c r="E27" s="10" t="s">
        <v>56</v>
      </c>
      <c r="F27" s="11" t="s">
        <v>36</v>
      </c>
      <c r="G27" s="8" cm="1">
        <f t="array" aca="1" ref="G27" ca="1">IFERROR(INDIRECT("'" &amp; E27 &amp; " "  &amp; F27 &amp; "'!A1"),0)</f>
        <v>0</v>
      </c>
      <c r="H27" s="9"/>
      <c r="I27" s="9"/>
    </row>
    <row r="28" spans="1:9" ht="14.25" customHeight="1" thickBot="1">
      <c r="B28" s="12"/>
      <c r="C28" s="9"/>
      <c r="E28" s="10" t="s">
        <v>45</v>
      </c>
      <c r="F28" s="11" t="s">
        <v>30</v>
      </c>
      <c r="G28" s="8" cm="1">
        <f t="array" aca="1" ref="G28" ca="1">IFERROR(INDIRECT("'" &amp; E28 &amp; " "  &amp; F28 &amp; "'!A1"),0)</f>
        <v>102937.5</v>
      </c>
      <c r="H28" s="9"/>
      <c r="I28" s="9"/>
    </row>
    <row r="29" spans="1:9" ht="14.25" customHeight="1" thickBot="1">
      <c r="A29" s="104" t="s">
        <v>29</v>
      </c>
      <c r="B29" s="105"/>
      <c r="C29" s="106">
        <f ca="1">SUM(C30:C35)</f>
        <v>44423720</v>
      </c>
      <c r="E29" s="10" t="s">
        <v>49</v>
      </c>
      <c r="F29" s="11" t="s">
        <v>30</v>
      </c>
      <c r="G29" s="8" cm="1">
        <f t="array" aca="1" ref="G29" ca="1">IFERROR(INDIRECT("'" &amp; E29 &amp; " "  &amp; F29 &amp; "'!A1"),0)</f>
        <v>0</v>
      </c>
      <c r="H29" s="9"/>
      <c r="I29" s="9"/>
    </row>
    <row r="30" spans="1:9" ht="14.25" customHeight="1">
      <c r="A30" s="13" t="s">
        <v>57</v>
      </c>
      <c r="B30" s="14"/>
      <c r="C30" s="7" cm="1">
        <f t="array" aca="1" ref="C30" ca="1">INDIRECT("'" &amp; A29 &amp; "'!F17")</f>
        <v>15827299</v>
      </c>
      <c r="E30" s="10" t="s">
        <v>47</v>
      </c>
      <c r="F30" s="11" t="s">
        <v>30</v>
      </c>
      <c r="G30" s="8" cm="1">
        <f t="array" aca="1" ref="G30" ca="1">IFERROR(INDIRECT("'" &amp; E30 &amp; " "  &amp; F30 &amp; "'!A1"),0)</f>
        <v>0</v>
      </c>
      <c r="H30" s="9"/>
      <c r="I30" s="9"/>
    </row>
    <row r="31" spans="1:9" ht="14.25" customHeight="1">
      <c r="A31" s="15" t="s">
        <v>58</v>
      </c>
      <c r="B31" s="16"/>
      <c r="C31" s="17" cm="1">
        <f t="array" aca="1" ref="C31" ca="1">INDIRECT("'" &amp; A29 &amp; "'!F16")</f>
        <v>0</v>
      </c>
      <c r="E31" s="18" t="s">
        <v>43</v>
      </c>
      <c r="F31" s="19" t="s">
        <v>30</v>
      </c>
      <c r="G31" s="17" cm="1">
        <f t="array" aca="1" ref="G31" ca="1">IFERROR(INDIRECT("'" &amp; E31 &amp; " "  &amp; F31 &amp; "'!A1"),0)</f>
        <v>76585.5</v>
      </c>
      <c r="H31" s="9"/>
      <c r="I31" s="9"/>
    </row>
    <row r="32" spans="1:9" ht="14.25" customHeight="1">
      <c r="A32" s="15" t="s">
        <v>59</v>
      </c>
      <c r="B32" s="16"/>
      <c r="C32" s="17" cm="1">
        <f t="array" aca="1" ref="C32" ca="1">INDIRECT("'" &amp; A29 &amp; "'!F18")</f>
        <v>786900</v>
      </c>
      <c r="E32" s="5" t="s">
        <v>60</v>
      </c>
      <c r="F32" s="6" t="s">
        <v>32</v>
      </c>
      <c r="G32" s="17" cm="1">
        <f t="array" aca="1" ref="G32" ca="1">IFERROR(INDIRECT("'" &amp; E32 &amp; " "  &amp; F32 &amp; "'!A1"),0)</f>
        <v>194710.505256</v>
      </c>
      <c r="H32" s="9"/>
      <c r="I32" s="9"/>
    </row>
    <row r="33" spans="1:13" ht="14.25" customHeight="1">
      <c r="A33" s="15" t="s">
        <v>61</v>
      </c>
      <c r="B33" s="16"/>
      <c r="C33" s="17" cm="1">
        <f t="array" aca="1" ref="C33" ca="1">INDIRECT("'" &amp; A29 &amp; "'!F19")</f>
        <v>1879800</v>
      </c>
      <c r="E33" s="5" t="s">
        <v>49</v>
      </c>
      <c r="F33" s="6" t="s">
        <v>32</v>
      </c>
      <c r="G33" s="17" cm="1">
        <f t="array" aca="1" ref="G33" ca="1">IFERROR(INDIRECT("'" &amp; E33 &amp; " "  &amp; F33 &amp; "'!A1"),0)</f>
        <v>0</v>
      </c>
      <c r="H33" s="9"/>
      <c r="I33" s="9"/>
    </row>
    <row r="34" spans="1:13" ht="14.25" customHeight="1">
      <c r="A34" s="15" t="s">
        <v>62</v>
      </c>
      <c r="B34" s="16"/>
      <c r="C34" s="17" cm="1">
        <f t="array" aca="1" ref="C34" ca="1">INDIRECT("'" &amp; A29 &amp; "'!F20")</f>
        <v>20584666</v>
      </c>
      <c r="E34" s="18" t="s">
        <v>45</v>
      </c>
      <c r="F34" s="19" t="s">
        <v>32</v>
      </c>
      <c r="G34" s="17" cm="1">
        <f t="array" aca="1" ref="G34" ca="1">IFERROR(INDIRECT("'" &amp; E34 &amp; " "  &amp; F34 &amp; "'!A1"),0)</f>
        <v>0</v>
      </c>
      <c r="H34" s="9"/>
      <c r="I34" s="9"/>
    </row>
    <row r="35" spans="1:13" ht="14.25" customHeight="1">
      <c r="A35" s="15" t="s">
        <v>63</v>
      </c>
      <c r="B35" s="16"/>
      <c r="C35" s="17" cm="1">
        <f t="array" aca="1" ref="C35" ca="1">INDIRECT("'" &amp; A29 &amp; "'!F21")</f>
        <v>5345055</v>
      </c>
      <c r="E35" s="18" t="s">
        <v>49</v>
      </c>
      <c r="F35" s="19" t="s">
        <v>35</v>
      </c>
      <c r="G35" s="17" cm="1">
        <f t="array" aca="1" ref="G35" ca="1">IFERROR(INDIRECT("'" &amp; E35 &amp; " "  &amp; F35 &amp; "'!A1"),0)</f>
        <v>86302.8</v>
      </c>
      <c r="H35" s="9"/>
      <c r="I35" s="9"/>
    </row>
    <row r="36" spans="1:13" ht="14.25" customHeight="1" thickBot="1">
      <c r="A36" s="20"/>
      <c r="B36" s="20"/>
      <c r="C36" s="21"/>
      <c r="E36" s="18" t="s">
        <v>47</v>
      </c>
      <c r="F36" s="19" t="s">
        <v>35</v>
      </c>
      <c r="G36" s="17" cm="1">
        <f t="array" aca="1" ref="G36" ca="1">IFERROR(INDIRECT("'" &amp; E36 &amp; " "  &amp; F36 &amp; "'!A1"),0)</f>
        <v>0</v>
      </c>
      <c r="H36" s="9"/>
      <c r="I36" s="9"/>
    </row>
    <row r="37" spans="1:13" ht="14.25" customHeight="1" thickBot="1">
      <c r="A37" s="104" t="s">
        <v>64</v>
      </c>
      <c r="B37" s="105"/>
      <c r="C37" s="106">
        <f>SUM(C38:C42)</f>
        <v>8861835</v>
      </c>
      <c r="E37" s="10" t="s">
        <v>45</v>
      </c>
      <c r="F37" s="11" t="s">
        <v>27</v>
      </c>
      <c r="G37" s="8" cm="1">
        <f t="array" aca="1" ref="G37" ca="1">IFERROR(INDIRECT("'" &amp; E37 &amp; " "  &amp; F37 &amp; "'!A1"),0)</f>
        <v>0</v>
      </c>
      <c r="H37" s="9"/>
      <c r="I37" s="9"/>
    </row>
    <row r="38" spans="1:13" ht="14.25" customHeight="1">
      <c r="A38" s="13" t="s">
        <v>65</v>
      </c>
      <c r="B38" s="14"/>
      <c r="C38" s="7">
        <v>1797615</v>
      </c>
      <c r="E38" s="10" t="s">
        <v>43</v>
      </c>
      <c r="F38" s="11" t="s">
        <v>34</v>
      </c>
      <c r="G38" s="8" cm="1">
        <f t="array" aca="1" ref="G38" ca="1">IFERROR(INDIRECT("'" &amp; E38 &amp; " "  &amp; F38 &amp; "'!A1"),0)</f>
        <v>0</v>
      </c>
      <c r="H38" s="9"/>
      <c r="I38" s="9"/>
    </row>
    <row r="39" spans="1:13" ht="14.25" customHeight="1">
      <c r="A39" s="15" t="s">
        <v>36</v>
      </c>
      <c r="B39" s="16"/>
      <c r="C39" s="8">
        <v>7064220</v>
      </c>
      <c r="E39" s="10" t="s">
        <v>49</v>
      </c>
      <c r="F39" s="11" t="s">
        <v>28</v>
      </c>
      <c r="G39" s="8" cm="1">
        <f t="array" aca="1" ref="G39" ca="1">IFERROR(INDIRECT("'" &amp; E39 &amp; " "  &amp; F39 &amp; "'!A1"),0)</f>
        <v>262202.40000000002</v>
      </c>
      <c r="H39" s="9"/>
      <c r="I39" s="9"/>
    </row>
    <row r="40" spans="1:13" ht="14.25" customHeight="1">
      <c r="A40" s="15"/>
      <c r="B40" s="16"/>
      <c r="C40" s="8"/>
      <c r="E40" s="10" t="s">
        <v>43</v>
      </c>
      <c r="F40" s="11" t="s">
        <v>27</v>
      </c>
      <c r="G40" s="8" cm="1">
        <f t="array" aca="1" ref="G40" ca="1">IFERROR(INDIRECT("'" &amp; E40 &amp; " "  &amp; F40 &amp; "'!A1"),0)</f>
        <v>0</v>
      </c>
      <c r="H40" s="9"/>
      <c r="I40" s="9"/>
    </row>
    <row r="41" spans="1:13" ht="14.25" customHeight="1">
      <c r="A41" s="15"/>
      <c r="B41" s="16"/>
      <c r="C41" s="8"/>
      <c r="E41" s="10" t="s">
        <v>66</v>
      </c>
      <c r="F41" s="11" t="s">
        <v>36</v>
      </c>
      <c r="G41" s="8" cm="1">
        <f t="array" aca="1" ref="G41" ca="1">IFERROR(INDIRECT("'" &amp; E41 &amp; " "  &amp; F41 &amp; "'!A1"),0)</f>
        <v>0</v>
      </c>
      <c r="H41" s="9"/>
      <c r="I41" s="9"/>
    </row>
    <row r="42" spans="1:13" ht="14.25" customHeight="1" thickBot="1">
      <c r="A42" s="15"/>
      <c r="B42" s="16"/>
      <c r="C42" s="8"/>
      <c r="F42" s="12"/>
      <c r="G42" s="22"/>
      <c r="H42" s="9"/>
      <c r="I42" s="9"/>
    </row>
    <row r="43" spans="1:13" ht="14.25" customHeight="1" thickBot="1">
      <c r="A43" s="104" t="s">
        <v>67</v>
      </c>
      <c r="B43" s="105"/>
      <c r="C43" s="105"/>
      <c r="D43" s="105"/>
      <c r="E43" s="105"/>
      <c r="F43" s="105"/>
      <c r="G43" s="105"/>
      <c r="H43" s="105"/>
      <c r="I43" s="105"/>
      <c r="J43" s="112"/>
      <c r="K43" s="113">
        <f ca="1">SUM(M45:M54)</f>
        <v>89625548.700000003</v>
      </c>
      <c r="L43" s="114"/>
      <c r="M43" s="115"/>
    </row>
    <row r="44" spans="1:13" ht="14.25" customHeight="1" thickBot="1">
      <c r="A44" s="3"/>
      <c r="B44" s="91" t="s">
        <v>68</v>
      </c>
      <c r="C44" s="91" t="s">
        <v>69</v>
      </c>
      <c r="D44" s="91" t="s">
        <v>70</v>
      </c>
      <c r="E44" s="91" t="s">
        <v>71</v>
      </c>
      <c r="F44" s="91" t="s">
        <v>72</v>
      </c>
      <c r="G44" s="116" t="s">
        <v>54</v>
      </c>
      <c r="H44" s="116" t="s">
        <v>73</v>
      </c>
      <c r="I44" s="116" t="s">
        <v>74</v>
      </c>
      <c r="J44" s="117" t="s">
        <v>75</v>
      </c>
      <c r="K44" s="117" t="s">
        <v>76</v>
      </c>
      <c r="L44" s="117" t="s">
        <v>77</v>
      </c>
      <c r="M44" s="118" t="s">
        <v>78</v>
      </c>
    </row>
    <row r="45" spans="1:13" ht="14.25" customHeight="1">
      <c r="A45" s="119" t="s">
        <v>28</v>
      </c>
      <c r="B45" s="120" cm="1">
        <f t="array" aca="1" ref="B45" ca="1">IFERROR(INDIRECT("'" &amp; $A45 &amp; " " &amp; B$44 &amp; "'!T37"),)</f>
        <v>1518.02</v>
      </c>
      <c r="C45" s="120" cm="1">
        <f t="array" aca="1" ref="C45" ca="1">IFERROR(INDIRECT("'" &amp; $A45 &amp; " " &amp; C$44 &amp; "'!T37"),)</f>
        <v>290063.38</v>
      </c>
      <c r="D45" s="120" cm="1">
        <f t="array" aca="1" ref="D45" ca="1">IFERROR(INDIRECT("'" &amp; $A45 &amp; " " &amp; D$44 &amp; "'!T37"),)</f>
        <v>7669279.9500000002</v>
      </c>
      <c r="E45" s="120" cm="1">
        <f t="array" aca="1" ref="E45" ca="1">IFERROR(INDIRECT("'" &amp; $A45 &amp; " " &amp; E$44 &amp; "'!T37"),)</f>
        <v>0</v>
      </c>
      <c r="F45" s="120" cm="1">
        <f t="array" aca="1" ref="F45" ca="1">IFERROR(INDIRECT("'" &amp; $A45 &amp; " " &amp; F$44 &amp; "'!T37"),)</f>
        <v>0</v>
      </c>
      <c r="G45" s="120" cm="1">
        <f t="array" aca="1" ref="G45" ca="1">IFERROR(INDIRECT("'" &amp; $A45 &amp; " " &amp; G$44 &amp; "'!T37"),)</f>
        <v>0</v>
      </c>
      <c r="H45" s="120" cm="1">
        <f t="array" aca="1" ref="H45" ca="1">IFERROR(INDIRECT("'" &amp; $A45 &amp; " " &amp; H$44 &amp; "'!T37"),)</f>
        <v>0</v>
      </c>
      <c r="I45" s="120" cm="1">
        <f t="array" aca="1" ref="I45" ca="1">IFERROR(INDIRECT("'" &amp; $A45 &amp; " " &amp; I$44 &amp; "'!T37"),)</f>
        <v>0</v>
      </c>
      <c r="J45" s="120" cm="1">
        <f t="array" aca="1" ref="J45" ca="1">IFERROR(INDIRECT("'" &amp; $A45 &amp; " " &amp; J$44 &amp; "'!T37"),)</f>
        <v>0</v>
      </c>
      <c r="K45" s="120" cm="1">
        <f t="array" aca="1" ref="K45" ca="1">IFERROR(INDIRECT("'" &amp; $A45 &amp; " " &amp; K$44 &amp; "'!G12"),)</f>
        <v>0</v>
      </c>
      <c r="L45" s="120" cm="1">
        <f t="array" aca="1" ref="L45" ca="1">IFERROR(INDIRECT("'" &amp; $A45 &amp; " " &amp; L$44 &amp; "'!F14"),)</f>
        <v>0</v>
      </c>
      <c r="M45" s="121">
        <f ca="1">SUM(B45:L45)</f>
        <v>7960861.3500000006</v>
      </c>
    </row>
    <row r="46" spans="1:13" ht="14.25" customHeight="1">
      <c r="A46" s="23" t="s">
        <v>30</v>
      </c>
      <c r="B46" s="120" cm="1">
        <f t="array" aca="1" ref="B46" ca="1">IFERROR(INDIRECT("'" &amp; $A46 &amp; " " &amp; B$44 &amp; "'!T37"),)</f>
        <v>18899.09</v>
      </c>
      <c r="C46" s="120" cm="1">
        <f t="array" aca="1" ref="C46" ca="1">IFERROR(INDIRECT("'" &amp; $A46 &amp; " " &amp; C$44 &amp; "'!T37"),)</f>
        <v>614712.13</v>
      </c>
      <c r="D46" s="120" cm="1">
        <f t="array" aca="1" ref="D46" ca="1">IFERROR(INDIRECT("'" &amp; $A46 &amp; " " &amp; D$44 &amp; "'!T37"),)</f>
        <v>9936468.7799999993</v>
      </c>
      <c r="E46" s="120" cm="1">
        <f t="array" aca="1" ref="E46" ca="1">IFERROR(INDIRECT("'" &amp; $A46 &amp; " " &amp; E$44 &amp; "'!T37"),)</f>
        <v>0</v>
      </c>
      <c r="F46" s="120" cm="1">
        <f t="array" aca="1" ref="F46" ca="1">IFERROR(INDIRECT("'" &amp; $A46 &amp; " " &amp; F$44 &amp; "'!T37"),)</f>
        <v>0</v>
      </c>
      <c r="G46" s="120" cm="1">
        <f t="array" aca="1" ref="G46" ca="1">IFERROR(INDIRECT("'" &amp; $A46 &amp; " " &amp; G$44 &amp; "'!T37"),)</f>
        <v>0</v>
      </c>
      <c r="H46" s="120" cm="1">
        <f t="array" aca="1" ref="H46" ca="1">IFERROR(INDIRECT("'" &amp; $A46 &amp; " " &amp; H$44 &amp; "'!T37"),)</f>
        <v>0</v>
      </c>
      <c r="I46" s="120" cm="1">
        <f t="array" aca="1" ref="I46" ca="1">IFERROR(INDIRECT("'" &amp; $A46 &amp; " " &amp; I$44 &amp; "'!T37"),)</f>
        <v>0</v>
      </c>
      <c r="J46" s="120" cm="1">
        <f t="array" aca="1" ref="J46" ca="1">IFERROR(INDIRECT("'" &amp; $A46 &amp; " " &amp; J$44 &amp; "'!T37"),)</f>
        <v>0</v>
      </c>
      <c r="K46" s="120" cm="1">
        <f t="array" aca="1" ref="K46" ca="1">IFERROR(INDIRECT("'" &amp; $A46 &amp; " " &amp; K$44 &amp; "'!G12"),)</f>
        <v>0</v>
      </c>
      <c r="L46" s="120" cm="1">
        <f t="array" aca="1" ref="L46" ca="1">IFERROR(INDIRECT("'" &amp; $A46 &amp; " " &amp; L$44 &amp; "'!F14"),)</f>
        <v>0</v>
      </c>
      <c r="M46" s="121">
        <f t="shared" ref="M46:M54" ca="1" si="6">SUM(B46:L46)</f>
        <v>10570080</v>
      </c>
    </row>
    <row r="47" spans="1:13" ht="14.25" customHeight="1">
      <c r="A47" s="23" t="s">
        <v>31</v>
      </c>
      <c r="B47" s="120" cm="1">
        <f t="array" aca="1" ref="B47" ca="1">IFERROR(INDIRECT("'" &amp; $A47 &amp; " " &amp; B$44 &amp; "'!T37"),)</f>
        <v>285691.12</v>
      </c>
      <c r="C47" s="120" cm="1">
        <f t="array" aca="1" ref="C47" ca="1">IFERROR(INDIRECT("'" &amp; $A47 &amp; " " &amp; C$44 &amp; "'!T37"),)</f>
        <v>450359.75</v>
      </c>
      <c r="D47" s="120" cm="1">
        <f t="array" aca="1" ref="D47" ca="1">IFERROR(INDIRECT("'" &amp; $A47 &amp; " " &amp; D$44 &amp; "'!T37"),)</f>
        <v>10841725.710000001</v>
      </c>
      <c r="E47" s="120" cm="1">
        <f t="array" aca="1" ref="E47" ca="1">IFERROR(INDIRECT("'" &amp; $A47 &amp; " " &amp; E$44 &amp; "'!T37"),)</f>
        <v>0</v>
      </c>
      <c r="F47" s="120" cm="1">
        <f t="array" aca="1" ref="F47" ca="1">IFERROR(INDIRECT("'" &amp; $A47 &amp; " " &amp; F$44 &amp; "'!T37"),)</f>
        <v>0</v>
      </c>
      <c r="G47" s="120" cm="1">
        <f t="array" aca="1" ref="G47" ca="1">IFERROR(INDIRECT("'" &amp; $A47 &amp; " " &amp; G$44 &amp; "'!T37"),)</f>
        <v>0</v>
      </c>
      <c r="H47" s="120" cm="1">
        <f t="array" aca="1" ref="H47" ca="1">IFERROR(INDIRECT("'" &amp; $A47 &amp; " " &amp; H$44 &amp; "'!T37"),)</f>
        <v>0</v>
      </c>
      <c r="I47" s="120" cm="1">
        <f t="array" aca="1" ref="I47" ca="1">IFERROR(INDIRECT("'" &amp; $A47 &amp; " " &amp; I$44 &amp; "'!T37"),)</f>
        <v>0</v>
      </c>
      <c r="J47" s="120" cm="1">
        <f t="array" aca="1" ref="J47" ca="1">IFERROR(INDIRECT("'" &amp; $A47 &amp; " " &amp; J$44 &amp; "'!T37"),)</f>
        <v>121557.99</v>
      </c>
      <c r="K47" s="120" cm="1">
        <f t="array" aca="1" ref="K47" ca="1">IFERROR(INDIRECT("'" &amp; $A47 &amp; " " &amp; K$44 &amp; "'!G12"),)</f>
        <v>14640</v>
      </c>
      <c r="L47" s="120" cm="1">
        <f t="array" aca="1" ref="L47" ca="1">IFERROR(INDIRECT("'" &amp; $A47 &amp; " " &amp; L$44 &amp; "'!F14"),)</f>
        <v>0</v>
      </c>
      <c r="M47" s="121">
        <f t="shared" ca="1" si="6"/>
        <v>11713974.57</v>
      </c>
    </row>
    <row r="48" spans="1:13" ht="14.25" customHeight="1">
      <c r="A48" s="23" t="s">
        <v>32</v>
      </c>
      <c r="B48" s="120" cm="1">
        <f t="array" aca="1" ref="B48" ca="1">IFERROR(INDIRECT("'" &amp; $A48 &amp; " " &amp; B$44 &amp; "'!T37"),)</f>
        <v>1031.8800000000001</v>
      </c>
      <c r="C48" s="120" cm="1">
        <f t="array" aca="1" ref="C48" ca="1">IFERROR(INDIRECT("'" &amp; $A48 &amp; " " &amp; C$44 &amp; "'!T37"),)</f>
        <v>89197.91</v>
      </c>
      <c r="D48" s="120" cm="1">
        <f t="array" aca="1" ref="D48" ca="1">IFERROR(INDIRECT("'" &amp; $A48 &amp; " " &amp; D$44 &amp; "'!T37"),)</f>
        <v>4263673.8099999996</v>
      </c>
      <c r="E48" s="120" cm="1">
        <f t="array" aca="1" ref="E48" ca="1">IFERROR(INDIRECT("'" &amp; $A48 &amp; " " &amp; E$44 &amp; "'!T37"),)</f>
        <v>0</v>
      </c>
      <c r="F48" s="120" cm="1">
        <f t="array" aca="1" ref="F48" ca="1">IFERROR(INDIRECT("'" &amp; $A48 &amp; " " &amp; F$44 &amp; "'!T37"),)</f>
        <v>0</v>
      </c>
      <c r="G48" s="120" cm="1">
        <f t="array" aca="1" ref="G48" ca="1">IFERROR(INDIRECT("'" &amp; $A48 &amp; " " &amp; G$44 &amp; "'!T37"),)</f>
        <v>0</v>
      </c>
      <c r="H48" s="120" cm="1">
        <f t="array" aca="1" ref="H48" ca="1">IFERROR(INDIRECT("'" &amp; $A48 &amp; " " &amp; H$44 &amp; "'!T37"),)</f>
        <v>0</v>
      </c>
      <c r="I48" s="120" cm="1">
        <f t="array" aca="1" ref="I48" ca="1">IFERROR(INDIRECT("'" &amp; $A48 &amp; " " &amp; I$44 &amp; "'!T37"),)</f>
        <v>1599698.23</v>
      </c>
      <c r="J48" s="120" cm="1">
        <f t="array" aca="1" ref="J48" ca="1">IFERROR(INDIRECT("'" &amp; $A48 &amp; " " &amp; J$44 &amp; "'!T37"),)</f>
        <v>0</v>
      </c>
      <c r="K48" s="120" cm="1">
        <f t="array" aca="1" ref="K48" ca="1">IFERROR(INDIRECT("'" &amp; $A48 &amp; " " &amp; K$44 &amp; "'!G12"),)</f>
        <v>0</v>
      </c>
      <c r="L48" s="120" cm="1">
        <f t="array" aca="1" ref="L48" ca="1">IFERROR(INDIRECT("'" &amp; $A48 &amp; " " &amp; L$44 &amp; "'!F14"),)</f>
        <v>0</v>
      </c>
      <c r="M48" s="121">
        <f t="shared" ca="1" si="6"/>
        <v>5953601.8300000001</v>
      </c>
    </row>
    <row r="49" spans="1:13" ht="14.25" customHeight="1">
      <c r="A49" s="23" t="s">
        <v>33</v>
      </c>
      <c r="B49" s="120" cm="1">
        <f t="array" aca="1" ref="B49" ca="1">IFERROR(INDIRECT("'" &amp; $A49 &amp; " " &amp; B$44 &amp; "'!T37"),)</f>
        <v>0</v>
      </c>
      <c r="C49" s="120" cm="1">
        <f t="array" aca="1" ref="C49" ca="1">IFERROR(INDIRECT("'" &amp; $A49 &amp; " " &amp; C$44 &amp; "'!T37"),)</f>
        <v>0</v>
      </c>
      <c r="D49" s="120" cm="1">
        <f t="array" aca="1" ref="D49" ca="1">IFERROR(INDIRECT("'" &amp; $A49 &amp; " " &amp; D$44 &amp; "'!T37"),)</f>
        <v>0</v>
      </c>
      <c r="E49" s="120" cm="1">
        <f t="array" aca="1" ref="E49" ca="1">IFERROR(INDIRECT("'" &amp; $A49 &amp; " " &amp; E$44 &amp; "'!T37"),)</f>
        <v>0</v>
      </c>
      <c r="F49" s="120" cm="1">
        <f t="array" aca="1" ref="F49" ca="1">IFERROR(INDIRECT("'" &amp; $A49 &amp; " " &amp; F$44 &amp; "'!T37"),)</f>
        <v>0</v>
      </c>
      <c r="G49" s="120" cm="1">
        <f t="array" aca="1" ref="G49" ca="1">IFERROR(INDIRECT("'" &amp; $A49 &amp; " " &amp; G$44 &amp; "'!T37"),)</f>
        <v>0</v>
      </c>
      <c r="H49" s="120" cm="1">
        <f t="array" aca="1" ref="H49" ca="1">IFERROR(INDIRECT("'" &amp; $A49 &amp; " " &amp; H$44 &amp; "'!T37"),)</f>
        <v>0</v>
      </c>
      <c r="I49" s="120" cm="1">
        <f t="array" aca="1" ref="I49" ca="1">IFERROR(INDIRECT("'" &amp; $A49 &amp; " " &amp; I$44 &amp; "'!T37"),)</f>
        <v>5686668.2300000004</v>
      </c>
      <c r="J49" s="120" cm="1">
        <f t="array" aca="1" ref="J49" ca="1">IFERROR(INDIRECT("'" &amp; $A49 &amp; " " &amp; J$44 &amp; "'!T37"),)</f>
        <v>0</v>
      </c>
      <c r="K49" s="120" cm="1">
        <f t="array" aca="1" ref="K49" ca="1">IFERROR(INDIRECT("'" &amp; $A49 &amp; " " &amp; K$44 &amp; "'!G12"),)</f>
        <v>0</v>
      </c>
      <c r="L49" s="120" cm="1">
        <f t="array" aca="1" ref="L49" ca="1">IFERROR(INDIRECT("'" &amp; $A49 &amp; " " &amp; L$44 &amp; "'!F14"),)</f>
        <v>0</v>
      </c>
      <c r="M49" s="121">
        <f t="shared" ca="1" si="6"/>
        <v>5686668.2300000004</v>
      </c>
    </row>
    <row r="50" spans="1:13" ht="14.25" customHeight="1">
      <c r="A50" s="23" t="s">
        <v>27</v>
      </c>
      <c r="B50" s="120" cm="1">
        <f t="array" aca="1" ref="B50" ca="1">IFERROR(INDIRECT("'" &amp; $A50 &amp; " " &amp; B$44 &amp; "'!T37"),)</f>
        <v>0</v>
      </c>
      <c r="C50" s="120" cm="1">
        <f t="array" aca="1" ref="C50" ca="1">IFERROR(INDIRECT("'" &amp; $A50 &amp; " " &amp; C$44 &amp; "'!T37"),)</f>
        <v>210532.3</v>
      </c>
      <c r="D50" s="120" cm="1">
        <f t="array" aca="1" ref="D50" ca="1">IFERROR(INDIRECT("'" &amp; $A50 &amp; " " &amp; D$44 &amp; "'!T37"),)</f>
        <v>18243714.739999998</v>
      </c>
      <c r="E50" s="120" cm="1">
        <f t="array" aca="1" ref="E50" ca="1">IFERROR(INDIRECT("'" &amp; $A50 &amp; " " &amp; E$44 &amp; "'!T37"),)</f>
        <v>0</v>
      </c>
      <c r="F50" s="120" cm="1">
        <f t="array" aca="1" ref="F50" ca="1">IFERROR(INDIRECT("'" &amp; $A50 &amp; " " &amp; F$44 &amp; "'!T37"),)</f>
        <v>0</v>
      </c>
      <c r="G50" s="120" cm="1">
        <f t="array" aca="1" ref="G50" ca="1">IFERROR(INDIRECT("'" &amp; $A50 &amp; " " &amp; G$44 &amp; "'!T37"),)</f>
        <v>0</v>
      </c>
      <c r="H50" s="120" cm="1">
        <f t="array" aca="1" ref="H50" ca="1">IFERROR(INDIRECT("'" &amp; $A50 &amp; " " &amp; H$44 &amp; "'!T37"),)</f>
        <v>0</v>
      </c>
      <c r="I50" s="120" cm="1">
        <f t="array" aca="1" ref="I50" ca="1">IFERROR(INDIRECT("'" &amp; $A50 &amp; " " &amp; I$44 &amp; "'!T37"),)</f>
        <v>0</v>
      </c>
      <c r="J50" s="120" cm="1">
        <f t="array" aca="1" ref="J50" ca="1">IFERROR(INDIRECT("'" &amp; $A50 &amp; " " &amp; J$44 &amp; "'!T37"),)</f>
        <v>0</v>
      </c>
      <c r="K50" s="120" cm="1">
        <f t="array" aca="1" ref="K50" ca="1">IFERROR(INDIRECT("'" &amp; $A50 &amp; " " &amp; K$44 &amp; "'!G12"),)</f>
        <v>48800</v>
      </c>
      <c r="L50" s="120" cm="1">
        <f t="array" aca="1" ref="L50" ca="1">IFERROR(INDIRECT("'" &amp; $A50 &amp; " " &amp; L$44 &amp; "'!F14"),)</f>
        <v>0</v>
      </c>
      <c r="M50" s="121">
        <f t="shared" ca="1" si="6"/>
        <v>18503047.039999999</v>
      </c>
    </row>
    <row r="51" spans="1:13" ht="14.25" customHeight="1">
      <c r="A51" s="23" t="s">
        <v>34</v>
      </c>
      <c r="B51" s="120" cm="1">
        <f t="array" aca="1" ref="B51" ca="1">IFERROR(INDIRECT("'" &amp; $A51 &amp; " " &amp; B$44 &amp; "'!T37"),)</f>
        <v>0</v>
      </c>
      <c r="C51" s="120" cm="1">
        <f t="array" aca="1" ref="C51" ca="1">IFERROR(INDIRECT("'" &amp; $A51 &amp; " " &amp; C$44 &amp; "'!T37"),)</f>
        <v>0</v>
      </c>
      <c r="D51" s="120" cm="1">
        <f t="array" aca="1" ref="D51" ca="1">IFERROR(INDIRECT("'" &amp; $A51 &amp; " " &amp; D$44 &amp; "'!T37"),)</f>
        <v>9749437.4800000004</v>
      </c>
      <c r="E51" s="120" cm="1">
        <f t="array" aca="1" ref="E51" ca="1">IFERROR(INDIRECT("'" &amp; $A51 &amp; " " &amp; E$44 &amp; "'!T37"),)</f>
        <v>0</v>
      </c>
      <c r="F51" s="120" cm="1">
        <f t="array" aca="1" ref="F51" ca="1">IFERROR(INDIRECT("'" &amp; $A51 &amp; " " &amp; F$44 &amp; "'!T37"),)</f>
        <v>0</v>
      </c>
      <c r="G51" s="120" cm="1">
        <f t="array" aca="1" ref="G51" ca="1">IFERROR(INDIRECT("'" &amp; $A51 &amp; " " &amp; G$44 &amp; "'!T37"),)</f>
        <v>0</v>
      </c>
      <c r="H51" s="120" cm="1">
        <f t="array" aca="1" ref="H51" ca="1">IFERROR(INDIRECT("'" &amp; $A51 &amp; " " &amp; H$44 &amp; "'!T37"),)</f>
        <v>0</v>
      </c>
      <c r="I51" s="120" cm="1">
        <f t="array" aca="1" ref="I51" ca="1">IFERROR(INDIRECT("'" &amp; $A51 &amp; " " &amp; I$44 &amp; "'!T37"),)</f>
        <v>0</v>
      </c>
      <c r="J51" s="120" cm="1">
        <f t="array" aca="1" ref="J51" ca="1">IFERROR(INDIRECT("'" &amp; $A51 &amp; " " &amp; J$44 &amp; "'!T37"),)</f>
        <v>0</v>
      </c>
      <c r="K51" s="120" cm="1">
        <f t="array" aca="1" ref="K51" ca="1">IFERROR(INDIRECT("'" &amp; $A51 &amp; " " &amp; K$44 &amp; "'!G12"),)</f>
        <v>0</v>
      </c>
      <c r="L51" s="120" cm="1">
        <f t="array" aca="1" ref="L51" ca="1">IFERROR(INDIRECT("'" &amp; $A51 &amp; " " &amp; L$44 &amp; "'!F14"),)</f>
        <v>0</v>
      </c>
      <c r="M51" s="121">
        <f t="shared" ca="1" si="6"/>
        <v>9749437.4800000004</v>
      </c>
    </row>
    <row r="52" spans="1:13" ht="14.25" customHeight="1">
      <c r="A52" s="23" t="s">
        <v>35</v>
      </c>
      <c r="B52" s="120" cm="1">
        <f t="array" aca="1" ref="B52" ca="1">IFERROR(INDIRECT("'" &amp; $A52 &amp; " " &amp; B$44 &amp; "'!T37"),)</f>
        <v>0</v>
      </c>
      <c r="C52" s="120" cm="1">
        <f t="array" aca="1" ref="C52" ca="1">IFERROR(INDIRECT("'" &amp; $A52 &amp; " " &amp; C$44 &amp; "'!T37"),)</f>
        <v>92735.82</v>
      </c>
      <c r="D52" s="120" cm="1">
        <f t="array" aca="1" ref="D52" ca="1">IFERROR(INDIRECT("'" &amp; $A52 &amp; " " &amp; D$44 &amp; "'!T37"),)</f>
        <v>7340148.4299999997</v>
      </c>
      <c r="E52" s="120" cm="1">
        <f t="array" aca="1" ref="E52" ca="1">IFERROR(INDIRECT("'" &amp; $A52 &amp; " " &amp; E$44 &amp; "'!T37"),)</f>
        <v>0</v>
      </c>
      <c r="F52" s="120" cm="1">
        <f t="array" aca="1" ref="F52" ca="1">IFERROR(INDIRECT("'" &amp; $A52 &amp; " " &amp; F$44 &amp; "'!T37"),)</f>
        <v>0</v>
      </c>
      <c r="G52" s="120" cm="1">
        <f t="array" aca="1" ref="G52" ca="1">IFERROR(INDIRECT("'" &amp; $A52 &amp; " " &amp; G$44 &amp; "'!T37"),)</f>
        <v>677739.87</v>
      </c>
      <c r="H52" s="120" cm="1">
        <f t="array" aca="1" ref="H52" ca="1">IFERROR(INDIRECT("'" &amp; $A52 &amp; " " &amp; H$44 &amp; "'!T37"),)</f>
        <v>0</v>
      </c>
      <c r="I52" s="120" cm="1">
        <f t="array" aca="1" ref="I52" ca="1">IFERROR(INDIRECT("'" &amp; $A52 &amp; " " &amp; I$44 &amp; "'!T37"),)</f>
        <v>0</v>
      </c>
      <c r="J52" s="120" cm="1">
        <f t="array" aca="1" ref="J52" ca="1">IFERROR(INDIRECT("'" &amp; $A52 &amp; " " &amp; J$44 &amp; "'!T37"),)</f>
        <v>0</v>
      </c>
      <c r="K52" s="120" cm="1">
        <f t="array" aca="1" ref="K52" ca="1">IFERROR(INDIRECT("'" &amp; $A52 &amp; " " &amp; K$44 &amp; "'!G12"),)</f>
        <v>4880</v>
      </c>
      <c r="L52" s="120" cm="1">
        <f t="array" aca="1" ref="L52" ca="1">IFERROR(INDIRECT("'" &amp; $A52 &amp; " " &amp; L$44 &amp; "'!F14"),)</f>
        <v>0</v>
      </c>
      <c r="M52" s="121">
        <f t="shared" ca="1" si="6"/>
        <v>8115504.1200000001</v>
      </c>
    </row>
    <row r="53" spans="1:13" ht="14.25" customHeight="1">
      <c r="A53" s="23" t="s">
        <v>36</v>
      </c>
      <c r="B53" s="120" cm="1">
        <f t="array" aca="1" ref="B53" ca="1">IFERROR(INDIRECT("'" &amp; $A53 &amp; " " &amp; B$44 &amp; "'!T37"),)</f>
        <v>0</v>
      </c>
      <c r="C53" s="120" cm="1">
        <f t="array" aca="1" ref="C53" ca="1">IFERROR(INDIRECT("'" &amp; $A53 &amp; " " &amp; C$44 &amp; "'!T37"),)</f>
        <v>0</v>
      </c>
      <c r="D53" s="120" cm="1">
        <f t="array" aca="1" ref="D53" ca="1">IFERROR(INDIRECT("'" &amp; $A53 &amp; " " &amp; D$44 &amp; "'!T37"),)</f>
        <v>0</v>
      </c>
      <c r="E53" s="120" cm="1">
        <f t="array" aca="1" ref="E53" ca="1">IFERROR(INDIRECT("'" &amp; $A53 &amp; " " &amp; E$44 &amp; "'!T37"),)</f>
        <v>0</v>
      </c>
      <c r="F53" s="120" cm="1">
        <f t="array" aca="1" ref="F53" ca="1">IFERROR(INDIRECT("'" &amp; $A53 &amp; " " &amp; F$44 &amp; "'!T37"),)</f>
        <v>0</v>
      </c>
      <c r="G53" s="120" cm="1">
        <f t="array" aca="1" ref="G53" ca="1">IFERROR(INDIRECT("'" &amp; $A53 &amp; " " &amp; G$44 &amp; "'!T37"),)</f>
        <v>0</v>
      </c>
      <c r="H53" s="120" cm="1">
        <f t="array" aca="1" ref="H53" ca="1">IFERROR(INDIRECT("'" &amp; $A53 &amp; " " &amp; H$44 &amp; "'!T37"),)</f>
        <v>0</v>
      </c>
      <c r="I53" s="120" cm="1">
        <f t="array" aca="1" ref="I53" ca="1">IFERROR(INDIRECT("'" &amp; $A53 &amp; " " &amp; I$44 &amp; "'!T37"),)</f>
        <v>0</v>
      </c>
      <c r="J53" s="120" cm="1">
        <f t="array" aca="1" ref="J53" ca="1">IFERROR(INDIRECT("'" &amp; $A53 &amp; " " &amp; J$44 &amp; "'!T37"),)</f>
        <v>0</v>
      </c>
      <c r="K53" s="120" cm="1">
        <f t="array" aca="1" ref="K53" ca="1">IFERROR(INDIRECT("'" &amp; $A53 &amp; " " &amp; K$44 &amp; "'!G12"),)</f>
        <v>0</v>
      </c>
      <c r="L53" s="120" cm="1">
        <f t="array" aca="1" ref="L53" ca="1">IFERROR(INDIRECT("'" &amp; $A53 &amp; " " &amp; L$44 &amp; "'!F14"),)</f>
        <v>0</v>
      </c>
      <c r="M53" s="121">
        <f t="shared" ca="1" si="6"/>
        <v>0</v>
      </c>
    </row>
    <row r="54" spans="1:13" ht="14.25" customHeight="1">
      <c r="A54" s="24" t="s">
        <v>38</v>
      </c>
      <c r="B54" s="120" cm="1">
        <f t="array" aca="1" ref="B54" ca="1">IFERROR(INDIRECT("'" &amp; $A54 &amp; " " &amp; B$44 &amp; "'!T37"),)</f>
        <v>137485.32999999999</v>
      </c>
      <c r="C54" s="120" cm="1">
        <f t="array" aca="1" ref="C54" ca="1">IFERROR(INDIRECT("'" &amp; $A54 &amp; " " &amp; C$44 &amp; "'!T37"),)</f>
        <v>1581168.43</v>
      </c>
      <c r="D54" s="120" cm="1">
        <f t="array" aca="1" ref="D54" ca="1">IFERROR(INDIRECT("'" &amp; $A54 &amp; " " &amp; D$44 &amp; "'!T37"),)</f>
        <v>9653720.3200000003</v>
      </c>
      <c r="E54" s="120" cm="1">
        <f t="array" aca="1" ref="E54" ca="1">IFERROR(INDIRECT("'" &amp; $A54 &amp; " " &amp; E$44 &amp; "'!T37"),)</f>
        <v>0</v>
      </c>
      <c r="F54" s="120" cm="1">
        <f t="array" aca="1" ref="F54" ca="1">IFERROR(INDIRECT("'" &amp; $A54 &amp; " " &amp; F$44 &amp; "'!T37"),)</f>
        <v>0</v>
      </c>
      <c r="G54" s="120" cm="1">
        <f t="array" aca="1" ref="G54" ca="1">IFERROR(INDIRECT("'" &amp; $A54 &amp; " " &amp; G$44 &amp; "'!T37"),)</f>
        <v>0</v>
      </c>
      <c r="H54" s="120" cm="1">
        <f t="array" aca="1" ref="H54" ca="1">IFERROR(INDIRECT("'" &amp; $A54 &amp; " " &amp; H$44 &amp; "'!T37"),)</f>
        <v>0</v>
      </c>
      <c r="I54" s="120" cm="1">
        <f t="array" aca="1" ref="I54" ca="1">IFERROR(INDIRECT("'" &amp; $A54 &amp; " " &amp; I$44 &amp; "'!T37"),)</f>
        <v>0</v>
      </c>
      <c r="J54" s="120" cm="1">
        <f t="array" aca="1" ref="J54" ca="1">IFERROR(INDIRECT("'" &amp; $A54 &amp; " " &amp; J$44 &amp; "'!T37"),)</f>
        <v>0</v>
      </c>
      <c r="K54" s="120" cm="1">
        <f t="array" aca="1" ref="K54" ca="1">IFERROR(INDIRECT("'" &amp; $A54 &amp; " " &amp; K$44 &amp; "'!G12"),)</f>
        <v>0</v>
      </c>
      <c r="L54" s="120" cm="1">
        <f t="array" aca="1" ref="L54" ca="1">IFERROR(INDIRECT("'" &amp; $A54 &amp; " " &amp; L$44 &amp; "'!F14"),)</f>
        <v>0</v>
      </c>
      <c r="M54" s="121">
        <f t="shared" ca="1" si="6"/>
        <v>11372374.08</v>
      </c>
    </row>
    <row r="55" spans="1:13" ht="14.25" customHeight="1" thickBot="1">
      <c r="A55" s="111"/>
      <c r="B55" s="122"/>
      <c r="C55" s="122"/>
      <c r="D55" s="122"/>
      <c r="E55" s="122"/>
      <c r="F55" s="122"/>
      <c r="G55" s="122"/>
      <c r="H55" s="122"/>
      <c r="I55" s="122"/>
      <c r="J55" s="123"/>
    </row>
    <row r="56" spans="1:13" ht="14.25" customHeight="1" thickBot="1">
      <c r="A56" s="124" t="s">
        <v>23</v>
      </c>
      <c r="B56" s="106">
        <f ca="1">SUM(B57:B67)</f>
        <v>0</v>
      </c>
    </row>
    <row r="57" spans="1:13" ht="14.25" customHeight="1">
      <c r="A57" s="119" t="s">
        <v>28</v>
      </c>
      <c r="B57" s="96" cm="1">
        <f t="array" aca="1" ref="B57" ca="1">IFERROR(INDIRECT("'РВ " &amp; A57 &amp; "'!O38"),0)</f>
        <v>0</v>
      </c>
    </row>
    <row r="58" spans="1:13" ht="14.25" customHeight="1">
      <c r="A58" s="23" t="s">
        <v>30</v>
      </c>
      <c r="B58" s="96" cm="1">
        <f t="array" aca="1" ref="B58" ca="1">IFERROR(INDIRECT("'РВ " &amp; A58 &amp; "'!O38"),0)</f>
        <v>0</v>
      </c>
    </row>
    <row r="59" spans="1:13" ht="14.25" customHeight="1">
      <c r="A59" s="24" t="s">
        <v>38</v>
      </c>
      <c r="B59" s="96" cm="1">
        <f t="array" aca="1" ref="B59" ca="1">IFERROR(INDIRECT("'РВ " &amp; A59 &amp; "'!O38"),0)</f>
        <v>0</v>
      </c>
    </row>
    <row r="60" spans="1:13" ht="14.25" customHeight="1">
      <c r="A60" s="23" t="s">
        <v>31</v>
      </c>
      <c r="B60" s="96" cm="1">
        <f t="array" aca="1" ref="B60" ca="1">IFERROR(INDIRECT("'РВ " &amp; A60 &amp; "'!O38"),0)</f>
        <v>0</v>
      </c>
    </row>
    <row r="61" spans="1:13" ht="14.25" customHeight="1">
      <c r="A61" s="23" t="s">
        <v>32</v>
      </c>
      <c r="B61" s="96" cm="1">
        <f t="array" aca="1" ref="B61" ca="1">IFERROR(INDIRECT("'РВ " &amp; A61 &amp; "'!O38"),0)</f>
        <v>0</v>
      </c>
    </row>
    <row r="62" spans="1:13" ht="14.25" customHeight="1">
      <c r="A62" s="23" t="s">
        <v>34</v>
      </c>
      <c r="B62" s="96" cm="1">
        <f t="array" aca="1" ref="B62" ca="1">IFERROR(INDIRECT("'РВ " &amp; A62 &amp; "'!O38"),0)</f>
        <v>0</v>
      </c>
    </row>
    <row r="63" spans="1:13" ht="14.25" customHeight="1">
      <c r="A63" s="23" t="s">
        <v>27</v>
      </c>
      <c r="B63" s="96" cm="1">
        <f t="array" aca="1" ref="B63" ca="1">IFERROR(INDIRECT("'РВ " &amp; A63 &amp; "'!O38"),0)</f>
        <v>0</v>
      </c>
    </row>
    <row r="64" spans="1:13" ht="14.25" customHeight="1">
      <c r="A64" s="23" t="s">
        <v>35</v>
      </c>
      <c r="B64" s="96" cm="1">
        <f t="array" aca="1" ref="B64" ca="1">IFERROR(INDIRECT("'РВ " &amp; A64 &amp; "'!O38"),0)</f>
        <v>0</v>
      </c>
    </row>
    <row r="65" spans="1:2" ht="14.25" customHeight="1">
      <c r="A65" s="23" t="s">
        <v>36</v>
      </c>
      <c r="B65" s="96" cm="1">
        <f t="array" aca="1" ref="B65" ca="1">IFERROR(INDIRECT("'РВ " &amp; A65 &amp; "'!O38"),0)</f>
        <v>0</v>
      </c>
    </row>
    <row r="66" spans="1:2" ht="14.25" customHeight="1">
      <c r="A66" s="23" t="s">
        <v>29</v>
      </c>
      <c r="B66" s="96" cm="1">
        <f t="array" aca="1" ref="B66" ca="1">IFERROR(INDIRECT("'РВ " &amp; A66 &amp; "'!O38"),0)</f>
        <v>0</v>
      </c>
    </row>
    <row r="67" spans="1:2" ht="14.25" customHeight="1">
      <c r="A67" s="23" t="s">
        <v>79</v>
      </c>
      <c r="B67" s="96" cm="1">
        <f t="array" aca="1" ref="B67" ca="1">IFERROR(INDIRECT("'РВ " &amp; A67 &amp; "'!O38"),0)+IFERROR(INDIRECT("Резерв!i38"),0)</f>
        <v>0</v>
      </c>
    </row>
    <row r="68" spans="1:2" ht="14.25" customHeight="1">
      <c r="A68" s="23" t="s">
        <v>33</v>
      </c>
      <c r="B68" s="96" cm="1">
        <f t="array" aca="1" ref="B68" ca="1">IFERROR(INDIRECT("'РВ " &amp; A68 &amp; "'!O38"),0)</f>
        <v>0</v>
      </c>
    </row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s="4" customFormat="1" ht="14.25" customHeight="1"/>
    <row r="82" s="4" customFormat="1" ht="14.25" customHeight="1"/>
    <row r="83" s="4" customFormat="1" ht="14.25" customHeight="1"/>
    <row r="84" s="4" customFormat="1" ht="14.25" customHeight="1"/>
    <row r="85" s="4" customFormat="1" ht="14.25" customHeight="1"/>
    <row r="86" s="4" customFormat="1" ht="14.25" customHeight="1"/>
    <row r="87" s="4" customFormat="1" ht="14.25" customHeight="1"/>
    <row r="88" s="4" customFormat="1" ht="14.25" customHeight="1"/>
    <row r="89" s="4" customFormat="1" ht="14.25" customHeight="1"/>
    <row r="90" s="4" customFormat="1" ht="14.25" customHeight="1"/>
    <row r="91" s="4" customFormat="1" ht="14.25" customHeight="1"/>
    <row r="92" s="4" customFormat="1" ht="14.25" customHeight="1"/>
    <row r="93" s="4" customFormat="1" ht="14.25" customHeight="1"/>
    <row r="94" s="4" customFormat="1" ht="14.25" customHeight="1"/>
    <row r="95" s="4" customFormat="1" ht="14.25" customHeight="1"/>
    <row r="96" s="4" customFormat="1" ht="14.25" customHeight="1"/>
    <row r="97" s="4" customFormat="1" ht="14.25" customHeight="1"/>
    <row r="98" s="4" customFormat="1" ht="14.25" customHeight="1"/>
    <row r="99" s="4" customFormat="1" ht="14.25" customHeight="1"/>
    <row r="100" s="4" customFormat="1" ht="14.25" customHeight="1"/>
    <row r="101" s="4" customFormat="1" ht="14.25" customHeight="1"/>
    <row r="102" s="4" customFormat="1" ht="14.25" customHeight="1"/>
    <row r="103" s="4" customFormat="1" ht="14.25" customHeight="1"/>
    <row r="104" s="4" customFormat="1" ht="14.25" customHeight="1"/>
    <row r="105" s="4" customFormat="1" ht="14.25" customHeight="1"/>
    <row r="106" s="4" customFormat="1" ht="14.25" customHeight="1"/>
    <row r="107" s="4" customFormat="1" ht="14.25" customHeight="1"/>
    <row r="108" s="4" customFormat="1" ht="14.25" customHeight="1"/>
    <row r="109" s="4" customFormat="1" ht="14.25" customHeight="1"/>
    <row r="110" s="4" customFormat="1" ht="14.25" customHeight="1"/>
    <row r="111" s="4" customFormat="1" ht="14.25" customHeight="1"/>
    <row r="112" s="4" customFormat="1" ht="14.25" customHeight="1"/>
    <row r="113" s="4" customFormat="1" ht="14.25" customHeight="1"/>
    <row r="114" s="4" customFormat="1" ht="14.25" customHeight="1"/>
    <row r="115" s="4" customFormat="1" ht="14.25" customHeight="1"/>
    <row r="116" s="4" customFormat="1" ht="14.25" customHeight="1"/>
    <row r="117" s="4" customFormat="1" ht="14.25" customHeight="1"/>
    <row r="118" s="4" customFormat="1" ht="14.25" customHeight="1"/>
    <row r="119" s="4" customFormat="1" ht="14.25" customHeight="1"/>
    <row r="120" s="4" customFormat="1" ht="14.25" customHeight="1"/>
    <row r="121" s="4" customFormat="1" ht="14.25" customHeight="1"/>
    <row r="122" s="4" customFormat="1" ht="14.25" customHeight="1"/>
    <row r="123" s="4" customFormat="1" ht="14.25" customHeight="1"/>
    <row r="124" s="4" customFormat="1" ht="14.25" customHeight="1"/>
    <row r="125" s="4" customFormat="1" ht="14.25" customHeight="1"/>
  </sheetData>
  <mergeCells count="19">
    <mergeCell ref="K43:M43"/>
    <mergeCell ref="A38:B38"/>
    <mergeCell ref="A39:B39"/>
    <mergeCell ref="A40:B40"/>
    <mergeCell ref="A41:B41"/>
    <mergeCell ref="A42:B42"/>
    <mergeCell ref="A43:J43"/>
    <mergeCell ref="A31:B31"/>
    <mergeCell ref="A32:B32"/>
    <mergeCell ref="A33:B33"/>
    <mergeCell ref="A34:B34"/>
    <mergeCell ref="A35:B35"/>
    <mergeCell ref="A37:B37"/>
    <mergeCell ref="A1:G1"/>
    <mergeCell ref="I2:J2"/>
    <mergeCell ref="A18:B18"/>
    <mergeCell ref="E18:F18"/>
    <mergeCell ref="A29:B29"/>
    <mergeCell ref="A30:B30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9288-EE5B-44E8-A8F7-9AF8D571A38D}">
  <dimension ref="A1:F9"/>
  <sheetViews>
    <sheetView workbookViewId="0">
      <selection activeCell="A27" sqref="A27"/>
    </sheetView>
  </sheetViews>
  <sheetFormatPr defaultRowHeight="15"/>
  <cols>
    <col min="1" max="1" width="38.28515625" style="51" customWidth="1"/>
    <col min="2" max="2" width="41.28515625" style="51" customWidth="1"/>
    <col min="3" max="3" width="9.140625" style="51"/>
    <col min="4" max="4" width="13.28515625" style="51" customWidth="1"/>
    <col min="5" max="5" width="14.5703125" style="51" bestFit="1" customWidth="1"/>
    <col min="6" max="6" width="16.140625" style="51" customWidth="1"/>
    <col min="7" max="16384" width="9.140625" style="51"/>
  </cols>
  <sheetData>
    <row r="1" spans="1:6">
      <c r="A1" s="50"/>
      <c r="B1" s="130"/>
    </row>
    <row r="3" spans="1:6">
      <c r="A3" s="79"/>
    </row>
    <row r="4" spans="1:6">
      <c r="A4" s="79"/>
      <c r="B4" s="79"/>
      <c r="C4" s="79"/>
    </row>
    <row r="5" spans="1:6">
      <c r="A5" s="79"/>
      <c r="B5" s="79"/>
      <c r="C5" s="79"/>
    </row>
    <row r="7" spans="1:6">
      <c r="A7" s="131"/>
    </row>
    <row r="9" spans="1:6">
      <c r="E9" s="79"/>
      <c r="F9" s="79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A2DD-0AF4-43AF-BA84-5FFDB42BD3D5}">
  <dimension ref="A3:F24"/>
  <sheetViews>
    <sheetView workbookViewId="0">
      <selection activeCell="F21" sqref="F21"/>
    </sheetView>
  </sheetViews>
  <sheetFormatPr defaultRowHeight="15"/>
  <cols>
    <col min="1" max="1" width="9.140625" style="51"/>
    <col min="2" max="2" width="41.28515625" style="51" customWidth="1"/>
    <col min="3" max="3" width="9.140625" style="51"/>
    <col min="4" max="4" width="13.28515625" style="51" customWidth="1"/>
    <col min="5" max="5" width="17" style="51" customWidth="1"/>
    <col min="6" max="6" width="16.140625" style="51" customWidth="1"/>
    <col min="7" max="16384" width="9.140625" style="51"/>
  </cols>
  <sheetData>
    <row r="3" spans="1:6">
      <c r="A3" s="79"/>
    </row>
    <row r="4" spans="1:6">
      <c r="A4" s="79"/>
      <c r="B4" s="79"/>
      <c r="C4" s="79"/>
    </row>
    <row r="5" spans="1:6">
      <c r="A5" s="79"/>
      <c r="B5" s="79"/>
      <c r="C5" s="79"/>
    </row>
    <row r="7" spans="1:6">
      <c r="A7" s="131"/>
    </row>
    <row r="9" spans="1:6">
      <c r="A9" s="67" t="s">
        <v>0</v>
      </c>
      <c r="B9" s="67" t="s">
        <v>80</v>
      </c>
      <c r="C9" s="67" t="s">
        <v>81</v>
      </c>
      <c r="D9" s="67" t="s">
        <v>82</v>
      </c>
      <c r="E9" s="67" t="s">
        <v>83</v>
      </c>
      <c r="F9" s="67" t="s">
        <v>84</v>
      </c>
    </row>
    <row r="10" spans="1:6" ht="15.75" thickBot="1">
      <c r="A10" s="132"/>
      <c r="B10" s="133"/>
      <c r="C10" s="132"/>
      <c r="D10" s="134"/>
      <c r="E10" s="135"/>
      <c r="F10" s="135"/>
    </row>
    <row r="11" spans="1:6">
      <c r="A11" s="132"/>
      <c r="B11" s="136"/>
      <c r="C11" s="132"/>
      <c r="D11" s="132"/>
      <c r="E11" s="135"/>
      <c r="F11" s="135"/>
    </row>
    <row r="12" spans="1:6">
      <c r="A12" s="132"/>
      <c r="B12" s="137"/>
      <c r="C12" s="132"/>
      <c r="D12" s="132"/>
      <c r="E12" s="135"/>
      <c r="F12" s="135"/>
    </row>
    <row r="13" spans="1:6">
      <c r="A13" s="132"/>
      <c r="B13" s="133"/>
      <c r="C13" s="132"/>
      <c r="D13" s="132"/>
      <c r="E13" s="135"/>
      <c r="F13" s="135"/>
    </row>
    <row r="14" spans="1:6">
      <c r="A14" s="51" t="s">
        <v>85</v>
      </c>
      <c r="E14" s="130"/>
      <c r="F14" s="138">
        <f>SUM(F10:F13)</f>
        <v>0</v>
      </c>
    </row>
    <row r="15" spans="1:6">
      <c r="A15" s="51" t="s">
        <v>86</v>
      </c>
      <c r="E15" s="130"/>
      <c r="F15" s="138">
        <f>SUM(F14)</f>
        <v>0</v>
      </c>
    </row>
    <row r="16" spans="1:6">
      <c r="A16" s="51" t="s">
        <v>87</v>
      </c>
      <c r="E16" s="130"/>
      <c r="F16" s="138">
        <f>SUM(F15)*1.2</f>
        <v>0</v>
      </c>
    </row>
    <row r="17" spans="1:6">
      <c r="A17" s="51" t="s">
        <v>88</v>
      </c>
      <c r="E17" s="139" t="s">
        <v>57</v>
      </c>
      <c r="F17" s="139">
        <f>13740173+2087126</f>
        <v>15827299</v>
      </c>
    </row>
    <row r="18" spans="1:6">
      <c r="A18" s="51" t="s">
        <v>89</v>
      </c>
      <c r="E18" s="79" t="s">
        <v>59</v>
      </c>
      <c r="F18" s="139">
        <v>786900</v>
      </c>
    </row>
    <row r="19" spans="1:6">
      <c r="E19" s="79" t="s">
        <v>90</v>
      </c>
      <c r="F19" s="139">
        <v>1879800</v>
      </c>
    </row>
    <row r="20" spans="1:6">
      <c r="E20" s="51" t="s">
        <v>62</v>
      </c>
      <c r="F20" s="140">
        <v>20584666</v>
      </c>
    </row>
    <row r="21" spans="1:6">
      <c r="E21" s="51" t="s">
        <v>63</v>
      </c>
      <c r="F21" s="140">
        <v>5345055</v>
      </c>
    </row>
    <row r="22" spans="1:6">
      <c r="A22" s="51" t="s">
        <v>91</v>
      </c>
      <c r="D22" s="51" t="s">
        <v>92</v>
      </c>
    </row>
    <row r="24" spans="1:6">
      <c r="A24" s="51" t="s">
        <v>93</v>
      </c>
      <c r="B24" s="51" t="s">
        <v>94</v>
      </c>
      <c r="D24" s="51" t="s">
        <v>95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195D-9CC4-4465-AD90-0BB136FE6B79}">
  <dimension ref="A1:C149"/>
  <sheetViews>
    <sheetView workbookViewId="0">
      <selection activeCell="C149" sqref="C149"/>
    </sheetView>
  </sheetViews>
  <sheetFormatPr defaultRowHeight="15"/>
  <cols>
    <col min="1" max="2" width="9.140625" style="142"/>
    <col min="3" max="3" width="32" style="142" customWidth="1"/>
    <col min="4" max="16384" width="9.140625" style="142"/>
  </cols>
  <sheetData>
    <row r="1" spans="1:3">
      <c r="A1" s="142" t="s">
        <v>68</v>
      </c>
      <c r="B1" s="142" t="s">
        <v>28</v>
      </c>
      <c r="C1" s="141">
        <f ca="1">INDEX(INDIRECT("ИТОГО!$B$45:$L$54"),MATCH(Сводка!B1,INDIRECT("ИТОГО!$A$45:$A$54"),0),MATCH(Сводка!A1,INDIRECT("ИТОГО!$B$44:$L$44"),0))</f>
        <v>1518.02</v>
      </c>
    </row>
    <row r="2" spans="1:3">
      <c r="A2" s="142" t="s">
        <v>69</v>
      </c>
      <c r="B2" s="142" t="s">
        <v>28</v>
      </c>
      <c r="C2" s="141">
        <f ca="1">INDEX(INDIRECT("ИТОГО!$B$45:$L$54"),MATCH(Сводка!B2,INDIRECT("ИТОГО!$A$45:$A$54"),0),MATCH(Сводка!A2,INDIRECT("ИТОГО!$B$44:$L$44"),0))</f>
        <v>290063.38</v>
      </c>
    </row>
    <row r="3" spans="1:3">
      <c r="A3" s="142" t="s">
        <v>70</v>
      </c>
      <c r="B3" s="142" t="s">
        <v>28</v>
      </c>
      <c r="C3" s="141">
        <f ca="1">INDEX(INDIRECT("ИТОГО!$B$45:$L$54"),MATCH(Сводка!B3,INDIRECT("ИТОГО!$A$45:$A$54"),0),MATCH(Сводка!A3,INDIRECT("ИТОГО!$B$44:$L$44"),0))</f>
        <v>7669279.9500000002</v>
      </c>
    </row>
    <row r="4" spans="1:3">
      <c r="A4" s="142" t="s">
        <v>71</v>
      </c>
      <c r="B4" s="142" t="s">
        <v>28</v>
      </c>
      <c r="C4" s="141">
        <f ca="1">INDEX(INDIRECT("ИТОГО!$B$45:$L$54"),MATCH(Сводка!B4,INDIRECT("ИТОГО!$A$45:$A$54"),0),MATCH(Сводка!A4,INDIRECT("ИТОГО!$B$44:$L$44"),0))</f>
        <v>0</v>
      </c>
    </row>
    <row r="5" spans="1:3">
      <c r="A5" s="142" t="s">
        <v>72</v>
      </c>
      <c r="B5" s="142" t="s">
        <v>28</v>
      </c>
      <c r="C5" s="141">
        <f ca="1">INDEX(INDIRECT("ИТОГО!$B$45:$L$54"),MATCH(Сводка!B5,INDIRECT("ИТОГО!$A$45:$A$54"),0),MATCH(Сводка!A5,INDIRECT("ИТОГО!$B$44:$L$44"),0))</f>
        <v>0</v>
      </c>
    </row>
    <row r="6" spans="1:3">
      <c r="A6" s="142" t="s">
        <v>54</v>
      </c>
      <c r="B6" s="142" t="s">
        <v>28</v>
      </c>
      <c r="C6" s="141">
        <f ca="1">INDEX(INDIRECT("ИТОГО!$B$45:$L$54"),MATCH(Сводка!B6,INDIRECT("ИТОГО!$A$45:$A$54"),0),MATCH(Сводка!A6,INDIRECT("ИТОГО!$B$44:$L$44"),0))</f>
        <v>0</v>
      </c>
    </row>
    <row r="7" spans="1:3">
      <c r="A7" s="142" t="s">
        <v>73</v>
      </c>
      <c r="B7" s="142" t="s">
        <v>28</v>
      </c>
      <c r="C7" s="141">
        <f ca="1">INDEX(INDIRECT("ИТОГО!$B$45:$L$54"),MATCH(Сводка!B7,INDIRECT("ИТОГО!$A$45:$A$54"),0),MATCH(Сводка!A7,INDIRECT("ИТОГО!$B$44:$L$44"),0))</f>
        <v>0</v>
      </c>
    </row>
    <row r="8" spans="1:3">
      <c r="A8" s="142" t="s">
        <v>74</v>
      </c>
      <c r="B8" s="142" t="s">
        <v>28</v>
      </c>
      <c r="C8" s="141">
        <f ca="1">INDEX(INDIRECT("ИТОГО!$B$45:$L$54"),MATCH(Сводка!B8,INDIRECT("ИТОГО!$A$45:$A$54"),0),MATCH(Сводка!A8,INDIRECT("ИТОГО!$B$44:$L$44"),0))</f>
        <v>0</v>
      </c>
    </row>
    <row r="9" spans="1:3">
      <c r="A9" s="142" t="s">
        <v>75</v>
      </c>
      <c r="B9" s="142" t="s">
        <v>28</v>
      </c>
      <c r="C9" s="141">
        <f ca="1">INDEX(INDIRECT("ИТОГО!$B$45:$L$54"),MATCH(Сводка!B9,INDIRECT("ИТОГО!$A$45:$A$54"),0),MATCH(Сводка!A9,INDIRECT("ИТОГО!$B$44:$L$44"),0))</f>
        <v>0</v>
      </c>
    </row>
    <row r="10" spans="1:3">
      <c r="A10" s="142" t="s">
        <v>76</v>
      </c>
      <c r="B10" s="142" t="s">
        <v>28</v>
      </c>
      <c r="C10" s="141">
        <f ca="1">INDEX(INDIRECT("ИТОГО!$B$45:$L$54"),MATCH(Сводка!B10,INDIRECT("ИТОГО!$A$45:$A$54"),0),MATCH(Сводка!A10,INDIRECT("ИТОГО!$B$44:$L$44"),0))</f>
        <v>0</v>
      </c>
    </row>
    <row r="11" spans="1:3">
      <c r="A11" s="142" t="s">
        <v>77</v>
      </c>
      <c r="B11" s="142" t="s">
        <v>28</v>
      </c>
      <c r="C11" s="141">
        <f ca="1">INDEX(INDIRECT("ИТОГО!$B$45:$L$54"),MATCH(Сводка!B11,INDIRECT("ИТОГО!$A$45:$A$54"),0),MATCH(Сводка!A11,INDIRECT("ИТОГО!$B$44:$L$44"),0))</f>
        <v>0</v>
      </c>
    </row>
    <row r="12" spans="1:3">
      <c r="A12" s="142" t="s">
        <v>68</v>
      </c>
      <c r="B12" s="142" t="s">
        <v>30</v>
      </c>
      <c r="C12" s="141">
        <f ca="1">INDEX(INDIRECT("ИТОГО!$B$45:$L$54"),MATCH(Сводка!B12,INDIRECT("ИТОГО!$A$45:$A$54"),0),MATCH(Сводка!A12,INDIRECT("ИТОГО!$B$44:$L$44"),0))</f>
        <v>18899.09</v>
      </c>
    </row>
    <row r="13" spans="1:3">
      <c r="A13" s="142" t="s">
        <v>69</v>
      </c>
      <c r="B13" s="142" t="s">
        <v>30</v>
      </c>
      <c r="C13" s="141">
        <f ca="1">INDEX(INDIRECT("ИТОГО!$B$45:$L$54"),MATCH(Сводка!B13,INDIRECT("ИТОГО!$A$45:$A$54"),0),MATCH(Сводка!A13,INDIRECT("ИТОГО!$B$44:$L$44"),0))</f>
        <v>614712.13</v>
      </c>
    </row>
    <row r="14" spans="1:3">
      <c r="A14" s="142" t="s">
        <v>70</v>
      </c>
      <c r="B14" s="142" t="s">
        <v>30</v>
      </c>
      <c r="C14" s="141">
        <f ca="1">INDEX(INDIRECT("ИТОГО!$B$45:$L$54"),MATCH(Сводка!B14,INDIRECT("ИТОГО!$A$45:$A$54"),0),MATCH(Сводка!A14,INDIRECT("ИТОГО!$B$44:$L$44"),0))</f>
        <v>9936468.7799999993</v>
      </c>
    </row>
    <row r="15" spans="1:3">
      <c r="A15" s="142" t="s">
        <v>71</v>
      </c>
      <c r="B15" s="142" t="s">
        <v>30</v>
      </c>
      <c r="C15" s="141">
        <f ca="1">INDEX(INDIRECT("ИТОГО!$B$45:$L$54"),MATCH(Сводка!B15,INDIRECT("ИТОГО!$A$45:$A$54"),0),MATCH(Сводка!A15,INDIRECT("ИТОГО!$B$44:$L$44"),0))</f>
        <v>0</v>
      </c>
    </row>
    <row r="16" spans="1:3">
      <c r="A16" s="142" t="s">
        <v>72</v>
      </c>
      <c r="B16" s="142" t="s">
        <v>30</v>
      </c>
      <c r="C16" s="141">
        <f ca="1">INDEX(INDIRECT("ИТОГО!$B$45:$L$54"),MATCH(Сводка!B16,INDIRECT("ИТОГО!$A$45:$A$54"),0),MATCH(Сводка!A16,INDIRECT("ИТОГО!$B$44:$L$44"),0))</f>
        <v>0</v>
      </c>
    </row>
    <row r="17" spans="1:3">
      <c r="A17" s="142" t="s">
        <v>54</v>
      </c>
      <c r="B17" s="142" t="s">
        <v>30</v>
      </c>
      <c r="C17" s="141">
        <f ca="1">INDEX(INDIRECT("ИТОГО!$B$45:$L$54"),MATCH(Сводка!B17,INDIRECT("ИТОГО!$A$45:$A$54"),0),MATCH(Сводка!A17,INDIRECT("ИТОГО!$B$44:$L$44"),0))</f>
        <v>0</v>
      </c>
    </row>
    <row r="18" spans="1:3">
      <c r="A18" s="142" t="s">
        <v>73</v>
      </c>
      <c r="B18" s="142" t="s">
        <v>30</v>
      </c>
      <c r="C18" s="141">
        <f ca="1">INDEX(INDIRECT("ИТОГО!$B$45:$L$54"),MATCH(Сводка!B18,INDIRECT("ИТОГО!$A$45:$A$54"),0),MATCH(Сводка!A18,INDIRECT("ИТОГО!$B$44:$L$44"),0))</f>
        <v>0</v>
      </c>
    </row>
    <row r="19" spans="1:3">
      <c r="A19" s="142" t="s">
        <v>74</v>
      </c>
      <c r="B19" s="142" t="s">
        <v>30</v>
      </c>
      <c r="C19" s="141">
        <f ca="1">INDEX(INDIRECT("ИТОГО!$B$45:$L$54"),MATCH(Сводка!B19,INDIRECT("ИТОГО!$A$45:$A$54"),0),MATCH(Сводка!A19,INDIRECT("ИТОГО!$B$44:$L$44"),0))</f>
        <v>0</v>
      </c>
    </row>
    <row r="20" spans="1:3">
      <c r="A20" s="142" t="s">
        <v>75</v>
      </c>
      <c r="B20" s="142" t="s">
        <v>30</v>
      </c>
      <c r="C20" s="141">
        <f ca="1">INDEX(INDIRECT("ИТОГО!$B$45:$L$54"),MATCH(Сводка!B20,INDIRECT("ИТОГО!$A$45:$A$54"),0),MATCH(Сводка!A20,INDIRECT("ИТОГО!$B$44:$L$44"),0))</f>
        <v>0</v>
      </c>
    </row>
    <row r="21" spans="1:3">
      <c r="A21" s="142" t="s">
        <v>76</v>
      </c>
      <c r="B21" s="142" t="s">
        <v>30</v>
      </c>
      <c r="C21" s="141">
        <f ca="1">INDEX(INDIRECT("ИТОГО!$B$45:$L$54"),MATCH(Сводка!B21,INDIRECT("ИТОГО!$A$45:$A$54"),0),MATCH(Сводка!A21,INDIRECT("ИТОГО!$B$44:$L$44"),0))</f>
        <v>0</v>
      </c>
    </row>
    <row r="22" spans="1:3">
      <c r="A22" s="142" t="s">
        <v>77</v>
      </c>
      <c r="B22" s="142" t="s">
        <v>30</v>
      </c>
      <c r="C22" s="141">
        <f ca="1">INDEX(INDIRECT("ИТОГО!$B$45:$L$54"),MATCH(Сводка!B22,INDIRECT("ИТОГО!$A$45:$A$54"),0),MATCH(Сводка!A22,INDIRECT("ИТОГО!$B$44:$L$44"),0))</f>
        <v>0</v>
      </c>
    </row>
    <row r="23" spans="1:3">
      <c r="A23" s="142" t="s">
        <v>68</v>
      </c>
      <c r="B23" s="142" t="s">
        <v>36</v>
      </c>
      <c r="C23" s="141">
        <f ca="1">INDEX(INDIRECT("ИТОГО!$B$45:$L$54"),MATCH(Сводка!B23,INDIRECT("ИТОГО!$A$45:$A$54"),0),MATCH(Сводка!A23,INDIRECT("ИТОГО!$B$44:$L$44"),0))</f>
        <v>0</v>
      </c>
    </row>
    <row r="24" spans="1:3">
      <c r="A24" s="142" t="s">
        <v>69</v>
      </c>
      <c r="B24" s="142" t="s">
        <v>36</v>
      </c>
      <c r="C24" s="141">
        <f ca="1">INDEX(INDIRECT("ИТОГО!$B$45:$L$54"),MATCH(Сводка!B24,INDIRECT("ИТОГО!$A$45:$A$54"),0),MATCH(Сводка!A24,INDIRECT("ИТОГО!$B$44:$L$44"),0))</f>
        <v>0</v>
      </c>
    </row>
    <row r="25" spans="1:3">
      <c r="A25" s="142" t="s">
        <v>70</v>
      </c>
      <c r="B25" s="142" t="s">
        <v>36</v>
      </c>
      <c r="C25" s="141">
        <f ca="1">INDEX(INDIRECT("ИТОГО!$B$45:$L$54"),MATCH(Сводка!B25,INDIRECT("ИТОГО!$A$45:$A$54"),0),MATCH(Сводка!A25,INDIRECT("ИТОГО!$B$44:$L$44"),0))</f>
        <v>0</v>
      </c>
    </row>
    <row r="26" spans="1:3">
      <c r="A26" s="142" t="s">
        <v>71</v>
      </c>
      <c r="B26" s="142" t="s">
        <v>36</v>
      </c>
      <c r="C26" s="141">
        <f ca="1">INDEX(INDIRECT("ИТОГО!$B$45:$L$54"),MATCH(Сводка!B26,INDIRECT("ИТОГО!$A$45:$A$54"),0),MATCH(Сводка!A26,INDIRECT("ИТОГО!$B$44:$L$44"),0))</f>
        <v>0</v>
      </c>
    </row>
    <row r="27" spans="1:3">
      <c r="A27" s="142" t="s">
        <v>72</v>
      </c>
      <c r="B27" s="142" t="s">
        <v>36</v>
      </c>
      <c r="C27" s="141">
        <f ca="1">INDEX(INDIRECT("ИТОГО!$B$45:$L$54"),MATCH(Сводка!B27,INDIRECT("ИТОГО!$A$45:$A$54"),0),MATCH(Сводка!A27,INDIRECT("ИТОГО!$B$44:$L$44"),0))</f>
        <v>0</v>
      </c>
    </row>
    <row r="28" spans="1:3">
      <c r="A28" s="142" t="s">
        <v>54</v>
      </c>
      <c r="B28" s="142" t="s">
        <v>36</v>
      </c>
      <c r="C28" s="141">
        <f ca="1">INDEX(INDIRECT("ИТОГО!$B$45:$L$54"),MATCH(Сводка!B28,INDIRECT("ИТОГО!$A$45:$A$54"),0),MATCH(Сводка!A28,INDIRECT("ИТОГО!$B$44:$L$44"),0))</f>
        <v>0</v>
      </c>
    </row>
    <row r="29" spans="1:3">
      <c r="A29" s="142" t="s">
        <v>73</v>
      </c>
      <c r="B29" s="142" t="s">
        <v>36</v>
      </c>
      <c r="C29" s="141">
        <f ca="1">INDEX(INDIRECT("ИТОГО!$B$45:$L$54"),MATCH(Сводка!B29,INDIRECT("ИТОГО!$A$45:$A$54"),0),MATCH(Сводка!A29,INDIRECT("ИТОГО!$B$44:$L$44"),0))</f>
        <v>0</v>
      </c>
    </row>
    <row r="30" spans="1:3">
      <c r="A30" s="142" t="s">
        <v>74</v>
      </c>
      <c r="B30" s="142" t="s">
        <v>36</v>
      </c>
      <c r="C30" s="141">
        <f ca="1">INDEX(INDIRECT("ИТОГО!$B$45:$L$54"),MATCH(Сводка!B30,INDIRECT("ИТОГО!$A$45:$A$54"),0),MATCH(Сводка!A30,INDIRECT("ИТОГО!$B$44:$L$44"),0))</f>
        <v>0</v>
      </c>
    </row>
    <row r="31" spans="1:3">
      <c r="A31" s="142" t="s">
        <v>75</v>
      </c>
      <c r="B31" s="142" t="s">
        <v>36</v>
      </c>
      <c r="C31" s="141">
        <f ca="1">INDEX(INDIRECT("ИТОГО!$B$45:$L$54"),MATCH(Сводка!B31,INDIRECT("ИТОГО!$A$45:$A$54"),0),MATCH(Сводка!A31,INDIRECT("ИТОГО!$B$44:$L$44"),0))</f>
        <v>0</v>
      </c>
    </row>
    <row r="32" spans="1:3">
      <c r="A32" s="142" t="s">
        <v>76</v>
      </c>
      <c r="B32" s="142" t="s">
        <v>36</v>
      </c>
      <c r="C32" s="141">
        <f ca="1">INDEX(INDIRECT("ИТОГО!$B$45:$L$54"),MATCH(Сводка!B32,INDIRECT("ИТОГО!$A$45:$A$54"),0),MATCH(Сводка!A32,INDIRECT("ИТОГО!$B$44:$L$44"),0))</f>
        <v>0</v>
      </c>
    </row>
    <row r="33" spans="1:3">
      <c r="A33" s="142" t="s">
        <v>77</v>
      </c>
      <c r="B33" s="142" t="s">
        <v>36</v>
      </c>
      <c r="C33" s="141">
        <f ca="1">INDEX(INDIRECT("ИТОГО!$B$45:$L$54"),MATCH(Сводка!B33,INDIRECT("ИТОГО!$A$45:$A$54"),0),MATCH(Сводка!A33,INDIRECT("ИТОГО!$B$44:$L$44"),0))</f>
        <v>0</v>
      </c>
    </row>
    <row r="34" spans="1:3">
      <c r="A34" s="142" t="s">
        <v>68</v>
      </c>
      <c r="B34" s="142" t="s">
        <v>31</v>
      </c>
      <c r="C34" s="141">
        <f ca="1">INDEX(INDIRECT("ИТОГО!$B$45:$L$54"),MATCH(Сводка!B34,INDIRECT("ИТОГО!$A$45:$A$54"),0),MATCH(Сводка!A34,INDIRECT("ИТОГО!$B$44:$L$44"),0))</f>
        <v>285691.12</v>
      </c>
    </row>
    <row r="35" spans="1:3">
      <c r="A35" s="142" t="s">
        <v>69</v>
      </c>
      <c r="B35" s="142" t="s">
        <v>31</v>
      </c>
      <c r="C35" s="141">
        <f ca="1">INDEX(INDIRECT("ИТОГО!$B$45:$L$54"),MATCH(Сводка!B35,INDIRECT("ИТОГО!$A$45:$A$54"),0),MATCH(Сводка!A35,INDIRECT("ИТОГО!$B$44:$L$44"),0))</f>
        <v>450359.75</v>
      </c>
    </row>
    <row r="36" spans="1:3">
      <c r="A36" s="142" t="s">
        <v>70</v>
      </c>
      <c r="B36" s="142" t="s">
        <v>31</v>
      </c>
      <c r="C36" s="141">
        <f ca="1">INDEX(INDIRECT("ИТОГО!$B$45:$L$54"),MATCH(Сводка!B36,INDIRECT("ИТОГО!$A$45:$A$54"),0),MATCH(Сводка!A36,INDIRECT("ИТОГО!$B$44:$L$44"),0))</f>
        <v>10841725.710000001</v>
      </c>
    </row>
    <row r="37" spans="1:3">
      <c r="A37" s="142" t="s">
        <v>71</v>
      </c>
      <c r="B37" s="142" t="s">
        <v>31</v>
      </c>
      <c r="C37" s="141">
        <f ca="1">INDEX(INDIRECT("ИТОГО!$B$45:$L$54"),MATCH(Сводка!B37,INDIRECT("ИТОГО!$A$45:$A$54"),0),MATCH(Сводка!A37,INDIRECT("ИТОГО!$B$44:$L$44"),0))</f>
        <v>0</v>
      </c>
    </row>
    <row r="38" spans="1:3">
      <c r="A38" s="142" t="s">
        <v>72</v>
      </c>
      <c r="B38" s="142" t="s">
        <v>31</v>
      </c>
      <c r="C38" s="141">
        <f ca="1">INDEX(INDIRECT("ИТОГО!$B$45:$L$54"),MATCH(Сводка!B38,INDIRECT("ИТОГО!$A$45:$A$54"),0),MATCH(Сводка!A38,INDIRECT("ИТОГО!$B$44:$L$44"),0))</f>
        <v>0</v>
      </c>
    </row>
    <row r="39" spans="1:3">
      <c r="A39" s="142" t="s">
        <v>54</v>
      </c>
      <c r="B39" s="142" t="s">
        <v>31</v>
      </c>
      <c r="C39" s="141">
        <f ca="1">INDEX(INDIRECT("ИТОГО!$B$45:$L$54"),MATCH(Сводка!B39,INDIRECT("ИТОГО!$A$45:$A$54"),0),MATCH(Сводка!A39,INDIRECT("ИТОГО!$B$44:$L$44"),0))</f>
        <v>0</v>
      </c>
    </row>
    <row r="40" spans="1:3">
      <c r="A40" s="142" t="s">
        <v>73</v>
      </c>
      <c r="B40" s="142" t="s">
        <v>31</v>
      </c>
      <c r="C40" s="141">
        <f ca="1">INDEX(INDIRECT("ИТОГО!$B$45:$L$54"),MATCH(Сводка!B40,INDIRECT("ИТОГО!$A$45:$A$54"),0),MATCH(Сводка!A40,INDIRECT("ИТОГО!$B$44:$L$44"),0))</f>
        <v>0</v>
      </c>
    </row>
    <row r="41" spans="1:3">
      <c r="A41" s="142" t="s">
        <v>74</v>
      </c>
      <c r="B41" s="142" t="s">
        <v>31</v>
      </c>
      <c r="C41" s="141">
        <f ca="1">INDEX(INDIRECT("ИТОГО!$B$45:$L$54"),MATCH(Сводка!B41,INDIRECT("ИТОГО!$A$45:$A$54"),0),MATCH(Сводка!A41,INDIRECT("ИТОГО!$B$44:$L$44"),0))</f>
        <v>0</v>
      </c>
    </row>
    <row r="42" spans="1:3">
      <c r="A42" s="142" t="s">
        <v>75</v>
      </c>
      <c r="B42" s="142" t="s">
        <v>31</v>
      </c>
      <c r="C42" s="141">
        <f ca="1">INDEX(INDIRECT("ИТОГО!$B$45:$L$54"),MATCH(Сводка!B42,INDIRECT("ИТОГО!$A$45:$A$54"),0),MATCH(Сводка!A42,INDIRECT("ИТОГО!$B$44:$L$44"),0))</f>
        <v>121557.99</v>
      </c>
    </row>
    <row r="43" spans="1:3">
      <c r="A43" s="142" t="s">
        <v>76</v>
      </c>
      <c r="B43" s="142" t="s">
        <v>31</v>
      </c>
      <c r="C43" s="141">
        <f ca="1">INDEX(INDIRECT("ИТОГО!$B$45:$L$54"),MATCH(Сводка!B43,INDIRECT("ИТОГО!$A$45:$A$54"),0),MATCH(Сводка!A43,INDIRECT("ИТОГО!$B$44:$L$44"),0))</f>
        <v>14640</v>
      </c>
    </row>
    <row r="44" spans="1:3">
      <c r="A44" s="142" t="s">
        <v>77</v>
      </c>
      <c r="B44" s="142" t="s">
        <v>31</v>
      </c>
      <c r="C44" s="141">
        <f ca="1">INDEX(INDIRECT("ИТОГО!$B$45:$L$54"),MATCH(Сводка!B44,INDIRECT("ИТОГО!$A$45:$A$54"),0),MATCH(Сводка!A44,INDIRECT("ИТОГО!$B$44:$L$44"),0))</f>
        <v>0</v>
      </c>
    </row>
    <row r="45" spans="1:3">
      <c r="A45" s="142" t="s">
        <v>68</v>
      </c>
      <c r="B45" s="142" t="s">
        <v>35</v>
      </c>
      <c r="C45" s="141">
        <f ca="1">INDEX(INDIRECT("ИТОГО!$B$45:$L$54"),MATCH(Сводка!B45,INDIRECT("ИТОГО!$A$45:$A$54"),0),MATCH(Сводка!A45,INDIRECT("ИТОГО!$B$44:$L$44"),0))</f>
        <v>0</v>
      </c>
    </row>
    <row r="46" spans="1:3">
      <c r="A46" s="142" t="s">
        <v>69</v>
      </c>
      <c r="B46" s="142" t="s">
        <v>35</v>
      </c>
      <c r="C46" s="141">
        <f ca="1">INDEX(INDIRECT("ИТОГО!$B$45:$L$54"),MATCH(Сводка!B46,INDIRECT("ИТОГО!$A$45:$A$54"),0),MATCH(Сводка!A46,INDIRECT("ИТОГО!$B$44:$L$44"),0))</f>
        <v>92735.82</v>
      </c>
    </row>
    <row r="47" spans="1:3">
      <c r="A47" s="142" t="s">
        <v>70</v>
      </c>
      <c r="B47" s="142" t="s">
        <v>35</v>
      </c>
      <c r="C47" s="141">
        <f ca="1">INDEX(INDIRECT("ИТОГО!$B$45:$L$54"),MATCH(Сводка!B47,INDIRECT("ИТОГО!$A$45:$A$54"),0),MATCH(Сводка!A47,INDIRECT("ИТОГО!$B$44:$L$44"),0))</f>
        <v>7340148.4299999997</v>
      </c>
    </row>
    <row r="48" spans="1:3">
      <c r="A48" s="142" t="s">
        <v>71</v>
      </c>
      <c r="B48" s="142" t="s">
        <v>35</v>
      </c>
      <c r="C48" s="141">
        <f ca="1">INDEX(INDIRECT("ИТОГО!$B$45:$L$54"),MATCH(Сводка!B48,INDIRECT("ИТОГО!$A$45:$A$54"),0),MATCH(Сводка!A48,INDIRECT("ИТОГО!$B$44:$L$44"),0))</f>
        <v>0</v>
      </c>
    </row>
    <row r="49" spans="1:3">
      <c r="A49" s="142" t="s">
        <v>72</v>
      </c>
      <c r="B49" s="142" t="s">
        <v>35</v>
      </c>
      <c r="C49" s="141">
        <f ca="1">INDEX(INDIRECT("ИТОГО!$B$45:$L$54"),MATCH(Сводка!B49,INDIRECT("ИТОГО!$A$45:$A$54"),0),MATCH(Сводка!A49,INDIRECT("ИТОГО!$B$44:$L$44"),0))</f>
        <v>0</v>
      </c>
    </row>
    <row r="50" spans="1:3">
      <c r="A50" s="142" t="s">
        <v>54</v>
      </c>
      <c r="B50" s="142" t="s">
        <v>35</v>
      </c>
      <c r="C50" s="141">
        <f ca="1">INDEX(INDIRECT("ИТОГО!$B$45:$L$54"),MATCH(Сводка!B50,INDIRECT("ИТОГО!$A$45:$A$54"),0),MATCH(Сводка!A50,INDIRECT("ИТОГО!$B$44:$L$44"),0))</f>
        <v>677739.87</v>
      </c>
    </row>
    <row r="51" spans="1:3">
      <c r="A51" s="142" t="s">
        <v>73</v>
      </c>
      <c r="B51" s="142" t="s">
        <v>35</v>
      </c>
      <c r="C51" s="141">
        <f ca="1">INDEX(INDIRECT("ИТОГО!$B$45:$L$54"),MATCH(Сводка!B51,INDIRECT("ИТОГО!$A$45:$A$54"),0),MATCH(Сводка!A51,INDIRECT("ИТОГО!$B$44:$L$44"),0))</f>
        <v>0</v>
      </c>
    </row>
    <row r="52" spans="1:3">
      <c r="A52" s="142" t="s">
        <v>74</v>
      </c>
      <c r="B52" s="142" t="s">
        <v>35</v>
      </c>
      <c r="C52" s="141">
        <f ca="1">INDEX(INDIRECT("ИТОГО!$B$45:$L$54"),MATCH(Сводка!B52,INDIRECT("ИТОГО!$A$45:$A$54"),0),MATCH(Сводка!A52,INDIRECT("ИТОГО!$B$44:$L$44"),0))</f>
        <v>0</v>
      </c>
    </row>
    <row r="53" spans="1:3">
      <c r="A53" s="142" t="s">
        <v>75</v>
      </c>
      <c r="B53" s="142" t="s">
        <v>35</v>
      </c>
      <c r="C53" s="141">
        <f ca="1">INDEX(INDIRECT("ИТОГО!$B$45:$L$54"),MATCH(Сводка!B53,INDIRECT("ИТОГО!$A$45:$A$54"),0),MATCH(Сводка!A53,INDIRECT("ИТОГО!$B$44:$L$44"),0))</f>
        <v>0</v>
      </c>
    </row>
    <row r="54" spans="1:3">
      <c r="A54" s="142" t="s">
        <v>76</v>
      </c>
      <c r="B54" s="142" t="s">
        <v>35</v>
      </c>
      <c r="C54" s="141">
        <f ca="1">INDEX(INDIRECT("ИТОГО!$B$45:$L$54"),MATCH(Сводка!B54,INDIRECT("ИТОГО!$A$45:$A$54"),0),MATCH(Сводка!A54,INDIRECT("ИТОГО!$B$44:$L$44"),0))</f>
        <v>4880</v>
      </c>
    </row>
    <row r="55" spans="1:3">
      <c r="A55" s="142" t="s">
        <v>77</v>
      </c>
      <c r="B55" s="142" t="s">
        <v>35</v>
      </c>
      <c r="C55" s="141">
        <f ca="1">INDEX(INDIRECT("ИТОГО!$B$45:$L$54"),MATCH(Сводка!B55,INDIRECT("ИТОГО!$A$45:$A$54"),0),MATCH(Сводка!A55,INDIRECT("ИТОГО!$B$44:$L$44"),0))</f>
        <v>0</v>
      </c>
    </row>
    <row r="56" spans="1:3">
      <c r="A56" s="142" t="s">
        <v>68</v>
      </c>
      <c r="B56" s="142" t="s">
        <v>32</v>
      </c>
      <c r="C56" s="141">
        <f ca="1">INDEX(INDIRECT("ИТОГО!$B$45:$L$54"),MATCH(Сводка!B56,INDIRECT("ИТОГО!$A$45:$A$54"),0),MATCH(Сводка!A56,INDIRECT("ИТОГО!$B$44:$L$44"),0))</f>
        <v>1031.8800000000001</v>
      </c>
    </row>
    <row r="57" spans="1:3">
      <c r="A57" s="142" t="s">
        <v>69</v>
      </c>
      <c r="B57" s="142" t="s">
        <v>32</v>
      </c>
      <c r="C57" s="141">
        <f ca="1">INDEX(INDIRECT("ИТОГО!$B$45:$L$54"),MATCH(Сводка!B57,INDIRECT("ИТОГО!$A$45:$A$54"),0),MATCH(Сводка!A57,INDIRECT("ИТОГО!$B$44:$L$44"),0))</f>
        <v>89197.91</v>
      </c>
    </row>
    <row r="58" spans="1:3">
      <c r="A58" s="142" t="s">
        <v>70</v>
      </c>
      <c r="B58" s="142" t="s">
        <v>32</v>
      </c>
      <c r="C58" s="141">
        <f ca="1">INDEX(INDIRECT("ИТОГО!$B$45:$L$54"),MATCH(Сводка!B58,INDIRECT("ИТОГО!$A$45:$A$54"),0),MATCH(Сводка!A58,INDIRECT("ИТОГО!$B$44:$L$44"),0))</f>
        <v>4263673.8099999996</v>
      </c>
    </row>
    <row r="59" spans="1:3">
      <c r="A59" s="142" t="s">
        <v>71</v>
      </c>
      <c r="B59" s="142" t="s">
        <v>32</v>
      </c>
      <c r="C59" s="141">
        <f ca="1">INDEX(INDIRECT("ИТОГО!$B$45:$L$54"),MATCH(Сводка!B59,INDIRECT("ИТОГО!$A$45:$A$54"),0),MATCH(Сводка!A59,INDIRECT("ИТОГО!$B$44:$L$44"),0))</f>
        <v>0</v>
      </c>
    </row>
    <row r="60" spans="1:3">
      <c r="A60" s="142" t="s">
        <v>72</v>
      </c>
      <c r="B60" s="142" t="s">
        <v>32</v>
      </c>
      <c r="C60" s="141">
        <f ca="1">INDEX(INDIRECT("ИТОГО!$B$45:$L$54"),MATCH(Сводка!B60,INDIRECT("ИТОГО!$A$45:$A$54"),0),MATCH(Сводка!A60,INDIRECT("ИТОГО!$B$44:$L$44"),0))</f>
        <v>0</v>
      </c>
    </row>
    <row r="61" spans="1:3">
      <c r="A61" s="142" t="s">
        <v>54</v>
      </c>
      <c r="B61" s="142" t="s">
        <v>32</v>
      </c>
      <c r="C61" s="141">
        <f ca="1">INDEX(INDIRECT("ИТОГО!$B$45:$L$54"),MATCH(Сводка!B61,INDIRECT("ИТОГО!$A$45:$A$54"),0),MATCH(Сводка!A61,INDIRECT("ИТОГО!$B$44:$L$44"),0))</f>
        <v>0</v>
      </c>
    </row>
    <row r="62" spans="1:3">
      <c r="A62" s="142" t="s">
        <v>73</v>
      </c>
      <c r="B62" s="142" t="s">
        <v>32</v>
      </c>
      <c r="C62" s="141">
        <f ca="1">INDEX(INDIRECT("ИТОГО!$B$45:$L$54"),MATCH(Сводка!B62,INDIRECT("ИТОГО!$A$45:$A$54"),0),MATCH(Сводка!A62,INDIRECT("ИТОГО!$B$44:$L$44"),0))</f>
        <v>0</v>
      </c>
    </row>
    <row r="63" spans="1:3">
      <c r="A63" s="142" t="s">
        <v>74</v>
      </c>
      <c r="B63" s="142" t="s">
        <v>32</v>
      </c>
      <c r="C63" s="141">
        <f ca="1">INDEX(INDIRECT("ИТОГО!$B$45:$L$54"),MATCH(Сводка!B63,INDIRECT("ИТОГО!$A$45:$A$54"),0),MATCH(Сводка!A63,INDIRECT("ИТОГО!$B$44:$L$44"),0))</f>
        <v>1599698.23</v>
      </c>
    </row>
    <row r="64" spans="1:3">
      <c r="A64" s="142" t="s">
        <v>75</v>
      </c>
      <c r="B64" s="142" t="s">
        <v>32</v>
      </c>
      <c r="C64" s="141">
        <f ca="1">INDEX(INDIRECT("ИТОГО!$B$45:$L$54"),MATCH(Сводка!B64,INDIRECT("ИТОГО!$A$45:$A$54"),0),MATCH(Сводка!A64,INDIRECT("ИТОГО!$B$44:$L$44"),0))</f>
        <v>0</v>
      </c>
    </row>
    <row r="65" spans="1:3">
      <c r="A65" s="142" t="s">
        <v>76</v>
      </c>
      <c r="B65" s="142" t="s">
        <v>32</v>
      </c>
      <c r="C65" s="141">
        <f ca="1">INDEX(INDIRECT("ИТОГО!$B$45:$L$54"),MATCH(Сводка!B65,INDIRECT("ИТОГО!$A$45:$A$54"),0),MATCH(Сводка!A65,INDIRECT("ИТОГО!$B$44:$L$44"),0))</f>
        <v>0</v>
      </c>
    </row>
    <row r="66" spans="1:3">
      <c r="A66" s="142" t="s">
        <v>77</v>
      </c>
      <c r="B66" s="142" t="s">
        <v>32</v>
      </c>
      <c r="C66" s="141">
        <f ca="1">INDEX(INDIRECT("ИТОГО!$B$45:$L$54"),MATCH(Сводка!B66,INDIRECT("ИТОГО!$A$45:$A$54"),0),MATCH(Сводка!A66,INDIRECT("ИТОГО!$B$44:$L$44"),0))</f>
        <v>0</v>
      </c>
    </row>
    <row r="67" spans="1:3">
      <c r="A67" s="142" t="s">
        <v>68</v>
      </c>
      <c r="B67" s="142" t="s">
        <v>33</v>
      </c>
      <c r="C67" s="141">
        <f ca="1">INDEX(INDIRECT("ИТОГО!$B$45:$L$54"),MATCH(Сводка!B67,INDIRECT("ИТОГО!$A$45:$A$54"),0),MATCH(Сводка!A67,INDIRECT("ИТОГО!$B$44:$L$44"),0))</f>
        <v>0</v>
      </c>
    </row>
    <row r="68" spans="1:3">
      <c r="A68" s="142" t="s">
        <v>69</v>
      </c>
      <c r="B68" s="142" t="s">
        <v>33</v>
      </c>
      <c r="C68" s="141">
        <f ca="1">INDEX(INDIRECT("ИТОГО!$B$45:$L$54"),MATCH(Сводка!B68,INDIRECT("ИТОГО!$A$45:$A$54"),0),MATCH(Сводка!A68,INDIRECT("ИТОГО!$B$44:$L$44"),0))</f>
        <v>0</v>
      </c>
    </row>
    <row r="69" spans="1:3">
      <c r="A69" s="142" t="s">
        <v>70</v>
      </c>
      <c r="B69" s="142" t="s">
        <v>33</v>
      </c>
      <c r="C69" s="141">
        <f ca="1">INDEX(INDIRECT("ИТОГО!$B$45:$L$54"),MATCH(Сводка!B69,INDIRECT("ИТОГО!$A$45:$A$54"),0),MATCH(Сводка!A69,INDIRECT("ИТОГО!$B$44:$L$44"),0))</f>
        <v>0</v>
      </c>
    </row>
    <row r="70" spans="1:3">
      <c r="A70" s="142" t="s">
        <v>71</v>
      </c>
      <c r="B70" s="142" t="s">
        <v>33</v>
      </c>
      <c r="C70" s="141">
        <f ca="1">INDEX(INDIRECT("ИТОГО!$B$45:$L$54"),MATCH(Сводка!B70,INDIRECT("ИТОГО!$A$45:$A$54"),0),MATCH(Сводка!A70,INDIRECT("ИТОГО!$B$44:$L$44"),0))</f>
        <v>0</v>
      </c>
    </row>
    <row r="71" spans="1:3">
      <c r="A71" s="142" t="s">
        <v>72</v>
      </c>
      <c r="B71" s="142" t="s">
        <v>33</v>
      </c>
      <c r="C71" s="141">
        <f ca="1">INDEX(INDIRECT("ИТОГО!$B$45:$L$54"),MATCH(Сводка!B71,INDIRECT("ИТОГО!$A$45:$A$54"),0),MATCH(Сводка!A71,INDIRECT("ИТОГО!$B$44:$L$44"),0))</f>
        <v>0</v>
      </c>
    </row>
    <row r="72" spans="1:3">
      <c r="A72" s="142" t="s">
        <v>54</v>
      </c>
      <c r="B72" s="142" t="s">
        <v>33</v>
      </c>
      <c r="C72" s="141">
        <f ca="1">INDEX(INDIRECT("ИТОГО!$B$45:$L$54"),MATCH(Сводка!B72,INDIRECT("ИТОГО!$A$45:$A$54"),0),MATCH(Сводка!A72,INDIRECT("ИТОГО!$B$44:$L$44"),0))</f>
        <v>0</v>
      </c>
    </row>
    <row r="73" spans="1:3">
      <c r="A73" s="142" t="s">
        <v>73</v>
      </c>
      <c r="B73" s="142" t="s">
        <v>33</v>
      </c>
      <c r="C73" s="141">
        <f ca="1">INDEX(INDIRECT("ИТОГО!$B$45:$L$54"),MATCH(Сводка!B73,INDIRECT("ИТОГО!$A$45:$A$54"),0),MATCH(Сводка!A73,INDIRECT("ИТОГО!$B$44:$L$44"),0))</f>
        <v>0</v>
      </c>
    </row>
    <row r="74" spans="1:3">
      <c r="A74" s="142" t="s">
        <v>74</v>
      </c>
      <c r="B74" s="142" t="s">
        <v>33</v>
      </c>
      <c r="C74" s="141">
        <f ca="1">INDEX(INDIRECT("ИТОГО!$B$45:$L$54"),MATCH(Сводка!B74,INDIRECT("ИТОГО!$A$45:$A$54"),0),MATCH(Сводка!A74,INDIRECT("ИТОГО!$B$44:$L$44"),0))</f>
        <v>5686668.2300000004</v>
      </c>
    </row>
    <row r="75" spans="1:3">
      <c r="A75" s="142" t="s">
        <v>75</v>
      </c>
      <c r="B75" s="142" t="s">
        <v>33</v>
      </c>
      <c r="C75" s="141">
        <f ca="1">INDEX(INDIRECT("ИТОГО!$B$45:$L$54"),MATCH(Сводка!B75,INDIRECT("ИТОГО!$A$45:$A$54"),0),MATCH(Сводка!A75,INDIRECT("ИТОГО!$B$44:$L$44"),0))</f>
        <v>0</v>
      </c>
    </row>
    <row r="76" spans="1:3">
      <c r="A76" s="142" t="s">
        <v>76</v>
      </c>
      <c r="B76" s="142" t="s">
        <v>33</v>
      </c>
      <c r="C76" s="141">
        <f ca="1">INDEX(INDIRECT("ИТОГО!$B$45:$L$54"),MATCH(Сводка!B76,INDIRECT("ИТОГО!$A$45:$A$54"),0),MATCH(Сводка!A76,INDIRECT("ИТОГО!$B$44:$L$44"),0))</f>
        <v>0</v>
      </c>
    </row>
    <row r="77" spans="1:3">
      <c r="A77" s="142" t="s">
        <v>77</v>
      </c>
      <c r="B77" s="142" t="s">
        <v>33</v>
      </c>
      <c r="C77" s="141">
        <f ca="1">INDEX(INDIRECT("ИТОГО!$B$45:$L$54"),MATCH(Сводка!B77,INDIRECT("ИТОГО!$A$45:$A$54"),0),MATCH(Сводка!A77,INDIRECT("ИТОГО!$B$44:$L$44"),0))</f>
        <v>0</v>
      </c>
    </row>
    <row r="78" spans="1:3">
      <c r="A78" s="142" t="s">
        <v>68</v>
      </c>
      <c r="B78" s="142" t="s">
        <v>27</v>
      </c>
      <c r="C78" s="141">
        <f ca="1">INDEX(INDIRECT("ИТОГО!$B$45:$L$54"),MATCH(Сводка!B78,INDIRECT("ИТОГО!$A$45:$A$54"),0),MATCH(Сводка!A78,INDIRECT("ИТОГО!$B$44:$L$44"),0))</f>
        <v>0</v>
      </c>
    </row>
    <row r="79" spans="1:3">
      <c r="A79" s="142" t="s">
        <v>69</v>
      </c>
      <c r="B79" s="142" t="s">
        <v>27</v>
      </c>
      <c r="C79" s="141">
        <f ca="1">INDEX(INDIRECT("ИТОГО!$B$45:$L$54"),MATCH(Сводка!B79,INDIRECT("ИТОГО!$A$45:$A$54"),0),MATCH(Сводка!A79,INDIRECT("ИТОГО!$B$44:$L$44"),0))</f>
        <v>210532.3</v>
      </c>
    </row>
    <row r="80" spans="1:3">
      <c r="A80" s="142" t="s">
        <v>70</v>
      </c>
      <c r="B80" s="142" t="s">
        <v>27</v>
      </c>
      <c r="C80" s="141">
        <f ca="1">INDEX(INDIRECT("ИТОГО!$B$45:$L$54"),MATCH(Сводка!B80,INDIRECT("ИТОГО!$A$45:$A$54"),0),MATCH(Сводка!A80,INDIRECT("ИТОГО!$B$44:$L$44"),0))</f>
        <v>18243714.739999998</v>
      </c>
    </row>
    <row r="81" spans="1:3">
      <c r="A81" s="142" t="s">
        <v>71</v>
      </c>
      <c r="B81" s="142" t="s">
        <v>27</v>
      </c>
      <c r="C81" s="141">
        <f ca="1">INDEX(INDIRECT("ИТОГО!$B$45:$L$54"),MATCH(Сводка!B81,INDIRECT("ИТОГО!$A$45:$A$54"),0),MATCH(Сводка!A81,INDIRECT("ИТОГО!$B$44:$L$44"),0))</f>
        <v>0</v>
      </c>
    </row>
    <row r="82" spans="1:3">
      <c r="A82" s="142" t="s">
        <v>72</v>
      </c>
      <c r="B82" s="142" t="s">
        <v>27</v>
      </c>
      <c r="C82" s="141">
        <f ca="1">INDEX(INDIRECT("ИТОГО!$B$45:$L$54"),MATCH(Сводка!B82,INDIRECT("ИТОГО!$A$45:$A$54"),0),MATCH(Сводка!A82,INDIRECT("ИТОГО!$B$44:$L$44"),0))</f>
        <v>0</v>
      </c>
    </row>
    <row r="83" spans="1:3">
      <c r="A83" s="142" t="s">
        <v>54</v>
      </c>
      <c r="B83" s="142" t="s">
        <v>27</v>
      </c>
      <c r="C83" s="141">
        <f ca="1">INDEX(INDIRECT("ИТОГО!$B$45:$L$54"),MATCH(Сводка!B83,INDIRECT("ИТОГО!$A$45:$A$54"),0),MATCH(Сводка!A83,INDIRECT("ИТОГО!$B$44:$L$44"),0))</f>
        <v>0</v>
      </c>
    </row>
    <row r="84" spans="1:3">
      <c r="A84" s="142" t="s">
        <v>73</v>
      </c>
      <c r="B84" s="142" t="s">
        <v>27</v>
      </c>
      <c r="C84" s="141">
        <f ca="1">INDEX(INDIRECT("ИТОГО!$B$45:$L$54"),MATCH(Сводка!B84,INDIRECT("ИТОГО!$A$45:$A$54"),0),MATCH(Сводка!A84,INDIRECT("ИТОГО!$B$44:$L$44"),0))</f>
        <v>0</v>
      </c>
    </row>
    <row r="85" spans="1:3">
      <c r="A85" s="142" t="s">
        <v>74</v>
      </c>
      <c r="B85" s="142" t="s">
        <v>27</v>
      </c>
      <c r="C85" s="141">
        <f ca="1">INDEX(INDIRECT("ИТОГО!$B$45:$L$54"),MATCH(Сводка!B85,INDIRECT("ИТОГО!$A$45:$A$54"),0),MATCH(Сводка!A85,INDIRECT("ИТОГО!$B$44:$L$44"),0))</f>
        <v>0</v>
      </c>
    </row>
    <row r="86" spans="1:3">
      <c r="A86" s="142" t="s">
        <v>75</v>
      </c>
      <c r="B86" s="142" t="s">
        <v>27</v>
      </c>
      <c r="C86" s="141">
        <f ca="1">INDEX(INDIRECT("ИТОГО!$B$45:$L$54"),MATCH(Сводка!B86,INDIRECT("ИТОГО!$A$45:$A$54"),0),MATCH(Сводка!A86,INDIRECT("ИТОГО!$B$44:$L$44"),0))</f>
        <v>0</v>
      </c>
    </row>
    <row r="87" spans="1:3">
      <c r="A87" s="142" t="s">
        <v>76</v>
      </c>
      <c r="B87" s="142" t="s">
        <v>27</v>
      </c>
      <c r="C87" s="141">
        <f ca="1">INDEX(INDIRECT("ИТОГО!$B$45:$L$54"),MATCH(Сводка!B87,INDIRECT("ИТОГО!$A$45:$A$54"),0),MATCH(Сводка!A87,INDIRECT("ИТОГО!$B$44:$L$44"),0))</f>
        <v>48800</v>
      </c>
    </row>
    <row r="88" spans="1:3">
      <c r="A88" s="142" t="s">
        <v>77</v>
      </c>
      <c r="B88" s="142" t="s">
        <v>27</v>
      </c>
      <c r="C88" s="141">
        <f ca="1">INDEX(INDIRECT("ИТОГО!$B$45:$L$54"),MATCH(Сводка!B88,INDIRECT("ИТОГО!$A$45:$A$54"),0),MATCH(Сводка!A88,INDIRECT("ИТОГО!$B$44:$L$44"),0))</f>
        <v>0</v>
      </c>
    </row>
    <row r="89" spans="1:3">
      <c r="A89" s="142" t="s">
        <v>68</v>
      </c>
      <c r="B89" s="142" t="s">
        <v>34</v>
      </c>
      <c r="C89" s="141">
        <f ca="1">INDEX(INDIRECT("ИТОГО!$B$45:$L$54"),MATCH(Сводка!B89,INDIRECT("ИТОГО!$A$45:$A$54"),0),MATCH(Сводка!A89,INDIRECT("ИТОГО!$B$44:$L$44"),0))</f>
        <v>0</v>
      </c>
    </row>
    <row r="90" spans="1:3">
      <c r="A90" s="142" t="s">
        <v>69</v>
      </c>
      <c r="B90" s="142" t="s">
        <v>34</v>
      </c>
      <c r="C90" s="141">
        <f ca="1">INDEX(INDIRECT("ИТОГО!$B$45:$L$54"),MATCH(Сводка!B90,INDIRECT("ИТОГО!$A$45:$A$54"),0),MATCH(Сводка!A90,INDIRECT("ИТОГО!$B$44:$L$44"),0))</f>
        <v>0</v>
      </c>
    </row>
    <row r="91" spans="1:3">
      <c r="A91" s="142" t="s">
        <v>70</v>
      </c>
      <c r="B91" s="142" t="s">
        <v>34</v>
      </c>
      <c r="C91" s="141">
        <f ca="1">INDEX(INDIRECT("ИТОГО!$B$45:$L$54"),MATCH(Сводка!B91,INDIRECT("ИТОГО!$A$45:$A$54"),0),MATCH(Сводка!A91,INDIRECT("ИТОГО!$B$44:$L$44"),0))</f>
        <v>9749437.4800000004</v>
      </c>
    </row>
    <row r="92" spans="1:3">
      <c r="A92" s="142" t="s">
        <v>71</v>
      </c>
      <c r="B92" s="142" t="s">
        <v>34</v>
      </c>
      <c r="C92" s="141">
        <f ca="1">INDEX(INDIRECT("ИТОГО!$B$45:$L$54"),MATCH(Сводка!B92,INDIRECT("ИТОГО!$A$45:$A$54"),0),MATCH(Сводка!A92,INDIRECT("ИТОГО!$B$44:$L$44"),0))</f>
        <v>0</v>
      </c>
    </row>
    <row r="93" spans="1:3">
      <c r="A93" s="142" t="s">
        <v>72</v>
      </c>
      <c r="B93" s="142" t="s">
        <v>34</v>
      </c>
      <c r="C93" s="141">
        <f ca="1">INDEX(INDIRECT("ИТОГО!$B$45:$L$54"),MATCH(Сводка!B93,INDIRECT("ИТОГО!$A$45:$A$54"),0),MATCH(Сводка!A93,INDIRECT("ИТОГО!$B$44:$L$44"),0))</f>
        <v>0</v>
      </c>
    </row>
    <row r="94" spans="1:3">
      <c r="A94" s="142" t="s">
        <v>54</v>
      </c>
      <c r="B94" s="142" t="s">
        <v>34</v>
      </c>
      <c r="C94" s="141">
        <f ca="1">INDEX(INDIRECT("ИТОГО!$B$45:$L$54"),MATCH(Сводка!B94,INDIRECT("ИТОГО!$A$45:$A$54"),0),MATCH(Сводка!A94,INDIRECT("ИТОГО!$B$44:$L$44"),0))</f>
        <v>0</v>
      </c>
    </row>
    <row r="95" spans="1:3">
      <c r="A95" s="142" t="s">
        <v>73</v>
      </c>
      <c r="B95" s="142" t="s">
        <v>34</v>
      </c>
      <c r="C95" s="141">
        <f ca="1">INDEX(INDIRECT("ИТОГО!$B$45:$L$54"),MATCH(Сводка!B95,INDIRECT("ИТОГО!$A$45:$A$54"),0),MATCH(Сводка!A95,INDIRECT("ИТОГО!$B$44:$L$44"),0))</f>
        <v>0</v>
      </c>
    </row>
    <row r="96" spans="1:3">
      <c r="A96" s="142" t="s">
        <v>74</v>
      </c>
      <c r="B96" s="142" t="s">
        <v>34</v>
      </c>
      <c r="C96" s="141">
        <f ca="1">INDEX(INDIRECT("ИТОГО!$B$45:$L$54"),MATCH(Сводка!B96,INDIRECT("ИТОГО!$A$45:$A$54"),0),MATCH(Сводка!A96,INDIRECT("ИТОГО!$B$44:$L$44"),0))</f>
        <v>0</v>
      </c>
    </row>
    <row r="97" spans="1:3">
      <c r="A97" s="142" t="s">
        <v>75</v>
      </c>
      <c r="B97" s="142" t="s">
        <v>34</v>
      </c>
      <c r="C97" s="141">
        <f ca="1">INDEX(INDIRECT("ИТОГО!$B$45:$L$54"),MATCH(Сводка!B97,INDIRECT("ИТОГО!$A$45:$A$54"),0),MATCH(Сводка!A97,INDIRECT("ИТОГО!$B$44:$L$44"),0))</f>
        <v>0</v>
      </c>
    </row>
    <row r="98" spans="1:3">
      <c r="A98" s="142" t="s">
        <v>76</v>
      </c>
      <c r="B98" s="142" t="s">
        <v>34</v>
      </c>
      <c r="C98" s="141">
        <f ca="1">INDEX(INDIRECT("ИТОГО!$B$45:$L$54"),MATCH(Сводка!B98,INDIRECT("ИТОГО!$A$45:$A$54"),0),MATCH(Сводка!A98,INDIRECT("ИТОГО!$B$44:$L$44"),0))</f>
        <v>0</v>
      </c>
    </row>
    <row r="99" spans="1:3">
      <c r="A99" s="142" t="s">
        <v>77</v>
      </c>
      <c r="B99" s="142" t="s">
        <v>34</v>
      </c>
      <c r="C99" s="141">
        <f ca="1">INDEX(INDIRECT("ИТОГО!$B$45:$L$54"),MATCH(Сводка!B99,INDIRECT("ИТОГО!$A$45:$A$54"),0),MATCH(Сводка!A99,INDIRECT("ИТОГО!$B$44:$L$44"),0))</f>
        <v>0</v>
      </c>
    </row>
    <row r="100" spans="1:3">
      <c r="A100" s="142" t="s">
        <v>23</v>
      </c>
      <c r="B100" s="142" t="s">
        <v>28</v>
      </c>
      <c r="C100" s="141" cm="1">
        <f t="array" aca="1" ref="C100" ca="1">INDIRECT("ИТОГО!B57")</f>
        <v>0</v>
      </c>
    </row>
    <row r="101" spans="1:3">
      <c r="A101" s="142" t="s">
        <v>23</v>
      </c>
      <c r="B101" s="142" t="s">
        <v>30</v>
      </c>
      <c r="C101" s="141" cm="1">
        <f t="array" aca="1" ref="C101" ca="1">INDIRECT("ИТОГО!B58")</f>
        <v>0</v>
      </c>
    </row>
    <row r="102" spans="1:3">
      <c r="A102" s="142" t="s">
        <v>23</v>
      </c>
      <c r="B102" s="142" t="s">
        <v>79</v>
      </c>
      <c r="C102" s="141" cm="1">
        <f t="array" aca="1" ref="C102" ca="1">INDIRECT("ИТОГО!B67")</f>
        <v>0</v>
      </c>
    </row>
    <row r="103" spans="1:3">
      <c r="A103" s="142" t="s">
        <v>57</v>
      </c>
      <c r="B103" s="142" t="s">
        <v>29</v>
      </c>
      <c r="C103" s="141" cm="1">
        <f t="array" aca="1" ref="C103" ca="1">INDIRECT("ИТОГО!C30")</f>
        <v>15827299</v>
      </c>
    </row>
    <row r="104" spans="1:3">
      <c r="A104" s="142" t="s">
        <v>58</v>
      </c>
      <c r="B104" s="142" t="s">
        <v>29</v>
      </c>
      <c r="C104" s="141" cm="1">
        <f t="array" aca="1" ref="C104" ca="1">INDIRECT("ИТОГО!C31")</f>
        <v>0</v>
      </c>
    </row>
    <row r="105" spans="1:3">
      <c r="A105" s="142" t="s">
        <v>59</v>
      </c>
      <c r="B105" s="142" t="s">
        <v>29</v>
      </c>
      <c r="C105" s="141" cm="1">
        <f t="array" aca="1" ref="C105" ca="1">INDIRECT("ИТОГО!C32")</f>
        <v>786900</v>
      </c>
    </row>
    <row r="106" spans="1:3">
      <c r="A106" s="142" t="s">
        <v>61</v>
      </c>
      <c r="B106" s="142" t="s">
        <v>29</v>
      </c>
      <c r="C106" s="141" cm="1">
        <f t="array" aca="1" ref="C106" ca="1">INDIRECT("ИТОГО!C33")</f>
        <v>1879800</v>
      </c>
    </row>
    <row r="107" spans="1:3">
      <c r="A107" s="142" t="s">
        <v>62</v>
      </c>
      <c r="B107" s="142" t="s">
        <v>29</v>
      </c>
      <c r="C107" s="141" cm="1">
        <f t="array" aca="1" ref="C107" ca="1">INDIRECT("ИТОГО!C34")</f>
        <v>20584666</v>
      </c>
    </row>
    <row r="108" spans="1:3">
      <c r="A108" s="142" t="s">
        <v>63</v>
      </c>
      <c r="B108" s="142" t="s">
        <v>29</v>
      </c>
      <c r="C108" s="141" cm="1">
        <f t="array" aca="1" ref="C108" ca="1">INDIRECT("ИТОГО!C35")</f>
        <v>5345055</v>
      </c>
    </row>
    <row r="109" spans="1:3">
      <c r="A109" s="142" t="s">
        <v>96</v>
      </c>
      <c r="B109" s="142" t="s">
        <v>29</v>
      </c>
      <c r="C109" s="141" cm="1">
        <f t="array" aca="1" ref="C109" ca="1">INDIRECT("ИТОГО!C38")</f>
        <v>1797615</v>
      </c>
    </row>
    <row r="110" spans="1:3">
      <c r="A110" s="142" t="s">
        <v>97</v>
      </c>
      <c r="B110" s="142" t="s">
        <v>29</v>
      </c>
      <c r="C110" s="141" cm="1">
        <f t="array" aca="1" ref="C110" ca="1">INDIRECT("ИТОГО!C39")</f>
        <v>7064220</v>
      </c>
    </row>
    <row r="111" spans="1:3">
      <c r="A111" s="142" t="s">
        <v>42</v>
      </c>
      <c r="B111" s="142" t="s">
        <v>28</v>
      </c>
      <c r="C111" s="141" cm="1">
        <f t="array" aca="1" ref="C111" ca="1">INDIRECT("ИТОГО!C19")</f>
        <v>55733</v>
      </c>
    </row>
    <row r="112" spans="1:3">
      <c r="A112" s="142" t="s">
        <v>44</v>
      </c>
      <c r="B112" s="142" t="s">
        <v>28</v>
      </c>
      <c r="C112" s="141" cm="1">
        <f t="array" aca="1" ref="C112" ca="1">INDIRECT("ИТОГО!C20")</f>
        <v>7812</v>
      </c>
    </row>
    <row r="113" spans="1:3">
      <c r="A113" s="142" t="s">
        <v>46</v>
      </c>
      <c r="B113" s="142" t="s">
        <v>28</v>
      </c>
      <c r="C113" s="141" cm="1">
        <f t="array" aca="1" ref="C113" ca="1">INDIRECT("ИТОГО!C21")</f>
        <v>102164</v>
      </c>
    </row>
    <row r="114" spans="1:3">
      <c r="A114" s="142" t="s">
        <v>48</v>
      </c>
      <c r="B114" s="142" t="s">
        <v>28</v>
      </c>
      <c r="C114" s="141" cm="1">
        <f t="array" aca="1" ref="C114" ca="1">INDIRECT("ИТОГО!C22")</f>
        <v>17102.400000000001</v>
      </c>
    </row>
    <row r="115" spans="1:3">
      <c r="A115" s="142" t="s">
        <v>50</v>
      </c>
      <c r="B115" s="142" t="s">
        <v>28</v>
      </c>
      <c r="C115" s="141" cm="1">
        <f t="array" aca="1" ref="C115" ca="1">INDIRECT("ИТОГО!C23")</f>
        <v>1605.5999999999979</v>
      </c>
    </row>
    <row r="116" spans="1:3">
      <c r="A116" s="142" t="s">
        <v>43</v>
      </c>
      <c r="B116" s="142" t="s">
        <v>28</v>
      </c>
      <c r="C116" s="141" cm="1">
        <f t="array" aca="1" ref="C116" ca="1">INDIRECT("ИТОГО!G19")</f>
        <v>122207.4</v>
      </c>
    </row>
    <row r="117" spans="1:3">
      <c r="A117" s="142" t="s">
        <v>45</v>
      </c>
      <c r="B117" s="142" t="s">
        <v>28</v>
      </c>
      <c r="C117" s="141" cm="1">
        <f t="array" aca="1" ref="C117" ca="1">INDIRECT("ИТОГО!G20")</f>
        <v>416008.41</v>
      </c>
    </row>
    <row r="118" spans="1:3">
      <c r="A118" s="142" t="s">
        <v>47</v>
      </c>
      <c r="B118" s="142" t="s">
        <v>28</v>
      </c>
      <c r="C118" s="141" cm="1">
        <f t="array" aca="1" ref="C118" ca="1">INDIRECT("ИТОГО!G21")</f>
        <v>337898.52</v>
      </c>
    </row>
    <row r="119" spans="1:3">
      <c r="A119" s="142" t="s">
        <v>49</v>
      </c>
      <c r="B119" s="142" t="s">
        <v>31</v>
      </c>
      <c r="C119" s="141" cm="1">
        <f t="array" aca="1" ref="C119" ca="1">INDIRECT("ИТОГО!G22")</f>
        <v>0</v>
      </c>
    </row>
    <row r="120" spans="1:3">
      <c r="A120" s="142" t="s">
        <v>43</v>
      </c>
      <c r="B120" s="142" t="s">
        <v>31</v>
      </c>
      <c r="C120" s="141" cm="1">
        <f t="array" aca="1" ref="C120" ca="1">INDIRECT("ИТОГО!G23")</f>
        <v>0</v>
      </c>
    </row>
    <row r="121" spans="1:3">
      <c r="A121" s="142" t="s">
        <v>45</v>
      </c>
      <c r="B121" s="142" t="s">
        <v>31</v>
      </c>
      <c r="C121" s="141" cm="1">
        <f t="array" aca="1" ref="C121" ca="1">INDIRECT("ИТОГО!G24")</f>
        <v>0</v>
      </c>
    </row>
    <row r="122" spans="1:3">
      <c r="A122" s="142" t="s">
        <v>43</v>
      </c>
      <c r="B122" s="142" t="s">
        <v>35</v>
      </c>
      <c r="C122" s="141" cm="1">
        <f t="array" aca="1" ref="C122" ca="1">INDIRECT("ИТОГО!G25")</f>
        <v>0</v>
      </c>
    </row>
    <row r="123" spans="1:3">
      <c r="A123" s="142" t="s">
        <v>54</v>
      </c>
      <c r="B123" s="142" t="s">
        <v>35</v>
      </c>
      <c r="C123" s="141" cm="1">
        <f t="array" aca="1" ref="C123" ca="1">INDIRECT("ИТОГО!G26")</f>
        <v>0</v>
      </c>
    </row>
    <row r="124" spans="1:3">
      <c r="A124" s="142" t="s">
        <v>56</v>
      </c>
      <c r="B124" s="142" t="s">
        <v>36</v>
      </c>
      <c r="C124" s="141" cm="1">
        <f t="array" aca="1" ref="C124" ca="1">INDIRECT("ИТОГО!G27")</f>
        <v>0</v>
      </c>
    </row>
    <row r="125" spans="1:3">
      <c r="A125" s="142" t="s">
        <v>45</v>
      </c>
      <c r="B125" s="142" t="s">
        <v>30</v>
      </c>
      <c r="C125" s="141" cm="1">
        <f t="array" aca="1" ref="C125" ca="1">INDIRECT("ИТОГО!G28")</f>
        <v>102937.5</v>
      </c>
    </row>
    <row r="126" spans="1:3">
      <c r="A126" s="142" t="s">
        <v>49</v>
      </c>
      <c r="B126" s="142" t="s">
        <v>30</v>
      </c>
      <c r="C126" s="141" cm="1">
        <f t="array" aca="1" ref="C126" ca="1">INDIRECT("ИТОГО!G29")</f>
        <v>0</v>
      </c>
    </row>
    <row r="127" spans="1:3">
      <c r="A127" s="142" t="s">
        <v>47</v>
      </c>
      <c r="B127" s="142" t="s">
        <v>30</v>
      </c>
      <c r="C127" s="141" cm="1">
        <f t="array" aca="1" ref="C127" ca="1">INDIRECT("ИТОГО!G30")</f>
        <v>0</v>
      </c>
    </row>
    <row r="128" spans="1:3">
      <c r="A128" s="142" t="s">
        <v>43</v>
      </c>
      <c r="B128" s="142" t="s">
        <v>30</v>
      </c>
      <c r="C128" s="141" cm="1">
        <f t="array" aca="1" ref="C128" ca="1">INDIRECT("ИТОГО!G31")</f>
        <v>76585.5</v>
      </c>
    </row>
    <row r="129" spans="1:3">
      <c r="A129" s="142" t="s">
        <v>60</v>
      </c>
      <c r="B129" s="142" t="s">
        <v>32</v>
      </c>
      <c r="C129" s="141" cm="1">
        <f t="array" aca="1" ref="C129" ca="1">INDIRECT("ИТОГО!G32")</f>
        <v>194710.505256</v>
      </c>
    </row>
    <row r="130" spans="1:3">
      <c r="A130" s="142" t="s">
        <v>49</v>
      </c>
      <c r="B130" s="142" t="s">
        <v>32</v>
      </c>
      <c r="C130" s="141" cm="1">
        <f t="array" aca="1" ref="C130" ca="1">INDIRECT("ИТОГО!G33")</f>
        <v>0</v>
      </c>
    </row>
    <row r="131" spans="1:3">
      <c r="A131" s="142" t="s">
        <v>45</v>
      </c>
      <c r="B131" s="142" t="s">
        <v>32</v>
      </c>
      <c r="C131" s="141" cm="1">
        <f t="array" aca="1" ref="C131" ca="1">INDIRECT("ИТОГО!G34")</f>
        <v>0</v>
      </c>
    </row>
    <row r="132" spans="1:3">
      <c r="A132" s="142" t="s">
        <v>47</v>
      </c>
      <c r="B132" s="142" t="s">
        <v>35</v>
      </c>
      <c r="C132" s="141" cm="1">
        <f t="array" aca="1" ref="C132" ca="1">INDIRECT("ИТОГО!G36")</f>
        <v>0</v>
      </c>
    </row>
    <row r="133" spans="1:3">
      <c r="A133" s="142" t="s">
        <v>45</v>
      </c>
      <c r="B133" s="142" t="s">
        <v>27</v>
      </c>
      <c r="C133" s="141" cm="1">
        <f t="array" aca="1" ref="C133" ca="1">INDIRECT("ИТОГО!G37")</f>
        <v>0</v>
      </c>
    </row>
    <row r="134" spans="1:3">
      <c r="A134" s="142" t="s">
        <v>43</v>
      </c>
      <c r="B134" s="142" t="s">
        <v>34</v>
      </c>
      <c r="C134" s="141" cm="1">
        <f t="array" aca="1" ref="C134" ca="1">INDIRECT("ИТОГО!G38")</f>
        <v>0</v>
      </c>
    </row>
    <row r="135" spans="1:3">
      <c r="A135" s="142" t="s">
        <v>49</v>
      </c>
      <c r="B135" s="142" t="s">
        <v>28</v>
      </c>
      <c r="C135" s="141" cm="1">
        <f t="array" aca="1" ref="C135" ca="1">INDIRECT("ИТОГО!G39")</f>
        <v>262202.40000000002</v>
      </c>
    </row>
    <row r="136" spans="1:3">
      <c r="A136" s="142" t="s">
        <v>43</v>
      </c>
      <c r="B136" s="142" t="s">
        <v>27</v>
      </c>
      <c r="C136" s="141" cm="1">
        <f t="array" aca="1" ref="C136" ca="1">INDIRECT("ИТОГО!G40")</f>
        <v>0</v>
      </c>
    </row>
    <row r="137" spans="1:3">
      <c r="A137" s="142" t="s">
        <v>66</v>
      </c>
      <c r="B137" s="142" t="s">
        <v>36</v>
      </c>
      <c r="C137" s="141" cm="1">
        <f t="array" aca="1" ref="C137" ca="1">INDIRECT("ИТОГО!G41")</f>
        <v>0</v>
      </c>
    </row>
    <row r="138" spans="1:3">
      <c r="A138" s="142" t="s">
        <v>49</v>
      </c>
      <c r="B138" s="142" t="s">
        <v>35</v>
      </c>
      <c r="C138" s="130">
        <f>[1]ИТОГО!G35</f>
        <v>0</v>
      </c>
    </row>
    <row r="139" spans="1:3">
      <c r="A139" s="142" t="s">
        <v>68</v>
      </c>
      <c r="B139" s="142" t="s">
        <v>38</v>
      </c>
      <c r="C139" s="141">
        <f ca="1">INDEX(INDIRECT("ИТОГО!$B$45:$L$54"),MATCH(Сводка!B139,INDIRECT("ИТОГО!$A$45:$A$54"),0),MATCH(Сводка!A139,INDIRECT("ИТОГО!$B$44:$L$44"),0))</f>
        <v>137485.32999999999</v>
      </c>
    </row>
    <row r="140" spans="1:3">
      <c r="A140" s="142" t="s">
        <v>69</v>
      </c>
      <c r="B140" s="142" t="s">
        <v>38</v>
      </c>
      <c r="C140" s="141">
        <f ca="1">INDEX(INDIRECT("ИТОГО!$B$45:$L$54"),MATCH(Сводка!B140,INDIRECT("ИТОГО!$A$45:$A$54"),0),MATCH(Сводка!A140,INDIRECT("ИТОГО!$B$44:$L$44"),0))</f>
        <v>1581168.43</v>
      </c>
    </row>
    <row r="141" spans="1:3">
      <c r="A141" s="142" t="s">
        <v>70</v>
      </c>
      <c r="B141" s="142" t="s">
        <v>38</v>
      </c>
      <c r="C141" s="141">
        <f ca="1">INDEX(INDIRECT("ИТОГО!$B$45:$L$54"),MATCH(Сводка!B141,INDIRECT("ИТОГО!$A$45:$A$54"),0),MATCH(Сводка!A141,INDIRECT("ИТОГО!$B$44:$L$44"),0))</f>
        <v>9653720.3200000003</v>
      </c>
    </row>
    <row r="142" spans="1:3">
      <c r="A142" s="142" t="s">
        <v>71</v>
      </c>
      <c r="B142" s="142" t="s">
        <v>38</v>
      </c>
      <c r="C142" s="141">
        <f ca="1">INDEX(INDIRECT("ИТОГО!$B$45:$L$54"),MATCH(Сводка!B142,INDIRECT("ИТОГО!$A$45:$A$54"),0),MATCH(Сводка!A142,INDIRECT("ИТОГО!$B$44:$L$44"),0))</f>
        <v>0</v>
      </c>
    </row>
    <row r="143" spans="1:3">
      <c r="A143" s="142" t="s">
        <v>72</v>
      </c>
      <c r="B143" s="142" t="s">
        <v>38</v>
      </c>
      <c r="C143" s="141">
        <f ca="1">INDEX(INDIRECT("ИТОГО!$B$45:$L$54"),MATCH(Сводка!B143,INDIRECT("ИТОГО!$A$45:$A$54"),0),MATCH(Сводка!A143,INDIRECT("ИТОГО!$B$44:$L$44"),0))</f>
        <v>0</v>
      </c>
    </row>
    <row r="144" spans="1:3">
      <c r="A144" s="142" t="s">
        <v>54</v>
      </c>
      <c r="B144" s="142" t="s">
        <v>38</v>
      </c>
      <c r="C144" s="141">
        <f ca="1">INDEX(INDIRECT("ИТОГО!$B$45:$L$54"),MATCH(Сводка!B144,INDIRECT("ИТОГО!$A$45:$A$54"),0),MATCH(Сводка!A144,INDIRECT("ИТОГО!$B$44:$L$44"),0))</f>
        <v>0</v>
      </c>
    </row>
    <row r="145" spans="1:3">
      <c r="A145" s="142" t="s">
        <v>73</v>
      </c>
      <c r="B145" s="142" t="s">
        <v>38</v>
      </c>
      <c r="C145" s="141">
        <f ca="1">INDEX(INDIRECT("ИТОГО!$B$45:$L$54"),MATCH(Сводка!B145,INDIRECT("ИТОГО!$A$45:$A$54"),0),MATCH(Сводка!A145,INDIRECT("ИТОГО!$B$44:$L$44"),0))</f>
        <v>0</v>
      </c>
    </row>
    <row r="146" spans="1:3">
      <c r="A146" s="142" t="s">
        <v>74</v>
      </c>
      <c r="B146" s="142" t="s">
        <v>38</v>
      </c>
      <c r="C146" s="141">
        <f ca="1">INDEX(INDIRECT("ИТОГО!$B$45:$L$54"),MATCH(Сводка!B146,INDIRECT("ИТОГО!$A$45:$A$54"),0),MATCH(Сводка!A146,INDIRECT("ИТОГО!$B$44:$L$44"),0))</f>
        <v>0</v>
      </c>
    </row>
    <row r="147" spans="1:3">
      <c r="A147" s="142" t="s">
        <v>75</v>
      </c>
      <c r="B147" s="142" t="s">
        <v>38</v>
      </c>
      <c r="C147" s="141">
        <f ca="1">INDEX(INDIRECT("ИТОГО!$B$45:$L$54"),MATCH(Сводка!B147,INDIRECT("ИТОГО!$A$45:$A$54"),0),MATCH(Сводка!A147,INDIRECT("ИТОГО!$B$44:$L$44"),0))</f>
        <v>0</v>
      </c>
    </row>
    <row r="148" spans="1:3">
      <c r="A148" s="142" t="s">
        <v>76</v>
      </c>
      <c r="B148" s="142" t="s">
        <v>38</v>
      </c>
      <c r="C148" s="141">
        <f ca="1">INDEX(INDIRECT("ИТОГО!$B$45:$L$54"),MATCH(Сводка!B148,INDIRECT("ИТОГО!$A$45:$A$54"),0),MATCH(Сводка!A148,INDIRECT("ИТОГО!$B$44:$L$44"),0))</f>
        <v>0</v>
      </c>
    </row>
    <row r="149" spans="1:3">
      <c r="A149" s="142" t="s">
        <v>77</v>
      </c>
      <c r="B149" s="142" t="s">
        <v>38</v>
      </c>
      <c r="C149" s="141">
        <f ca="1">INDEX(INDIRECT("ИТОГО!$B$45:$L$54"),MATCH(Сводка!B149,INDIRECT("ИТОГО!$A$45:$A$54"),0),MATCH(Сводка!A149,INDIRECT("ИТОГО!$B$44:$L$44"),0))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2FB2-72FF-4616-81D5-87761C804F44}">
  <dimension ref="A1:R37"/>
  <sheetViews>
    <sheetView topLeftCell="A17" workbookViewId="0">
      <selection activeCell="E19" sqref="E19"/>
    </sheetView>
  </sheetViews>
  <sheetFormatPr defaultRowHeight="15"/>
  <cols>
    <col min="1" max="1" width="13.140625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0.140625" style="51" customWidth="1"/>
    <col min="18" max="18" width="10.42578125" style="51" bestFit="1" customWidth="1"/>
    <col min="19" max="16384" width="9.140625" style="51"/>
  </cols>
  <sheetData>
    <row r="1" spans="1:18">
      <c r="A1" s="50">
        <f>N37</f>
        <v>86302.8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180</v>
      </c>
    </row>
    <row r="5" spans="1:18">
      <c r="A5" s="69">
        <v>1</v>
      </c>
      <c r="B5" s="83">
        <v>46204</v>
      </c>
      <c r="C5" s="84"/>
      <c r="D5" s="145"/>
      <c r="E5" s="146"/>
      <c r="F5" s="145">
        <f>112.5</f>
        <v>112.5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F5*$R$6</f>
        <v>2700</v>
      </c>
      <c r="L5" s="68">
        <f>SUM(G5*$R$7)</f>
        <v>0</v>
      </c>
      <c r="M5" s="68">
        <f>SUM(H5*$R$8)</f>
        <v>0</v>
      </c>
      <c r="N5" s="68">
        <f t="shared" ref="N5:N35" si="0">SUM(I5:M5)</f>
        <v>2700</v>
      </c>
      <c r="Q5" s="143" t="s">
        <v>100</v>
      </c>
      <c r="R5" s="144">
        <v>180</v>
      </c>
    </row>
    <row r="6" spans="1:18">
      <c r="A6" s="69">
        <v>2</v>
      </c>
      <c r="B6" s="83">
        <v>46205</v>
      </c>
      <c r="C6" s="84"/>
      <c r="D6" s="145"/>
      <c r="E6" s="146"/>
      <c r="F6" s="145">
        <f>F5-E5+D6</f>
        <v>112.5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F6*$R$6</f>
        <v>2700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2700</v>
      </c>
      <c r="Q6" s="143" t="s">
        <v>4</v>
      </c>
      <c r="R6" s="144">
        <v>24</v>
      </c>
    </row>
    <row r="7" spans="1:18">
      <c r="A7" s="69">
        <v>3</v>
      </c>
      <c r="B7" s="83">
        <v>46206</v>
      </c>
      <c r="C7" s="84"/>
      <c r="D7" s="145"/>
      <c r="E7" s="146"/>
      <c r="F7" s="145">
        <f t="shared" ref="F7:F35" si="6">F6-E6+D7</f>
        <v>112.5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2700</v>
      </c>
      <c r="L7" s="68">
        <f t="shared" si="4"/>
        <v>0</v>
      </c>
      <c r="M7" s="68">
        <f t="shared" si="5"/>
        <v>0</v>
      </c>
      <c r="N7" s="68">
        <f t="shared" si="0"/>
        <v>2700</v>
      </c>
      <c r="Q7" s="143" t="s">
        <v>101</v>
      </c>
      <c r="R7" s="144">
        <v>1200</v>
      </c>
    </row>
    <row r="8" spans="1:18">
      <c r="A8" s="69">
        <v>4</v>
      </c>
      <c r="B8" s="83">
        <v>46207</v>
      </c>
      <c r="C8" s="84"/>
      <c r="D8" s="145"/>
      <c r="E8" s="146"/>
      <c r="F8" s="145">
        <f t="shared" si="6"/>
        <v>112.5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2700</v>
      </c>
      <c r="L8" s="68">
        <f t="shared" si="4"/>
        <v>0</v>
      </c>
      <c r="M8" s="68">
        <f t="shared" si="5"/>
        <v>0</v>
      </c>
      <c r="N8" s="68">
        <f t="shared" si="0"/>
        <v>2700</v>
      </c>
      <c r="Q8" s="143" t="s">
        <v>8</v>
      </c>
      <c r="R8" s="144">
        <v>240</v>
      </c>
    </row>
    <row r="9" spans="1:18">
      <c r="A9" s="69">
        <v>5</v>
      </c>
      <c r="B9" s="83">
        <v>46208</v>
      </c>
      <c r="C9" s="84"/>
      <c r="D9" s="145"/>
      <c r="E9" s="146"/>
      <c r="F9" s="145">
        <f t="shared" si="6"/>
        <v>112.5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2700</v>
      </c>
      <c r="L9" s="68">
        <f t="shared" si="4"/>
        <v>0</v>
      </c>
      <c r="M9" s="68">
        <f t="shared" si="5"/>
        <v>0</v>
      </c>
      <c r="N9" s="68">
        <f t="shared" si="0"/>
        <v>2700</v>
      </c>
    </row>
    <row r="10" spans="1:18">
      <c r="A10" s="69">
        <v>6</v>
      </c>
      <c r="B10" s="83">
        <v>46209</v>
      </c>
      <c r="C10" s="84"/>
      <c r="D10" s="145"/>
      <c r="E10" s="146"/>
      <c r="F10" s="145">
        <f t="shared" si="6"/>
        <v>112.5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2700</v>
      </c>
      <c r="L10" s="68">
        <f t="shared" si="4"/>
        <v>0</v>
      </c>
      <c r="M10" s="68">
        <f t="shared" si="5"/>
        <v>0</v>
      </c>
      <c r="N10" s="68">
        <f t="shared" si="0"/>
        <v>2700</v>
      </c>
    </row>
    <row r="11" spans="1:18">
      <c r="A11" s="69">
        <v>7</v>
      </c>
      <c r="B11" s="83">
        <v>46210</v>
      </c>
      <c r="C11" s="84"/>
      <c r="D11" s="145"/>
      <c r="E11" s="146"/>
      <c r="F11" s="145">
        <f t="shared" si="6"/>
        <v>112.5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2700</v>
      </c>
      <c r="L11" s="68">
        <f t="shared" si="4"/>
        <v>0</v>
      </c>
      <c r="M11" s="68">
        <f t="shared" si="5"/>
        <v>0</v>
      </c>
      <c r="N11" s="68">
        <f t="shared" si="0"/>
        <v>2700</v>
      </c>
    </row>
    <row r="12" spans="1:18">
      <c r="A12" s="69">
        <v>8</v>
      </c>
      <c r="B12" s="83">
        <v>46211</v>
      </c>
      <c r="C12" s="84"/>
      <c r="D12" s="145"/>
      <c r="E12" s="146"/>
      <c r="F12" s="145">
        <f t="shared" si="6"/>
        <v>112.5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2700</v>
      </c>
      <c r="L12" s="68">
        <f t="shared" si="4"/>
        <v>0</v>
      </c>
      <c r="M12" s="68">
        <f t="shared" si="5"/>
        <v>0</v>
      </c>
      <c r="N12" s="68">
        <f t="shared" si="0"/>
        <v>2700</v>
      </c>
    </row>
    <row r="13" spans="1:18">
      <c r="A13" s="69">
        <v>9</v>
      </c>
      <c r="B13" s="83">
        <v>46212</v>
      </c>
      <c r="C13" s="84"/>
      <c r="D13" s="145"/>
      <c r="E13" s="146">
        <v>22.5</v>
      </c>
      <c r="F13" s="145">
        <f t="shared" si="6"/>
        <v>112.5</v>
      </c>
      <c r="G13" s="145">
        <v>0</v>
      </c>
      <c r="H13" s="145">
        <v>0</v>
      </c>
      <c r="I13" s="68">
        <f t="shared" si="1"/>
        <v>0</v>
      </c>
      <c r="J13" s="68">
        <f t="shared" si="2"/>
        <v>4050</v>
      </c>
      <c r="K13" s="68">
        <f t="shared" si="3"/>
        <v>2700</v>
      </c>
      <c r="L13" s="68">
        <f t="shared" si="4"/>
        <v>0</v>
      </c>
      <c r="M13" s="68">
        <f t="shared" si="5"/>
        <v>0</v>
      </c>
      <c r="N13" s="68">
        <f t="shared" si="0"/>
        <v>6750</v>
      </c>
    </row>
    <row r="14" spans="1:18">
      <c r="A14" s="69">
        <v>10</v>
      </c>
      <c r="B14" s="83">
        <v>46213</v>
      </c>
      <c r="C14" s="84"/>
      <c r="D14" s="145"/>
      <c r="E14" s="146"/>
      <c r="F14" s="145">
        <f t="shared" si="6"/>
        <v>90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2160</v>
      </c>
      <c r="L14" s="68">
        <f t="shared" si="4"/>
        <v>0</v>
      </c>
      <c r="M14" s="68">
        <f t="shared" si="5"/>
        <v>0</v>
      </c>
      <c r="N14" s="68">
        <f t="shared" si="0"/>
        <v>2160</v>
      </c>
    </row>
    <row r="15" spans="1:18">
      <c r="A15" s="69">
        <v>11</v>
      </c>
      <c r="B15" s="83">
        <v>46214</v>
      </c>
      <c r="C15" s="84"/>
      <c r="D15" s="145"/>
      <c r="E15" s="146"/>
      <c r="F15" s="145">
        <f t="shared" si="6"/>
        <v>90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2160</v>
      </c>
      <c r="L15" s="68">
        <f t="shared" si="4"/>
        <v>0</v>
      </c>
      <c r="M15" s="68">
        <f t="shared" si="5"/>
        <v>0</v>
      </c>
      <c r="N15" s="68">
        <f t="shared" si="0"/>
        <v>2160</v>
      </c>
    </row>
    <row r="16" spans="1:18">
      <c r="A16" s="69">
        <v>12</v>
      </c>
      <c r="B16" s="83">
        <v>46215</v>
      </c>
      <c r="C16" s="84"/>
      <c r="D16" s="145"/>
      <c r="E16" s="146"/>
      <c r="F16" s="145">
        <f t="shared" si="6"/>
        <v>90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2160</v>
      </c>
      <c r="L16" s="68">
        <f t="shared" si="4"/>
        <v>0</v>
      </c>
      <c r="M16" s="68">
        <f t="shared" si="5"/>
        <v>0</v>
      </c>
      <c r="N16" s="68">
        <f t="shared" si="0"/>
        <v>2160</v>
      </c>
    </row>
    <row r="17" spans="1:14">
      <c r="A17" s="69">
        <v>13</v>
      </c>
      <c r="B17" s="83">
        <v>46216</v>
      </c>
      <c r="C17" s="84"/>
      <c r="D17" s="145"/>
      <c r="E17" s="146"/>
      <c r="F17" s="145">
        <f t="shared" si="6"/>
        <v>90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2160</v>
      </c>
      <c r="L17" s="68">
        <f t="shared" si="4"/>
        <v>0</v>
      </c>
      <c r="M17" s="68">
        <f t="shared" si="5"/>
        <v>0</v>
      </c>
      <c r="N17" s="68">
        <f t="shared" si="0"/>
        <v>2160</v>
      </c>
    </row>
    <row r="18" spans="1:14">
      <c r="A18" s="69">
        <v>14</v>
      </c>
      <c r="B18" s="83">
        <v>46217</v>
      </c>
      <c r="C18" s="84"/>
      <c r="D18" s="145"/>
      <c r="E18" s="146">
        <v>22.5</v>
      </c>
      <c r="F18" s="145">
        <f t="shared" si="6"/>
        <v>90</v>
      </c>
      <c r="G18" s="145">
        <v>0</v>
      </c>
      <c r="H18" s="145">
        <v>0</v>
      </c>
      <c r="I18" s="68">
        <f t="shared" si="1"/>
        <v>0</v>
      </c>
      <c r="J18" s="68">
        <f t="shared" si="2"/>
        <v>4050</v>
      </c>
      <c r="K18" s="68">
        <f t="shared" si="3"/>
        <v>2160</v>
      </c>
      <c r="L18" s="68">
        <f t="shared" si="4"/>
        <v>0</v>
      </c>
      <c r="M18" s="68">
        <f t="shared" si="5"/>
        <v>0</v>
      </c>
      <c r="N18" s="68">
        <f t="shared" si="0"/>
        <v>6210</v>
      </c>
    </row>
    <row r="19" spans="1:14">
      <c r="A19" s="69">
        <v>15</v>
      </c>
      <c r="B19" s="83">
        <v>46218</v>
      </c>
      <c r="C19" s="84"/>
      <c r="D19" s="145"/>
      <c r="E19" s="146"/>
      <c r="F19" s="145">
        <f t="shared" si="6"/>
        <v>67.5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1620</v>
      </c>
      <c r="L19" s="68">
        <f t="shared" si="4"/>
        <v>0</v>
      </c>
      <c r="M19" s="68">
        <f t="shared" si="5"/>
        <v>0</v>
      </c>
      <c r="N19" s="68">
        <f t="shared" si="0"/>
        <v>1620</v>
      </c>
    </row>
    <row r="20" spans="1:14">
      <c r="A20" s="69">
        <v>16</v>
      </c>
      <c r="B20" s="83">
        <v>46219</v>
      </c>
      <c r="C20" s="84"/>
      <c r="D20" s="145"/>
      <c r="E20" s="146"/>
      <c r="F20" s="145">
        <f t="shared" si="6"/>
        <v>67.5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1620</v>
      </c>
      <c r="L20" s="68">
        <f t="shared" si="4"/>
        <v>0</v>
      </c>
      <c r="M20" s="68">
        <f t="shared" si="5"/>
        <v>0</v>
      </c>
      <c r="N20" s="68">
        <f t="shared" si="0"/>
        <v>1620</v>
      </c>
    </row>
    <row r="21" spans="1:14">
      <c r="A21" s="69">
        <v>17</v>
      </c>
      <c r="B21" s="83">
        <v>46220</v>
      </c>
      <c r="C21" s="84"/>
      <c r="D21" s="145"/>
      <c r="E21" s="146"/>
      <c r="F21" s="145">
        <f t="shared" si="6"/>
        <v>67.5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1620</v>
      </c>
      <c r="L21" s="68">
        <f t="shared" si="4"/>
        <v>0</v>
      </c>
      <c r="M21" s="68">
        <f t="shared" si="5"/>
        <v>0</v>
      </c>
      <c r="N21" s="68">
        <f t="shared" si="0"/>
        <v>1620</v>
      </c>
    </row>
    <row r="22" spans="1:14">
      <c r="A22" s="69">
        <v>18</v>
      </c>
      <c r="B22" s="83">
        <v>46221</v>
      </c>
      <c r="C22" s="84"/>
      <c r="D22" s="145"/>
      <c r="E22" s="146"/>
      <c r="F22" s="145">
        <f t="shared" si="6"/>
        <v>67.5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1620</v>
      </c>
      <c r="L22" s="68">
        <f t="shared" si="4"/>
        <v>0</v>
      </c>
      <c r="M22" s="68">
        <f t="shared" si="5"/>
        <v>0</v>
      </c>
      <c r="N22" s="68">
        <f t="shared" si="0"/>
        <v>1620</v>
      </c>
    </row>
    <row r="23" spans="1:14">
      <c r="A23" s="69">
        <v>19</v>
      </c>
      <c r="B23" s="83">
        <v>46222</v>
      </c>
      <c r="C23" s="84"/>
      <c r="D23" s="145"/>
      <c r="E23" s="146"/>
      <c r="F23" s="145">
        <f t="shared" si="6"/>
        <v>67.5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1620</v>
      </c>
      <c r="L23" s="68">
        <f t="shared" si="4"/>
        <v>0</v>
      </c>
      <c r="M23" s="68">
        <f t="shared" si="5"/>
        <v>0</v>
      </c>
      <c r="N23" s="68">
        <f t="shared" si="0"/>
        <v>1620</v>
      </c>
    </row>
    <row r="24" spans="1:14">
      <c r="A24" s="69">
        <v>20</v>
      </c>
      <c r="B24" s="83">
        <v>46223</v>
      </c>
      <c r="C24" s="84"/>
      <c r="D24" s="145"/>
      <c r="E24" s="146"/>
      <c r="F24" s="145">
        <f t="shared" si="6"/>
        <v>67.5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1620</v>
      </c>
      <c r="L24" s="68">
        <f t="shared" si="4"/>
        <v>0</v>
      </c>
      <c r="M24" s="68">
        <f t="shared" si="5"/>
        <v>0</v>
      </c>
      <c r="N24" s="68">
        <f t="shared" si="0"/>
        <v>1620</v>
      </c>
    </row>
    <row r="25" spans="1:14">
      <c r="A25" s="69">
        <v>21</v>
      </c>
      <c r="B25" s="83">
        <v>46224</v>
      </c>
      <c r="C25" s="84"/>
      <c r="D25" s="145"/>
      <c r="E25" s="146"/>
      <c r="F25" s="145">
        <f t="shared" si="6"/>
        <v>67.5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1620</v>
      </c>
      <c r="L25" s="68">
        <f t="shared" si="4"/>
        <v>0</v>
      </c>
      <c r="M25" s="68">
        <f t="shared" si="5"/>
        <v>0</v>
      </c>
      <c r="N25" s="68">
        <f t="shared" si="0"/>
        <v>1620</v>
      </c>
    </row>
    <row r="26" spans="1:14">
      <c r="A26" s="69">
        <v>22</v>
      </c>
      <c r="B26" s="83">
        <v>46225</v>
      </c>
      <c r="C26" s="84"/>
      <c r="D26" s="145"/>
      <c r="E26" s="147"/>
      <c r="F26" s="145">
        <f t="shared" si="6"/>
        <v>67.5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1620</v>
      </c>
      <c r="L26" s="68">
        <f t="shared" si="4"/>
        <v>0</v>
      </c>
      <c r="M26" s="68">
        <f t="shared" si="5"/>
        <v>0</v>
      </c>
      <c r="N26" s="68">
        <f t="shared" si="0"/>
        <v>1620</v>
      </c>
    </row>
    <row r="27" spans="1:14">
      <c r="A27" s="69">
        <v>23</v>
      </c>
      <c r="B27" s="83">
        <v>46226</v>
      </c>
      <c r="C27" s="84"/>
      <c r="D27" s="145"/>
      <c r="E27" s="147"/>
      <c r="F27" s="145">
        <f t="shared" si="6"/>
        <v>67.5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1620</v>
      </c>
      <c r="L27" s="68">
        <f t="shared" si="4"/>
        <v>0</v>
      </c>
      <c r="M27" s="68">
        <f t="shared" si="5"/>
        <v>0</v>
      </c>
      <c r="N27" s="68">
        <f t="shared" si="0"/>
        <v>1620</v>
      </c>
    </row>
    <row r="28" spans="1:14">
      <c r="A28" s="69">
        <v>24</v>
      </c>
      <c r="B28" s="83">
        <v>46227</v>
      </c>
      <c r="C28" s="84"/>
      <c r="D28" s="145"/>
      <c r="E28" s="147"/>
      <c r="F28" s="145">
        <f t="shared" si="6"/>
        <v>67.5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1620</v>
      </c>
      <c r="L28" s="68">
        <f t="shared" si="4"/>
        <v>0</v>
      </c>
      <c r="M28" s="68">
        <f t="shared" si="5"/>
        <v>0</v>
      </c>
      <c r="N28" s="68">
        <f t="shared" si="0"/>
        <v>1620</v>
      </c>
    </row>
    <row r="29" spans="1:14">
      <c r="A29" s="69">
        <v>25</v>
      </c>
      <c r="B29" s="83">
        <v>46228</v>
      </c>
      <c r="C29" s="84"/>
      <c r="D29" s="145"/>
      <c r="E29" s="147"/>
      <c r="F29" s="145">
        <f t="shared" si="6"/>
        <v>67.5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1620</v>
      </c>
      <c r="L29" s="68">
        <f t="shared" si="4"/>
        <v>0</v>
      </c>
      <c r="M29" s="68">
        <f t="shared" si="5"/>
        <v>0</v>
      </c>
      <c r="N29" s="68">
        <f t="shared" si="0"/>
        <v>1620</v>
      </c>
    </row>
    <row r="30" spans="1:14">
      <c r="A30" s="69">
        <v>26</v>
      </c>
      <c r="B30" s="83">
        <v>46229</v>
      </c>
      <c r="C30" s="84"/>
      <c r="D30" s="145"/>
      <c r="E30" s="147"/>
      <c r="F30" s="145">
        <f t="shared" si="6"/>
        <v>67.5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1620</v>
      </c>
      <c r="L30" s="68">
        <f t="shared" si="4"/>
        <v>0</v>
      </c>
      <c r="M30" s="68">
        <f t="shared" si="5"/>
        <v>0</v>
      </c>
      <c r="N30" s="68">
        <f t="shared" si="0"/>
        <v>1620</v>
      </c>
    </row>
    <row r="31" spans="1:14">
      <c r="A31" s="69">
        <v>27</v>
      </c>
      <c r="B31" s="83">
        <v>46230</v>
      </c>
      <c r="C31" s="84"/>
      <c r="D31" s="145"/>
      <c r="E31" s="147"/>
      <c r="F31" s="145">
        <f t="shared" si="6"/>
        <v>67.5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1620</v>
      </c>
      <c r="L31" s="68">
        <f t="shared" si="4"/>
        <v>0</v>
      </c>
      <c r="M31" s="68">
        <f t="shared" si="5"/>
        <v>0</v>
      </c>
      <c r="N31" s="68">
        <f t="shared" si="0"/>
        <v>1620</v>
      </c>
    </row>
    <row r="32" spans="1:14">
      <c r="A32" s="69">
        <v>28</v>
      </c>
      <c r="B32" s="83">
        <v>46231</v>
      </c>
      <c r="C32" s="84"/>
      <c r="D32" s="145"/>
      <c r="E32" s="146"/>
      <c r="F32" s="145">
        <f t="shared" si="6"/>
        <v>67.5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1620</v>
      </c>
      <c r="L32" s="68">
        <f t="shared" si="4"/>
        <v>0</v>
      </c>
      <c r="M32" s="68">
        <f t="shared" si="5"/>
        <v>0</v>
      </c>
      <c r="N32" s="68">
        <f t="shared" si="0"/>
        <v>1620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6"/>
        <v>67.5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1620</v>
      </c>
      <c r="L33" s="68">
        <f t="shared" si="4"/>
        <v>0</v>
      </c>
      <c r="M33" s="68">
        <f t="shared" si="5"/>
        <v>0</v>
      </c>
      <c r="N33" s="68">
        <f t="shared" si="0"/>
        <v>1620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6"/>
        <v>67.5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1620</v>
      </c>
      <c r="L34" s="68">
        <f t="shared" si="4"/>
        <v>0</v>
      </c>
      <c r="M34" s="68">
        <f t="shared" si="5"/>
        <v>0</v>
      </c>
      <c r="N34" s="68">
        <f t="shared" si="0"/>
        <v>1620</v>
      </c>
    </row>
    <row r="35" spans="1:14">
      <c r="A35" s="69"/>
      <c r="B35" s="83">
        <v>46234</v>
      </c>
      <c r="C35" s="84"/>
      <c r="D35" s="145"/>
      <c r="E35" s="145"/>
      <c r="F35" s="145">
        <f t="shared" si="6"/>
        <v>67.5</v>
      </c>
      <c r="G35" s="145"/>
      <c r="H35" s="145"/>
      <c r="I35" s="68">
        <f t="shared" si="1"/>
        <v>0</v>
      </c>
      <c r="J35" s="68">
        <f t="shared" si="2"/>
        <v>0</v>
      </c>
      <c r="K35" s="68">
        <f t="shared" si="3"/>
        <v>1620</v>
      </c>
      <c r="L35" s="68">
        <f t="shared" si="4"/>
        <v>0</v>
      </c>
      <c r="M35" s="68">
        <f t="shared" si="5"/>
        <v>0</v>
      </c>
      <c r="N35" s="68">
        <f t="shared" si="0"/>
        <v>1620</v>
      </c>
    </row>
    <row r="36" spans="1:14">
      <c r="D36" s="76">
        <f t="shared" ref="D36:N36" si="7">SUM(D5:D35)</f>
        <v>0</v>
      </c>
      <c r="E36" s="76">
        <f t="shared" si="7"/>
        <v>45</v>
      </c>
      <c r="F36" s="76">
        <f t="shared" si="7"/>
        <v>2610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8100</v>
      </c>
      <c r="K36" s="78">
        <f t="shared" si="7"/>
        <v>62640</v>
      </c>
      <c r="L36" s="78">
        <f t="shared" si="7"/>
        <v>0</v>
      </c>
      <c r="M36" s="78">
        <f t="shared" si="7"/>
        <v>0</v>
      </c>
      <c r="N36" s="78">
        <f t="shared" si="7"/>
        <v>70740</v>
      </c>
    </row>
    <row r="37" spans="1:14">
      <c r="L37" s="79"/>
      <c r="M37" s="79"/>
      <c r="N37" s="80">
        <f>N36*1.22</f>
        <v>86302.8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7FB9-FD07-4D95-943F-755BA5C8CAD1}">
  <dimension ref="A1:R37"/>
  <sheetViews>
    <sheetView workbookViewId="0">
      <selection activeCell="E12" sqref="E12"/>
    </sheetView>
  </sheetViews>
  <sheetFormatPr defaultRowHeight="15"/>
  <cols>
    <col min="1" max="1" width="13.140625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0.140625" style="51" customWidth="1"/>
    <col min="18" max="18" width="10.42578125" style="51" bestFit="1" customWidth="1"/>
    <col min="19" max="16384" width="9.140625" style="51"/>
  </cols>
  <sheetData>
    <row r="1" spans="1:18">
      <c r="A1" s="50">
        <f>N37</f>
        <v>262202.40000000002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180</v>
      </c>
    </row>
    <row r="5" spans="1:18">
      <c r="A5" s="69">
        <v>1</v>
      </c>
      <c r="B5" s="83">
        <v>46204</v>
      </c>
      <c r="C5" s="84"/>
      <c r="D5" s="145"/>
      <c r="E5" s="146"/>
      <c r="F5" s="145">
        <v>337.5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F5*$R$6</f>
        <v>8100</v>
      </c>
      <c r="L5" s="68">
        <f>SUM(G5*$R$7)</f>
        <v>0</v>
      </c>
      <c r="M5" s="68">
        <f>SUM(H5*$R$8)</f>
        <v>0</v>
      </c>
      <c r="N5" s="68">
        <f t="shared" ref="N5:N35" si="0">SUM(I5:M5)</f>
        <v>8100</v>
      </c>
      <c r="Q5" s="143" t="s">
        <v>100</v>
      </c>
      <c r="R5" s="144">
        <v>180</v>
      </c>
    </row>
    <row r="6" spans="1:18">
      <c r="A6" s="69">
        <v>2</v>
      </c>
      <c r="B6" s="83">
        <v>46205</v>
      </c>
      <c r="C6" s="84"/>
      <c r="D6" s="145"/>
      <c r="E6" s="146"/>
      <c r="F6" s="145">
        <f>F5-E5+D6</f>
        <v>337.5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F6*$R$6</f>
        <v>8100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8100</v>
      </c>
      <c r="Q6" s="143" t="s">
        <v>4</v>
      </c>
      <c r="R6" s="144">
        <v>24</v>
      </c>
    </row>
    <row r="7" spans="1:18">
      <c r="A7" s="69">
        <v>3</v>
      </c>
      <c r="B7" s="83">
        <v>46206</v>
      </c>
      <c r="C7" s="84"/>
      <c r="D7" s="145"/>
      <c r="E7" s="146"/>
      <c r="F7" s="145">
        <f t="shared" ref="F7:F35" si="6">F6-E6+D7</f>
        <v>337.5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8100</v>
      </c>
      <c r="L7" s="68">
        <f t="shared" si="4"/>
        <v>0</v>
      </c>
      <c r="M7" s="68">
        <f t="shared" si="5"/>
        <v>0</v>
      </c>
      <c r="N7" s="68">
        <f t="shared" si="0"/>
        <v>8100</v>
      </c>
      <c r="Q7" s="143" t="s">
        <v>101</v>
      </c>
      <c r="R7" s="144">
        <v>1200</v>
      </c>
    </row>
    <row r="8" spans="1:18">
      <c r="A8" s="69">
        <v>4</v>
      </c>
      <c r="B8" s="83">
        <v>46207</v>
      </c>
      <c r="C8" s="84"/>
      <c r="D8" s="145"/>
      <c r="E8" s="146"/>
      <c r="F8" s="145">
        <f t="shared" si="6"/>
        <v>337.5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8100</v>
      </c>
      <c r="L8" s="68">
        <f t="shared" si="4"/>
        <v>0</v>
      </c>
      <c r="M8" s="68">
        <f t="shared" si="5"/>
        <v>0</v>
      </c>
      <c r="N8" s="68">
        <f t="shared" si="0"/>
        <v>8100</v>
      </c>
      <c r="Q8" s="143" t="s">
        <v>8</v>
      </c>
      <c r="R8" s="144">
        <v>240</v>
      </c>
    </row>
    <row r="9" spans="1:18">
      <c r="A9" s="69">
        <v>5</v>
      </c>
      <c r="B9" s="83">
        <v>46208</v>
      </c>
      <c r="C9" s="84"/>
      <c r="D9" s="145"/>
      <c r="E9" s="146"/>
      <c r="F9" s="145">
        <f t="shared" si="6"/>
        <v>337.5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8100</v>
      </c>
      <c r="L9" s="68">
        <f t="shared" si="4"/>
        <v>0</v>
      </c>
      <c r="M9" s="68">
        <f t="shared" si="5"/>
        <v>0</v>
      </c>
      <c r="N9" s="68">
        <f t="shared" si="0"/>
        <v>8100</v>
      </c>
    </row>
    <row r="10" spans="1:18">
      <c r="A10" s="69">
        <v>6</v>
      </c>
      <c r="B10" s="83">
        <v>46209</v>
      </c>
      <c r="C10" s="84"/>
      <c r="D10" s="145"/>
      <c r="E10" s="146">
        <v>22.5</v>
      </c>
      <c r="F10" s="145">
        <f t="shared" si="6"/>
        <v>337.5</v>
      </c>
      <c r="G10" s="145">
        <v>0</v>
      </c>
      <c r="H10" s="145">
        <v>0</v>
      </c>
      <c r="I10" s="68">
        <f t="shared" si="1"/>
        <v>0</v>
      </c>
      <c r="J10" s="68">
        <f t="shared" si="2"/>
        <v>4050</v>
      </c>
      <c r="K10" s="68">
        <f t="shared" si="3"/>
        <v>8100</v>
      </c>
      <c r="L10" s="68">
        <f t="shared" si="4"/>
        <v>0</v>
      </c>
      <c r="M10" s="68">
        <f t="shared" si="5"/>
        <v>0</v>
      </c>
      <c r="N10" s="68">
        <f t="shared" si="0"/>
        <v>12150</v>
      </c>
    </row>
    <row r="11" spans="1:18">
      <c r="A11" s="69">
        <v>7</v>
      </c>
      <c r="B11" s="83">
        <v>46210</v>
      </c>
      <c r="C11" s="84"/>
      <c r="D11" s="145"/>
      <c r="E11" s="146">
        <v>67.5</v>
      </c>
      <c r="F11" s="145">
        <f t="shared" si="6"/>
        <v>315</v>
      </c>
      <c r="G11" s="145">
        <v>0</v>
      </c>
      <c r="H11" s="145">
        <v>0</v>
      </c>
      <c r="I11" s="68">
        <f t="shared" si="1"/>
        <v>0</v>
      </c>
      <c r="J11" s="68">
        <f t="shared" si="2"/>
        <v>12150</v>
      </c>
      <c r="K11" s="68">
        <f t="shared" si="3"/>
        <v>7560</v>
      </c>
      <c r="L11" s="68">
        <f t="shared" si="4"/>
        <v>0</v>
      </c>
      <c r="M11" s="68">
        <f t="shared" si="5"/>
        <v>0</v>
      </c>
      <c r="N11" s="68">
        <f t="shared" si="0"/>
        <v>19710</v>
      </c>
    </row>
    <row r="12" spans="1:18">
      <c r="A12" s="69">
        <v>8</v>
      </c>
      <c r="B12" s="83">
        <v>46211</v>
      </c>
      <c r="C12" s="84"/>
      <c r="D12" s="145"/>
      <c r="E12" s="146"/>
      <c r="F12" s="145">
        <f t="shared" si="6"/>
        <v>247.5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5940</v>
      </c>
      <c r="L12" s="68">
        <f t="shared" si="4"/>
        <v>0</v>
      </c>
      <c r="M12" s="68">
        <f t="shared" si="5"/>
        <v>0</v>
      </c>
      <c r="N12" s="68">
        <f t="shared" si="0"/>
        <v>5940</v>
      </c>
    </row>
    <row r="13" spans="1:18">
      <c r="A13" s="69">
        <v>9</v>
      </c>
      <c r="B13" s="83">
        <v>46212</v>
      </c>
      <c r="C13" s="84"/>
      <c r="D13" s="145"/>
      <c r="E13" s="146"/>
      <c r="F13" s="145">
        <f t="shared" si="6"/>
        <v>247.5</v>
      </c>
      <c r="G13" s="145">
        <v>0</v>
      </c>
      <c r="H13" s="145">
        <v>0</v>
      </c>
      <c r="I13" s="68">
        <f t="shared" si="1"/>
        <v>0</v>
      </c>
      <c r="J13" s="68">
        <f t="shared" si="2"/>
        <v>0</v>
      </c>
      <c r="K13" s="68">
        <f t="shared" si="3"/>
        <v>5940</v>
      </c>
      <c r="L13" s="68">
        <f t="shared" si="4"/>
        <v>0</v>
      </c>
      <c r="M13" s="68">
        <f t="shared" si="5"/>
        <v>0</v>
      </c>
      <c r="N13" s="68">
        <f t="shared" si="0"/>
        <v>5940</v>
      </c>
    </row>
    <row r="14" spans="1:18">
      <c r="A14" s="69">
        <v>10</v>
      </c>
      <c r="B14" s="83">
        <v>46213</v>
      </c>
      <c r="C14" s="84"/>
      <c r="D14" s="145"/>
      <c r="E14" s="146"/>
      <c r="F14" s="145">
        <f t="shared" si="6"/>
        <v>247.5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5940</v>
      </c>
      <c r="L14" s="68">
        <f t="shared" si="4"/>
        <v>0</v>
      </c>
      <c r="M14" s="68">
        <f t="shared" si="5"/>
        <v>0</v>
      </c>
      <c r="N14" s="68">
        <f t="shared" si="0"/>
        <v>5940</v>
      </c>
    </row>
    <row r="15" spans="1:18">
      <c r="A15" s="69">
        <v>11</v>
      </c>
      <c r="B15" s="83">
        <v>46214</v>
      </c>
      <c r="C15" s="84"/>
      <c r="D15" s="145"/>
      <c r="E15" s="146"/>
      <c r="F15" s="145">
        <f t="shared" si="6"/>
        <v>247.5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5940</v>
      </c>
      <c r="L15" s="68">
        <f t="shared" si="4"/>
        <v>0</v>
      </c>
      <c r="M15" s="68">
        <f t="shared" si="5"/>
        <v>0</v>
      </c>
      <c r="N15" s="68">
        <f t="shared" si="0"/>
        <v>5940</v>
      </c>
    </row>
    <row r="16" spans="1:18">
      <c r="A16" s="69">
        <v>12</v>
      </c>
      <c r="B16" s="83">
        <v>46215</v>
      </c>
      <c r="C16" s="84"/>
      <c r="D16" s="145"/>
      <c r="E16" s="146"/>
      <c r="F16" s="145">
        <f t="shared" si="6"/>
        <v>247.5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5940</v>
      </c>
      <c r="L16" s="68">
        <f t="shared" si="4"/>
        <v>0</v>
      </c>
      <c r="M16" s="68">
        <f t="shared" si="5"/>
        <v>0</v>
      </c>
      <c r="N16" s="68">
        <f t="shared" si="0"/>
        <v>5940</v>
      </c>
    </row>
    <row r="17" spans="1:14">
      <c r="A17" s="69">
        <v>13</v>
      </c>
      <c r="B17" s="83">
        <v>46216</v>
      </c>
      <c r="C17" s="84"/>
      <c r="D17" s="145"/>
      <c r="E17" s="146"/>
      <c r="F17" s="145">
        <f t="shared" si="6"/>
        <v>247.5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5940</v>
      </c>
      <c r="L17" s="68">
        <f t="shared" si="4"/>
        <v>0</v>
      </c>
      <c r="M17" s="68">
        <f t="shared" si="5"/>
        <v>0</v>
      </c>
      <c r="N17" s="68">
        <f t="shared" si="0"/>
        <v>5940</v>
      </c>
    </row>
    <row r="18" spans="1:14">
      <c r="A18" s="69">
        <v>14</v>
      </c>
      <c r="B18" s="83">
        <v>46217</v>
      </c>
      <c r="C18" s="84"/>
      <c r="D18" s="145"/>
      <c r="E18" s="146"/>
      <c r="F18" s="145">
        <f t="shared" si="6"/>
        <v>247.5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5940</v>
      </c>
      <c r="L18" s="68">
        <f t="shared" si="4"/>
        <v>0</v>
      </c>
      <c r="M18" s="68">
        <f t="shared" si="5"/>
        <v>0</v>
      </c>
      <c r="N18" s="68">
        <f t="shared" si="0"/>
        <v>5940</v>
      </c>
    </row>
    <row r="19" spans="1:14">
      <c r="A19" s="69">
        <v>15</v>
      </c>
      <c r="B19" s="83">
        <v>46218</v>
      </c>
      <c r="C19" s="84"/>
      <c r="D19" s="145"/>
      <c r="E19" s="146"/>
      <c r="F19" s="145">
        <f t="shared" si="6"/>
        <v>247.5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5940</v>
      </c>
      <c r="L19" s="68">
        <f t="shared" si="4"/>
        <v>0</v>
      </c>
      <c r="M19" s="68">
        <f t="shared" si="5"/>
        <v>0</v>
      </c>
      <c r="N19" s="68">
        <f t="shared" si="0"/>
        <v>5940</v>
      </c>
    </row>
    <row r="20" spans="1:14">
      <c r="A20" s="69">
        <v>16</v>
      </c>
      <c r="B20" s="83">
        <v>46219</v>
      </c>
      <c r="C20" s="84"/>
      <c r="D20" s="145"/>
      <c r="E20" s="146"/>
      <c r="F20" s="145">
        <f t="shared" si="6"/>
        <v>247.5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5940</v>
      </c>
      <c r="L20" s="68">
        <f t="shared" si="4"/>
        <v>0</v>
      </c>
      <c r="M20" s="68">
        <f t="shared" si="5"/>
        <v>0</v>
      </c>
      <c r="N20" s="68">
        <f t="shared" si="0"/>
        <v>5940</v>
      </c>
    </row>
    <row r="21" spans="1:14">
      <c r="A21" s="69">
        <v>17</v>
      </c>
      <c r="B21" s="83">
        <v>46220</v>
      </c>
      <c r="C21" s="84"/>
      <c r="D21" s="145"/>
      <c r="E21" s="146"/>
      <c r="F21" s="145">
        <f t="shared" si="6"/>
        <v>247.5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5940</v>
      </c>
      <c r="L21" s="68">
        <f t="shared" si="4"/>
        <v>0</v>
      </c>
      <c r="M21" s="68">
        <f t="shared" si="5"/>
        <v>0</v>
      </c>
      <c r="N21" s="68">
        <f t="shared" si="0"/>
        <v>5940</v>
      </c>
    </row>
    <row r="22" spans="1:14">
      <c r="A22" s="69">
        <v>18</v>
      </c>
      <c r="B22" s="83">
        <v>46221</v>
      </c>
      <c r="C22" s="84"/>
      <c r="D22" s="145"/>
      <c r="E22" s="146"/>
      <c r="F22" s="145">
        <f t="shared" si="6"/>
        <v>247.5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5940</v>
      </c>
      <c r="L22" s="68">
        <f t="shared" si="4"/>
        <v>0</v>
      </c>
      <c r="M22" s="68">
        <f t="shared" si="5"/>
        <v>0</v>
      </c>
      <c r="N22" s="68">
        <f t="shared" si="0"/>
        <v>5940</v>
      </c>
    </row>
    <row r="23" spans="1:14">
      <c r="A23" s="69">
        <v>19</v>
      </c>
      <c r="B23" s="83">
        <v>46222</v>
      </c>
      <c r="C23" s="84"/>
      <c r="D23" s="145"/>
      <c r="E23" s="146"/>
      <c r="F23" s="145">
        <f t="shared" si="6"/>
        <v>247.5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5940</v>
      </c>
      <c r="L23" s="68">
        <f t="shared" si="4"/>
        <v>0</v>
      </c>
      <c r="M23" s="68">
        <f t="shared" si="5"/>
        <v>0</v>
      </c>
      <c r="N23" s="68">
        <f t="shared" si="0"/>
        <v>5940</v>
      </c>
    </row>
    <row r="24" spans="1:14">
      <c r="A24" s="69">
        <v>20</v>
      </c>
      <c r="B24" s="83">
        <v>46223</v>
      </c>
      <c r="C24" s="84"/>
      <c r="D24" s="145"/>
      <c r="E24" s="146"/>
      <c r="F24" s="145">
        <f t="shared" si="6"/>
        <v>247.5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5940</v>
      </c>
      <c r="L24" s="68">
        <f t="shared" si="4"/>
        <v>0</v>
      </c>
      <c r="M24" s="68">
        <f t="shared" si="5"/>
        <v>0</v>
      </c>
      <c r="N24" s="68">
        <f t="shared" si="0"/>
        <v>5940</v>
      </c>
    </row>
    <row r="25" spans="1:14">
      <c r="A25" s="69">
        <v>21</v>
      </c>
      <c r="B25" s="83">
        <v>46224</v>
      </c>
      <c r="C25" s="84"/>
      <c r="D25" s="145"/>
      <c r="E25" s="146"/>
      <c r="F25" s="145">
        <f t="shared" si="6"/>
        <v>247.5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5940</v>
      </c>
      <c r="L25" s="68">
        <f t="shared" si="4"/>
        <v>0</v>
      </c>
      <c r="M25" s="68">
        <f t="shared" si="5"/>
        <v>0</v>
      </c>
      <c r="N25" s="68">
        <f t="shared" si="0"/>
        <v>5940</v>
      </c>
    </row>
    <row r="26" spans="1:14">
      <c r="A26" s="69">
        <v>22</v>
      </c>
      <c r="B26" s="83">
        <v>46225</v>
      </c>
      <c r="C26" s="84"/>
      <c r="D26" s="145"/>
      <c r="E26" s="147"/>
      <c r="F26" s="145">
        <f t="shared" si="6"/>
        <v>247.5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5940</v>
      </c>
      <c r="L26" s="68">
        <f t="shared" si="4"/>
        <v>0</v>
      </c>
      <c r="M26" s="68">
        <f t="shared" si="5"/>
        <v>0</v>
      </c>
      <c r="N26" s="68">
        <f t="shared" si="0"/>
        <v>5940</v>
      </c>
    </row>
    <row r="27" spans="1:14">
      <c r="A27" s="69">
        <v>23</v>
      </c>
      <c r="B27" s="83">
        <v>46226</v>
      </c>
      <c r="C27" s="84"/>
      <c r="D27" s="145"/>
      <c r="E27" s="147"/>
      <c r="F27" s="145">
        <f t="shared" si="6"/>
        <v>247.5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5940</v>
      </c>
      <c r="L27" s="68">
        <f t="shared" si="4"/>
        <v>0</v>
      </c>
      <c r="M27" s="68">
        <f t="shared" si="5"/>
        <v>0</v>
      </c>
      <c r="N27" s="68">
        <f t="shared" si="0"/>
        <v>5940</v>
      </c>
    </row>
    <row r="28" spans="1:14">
      <c r="A28" s="69">
        <v>24</v>
      </c>
      <c r="B28" s="83">
        <v>46227</v>
      </c>
      <c r="C28" s="84"/>
      <c r="D28" s="145"/>
      <c r="E28" s="147"/>
      <c r="F28" s="145">
        <f t="shared" si="6"/>
        <v>247.5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5940</v>
      </c>
      <c r="L28" s="68">
        <f t="shared" si="4"/>
        <v>0</v>
      </c>
      <c r="M28" s="68">
        <f t="shared" si="5"/>
        <v>0</v>
      </c>
      <c r="N28" s="68">
        <f t="shared" si="0"/>
        <v>5940</v>
      </c>
    </row>
    <row r="29" spans="1:14">
      <c r="A29" s="69">
        <v>25</v>
      </c>
      <c r="B29" s="83">
        <v>46228</v>
      </c>
      <c r="C29" s="84"/>
      <c r="D29" s="145"/>
      <c r="E29" s="147"/>
      <c r="F29" s="145">
        <f t="shared" si="6"/>
        <v>247.5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5940</v>
      </c>
      <c r="L29" s="68">
        <f t="shared" si="4"/>
        <v>0</v>
      </c>
      <c r="M29" s="68">
        <f t="shared" si="5"/>
        <v>0</v>
      </c>
      <c r="N29" s="68">
        <f t="shared" si="0"/>
        <v>5940</v>
      </c>
    </row>
    <row r="30" spans="1:14">
      <c r="A30" s="69">
        <v>26</v>
      </c>
      <c r="B30" s="83">
        <v>46229</v>
      </c>
      <c r="C30" s="84"/>
      <c r="D30" s="145"/>
      <c r="E30" s="147"/>
      <c r="F30" s="145">
        <f t="shared" si="6"/>
        <v>247.5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5940</v>
      </c>
      <c r="L30" s="68">
        <f t="shared" si="4"/>
        <v>0</v>
      </c>
      <c r="M30" s="68">
        <f t="shared" si="5"/>
        <v>0</v>
      </c>
      <c r="N30" s="68">
        <f t="shared" si="0"/>
        <v>5940</v>
      </c>
    </row>
    <row r="31" spans="1:14">
      <c r="A31" s="69">
        <v>27</v>
      </c>
      <c r="B31" s="83">
        <v>46230</v>
      </c>
      <c r="C31" s="84"/>
      <c r="D31" s="145"/>
      <c r="E31" s="147"/>
      <c r="F31" s="145">
        <f t="shared" si="6"/>
        <v>247.5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5940</v>
      </c>
      <c r="L31" s="68">
        <f t="shared" si="4"/>
        <v>0</v>
      </c>
      <c r="M31" s="68">
        <f t="shared" si="5"/>
        <v>0</v>
      </c>
      <c r="N31" s="68">
        <f t="shared" si="0"/>
        <v>5940</v>
      </c>
    </row>
    <row r="32" spans="1:14">
      <c r="A32" s="69">
        <v>28</v>
      </c>
      <c r="B32" s="83">
        <v>46231</v>
      </c>
      <c r="C32" s="84"/>
      <c r="D32" s="145"/>
      <c r="E32" s="146"/>
      <c r="F32" s="145">
        <f t="shared" si="6"/>
        <v>247.5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5940</v>
      </c>
      <c r="L32" s="68">
        <f t="shared" si="4"/>
        <v>0</v>
      </c>
      <c r="M32" s="68">
        <f t="shared" si="5"/>
        <v>0</v>
      </c>
      <c r="N32" s="68">
        <f t="shared" si="0"/>
        <v>5940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6"/>
        <v>247.5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5940</v>
      </c>
      <c r="L33" s="68">
        <f t="shared" si="4"/>
        <v>0</v>
      </c>
      <c r="M33" s="68">
        <f t="shared" si="5"/>
        <v>0</v>
      </c>
      <c r="N33" s="68">
        <f t="shared" si="0"/>
        <v>5940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6"/>
        <v>247.5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5940</v>
      </c>
      <c r="L34" s="68">
        <f t="shared" si="4"/>
        <v>0</v>
      </c>
      <c r="M34" s="68">
        <f t="shared" si="5"/>
        <v>0</v>
      </c>
      <c r="N34" s="68">
        <f t="shared" si="0"/>
        <v>5940</v>
      </c>
    </row>
    <row r="35" spans="1:14">
      <c r="A35" s="69"/>
      <c r="B35" s="83">
        <v>46234</v>
      </c>
      <c r="C35" s="84"/>
      <c r="D35" s="145"/>
      <c r="E35" s="145"/>
      <c r="F35" s="145">
        <f t="shared" si="6"/>
        <v>247.5</v>
      </c>
      <c r="G35" s="145"/>
      <c r="H35" s="145"/>
      <c r="I35" s="68">
        <f t="shared" si="1"/>
        <v>0</v>
      </c>
      <c r="J35" s="68">
        <f t="shared" si="2"/>
        <v>0</v>
      </c>
      <c r="K35" s="68">
        <f t="shared" si="3"/>
        <v>5940</v>
      </c>
      <c r="L35" s="68">
        <f t="shared" si="4"/>
        <v>0</v>
      </c>
      <c r="M35" s="68">
        <f t="shared" si="5"/>
        <v>0</v>
      </c>
      <c r="N35" s="68">
        <f t="shared" si="0"/>
        <v>5940</v>
      </c>
    </row>
    <row r="36" spans="1:14">
      <c r="D36" s="76">
        <f t="shared" ref="D36:N36" si="7">SUM(D5:D35)</f>
        <v>0</v>
      </c>
      <c r="E36" s="76">
        <f t="shared" si="7"/>
        <v>90</v>
      </c>
      <c r="F36" s="76">
        <f t="shared" si="7"/>
        <v>8280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16200</v>
      </c>
      <c r="K36" s="78">
        <f t="shared" si="7"/>
        <v>198720</v>
      </c>
      <c r="L36" s="78">
        <f t="shared" si="7"/>
        <v>0</v>
      </c>
      <c r="M36" s="78">
        <f t="shared" si="7"/>
        <v>0</v>
      </c>
      <c r="N36" s="78">
        <f t="shared" si="7"/>
        <v>214920</v>
      </c>
    </row>
    <row r="37" spans="1:14">
      <c r="L37" s="79"/>
      <c r="M37" s="79"/>
      <c r="N37" s="80">
        <f>N36*1.22</f>
        <v>262202.40000000002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CB5F-4716-4327-BC09-16B1CB9129AB}">
  <dimension ref="A1:R37"/>
  <sheetViews>
    <sheetView topLeftCell="A13" workbookViewId="0">
      <selection activeCell="N38" sqref="N38"/>
    </sheetView>
  </sheetViews>
  <sheetFormatPr defaultRowHeight="15"/>
  <cols>
    <col min="1" max="1" width="13.140625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0.140625" style="51" customWidth="1"/>
    <col min="18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120</v>
      </c>
    </row>
    <row r="5" spans="1:18">
      <c r="A5" s="69">
        <v>1</v>
      </c>
      <c r="B5" s="83">
        <v>46204</v>
      </c>
      <c r="C5" s="84"/>
      <c r="D5" s="145"/>
      <c r="E5" s="149"/>
      <c r="F5" s="145">
        <v>0</v>
      </c>
      <c r="G5" s="145">
        <v>0</v>
      </c>
      <c r="H5" s="145">
        <v>0</v>
      </c>
      <c r="I5" s="68">
        <f>SUM(D5*R4)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120</v>
      </c>
    </row>
    <row r="6" spans="1:18">
      <c r="A6" s="69">
        <v>2</v>
      </c>
      <c r="B6" s="83">
        <v>46205</v>
      </c>
      <c r="C6" s="84"/>
      <c r="D6" s="145"/>
      <c r="E6" s="149"/>
      <c r="F6" s="145">
        <f>F5-E5+D6</f>
        <v>0</v>
      </c>
      <c r="G6" s="145">
        <v>0</v>
      </c>
      <c r="H6" s="145">
        <v>0</v>
      </c>
      <c r="I6" s="68">
        <f t="shared" ref="I6:I35" si="1">SUM(D6*R5)</f>
        <v>0</v>
      </c>
      <c r="J6" s="68">
        <f t="shared" ref="J6:J35" si="2">SUM(E6*$R$5)</f>
        <v>0</v>
      </c>
      <c r="K6" s="68">
        <f t="shared" ref="K6:K35" si="3">SUM(F6*$R$6)</f>
        <v>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0</v>
      </c>
      <c r="Q6" s="143" t="s">
        <v>4</v>
      </c>
      <c r="R6" s="144">
        <v>18</v>
      </c>
    </row>
    <row r="7" spans="1:18">
      <c r="A7" s="69">
        <v>3</v>
      </c>
      <c r="B7" s="83">
        <v>46206</v>
      </c>
      <c r="C7" s="84"/>
      <c r="D7" s="145"/>
      <c r="E7" s="149"/>
      <c r="F7" s="145">
        <f t="shared" ref="F7:F35" si="6">F6-E6+D7</f>
        <v>0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0</v>
      </c>
      <c r="L7" s="68">
        <f t="shared" si="4"/>
        <v>0</v>
      </c>
      <c r="M7" s="68">
        <f t="shared" si="5"/>
        <v>0</v>
      </c>
      <c r="N7" s="68">
        <f t="shared" si="0"/>
        <v>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/>
      <c r="E8" s="149"/>
      <c r="F8" s="145">
        <f t="shared" si="6"/>
        <v>0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0</v>
      </c>
      <c r="L8" s="68">
        <f t="shared" si="4"/>
        <v>0</v>
      </c>
      <c r="M8" s="68">
        <f t="shared" si="5"/>
        <v>0</v>
      </c>
      <c r="N8" s="68">
        <f t="shared" si="0"/>
        <v>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/>
      <c r="E9" s="149"/>
      <c r="F9" s="145">
        <f t="shared" si="6"/>
        <v>0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0</v>
      </c>
      <c r="L9" s="68">
        <f t="shared" si="4"/>
        <v>0</v>
      </c>
      <c r="M9" s="68">
        <f t="shared" si="5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49"/>
      <c r="F10" s="145">
        <f t="shared" si="6"/>
        <v>0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0</v>
      </c>
      <c r="L10" s="68">
        <f t="shared" si="4"/>
        <v>0</v>
      </c>
      <c r="M10" s="68">
        <f t="shared" si="5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49"/>
      <c r="F11" s="145">
        <f t="shared" si="6"/>
        <v>0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0</v>
      </c>
      <c r="L11" s="68">
        <f t="shared" si="4"/>
        <v>0</v>
      </c>
      <c r="M11" s="68">
        <f t="shared" si="5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49"/>
      <c r="F12" s="145">
        <f t="shared" si="6"/>
        <v>0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0</v>
      </c>
      <c r="L12" s="68">
        <f t="shared" si="4"/>
        <v>0</v>
      </c>
      <c r="M12" s="68">
        <f t="shared" si="5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49"/>
      <c r="F13" s="145">
        <f t="shared" si="6"/>
        <v>0</v>
      </c>
      <c r="G13" s="145">
        <v>0</v>
      </c>
      <c r="H13" s="145">
        <v>0</v>
      </c>
      <c r="I13" s="68">
        <f t="shared" si="1"/>
        <v>0</v>
      </c>
      <c r="J13" s="68">
        <f t="shared" si="2"/>
        <v>0</v>
      </c>
      <c r="K13" s="68">
        <f t="shared" si="3"/>
        <v>0</v>
      </c>
      <c r="L13" s="68">
        <f t="shared" si="4"/>
        <v>0</v>
      </c>
      <c r="M13" s="68">
        <f t="shared" si="5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50"/>
      <c r="F14" s="145">
        <f t="shared" si="6"/>
        <v>0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0</v>
      </c>
      <c r="L14" s="68">
        <f t="shared" si="4"/>
        <v>0</v>
      </c>
      <c r="M14" s="68">
        <f t="shared" si="5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50"/>
      <c r="F15" s="145">
        <f t="shared" si="6"/>
        <v>0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0</v>
      </c>
      <c r="L15" s="68">
        <f t="shared" si="4"/>
        <v>0</v>
      </c>
      <c r="M15" s="68">
        <f t="shared" si="5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50"/>
      <c r="F16" s="145">
        <f t="shared" si="6"/>
        <v>0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0</v>
      </c>
      <c r="L16" s="68">
        <f t="shared" si="4"/>
        <v>0</v>
      </c>
      <c r="M16" s="68">
        <f t="shared" si="5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50"/>
      <c r="F17" s="145">
        <f t="shared" si="6"/>
        <v>0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0</v>
      </c>
      <c r="L17" s="68">
        <f t="shared" si="4"/>
        <v>0</v>
      </c>
      <c r="M17" s="68">
        <f t="shared" si="5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51"/>
      <c r="F18" s="145">
        <f t="shared" si="6"/>
        <v>0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0</v>
      </c>
      <c r="L18" s="68">
        <f t="shared" si="4"/>
        <v>0</v>
      </c>
      <c r="M18" s="68">
        <f t="shared" si="5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51"/>
      <c r="F19" s="145">
        <f t="shared" si="6"/>
        <v>0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0</v>
      </c>
      <c r="L19" s="68">
        <f t="shared" si="4"/>
        <v>0</v>
      </c>
      <c r="M19" s="68">
        <f t="shared" si="5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51"/>
      <c r="F20" s="145">
        <f t="shared" si="6"/>
        <v>0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0</v>
      </c>
      <c r="L20" s="68">
        <f t="shared" si="4"/>
        <v>0</v>
      </c>
      <c r="M20" s="68">
        <f t="shared" si="5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50"/>
      <c r="F21" s="145">
        <f t="shared" si="6"/>
        <v>0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0</v>
      </c>
      <c r="L21" s="68">
        <f t="shared" si="4"/>
        <v>0</v>
      </c>
      <c r="M21" s="68">
        <f t="shared" si="5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50"/>
      <c r="F22" s="145">
        <f t="shared" si="6"/>
        <v>0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0</v>
      </c>
      <c r="L22" s="68">
        <f t="shared" si="4"/>
        <v>0</v>
      </c>
      <c r="M22" s="68">
        <f t="shared" si="5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51"/>
      <c r="F23" s="145">
        <f t="shared" si="6"/>
        <v>0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0</v>
      </c>
      <c r="L23" s="68">
        <f t="shared" si="4"/>
        <v>0</v>
      </c>
      <c r="M23" s="68">
        <f t="shared" si="5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50"/>
      <c r="F24" s="145">
        <f t="shared" si="6"/>
        <v>0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0</v>
      </c>
      <c r="L24" s="68">
        <f t="shared" si="4"/>
        <v>0</v>
      </c>
      <c r="M24" s="68">
        <f t="shared" si="5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50"/>
      <c r="F25" s="145">
        <f t="shared" si="6"/>
        <v>0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0</v>
      </c>
      <c r="L25" s="68">
        <f t="shared" si="4"/>
        <v>0</v>
      </c>
      <c r="M25" s="68">
        <f t="shared" si="5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50"/>
      <c r="F26" s="145">
        <f t="shared" si="6"/>
        <v>0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0</v>
      </c>
      <c r="L26" s="68">
        <f t="shared" si="4"/>
        <v>0</v>
      </c>
      <c r="M26" s="68">
        <f t="shared" si="5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49"/>
      <c r="F27" s="145">
        <f t="shared" si="6"/>
        <v>0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0</v>
      </c>
      <c r="L27" s="68">
        <f t="shared" si="4"/>
        <v>0</v>
      </c>
      <c r="M27" s="68">
        <f t="shared" si="5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49"/>
      <c r="F28" s="145">
        <f t="shared" si="6"/>
        <v>0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0</v>
      </c>
      <c r="L28" s="68">
        <f t="shared" si="4"/>
        <v>0</v>
      </c>
      <c r="M28" s="68">
        <f t="shared" si="5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49"/>
      <c r="F29" s="145">
        <f t="shared" si="6"/>
        <v>0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0</v>
      </c>
      <c r="L29" s="68">
        <f t="shared" si="4"/>
        <v>0</v>
      </c>
      <c r="M29" s="68">
        <f t="shared" si="5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49"/>
      <c r="F30" s="145">
        <f t="shared" si="6"/>
        <v>0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0</v>
      </c>
      <c r="L30" s="68">
        <f t="shared" si="4"/>
        <v>0</v>
      </c>
      <c r="M30" s="68">
        <f t="shared" si="5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49"/>
      <c r="F31" s="145">
        <f t="shared" si="6"/>
        <v>0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0</v>
      </c>
      <c r="L31" s="68">
        <f t="shared" si="4"/>
        <v>0</v>
      </c>
      <c r="M31" s="68">
        <f t="shared" si="5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49"/>
      <c r="F32" s="145">
        <f t="shared" si="6"/>
        <v>0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0</v>
      </c>
      <c r="L32" s="68">
        <f t="shared" si="4"/>
        <v>0</v>
      </c>
      <c r="M32" s="68">
        <f t="shared" si="5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6"/>
        <v>0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0</v>
      </c>
      <c r="L33" s="68">
        <f t="shared" si="4"/>
        <v>0</v>
      </c>
      <c r="M33" s="68">
        <f t="shared" si="5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6"/>
        <v>0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0</v>
      </c>
      <c r="L34" s="68">
        <f t="shared" si="4"/>
        <v>0</v>
      </c>
      <c r="M34" s="68">
        <f t="shared" si="5"/>
        <v>0</v>
      </c>
      <c r="N34" s="68">
        <f t="shared" si="0"/>
        <v>0</v>
      </c>
    </row>
    <row r="35" spans="1:14">
      <c r="A35" s="69"/>
      <c r="B35" s="83"/>
      <c r="C35" s="84"/>
      <c r="D35" s="145"/>
      <c r="E35" s="145"/>
      <c r="F35" s="145">
        <f t="shared" si="6"/>
        <v>0</v>
      </c>
      <c r="G35" s="145">
        <v>0</v>
      </c>
      <c r="H35" s="145">
        <v>0</v>
      </c>
      <c r="I35" s="68">
        <f t="shared" si="1"/>
        <v>0</v>
      </c>
      <c r="J35" s="68">
        <f t="shared" si="2"/>
        <v>0</v>
      </c>
      <c r="K35" s="68">
        <f t="shared" si="3"/>
        <v>0</v>
      </c>
      <c r="L35" s="68">
        <f t="shared" si="4"/>
        <v>0</v>
      </c>
      <c r="M35" s="68">
        <f t="shared" si="5"/>
        <v>0</v>
      </c>
      <c r="N35" s="68">
        <f t="shared" si="0"/>
        <v>0</v>
      </c>
    </row>
    <row r="36" spans="1:14">
      <c r="D36" s="76">
        <f t="shared" ref="D36:N36" si="7">SUM(D5:D35)</f>
        <v>0</v>
      </c>
      <c r="E36" s="76">
        <f t="shared" si="7"/>
        <v>0</v>
      </c>
      <c r="F36" s="76">
        <f t="shared" si="7"/>
        <v>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0</v>
      </c>
      <c r="L36" s="78">
        <f t="shared" si="7"/>
        <v>0</v>
      </c>
      <c r="M36" s="78">
        <f t="shared" si="7"/>
        <v>0</v>
      </c>
      <c r="N36" s="78">
        <f t="shared" si="7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0A7A-7107-4732-91C2-98CD75E8206A}">
  <dimension ref="A1:S37"/>
  <sheetViews>
    <sheetView topLeftCell="A16" workbookViewId="0">
      <selection activeCell="N38" sqref="N38"/>
    </sheetView>
  </sheetViews>
  <sheetFormatPr defaultRowHeight="15"/>
  <cols>
    <col min="1" max="1" width="13.140625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0" style="51" customWidth="1"/>
    <col min="18" max="16384" width="9.140625" style="51"/>
  </cols>
  <sheetData>
    <row r="1" spans="1:19">
      <c r="A1" s="50">
        <f>N37</f>
        <v>0</v>
      </c>
      <c r="G1" s="52"/>
    </row>
    <row r="2" spans="1:19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</row>
    <row r="3" spans="1:19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9" ht="15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  <c r="S4" s="152"/>
    </row>
    <row r="5" spans="1:19" ht="15" customHeight="1">
      <c r="A5" s="69">
        <v>1</v>
      </c>
      <c r="B5" s="83">
        <v>46204</v>
      </c>
      <c r="C5" s="84"/>
      <c r="D5" s="145"/>
      <c r="E5" s="153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140</v>
      </c>
    </row>
    <row r="6" spans="1:19" ht="15" customHeight="1">
      <c r="A6" s="69">
        <v>2</v>
      </c>
      <c r="B6" s="83">
        <v>46205</v>
      </c>
      <c r="C6" s="84"/>
      <c r="D6" s="145"/>
      <c r="E6" s="153"/>
      <c r="F6" s="145">
        <f>F5-E5+D6</f>
        <v>0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SUM(F6*$R$6)</f>
        <v>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0</v>
      </c>
      <c r="Q6" s="143" t="s">
        <v>4</v>
      </c>
      <c r="R6" s="144">
        <v>20</v>
      </c>
    </row>
    <row r="7" spans="1:19" ht="15" customHeight="1">
      <c r="A7" s="69">
        <v>3</v>
      </c>
      <c r="B7" s="83">
        <v>46206</v>
      </c>
      <c r="C7" s="84"/>
      <c r="D7" s="145"/>
      <c r="E7" s="153"/>
      <c r="F7" s="145">
        <f t="shared" ref="F7:F34" si="6">F6-E6+D7</f>
        <v>0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0</v>
      </c>
      <c r="L7" s="68">
        <f t="shared" si="4"/>
        <v>0</v>
      </c>
      <c r="M7" s="68">
        <f t="shared" si="5"/>
        <v>0</v>
      </c>
      <c r="N7" s="68">
        <f t="shared" si="0"/>
        <v>0</v>
      </c>
      <c r="Q7" s="143" t="s">
        <v>101</v>
      </c>
      <c r="R7" s="144">
        <v>950</v>
      </c>
    </row>
    <row r="8" spans="1:19" ht="15" customHeight="1">
      <c r="A8" s="69">
        <v>4</v>
      </c>
      <c r="B8" s="83">
        <v>46207</v>
      </c>
      <c r="C8" s="84"/>
      <c r="D8" s="145"/>
      <c r="E8" s="153"/>
      <c r="F8" s="145">
        <f t="shared" si="6"/>
        <v>0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0</v>
      </c>
      <c r="L8" s="68">
        <f t="shared" si="4"/>
        <v>0</v>
      </c>
      <c r="M8" s="68">
        <f t="shared" si="5"/>
        <v>0</v>
      </c>
      <c r="N8" s="68">
        <f t="shared" si="0"/>
        <v>0</v>
      </c>
      <c r="Q8" s="143" t="s">
        <v>8</v>
      </c>
      <c r="R8" s="144">
        <v>120</v>
      </c>
    </row>
    <row r="9" spans="1:19">
      <c r="A9" s="69">
        <v>5</v>
      </c>
      <c r="B9" s="83">
        <v>46208</v>
      </c>
      <c r="C9" s="84"/>
      <c r="D9" s="145"/>
      <c r="E9" s="153"/>
      <c r="F9" s="145">
        <f t="shared" si="6"/>
        <v>0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0</v>
      </c>
      <c r="L9" s="68">
        <f t="shared" si="4"/>
        <v>0</v>
      </c>
      <c r="M9" s="68">
        <f t="shared" si="5"/>
        <v>0</v>
      </c>
      <c r="N9" s="68">
        <f t="shared" si="0"/>
        <v>0</v>
      </c>
    </row>
    <row r="10" spans="1:19">
      <c r="A10" s="69">
        <v>6</v>
      </c>
      <c r="B10" s="83">
        <v>46209</v>
      </c>
      <c r="C10" s="84"/>
      <c r="D10" s="145"/>
      <c r="E10" s="153"/>
      <c r="F10" s="145">
        <f t="shared" si="6"/>
        <v>0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0</v>
      </c>
      <c r="L10" s="68">
        <f t="shared" si="4"/>
        <v>0</v>
      </c>
      <c r="M10" s="68">
        <f t="shared" si="5"/>
        <v>0</v>
      </c>
      <c r="N10" s="68">
        <f t="shared" si="0"/>
        <v>0</v>
      </c>
    </row>
    <row r="11" spans="1:19">
      <c r="A11" s="69">
        <v>7</v>
      </c>
      <c r="B11" s="83">
        <v>46210</v>
      </c>
      <c r="C11" s="84"/>
      <c r="D11" s="145"/>
      <c r="E11" s="153"/>
      <c r="F11" s="145">
        <f t="shared" si="6"/>
        <v>0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0</v>
      </c>
      <c r="L11" s="68">
        <f t="shared" si="4"/>
        <v>0</v>
      </c>
      <c r="M11" s="68">
        <f t="shared" si="5"/>
        <v>0</v>
      </c>
      <c r="N11" s="68">
        <f t="shared" si="0"/>
        <v>0</v>
      </c>
    </row>
    <row r="12" spans="1:19">
      <c r="A12" s="69">
        <v>8</v>
      </c>
      <c r="B12" s="83">
        <v>46211</v>
      </c>
      <c r="C12" s="84"/>
      <c r="D12" s="145"/>
      <c r="E12" s="153"/>
      <c r="F12" s="145">
        <f t="shared" si="6"/>
        <v>0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0</v>
      </c>
      <c r="L12" s="68">
        <f t="shared" si="4"/>
        <v>0</v>
      </c>
      <c r="M12" s="68">
        <f t="shared" si="5"/>
        <v>0</v>
      </c>
      <c r="N12" s="68">
        <f t="shared" si="0"/>
        <v>0</v>
      </c>
    </row>
    <row r="13" spans="1:19">
      <c r="A13" s="69">
        <v>9</v>
      </c>
      <c r="B13" s="83">
        <v>46212</v>
      </c>
      <c r="C13" s="84"/>
      <c r="D13" s="145"/>
      <c r="E13" s="153"/>
      <c r="F13" s="145">
        <f t="shared" si="6"/>
        <v>0</v>
      </c>
      <c r="G13" s="145">
        <v>0</v>
      </c>
      <c r="H13" s="145">
        <v>0</v>
      </c>
      <c r="I13" s="68">
        <f t="shared" si="1"/>
        <v>0</v>
      </c>
      <c r="J13" s="68">
        <f t="shared" si="2"/>
        <v>0</v>
      </c>
      <c r="K13" s="68">
        <f t="shared" si="3"/>
        <v>0</v>
      </c>
      <c r="L13" s="68">
        <f t="shared" si="4"/>
        <v>0</v>
      </c>
      <c r="M13" s="68">
        <f t="shared" si="5"/>
        <v>0</v>
      </c>
      <c r="N13" s="68">
        <f t="shared" si="0"/>
        <v>0</v>
      </c>
    </row>
    <row r="14" spans="1:19">
      <c r="A14" s="69">
        <v>10</v>
      </c>
      <c r="B14" s="83">
        <v>46213</v>
      </c>
      <c r="C14" s="84"/>
      <c r="D14" s="145"/>
      <c r="E14" s="153"/>
      <c r="F14" s="145">
        <f t="shared" si="6"/>
        <v>0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0</v>
      </c>
      <c r="L14" s="68">
        <f t="shared" si="4"/>
        <v>0</v>
      </c>
      <c r="M14" s="68">
        <f t="shared" si="5"/>
        <v>0</v>
      </c>
      <c r="N14" s="68">
        <f t="shared" si="0"/>
        <v>0</v>
      </c>
    </row>
    <row r="15" spans="1:19">
      <c r="A15" s="69">
        <v>11</v>
      </c>
      <c r="B15" s="83">
        <v>46214</v>
      </c>
      <c r="C15" s="84"/>
      <c r="D15" s="145"/>
      <c r="E15" s="154"/>
      <c r="F15" s="145">
        <f t="shared" si="6"/>
        <v>0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0</v>
      </c>
      <c r="L15" s="68">
        <f t="shared" si="4"/>
        <v>0</v>
      </c>
      <c r="M15" s="68">
        <f t="shared" si="5"/>
        <v>0</v>
      </c>
      <c r="N15" s="68">
        <f t="shared" si="0"/>
        <v>0</v>
      </c>
    </row>
    <row r="16" spans="1:19">
      <c r="A16" s="69">
        <v>12</v>
      </c>
      <c r="B16" s="83">
        <v>46215</v>
      </c>
      <c r="C16" s="84"/>
      <c r="D16" s="145"/>
      <c r="E16" s="155"/>
      <c r="F16" s="145">
        <f t="shared" si="6"/>
        <v>0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0</v>
      </c>
      <c r="L16" s="68">
        <f t="shared" si="4"/>
        <v>0</v>
      </c>
      <c r="M16" s="68">
        <f t="shared" si="5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55"/>
      <c r="F17" s="145">
        <f t="shared" si="6"/>
        <v>0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0</v>
      </c>
      <c r="L17" s="68">
        <f t="shared" si="4"/>
        <v>0</v>
      </c>
      <c r="M17" s="68">
        <f t="shared" si="5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54"/>
      <c r="F18" s="145">
        <f t="shared" si="6"/>
        <v>0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0</v>
      </c>
      <c r="L18" s="68">
        <f t="shared" si="4"/>
        <v>0</v>
      </c>
      <c r="M18" s="68">
        <f t="shared" si="5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54"/>
      <c r="F19" s="145">
        <f t="shared" si="6"/>
        <v>0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0</v>
      </c>
      <c r="L19" s="68">
        <f t="shared" si="4"/>
        <v>0</v>
      </c>
      <c r="M19" s="68">
        <f t="shared" si="5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54"/>
      <c r="F20" s="145">
        <f t="shared" si="6"/>
        <v>0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0</v>
      </c>
      <c r="L20" s="68">
        <f t="shared" si="4"/>
        <v>0</v>
      </c>
      <c r="M20" s="68">
        <f t="shared" si="5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54"/>
      <c r="F21" s="145">
        <f t="shared" si="6"/>
        <v>0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0</v>
      </c>
      <c r="L21" s="68">
        <f t="shared" si="4"/>
        <v>0</v>
      </c>
      <c r="M21" s="68">
        <f t="shared" si="5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54"/>
      <c r="F22" s="145">
        <f t="shared" si="6"/>
        <v>0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0</v>
      </c>
      <c r="L22" s="68">
        <f t="shared" si="4"/>
        <v>0</v>
      </c>
      <c r="M22" s="68">
        <f t="shared" si="5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55"/>
      <c r="F23" s="145">
        <f t="shared" si="6"/>
        <v>0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0</v>
      </c>
      <c r="L23" s="68">
        <f t="shared" si="4"/>
        <v>0</v>
      </c>
      <c r="M23" s="68">
        <f t="shared" si="5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54"/>
      <c r="F24" s="145">
        <f t="shared" si="6"/>
        <v>0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0</v>
      </c>
      <c r="L24" s="68">
        <f t="shared" si="4"/>
        <v>0</v>
      </c>
      <c r="M24" s="68">
        <f t="shared" si="5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55"/>
      <c r="F25" s="145">
        <f t="shared" si="6"/>
        <v>0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0</v>
      </c>
      <c r="L25" s="68">
        <f t="shared" si="4"/>
        <v>0</v>
      </c>
      <c r="M25" s="68">
        <f t="shared" si="5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55"/>
      <c r="F26" s="145">
        <f t="shared" si="6"/>
        <v>0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0</v>
      </c>
      <c r="L26" s="68">
        <f t="shared" si="4"/>
        <v>0</v>
      </c>
      <c r="M26" s="68">
        <f t="shared" si="5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55"/>
      <c r="F27" s="145">
        <f t="shared" si="6"/>
        <v>0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0</v>
      </c>
      <c r="L27" s="68">
        <f t="shared" si="4"/>
        <v>0</v>
      </c>
      <c r="M27" s="68">
        <f t="shared" si="5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55"/>
      <c r="F28" s="145">
        <f t="shared" si="6"/>
        <v>0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0</v>
      </c>
      <c r="L28" s="68">
        <f t="shared" si="4"/>
        <v>0</v>
      </c>
      <c r="M28" s="68">
        <f t="shared" si="5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55"/>
      <c r="F29" s="145">
        <f t="shared" si="6"/>
        <v>0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0</v>
      </c>
      <c r="L29" s="68">
        <f t="shared" si="4"/>
        <v>0</v>
      </c>
      <c r="M29" s="68">
        <f t="shared" si="5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55"/>
      <c r="F30" s="145">
        <f t="shared" si="6"/>
        <v>0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0</v>
      </c>
      <c r="L30" s="68">
        <f t="shared" si="4"/>
        <v>0</v>
      </c>
      <c r="M30" s="68">
        <f t="shared" si="5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55"/>
      <c r="F31" s="145">
        <f t="shared" si="6"/>
        <v>0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0</v>
      </c>
      <c r="L31" s="68">
        <f t="shared" si="4"/>
        <v>0</v>
      </c>
      <c r="M31" s="68">
        <f t="shared" si="5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55"/>
      <c r="F32" s="145">
        <f t="shared" si="6"/>
        <v>0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0</v>
      </c>
      <c r="L32" s="68">
        <f t="shared" si="4"/>
        <v>0</v>
      </c>
      <c r="M32" s="68">
        <f t="shared" si="5"/>
        <v>0</v>
      </c>
      <c r="N32" s="68">
        <f t="shared" si="0"/>
        <v>0</v>
      </c>
    </row>
    <row r="33" spans="1:17">
      <c r="A33" s="69">
        <v>29</v>
      </c>
      <c r="B33" s="83">
        <v>46232</v>
      </c>
      <c r="C33" s="84"/>
      <c r="D33" s="145"/>
      <c r="E33" s="145"/>
      <c r="F33" s="145">
        <f t="shared" si="6"/>
        <v>0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0</v>
      </c>
      <c r="L33" s="68">
        <f t="shared" si="4"/>
        <v>0</v>
      </c>
      <c r="M33" s="68">
        <f t="shared" si="5"/>
        <v>0</v>
      </c>
      <c r="N33" s="68">
        <f t="shared" si="0"/>
        <v>0</v>
      </c>
    </row>
    <row r="34" spans="1:17">
      <c r="A34" s="69">
        <v>30</v>
      </c>
      <c r="B34" s="83">
        <v>46233</v>
      </c>
      <c r="C34" s="84"/>
      <c r="D34" s="145"/>
      <c r="E34" s="145"/>
      <c r="F34" s="145">
        <f t="shared" si="6"/>
        <v>0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0</v>
      </c>
      <c r="L34" s="68">
        <f t="shared" si="4"/>
        <v>0</v>
      </c>
      <c r="M34" s="68">
        <f t="shared" si="5"/>
        <v>0</v>
      </c>
      <c r="N34" s="68">
        <f t="shared" si="0"/>
        <v>0</v>
      </c>
    </row>
    <row r="35" spans="1:17">
      <c r="A35" s="69"/>
      <c r="B35" s="83"/>
      <c r="C35" s="84"/>
      <c r="D35" s="145"/>
      <c r="E35" s="145"/>
      <c r="F35" s="145"/>
      <c r="G35" s="145">
        <v>0</v>
      </c>
      <c r="H35" s="145">
        <v>0</v>
      </c>
      <c r="I35" s="68">
        <f t="shared" si="1"/>
        <v>0</v>
      </c>
      <c r="J35" s="68">
        <f t="shared" si="2"/>
        <v>0</v>
      </c>
      <c r="K35" s="68">
        <f t="shared" si="3"/>
        <v>0</v>
      </c>
      <c r="L35" s="68">
        <f t="shared" si="4"/>
        <v>0</v>
      </c>
      <c r="M35" s="68">
        <f t="shared" si="5"/>
        <v>0</v>
      </c>
      <c r="N35" s="68">
        <f t="shared" si="0"/>
        <v>0</v>
      </c>
      <c r="Q35" s="156"/>
    </row>
    <row r="36" spans="1:17">
      <c r="D36" s="76">
        <f t="shared" ref="D36:N36" si="7">SUM(D5:D35)</f>
        <v>0</v>
      </c>
      <c r="E36" s="76">
        <f t="shared" si="7"/>
        <v>0</v>
      </c>
      <c r="F36" s="76">
        <f t="shared" si="7"/>
        <v>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0</v>
      </c>
      <c r="L36" s="78">
        <f t="shared" si="7"/>
        <v>0</v>
      </c>
      <c r="M36" s="78">
        <f t="shared" si="7"/>
        <v>0</v>
      </c>
      <c r="N36" s="78">
        <f t="shared" si="7"/>
        <v>0</v>
      </c>
    </row>
    <row r="37" spans="1:17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2E06-C7E6-4526-863C-7709EC501315}">
  <dimension ref="A1:R37"/>
  <sheetViews>
    <sheetView topLeftCell="A13" workbookViewId="0">
      <selection activeCell="N38" sqref="N38"/>
    </sheetView>
  </sheetViews>
  <sheetFormatPr defaultRowHeight="15"/>
  <cols>
    <col min="1" max="1" width="13.140625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19.5703125" style="51" customWidth="1"/>
    <col min="18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</row>
    <row r="5" spans="1:18">
      <c r="A5" s="69">
        <v>1</v>
      </c>
      <c r="B5" s="83">
        <v>46204</v>
      </c>
      <c r="C5" s="84"/>
      <c r="D5" s="145">
        <v>0</v>
      </c>
      <c r="E5" s="145">
        <v>0</v>
      </c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140</v>
      </c>
    </row>
    <row r="6" spans="1:18">
      <c r="A6" s="69">
        <v>2</v>
      </c>
      <c r="B6" s="83">
        <v>46205</v>
      </c>
      <c r="C6" s="84"/>
      <c r="D6" s="145">
        <v>0</v>
      </c>
      <c r="E6" s="145">
        <v>0</v>
      </c>
      <c r="F6" s="145">
        <f>F5-E5+D6</f>
        <v>0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SUM(F6*$R$6)</f>
        <v>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0</v>
      </c>
      <c r="Q6" s="143" t="s">
        <v>4</v>
      </c>
      <c r="R6" s="144">
        <v>26</v>
      </c>
    </row>
    <row r="7" spans="1:18">
      <c r="A7" s="69">
        <v>3</v>
      </c>
      <c r="B7" s="83">
        <v>46206</v>
      </c>
      <c r="C7" s="84"/>
      <c r="D7" s="145">
        <v>0</v>
      </c>
      <c r="E7" s="145">
        <v>0</v>
      </c>
      <c r="F7" s="145">
        <f t="shared" ref="F7:F35" si="6">F6-E6+D7</f>
        <v>0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0</v>
      </c>
      <c r="L7" s="68">
        <f t="shared" si="4"/>
        <v>0</v>
      </c>
      <c r="M7" s="68">
        <f t="shared" si="5"/>
        <v>0</v>
      </c>
      <c r="N7" s="68">
        <f t="shared" si="0"/>
        <v>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>
        <v>0</v>
      </c>
      <c r="E8" s="145">
        <v>0</v>
      </c>
      <c r="F8" s="145">
        <f t="shared" si="6"/>
        <v>0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0</v>
      </c>
      <c r="L8" s="68">
        <f t="shared" si="4"/>
        <v>0</v>
      </c>
      <c r="M8" s="68">
        <f t="shared" si="5"/>
        <v>0</v>
      </c>
      <c r="N8" s="68">
        <f t="shared" si="0"/>
        <v>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>
        <v>0</v>
      </c>
      <c r="E9" s="145">
        <v>0</v>
      </c>
      <c r="F9" s="145">
        <f t="shared" si="6"/>
        <v>0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0</v>
      </c>
      <c r="L9" s="68">
        <f t="shared" si="4"/>
        <v>0</v>
      </c>
      <c r="M9" s="68">
        <f t="shared" si="5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>
        <v>0</v>
      </c>
      <c r="E10" s="145">
        <v>0</v>
      </c>
      <c r="F10" s="145">
        <f t="shared" si="6"/>
        <v>0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0</v>
      </c>
      <c r="L10" s="68">
        <f t="shared" si="4"/>
        <v>0</v>
      </c>
      <c r="M10" s="68">
        <f t="shared" si="5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>
        <v>0</v>
      </c>
      <c r="E11" s="145">
        <v>0</v>
      </c>
      <c r="F11" s="145">
        <f t="shared" si="6"/>
        <v>0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0</v>
      </c>
      <c r="L11" s="68">
        <f t="shared" si="4"/>
        <v>0</v>
      </c>
      <c r="M11" s="68">
        <f t="shared" si="5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>
        <v>0</v>
      </c>
      <c r="E12" s="145">
        <v>0</v>
      </c>
      <c r="F12" s="145">
        <f t="shared" si="6"/>
        <v>0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0</v>
      </c>
      <c r="L12" s="68">
        <f t="shared" si="4"/>
        <v>0</v>
      </c>
      <c r="M12" s="68">
        <f t="shared" si="5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>
        <v>0</v>
      </c>
      <c r="E13" s="145">
        <v>0</v>
      </c>
      <c r="F13" s="145">
        <f t="shared" si="6"/>
        <v>0</v>
      </c>
      <c r="G13" s="145">
        <v>0</v>
      </c>
      <c r="H13" s="145">
        <v>0</v>
      </c>
      <c r="I13" s="68">
        <f t="shared" si="1"/>
        <v>0</v>
      </c>
      <c r="J13" s="68">
        <f t="shared" si="2"/>
        <v>0</v>
      </c>
      <c r="K13" s="68">
        <f t="shared" si="3"/>
        <v>0</v>
      </c>
      <c r="L13" s="68">
        <f t="shared" si="4"/>
        <v>0</v>
      </c>
      <c r="M13" s="68">
        <f t="shared" si="5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>
        <v>0</v>
      </c>
      <c r="E14" s="145">
        <v>0</v>
      </c>
      <c r="F14" s="145">
        <f t="shared" si="6"/>
        <v>0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0</v>
      </c>
      <c r="L14" s="68">
        <f t="shared" si="4"/>
        <v>0</v>
      </c>
      <c r="M14" s="68">
        <f t="shared" si="5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>
        <v>0</v>
      </c>
      <c r="E15" s="145">
        <v>0</v>
      </c>
      <c r="F15" s="145">
        <f t="shared" si="6"/>
        <v>0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0</v>
      </c>
      <c r="L15" s="68">
        <f t="shared" si="4"/>
        <v>0</v>
      </c>
      <c r="M15" s="68">
        <f t="shared" si="5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>
        <v>0</v>
      </c>
      <c r="E16" s="145">
        <v>0</v>
      </c>
      <c r="F16" s="145">
        <f t="shared" si="6"/>
        <v>0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0</v>
      </c>
      <c r="L16" s="68">
        <f t="shared" si="4"/>
        <v>0</v>
      </c>
      <c r="M16" s="68">
        <f t="shared" si="5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>
        <v>0</v>
      </c>
      <c r="E17" s="145">
        <v>0</v>
      </c>
      <c r="F17" s="145">
        <f t="shared" si="6"/>
        <v>0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0</v>
      </c>
      <c r="L17" s="68">
        <f t="shared" si="4"/>
        <v>0</v>
      </c>
      <c r="M17" s="68">
        <f t="shared" si="5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>
        <v>0</v>
      </c>
      <c r="E18" s="145">
        <v>0</v>
      </c>
      <c r="F18" s="145">
        <f t="shared" si="6"/>
        <v>0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0</v>
      </c>
      <c r="L18" s="68">
        <f t="shared" si="4"/>
        <v>0</v>
      </c>
      <c r="M18" s="68">
        <f t="shared" si="5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>
        <v>0</v>
      </c>
      <c r="E19" s="145">
        <v>0</v>
      </c>
      <c r="F19" s="145">
        <f t="shared" si="6"/>
        <v>0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0</v>
      </c>
      <c r="L19" s="68">
        <f t="shared" si="4"/>
        <v>0</v>
      </c>
      <c r="M19" s="68">
        <f t="shared" si="5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>
        <v>0</v>
      </c>
      <c r="E20" s="145">
        <v>0</v>
      </c>
      <c r="F20" s="145">
        <f t="shared" si="6"/>
        <v>0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0</v>
      </c>
      <c r="L20" s="68">
        <f t="shared" si="4"/>
        <v>0</v>
      </c>
      <c r="M20" s="68">
        <f t="shared" si="5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>
        <v>0</v>
      </c>
      <c r="E21" s="145">
        <v>0</v>
      </c>
      <c r="F21" s="145">
        <f t="shared" si="6"/>
        <v>0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0</v>
      </c>
      <c r="L21" s="68">
        <f t="shared" si="4"/>
        <v>0</v>
      </c>
      <c r="M21" s="68">
        <f t="shared" si="5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>
        <v>0</v>
      </c>
      <c r="E22" s="145">
        <v>0</v>
      </c>
      <c r="F22" s="145">
        <f t="shared" si="6"/>
        <v>0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0</v>
      </c>
      <c r="L22" s="68">
        <f t="shared" si="4"/>
        <v>0</v>
      </c>
      <c r="M22" s="68">
        <f t="shared" si="5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>
        <v>0</v>
      </c>
      <c r="E23" s="145">
        <v>0</v>
      </c>
      <c r="F23" s="145">
        <f t="shared" si="6"/>
        <v>0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0</v>
      </c>
      <c r="L23" s="68">
        <f t="shared" si="4"/>
        <v>0</v>
      </c>
      <c r="M23" s="68">
        <f t="shared" si="5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>
        <v>0</v>
      </c>
      <c r="E24" s="145">
        <v>0</v>
      </c>
      <c r="F24" s="145">
        <f t="shared" si="6"/>
        <v>0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0</v>
      </c>
      <c r="L24" s="68">
        <f t="shared" si="4"/>
        <v>0</v>
      </c>
      <c r="M24" s="68">
        <f t="shared" si="5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>
        <v>0</v>
      </c>
      <c r="E25" s="145">
        <v>0</v>
      </c>
      <c r="F25" s="145">
        <f t="shared" si="6"/>
        <v>0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0</v>
      </c>
      <c r="L25" s="68">
        <f t="shared" si="4"/>
        <v>0</v>
      </c>
      <c r="M25" s="68">
        <f t="shared" si="5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>
        <v>0</v>
      </c>
      <c r="E26" s="145">
        <v>0</v>
      </c>
      <c r="F26" s="145">
        <f t="shared" si="6"/>
        <v>0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0</v>
      </c>
      <c r="L26" s="68">
        <f t="shared" si="4"/>
        <v>0</v>
      </c>
      <c r="M26" s="68">
        <f t="shared" si="5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>
        <v>0</v>
      </c>
      <c r="E27" s="145">
        <v>0</v>
      </c>
      <c r="F27" s="145">
        <f t="shared" si="6"/>
        <v>0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0</v>
      </c>
      <c r="L27" s="68">
        <f t="shared" si="4"/>
        <v>0</v>
      </c>
      <c r="M27" s="68">
        <f t="shared" si="5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>
        <v>0</v>
      </c>
      <c r="E28" s="145">
        <v>0</v>
      </c>
      <c r="F28" s="145">
        <f t="shared" si="6"/>
        <v>0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0</v>
      </c>
      <c r="L28" s="68">
        <f t="shared" si="4"/>
        <v>0</v>
      </c>
      <c r="M28" s="68">
        <f t="shared" si="5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>
        <v>0</v>
      </c>
      <c r="E29" s="145">
        <v>0</v>
      </c>
      <c r="F29" s="145">
        <f t="shared" si="6"/>
        <v>0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0</v>
      </c>
      <c r="L29" s="68">
        <f t="shared" si="4"/>
        <v>0</v>
      </c>
      <c r="M29" s="68">
        <f t="shared" si="5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>
        <v>0</v>
      </c>
      <c r="E30" s="145">
        <v>0</v>
      </c>
      <c r="F30" s="145">
        <f t="shared" si="6"/>
        <v>0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0</v>
      </c>
      <c r="L30" s="68">
        <f t="shared" si="4"/>
        <v>0</v>
      </c>
      <c r="M30" s="68">
        <f t="shared" si="5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>
        <v>0</v>
      </c>
      <c r="E31" s="145">
        <v>0</v>
      </c>
      <c r="F31" s="145">
        <f t="shared" si="6"/>
        <v>0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0</v>
      </c>
      <c r="L31" s="68">
        <f t="shared" si="4"/>
        <v>0</v>
      </c>
      <c r="M31" s="68">
        <f t="shared" si="5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>
        <v>0</v>
      </c>
      <c r="E32" s="145">
        <v>0</v>
      </c>
      <c r="F32" s="145">
        <f t="shared" si="6"/>
        <v>0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0</v>
      </c>
      <c r="L32" s="68">
        <f t="shared" si="4"/>
        <v>0</v>
      </c>
      <c r="M32" s="68">
        <f t="shared" si="5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>
        <v>0</v>
      </c>
      <c r="E33" s="145">
        <v>0</v>
      </c>
      <c r="F33" s="145">
        <f t="shared" si="6"/>
        <v>0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0</v>
      </c>
      <c r="L33" s="68">
        <f t="shared" si="4"/>
        <v>0</v>
      </c>
      <c r="M33" s="68">
        <f t="shared" si="5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>
        <v>0</v>
      </c>
      <c r="E34" s="145">
        <v>0</v>
      </c>
      <c r="F34" s="145">
        <f t="shared" si="6"/>
        <v>0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0</v>
      </c>
      <c r="L34" s="68">
        <f t="shared" si="4"/>
        <v>0</v>
      </c>
      <c r="M34" s="68">
        <f t="shared" si="5"/>
        <v>0</v>
      </c>
      <c r="N34" s="68">
        <f t="shared" si="0"/>
        <v>0</v>
      </c>
    </row>
    <row r="35" spans="1:14">
      <c r="A35" s="69"/>
      <c r="B35" s="83">
        <v>46234</v>
      </c>
      <c r="C35" s="84"/>
      <c r="D35" s="145">
        <v>0</v>
      </c>
      <c r="E35" s="145">
        <v>0</v>
      </c>
      <c r="F35" s="145">
        <f t="shared" si="6"/>
        <v>0</v>
      </c>
      <c r="G35" s="145">
        <v>0</v>
      </c>
      <c r="H35" s="145">
        <v>0</v>
      </c>
      <c r="I35" s="68">
        <f t="shared" si="1"/>
        <v>0</v>
      </c>
      <c r="J35" s="68">
        <f t="shared" si="2"/>
        <v>0</v>
      </c>
      <c r="K35" s="68">
        <f t="shared" si="3"/>
        <v>0</v>
      </c>
      <c r="L35" s="68">
        <f t="shared" si="4"/>
        <v>0</v>
      </c>
      <c r="M35" s="68">
        <f t="shared" si="5"/>
        <v>0</v>
      </c>
      <c r="N35" s="68">
        <f t="shared" si="0"/>
        <v>0</v>
      </c>
    </row>
    <row r="36" spans="1:14">
      <c r="D36" s="76">
        <f t="shared" ref="D36:N36" si="7">SUM(D5:D35)</f>
        <v>0</v>
      </c>
      <c r="E36" s="76">
        <f t="shared" si="7"/>
        <v>0</v>
      </c>
      <c r="F36" s="76">
        <f t="shared" si="7"/>
        <v>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0</v>
      </c>
      <c r="L36" s="78">
        <f t="shared" si="7"/>
        <v>0</v>
      </c>
      <c r="M36" s="78">
        <f t="shared" si="7"/>
        <v>0</v>
      </c>
      <c r="N36" s="78">
        <f t="shared" si="7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F94A-4FBF-408B-B624-DB33F8DC3602}">
  <dimension ref="A1:R37"/>
  <sheetViews>
    <sheetView topLeftCell="A14" workbookViewId="0">
      <selection activeCell="N38" sqref="N38"/>
    </sheetView>
  </sheetViews>
  <sheetFormatPr defaultRowHeight="15"/>
  <cols>
    <col min="1" max="1" width="13.710937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19.28515625" style="51" customWidth="1"/>
    <col min="18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35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</row>
    <row r="5" spans="1:18">
      <c r="A5" s="69">
        <v>1</v>
      </c>
      <c r="B5" s="83">
        <v>46204</v>
      </c>
      <c r="C5" s="84"/>
      <c r="D5" s="145"/>
      <c r="E5" s="145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140</v>
      </c>
    </row>
    <row r="6" spans="1:18">
      <c r="A6" s="69">
        <v>2</v>
      </c>
      <c r="B6" s="83">
        <v>46205</v>
      </c>
      <c r="C6" s="84"/>
      <c r="D6" s="145"/>
      <c r="E6" s="145"/>
      <c r="F6" s="145">
        <f>F5-E5+D6</f>
        <v>0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SUM(F6*$R$6)</f>
        <v>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0</v>
      </c>
      <c r="Q6" s="143" t="s">
        <v>4</v>
      </c>
      <c r="R6" s="144">
        <v>15</v>
      </c>
    </row>
    <row r="7" spans="1:18">
      <c r="A7" s="69">
        <v>3</v>
      </c>
      <c r="B7" s="83">
        <v>46206</v>
      </c>
      <c r="C7" s="84"/>
      <c r="D7" s="145"/>
      <c r="E7" s="145"/>
      <c r="F7" s="145">
        <f t="shared" ref="F7:F15" si="6">F6-E6+D7</f>
        <v>0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0</v>
      </c>
      <c r="L7" s="68">
        <f t="shared" si="4"/>
        <v>0</v>
      </c>
      <c r="M7" s="68">
        <f t="shared" si="5"/>
        <v>0</v>
      </c>
      <c r="N7" s="68">
        <f t="shared" si="0"/>
        <v>0</v>
      </c>
      <c r="Q7" s="143" t="s">
        <v>101</v>
      </c>
      <c r="R7" s="144">
        <v>120</v>
      </c>
    </row>
    <row r="8" spans="1:18">
      <c r="A8" s="69">
        <v>4</v>
      </c>
      <c r="B8" s="83">
        <v>46207</v>
      </c>
      <c r="C8" s="84"/>
      <c r="D8" s="145"/>
      <c r="E8" s="145"/>
      <c r="F8" s="145">
        <f t="shared" si="6"/>
        <v>0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0</v>
      </c>
      <c r="L8" s="68">
        <f t="shared" si="4"/>
        <v>0</v>
      </c>
      <c r="M8" s="68">
        <f t="shared" si="5"/>
        <v>0</v>
      </c>
      <c r="N8" s="68">
        <f t="shared" si="0"/>
        <v>0</v>
      </c>
      <c r="Q8" s="143" t="s">
        <v>8</v>
      </c>
      <c r="R8" s="144">
        <v>150</v>
      </c>
    </row>
    <row r="9" spans="1:18">
      <c r="A9" s="69">
        <v>5</v>
      </c>
      <c r="B9" s="83">
        <v>46208</v>
      </c>
      <c r="C9" s="84"/>
      <c r="D9" s="145"/>
      <c r="E9" s="145"/>
      <c r="F9" s="145">
        <f t="shared" si="6"/>
        <v>0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0</v>
      </c>
      <c r="L9" s="68">
        <f t="shared" si="4"/>
        <v>0</v>
      </c>
      <c r="M9" s="68">
        <f t="shared" si="5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45"/>
      <c r="F10" s="145">
        <f t="shared" si="6"/>
        <v>0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0</v>
      </c>
      <c r="L10" s="68">
        <f t="shared" si="4"/>
        <v>0</v>
      </c>
      <c r="M10" s="68">
        <f t="shared" si="5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45"/>
      <c r="F11" s="145">
        <f t="shared" si="6"/>
        <v>0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0</v>
      </c>
      <c r="L11" s="68">
        <f t="shared" si="4"/>
        <v>0</v>
      </c>
      <c r="M11" s="68">
        <f t="shared" si="5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45"/>
      <c r="F12" s="145">
        <f t="shared" si="6"/>
        <v>0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0</v>
      </c>
      <c r="L12" s="68">
        <f t="shared" si="4"/>
        <v>0</v>
      </c>
      <c r="M12" s="68">
        <f t="shared" si="5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45"/>
      <c r="F13" s="145">
        <f t="shared" si="6"/>
        <v>0</v>
      </c>
      <c r="G13" s="145">
        <v>0</v>
      </c>
      <c r="H13" s="145">
        <v>0</v>
      </c>
      <c r="I13" s="68">
        <f t="shared" si="1"/>
        <v>0</v>
      </c>
      <c r="J13" s="68">
        <f t="shared" si="2"/>
        <v>0</v>
      </c>
      <c r="K13" s="68">
        <f t="shared" si="3"/>
        <v>0</v>
      </c>
      <c r="L13" s="68">
        <f t="shared" si="4"/>
        <v>0</v>
      </c>
      <c r="M13" s="68">
        <f t="shared" si="5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45"/>
      <c r="F14" s="145">
        <f t="shared" si="6"/>
        <v>0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0</v>
      </c>
      <c r="L14" s="68">
        <f t="shared" si="4"/>
        <v>0</v>
      </c>
      <c r="M14" s="68">
        <f t="shared" si="5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45"/>
      <c r="F15" s="145">
        <f t="shared" si="6"/>
        <v>0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0</v>
      </c>
      <c r="L15" s="68">
        <f t="shared" si="4"/>
        <v>0</v>
      </c>
      <c r="M15" s="68">
        <f t="shared" si="5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45"/>
      <c r="F16" s="145">
        <f>F15-E15+D16</f>
        <v>0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0</v>
      </c>
      <c r="L16" s="68">
        <f t="shared" si="4"/>
        <v>0</v>
      </c>
      <c r="M16" s="68">
        <f t="shared" si="5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45"/>
      <c r="F17" s="145">
        <f t="shared" ref="F17:F34" si="7">F16-E16+D17</f>
        <v>0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0</v>
      </c>
      <c r="L17" s="68">
        <f t="shared" si="4"/>
        <v>0</v>
      </c>
      <c r="M17" s="68">
        <f t="shared" si="5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45"/>
      <c r="F18" s="145">
        <f t="shared" si="7"/>
        <v>0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0</v>
      </c>
      <c r="L18" s="68">
        <f t="shared" si="4"/>
        <v>0</v>
      </c>
      <c r="M18" s="68">
        <f t="shared" si="5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45"/>
      <c r="F19" s="145">
        <f t="shared" si="7"/>
        <v>0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0</v>
      </c>
      <c r="L19" s="68">
        <f t="shared" si="4"/>
        <v>0</v>
      </c>
      <c r="M19" s="68">
        <f t="shared" si="5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45"/>
      <c r="F20" s="145">
        <f t="shared" si="7"/>
        <v>0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0</v>
      </c>
      <c r="L20" s="68">
        <f t="shared" si="4"/>
        <v>0</v>
      </c>
      <c r="M20" s="68">
        <f t="shared" si="5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45"/>
      <c r="F21" s="145">
        <f t="shared" si="7"/>
        <v>0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0</v>
      </c>
      <c r="L21" s="68">
        <f t="shared" si="4"/>
        <v>0</v>
      </c>
      <c r="M21" s="68">
        <f t="shared" si="5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45"/>
      <c r="F22" s="145">
        <f t="shared" si="7"/>
        <v>0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0</v>
      </c>
      <c r="L22" s="68">
        <f t="shared" si="4"/>
        <v>0</v>
      </c>
      <c r="M22" s="68">
        <f t="shared" si="5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45"/>
      <c r="F23" s="145">
        <f t="shared" si="7"/>
        <v>0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0</v>
      </c>
      <c r="L23" s="68">
        <f t="shared" si="4"/>
        <v>0</v>
      </c>
      <c r="M23" s="68">
        <f t="shared" si="5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45"/>
      <c r="F24" s="145">
        <f t="shared" si="7"/>
        <v>0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0</v>
      </c>
      <c r="L24" s="68">
        <f t="shared" si="4"/>
        <v>0</v>
      </c>
      <c r="M24" s="68">
        <f t="shared" si="5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45"/>
      <c r="F25" s="145">
        <f t="shared" si="7"/>
        <v>0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0</v>
      </c>
      <c r="L25" s="68">
        <f t="shared" si="4"/>
        <v>0</v>
      </c>
      <c r="M25" s="68">
        <f t="shared" si="5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45"/>
      <c r="F26" s="145">
        <f t="shared" si="7"/>
        <v>0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0</v>
      </c>
      <c r="L26" s="68">
        <f t="shared" si="4"/>
        <v>0</v>
      </c>
      <c r="M26" s="68">
        <f t="shared" si="5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45"/>
      <c r="F27" s="145">
        <f t="shared" si="7"/>
        <v>0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0</v>
      </c>
      <c r="L27" s="68">
        <f t="shared" si="4"/>
        <v>0</v>
      </c>
      <c r="M27" s="68">
        <f t="shared" si="5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45"/>
      <c r="F28" s="145">
        <f t="shared" si="7"/>
        <v>0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0</v>
      </c>
      <c r="L28" s="68">
        <f t="shared" si="4"/>
        <v>0</v>
      </c>
      <c r="M28" s="68">
        <f t="shared" si="5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45"/>
      <c r="F29" s="145">
        <f t="shared" si="7"/>
        <v>0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0</v>
      </c>
      <c r="L29" s="68">
        <f t="shared" si="4"/>
        <v>0</v>
      </c>
      <c r="M29" s="68">
        <f t="shared" si="5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45"/>
      <c r="F30" s="145">
        <f t="shared" si="7"/>
        <v>0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0</v>
      </c>
      <c r="L30" s="68">
        <f t="shared" si="4"/>
        <v>0</v>
      </c>
      <c r="M30" s="68">
        <f t="shared" si="5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45"/>
      <c r="F31" s="145">
        <f t="shared" si="7"/>
        <v>0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0</v>
      </c>
      <c r="L31" s="68">
        <f t="shared" si="4"/>
        <v>0</v>
      </c>
      <c r="M31" s="68">
        <f t="shared" si="5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45"/>
      <c r="F32" s="145">
        <f t="shared" si="7"/>
        <v>0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0</v>
      </c>
      <c r="L32" s="68">
        <f t="shared" si="4"/>
        <v>0</v>
      </c>
      <c r="M32" s="68">
        <f t="shared" si="5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7"/>
        <v>0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0</v>
      </c>
      <c r="L33" s="68">
        <f t="shared" si="4"/>
        <v>0</v>
      </c>
      <c r="M33" s="68">
        <f t="shared" si="5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7"/>
        <v>0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0</v>
      </c>
      <c r="L34" s="68">
        <f t="shared" si="4"/>
        <v>0</v>
      </c>
      <c r="M34" s="68">
        <f t="shared" si="5"/>
        <v>0</v>
      </c>
      <c r="N34" s="68">
        <f t="shared" si="0"/>
        <v>0</v>
      </c>
    </row>
    <row r="35" spans="1:14">
      <c r="A35" s="69"/>
      <c r="B35" s="83"/>
      <c r="C35" s="84"/>
      <c r="D35" s="145"/>
      <c r="E35" s="145"/>
      <c r="F35" s="145"/>
      <c r="G35" s="145">
        <v>0</v>
      </c>
      <c r="H35" s="145">
        <v>0</v>
      </c>
      <c r="I35" s="68">
        <f t="shared" si="1"/>
        <v>0</v>
      </c>
      <c r="J35" s="68">
        <f t="shared" si="2"/>
        <v>0</v>
      </c>
      <c r="K35" s="68">
        <f t="shared" si="3"/>
        <v>0</v>
      </c>
      <c r="L35" s="68">
        <f t="shared" si="4"/>
        <v>0</v>
      </c>
      <c r="M35" s="68">
        <f t="shared" si="5"/>
        <v>0</v>
      </c>
      <c r="N35" s="68">
        <f t="shared" si="0"/>
        <v>0</v>
      </c>
    </row>
    <row r="36" spans="1:14">
      <c r="D36" s="76">
        <f t="shared" ref="D36:N36" si="8">SUM(D5:D35)</f>
        <v>0</v>
      </c>
      <c r="E36" s="76">
        <f t="shared" si="8"/>
        <v>0</v>
      </c>
      <c r="F36" s="76">
        <f t="shared" si="8"/>
        <v>0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0</v>
      </c>
      <c r="K36" s="78">
        <f t="shared" si="8"/>
        <v>0</v>
      </c>
      <c r="L36" s="78">
        <f t="shared" si="8"/>
        <v>0</v>
      </c>
      <c r="M36" s="78">
        <f t="shared" si="8"/>
        <v>0</v>
      </c>
      <c r="N36" s="78">
        <f t="shared" si="8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E189-AFCA-4FC4-B821-3E233E05644A}">
  <dimension ref="A1:R37"/>
  <sheetViews>
    <sheetView topLeftCell="A26" workbookViewId="0">
      <selection activeCell="C52" sqref="C52"/>
    </sheetView>
  </sheetViews>
  <sheetFormatPr defaultRowHeight="15"/>
  <cols>
    <col min="1" max="1" width="14.4257812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19.28515625" style="51" customWidth="1"/>
    <col min="18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102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120</v>
      </c>
    </row>
    <row r="5" spans="1:18">
      <c r="A5" s="69">
        <v>1</v>
      </c>
      <c r="B5" s="83">
        <v>46204</v>
      </c>
      <c r="C5" s="84"/>
      <c r="D5" s="145"/>
      <c r="E5" s="145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120</v>
      </c>
    </row>
    <row r="6" spans="1:18">
      <c r="A6" s="69">
        <v>2</v>
      </c>
      <c r="B6" s="83">
        <v>46205</v>
      </c>
      <c r="C6" s="84"/>
      <c r="D6" s="145"/>
      <c r="E6" s="145"/>
      <c r="F6" s="145">
        <f>F5-E5+D6</f>
        <v>0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SUM(F6*$R$6)</f>
        <v>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0</v>
      </c>
      <c r="Q6" s="143" t="s">
        <v>4</v>
      </c>
      <c r="R6" s="144">
        <v>18</v>
      </c>
    </row>
    <row r="7" spans="1:18">
      <c r="A7" s="69">
        <v>3</v>
      </c>
      <c r="B7" s="83">
        <v>46206</v>
      </c>
      <c r="C7" s="84"/>
      <c r="D7" s="145"/>
      <c r="E7" s="145"/>
      <c r="F7" s="145">
        <f t="shared" ref="F7:F15" si="6">F6-E6+D7</f>
        <v>0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0</v>
      </c>
      <c r="L7" s="68">
        <f t="shared" si="4"/>
        <v>0</v>
      </c>
      <c r="M7" s="68">
        <f t="shared" si="5"/>
        <v>0</v>
      </c>
      <c r="N7" s="68">
        <f t="shared" si="0"/>
        <v>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/>
      <c r="E8" s="145"/>
      <c r="F8" s="145">
        <f t="shared" si="6"/>
        <v>0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0</v>
      </c>
      <c r="L8" s="68">
        <f t="shared" si="4"/>
        <v>0</v>
      </c>
      <c r="M8" s="68">
        <f t="shared" si="5"/>
        <v>0</v>
      </c>
      <c r="N8" s="68">
        <f t="shared" si="0"/>
        <v>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/>
      <c r="E9" s="145"/>
      <c r="F9" s="145">
        <f t="shared" si="6"/>
        <v>0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0</v>
      </c>
      <c r="L9" s="68">
        <f t="shared" si="4"/>
        <v>0</v>
      </c>
      <c r="M9" s="68">
        <f t="shared" si="5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45"/>
      <c r="F10" s="145">
        <f t="shared" si="6"/>
        <v>0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0</v>
      </c>
      <c r="L10" s="68">
        <f t="shared" si="4"/>
        <v>0</v>
      </c>
      <c r="M10" s="68">
        <f t="shared" si="5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45"/>
      <c r="F11" s="145">
        <f t="shared" si="6"/>
        <v>0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0</v>
      </c>
      <c r="L11" s="68">
        <f t="shared" si="4"/>
        <v>0</v>
      </c>
      <c r="M11" s="68">
        <f t="shared" si="5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45"/>
      <c r="F12" s="145">
        <f t="shared" si="6"/>
        <v>0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0</v>
      </c>
      <c r="L12" s="68">
        <f t="shared" si="4"/>
        <v>0</v>
      </c>
      <c r="M12" s="68">
        <f t="shared" si="5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45"/>
      <c r="F13" s="145">
        <f t="shared" si="6"/>
        <v>0</v>
      </c>
      <c r="G13" s="145">
        <v>0</v>
      </c>
      <c r="H13" s="145">
        <v>0</v>
      </c>
      <c r="I13" s="68">
        <f t="shared" si="1"/>
        <v>0</v>
      </c>
      <c r="J13" s="68">
        <f t="shared" si="2"/>
        <v>0</v>
      </c>
      <c r="K13" s="68">
        <f t="shared" si="3"/>
        <v>0</v>
      </c>
      <c r="L13" s="68">
        <f t="shared" si="4"/>
        <v>0</v>
      </c>
      <c r="M13" s="68">
        <f t="shared" si="5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45"/>
      <c r="F14" s="145">
        <f t="shared" si="6"/>
        <v>0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0</v>
      </c>
      <c r="L14" s="68">
        <f t="shared" si="4"/>
        <v>0</v>
      </c>
      <c r="M14" s="68">
        <f t="shared" si="5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45"/>
      <c r="F15" s="145">
        <f t="shared" si="6"/>
        <v>0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0</v>
      </c>
      <c r="L15" s="68">
        <f t="shared" si="4"/>
        <v>0</v>
      </c>
      <c r="M15" s="68">
        <f t="shared" si="5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45"/>
      <c r="F16" s="145">
        <f>F15-E15+D16</f>
        <v>0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0</v>
      </c>
      <c r="L16" s="68">
        <f t="shared" si="4"/>
        <v>0</v>
      </c>
      <c r="M16" s="68">
        <f t="shared" si="5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45"/>
      <c r="F17" s="145">
        <f t="shared" ref="F17:F34" si="7">F16-E16+D17</f>
        <v>0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0</v>
      </c>
      <c r="L17" s="68">
        <f t="shared" si="4"/>
        <v>0</v>
      </c>
      <c r="M17" s="68">
        <f t="shared" si="5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45"/>
      <c r="F18" s="145">
        <f t="shared" si="7"/>
        <v>0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0</v>
      </c>
      <c r="L18" s="68">
        <f t="shared" si="4"/>
        <v>0</v>
      </c>
      <c r="M18" s="68">
        <f t="shared" si="5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45"/>
      <c r="F19" s="145">
        <f t="shared" si="7"/>
        <v>0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0</v>
      </c>
      <c r="L19" s="68">
        <f t="shared" si="4"/>
        <v>0</v>
      </c>
      <c r="M19" s="68">
        <f t="shared" si="5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45"/>
      <c r="F20" s="145">
        <f t="shared" si="7"/>
        <v>0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0</v>
      </c>
      <c r="L20" s="68">
        <f t="shared" si="4"/>
        <v>0</v>
      </c>
      <c r="M20" s="68">
        <f t="shared" si="5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45"/>
      <c r="F21" s="145">
        <f t="shared" si="7"/>
        <v>0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0</v>
      </c>
      <c r="L21" s="68">
        <f t="shared" si="4"/>
        <v>0</v>
      </c>
      <c r="M21" s="68">
        <f t="shared" si="5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45"/>
      <c r="F22" s="145">
        <f t="shared" si="7"/>
        <v>0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0</v>
      </c>
      <c r="L22" s="68">
        <f t="shared" si="4"/>
        <v>0</v>
      </c>
      <c r="M22" s="68">
        <f t="shared" si="5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45"/>
      <c r="F23" s="145">
        <f t="shared" si="7"/>
        <v>0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0</v>
      </c>
      <c r="L23" s="68">
        <f t="shared" si="4"/>
        <v>0</v>
      </c>
      <c r="M23" s="68">
        <f t="shared" si="5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45"/>
      <c r="F24" s="145">
        <f t="shared" si="7"/>
        <v>0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0</v>
      </c>
      <c r="L24" s="68">
        <f t="shared" si="4"/>
        <v>0</v>
      </c>
      <c r="M24" s="68">
        <f t="shared" si="5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45"/>
      <c r="F25" s="145">
        <f t="shared" si="7"/>
        <v>0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0</v>
      </c>
      <c r="L25" s="68">
        <f t="shared" si="4"/>
        <v>0</v>
      </c>
      <c r="M25" s="68">
        <f t="shared" si="5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45"/>
      <c r="F26" s="145">
        <f t="shared" si="7"/>
        <v>0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0</v>
      </c>
      <c r="L26" s="68">
        <f t="shared" si="4"/>
        <v>0</v>
      </c>
      <c r="M26" s="68">
        <f t="shared" si="5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45"/>
      <c r="F27" s="145">
        <f t="shared" si="7"/>
        <v>0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0</v>
      </c>
      <c r="L27" s="68">
        <f t="shared" si="4"/>
        <v>0</v>
      </c>
      <c r="M27" s="68">
        <f t="shared" si="5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45"/>
      <c r="F28" s="145">
        <f t="shared" si="7"/>
        <v>0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0</v>
      </c>
      <c r="L28" s="68">
        <f t="shared" si="4"/>
        <v>0</v>
      </c>
      <c r="M28" s="68">
        <f t="shared" si="5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45"/>
      <c r="F29" s="145">
        <f t="shared" si="7"/>
        <v>0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0</v>
      </c>
      <c r="L29" s="68">
        <f t="shared" si="4"/>
        <v>0</v>
      </c>
      <c r="M29" s="68">
        <f t="shared" si="5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45"/>
      <c r="F30" s="145">
        <f t="shared" si="7"/>
        <v>0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0</v>
      </c>
      <c r="L30" s="68">
        <f t="shared" si="4"/>
        <v>0</v>
      </c>
      <c r="M30" s="68">
        <f t="shared" si="5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45"/>
      <c r="F31" s="145">
        <f t="shared" si="7"/>
        <v>0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0</v>
      </c>
      <c r="L31" s="68">
        <f t="shared" si="4"/>
        <v>0</v>
      </c>
      <c r="M31" s="68">
        <f t="shared" si="5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45"/>
      <c r="F32" s="145">
        <f t="shared" si="7"/>
        <v>0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0</v>
      </c>
      <c r="L32" s="68">
        <f t="shared" si="4"/>
        <v>0</v>
      </c>
      <c r="M32" s="68">
        <f t="shared" si="5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7"/>
        <v>0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0</v>
      </c>
      <c r="L33" s="68">
        <f t="shared" si="4"/>
        <v>0</v>
      </c>
      <c r="M33" s="68">
        <f t="shared" si="5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7"/>
        <v>0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0</v>
      </c>
      <c r="L34" s="68">
        <f t="shared" si="4"/>
        <v>0</v>
      </c>
      <c r="M34" s="68">
        <f t="shared" si="5"/>
        <v>0</v>
      </c>
      <c r="N34" s="68">
        <f t="shared" si="0"/>
        <v>0</v>
      </c>
    </row>
    <row r="35" spans="1:14">
      <c r="A35" s="69"/>
      <c r="B35" s="83"/>
      <c r="C35" s="84"/>
      <c r="D35" s="145"/>
      <c r="E35" s="145"/>
      <c r="F35" s="145"/>
      <c r="G35" s="145">
        <v>0</v>
      </c>
      <c r="H35" s="145">
        <v>0</v>
      </c>
      <c r="I35" s="68">
        <f t="shared" si="1"/>
        <v>0</v>
      </c>
      <c r="J35" s="68">
        <f t="shared" si="2"/>
        <v>0</v>
      </c>
      <c r="K35" s="68">
        <f t="shared" si="3"/>
        <v>0</v>
      </c>
      <c r="L35" s="68">
        <f t="shared" si="4"/>
        <v>0</v>
      </c>
      <c r="M35" s="68">
        <f t="shared" si="5"/>
        <v>0</v>
      </c>
      <c r="N35" s="68">
        <f t="shared" si="0"/>
        <v>0</v>
      </c>
    </row>
    <row r="36" spans="1:14">
      <c r="D36" s="76">
        <f t="shared" ref="D36:N36" si="8">SUM(D5:D35)</f>
        <v>0</v>
      </c>
      <c r="E36" s="76">
        <f t="shared" si="8"/>
        <v>0</v>
      </c>
      <c r="F36" s="76">
        <f t="shared" si="8"/>
        <v>0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0</v>
      </c>
      <c r="K36" s="78">
        <f t="shared" si="8"/>
        <v>0</v>
      </c>
      <c r="L36" s="78">
        <f t="shared" si="8"/>
        <v>0</v>
      </c>
      <c r="M36" s="78">
        <f t="shared" si="8"/>
        <v>0</v>
      </c>
      <c r="N36" s="78">
        <f t="shared" si="8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ED56-6DF0-42CD-85B9-74C0573A9711}">
  <dimension ref="A1:R37"/>
  <sheetViews>
    <sheetView topLeftCell="A17" workbookViewId="0">
      <selection activeCell="I10" sqref="I10"/>
    </sheetView>
  </sheetViews>
  <sheetFormatPr defaultRowHeight="15"/>
  <cols>
    <col min="1" max="1" width="12.710937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19.28515625" style="51" customWidth="1"/>
    <col min="18" max="16384" width="9.140625" style="51"/>
  </cols>
  <sheetData>
    <row r="1" spans="1:18">
      <c r="A1" s="50">
        <f>N37</f>
        <v>337898.52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28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</row>
    <row r="5" spans="1:18">
      <c r="A5" s="69">
        <v>1</v>
      </c>
      <c r="B5" s="83">
        <v>46204</v>
      </c>
      <c r="C5" s="84"/>
      <c r="D5" s="145">
        <v>0</v>
      </c>
      <c r="E5" s="157"/>
      <c r="F5" s="145">
        <v>405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10530</v>
      </c>
      <c r="L5" s="68">
        <f>SUM(G5*$R$7)</f>
        <v>0</v>
      </c>
      <c r="M5" s="68">
        <f>SUM(H5*$R$8)</f>
        <v>0</v>
      </c>
      <c r="N5" s="68">
        <f t="shared" ref="N5:N35" si="0">SUM(I5:M5)</f>
        <v>10530</v>
      </c>
      <c r="Q5" s="143" t="s">
        <v>100</v>
      </c>
      <c r="R5" s="144">
        <v>140</v>
      </c>
    </row>
    <row r="6" spans="1:18">
      <c r="A6" s="69">
        <v>2</v>
      </c>
      <c r="B6" s="83">
        <v>46205</v>
      </c>
      <c r="C6" s="84"/>
      <c r="D6" s="145">
        <v>0</v>
      </c>
      <c r="E6" s="157"/>
      <c r="F6" s="145">
        <f>F5-E5+D6</f>
        <v>405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SUM(F6*$R$6)</f>
        <v>10530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10530</v>
      </c>
      <c r="Q6" s="143" t="s">
        <v>4</v>
      </c>
      <c r="R6" s="144">
        <v>26</v>
      </c>
    </row>
    <row r="7" spans="1:18">
      <c r="A7" s="69">
        <v>3</v>
      </c>
      <c r="B7" s="83">
        <v>46206</v>
      </c>
      <c r="C7" s="84"/>
      <c r="D7" s="145">
        <v>0</v>
      </c>
      <c r="E7" s="157"/>
      <c r="F7" s="145">
        <f t="shared" ref="F7:F15" si="6">F6-E6+D7</f>
        <v>405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10530</v>
      </c>
      <c r="L7" s="68">
        <f t="shared" si="4"/>
        <v>0</v>
      </c>
      <c r="M7" s="68">
        <f t="shared" si="5"/>
        <v>0</v>
      </c>
      <c r="N7" s="68">
        <f t="shared" si="0"/>
        <v>10530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>
        <v>0</v>
      </c>
      <c r="E8" s="157"/>
      <c r="F8" s="145">
        <f t="shared" si="6"/>
        <v>405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10530</v>
      </c>
      <c r="L8" s="68">
        <f t="shared" si="4"/>
        <v>0</v>
      </c>
      <c r="M8" s="68">
        <f t="shared" si="5"/>
        <v>0</v>
      </c>
      <c r="N8" s="68">
        <f t="shared" si="0"/>
        <v>10530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>
        <v>0</v>
      </c>
      <c r="E9" s="157"/>
      <c r="F9" s="145">
        <f t="shared" si="6"/>
        <v>405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10530</v>
      </c>
      <c r="L9" s="68">
        <f t="shared" si="4"/>
        <v>0</v>
      </c>
      <c r="M9" s="68">
        <f t="shared" si="5"/>
        <v>0</v>
      </c>
      <c r="N9" s="68">
        <f t="shared" si="0"/>
        <v>10530</v>
      </c>
    </row>
    <row r="10" spans="1:18">
      <c r="A10" s="69">
        <v>6</v>
      </c>
      <c r="B10" s="83">
        <v>46209</v>
      </c>
      <c r="C10" s="84"/>
      <c r="D10" s="145">
        <v>0</v>
      </c>
      <c r="E10" s="157"/>
      <c r="F10" s="145">
        <f t="shared" si="6"/>
        <v>405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10530</v>
      </c>
      <c r="L10" s="68">
        <f t="shared" si="4"/>
        <v>0</v>
      </c>
      <c r="M10" s="68">
        <f t="shared" si="5"/>
        <v>0</v>
      </c>
      <c r="N10" s="68">
        <f t="shared" si="0"/>
        <v>10530</v>
      </c>
    </row>
    <row r="11" spans="1:18">
      <c r="A11" s="69">
        <v>7</v>
      </c>
      <c r="B11" s="83">
        <v>46210</v>
      </c>
      <c r="C11" s="84"/>
      <c r="D11" s="145">
        <v>0</v>
      </c>
      <c r="E11" s="157"/>
      <c r="F11" s="145">
        <f t="shared" si="6"/>
        <v>405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10530</v>
      </c>
      <c r="L11" s="68">
        <f t="shared" si="4"/>
        <v>0</v>
      </c>
      <c r="M11" s="68">
        <f t="shared" si="5"/>
        <v>0</v>
      </c>
      <c r="N11" s="68">
        <f t="shared" si="0"/>
        <v>10530</v>
      </c>
    </row>
    <row r="12" spans="1:18">
      <c r="A12" s="69">
        <v>8</v>
      </c>
      <c r="B12" s="83">
        <v>46211</v>
      </c>
      <c r="C12" s="84"/>
      <c r="D12" s="145">
        <v>0</v>
      </c>
      <c r="E12" s="158">
        <v>43.5</v>
      </c>
      <c r="F12" s="145">
        <f t="shared" si="6"/>
        <v>405</v>
      </c>
      <c r="G12" s="145">
        <v>0</v>
      </c>
      <c r="H12" s="145">
        <v>0</v>
      </c>
      <c r="I12" s="68">
        <f t="shared" si="1"/>
        <v>0</v>
      </c>
      <c r="J12" s="68">
        <f t="shared" si="2"/>
        <v>6090</v>
      </c>
      <c r="K12" s="68">
        <f t="shared" si="3"/>
        <v>10530</v>
      </c>
      <c r="L12" s="68">
        <f t="shared" si="4"/>
        <v>0</v>
      </c>
      <c r="M12" s="68">
        <f t="shared" si="5"/>
        <v>0</v>
      </c>
      <c r="N12" s="68">
        <f t="shared" si="0"/>
        <v>16620</v>
      </c>
    </row>
    <row r="13" spans="1:18">
      <c r="A13" s="69">
        <v>9</v>
      </c>
      <c r="B13" s="83">
        <v>46212</v>
      </c>
      <c r="C13" s="84"/>
      <c r="D13" s="145">
        <v>0</v>
      </c>
      <c r="E13" s="159">
        <v>21</v>
      </c>
      <c r="F13" s="145">
        <f t="shared" si="6"/>
        <v>361.5</v>
      </c>
      <c r="G13" s="145">
        <v>0</v>
      </c>
      <c r="H13" s="145">
        <v>0</v>
      </c>
      <c r="I13" s="68">
        <f t="shared" si="1"/>
        <v>0</v>
      </c>
      <c r="J13" s="68">
        <f t="shared" si="2"/>
        <v>2940</v>
      </c>
      <c r="K13" s="68">
        <f t="shared" si="3"/>
        <v>9399</v>
      </c>
      <c r="L13" s="68">
        <f t="shared" si="4"/>
        <v>0</v>
      </c>
      <c r="M13" s="68">
        <f t="shared" si="5"/>
        <v>0</v>
      </c>
      <c r="N13" s="68">
        <f t="shared" si="0"/>
        <v>12339</v>
      </c>
    </row>
    <row r="14" spans="1:18">
      <c r="A14" s="69">
        <v>10</v>
      </c>
      <c r="B14" s="83">
        <v>46213</v>
      </c>
      <c r="C14" s="84"/>
      <c r="D14" s="145">
        <v>0</v>
      </c>
      <c r="E14" s="157"/>
      <c r="F14" s="145">
        <f t="shared" si="6"/>
        <v>340.5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8853</v>
      </c>
      <c r="L14" s="68">
        <f t="shared" si="4"/>
        <v>0</v>
      </c>
      <c r="M14" s="68">
        <f t="shared" si="5"/>
        <v>0</v>
      </c>
      <c r="N14" s="68">
        <f t="shared" si="0"/>
        <v>8853</v>
      </c>
    </row>
    <row r="15" spans="1:18">
      <c r="A15" s="69">
        <v>11</v>
      </c>
      <c r="B15" s="83">
        <v>46214</v>
      </c>
      <c r="C15" s="84"/>
      <c r="D15" s="145">
        <v>0</v>
      </c>
      <c r="E15" s="157"/>
      <c r="F15" s="145">
        <f t="shared" si="6"/>
        <v>340.5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8853</v>
      </c>
      <c r="L15" s="68">
        <f t="shared" si="4"/>
        <v>0</v>
      </c>
      <c r="M15" s="68">
        <f t="shared" si="5"/>
        <v>0</v>
      </c>
      <c r="N15" s="68">
        <f t="shared" si="0"/>
        <v>8853</v>
      </c>
    </row>
    <row r="16" spans="1:18">
      <c r="A16" s="69">
        <v>12</v>
      </c>
      <c r="B16" s="83">
        <v>46215</v>
      </c>
      <c r="C16" s="84"/>
      <c r="D16" s="145">
        <v>0</v>
      </c>
      <c r="E16" s="157"/>
      <c r="F16" s="145">
        <f>F15-E15+D16</f>
        <v>340.5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8853</v>
      </c>
      <c r="L16" s="68">
        <f t="shared" si="4"/>
        <v>0</v>
      </c>
      <c r="M16" s="68">
        <f t="shared" si="5"/>
        <v>0</v>
      </c>
      <c r="N16" s="68">
        <f t="shared" si="0"/>
        <v>8853</v>
      </c>
    </row>
    <row r="17" spans="1:14">
      <c r="A17" s="69">
        <v>13</v>
      </c>
      <c r="B17" s="83">
        <v>46216</v>
      </c>
      <c r="C17" s="84"/>
      <c r="D17" s="145">
        <v>0</v>
      </c>
      <c r="E17" s="159">
        <v>21</v>
      </c>
      <c r="F17" s="145">
        <f t="shared" ref="F17:F35" si="7">F16-E16+D17</f>
        <v>340.5</v>
      </c>
      <c r="G17" s="145">
        <v>0</v>
      </c>
      <c r="H17" s="145">
        <v>0</v>
      </c>
      <c r="I17" s="68">
        <f t="shared" si="1"/>
        <v>0</v>
      </c>
      <c r="J17" s="68">
        <f t="shared" si="2"/>
        <v>2940</v>
      </c>
      <c r="K17" s="68">
        <f t="shared" si="3"/>
        <v>8853</v>
      </c>
      <c r="L17" s="68">
        <f t="shared" si="4"/>
        <v>0</v>
      </c>
      <c r="M17" s="68">
        <f t="shared" si="5"/>
        <v>0</v>
      </c>
      <c r="N17" s="68">
        <f t="shared" si="0"/>
        <v>11793</v>
      </c>
    </row>
    <row r="18" spans="1:14">
      <c r="A18" s="69">
        <v>14</v>
      </c>
      <c r="B18" s="83">
        <v>46217</v>
      </c>
      <c r="C18" s="84"/>
      <c r="D18" s="145">
        <v>0</v>
      </c>
      <c r="E18" s="157"/>
      <c r="F18" s="145">
        <f t="shared" si="7"/>
        <v>319.5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8307</v>
      </c>
      <c r="L18" s="68">
        <f t="shared" si="4"/>
        <v>0</v>
      </c>
      <c r="M18" s="68">
        <f t="shared" si="5"/>
        <v>0</v>
      </c>
      <c r="N18" s="68">
        <f t="shared" si="0"/>
        <v>8307</v>
      </c>
    </row>
    <row r="19" spans="1:14">
      <c r="A19" s="69">
        <v>15</v>
      </c>
      <c r="B19" s="83">
        <v>46218</v>
      </c>
      <c r="C19" s="84"/>
      <c r="D19" s="145">
        <v>0</v>
      </c>
      <c r="E19" s="159">
        <v>21</v>
      </c>
      <c r="F19" s="145">
        <f t="shared" si="7"/>
        <v>319.5</v>
      </c>
      <c r="G19" s="145">
        <v>0</v>
      </c>
      <c r="H19" s="145">
        <v>0</v>
      </c>
      <c r="I19" s="68">
        <f t="shared" si="1"/>
        <v>0</v>
      </c>
      <c r="J19" s="68">
        <f t="shared" si="2"/>
        <v>2940</v>
      </c>
      <c r="K19" s="68">
        <f t="shared" si="3"/>
        <v>8307</v>
      </c>
      <c r="L19" s="68">
        <f t="shared" si="4"/>
        <v>0</v>
      </c>
      <c r="M19" s="68">
        <f t="shared" si="5"/>
        <v>0</v>
      </c>
      <c r="N19" s="68">
        <f t="shared" si="0"/>
        <v>11247</v>
      </c>
    </row>
    <row r="20" spans="1:14">
      <c r="A20" s="69">
        <v>16</v>
      </c>
      <c r="B20" s="83">
        <v>46219</v>
      </c>
      <c r="C20" s="84"/>
      <c r="D20" s="145">
        <v>0</v>
      </c>
      <c r="E20" s="157"/>
      <c r="F20" s="145">
        <f t="shared" si="7"/>
        <v>298.5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7761</v>
      </c>
      <c r="L20" s="68">
        <f t="shared" si="4"/>
        <v>0</v>
      </c>
      <c r="M20" s="68">
        <f t="shared" si="5"/>
        <v>0</v>
      </c>
      <c r="N20" s="68">
        <f t="shared" si="0"/>
        <v>7761</v>
      </c>
    </row>
    <row r="21" spans="1:14">
      <c r="A21" s="69">
        <v>17</v>
      </c>
      <c r="B21" s="83">
        <v>46220</v>
      </c>
      <c r="C21" s="84"/>
      <c r="D21" s="145">
        <v>0</v>
      </c>
      <c r="E21" s="157"/>
      <c r="F21" s="145">
        <f t="shared" si="7"/>
        <v>298.5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7761</v>
      </c>
      <c r="L21" s="68">
        <f t="shared" si="4"/>
        <v>0</v>
      </c>
      <c r="M21" s="68">
        <f t="shared" si="5"/>
        <v>0</v>
      </c>
      <c r="N21" s="68">
        <f t="shared" si="0"/>
        <v>7761</v>
      </c>
    </row>
    <row r="22" spans="1:14">
      <c r="A22" s="69">
        <v>18</v>
      </c>
      <c r="B22" s="83">
        <v>46221</v>
      </c>
      <c r="C22" s="84"/>
      <c r="D22" s="145">
        <v>0</v>
      </c>
      <c r="E22" s="157"/>
      <c r="F22" s="145">
        <f t="shared" si="7"/>
        <v>298.5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7761</v>
      </c>
      <c r="L22" s="68">
        <f t="shared" si="4"/>
        <v>0</v>
      </c>
      <c r="M22" s="68">
        <f t="shared" si="5"/>
        <v>0</v>
      </c>
      <c r="N22" s="68">
        <f t="shared" si="0"/>
        <v>7761</v>
      </c>
    </row>
    <row r="23" spans="1:14">
      <c r="A23" s="69">
        <v>19</v>
      </c>
      <c r="B23" s="83">
        <v>46222</v>
      </c>
      <c r="C23" s="84"/>
      <c r="D23" s="145">
        <v>0</v>
      </c>
      <c r="E23" s="157"/>
      <c r="F23" s="145">
        <f t="shared" si="7"/>
        <v>298.5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7761</v>
      </c>
      <c r="L23" s="68">
        <f t="shared" si="4"/>
        <v>0</v>
      </c>
      <c r="M23" s="68">
        <f t="shared" si="5"/>
        <v>0</v>
      </c>
      <c r="N23" s="68">
        <f t="shared" si="0"/>
        <v>7761</v>
      </c>
    </row>
    <row r="24" spans="1:14">
      <c r="A24" s="69">
        <v>20</v>
      </c>
      <c r="B24" s="83">
        <v>46223</v>
      </c>
      <c r="C24" s="84"/>
      <c r="D24" s="145">
        <v>0</v>
      </c>
      <c r="E24" s="159">
        <v>45</v>
      </c>
      <c r="F24" s="145">
        <f t="shared" si="7"/>
        <v>298.5</v>
      </c>
      <c r="G24" s="145">
        <v>0</v>
      </c>
      <c r="H24" s="145">
        <v>0</v>
      </c>
      <c r="I24" s="68">
        <f t="shared" si="1"/>
        <v>0</v>
      </c>
      <c r="J24" s="68">
        <f t="shared" si="2"/>
        <v>6300</v>
      </c>
      <c r="K24" s="68">
        <f t="shared" si="3"/>
        <v>7761</v>
      </c>
      <c r="L24" s="68">
        <f t="shared" si="4"/>
        <v>0</v>
      </c>
      <c r="M24" s="68">
        <f t="shared" si="5"/>
        <v>0</v>
      </c>
      <c r="N24" s="68">
        <f t="shared" si="0"/>
        <v>14061</v>
      </c>
    </row>
    <row r="25" spans="1:14">
      <c r="A25" s="69">
        <v>21</v>
      </c>
      <c r="B25" s="83">
        <v>46224</v>
      </c>
      <c r="C25" s="84"/>
      <c r="D25" s="145">
        <v>0</v>
      </c>
      <c r="E25" s="157"/>
      <c r="F25" s="145">
        <f t="shared" si="7"/>
        <v>253.5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6591</v>
      </c>
      <c r="L25" s="68">
        <f t="shared" si="4"/>
        <v>0</v>
      </c>
      <c r="M25" s="68">
        <f t="shared" si="5"/>
        <v>0</v>
      </c>
      <c r="N25" s="68">
        <f t="shared" si="0"/>
        <v>6591</v>
      </c>
    </row>
    <row r="26" spans="1:14">
      <c r="A26" s="69">
        <v>22</v>
      </c>
      <c r="B26" s="83">
        <v>46225</v>
      </c>
      <c r="C26" s="84"/>
      <c r="D26" s="145">
        <v>0</v>
      </c>
      <c r="E26" s="159">
        <v>45</v>
      </c>
      <c r="F26" s="145">
        <f t="shared" si="7"/>
        <v>253.5</v>
      </c>
      <c r="G26" s="145">
        <v>0</v>
      </c>
      <c r="H26" s="145">
        <v>0</v>
      </c>
      <c r="I26" s="68">
        <f t="shared" si="1"/>
        <v>0</v>
      </c>
      <c r="J26" s="68">
        <f t="shared" si="2"/>
        <v>6300</v>
      </c>
      <c r="K26" s="68">
        <f t="shared" si="3"/>
        <v>6591</v>
      </c>
      <c r="L26" s="68">
        <f t="shared" si="4"/>
        <v>0</v>
      </c>
      <c r="M26" s="68">
        <f t="shared" si="5"/>
        <v>0</v>
      </c>
      <c r="N26" s="68">
        <f t="shared" si="0"/>
        <v>12891</v>
      </c>
    </row>
    <row r="27" spans="1:14">
      <c r="A27" s="69">
        <v>23</v>
      </c>
      <c r="B27" s="83">
        <v>46226</v>
      </c>
      <c r="C27" s="84"/>
      <c r="D27" s="145">
        <v>0</v>
      </c>
      <c r="E27" s="158">
        <v>22.5</v>
      </c>
      <c r="F27" s="145">
        <f t="shared" si="7"/>
        <v>208.5</v>
      </c>
      <c r="G27" s="145">
        <v>0</v>
      </c>
      <c r="H27" s="145">
        <v>0</v>
      </c>
      <c r="I27" s="68">
        <f t="shared" si="1"/>
        <v>0</v>
      </c>
      <c r="J27" s="68">
        <f t="shared" si="2"/>
        <v>3150</v>
      </c>
      <c r="K27" s="68">
        <f t="shared" si="3"/>
        <v>5421</v>
      </c>
      <c r="L27" s="68">
        <f t="shared" si="4"/>
        <v>0</v>
      </c>
      <c r="M27" s="68">
        <f t="shared" si="5"/>
        <v>0</v>
      </c>
      <c r="N27" s="68">
        <f t="shared" si="0"/>
        <v>8571</v>
      </c>
    </row>
    <row r="28" spans="1:14">
      <c r="A28" s="69">
        <v>24</v>
      </c>
      <c r="B28" s="83">
        <v>46227</v>
      </c>
      <c r="C28" s="84"/>
      <c r="D28" s="145">
        <v>0</v>
      </c>
      <c r="E28" s="157"/>
      <c r="F28" s="145">
        <f t="shared" si="7"/>
        <v>186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4836</v>
      </c>
      <c r="L28" s="68">
        <f t="shared" si="4"/>
        <v>0</v>
      </c>
      <c r="M28" s="68">
        <f t="shared" si="5"/>
        <v>0</v>
      </c>
      <c r="N28" s="68">
        <f t="shared" si="0"/>
        <v>4836</v>
      </c>
    </row>
    <row r="29" spans="1:14">
      <c r="A29" s="69">
        <v>25</v>
      </c>
      <c r="B29" s="83">
        <v>46228</v>
      </c>
      <c r="C29" s="84"/>
      <c r="D29" s="145">
        <v>0</v>
      </c>
      <c r="E29" s="157"/>
      <c r="F29" s="145">
        <f t="shared" si="7"/>
        <v>186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4836</v>
      </c>
      <c r="L29" s="68">
        <f t="shared" si="4"/>
        <v>0</v>
      </c>
      <c r="M29" s="68">
        <f t="shared" si="5"/>
        <v>0</v>
      </c>
      <c r="N29" s="68">
        <f t="shared" si="0"/>
        <v>4836</v>
      </c>
    </row>
    <row r="30" spans="1:14">
      <c r="A30" s="69">
        <v>26</v>
      </c>
      <c r="B30" s="83">
        <v>46229</v>
      </c>
      <c r="C30" s="84"/>
      <c r="D30" s="145">
        <v>0</v>
      </c>
      <c r="E30" s="157"/>
      <c r="F30" s="145">
        <f t="shared" si="7"/>
        <v>186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4836</v>
      </c>
      <c r="L30" s="68">
        <f t="shared" si="4"/>
        <v>0</v>
      </c>
      <c r="M30" s="68">
        <f t="shared" si="5"/>
        <v>0</v>
      </c>
      <c r="N30" s="68">
        <f t="shared" si="0"/>
        <v>4836</v>
      </c>
    </row>
    <row r="31" spans="1:14">
      <c r="A31" s="69">
        <v>27</v>
      </c>
      <c r="B31" s="83">
        <v>46230</v>
      </c>
      <c r="C31" s="84"/>
      <c r="D31" s="145">
        <v>0</v>
      </c>
      <c r="E31" s="157"/>
      <c r="F31" s="145">
        <f t="shared" si="7"/>
        <v>186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4836</v>
      </c>
      <c r="L31" s="68">
        <f t="shared" si="4"/>
        <v>0</v>
      </c>
      <c r="M31" s="68">
        <f t="shared" si="5"/>
        <v>0</v>
      </c>
      <c r="N31" s="68">
        <f t="shared" si="0"/>
        <v>4836</v>
      </c>
    </row>
    <row r="32" spans="1:14">
      <c r="A32" s="69">
        <v>28</v>
      </c>
      <c r="B32" s="83">
        <v>46231</v>
      </c>
      <c r="C32" s="84"/>
      <c r="D32" s="145">
        <v>0</v>
      </c>
      <c r="E32" s="157"/>
      <c r="F32" s="145">
        <f t="shared" si="7"/>
        <v>186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4836</v>
      </c>
      <c r="L32" s="68">
        <f t="shared" si="4"/>
        <v>0</v>
      </c>
      <c r="M32" s="68">
        <f t="shared" si="5"/>
        <v>0</v>
      </c>
      <c r="N32" s="68">
        <f t="shared" si="0"/>
        <v>4836</v>
      </c>
    </row>
    <row r="33" spans="1:14">
      <c r="A33" s="69">
        <v>29</v>
      </c>
      <c r="B33" s="83">
        <v>46232</v>
      </c>
      <c r="C33" s="84"/>
      <c r="D33" s="145">
        <v>0</v>
      </c>
      <c r="E33" s="158">
        <v>22.5</v>
      </c>
      <c r="F33" s="145">
        <f t="shared" si="7"/>
        <v>186</v>
      </c>
      <c r="G33" s="145">
        <v>0</v>
      </c>
      <c r="H33" s="145">
        <v>0</v>
      </c>
      <c r="I33" s="68">
        <f t="shared" si="1"/>
        <v>0</v>
      </c>
      <c r="J33" s="68">
        <f t="shared" si="2"/>
        <v>3150</v>
      </c>
      <c r="K33" s="68">
        <f t="shared" si="3"/>
        <v>4836</v>
      </c>
      <c r="L33" s="68">
        <f t="shared" si="4"/>
        <v>0</v>
      </c>
      <c r="M33" s="68">
        <f t="shared" si="5"/>
        <v>0</v>
      </c>
      <c r="N33" s="68">
        <f t="shared" si="0"/>
        <v>7986</v>
      </c>
    </row>
    <row r="34" spans="1:14">
      <c r="A34" s="69">
        <v>30</v>
      </c>
      <c r="B34" s="83">
        <v>46233</v>
      </c>
      <c r="C34" s="84"/>
      <c r="D34" s="145">
        <v>0</v>
      </c>
      <c r="E34" s="158">
        <v>22.5</v>
      </c>
      <c r="F34" s="145">
        <f t="shared" si="7"/>
        <v>163.5</v>
      </c>
      <c r="G34" s="145">
        <v>0</v>
      </c>
      <c r="H34" s="145">
        <v>0</v>
      </c>
      <c r="I34" s="68">
        <f t="shared" si="1"/>
        <v>0</v>
      </c>
      <c r="J34" s="68">
        <f t="shared" si="2"/>
        <v>3150</v>
      </c>
      <c r="K34" s="68">
        <f t="shared" si="3"/>
        <v>4251</v>
      </c>
      <c r="L34" s="68">
        <f t="shared" si="4"/>
        <v>0</v>
      </c>
      <c r="M34" s="68">
        <f t="shared" si="5"/>
        <v>0</v>
      </c>
      <c r="N34" s="68">
        <f t="shared" si="0"/>
        <v>7401</v>
      </c>
    </row>
    <row r="35" spans="1:14">
      <c r="A35" s="69"/>
      <c r="B35" s="83">
        <v>46234</v>
      </c>
      <c r="C35" s="84"/>
      <c r="D35" s="145"/>
      <c r="E35" s="157"/>
      <c r="F35" s="145">
        <f t="shared" si="7"/>
        <v>141</v>
      </c>
      <c r="G35" s="145">
        <v>0</v>
      </c>
      <c r="H35" s="145">
        <v>0</v>
      </c>
      <c r="I35" s="68">
        <f t="shared" si="1"/>
        <v>0</v>
      </c>
      <c r="J35" s="68">
        <f t="shared" si="2"/>
        <v>0</v>
      </c>
      <c r="K35" s="68">
        <f t="shared" si="3"/>
        <v>3666</v>
      </c>
      <c r="L35" s="68">
        <f t="shared" si="4"/>
        <v>0</v>
      </c>
      <c r="M35" s="68">
        <f t="shared" si="5"/>
        <v>0</v>
      </c>
      <c r="N35" s="68">
        <f t="shared" si="0"/>
        <v>3666</v>
      </c>
    </row>
    <row r="36" spans="1:14">
      <c r="D36" s="76">
        <f t="shared" ref="D36:N36" si="8">SUM(D5:D35)</f>
        <v>0</v>
      </c>
      <c r="E36" s="76">
        <f t="shared" si="8"/>
        <v>264</v>
      </c>
      <c r="F36" s="76">
        <f t="shared" si="8"/>
        <v>9231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36960</v>
      </c>
      <c r="K36" s="78">
        <f t="shared" si="8"/>
        <v>240006</v>
      </c>
      <c r="L36" s="78">
        <f t="shared" si="8"/>
        <v>0</v>
      </c>
      <c r="M36" s="78">
        <f t="shared" si="8"/>
        <v>0</v>
      </c>
      <c r="N36" s="78">
        <f t="shared" si="8"/>
        <v>276966</v>
      </c>
    </row>
    <row r="37" spans="1:14">
      <c r="L37" s="79"/>
      <c r="M37" s="79"/>
      <c r="N37" s="80">
        <f>N36*1.22</f>
        <v>337898.52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4BA4-0F97-49D6-AFB8-A4E8BA0CD014}">
  <dimension ref="A1:R37"/>
  <sheetViews>
    <sheetView topLeftCell="A14" workbookViewId="0">
      <selection activeCell="N38" sqref="N38"/>
    </sheetView>
  </sheetViews>
  <sheetFormatPr defaultRowHeight="15"/>
  <cols>
    <col min="1" max="1" width="13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21.710937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1" style="51" customWidth="1"/>
    <col min="18" max="18" width="10.42578125" style="51" bestFit="1" customWidth="1"/>
    <col min="19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27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144</v>
      </c>
    </row>
    <row r="5" spans="1:18">
      <c r="A5" s="69">
        <v>1</v>
      </c>
      <c r="B5" s="83">
        <v>46204</v>
      </c>
      <c r="C5" s="84"/>
      <c r="D5" s="145"/>
      <c r="E5" s="145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144</v>
      </c>
    </row>
    <row r="6" spans="1:18">
      <c r="A6" s="69">
        <v>2</v>
      </c>
      <c r="B6" s="83">
        <v>46205</v>
      </c>
      <c r="C6" s="84"/>
      <c r="D6" s="145"/>
      <c r="E6" s="145"/>
      <c r="F6" s="145">
        <f t="shared" ref="F6:F34" si="1">F5+D6-E5</f>
        <v>0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0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0</v>
      </c>
      <c r="Q6" s="143" t="s">
        <v>4</v>
      </c>
      <c r="R6" s="144">
        <v>42</v>
      </c>
    </row>
    <row r="7" spans="1:18">
      <c r="A7" s="69">
        <v>3</v>
      </c>
      <c r="B7" s="83">
        <v>46206</v>
      </c>
      <c r="C7" s="84"/>
      <c r="D7" s="145"/>
      <c r="E7" s="145"/>
      <c r="F7" s="145">
        <f t="shared" si="1"/>
        <v>0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0</v>
      </c>
      <c r="L7" s="68">
        <f t="shared" si="5"/>
        <v>0</v>
      </c>
      <c r="M7" s="68">
        <f t="shared" si="6"/>
        <v>0</v>
      </c>
      <c r="N7" s="68">
        <f t="shared" si="0"/>
        <v>0</v>
      </c>
      <c r="Q7" s="143" t="s">
        <v>101</v>
      </c>
      <c r="R7" s="144">
        <v>1200</v>
      </c>
    </row>
    <row r="8" spans="1:18">
      <c r="A8" s="69">
        <v>4</v>
      </c>
      <c r="B8" s="83">
        <v>46207</v>
      </c>
      <c r="C8" s="84"/>
      <c r="D8" s="145"/>
      <c r="E8" s="145"/>
      <c r="F8" s="145">
        <f t="shared" si="1"/>
        <v>0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0</v>
      </c>
      <c r="L8" s="68">
        <f t="shared" si="5"/>
        <v>0</v>
      </c>
      <c r="M8" s="68">
        <f t="shared" si="6"/>
        <v>0</v>
      </c>
      <c r="N8" s="68">
        <f t="shared" si="0"/>
        <v>0</v>
      </c>
      <c r="Q8" s="143" t="s">
        <v>8</v>
      </c>
      <c r="R8" s="144">
        <v>240</v>
      </c>
    </row>
    <row r="9" spans="1:18">
      <c r="A9" s="69">
        <v>5</v>
      </c>
      <c r="B9" s="83">
        <v>46208</v>
      </c>
      <c r="C9" s="84"/>
      <c r="D9" s="145"/>
      <c r="E9" s="145"/>
      <c r="F9" s="145">
        <f t="shared" si="1"/>
        <v>0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0</v>
      </c>
      <c r="L9" s="68">
        <f t="shared" si="5"/>
        <v>0</v>
      </c>
      <c r="M9" s="68">
        <f t="shared" si="6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45"/>
      <c r="F10" s="145">
        <f t="shared" si="1"/>
        <v>0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0</v>
      </c>
      <c r="L10" s="68">
        <f t="shared" si="5"/>
        <v>0</v>
      </c>
      <c r="M10" s="68">
        <f t="shared" si="6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45"/>
      <c r="F11" s="145">
        <f t="shared" si="1"/>
        <v>0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0</v>
      </c>
      <c r="L11" s="68">
        <f t="shared" si="5"/>
        <v>0</v>
      </c>
      <c r="M11" s="68">
        <f t="shared" si="6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45"/>
      <c r="F12" s="145">
        <f t="shared" si="1"/>
        <v>0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0</v>
      </c>
      <c r="L12" s="68">
        <f t="shared" si="5"/>
        <v>0</v>
      </c>
      <c r="M12" s="68">
        <f t="shared" si="6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45"/>
      <c r="F13" s="145">
        <f t="shared" si="1"/>
        <v>0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0</v>
      </c>
      <c r="L13" s="68">
        <f t="shared" si="5"/>
        <v>0</v>
      </c>
      <c r="M13" s="68">
        <f t="shared" si="6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45"/>
      <c r="F14" s="145">
        <f t="shared" si="1"/>
        <v>0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0</v>
      </c>
      <c r="L14" s="68">
        <f t="shared" si="5"/>
        <v>0</v>
      </c>
      <c r="M14" s="68">
        <f t="shared" si="6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45"/>
      <c r="F15" s="145">
        <f t="shared" si="1"/>
        <v>0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0</v>
      </c>
      <c r="L15" s="68">
        <f t="shared" si="5"/>
        <v>0</v>
      </c>
      <c r="M15" s="68">
        <f t="shared" si="6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45"/>
      <c r="F16" s="145">
        <f t="shared" si="1"/>
        <v>0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0</v>
      </c>
      <c r="L16" s="68">
        <f t="shared" si="5"/>
        <v>0</v>
      </c>
      <c r="M16" s="68">
        <f t="shared" si="6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45"/>
      <c r="F17" s="145">
        <f t="shared" si="1"/>
        <v>0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0</v>
      </c>
      <c r="L17" s="68">
        <f t="shared" si="5"/>
        <v>0</v>
      </c>
      <c r="M17" s="68">
        <f t="shared" si="6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45"/>
      <c r="F18" s="145">
        <f t="shared" si="1"/>
        <v>0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0</v>
      </c>
      <c r="L18" s="68">
        <f t="shared" si="5"/>
        <v>0</v>
      </c>
      <c r="M18" s="68">
        <f t="shared" si="6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45"/>
      <c r="F19" s="145">
        <f t="shared" si="1"/>
        <v>0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0</v>
      </c>
      <c r="L19" s="68">
        <f t="shared" si="5"/>
        <v>0</v>
      </c>
      <c r="M19" s="68">
        <f t="shared" si="6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45"/>
      <c r="F20" s="145">
        <f t="shared" si="1"/>
        <v>0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0</v>
      </c>
      <c r="L20" s="68">
        <f t="shared" si="5"/>
        <v>0</v>
      </c>
      <c r="M20" s="68">
        <f t="shared" si="6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45"/>
      <c r="F21" s="145">
        <f t="shared" si="1"/>
        <v>0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0</v>
      </c>
      <c r="L21" s="68">
        <f t="shared" si="5"/>
        <v>0</v>
      </c>
      <c r="M21" s="68">
        <f t="shared" si="6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45"/>
      <c r="F22" s="145">
        <f t="shared" si="1"/>
        <v>0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0</v>
      </c>
      <c r="L22" s="68">
        <f t="shared" si="5"/>
        <v>0</v>
      </c>
      <c r="M22" s="68">
        <f t="shared" si="6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45"/>
      <c r="F23" s="145">
        <f t="shared" si="1"/>
        <v>0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0</v>
      </c>
      <c r="L23" s="68">
        <f t="shared" si="5"/>
        <v>0</v>
      </c>
      <c r="M23" s="68">
        <f t="shared" si="6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45"/>
      <c r="F24" s="145">
        <f t="shared" si="1"/>
        <v>0</v>
      </c>
      <c r="G24" s="145">
        <v>0</v>
      </c>
      <c r="H24" s="145">
        <v>0</v>
      </c>
      <c r="I24" s="68">
        <f t="shared" si="2"/>
        <v>0</v>
      </c>
      <c r="J24" s="68">
        <f t="shared" si="3"/>
        <v>0</v>
      </c>
      <c r="K24" s="68">
        <f t="shared" si="4"/>
        <v>0</v>
      </c>
      <c r="L24" s="68">
        <f t="shared" si="5"/>
        <v>0</v>
      </c>
      <c r="M24" s="68">
        <f t="shared" si="6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45"/>
      <c r="F25" s="145">
        <f t="shared" si="1"/>
        <v>0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0</v>
      </c>
      <c r="L25" s="68">
        <f t="shared" si="5"/>
        <v>0</v>
      </c>
      <c r="M25" s="68">
        <f t="shared" si="6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45"/>
      <c r="F26" s="145">
        <f t="shared" si="1"/>
        <v>0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0</v>
      </c>
      <c r="L26" s="68">
        <f t="shared" si="5"/>
        <v>0</v>
      </c>
      <c r="M26" s="68">
        <f t="shared" si="6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45"/>
      <c r="F27" s="145">
        <f t="shared" si="1"/>
        <v>0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0</v>
      </c>
      <c r="L27" s="68">
        <f t="shared" si="5"/>
        <v>0</v>
      </c>
      <c r="M27" s="68">
        <f t="shared" si="6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45"/>
      <c r="F28" s="145">
        <f t="shared" si="1"/>
        <v>0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0</v>
      </c>
      <c r="L28" s="68">
        <f t="shared" si="5"/>
        <v>0</v>
      </c>
      <c r="M28" s="68">
        <f t="shared" si="6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45"/>
      <c r="F29" s="145">
        <f t="shared" si="1"/>
        <v>0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0</v>
      </c>
      <c r="L29" s="68">
        <f t="shared" si="5"/>
        <v>0</v>
      </c>
      <c r="M29" s="68">
        <f t="shared" si="6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45"/>
      <c r="F30" s="145">
        <f t="shared" si="1"/>
        <v>0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0</v>
      </c>
      <c r="L30" s="68">
        <f t="shared" si="5"/>
        <v>0</v>
      </c>
      <c r="M30" s="68">
        <f t="shared" si="6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45"/>
      <c r="F31" s="145">
        <f t="shared" si="1"/>
        <v>0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0</v>
      </c>
      <c r="L31" s="68">
        <f t="shared" si="5"/>
        <v>0</v>
      </c>
      <c r="M31" s="68">
        <f t="shared" si="6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45"/>
      <c r="F32" s="145">
        <f t="shared" si="1"/>
        <v>0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0</v>
      </c>
      <c r="L32" s="68">
        <f t="shared" si="5"/>
        <v>0</v>
      </c>
      <c r="M32" s="68">
        <f t="shared" si="6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1"/>
        <v>0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0</v>
      </c>
      <c r="L33" s="68">
        <f t="shared" si="5"/>
        <v>0</v>
      </c>
      <c r="M33" s="68">
        <f t="shared" si="6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1"/>
        <v>0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0</v>
      </c>
      <c r="L34" s="68">
        <f t="shared" si="5"/>
        <v>0</v>
      </c>
      <c r="M34" s="68">
        <f t="shared" si="6"/>
        <v>0</v>
      </c>
      <c r="N34" s="68">
        <f t="shared" si="0"/>
        <v>0</v>
      </c>
    </row>
    <row r="35" spans="1:14">
      <c r="A35" s="69">
        <v>31</v>
      </c>
      <c r="B35" s="83"/>
      <c r="C35" s="84"/>
      <c r="D35" s="145"/>
      <c r="E35" s="145"/>
      <c r="F35" s="145"/>
      <c r="G35" s="145">
        <v>0</v>
      </c>
      <c r="H35" s="145">
        <v>0</v>
      </c>
      <c r="I35" s="68">
        <f t="shared" si="2"/>
        <v>0</v>
      </c>
      <c r="J35" s="68">
        <f t="shared" si="3"/>
        <v>0</v>
      </c>
      <c r="K35" s="68">
        <f t="shared" si="4"/>
        <v>0</v>
      </c>
      <c r="L35" s="68">
        <f t="shared" si="5"/>
        <v>0</v>
      </c>
      <c r="M35" s="68">
        <f t="shared" si="6"/>
        <v>0</v>
      </c>
      <c r="N35" s="68">
        <f t="shared" si="0"/>
        <v>0</v>
      </c>
    </row>
    <row r="36" spans="1:14">
      <c r="D36" s="76">
        <f t="shared" ref="D36:N36" si="7">SUM(D5:D35)</f>
        <v>0</v>
      </c>
      <c r="E36" s="76">
        <f t="shared" si="7"/>
        <v>0</v>
      </c>
      <c r="F36" s="76">
        <f t="shared" si="7"/>
        <v>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0</v>
      </c>
      <c r="L36" s="78">
        <f t="shared" si="7"/>
        <v>0</v>
      </c>
      <c r="M36" s="78">
        <f t="shared" si="7"/>
        <v>0</v>
      </c>
      <c r="N36" s="78">
        <f t="shared" si="7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E9D1-5CD4-4FA7-B257-D41492668989}">
  <dimension ref="A1:R37"/>
  <sheetViews>
    <sheetView topLeftCell="A13" workbookViewId="0">
      <selection activeCell="N38" sqref="N38"/>
    </sheetView>
  </sheetViews>
  <sheetFormatPr defaultRowHeight="15"/>
  <cols>
    <col min="1" max="1" width="15.4257812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21.710937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1" style="51" customWidth="1"/>
    <col min="18" max="18" width="10.42578125" style="51" bestFit="1" customWidth="1"/>
    <col min="19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34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</row>
    <row r="5" spans="1:18">
      <c r="A5" s="69">
        <v>1</v>
      </c>
      <c r="B5" s="83">
        <v>46204</v>
      </c>
      <c r="C5" s="84"/>
      <c r="D5" s="145"/>
      <c r="E5" s="145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140</v>
      </c>
    </row>
    <row r="6" spans="1:18">
      <c r="A6" s="69">
        <v>2</v>
      </c>
      <c r="B6" s="83">
        <v>46205</v>
      </c>
      <c r="C6" s="84"/>
      <c r="D6" s="145"/>
      <c r="E6" s="145"/>
      <c r="F6" s="145">
        <f t="shared" ref="F6:F35" si="1">F5+D6-E5</f>
        <v>0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0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0</v>
      </c>
      <c r="Q6" s="143" t="s">
        <v>4</v>
      </c>
      <c r="R6" s="144">
        <v>34</v>
      </c>
    </row>
    <row r="7" spans="1:18">
      <c r="A7" s="69">
        <v>3</v>
      </c>
      <c r="B7" s="83">
        <v>46206</v>
      </c>
      <c r="C7" s="84"/>
      <c r="D7" s="145"/>
      <c r="E7" s="145"/>
      <c r="F7" s="145">
        <f t="shared" si="1"/>
        <v>0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0</v>
      </c>
      <c r="L7" s="68">
        <f t="shared" si="5"/>
        <v>0</v>
      </c>
      <c r="M7" s="68">
        <f t="shared" si="6"/>
        <v>0</v>
      </c>
      <c r="N7" s="68">
        <f t="shared" si="0"/>
        <v>0</v>
      </c>
      <c r="Q7" s="143" t="s">
        <v>101</v>
      </c>
      <c r="R7" s="144">
        <v>1200</v>
      </c>
    </row>
    <row r="8" spans="1:18">
      <c r="A8" s="69">
        <v>4</v>
      </c>
      <c r="B8" s="83">
        <v>46207</v>
      </c>
      <c r="C8" s="84"/>
      <c r="D8" s="145"/>
      <c r="E8" s="145"/>
      <c r="F8" s="145">
        <f t="shared" si="1"/>
        <v>0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0</v>
      </c>
      <c r="L8" s="68">
        <f t="shared" si="5"/>
        <v>0</v>
      </c>
      <c r="M8" s="68">
        <f t="shared" si="6"/>
        <v>0</v>
      </c>
      <c r="N8" s="68">
        <f t="shared" si="0"/>
        <v>0</v>
      </c>
      <c r="Q8" s="143" t="s">
        <v>8</v>
      </c>
      <c r="R8" s="144">
        <v>240</v>
      </c>
    </row>
    <row r="9" spans="1:18">
      <c r="A9" s="69">
        <v>5</v>
      </c>
      <c r="B9" s="83">
        <v>46208</v>
      </c>
      <c r="C9" s="84"/>
      <c r="D9" s="145"/>
      <c r="E9" s="145"/>
      <c r="F9" s="145">
        <f t="shared" si="1"/>
        <v>0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0</v>
      </c>
      <c r="L9" s="68">
        <f t="shared" si="5"/>
        <v>0</v>
      </c>
      <c r="M9" s="68">
        <f t="shared" si="6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45"/>
      <c r="F10" s="145">
        <f t="shared" si="1"/>
        <v>0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0</v>
      </c>
      <c r="L10" s="68">
        <f t="shared" si="5"/>
        <v>0</v>
      </c>
      <c r="M10" s="68">
        <f t="shared" si="6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45"/>
      <c r="F11" s="145">
        <f t="shared" si="1"/>
        <v>0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0</v>
      </c>
      <c r="L11" s="68">
        <f t="shared" si="5"/>
        <v>0</v>
      </c>
      <c r="M11" s="68">
        <f t="shared" si="6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45"/>
      <c r="F12" s="145">
        <f t="shared" si="1"/>
        <v>0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0</v>
      </c>
      <c r="L12" s="68">
        <f t="shared" si="5"/>
        <v>0</v>
      </c>
      <c r="M12" s="68">
        <f t="shared" si="6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45"/>
      <c r="F13" s="145">
        <f t="shared" si="1"/>
        <v>0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0</v>
      </c>
      <c r="L13" s="68">
        <f t="shared" si="5"/>
        <v>0</v>
      </c>
      <c r="M13" s="68">
        <f t="shared" si="6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45"/>
      <c r="F14" s="145">
        <f t="shared" si="1"/>
        <v>0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0</v>
      </c>
      <c r="L14" s="68">
        <f t="shared" si="5"/>
        <v>0</v>
      </c>
      <c r="M14" s="68">
        <f t="shared" si="6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45"/>
      <c r="F15" s="145">
        <f t="shared" si="1"/>
        <v>0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0</v>
      </c>
      <c r="L15" s="68">
        <f t="shared" si="5"/>
        <v>0</v>
      </c>
      <c r="M15" s="68">
        <f t="shared" si="6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45"/>
      <c r="F16" s="145">
        <f t="shared" si="1"/>
        <v>0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0</v>
      </c>
      <c r="L16" s="68">
        <f t="shared" si="5"/>
        <v>0</v>
      </c>
      <c r="M16" s="68">
        <f t="shared" si="6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45"/>
      <c r="F17" s="145">
        <f t="shared" si="1"/>
        <v>0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0</v>
      </c>
      <c r="L17" s="68">
        <f t="shared" si="5"/>
        <v>0</v>
      </c>
      <c r="M17" s="68">
        <f t="shared" si="6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45"/>
      <c r="F18" s="145">
        <f t="shared" si="1"/>
        <v>0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0</v>
      </c>
      <c r="L18" s="68">
        <f t="shared" si="5"/>
        <v>0</v>
      </c>
      <c r="M18" s="68">
        <f t="shared" si="6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45"/>
      <c r="F19" s="145">
        <f t="shared" si="1"/>
        <v>0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0</v>
      </c>
      <c r="L19" s="68">
        <f t="shared" si="5"/>
        <v>0</v>
      </c>
      <c r="M19" s="68">
        <f t="shared" si="6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45"/>
      <c r="F20" s="145">
        <f t="shared" si="1"/>
        <v>0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0</v>
      </c>
      <c r="L20" s="68">
        <f t="shared" si="5"/>
        <v>0</v>
      </c>
      <c r="M20" s="68">
        <f t="shared" si="6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45"/>
      <c r="F21" s="145">
        <f t="shared" si="1"/>
        <v>0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0</v>
      </c>
      <c r="L21" s="68">
        <f t="shared" si="5"/>
        <v>0</v>
      </c>
      <c r="M21" s="68">
        <f t="shared" si="6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45"/>
      <c r="F22" s="145">
        <f t="shared" si="1"/>
        <v>0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0</v>
      </c>
      <c r="L22" s="68">
        <f t="shared" si="5"/>
        <v>0</v>
      </c>
      <c r="M22" s="68">
        <f t="shared" si="6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60"/>
      <c r="F23" s="145">
        <f t="shared" si="1"/>
        <v>0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0</v>
      </c>
      <c r="L23" s="68">
        <f t="shared" si="5"/>
        <v>0</v>
      </c>
      <c r="M23" s="68">
        <f t="shared" si="6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60"/>
      <c r="F24" s="145">
        <f t="shared" si="1"/>
        <v>0</v>
      </c>
      <c r="G24" s="145">
        <v>0</v>
      </c>
      <c r="H24" s="145">
        <v>0</v>
      </c>
      <c r="I24" s="68">
        <f t="shared" si="2"/>
        <v>0</v>
      </c>
      <c r="J24" s="68">
        <f t="shared" si="3"/>
        <v>0</v>
      </c>
      <c r="K24" s="68">
        <f t="shared" si="4"/>
        <v>0</v>
      </c>
      <c r="L24" s="68">
        <f t="shared" si="5"/>
        <v>0</v>
      </c>
      <c r="M24" s="68">
        <f t="shared" si="6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60"/>
      <c r="F25" s="145">
        <f t="shared" si="1"/>
        <v>0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0</v>
      </c>
      <c r="L25" s="68">
        <f t="shared" si="5"/>
        <v>0</v>
      </c>
      <c r="M25" s="68">
        <f t="shared" si="6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60"/>
      <c r="F26" s="145">
        <f t="shared" si="1"/>
        <v>0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0</v>
      </c>
      <c r="L26" s="68">
        <f t="shared" si="5"/>
        <v>0</v>
      </c>
      <c r="M26" s="68">
        <f t="shared" si="6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60"/>
      <c r="F27" s="145">
        <f t="shared" si="1"/>
        <v>0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0</v>
      </c>
      <c r="L27" s="68">
        <f t="shared" si="5"/>
        <v>0</v>
      </c>
      <c r="M27" s="68">
        <f t="shared" si="6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60"/>
      <c r="F28" s="145">
        <f t="shared" si="1"/>
        <v>0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0</v>
      </c>
      <c r="L28" s="68">
        <f t="shared" si="5"/>
        <v>0</v>
      </c>
      <c r="M28" s="68">
        <f t="shared" si="6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60"/>
      <c r="F29" s="145">
        <f t="shared" si="1"/>
        <v>0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0</v>
      </c>
      <c r="L29" s="68">
        <f t="shared" si="5"/>
        <v>0</v>
      </c>
      <c r="M29" s="68">
        <f t="shared" si="6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60"/>
      <c r="F30" s="145">
        <f t="shared" si="1"/>
        <v>0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0</v>
      </c>
      <c r="L30" s="68">
        <f t="shared" si="5"/>
        <v>0</v>
      </c>
      <c r="M30" s="68">
        <f t="shared" si="6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60"/>
      <c r="F31" s="145">
        <f t="shared" si="1"/>
        <v>0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0</v>
      </c>
      <c r="L31" s="68">
        <f t="shared" si="5"/>
        <v>0</v>
      </c>
      <c r="M31" s="68">
        <f t="shared" si="6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60"/>
      <c r="F32" s="145">
        <f t="shared" si="1"/>
        <v>0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0</v>
      </c>
      <c r="L32" s="68">
        <f t="shared" si="5"/>
        <v>0</v>
      </c>
      <c r="M32" s="68">
        <f t="shared" si="6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1"/>
        <v>0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0</v>
      </c>
      <c r="L33" s="68">
        <f t="shared" si="5"/>
        <v>0</v>
      </c>
      <c r="M33" s="68">
        <f t="shared" si="6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1"/>
        <v>0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0</v>
      </c>
      <c r="L34" s="68">
        <f t="shared" si="5"/>
        <v>0</v>
      </c>
      <c r="M34" s="68">
        <f t="shared" si="6"/>
        <v>0</v>
      </c>
      <c r="N34" s="68">
        <f t="shared" si="0"/>
        <v>0</v>
      </c>
    </row>
    <row r="35" spans="1:14">
      <c r="A35" s="69">
        <v>31</v>
      </c>
      <c r="B35" s="83">
        <v>46234</v>
      </c>
      <c r="C35" s="84"/>
      <c r="D35" s="145"/>
      <c r="E35" s="145"/>
      <c r="F35" s="145">
        <f t="shared" si="1"/>
        <v>0</v>
      </c>
      <c r="G35" s="145">
        <v>0</v>
      </c>
      <c r="H35" s="145">
        <v>0</v>
      </c>
      <c r="I35" s="68">
        <f t="shared" si="2"/>
        <v>0</v>
      </c>
      <c r="J35" s="68">
        <f t="shared" si="3"/>
        <v>0</v>
      </c>
      <c r="K35" s="68">
        <f t="shared" si="4"/>
        <v>0</v>
      </c>
      <c r="L35" s="68">
        <f t="shared" si="5"/>
        <v>0</v>
      </c>
      <c r="M35" s="68">
        <f t="shared" si="6"/>
        <v>0</v>
      </c>
      <c r="N35" s="68">
        <f t="shared" si="0"/>
        <v>0</v>
      </c>
    </row>
    <row r="36" spans="1:14">
      <c r="D36" s="76">
        <f t="shared" ref="D36:N36" si="7">SUM(D5:D35)</f>
        <v>0</v>
      </c>
      <c r="E36" s="76">
        <f t="shared" si="7"/>
        <v>0</v>
      </c>
      <c r="F36" s="76">
        <f t="shared" si="7"/>
        <v>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0</v>
      </c>
      <c r="L36" s="78">
        <f t="shared" si="7"/>
        <v>0</v>
      </c>
      <c r="M36" s="78">
        <f t="shared" si="7"/>
        <v>0</v>
      </c>
      <c r="N36" s="78">
        <f t="shared" si="7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AD44-5F4C-4952-B21A-82CC8EB3BD80}">
  <dimension ref="A1:R37"/>
  <sheetViews>
    <sheetView topLeftCell="A16" workbookViewId="0">
      <selection activeCell="N38" sqref="N38"/>
    </sheetView>
  </sheetViews>
  <sheetFormatPr defaultRowHeight="15"/>
  <cols>
    <col min="1" max="1" width="14.2851562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3.85546875" style="51" customWidth="1"/>
    <col min="18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35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120</v>
      </c>
    </row>
    <row r="5" spans="1:18">
      <c r="A5" s="69">
        <v>1</v>
      </c>
      <c r="B5" s="83">
        <v>46204</v>
      </c>
      <c r="C5" s="84"/>
      <c r="D5" s="145"/>
      <c r="E5" s="161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120</v>
      </c>
    </row>
    <row r="6" spans="1:18">
      <c r="A6" s="69">
        <v>2</v>
      </c>
      <c r="B6" s="83">
        <v>46205</v>
      </c>
      <c r="C6" s="84"/>
      <c r="D6" s="145"/>
      <c r="E6" s="161"/>
      <c r="F6" s="145">
        <f t="shared" ref="F6:F35" si="1">F5+D6-E5</f>
        <v>0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0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0</v>
      </c>
      <c r="Q6" s="143" t="s">
        <v>4</v>
      </c>
      <c r="R6" s="144">
        <v>18</v>
      </c>
    </row>
    <row r="7" spans="1:18">
      <c r="A7" s="69">
        <v>3</v>
      </c>
      <c r="B7" s="83">
        <v>46206</v>
      </c>
      <c r="C7" s="84"/>
      <c r="D7" s="145"/>
      <c r="E7" s="161"/>
      <c r="F7" s="145">
        <f t="shared" si="1"/>
        <v>0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0</v>
      </c>
      <c r="L7" s="68">
        <f t="shared" si="5"/>
        <v>0</v>
      </c>
      <c r="M7" s="68">
        <f t="shared" si="6"/>
        <v>0</v>
      </c>
      <c r="N7" s="68">
        <f t="shared" si="0"/>
        <v>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/>
      <c r="E8" s="161"/>
      <c r="F8" s="145">
        <f t="shared" si="1"/>
        <v>0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0</v>
      </c>
      <c r="L8" s="68">
        <f t="shared" si="5"/>
        <v>0</v>
      </c>
      <c r="M8" s="68">
        <f t="shared" si="6"/>
        <v>0</v>
      </c>
      <c r="N8" s="68">
        <f t="shared" si="0"/>
        <v>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/>
      <c r="E9" s="161"/>
      <c r="F9" s="145">
        <f t="shared" si="1"/>
        <v>0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0</v>
      </c>
      <c r="L9" s="68">
        <f t="shared" si="5"/>
        <v>0</v>
      </c>
      <c r="M9" s="68">
        <f t="shared" si="6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61"/>
      <c r="F10" s="145">
        <f t="shared" si="1"/>
        <v>0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0</v>
      </c>
      <c r="L10" s="68">
        <f t="shared" si="5"/>
        <v>0</v>
      </c>
      <c r="M10" s="68">
        <f t="shared" si="6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61"/>
      <c r="F11" s="145">
        <f t="shared" si="1"/>
        <v>0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0</v>
      </c>
      <c r="L11" s="68">
        <f t="shared" si="5"/>
        <v>0</v>
      </c>
      <c r="M11" s="68">
        <f t="shared" si="6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62"/>
      <c r="F12" s="145">
        <f t="shared" si="1"/>
        <v>0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0</v>
      </c>
      <c r="L12" s="68">
        <f t="shared" si="5"/>
        <v>0</v>
      </c>
      <c r="M12" s="68">
        <f t="shared" si="6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62"/>
      <c r="F13" s="145">
        <f t="shared" si="1"/>
        <v>0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0</v>
      </c>
      <c r="L13" s="68">
        <f t="shared" si="5"/>
        <v>0</v>
      </c>
      <c r="M13" s="68">
        <f t="shared" si="6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62"/>
      <c r="F14" s="145">
        <f t="shared" si="1"/>
        <v>0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0</v>
      </c>
      <c r="L14" s="68">
        <f t="shared" si="5"/>
        <v>0</v>
      </c>
      <c r="M14" s="68">
        <f t="shared" si="6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62"/>
      <c r="F15" s="145">
        <f t="shared" si="1"/>
        <v>0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0</v>
      </c>
      <c r="L15" s="68">
        <f t="shared" si="5"/>
        <v>0</v>
      </c>
      <c r="M15" s="68">
        <f t="shared" si="6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62"/>
      <c r="F16" s="145">
        <f t="shared" si="1"/>
        <v>0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0</v>
      </c>
      <c r="L16" s="68">
        <f t="shared" si="5"/>
        <v>0</v>
      </c>
      <c r="M16" s="68">
        <f t="shared" si="6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62"/>
      <c r="F17" s="145">
        <f t="shared" si="1"/>
        <v>0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0</v>
      </c>
      <c r="L17" s="68">
        <f t="shared" si="5"/>
        <v>0</v>
      </c>
      <c r="M17" s="68">
        <f t="shared" si="6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62"/>
      <c r="F18" s="145">
        <f t="shared" si="1"/>
        <v>0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0</v>
      </c>
      <c r="L18" s="68">
        <f t="shared" si="5"/>
        <v>0</v>
      </c>
      <c r="M18" s="68">
        <f t="shared" si="6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62"/>
      <c r="F19" s="145">
        <f t="shared" si="1"/>
        <v>0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0</v>
      </c>
      <c r="L19" s="68">
        <f t="shared" si="5"/>
        <v>0</v>
      </c>
      <c r="M19" s="68">
        <f t="shared" si="6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62"/>
      <c r="F20" s="145">
        <f t="shared" si="1"/>
        <v>0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0</v>
      </c>
      <c r="L20" s="68">
        <f t="shared" si="5"/>
        <v>0</v>
      </c>
      <c r="M20" s="68">
        <f t="shared" si="6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62"/>
      <c r="F21" s="145">
        <f t="shared" si="1"/>
        <v>0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0</v>
      </c>
      <c r="L21" s="68">
        <f t="shared" si="5"/>
        <v>0</v>
      </c>
      <c r="M21" s="68">
        <f t="shared" si="6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62"/>
      <c r="F22" s="145">
        <f t="shared" si="1"/>
        <v>0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0</v>
      </c>
      <c r="L22" s="68">
        <f t="shared" si="5"/>
        <v>0</v>
      </c>
      <c r="M22" s="68">
        <f t="shared" si="6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63"/>
      <c r="F23" s="145">
        <f t="shared" si="1"/>
        <v>0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0</v>
      </c>
      <c r="L23" s="68">
        <f t="shared" si="5"/>
        <v>0</v>
      </c>
      <c r="M23" s="68">
        <f t="shared" si="6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63"/>
      <c r="F24" s="145">
        <f t="shared" si="1"/>
        <v>0</v>
      </c>
      <c r="G24" s="145">
        <v>0</v>
      </c>
      <c r="H24" s="145">
        <v>0</v>
      </c>
      <c r="I24" s="68">
        <f t="shared" si="2"/>
        <v>0</v>
      </c>
      <c r="J24" s="68">
        <f t="shared" si="3"/>
        <v>0</v>
      </c>
      <c r="K24" s="68">
        <f t="shared" si="4"/>
        <v>0</v>
      </c>
      <c r="L24" s="68">
        <f t="shared" si="5"/>
        <v>0</v>
      </c>
      <c r="M24" s="68">
        <f t="shared" si="6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62"/>
      <c r="F25" s="145">
        <f t="shared" si="1"/>
        <v>0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0</v>
      </c>
      <c r="L25" s="68">
        <f t="shared" si="5"/>
        <v>0</v>
      </c>
      <c r="M25" s="68">
        <f t="shared" si="6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63"/>
      <c r="F26" s="145">
        <f t="shared" si="1"/>
        <v>0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0</v>
      </c>
      <c r="L26" s="68">
        <f t="shared" si="5"/>
        <v>0</v>
      </c>
      <c r="M26" s="68">
        <f t="shared" si="6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63"/>
      <c r="F27" s="145">
        <f t="shared" si="1"/>
        <v>0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0</v>
      </c>
      <c r="L27" s="68">
        <f t="shared" si="5"/>
        <v>0</v>
      </c>
      <c r="M27" s="68">
        <f t="shared" si="6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63"/>
      <c r="F28" s="145">
        <f t="shared" si="1"/>
        <v>0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0</v>
      </c>
      <c r="L28" s="68">
        <f t="shared" si="5"/>
        <v>0</v>
      </c>
      <c r="M28" s="68">
        <f t="shared" si="6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62"/>
      <c r="F29" s="145">
        <f t="shared" si="1"/>
        <v>0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0</v>
      </c>
      <c r="L29" s="68">
        <f t="shared" si="5"/>
        <v>0</v>
      </c>
      <c r="M29" s="68">
        <f t="shared" si="6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61"/>
      <c r="F30" s="145">
        <f t="shared" si="1"/>
        <v>0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0</v>
      </c>
      <c r="L30" s="68">
        <f t="shared" si="5"/>
        <v>0</v>
      </c>
      <c r="M30" s="68">
        <f t="shared" si="6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61"/>
      <c r="F31" s="145">
        <f t="shared" si="1"/>
        <v>0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0</v>
      </c>
      <c r="L31" s="68">
        <f t="shared" si="5"/>
        <v>0</v>
      </c>
      <c r="M31" s="68">
        <f t="shared" si="6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61"/>
      <c r="F32" s="145">
        <f t="shared" si="1"/>
        <v>0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0</v>
      </c>
      <c r="L32" s="68">
        <f t="shared" si="5"/>
        <v>0</v>
      </c>
      <c r="M32" s="68">
        <f t="shared" si="6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1"/>
        <v>0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0</v>
      </c>
      <c r="L33" s="68">
        <f t="shared" si="5"/>
        <v>0</v>
      </c>
      <c r="M33" s="68">
        <f t="shared" si="6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1"/>
        <v>0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0</v>
      </c>
      <c r="L34" s="68">
        <f t="shared" si="5"/>
        <v>0</v>
      </c>
      <c r="M34" s="68">
        <f t="shared" si="6"/>
        <v>0</v>
      </c>
      <c r="N34" s="68">
        <f t="shared" si="0"/>
        <v>0</v>
      </c>
    </row>
    <row r="35" spans="1:14">
      <c r="A35" s="69">
        <v>31</v>
      </c>
      <c r="B35" s="83">
        <v>46234</v>
      </c>
      <c r="C35" s="84"/>
      <c r="D35" s="145"/>
      <c r="E35" s="145"/>
      <c r="F35" s="145">
        <f t="shared" si="1"/>
        <v>0</v>
      </c>
      <c r="G35" s="145">
        <v>0</v>
      </c>
      <c r="H35" s="145">
        <v>0</v>
      </c>
      <c r="I35" s="68">
        <f t="shared" si="2"/>
        <v>0</v>
      </c>
      <c r="J35" s="68">
        <f t="shared" si="3"/>
        <v>0</v>
      </c>
      <c r="K35" s="68">
        <f t="shared" si="4"/>
        <v>0</v>
      </c>
      <c r="L35" s="68">
        <f t="shared" si="5"/>
        <v>0</v>
      </c>
      <c r="M35" s="68">
        <f t="shared" si="6"/>
        <v>0</v>
      </c>
      <c r="N35" s="68">
        <f t="shared" si="0"/>
        <v>0</v>
      </c>
    </row>
    <row r="36" spans="1:14">
      <c r="D36" s="76">
        <f t="shared" ref="D36:N36" si="7">SUM(D5:D35)</f>
        <v>0</v>
      </c>
      <c r="E36" s="76">
        <f t="shared" si="7"/>
        <v>0</v>
      </c>
      <c r="F36" s="76">
        <f t="shared" si="7"/>
        <v>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0</v>
      </c>
      <c r="L36" s="78">
        <f t="shared" si="7"/>
        <v>0</v>
      </c>
      <c r="M36" s="78">
        <f t="shared" si="7"/>
        <v>0</v>
      </c>
      <c r="N36" s="78">
        <f t="shared" si="7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A93F-E078-4471-B8CF-9C08FFC20737}">
  <dimension ref="A1:R37"/>
  <sheetViews>
    <sheetView topLeftCell="A19" workbookViewId="0">
      <selection activeCell="J45" sqref="J45"/>
    </sheetView>
  </sheetViews>
  <sheetFormatPr defaultRowHeight="15"/>
  <cols>
    <col min="1" max="1" width="13.710937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1" style="51" customWidth="1"/>
    <col min="18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31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</row>
    <row r="5" spans="1:18">
      <c r="A5" s="69">
        <v>1</v>
      </c>
      <c r="B5" s="83">
        <v>46204</v>
      </c>
      <c r="C5" s="84"/>
      <c r="D5" s="145"/>
      <c r="E5" s="145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140</v>
      </c>
    </row>
    <row r="6" spans="1:18">
      <c r="A6" s="69">
        <v>2</v>
      </c>
      <c r="B6" s="83">
        <v>46205</v>
      </c>
      <c r="C6" s="84"/>
      <c r="D6" s="145"/>
      <c r="E6" s="145"/>
      <c r="F6" s="145">
        <f t="shared" ref="F6:F35" si="1">F5+D6-E5</f>
        <v>0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0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0</v>
      </c>
      <c r="Q6" s="143" t="s">
        <v>4</v>
      </c>
      <c r="R6" s="144">
        <v>20</v>
      </c>
    </row>
    <row r="7" spans="1:18">
      <c r="A7" s="69">
        <v>3</v>
      </c>
      <c r="B7" s="83">
        <v>46206</v>
      </c>
      <c r="C7" s="84"/>
      <c r="D7" s="145"/>
      <c r="E7" s="145"/>
      <c r="F7" s="145">
        <f t="shared" si="1"/>
        <v>0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0</v>
      </c>
      <c r="L7" s="68">
        <f t="shared" si="5"/>
        <v>0</v>
      </c>
      <c r="M7" s="68">
        <f t="shared" si="6"/>
        <v>0</v>
      </c>
      <c r="N7" s="68">
        <f t="shared" si="0"/>
        <v>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/>
      <c r="E8" s="145"/>
      <c r="F8" s="145">
        <f t="shared" si="1"/>
        <v>0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0</v>
      </c>
      <c r="L8" s="68">
        <f t="shared" si="5"/>
        <v>0</v>
      </c>
      <c r="M8" s="68">
        <f t="shared" si="6"/>
        <v>0</v>
      </c>
      <c r="N8" s="68">
        <f t="shared" si="0"/>
        <v>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/>
      <c r="E9" s="145"/>
      <c r="F9" s="145">
        <f t="shared" si="1"/>
        <v>0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0</v>
      </c>
      <c r="L9" s="68">
        <f t="shared" si="5"/>
        <v>0</v>
      </c>
      <c r="M9" s="68">
        <f t="shared" si="6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45"/>
      <c r="F10" s="145">
        <f t="shared" si="1"/>
        <v>0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0</v>
      </c>
      <c r="L10" s="68">
        <f t="shared" si="5"/>
        <v>0</v>
      </c>
      <c r="M10" s="68">
        <f t="shared" si="6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45"/>
      <c r="F11" s="145">
        <f t="shared" si="1"/>
        <v>0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0</v>
      </c>
      <c r="L11" s="68">
        <f t="shared" si="5"/>
        <v>0</v>
      </c>
      <c r="M11" s="68">
        <f t="shared" si="6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45"/>
      <c r="F12" s="145">
        <f t="shared" si="1"/>
        <v>0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0</v>
      </c>
      <c r="L12" s="68">
        <f t="shared" si="5"/>
        <v>0</v>
      </c>
      <c r="M12" s="68">
        <f t="shared" si="6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45"/>
      <c r="F13" s="145">
        <f t="shared" si="1"/>
        <v>0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0</v>
      </c>
      <c r="L13" s="68">
        <f t="shared" si="5"/>
        <v>0</v>
      </c>
      <c r="M13" s="68">
        <f t="shared" si="6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45"/>
      <c r="F14" s="145">
        <f t="shared" si="1"/>
        <v>0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0</v>
      </c>
      <c r="L14" s="68">
        <f t="shared" si="5"/>
        <v>0</v>
      </c>
      <c r="M14" s="68">
        <f t="shared" si="6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45"/>
      <c r="F15" s="145">
        <f t="shared" si="1"/>
        <v>0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0</v>
      </c>
      <c r="L15" s="68">
        <f t="shared" si="5"/>
        <v>0</v>
      </c>
      <c r="M15" s="68">
        <f t="shared" si="6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45"/>
      <c r="F16" s="145">
        <f t="shared" si="1"/>
        <v>0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0</v>
      </c>
      <c r="L16" s="68">
        <f t="shared" si="5"/>
        <v>0</v>
      </c>
      <c r="M16" s="68">
        <f t="shared" si="6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45"/>
      <c r="F17" s="145">
        <f t="shared" si="1"/>
        <v>0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0</v>
      </c>
      <c r="L17" s="68">
        <f t="shared" si="5"/>
        <v>0</v>
      </c>
      <c r="M17" s="68">
        <f t="shared" si="6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45"/>
      <c r="F18" s="145">
        <f t="shared" si="1"/>
        <v>0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0</v>
      </c>
      <c r="L18" s="68">
        <f t="shared" si="5"/>
        <v>0</v>
      </c>
      <c r="M18" s="68">
        <f t="shared" si="6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64"/>
      <c r="F19" s="145">
        <f t="shared" si="1"/>
        <v>0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0</v>
      </c>
      <c r="L19" s="68">
        <f t="shared" si="5"/>
        <v>0</v>
      </c>
      <c r="M19" s="68">
        <f t="shared" si="6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64"/>
      <c r="F20" s="145">
        <f t="shared" si="1"/>
        <v>0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0</v>
      </c>
      <c r="L20" s="68">
        <f t="shared" si="5"/>
        <v>0</v>
      </c>
      <c r="M20" s="68">
        <f t="shared" si="6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65"/>
      <c r="F21" s="145">
        <f t="shared" si="1"/>
        <v>0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0</v>
      </c>
      <c r="L21" s="68">
        <f t="shared" si="5"/>
        <v>0</v>
      </c>
      <c r="M21" s="68">
        <f t="shared" si="6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64"/>
      <c r="F22" s="145">
        <f t="shared" si="1"/>
        <v>0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0</v>
      </c>
      <c r="L22" s="68">
        <f t="shared" si="5"/>
        <v>0</v>
      </c>
      <c r="M22" s="68">
        <f t="shared" si="6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64"/>
      <c r="F23" s="145">
        <f t="shared" si="1"/>
        <v>0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0</v>
      </c>
      <c r="L23" s="68">
        <f t="shared" si="5"/>
        <v>0</v>
      </c>
      <c r="M23" s="68">
        <f t="shared" si="6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65"/>
      <c r="F24" s="145">
        <f t="shared" si="1"/>
        <v>0</v>
      </c>
      <c r="G24" s="145">
        <v>0</v>
      </c>
      <c r="H24" s="145">
        <v>0</v>
      </c>
      <c r="I24" s="68">
        <f t="shared" si="2"/>
        <v>0</v>
      </c>
      <c r="J24" s="68">
        <f t="shared" si="3"/>
        <v>0</v>
      </c>
      <c r="K24" s="68">
        <f t="shared" si="4"/>
        <v>0</v>
      </c>
      <c r="L24" s="68">
        <f t="shared" si="5"/>
        <v>0</v>
      </c>
      <c r="M24" s="68">
        <f t="shared" si="6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65"/>
      <c r="F25" s="145">
        <f t="shared" si="1"/>
        <v>0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0</v>
      </c>
      <c r="L25" s="68">
        <f t="shared" si="5"/>
        <v>0</v>
      </c>
      <c r="M25" s="68">
        <f t="shared" si="6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66"/>
      <c r="F26" s="145">
        <f t="shared" si="1"/>
        <v>0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0</v>
      </c>
      <c r="L26" s="68">
        <f t="shared" si="5"/>
        <v>0</v>
      </c>
      <c r="M26" s="68">
        <f t="shared" si="6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65"/>
      <c r="F27" s="145">
        <f t="shared" si="1"/>
        <v>0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0</v>
      </c>
      <c r="L27" s="68">
        <f t="shared" si="5"/>
        <v>0</v>
      </c>
      <c r="M27" s="68">
        <f t="shared" si="6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65"/>
      <c r="F28" s="145">
        <f t="shared" si="1"/>
        <v>0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0</v>
      </c>
      <c r="L28" s="68">
        <f t="shared" si="5"/>
        <v>0</v>
      </c>
      <c r="M28" s="68">
        <f t="shared" si="6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64"/>
      <c r="F29" s="145">
        <f t="shared" si="1"/>
        <v>0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0</v>
      </c>
      <c r="L29" s="68">
        <f t="shared" si="5"/>
        <v>0</v>
      </c>
      <c r="M29" s="68">
        <f t="shared" si="6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64"/>
      <c r="F30" s="145">
        <f t="shared" si="1"/>
        <v>0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0</v>
      </c>
      <c r="L30" s="68">
        <f t="shared" si="5"/>
        <v>0</v>
      </c>
      <c r="M30" s="68">
        <f t="shared" si="6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45"/>
      <c r="F31" s="145">
        <f t="shared" si="1"/>
        <v>0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0</v>
      </c>
      <c r="L31" s="68">
        <f t="shared" si="5"/>
        <v>0</v>
      </c>
      <c r="M31" s="68">
        <f t="shared" si="6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45"/>
      <c r="F32" s="145">
        <f t="shared" si="1"/>
        <v>0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0</v>
      </c>
      <c r="L32" s="68">
        <f t="shared" si="5"/>
        <v>0</v>
      </c>
      <c r="M32" s="68">
        <f t="shared" si="6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1"/>
        <v>0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0</v>
      </c>
      <c r="L33" s="68">
        <f t="shared" si="5"/>
        <v>0</v>
      </c>
      <c r="M33" s="68">
        <f t="shared" si="6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1"/>
        <v>0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0</v>
      </c>
      <c r="L34" s="68">
        <f t="shared" si="5"/>
        <v>0</v>
      </c>
      <c r="M34" s="68">
        <f t="shared" si="6"/>
        <v>0</v>
      </c>
      <c r="N34" s="68">
        <f t="shared" si="0"/>
        <v>0</v>
      </c>
    </row>
    <row r="35" spans="1:14">
      <c r="A35" s="69">
        <v>31</v>
      </c>
      <c r="B35" s="83"/>
      <c r="C35" s="84"/>
      <c r="D35" s="145"/>
      <c r="E35" s="145"/>
      <c r="F35" s="145">
        <f t="shared" si="1"/>
        <v>0</v>
      </c>
      <c r="G35" s="145">
        <v>0</v>
      </c>
      <c r="H35" s="145">
        <v>0</v>
      </c>
      <c r="I35" s="68">
        <f t="shared" si="2"/>
        <v>0</v>
      </c>
      <c r="J35" s="68">
        <f t="shared" si="3"/>
        <v>0</v>
      </c>
      <c r="K35" s="68">
        <f t="shared" si="4"/>
        <v>0</v>
      </c>
      <c r="L35" s="68">
        <f t="shared" si="5"/>
        <v>0</v>
      </c>
      <c r="M35" s="68">
        <f t="shared" si="6"/>
        <v>0</v>
      </c>
      <c r="N35" s="68">
        <f t="shared" si="0"/>
        <v>0</v>
      </c>
    </row>
    <row r="36" spans="1:14">
      <c r="D36" s="76">
        <f t="shared" ref="D36:N36" si="7">SUM(D5:D35)</f>
        <v>0</v>
      </c>
      <c r="E36" s="76">
        <f t="shared" si="7"/>
        <v>0</v>
      </c>
      <c r="F36" s="76">
        <f t="shared" si="7"/>
        <v>0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0</v>
      </c>
      <c r="L36" s="78">
        <f t="shared" si="7"/>
        <v>0</v>
      </c>
      <c r="M36" s="78">
        <f t="shared" si="7"/>
        <v>0</v>
      </c>
      <c r="N36" s="78">
        <f t="shared" si="7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0A00-84C5-4EDE-8AE0-E10ACC80B7D5}">
  <dimension ref="A1:R37"/>
  <sheetViews>
    <sheetView topLeftCell="A17" workbookViewId="0">
      <selection activeCell="D32" sqref="D32"/>
    </sheetView>
  </sheetViews>
  <sheetFormatPr defaultRowHeight="15"/>
  <cols>
    <col min="1" max="1" width="12.710937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1" style="51" customWidth="1"/>
    <col min="18" max="16384" width="9.140625" style="51"/>
  </cols>
  <sheetData>
    <row r="1" spans="1:18">
      <c r="A1" s="50">
        <f>N37</f>
        <v>76585.5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102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120</v>
      </c>
    </row>
    <row r="5" spans="1:18">
      <c r="A5" s="69">
        <v>1</v>
      </c>
      <c r="B5" s="83">
        <v>46204</v>
      </c>
      <c r="C5" s="84"/>
      <c r="D5" s="145"/>
      <c r="E5" s="145"/>
      <c r="F5" s="145">
        <v>112.5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2025</v>
      </c>
      <c r="L5" s="68">
        <f>SUM(G5*$R$7)</f>
        <v>0</v>
      </c>
      <c r="M5" s="68">
        <f>SUM(H5*$R$8)</f>
        <v>0</v>
      </c>
      <c r="N5" s="68">
        <f t="shared" ref="N5:N35" si="0">SUM(I5:M5)</f>
        <v>2025</v>
      </c>
      <c r="Q5" s="143" t="s">
        <v>100</v>
      </c>
      <c r="R5" s="144">
        <v>120</v>
      </c>
    </row>
    <row r="6" spans="1:18">
      <c r="A6" s="69">
        <v>2</v>
      </c>
      <c r="B6" s="83">
        <v>46205</v>
      </c>
      <c r="C6" s="84"/>
      <c r="D6" s="145"/>
      <c r="E6" s="145"/>
      <c r="F6" s="145">
        <f t="shared" ref="F6:F35" si="1">F5+D6-E5</f>
        <v>112.5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2025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2025</v>
      </c>
      <c r="Q6" s="143" t="s">
        <v>4</v>
      </c>
      <c r="R6" s="144">
        <v>18</v>
      </c>
    </row>
    <row r="7" spans="1:18">
      <c r="A7" s="69">
        <v>3</v>
      </c>
      <c r="B7" s="83">
        <v>46206</v>
      </c>
      <c r="C7" s="84"/>
      <c r="D7" s="145"/>
      <c r="E7" s="145"/>
      <c r="F7" s="145">
        <f t="shared" si="1"/>
        <v>112.5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2025</v>
      </c>
      <c r="L7" s="68">
        <f t="shared" si="5"/>
        <v>0</v>
      </c>
      <c r="M7" s="68">
        <f t="shared" si="6"/>
        <v>0</v>
      </c>
      <c r="N7" s="68">
        <f t="shared" si="0"/>
        <v>2025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/>
      <c r="E8" s="145"/>
      <c r="F8" s="145">
        <f t="shared" si="1"/>
        <v>112.5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2025</v>
      </c>
      <c r="L8" s="68">
        <f t="shared" si="5"/>
        <v>0</v>
      </c>
      <c r="M8" s="68">
        <f t="shared" si="6"/>
        <v>0</v>
      </c>
      <c r="N8" s="68">
        <f t="shared" si="0"/>
        <v>2025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/>
      <c r="E9" s="145"/>
      <c r="F9" s="145">
        <f t="shared" si="1"/>
        <v>112.5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2025</v>
      </c>
      <c r="L9" s="68">
        <f t="shared" si="5"/>
        <v>0</v>
      </c>
      <c r="M9" s="68">
        <f t="shared" si="6"/>
        <v>0</v>
      </c>
      <c r="N9" s="68">
        <f t="shared" si="0"/>
        <v>2025</v>
      </c>
    </row>
    <row r="10" spans="1:18">
      <c r="A10" s="69">
        <v>6</v>
      </c>
      <c r="B10" s="83">
        <v>46209</v>
      </c>
      <c r="C10" s="84"/>
      <c r="D10" s="145"/>
      <c r="E10" s="145"/>
      <c r="F10" s="145">
        <f t="shared" si="1"/>
        <v>112.5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2025</v>
      </c>
      <c r="L10" s="68">
        <f t="shared" si="5"/>
        <v>0</v>
      </c>
      <c r="M10" s="68">
        <f t="shared" si="6"/>
        <v>0</v>
      </c>
      <c r="N10" s="68">
        <f t="shared" si="0"/>
        <v>2025</v>
      </c>
    </row>
    <row r="11" spans="1:18">
      <c r="A11" s="69">
        <v>7</v>
      </c>
      <c r="B11" s="83">
        <v>46210</v>
      </c>
      <c r="C11" s="84"/>
      <c r="D11" s="145"/>
      <c r="E11" s="145"/>
      <c r="F11" s="145">
        <f t="shared" si="1"/>
        <v>112.5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2025</v>
      </c>
      <c r="L11" s="68">
        <f t="shared" si="5"/>
        <v>0</v>
      </c>
      <c r="M11" s="68">
        <f t="shared" si="6"/>
        <v>0</v>
      </c>
      <c r="N11" s="68">
        <f t="shared" si="0"/>
        <v>2025</v>
      </c>
    </row>
    <row r="12" spans="1:18">
      <c r="A12" s="69">
        <v>8</v>
      </c>
      <c r="B12" s="83">
        <v>46211</v>
      </c>
      <c r="C12" s="84"/>
      <c r="D12" s="145"/>
      <c r="E12" s="145"/>
      <c r="F12" s="145">
        <f t="shared" si="1"/>
        <v>112.5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2025</v>
      </c>
      <c r="L12" s="68">
        <f t="shared" si="5"/>
        <v>0</v>
      </c>
      <c r="M12" s="68">
        <f t="shared" si="6"/>
        <v>0</v>
      </c>
      <c r="N12" s="68">
        <f t="shared" si="0"/>
        <v>2025</v>
      </c>
    </row>
    <row r="13" spans="1:18">
      <c r="A13" s="69">
        <v>9</v>
      </c>
      <c r="B13" s="83">
        <v>46212</v>
      </c>
      <c r="C13" s="84"/>
      <c r="D13" s="145"/>
      <c r="E13" s="145"/>
      <c r="F13" s="145">
        <f t="shared" si="1"/>
        <v>112.5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2025</v>
      </c>
      <c r="L13" s="68">
        <f t="shared" si="5"/>
        <v>0</v>
      </c>
      <c r="M13" s="68">
        <f t="shared" si="6"/>
        <v>0</v>
      </c>
      <c r="N13" s="68">
        <f t="shared" si="0"/>
        <v>2025</v>
      </c>
    </row>
    <row r="14" spans="1:18">
      <c r="A14" s="69">
        <v>10</v>
      </c>
      <c r="B14" s="83">
        <v>46213</v>
      </c>
      <c r="C14" s="84"/>
      <c r="D14" s="145"/>
      <c r="E14" s="145"/>
      <c r="F14" s="145">
        <f t="shared" si="1"/>
        <v>112.5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2025</v>
      </c>
      <c r="L14" s="68">
        <f t="shared" si="5"/>
        <v>0</v>
      </c>
      <c r="M14" s="68">
        <f t="shared" si="6"/>
        <v>0</v>
      </c>
      <c r="N14" s="68">
        <f t="shared" si="0"/>
        <v>2025</v>
      </c>
    </row>
    <row r="15" spans="1:18">
      <c r="A15" s="69">
        <v>11</v>
      </c>
      <c r="B15" s="83">
        <v>46214</v>
      </c>
      <c r="C15" s="84"/>
      <c r="D15" s="145"/>
      <c r="E15" s="145"/>
      <c r="F15" s="145">
        <f t="shared" si="1"/>
        <v>112.5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2025</v>
      </c>
      <c r="L15" s="68">
        <f t="shared" si="5"/>
        <v>0</v>
      </c>
      <c r="M15" s="68">
        <f t="shared" si="6"/>
        <v>0</v>
      </c>
      <c r="N15" s="68">
        <f t="shared" si="0"/>
        <v>2025</v>
      </c>
    </row>
    <row r="16" spans="1:18">
      <c r="A16" s="69">
        <v>12</v>
      </c>
      <c r="B16" s="83">
        <v>46215</v>
      </c>
      <c r="C16" s="84"/>
      <c r="D16" s="145"/>
      <c r="E16" s="145"/>
      <c r="F16" s="145">
        <f t="shared" si="1"/>
        <v>112.5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2025</v>
      </c>
      <c r="L16" s="68">
        <f t="shared" si="5"/>
        <v>0</v>
      </c>
      <c r="M16" s="68">
        <f t="shared" si="6"/>
        <v>0</v>
      </c>
      <c r="N16" s="68">
        <f t="shared" si="0"/>
        <v>2025</v>
      </c>
    </row>
    <row r="17" spans="1:14">
      <c r="A17" s="69">
        <v>13</v>
      </c>
      <c r="B17" s="83">
        <v>46216</v>
      </c>
      <c r="C17" s="84"/>
      <c r="D17" s="145"/>
      <c r="E17" s="145"/>
      <c r="F17" s="145">
        <f t="shared" si="1"/>
        <v>112.5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2025</v>
      </c>
      <c r="L17" s="68">
        <f t="shared" si="5"/>
        <v>0</v>
      </c>
      <c r="M17" s="68">
        <f t="shared" si="6"/>
        <v>0</v>
      </c>
      <c r="N17" s="68">
        <f t="shared" si="0"/>
        <v>2025</v>
      </c>
    </row>
    <row r="18" spans="1:14">
      <c r="A18" s="69">
        <v>14</v>
      </c>
      <c r="B18" s="83">
        <v>46217</v>
      </c>
      <c r="C18" s="84"/>
      <c r="D18" s="145"/>
      <c r="E18" s="145"/>
      <c r="F18" s="145">
        <f t="shared" si="1"/>
        <v>112.5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2025</v>
      </c>
      <c r="L18" s="68">
        <f t="shared" si="5"/>
        <v>0</v>
      </c>
      <c r="M18" s="68">
        <f t="shared" si="6"/>
        <v>0</v>
      </c>
      <c r="N18" s="68">
        <f t="shared" si="0"/>
        <v>2025</v>
      </c>
    </row>
    <row r="19" spans="1:14">
      <c r="A19" s="69">
        <v>15</v>
      </c>
      <c r="B19" s="83">
        <v>46218</v>
      </c>
      <c r="C19" s="84"/>
      <c r="D19" s="145"/>
      <c r="E19" s="145"/>
      <c r="F19" s="145">
        <f t="shared" si="1"/>
        <v>112.5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2025</v>
      </c>
      <c r="L19" s="68">
        <f t="shared" si="5"/>
        <v>0</v>
      </c>
      <c r="M19" s="68">
        <f t="shared" si="6"/>
        <v>0</v>
      </c>
      <c r="N19" s="68">
        <f t="shared" si="0"/>
        <v>2025</v>
      </c>
    </row>
    <row r="20" spans="1:14">
      <c r="A20" s="69">
        <v>16</v>
      </c>
      <c r="B20" s="83">
        <v>46219</v>
      </c>
      <c r="C20" s="84"/>
      <c r="D20" s="145"/>
      <c r="E20" s="145"/>
      <c r="F20" s="145">
        <f t="shared" si="1"/>
        <v>112.5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2025</v>
      </c>
      <c r="L20" s="68">
        <f t="shared" si="5"/>
        <v>0</v>
      </c>
      <c r="M20" s="68">
        <f t="shared" si="6"/>
        <v>0</v>
      </c>
      <c r="N20" s="68">
        <f t="shared" si="0"/>
        <v>2025</v>
      </c>
    </row>
    <row r="21" spans="1:14">
      <c r="A21" s="69">
        <v>17</v>
      </c>
      <c r="B21" s="83">
        <v>46220</v>
      </c>
      <c r="C21" s="84"/>
      <c r="D21" s="145"/>
      <c r="E21" s="145"/>
      <c r="F21" s="145">
        <f t="shared" si="1"/>
        <v>112.5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2025</v>
      </c>
      <c r="L21" s="68">
        <f t="shared" si="5"/>
        <v>0</v>
      </c>
      <c r="M21" s="68">
        <f t="shared" si="6"/>
        <v>0</v>
      </c>
      <c r="N21" s="68">
        <f t="shared" si="0"/>
        <v>2025</v>
      </c>
    </row>
    <row r="22" spans="1:14">
      <c r="A22" s="69">
        <v>18</v>
      </c>
      <c r="B22" s="83">
        <v>46221</v>
      </c>
      <c r="C22" s="84"/>
      <c r="D22" s="145"/>
      <c r="E22" s="145"/>
      <c r="F22" s="145">
        <f t="shared" si="1"/>
        <v>112.5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2025</v>
      </c>
      <c r="L22" s="68">
        <f t="shared" si="5"/>
        <v>0</v>
      </c>
      <c r="M22" s="68">
        <f t="shared" si="6"/>
        <v>0</v>
      </c>
      <c r="N22" s="68">
        <f t="shared" si="0"/>
        <v>2025</v>
      </c>
    </row>
    <row r="23" spans="1:14">
      <c r="A23" s="69">
        <v>19</v>
      </c>
      <c r="B23" s="83">
        <v>46222</v>
      </c>
      <c r="C23" s="84"/>
      <c r="D23" s="145"/>
      <c r="E23" s="145"/>
      <c r="F23" s="145">
        <f t="shared" si="1"/>
        <v>112.5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2025</v>
      </c>
      <c r="L23" s="68">
        <f t="shared" si="5"/>
        <v>0</v>
      </c>
      <c r="M23" s="68">
        <f t="shared" si="6"/>
        <v>0</v>
      </c>
      <c r="N23" s="68">
        <f t="shared" si="0"/>
        <v>2025</v>
      </c>
    </row>
    <row r="24" spans="1:14">
      <c r="A24" s="69">
        <v>20</v>
      </c>
      <c r="B24" s="83">
        <v>46223</v>
      </c>
      <c r="C24" s="84"/>
      <c r="D24" s="145"/>
      <c r="E24" s="145"/>
      <c r="F24" s="145">
        <f t="shared" si="1"/>
        <v>112.5</v>
      </c>
      <c r="G24" s="145">
        <v>0</v>
      </c>
      <c r="H24" s="145">
        <v>0</v>
      </c>
      <c r="I24" s="68">
        <f t="shared" si="2"/>
        <v>0</v>
      </c>
      <c r="J24" s="68">
        <f t="shared" si="3"/>
        <v>0</v>
      </c>
      <c r="K24" s="68">
        <f t="shared" si="4"/>
        <v>2025</v>
      </c>
      <c r="L24" s="68">
        <f t="shared" si="5"/>
        <v>0</v>
      </c>
      <c r="M24" s="68">
        <f t="shared" si="6"/>
        <v>0</v>
      </c>
      <c r="N24" s="68">
        <f t="shared" si="0"/>
        <v>2025</v>
      </c>
    </row>
    <row r="25" spans="1:14">
      <c r="A25" s="69">
        <v>21</v>
      </c>
      <c r="B25" s="83">
        <v>46224</v>
      </c>
      <c r="C25" s="84"/>
      <c r="D25" s="145"/>
      <c r="E25" s="145"/>
      <c r="F25" s="145">
        <f t="shared" si="1"/>
        <v>112.5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2025</v>
      </c>
      <c r="L25" s="68">
        <f t="shared" si="5"/>
        <v>0</v>
      </c>
      <c r="M25" s="68">
        <f t="shared" si="6"/>
        <v>0</v>
      </c>
      <c r="N25" s="68">
        <f t="shared" si="0"/>
        <v>2025</v>
      </c>
    </row>
    <row r="26" spans="1:14">
      <c r="A26" s="69">
        <v>22</v>
      </c>
      <c r="B26" s="83">
        <v>46225</v>
      </c>
      <c r="C26" s="84"/>
      <c r="D26" s="145"/>
      <c r="E26" s="145"/>
      <c r="F26" s="145">
        <f t="shared" si="1"/>
        <v>112.5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2025</v>
      </c>
      <c r="L26" s="68">
        <f t="shared" si="5"/>
        <v>0</v>
      </c>
      <c r="M26" s="68">
        <f t="shared" si="6"/>
        <v>0</v>
      </c>
      <c r="N26" s="68">
        <f t="shared" si="0"/>
        <v>2025</v>
      </c>
    </row>
    <row r="27" spans="1:14">
      <c r="A27" s="69">
        <v>23</v>
      </c>
      <c r="B27" s="83">
        <v>46226</v>
      </c>
      <c r="C27" s="84"/>
      <c r="D27" s="145"/>
      <c r="E27" s="145"/>
      <c r="F27" s="145">
        <f t="shared" si="1"/>
        <v>112.5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2025</v>
      </c>
      <c r="L27" s="68">
        <f t="shared" si="5"/>
        <v>0</v>
      </c>
      <c r="M27" s="68">
        <f t="shared" si="6"/>
        <v>0</v>
      </c>
      <c r="N27" s="68">
        <f t="shared" si="0"/>
        <v>2025</v>
      </c>
    </row>
    <row r="28" spans="1:14">
      <c r="A28" s="69">
        <v>24</v>
      </c>
      <c r="B28" s="83">
        <v>46227</v>
      </c>
      <c r="C28" s="84"/>
      <c r="D28" s="145"/>
      <c r="E28" s="145"/>
      <c r="F28" s="145">
        <f t="shared" si="1"/>
        <v>112.5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2025</v>
      </c>
      <c r="L28" s="68">
        <f t="shared" si="5"/>
        <v>0</v>
      </c>
      <c r="M28" s="68">
        <f t="shared" si="6"/>
        <v>0</v>
      </c>
      <c r="N28" s="68">
        <f t="shared" si="0"/>
        <v>2025</v>
      </c>
    </row>
    <row r="29" spans="1:14">
      <c r="A29" s="69">
        <v>25</v>
      </c>
      <c r="B29" s="83">
        <v>46228</v>
      </c>
      <c r="C29" s="84"/>
      <c r="D29" s="145"/>
      <c r="E29" s="145"/>
      <c r="F29" s="145">
        <f t="shared" si="1"/>
        <v>112.5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2025</v>
      </c>
      <c r="L29" s="68">
        <f t="shared" si="5"/>
        <v>0</v>
      </c>
      <c r="M29" s="68">
        <f t="shared" si="6"/>
        <v>0</v>
      </c>
      <c r="N29" s="68">
        <f t="shared" si="0"/>
        <v>2025</v>
      </c>
    </row>
    <row r="30" spans="1:14">
      <c r="A30" s="69">
        <v>26</v>
      </c>
      <c r="B30" s="83">
        <v>46229</v>
      </c>
      <c r="C30" s="84"/>
      <c r="D30" s="145"/>
      <c r="E30" s="145"/>
      <c r="F30" s="145">
        <f t="shared" si="1"/>
        <v>112.5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2025</v>
      </c>
      <c r="L30" s="68">
        <f t="shared" si="5"/>
        <v>0</v>
      </c>
      <c r="M30" s="68">
        <f t="shared" si="6"/>
        <v>0</v>
      </c>
      <c r="N30" s="68">
        <f t="shared" si="0"/>
        <v>2025</v>
      </c>
    </row>
    <row r="31" spans="1:14">
      <c r="A31" s="69">
        <v>27</v>
      </c>
      <c r="B31" s="83">
        <v>46230</v>
      </c>
      <c r="C31" s="84"/>
      <c r="D31" s="145"/>
      <c r="E31" s="145"/>
      <c r="F31" s="145">
        <f t="shared" si="1"/>
        <v>112.5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2025</v>
      </c>
      <c r="L31" s="68">
        <f t="shared" si="5"/>
        <v>0</v>
      </c>
      <c r="M31" s="68">
        <f t="shared" si="6"/>
        <v>0</v>
      </c>
      <c r="N31" s="68">
        <f t="shared" si="0"/>
        <v>2025</v>
      </c>
    </row>
    <row r="32" spans="1:14">
      <c r="A32" s="69">
        <v>28</v>
      </c>
      <c r="B32" s="83">
        <v>46231</v>
      </c>
      <c r="C32" s="84"/>
      <c r="D32" s="145"/>
      <c r="E32" s="145"/>
      <c r="F32" s="145">
        <f t="shared" si="1"/>
        <v>112.5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2025</v>
      </c>
      <c r="L32" s="68">
        <f t="shared" si="5"/>
        <v>0</v>
      </c>
      <c r="M32" s="68">
        <f t="shared" si="6"/>
        <v>0</v>
      </c>
      <c r="N32" s="68">
        <f t="shared" si="0"/>
        <v>2025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si="1"/>
        <v>112.5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2025</v>
      </c>
      <c r="L33" s="68">
        <f t="shared" si="5"/>
        <v>0</v>
      </c>
      <c r="M33" s="68">
        <f t="shared" si="6"/>
        <v>0</v>
      </c>
      <c r="N33" s="68">
        <f t="shared" si="0"/>
        <v>2025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1"/>
        <v>112.5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2025</v>
      </c>
      <c r="L34" s="68">
        <f t="shared" si="5"/>
        <v>0</v>
      </c>
      <c r="M34" s="68">
        <f t="shared" si="6"/>
        <v>0</v>
      </c>
      <c r="N34" s="68">
        <f t="shared" si="0"/>
        <v>2025</v>
      </c>
    </row>
    <row r="35" spans="1:14">
      <c r="A35" s="69">
        <v>31</v>
      </c>
      <c r="B35" s="83">
        <v>46234</v>
      </c>
      <c r="C35" s="84"/>
      <c r="D35" s="145"/>
      <c r="E35" s="145"/>
      <c r="F35" s="145">
        <f t="shared" si="1"/>
        <v>112.5</v>
      </c>
      <c r="G35" s="145"/>
      <c r="H35" s="145"/>
      <c r="I35" s="68">
        <f t="shared" si="2"/>
        <v>0</v>
      </c>
      <c r="J35" s="68">
        <f t="shared" si="3"/>
        <v>0</v>
      </c>
      <c r="K35" s="68">
        <f t="shared" si="4"/>
        <v>2025</v>
      </c>
      <c r="L35" s="68">
        <f t="shared" si="5"/>
        <v>0</v>
      </c>
      <c r="M35" s="68">
        <f t="shared" si="6"/>
        <v>0</v>
      </c>
      <c r="N35" s="68">
        <f t="shared" si="0"/>
        <v>2025</v>
      </c>
    </row>
    <row r="36" spans="1:14">
      <c r="D36" s="76">
        <f t="shared" ref="D36:N36" si="7">SUM(D5:D35)</f>
        <v>0</v>
      </c>
      <c r="E36" s="76">
        <f t="shared" si="7"/>
        <v>0</v>
      </c>
      <c r="F36" s="76">
        <f t="shared" si="7"/>
        <v>3487.5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0</v>
      </c>
      <c r="K36" s="78">
        <f t="shared" si="7"/>
        <v>62775</v>
      </c>
      <c r="L36" s="78">
        <f t="shared" si="7"/>
        <v>0</v>
      </c>
      <c r="M36" s="78">
        <f t="shared" si="7"/>
        <v>0</v>
      </c>
      <c r="N36" s="78">
        <f t="shared" si="7"/>
        <v>62775</v>
      </c>
    </row>
    <row r="37" spans="1:14">
      <c r="L37" s="79"/>
      <c r="M37" s="79"/>
      <c r="N37" s="80">
        <f>N36*1.22</f>
        <v>76585.5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D260-BCFD-4ACB-A4B3-628007B544ED}">
  <dimension ref="A1:R37"/>
  <sheetViews>
    <sheetView topLeftCell="A14" workbookViewId="0">
      <selection activeCell="K25" sqref="K25"/>
    </sheetView>
  </sheetViews>
  <sheetFormatPr defaultRowHeight="15"/>
  <cols>
    <col min="1" max="1" width="13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1" style="51" customWidth="1"/>
    <col min="18" max="16384" width="9.140625" style="51"/>
  </cols>
  <sheetData>
    <row r="1" spans="1:18">
      <c r="A1" s="50">
        <f>N37</f>
        <v>122207.4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28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120</v>
      </c>
    </row>
    <row r="5" spans="1:18">
      <c r="A5" s="69">
        <v>1</v>
      </c>
      <c r="B5" s="83">
        <v>46204</v>
      </c>
      <c r="C5" s="84"/>
      <c r="D5" s="145">
        <v>0</v>
      </c>
      <c r="E5" s="167"/>
      <c r="F5" s="145">
        <v>202.5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3645</v>
      </c>
      <c r="L5" s="68">
        <f>SUM(G5*$R$7)</f>
        <v>0</v>
      </c>
      <c r="M5" s="68">
        <f>SUM(H5*$R$8)</f>
        <v>0</v>
      </c>
      <c r="N5" s="68">
        <f t="shared" ref="N5:N35" si="0">SUM(I5:M5)</f>
        <v>3645</v>
      </c>
      <c r="Q5" s="143" t="s">
        <v>100</v>
      </c>
      <c r="R5" s="144">
        <v>120</v>
      </c>
    </row>
    <row r="6" spans="1:18">
      <c r="A6" s="69">
        <v>2</v>
      </c>
      <c r="B6" s="83">
        <v>46205</v>
      </c>
      <c r="C6" s="84"/>
      <c r="D6" s="145">
        <v>0</v>
      </c>
      <c r="E6" s="167"/>
      <c r="F6" s="145">
        <f t="shared" ref="F6:F35" si="1">F5+D6-E5</f>
        <v>202.5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3645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3645</v>
      </c>
      <c r="Q6" s="143" t="s">
        <v>4</v>
      </c>
      <c r="R6" s="144">
        <v>18</v>
      </c>
    </row>
    <row r="7" spans="1:18">
      <c r="A7" s="69">
        <v>3</v>
      </c>
      <c r="B7" s="83">
        <v>46206</v>
      </c>
      <c r="C7" s="84"/>
      <c r="D7" s="145">
        <v>0</v>
      </c>
      <c r="E7" s="167"/>
      <c r="F7" s="145">
        <f t="shared" si="1"/>
        <v>202.5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3645</v>
      </c>
      <c r="L7" s="68">
        <f t="shared" si="5"/>
        <v>0</v>
      </c>
      <c r="M7" s="68">
        <f t="shared" si="6"/>
        <v>0</v>
      </c>
      <c r="N7" s="68">
        <f t="shared" si="0"/>
        <v>3645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>
        <v>0</v>
      </c>
      <c r="E8" s="167"/>
      <c r="F8" s="145">
        <f t="shared" si="1"/>
        <v>202.5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3645</v>
      </c>
      <c r="L8" s="68">
        <f t="shared" si="5"/>
        <v>0</v>
      </c>
      <c r="M8" s="68">
        <f t="shared" si="6"/>
        <v>0</v>
      </c>
      <c r="N8" s="68">
        <f t="shared" si="0"/>
        <v>3645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>
        <v>0</v>
      </c>
      <c r="E9" s="167"/>
      <c r="F9" s="145">
        <f t="shared" si="1"/>
        <v>202.5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3645</v>
      </c>
      <c r="L9" s="68">
        <f t="shared" si="5"/>
        <v>0</v>
      </c>
      <c r="M9" s="68">
        <f t="shared" si="6"/>
        <v>0</v>
      </c>
      <c r="N9" s="68">
        <f t="shared" si="0"/>
        <v>3645</v>
      </c>
    </row>
    <row r="10" spans="1:18">
      <c r="A10" s="69">
        <v>6</v>
      </c>
      <c r="B10" s="83">
        <v>46209</v>
      </c>
      <c r="C10" s="84"/>
      <c r="D10" s="145">
        <v>0</v>
      </c>
      <c r="E10" s="167"/>
      <c r="F10" s="145">
        <f t="shared" si="1"/>
        <v>202.5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3645</v>
      </c>
      <c r="L10" s="68">
        <f t="shared" si="5"/>
        <v>0</v>
      </c>
      <c r="M10" s="68">
        <f t="shared" si="6"/>
        <v>0</v>
      </c>
      <c r="N10" s="68">
        <f t="shared" si="0"/>
        <v>3645</v>
      </c>
    </row>
    <row r="11" spans="1:18">
      <c r="A11" s="69">
        <v>7</v>
      </c>
      <c r="B11" s="83">
        <v>46210</v>
      </c>
      <c r="C11" s="84"/>
      <c r="D11" s="145">
        <v>0</v>
      </c>
      <c r="E11" s="167"/>
      <c r="F11" s="145">
        <f t="shared" si="1"/>
        <v>202.5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3645</v>
      </c>
      <c r="L11" s="68">
        <f t="shared" si="5"/>
        <v>0</v>
      </c>
      <c r="M11" s="68">
        <f t="shared" si="6"/>
        <v>0</v>
      </c>
      <c r="N11" s="68">
        <f t="shared" si="0"/>
        <v>3645</v>
      </c>
    </row>
    <row r="12" spans="1:18">
      <c r="A12" s="69">
        <v>8</v>
      </c>
      <c r="B12" s="83">
        <v>46211</v>
      </c>
      <c r="C12" s="84"/>
      <c r="D12" s="145">
        <v>0</v>
      </c>
      <c r="E12" s="167"/>
      <c r="F12" s="145">
        <f t="shared" si="1"/>
        <v>202.5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3645</v>
      </c>
      <c r="L12" s="68">
        <f t="shared" si="5"/>
        <v>0</v>
      </c>
      <c r="M12" s="68">
        <f t="shared" si="6"/>
        <v>0</v>
      </c>
      <c r="N12" s="68">
        <f t="shared" si="0"/>
        <v>3645</v>
      </c>
    </row>
    <row r="13" spans="1:18">
      <c r="A13" s="69">
        <v>9</v>
      </c>
      <c r="B13" s="83">
        <v>46212</v>
      </c>
      <c r="C13" s="84"/>
      <c r="D13" s="145">
        <v>0</v>
      </c>
      <c r="E13" s="167"/>
      <c r="F13" s="145">
        <f t="shared" si="1"/>
        <v>202.5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3645</v>
      </c>
      <c r="L13" s="68">
        <f t="shared" si="5"/>
        <v>0</v>
      </c>
      <c r="M13" s="68">
        <f t="shared" si="6"/>
        <v>0</v>
      </c>
      <c r="N13" s="68">
        <f t="shared" si="0"/>
        <v>3645</v>
      </c>
    </row>
    <row r="14" spans="1:18">
      <c r="A14" s="69">
        <v>10</v>
      </c>
      <c r="B14" s="83">
        <v>46213</v>
      </c>
      <c r="C14" s="84"/>
      <c r="D14" s="145">
        <v>0</v>
      </c>
      <c r="E14" s="167"/>
      <c r="F14" s="145">
        <f t="shared" si="1"/>
        <v>202.5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3645</v>
      </c>
      <c r="L14" s="68">
        <f t="shared" si="5"/>
        <v>0</v>
      </c>
      <c r="M14" s="68">
        <f t="shared" si="6"/>
        <v>0</v>
      </c>
      <c r="N14" s="68">
        <f t="shared" si="0"/>
        <v>3645</v>
      </c>
    </row>
    <row r="15" spans="1:18">
      <c r="A15" s="69">
        <v>11</v>
      </c>
      <c r="B15" s="83">
        <v>46214</v>
      </c>
      <c r="C15" s="84"/>
      <c r="D15" s="145">
        <v>0</v>
      </c>
      <c r="E15" s="168">
        <v>22.5</v>
      </c>
      <c r="F15" s="145">
        <f t="shared" si="1"/>
        <v>202.5</v>
      </c>
      <c r="G15" s="145">
        <v>0</v>
      </c>
      <c r="H15" s="145">
        <v>0</v>
      </c>
      <c r="I15" s="68">
        <f t="shared" si="2"/>
        <v>0</v>
      </c>
      <c r="J15" s="68">
        <f t="shared" si="3"/>
        <v>2700</v>
      </c>
      <c r="K15" s="68">
        <f t="shared" si="4"/>
        <v>3645</v>
      </c>
      <c r="L15" s="68">
        <f t="shared" si="5"/>
        <v>0</v>
      </c>
      <c r="M15" s="68">
        <f t="shared" si="6"/>
        <v>0</v>
      </c>
      <c r="N15" s="68">
        <f t="shared" si="0"/>
        <v>6345</v>
      </c>
    </row>
    <row r="16" spans="1:18">
      <c r="A16" s="69">
        <v>12</v>
      </c>
      <c r="B16" s="83">
        <v>46215</v>
      </c>
      <c r="C16" s="84"/>
      <c r="D16" s="145">
        <v>0</v>
      </c>
      <c r="E16" s="167"/>
      <c r="F16" s="145">
        <f t="shared" si="1"/>
        <v>180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3240</v>
      </c>
      <c r="L16" s="68">
        <f t="shared" si="5"/>
        <v>0</v>
      </c>
      <c r="M16" s="68">
        <f t="shared" si="6"/>
        <v>0</v>
      </c>
      <c r="N16" s="68">
        <f t="shared" si="0"/>
        <v>3240</v>
      </c>
    </row>
    <row r="17" spans="1:14">
      <c r="A17" s="69">
        <v>13</v>
      </c>
      <c r="B17" s="83">
        <v>46216</v>
      </c>
      <c r="C17" s="84"/>
      <c r="D17" s="145">
        <v>0</v>
      </c>
      <c r="E17" s="168">
        <v>22.5</v>
      </c>
      <c r="F17" s="145">
        <f t="shared" si="1"/>
        <v>180</v>
      </c>
      <c r="G17" s="145">
        <v>0</v>
      </c>
      <c r="H17" s="145">
        <v>0</v>
      </c>
      <c r="I17" s="68">
        <f t="shared" si="2"/>
        <v>0</v>
      </c>
      <c r="J17" s="68">
        <f t="shared" si="3"/>
        <v>2700</v>
      </c>
      <c r="K17" s="68">
        <f t="shared" si="4"/>
        <v>3240</v>
      </c>
      <c r="L17" s="68">
        <f t="shared" si="5"/>
        <v>0</v>
      </c>
      <c r="M17" s="68">
        <f t="shared" si="6"/>
        <v>0</v>
      </c>
      <c r="N17" s="68">
        <f t="shared" si="0"/>
        <v>5940</v>
      </c>
    </row>
    <row r="18" spans="1:14">
      <c r="A18" s="69">
        <v>14</v>
      </c>
      <c r="B18" s="83">
        <v>46217</v>
      </c>
      <c r="C18" s="84"/>
      <c r="D18" s="145">
        <v>0</v>
      </c>
      <c r="E18" s="167"/>
      <c r="F18" s="145">
        <f t="shared" si="1"/>
        <v>157.5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2835</v>
      </c>
      <c r="L18" s="68">
        <f t="shared" si="5"/>
        <v>0</v>
      </c>
      <c r="M18" s="68">
        <f t="shared" si="6"/>
        <v>0</v>
      </c>
      <c r="N18" s="68">
        <f t="shared" si="0"/>
        <v>2835</v>
      </c>
    </row>
    <row r="19" spans="1:14">
      <c r="A19" s="69">
        <v>15</v>
      </c>
      <c r="B19" s="83">
        <v>46218</v>
      </c>
      <c r="C19" s="84"/>
      <c r="D19" s="145">
        <v>0</v>
      </c>
      <c r="E19" s="167"/>
      <c r="F19" s="145">
        <f t="shared" si="1"/>
        <v>157.5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2835</v>
      </c>
      <c r="L19" s="68">
        <f t="shared" si="5"/>
        <v>0</v>
      </c>
      <c r="M19" s="68">
        <f t="shared" si="6"/>
        <v>0</v>
      </c>
      <c r="N19" s="68">
        <f t="shared" si="0"/>
        <v>2835</v>
      </c>
    </row>
    <row r="20" spans="1:14">
      <c r="A20" s="69">
        <v>16</v>
      </c>
      <c r="B20" s="83">
        <v>46219</v>
      </c>
      <c r="C20" s="84"/>
      <c r="D20" s="145">
        <v>0</v>
      </c>
      <c r="E20" s="168">
        <v>22.5</v>
      </c>
      <c r="F20" s="145">
        <f t="shared" si="1"/>
        <v>157.5</v>
      </c>
      <c r="G20" s="145">
        <v>0</v>
      </c>
      <c r="H20" s="145">
        <v>0</v>
      </c>
      <c r="I20" s="68">
        <f t="shared" si="2"/>
        <v>0</v>
      </c>
      <c r="J20" s="68">
        <f t="shared" si="3"/>
        <v>2700</v>
      </c>
      <c r="K20" s="68">
        <f t="shared" si="4"/>
        <v>2835</v>
      </c>
      <c r="L20" s="68">
        <f t="shared" si="5"/>
        <v>0</v>
      </c>
      <c r="M20" s="68">
        <f t="shared" si="6"/>
        <v>0</v>
      </c>
      <c r="N20" s="68">
        <f t="shared" si="0"/>
        <v>5535</v>
      </c>
    </row>
    <row r="21" spans="1:14">
      <c r="A21" s="69">
        <v>17</v>
      </c>
      <c r="B21" s="83">
        <v>46220</v>
      </c>
      <c r="C21" s="84"/>
      <c r="D21" s="145">
        <v>0</v>
      </c>
      <c r="E21" s="167"/>
      <c r="F21" s="145">
        <f t="shared" si="1"/>
        <v>135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2430</v>
      </c>
      <c r="L21" s="68">
        <f t="shared" si="5"/>
        <v>0</v>
      </c>
      <c r="M21" s="68">
        <f t="shared" si="6"/>
        <v>0</v>
      </c>
      <c r="N21" s="68">
        <f t="shared" si="0"/>
        <v>2430</v>
      </c>
    </row>
    <row r="22" spans="1:14">
      <c r="A22" s="69">
        <v>18</v>
      </c>
      <c r="B22" s="83">
        <v>46221</v>
      </c>
      <c r="C22" s="84"/>
      <c r="D22" s="145">
        <v>0</v>
      </c>
      <c r="E22" s="167"/>
      <c r="F22" s="145">
        <f t="shared" si="1"/>
        <v>135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2430</v>
      </c>
      <c r="L22" s="68">
        <f t="shared" si="5"/>
        <v>0</v>
      </c>
      <c r="M22" s="68">
        <f t="shared" si="6"/>
        <v>0</v>
      </c>
      <c r="N22" s="68">
        <f t="shared" si="0"/>
        <v>2430</v>
      </c>
    </row>
    <row r="23" spans="1:14">
      <c r="A23" s="69">
        <v>19</v>
      </c>
      <c r="B23" s="83">
        <v>46222</v>
      </c>
      <c r="C23" s="84"/>
      <c r="D23" s="145">
        <v>0</v>
      </c>
      <c r="E23" s="167"/>
      <c r="F23" s="145">
        <f t="shared" si="1"/>
        <v>135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2430</v>
      </c>
      <c r="L23" s="68">
        <f t="shared" si="5"/>
        <v>0</v>
      </c>
      <c r="M23" s="68">
        <f t="shared" si="6"/>
        <v>0</v>
      </c>
      <c r="N23" s="68">
        <f t="shared" si="0"/>
        <v>2430</v>
      </c>
    </row>
    <row r="24" spans="1:14">
      <c r="A24" s="69">
        <v>20</v>
      </c>
      <c r="B24" s="83">
        <v>46223</v>
      </c>
      <c r="C24" s="84"/>
      <c r="D24" s="145">
        <v>0</v>
      </c>
      <c r="E24" s="168">
        <v>22.5</v>
      </c>
      <c r="F24" s="145">
        <f t="shared" si="1"/>
        <v>135</v>
      </c>
      <c r="G24" s="145">
        <v>0</v>
      </c>
      <c r="H24" s="145">
        <v>0</v>
      </c>
      <c r="I24" s="68">
        <f t="shared" si="2"/>
        <v>0</v>
      </c>
      <c r="J24" s="68">
        <f t="shared" si="3"/>
        <v>2700</v>
      </c>
      <c r="K24" s="68">
        <f t="shared" si="4"/>
        <v>2430</v>
      </c>
      <c r="L24" s="68">
        <f t="shared" si="5"/>
        <v>0</v>
      </c>
      <c r="M24" s="68">
        <f t="shared" si="6"/>
        <v>0</v>
      </c>
      <c r="N24" s="68">
        <f t="shared" si="0"/>
        <v>5130</v>
      </c>
    </row>
    <row r="25" spans="1:14">
      <c r="A25" s="69">
        <v>21</v>
      </c>
      <c r="B25" s="83">
        <v>46224</v>
      </c>
      <c r="C25" s="84"/>
      <c r="D25" s="145">
        <v>0</v>
      </c>
      <c r="E25" s="167"/>
      <c r="F25" s="145">
        <f t="shared" si="1"/>
        <v>112.5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2025</v>
      </c>
      <c r="L25" s="68">
        <f t="shared" si="5"/>
        <v>0</v>
      </c>
      <c r="M25" s="68">
        <f t="shared" si="6"/>
        <v>0</v>
      </c>
      <c r="N25" s="68">
        <f t="shared" si="0"/>
        <v>2025</v>
      </c>
    </row>
    <row r="26" spans="1:14">
      <c r="A26" s="69">
        <v>22</v>
      </c>
      <c r="B26" s="83">
        <v>46225</v>
      </c>
      <c r="C26" s="84"/>
      <c r="D26" s="145">
        <v>0</v>
      </c>
      <c r="E26" s="167"/>
      <c r="F26" s="145">
        <f t="shared" si="1"/>
        <v>112.5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2025</v>
      </c>
      <c r="L26" s="68">
        <f t="shared" si="5"/>
        <v>0</v>
      </c>
      <c r="M26" s="68">
        <f t="shared" si="6"/>
        <v>0</v>
      </c>
      <c r="N26" s="68">
        <f t="shared" si="0"/>
        <v>2025</v>
      </c>
    </row>
    <row r="27" spans="1:14">
      <c r="A27" s="69">
        <v>23</v>
      </c>
      <c r="B27" s="83">
        <v>46226</v>
      </c>
      <c r="C27" s="84"/>
      <c r="D27" s="145">
        <v>0</v>
      </c>
      <c r="E27" s="167"/>
      <c r="F27" s="145">
        <f t="shared" si="1"/>
        <v>112.5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2025</v>
      </c>
      <c r="L27" s="68">
        <f t="shared" si="5"/>
        <v>0</v>
      </c>
      <c r="M27" s="68">
        <f t="shared" si="6"/>
        <v>0</v>
      </c>
      <c r="N27" s="68">
        <f t="shared" si="0"/>
        <v>2025</v>
      </c>
    </row>
    <row r="28" spans="1:14">
      <c r="A28" s="69">
        <v>24</v>
      </c>
      <c r="B28" s="83">
        <v>46227</v>
      </c>
      <c r="C28" s="84"/>
      <c r="D28" s="145">
        <v>0</v>
      </c>
      <c r="E28" s="167"/>
      <c r="F28" s="145">
        <f t="shared" si="1"/>
        <v>112.5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2025</v>
      </c>
      <c r="L28" s="68">
        <f t="shared" si="5"/>
        <v>0</v>
      </c>
      <c r="M28" s="68">
        <f t="shared" si="6"/>
        <v>0</v>
      </c>
      <c r="N28" s="68">
        <f t="shared" si="0"/>
        <v>2025</v>
      </c>
    </row>
    <row r="29" spans="1:14">
      <c r="A29" s="69">
        <v>25</v>
      </c>
      <c r="B29" s="83">
        <v>46228</v>
      </c>
      <c r="C29" s="84"/>
      <c r="D29" s="145">
        <v>0</v>
      </c>
      <c r="E29" s="167"/>
      <c r="F29" s="145">
        <f t="shared" si="1"/>
        <v>112.5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2025</v>
      </c>
      <c r="L29" s="68">
        <f t="shared" si="5"/>
        <v>0</v>
      </c>
      <c r="M29" s="68">
        <f t="shared" si="6"/>
        <v>0</v>
      </c>
      <c r="N29" s="68">
        <f t="shared" si="0"/>
        <v>2025</v>
      </c>
    </row>
    <row r="30" spans="1:14">
      <c r="A30" s="69">
        <v>26</v>
      </c>
      <c r="B30" s="83">
        <v>46229</v>
      </c>
      <c r="C30" s="84"/>
      <c r="D30" s="145">
        <v>0</v>
      </c>
      <c r="E30" s="167"/>
      <c r="F30" s="145">
        <f t="shared" si="1"/>
        <v>112.5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2025</v>
      </c>
      <c r="L30" s="68">
        <f t="shared" si="5"/>
        <v>0</v>
      </c>
      <c r="M30" s="68">
        <f t="shared" si="6"/>
        <v>0</v>
      </c>
      <c r="N30" s="68">
        <f t="shared" si="0"/>
        <v>2025</v>
      </c>
    </row>
    <row r="31" spans="1:14">
      <c r="A31" s="69">
        <v>27</v>
      </c>
      <c r="B31" s="83">
        <v>46230</v>
      </c>
      <c r="C31" s="84"/>
      <c r="D31" s="145">
        <v>0</v>
      </c>
      <c r="E31" s="167"/>
      <c r="F31" s="145">
        <f t="shared" si="1"/>
        <v>112.5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2025</v>
      </c>
      <c r="L31" s="68">
        <f t="shared" si="5"/>
        <v>0</v>
      </c>
      <c r="M31" s="68">
        <f t="shared" si="6"/>
        <v>0</v>
      </c>
      <c r="N31" s="68">
        <f t="shared" si="0"/>
        <v>2025</v>
      </c>
    </row>
    <row r="32" spans="1:14">
      <c r="A32" s="69">
        <v>28</v>
      </c>
      <c r="B32" s="83">
        <v>46231</v>
      </c>
      <c r="C32" s="84"/>
      <c r="D32" s="145">
        <v>0</v>
      </c>
      <c r="E32" s="167"/>
      <c r="F32" s="145">
        <f t="shared" si="1"/>
        <v>112.5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2025</v>
      </c>
      <c r="L32" s="68">
        <f t="shared" si="5"/>
        <v>0</v>
      </c>
      <c r="M32" s="68">
        <f t="shared" si="6"/>
        <v>0</v>
      </c>
      <c r="N32" s="68">
        <f t="shared" si="0"/>
        <v>2025</v>
      </c>
    </row>
    <row r="33" spans="1:14">
      <c r="A33" s="69">
        <v>29</v>
      </c>
      <c r="B33" s="83">
        <v>46232</v>
      </c>
      <c r="C33" s="84"/>
      <c r="D33" s="145">
        <v>0</v>
      </c>
      <c r="E33" s="167"/>
      <c r="F33" s="145">
        <f t="shared" si="1"/>
        <v>112.5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2025</v>
      </c>
      <c r="L33" s="68">
        <f t="shared" si="5"/>
        <v>0</v>
      </c>
      <c r="M33" s="68">
        <f t="shared" si="6"/>
        <v>0</v>
      </c>
      <c r="N33" s="68">
        <f t="shared" si="0"/>
        <v>2025</v>
      </c>
    </row>
    <row r="34" spans="1:14">
      <c r="A34" s="69">
        <v>30</v>
      </c>
      <c r="B34" s="83">
        <v>46233</v>
      </c>
      <c r="C34" s="84"/>
      <c r="D34" s="145">
        <v>0</v>
      </c>
      <c r="E34" s="168">
        <v>22.5</v>
      </c>
      <c r="F34" s="145">
        <f t="shared" si="1"/>
        <v>112.5</v>
      </c>
      <c r="G34" s="145">
        <v>0</v>
      </c>
      <c r="H34" s="145">
        <v>0</v>
      </c>
      <c r="I34" s="68">
        <f t="shared" si="2"/>
        <v>0</v>
      </c>
      <c r="J34" s="68">
        <f t="shared" si="3"/>
        <v>2700</v>
      </c>
      <c r="K34" s="68">
        <f t="shared" si="4"/>
        <v>2025</v>
      </c>
      <c r="L34" s="68">
        <f t="shared" si="5"/>
        <v>0</v>
      </c>
      <c r="M34" s="68">
        <f t="shared" si="6"/>
        <v>0</v>
      </c>
      <c r="N34" s="68">
        <f t="shared" si="0"/>
        <v>4725</v>
      </c>
    </row>
    <row r="35" spans="1:14">
      <c r="A35" s="69">
        <v>31</v>
      </c>
      <c r="B35" s="83">
        <v>46234</v>
      </c>
      <c r="C35" s="84"/>
      <c r="D35" s="145"/>
      <c r="E35" s="167"/>
      <c r="F35" s="145">
        <f t="shared" si="1"/>
        <v>90</v>
      </c>
      <c r="G35" s="145"/>
      <c r="H35" s="145"/>
      <c r="I35" s="68">
        <f t="shared" si="2"/>
        <v>0</v>
      </c>
      <c r="J35" s="68">
        <f t="shared" si="3"/>
        <v>0</v>
      </c>
      <c r="K35" s="68">
        <f t="shared" si="4"/>
        <v>1620</v>
      </c>
      <c r="L35" s="68">
        <f t="shared" si="5"/>
        <v>0</v>
      </c>
      <c r="M35" s="68">
        <f t="shared" si="6"/>
        <v>0</v>
      </c>
      <c r="N35" s="68">
        <f t="shared" si="0"/>
        <v>1620</v>
      </c>
    </row>
    <row r="36" spans="1:14">
      <c r="D36" s="76">
        <f t="shared" ref="D36:N36" si="7">SUM(D5:D35)</f>
        <v>0</v>
      </c>
      <c r="E36" s="76">
        <f t="shared" si="7"/>
        <v>112.5</v>
      </c>
      <c r="F36" s="76">
        <f t="shared" si="7"/>
        <v>4815</v>
      </c>
      <c r="G36" s="76">
        <f t="shared" si="7"/>
        <v>0</v>
      </c>
      <c r="H36" s="76">
        <f t="shared" si="7"/>
        <v>0</v>
      </c>
      <c r="I36" s="78">
        <f t="shared" si="7"/>
        <v>0</v>
      </c>
      <c r="J36" s="78">
        <f t="shared" si="7"/>
        <v>13500</v>
      </c>
      <c r="K36" s="78">
        <f t="shared" si="7"/>
        <v>86670</v>
      </c>
      <c r="L36" s="78">
        <f t="shared" si="7"/>
        <v>0</v>
      </c>
      <c r="M36" s="78">
        <f t="shared" si="7"/>
        <v>0</v>
      </c>
      <c r="N36" s="78">
        <f t="shared" si="7"/>
        <v>100170</v>
      </c>
    </row>
    <row r="37" spans="1:14">
      <c r="L37" s="79"/>
      <c r="M37" s="79"/>
      <c r="N37" s="80">
        <f>N36*1.22</f>
        <v>122207.4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CEA5-AED8-48FD-834B-6C3952152BE4}">
  <dimension ref="A1:R37"/>
  <sheetViews>
    <sheetView topLeftCell="A17" workbookViewId="0">
      <selection activeCell="I12" sqref="I12"/>
    </sheetView>
  </sheetViews>
  <sheetFormatPr defaultRowHeight="15"/>
  <cols>
    <col min="1" max="1" width="13.140625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7109375" style="51" bestFit="1" customWidth="1"/>
    <col min="8" max="8" width="9.5703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5.42578125" style="51" customWidth="1"/>
    <col min="18" max="18" width="9.28515625" style="51" bestFit="1" customWidth="1"/>
    <col min="19" max="16384" width="9.140625" style="51"/>
  </cols>
  <sheetData>
    <row r="1" spans="1:18">
      <c r="A1" s="50">
        <f>N37</f>
        <v>102937.5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102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120</v>
      </c>
    </row>
    <row r="5" spans="1:18">
      <c r="A5" s="69">
        <v>1</v>
      </c>
      <c r="B5" s="83">
        <v>46204</v>
      </c>
      <c r="C5" s="84"/>
      <c r="D5" s="145">
        <v>0</v>
      </c>
      <c r="E5" s="169"/>
      <c r="F5" s="145">
        <v>180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3240</v>
      </c>
      <c r="L5" s="68">
        <f>SUM(G5*$R$7)</f>
        <v>0</v>
      </c>
      <c r="M5" s="68">
        <f>SUM(H5*$R$8)</f>
        <v>0</v>
      </c>
      <c r="N5" s="68">
        <f t="shared" ref="N5:N35" si="0">SUM(I5:M5)</f>
        <v>3240</v>
      </c>
      <c r="Q5" s="143" t="s">
        <v>100</v>
      </c>
      <c r="R5" s="144">
        <v>120</v>
      </c>
    </row>
    <row r="6" spans="1:18">
      <c r="A6" s="69">
        <v>2</v>
      </c>
      <c r="B6" s="83">
        <v>46205</v>
      </c>
      <c r="C6" s="84"/>
      <c r="D6" s="145">
        <v>0</v>
      </c>
      <c r="E6" s="169"/>
      <c r="F6" s="145">
        <f t="shared" ref="F6:F31" si="1">F5+D6-E5</f>
        <v>180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3240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3240</v>
      </c>
      <c r="Q6" s="143" t="s">
        <v>4</v>
      </c>
      <c r="R6" s="144">
        <v>18</v>
      </c>
    </row>
    <row r="7" spans="1:18">
      <c r="A7" s="69">
        <v>3</v>
      </c>
      <c r="B7" s="83">
        <v>46206</v>
      </c>
      <c r="C7" s="84"/>
      <c r="D7" s="145">
        <v>0</v>
      </c>
      <c r="E7" s="169"/>
      <c r="F7" s="145">
        <f t="shared" si="1"/>
        <v>180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3240</v>
      </c>
      <c r="L7" s="68">
        <f t="shared" si="5"/>
        <v>0</v>
      </c>
      <c r="M7" s="68">
        <f t="shared" si="6"/>
        <v>0</v>
      </c>
      <c r="N7" s="68">
        <f t="shared" si="0"/>
        <v>3240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>
        <v>0</v>
      </c>
      <c r="E8" s="169"/>
      <c r="F8" s="145">
        <f t="shared" si="1"/>
        <v>180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3240</v>
      </c>
      <c r="L8" s="68">
        <f t="shared" si="5"/>
        <v>0</v>
      </c>
      <c r="M8" s="68">
        <f t="shared" si="6"/>
        <v>0</v>
      </c>
      <c r="N8" s="68">
        <f t="shared" si="0"/>
        <v>3240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>
        <v>0</v>
      </c>
      <c r="E9" s="169"/>
      <c r="F9" s="145">
        <f t="shared" si="1"/>
        <v>180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3240</v>
      </c>
      <c r="L9" s="68">
        <f t="shared" si="5"/>
        <v>0</v>
      </c>
      <c r="M9" s="68">
        <f t="shared" si="6"/>
        <v>0</v>
      </c>
      <c r="N9" s="68">
        <f t="shared" si="0"/>
        <v>3240</v>
      </c>
    </row>
    <row r="10" spans="1:18">
      <c r="A10" s="69">
        <v>6</v>
      </c>
      <c r="B10" s="83">
        <v>46209</v>
      </c>
      <c r="C10" s="84"/>
      <c r="D10" s="145">
        <v>0</v>
      </c>
      <c r="E10" s="169"/>
      <c r="F10" s="145">
        <f t="shared" si="1"/>
        <v>180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3240</v>
      </c>
      <c r="L10" s="68">
        <f t="shared" si="5"/>
        <v>0</v>
      </c>
      <c r="M10" s="68">
        <f t="shared" si="6"/>
        <v>0</v>
      </c>
      <c r="N10" s="68">
        <f t="shared" si="0"/>
        <v>3240</v>
      </c>
    </row>
    <row r="11" spans="1:18">
      <c r="A11" s="69">
        <v>7</v>
      </c>
      <c r="B11" s="83">
        <v>46210</v>
      </c>
      <c r="C11" s="84"/>
      <c r="D11" s="145">
        <v>0</v>
      </c>
      <c r="E11" s="169"/>
      <c r="F11" s="145">
        <f t="shared" si="1"/>
        <v>180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3240</v>
      </c>
      <c r="L11" s="68">
        <f t="shared" si="5"/>
        <v>0</v>
      </c>
      <c r="M11" s="68">
        <f t="shared" si="6"/>
        <v>0</v>
      </c>
      <c r="N11" s="68">
        <f t="shared" si="0"/>
        <v>3240</v>
      </c>
    </row>
    <row r="12" spans="1:18">
      <c r="A12" s="69">
        <v>8</v>
      </c>
      <c r="B12" s="83">
        <v>46211</v>
      </c>
      <c r="C12" s="84"/>
      <c r="D12" s="145">
        <v>0</v>
      </c>
      <c r="E12" s="169"/>
      <c r="F12" s="145">
        <f t="shared" si="1"/>
        <v>180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3240</v>
      </c>
      <c r="L12" s="68">
        <f t="shared" si="5"/>
        <v>0</v>
      </c>
      <c r="M12" s="68">
        <f t="shared" si="6"/>
        <v>0</v>
      </c>
      <c r="N12" s="68">
        <f t="shared" si="0"/>
        <v>3240</v>
      </c>
    </row>
    <row r="13" spans="1:18">
      <c r="A13" s="69">
        <v>9</v>
      </c>
      <c r="B13" s="83">
        <v>46212</v>
      </c>
      <c r="C13" s="84"/>
      <c r="D13" s="145">
        <v>0</v>
      </c>
      <c r="E13" s="170">
        <v>22.5</v>
      </c>
      <c r="F13" s="145">
        <f t="shared" si="1"/>
        <v>180</v>
      </c>
      <c r="G13" s="145">
        <v>0</v>
      </c>
      <c r="H13" s="145">
        <v>0</v>
      </c>
      <c r="I13" s="68">
        <f t="shared" si="2"/>
        <v>0</v>
      </c>
      <c r="J13" s="68">
        <f t="shared" si="3"/>
        <v>2700</v>
      </c>
      <c r="K13" s="68">
        <f t="shared" si="4"/>
        <v>3240</v>
      </c>
      <c r="L13" s="68">
        <f t="shared" si="5"/>
        <v>0</v>
      </c>
      <c r="M13" s="68">
        <f t="shared" si="6"/>
        <v>0</v>
      </c>
      <c r="N13" s="68">
        <f t="shared" si="0"/>
        <v>5940</v>
      </c>
    </row>
    <row r="14" spans="1:18">
      <c r="A14" s="69">
        <v>10</v>
      </c>
      <c r="B14" s="83">
        <v>46213</v>
      </c>
      <c r="C14" s="84"/>
      <c r="D14" s="145">
        <v>0</v>
      </c>
      <c r="E14" s="169"/>
      <c r="F14" s="145">
        <f t="shared" si="1"/>
        <v>157.5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2835</v>
      </c>
      <c r="L14" s="68">
        <f t="shared" si="5"/>
        <v>0</v>
      </c>
      <c r="M14" s="68">
        <f t="shared" si="6"/>
        <v>0</v>
      </c>
      <c r="N14" s="68">
        <f t="shared" si="0"/>
        <v>2835</v>
      </c>
    </row>
    <row r="15" spans="1:18">
      <c r="A15" s="69">
        <v>11</v>
      </c>
      <c r="B15" s="83">
        <v>46214</v>
      </c>
      <c r="C15" s="84"/>
      <c r="D15" s="145">
        <v>0</v>
      </c>
      <c r="E15" s="169"/>
      <c r="F15" s="145">
        <f t="shared" si="1"/>
        <v>157.5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2835</v>
      </c>
      <c r="L15" s="68">
        <f t="shared" si="5"/>
        <v>0</v>
      </c>
      <c r="M15" s="68">
        <f t="shared" si="6"/>
        <v>0</v>
      </c>
      <c r="N15" s="68">
        <f t="shared" si="0"/>
        <v>2835</v>
      </c>
    </row>
    <row r="16" spans="1:18">
      <c r="A16" s="69">
        <v>12</v>
      </c>
      <c r="B16" s="83">
        <v>46215</v>
      </c>
      <c r="C16" s="84"/>
      <c r="D16" s="145">
        <v>0</v>
      </c>
      <c r="E16" s="169"/>
      <c r="F16" s="145">
        <f t="shared" si="1"/>
        <v>157.5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2835</v>
      </c>
      <c r="L16" s="68">
        <f t="shared" si="5"/>
        <v>0</v>
      </c>
      <c r="M16" s="68">
        <f t="shared" si="6"/>
        <v>0</v>
      </c>
      <c r="N16" s="68">
        <f t="shared" si="0"/>
        <v>2835</v>
      </c>
    </row>
    <row r="17" spans="1:14">
      <c r="A17" s="69">
        <v>13</v>
      </c>
      <c r="B17" s="83">
        <v>46216</v>
      </c>
      <c r="C17" s="84"/>
      <c r="D17" s="145">
        <v>0</v>
      </c>
      <c r="E17" s="169"/>
      <c r="F17" s="145">
        <f t="shared" si="1"/>
        <v>157.5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2835</v>
      </c>
      <c r="L17" s="68">
        <f t="shared" si="5"/>
        <v>0</v>
      </c>
      <c r="M17" s="68">
        <f t="shared" si="6"/>
        <v>0</v>
      </c>
      <c r="N17" s="68">
        <f t="shared" si="0"/>
        <v>2835</v>
      </c>
    </row>
    <row r="18" spans="1:14">
      <c r="A18" s="69">
        <v>14</v>
      </c>
      <c r="B18" s="83">
        <v>46217</v>
      </c>
      <c r="C18" s="84"/>
      <c r="D18" s="145">
        <v>0</v>
      </c>
      <c r="E18" s="170">
        <v>22.5</v>
      </c>
      <c r="F18" s="145">
        <f t="shared" si="1"/>
        <v>157.5</v>
      </c>
      <c r="G18" s="145">
        <v>0</v>
      </c>
      <c r="H18" s="145">
        <v>0</v>
      </c>
      <c r="I18" s="68">
        <f t="shared" si="2"/>
        <v>0</v>
      </c>
      <c r="J18" s="68">
        <f t="shared" si="3"/>
        <v>2700</v>
      </c>
      <c r="K18" s="68">
        <f t="shared" si="4"/>
        <v>2835</v>
      </c>
      <c r="L18" s="68">
        <f t="shared" si="5"/>
        <v>0</v>
      </c>
      <c r="M18" s="68">
        <f t="shared" si="6"/>
        <v>0</v>
      </c>
      <c r="N18" s="68">
        <f t="shared" si="0"/>
        <v>5535</v>
      </c>
    </row>
    <row r="19" spans="1:14">
      <c r="A19" s="69">
        <v>15</v>
      </c>
      <c r="B19" s="83">
        <v>46218</v>
      </c>
      <c r="C19" s="84"/>
      <c r="D19" s="145">
        <v>0</v>
      </c>
      <c r="E19" s="169"/>
      <c r="F19" s="145">
        <f t="shared" si="1"/>
        <v>135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2430</v>
      </c>
      <c r="L19" s="68">
        <f t="shared" si="5"/>
        <v>0</v>
      </c>
      <c r="M19" s="68">
        <f t="shared" si="6"/>
        <v>0</v>
      </c>
      <c r="N19" s="68">
        <f t="shared" si="0"/>
        <v>2430</v>
      </c>
    </row>
    <row r="20" spans="1:14">
      <c r="A20" s="69">
        <v>16</v>
      </c>
      <c r="B20" s="83">
        <v>46219</v>
      </c>
      <c r="C20" s="84"/>
      <c r="D20" s="145">
        <v>0</v>
      </c>
      <c r="E20" s="170">
        <v>22.5</v>
      </c>
      <c r="F20" s="145">
        <f t="shared" si="1"/>
        <v>135</v>
      </c>
      <c r="G20" s="145">
        <v>0</v>
      </c>
      <c r="H20" s="145">
        <v>0</v>
      </c>
      <c r="I20" s="68">
        <f t="shared" si="2"/>
        <v>0</v>
      </c>
      <c r="J20" s="68">
        <f t="shared" si="3"/>
        <v>2700</v>
      </c>
      <c r="K20" s="68">
        <f t="shared" si="4"/>
        <v>2430</v>
      </c>
      <c r="L20" s="68">
        <f t="shared" si="5"/>
        <v>0</v>
      </c>
      <c r="M20" s="68">
        <f t="shared" si="6"/>
        <v>0</v>
      </c>
      <c r="N20" s="68">
        <f t="shared" si="0"/>
        <v>5130</v>
      </c>
    </row>
    <row r="21" spans="1:14">
      <c r="A21" s="69">
        <v>17</v>
      </c>
      <c r="B21" s="83">
        <v>46220</v>
      </c>
      <c r="C21" s="84"/>
      <c r="D21" s="145">
        <v>0</v>
      </c>
      <c r="E21" s="169"/>
      <c r="F21" s="145">
        <f t="shared" si="1"/>
        <v>112.5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2025</v>
      </c>
      <c r="L21" s="68">
        <f t="shared" si="5"/>
        <v>0</v>
      </c>
      <c r="M21" s="68">
        <f t="shared" si="6"/>
        <v>0</v>
      </c>
      <c r="N21" s="68">
        <f t="shared" si="0"/>
        <v>2025</v>
      </c>
    </row>
    <row r="22" spans="1:14">
      <c r="A22" s="69">
        <v>18</v>
      </c>
      <c r="B22" s="83">
        <v>46221</v>
      </c>
      <c r="C22" s="84"/>
      <c r="D22" s="145">
        <v>0</v>
      </c>
      <c r="E22" s="169"/>
      <c r="F22" s="145">
        <f t="shared" si="1"/>
        <v>112.5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2025</v>
      </c>
      <c r="L22" s="68">
        <f t="shared" si="5"/>
        <v>0</v>
      </c>
      <c r="M22" s="68">
        <f t="shared" si="6"/>
        <v>0</v>
      </c>
      <c r="N22" s="68">
        <f t="shared" si="0"/>
        <v>2025</v>
      </c>
    </row>
    <row r="23" spans="1:14">
      <c r="A23" s="69">
        <v>19</v>
      </c>
      <c r="B23" s="83">
        <v>46222</v>
      </c>
      <c r="C23" s="84"/>
      <c r="D23" s="145">
        <v>0</v>
      </c>
      <c r="E23" s="169"/>
      <c r="F23" s="145">
        <f t="shared" si="1"/>
        <v>112.5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2025</v>
      </c>
      <c r="L23" s="68">
        <f t="shared" si="5"/>
        <v>0</v>
      </c>
      <c r="M23" s="68">
        <f t="shared" si="6"/>
        <v>0</v>
      </c>
      <c r="N23" s="68">
        <f t="shared" si="0"/>
        <v>2025</v>
      </c>
    </row>
    <row r="24" spans="1:14">
      <c r="A24" s="69">
        <v>20</v>
      </c>
      <c r="B24" s="83">
        <v>46223</v>
      </c>
      <c r="C24" s="84"/>
      <c r="D24" s="145">
        <v>0</v>
      </c>
      <c r="E24" s="170">
        <v>22.5</v>
      </c>
      <c r="F24" s="145">
        <f t="shared" si="1"/>
        <v>112.5</v>
      </c>
      <c r="G24" s="145">
        <v>0</v>
      </c>
      <c r="H24" s="145">
        <v>0</v>
      </c>
      <c r="I24" s="68">
        <f t="shared" si="2"/>
        <v>0</v>
      </c>
      <c r="J24" s="68">
        <f t="shared" si="3"/>
        <v>2700</v>
      </c>
      <c r="K24" s="68">
        <f t="shared" si="4"/>
        <v>2025</v>
      </c>
      <c r="L24" s="68">
        <f t="shared" si="5"/>
        <v>0</v>
      </c>
      <c r="M24" s="68">
        <f t="shared" si="6"/>
        <v>0</v>
      </c>
      <c r="N24" s="68">
        <f t="shared" si="0"/>
        <v>4725</v>
      </c>
    </row>
    <row r="25" spans="1:14">
      <c r="A25" s="69">
        <v>21</v>
      </c>
      <c r="B25" s="83">
        <v>46224</v>
      </c>
      <c r="C25" s="84"/>
      <c r="D25" s="145">
        <v>0</v>
      </c>
      <c r="E25" s="169"/>
      <c r="F25" s="145">
        <f t="shared" si="1"/>
        <v>90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1620</v>
      </c>
      <c r="L25" s="68">
        <f t="shared" si="5"/>
        <v>0</v>
      </c>
      <c r="M25" s="68">
        <f t="shared" si="6"/>
        <v>0</v>
      </c>
      <c r="N25" s="68">
        <f t="shared" si="0"/>
        <v>1620</v>
      </c>
    </row>
    <row r="26" spans="1:14">
      <c r="A26" s="69">
        <v>22</v>
      </c>
      <c r="B26" s="83">
        <v>46225</v>
      </c>
      <c r="C26" s="84"/>
      <c r="D26" s="145">
        <v>0</v>
      </c>
      <c r="E26" s="169"/>
      <c r="F26" s="145">
        <f t="shared" si="1"/>
        <v>90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1620</v>
      </c>
      <c r="L26" s="68">
        <f t="shared" si="5"/>
        <v>0</v>
      </c>
      <c r="M26" s="68">
        <f t="shared" si="6"/>
        <v>0</v>
      </c>
      <c r="N26" s="68">
        <f t="shared" si="0"/>
        <v>1620</v>
      </c>
    </row>
    <row r="27" spans="1:14">
      <c r="A27" s="69">
        <v>23</v>
      </c>
      <c r="B27" s="83">
        <v>46226</v>
      </c>
      <c r="C27" s="84"/>
      <c r="D27" s="145">
        <v>0</v>
      </c>
      <c r="E27" s="170">
        <v>22.5</v>
      </c>
      <c r="F27" s="145">
        <f t="shared" si="1"/>
        <v>90</v>
      </c>
      <c r="G27" s="145">
        <v>0</v>
      </c>
      <c r="H27" s="145">
        <v>0</v>
      </c>
      <c r="I27" s="68">
        <f t="shared" si="2"/>
        <v>0</v>
      </c>
      <c r="J27" s="68">
        <f t="shared" si="3"/>
        <v>2700</v>
      </c>
      <c r="K27" s="68">
        <f t="shared" si="4"/>
        <v>1620</v>
      </c>
      <c r="L27" s="68">
        <f t="shared" si="5"/>
        <v>0</v>
      </c>
      <c r="M27" s="68">
        <f t="shared" si="6"/>
        <v>0</v>
      </c>
      <c r="N27" s="68">
        <f t="shared" si="0"/>
        <v>4320</v>
      </c>
    </row>
    <row r="28" spans="1:14">
      <c r="A28" s="69">
        <v>24</v>
      </c>
      <c r="B28" s="83">
        <v>46227</v>
      </c>
      <c r="C28" s="84"/>
      <c r="D28" s="145">
        <v>0</v>
      </c>
      <c r="E28" s="169"/>
      <c r="F28" s="145">
        <f t="shared" si="1"/>
        <v>67.5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1215</v>
      </c>
      <c r="L28" s="68">
        <f t="shared" si="5"/>
        <v>0</v>
      </c>
      <c r="M28" s="68">
        <f t="shared" si="6"/>
        <v>0</v>
      </c>
      <c r="N28" s="68">
        <f t="shared" si="0"/>
        <v>1215</v>
      </c>
    </row>
    <row r="29" spans="1:14">
      <c r="A29" s="69">
        <v>25</v>
      </c>
      <c r="B29" s="83">
        <v>46228</v>
      </c>
      <c r="C29" s="84"/>
      <c r="D29" s="145">
        <v>0</v>
      </c>
      <c r="E29" s="169"/>
      <c r="F29" s="145">
        <f t="shared" si="1"/>
        <v>67.5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1215</v>
      </c>
      <c r="L29" s="68">
        <f t="shared" si="5"/>
        <v>0</v>
      </c>
      <c r="M29" s="68">
        <f t="shared" si="6"/>
        <v>0</v>
      </c>
      <c r="N29" s="68">
        <f t="shared" si="0"/>
        <v>1215</v>
      </c>
    </row>
    <row r="30" spans="1:14">
      <c r="A30" s="69">
        <v>26</v>
      </c>
      <c r="B30" s="83">
        <v>46229</v>
      </c>
      <c r="C30" s="84"/>
      <c r="D30" s="145">
        <v>0</v>
      </c>
      <c r="E30" s="169"/>
      <c r="F30" s="145">
        <f t="shared" si="1"/>
        <v>67.5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1215</v>
      </c>
      <c r="L30" s="68">
        <f t="shared" si="5"/>
        <v>0</v>
      </c>
      <c r="M30" s="68">
        <f t="shared" si="6"/>
        <v>0</v>
      </c>
      <c r="N30" s="68">
        <f t="shared" si="0"/>
        <v>1215</v>
      </c>
    </row>
    <row r="31" spans="1:14">
      <c r="A31" s="69">
        <v>27</v>
      </c>
      <c r="B31" s="83">
        <v>46230</v>
      </c>
      <c r="C31" s="84"/>
      <c r="D31" s="145">
        <v>0</v>
      </c>
      <c r="E31" s="169"/>
      <c r="F31" s="145">
        <f t="shared" si="1"/>
        <v>67.5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1215</v>
      </c>
      <c r="L31" s="68">
        <f t="shared" si="5"/>
        <v>0</v>
      </c>
      <c r="M31" s="68">
        <f t="shared" si="6"/>
        <v>0</v>
      </c>
      <c r="N31" s="68">
        <f t="shared" si="0"/>
        <v>1215</v>
      </c>
    </row>
    <row r="32" spans="1:14">
      <c r="A32" s="69">
        <v>28</v>
      </c>
      <c r="B32" s="83">
        <v>46231</v>
      </c>
      <c r="C32" s="84"/>
      <c r="D32" s="145">
        <v>0</v>
      </c>
      <c r="E32" s="169"/>
      <c r="F32" s="145">
        <f>F31+D32-E31</f>
        <v>67.5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1215</v>
      </c>
      <c r="L32" s="68">
        <f t="shared" si="5"/>
        <v>0</v>
      </c>
      <c r="M32" s="68">
        <f t="shared" si="6"/>
        <v>0</v>
      </c>
      <c r="N32" s="68">
        <f t="shared" si="0"/>
        <v>1215</v>
      </c>
    </row>
    <row r="33" spans="1:14">
      <c r="A33" s="69">
        <v>29</v>
      </c>
      <c r="B33" s="83">
        <v>46232</v>
      </c>
      <c r="C33" s="84"/>
      <c r="D33" s="145">
        <v>0</v>
      </c>
      <c r="E33" s="169"/>
      <c r="F33" s="145">
        <f t="shared" ref="F33:F35" si="7">F32+D33-E32</f>
        <v>67.5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1215</v>
      </c>
      <c r="L33" s="68">
        <f t="shared" si="5"/>
        <v>0</v>
      </c>
      <c r="M33" s="68">
        <f t="shared" si="6"/>
        <v>0</v>
      </c>
      <c r="N33" s="68">
        <f t="shared" si="0"/>
        <v>1215</v>
      </c>
    </row>
    <row r="34" spans="1:14">
      <c r="A34" s="69">
        <v>30</v>
      </c>
      <c r="B34" s="83">
        <v>46233</v>
      </c>
      <c r="C34" s="84"/>
      <c r="D34" s="145">
        <v>0</v>
      </c>
      <c r="E34" s="169"/>
      <c r="F34" s="145">
        <f t="shared" si="7"/>
        <v>67.5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1215</v>
      </c>
      <c r="L34" s="68">
        <f t="shared" si="5"/>
        <v>0</v>
      </c>
      <c r="M34" s="68">
        <f t="shared" si="6"/>
        <v>0</v>
      </c>
      <c r="N34" s="68">
        <f t="shared" si="0"/>
        <v>1215</v>
      </c>
    </row>
    <row r="35" spans="1:14">
      <c r="A35" s="69">
        <v>31</v>
      </c>
      <c r="B35" s="83">
        <v>46234</v>
      </c>
      <c r="C35" s="84"/>
      <c r="D35" s="145"/>
      <c r="E35" s="169"/>
      <c r="F35" s="145">
        <f t="shared" si="7"/>
        <v>67.5</v>
      </c>
      <c r="G35" s="145"/>
      <c r="H35" s="145"/>
      <c r="I35" s="68">
        <f t="shared" si="2"/>
        <v>0</v>
      </c>
      <c r="J35" s="68">
        <f t="shared" si="3"/>
        <v>0</v>
      </c>
      <c r="K35" s="68">
        <f t="shared" si="4"/>
        <v>1215</v>
      </c>
      <c r="L35" s="68">
        <f t="shared" si="5"/>
        <v>0</v>
      </c>
      <c r="M35" s="68">
        <f t="shared" si="6"/>
        <v>0</v>
      </c>
      <c r="N35" s="68">
        <f t="shared" si="0"/>
        <v>1215</v>
      </c>
    </row>
    <row r="36" spans="1:14">
      <c r="D36" s="76">
        <f t="shared" ref="D36:N36" si="8">SUM(D5:D35)</f>
        <v>0</v>
      </c>
      <c r="E36" s="76">
        <f t="shared" si="8"/>
        <v>112.5</v>
      </c>
      <c r="F36" s="76">
        <f t="shared" si="8"/>
        <v>3937.5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13500</v>
      </c>
      <c r="K36" s="78">
        <f t="shared" si="8"/>
        <v>70875</v>
      </c>
      <c r="L36" s="78">
        <f t="shared" si="8"/>
        <v>0</v>
      </c>
      <c r="M36" s="78">
        <f t="shared" si="8"/>
        <v>0</v>
      </c>
      <c r="N36" s="78">
        <f t="shared" si="8"/>
        <v>84375</v>
      </c>
    </row>
    <row r="37" spans="1:14">
      <c r="L37" s="79"/>
      <c r="M37" s="79"/>
      <c r="N37" s="80">
        <f>N36*1.22</f>
        <v>102937.5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D4D9-8DA9-44E0-8959-37BC50979DB4}">
  <dimension ref="A1:R37"/>
  <sheetViews>
    <sheetView topLeftCell="A14" workbookViewId="0">
      <selection activeCell="J29" sqref="J29"/>
    </sheetView>
  </sheetViews>
  <sheetFormatPr defaultRowHeight="15"/>
  <cols>
    <col min="1" max="1" width="13.710937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5.42578125" style="51" customWidth="1"/>
    <col min="18" max="16384" width="9.140625" style="51"/>
  </cols>
  <sheetData>
    <row r="1" spans="1:18">
      <c r="A1" s="50">
        <f>N37</f>
        <v>416008.41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28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120</v>
      </c>
    </row>
    <row r="5" spans="1:18">
      <c r="A5" s="69">
        <v>1</v>
      </c>
      <c r="B5" s="83">
        <v>46204</v>
      </c>
      <c r="C5" s="84"/>
      <c r="D5" s="145">
        <v>0</v>
      </c>
      <c r="E5" s="171"/>
      <c r="F5" s="145">
        <v>715.5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12879</v>
      </c>
      <c r="L5" s="68">
        <f>SUM(G5*$R$7)</f>
        <v>0</v>
      </c>
      <c r="M5" s="68">
        <f>SUM(H5*$R$8)</f>
        <v>0</v>
      </c>
      <c r="N5" s="68">
        <f t="shared" ref="N5:N35" si="0">SUM(I5:M5)</f>
        <v>12879</v>
      </c>
      <c r="Q5" s="143" t="s">
        <v>100</v>
      </c>
      <c r="R5" s="144">
        <v>120</v>
      </c>
    </row>
    <row r="6" spans="1:18">
      <c r="A6" s="69">
        <v>2</v>
      </c>
      <c r="B6" s="83">
        <v>46205</v>
      </c>
      <c r="C6" s="84"/>
      <c r="D6" s="145">
        <v>0</v>
      </c>
      <c r="E6" s="172">
        <v>22</v>
      </c>
      <c r="F6" s="145">
        <f t="shared" ref="F6:F31" si="1">F5+D6-E5</f>
        <v>715.5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2640</v>
      </c>
      <c r="K6" s="68">
        <f t="shared" ref="K6:K35" si="4">SUM(F6*$R$6)</f>
        <v>12879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15519</v>
      </c>
      <c r="Q6" s="143" t="s">
        <v>4</v>
      </c>
      <c r="R6" s="144">
        <v>18</v>
      </c>
    </row>
    <row r="7" spans="1:18">
      <c r="A7" s="69">
        <v>3</v>
      </c>
      <c r="B7" s="83">
        <v>46206</v>
      </c>
      <c r="C7" s="84"/>
      <c r="D7" s="145">
        <v>0</v>
      </c>
      <c r="E7" s="173">
        <v>22.5</v>
      </c>
      <c r="F7" s="145">
        <f t="shared" si="1"/>
        <v>693.5</v>
      </c>
      <c r="G7" s="145">
        <v>0</v>
      </c>
      <c r="H7" s="145">
        <v>0</v>
      </c>
      <c r="I7" s="68">
        <f t="shared" si="2"/>
        <v>0</v>
      </c>
      <c r="J7" s="68">
        <f t="shared" si="3"/>
        <v>2700</v>
      </c>
      <c r="K7" s="68">
        <f t="shared" si="4"/>
        <v>12483</v>
      </c>
      <c r="L7" s="68">
        <f t="shared" si="5"/>
        <v>0</v>
      </c>
      <c r="M7" s="68">
        <f t="shared" si="6"/>
        <v>0</v>
      </c>
      <c r="N7" s="68">
        <f t="shared" si="0"/>
        <v>15183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>
        <v>0</v>
      </c>
      <c r="E8" s="171"/>
      <c r="F8" s="145">
        <f t="shared" si="1"/>
        <v>671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12078</v>
      </c>
      <c r="L8" s="68">
        <f t="shared" si="5"/>
        <v>0</v>
      </c>
      <c r="M8" s="68">
        <f t="shared" si="6"/>
        <v>0</v>
      </c>
      <c r="N8" s="68">
        <f t="shared" si="0"/>
        <v>12078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>
        <v>0</v>
      </c>
      <c r="E9" s="171"/>
      <c r="F9" s="145">
        <f t="shared" si="1"/>
        <v>671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12078</v>
      </c>
      <c r="L9" s="68">
        <f t="shared" si="5"/>
        <v>0</v>
      </c>
      <c r="M9" s="68">
        <f t="shared" si="6"/>
        <v>0</v>
      </c>
      <c r="N9" s="68">
        <f t="shared" si="0"/>
        <v>12078</v>
      </c>
    </row>
    <row r="10" spans="1:18">
      <c r="A10" s="69">
        <v>6</v>
      </c>
      <c r="B10" s="83">
        <v>46209</v>
      </c>
      <c r="C10" s="84"/>
      <c r="D10" s="145">
        <v>0</v>
      </c>
      <c r="E10" s="172">
        <v>21</v>
      </c>
      <c r="F10" s="145">
        <f t="shared" si="1"/>
        <v>671</v>
      </c>
      <c r="G10" s="145">
        <v>0</v>
      </c>
      <c r="H10" s="145">
        <v>0</v>
      </c>
      <c r="I10" s="68">
        <f t="shared" si="2"/>
        <v>0</v>
      </c>
      <c r="J10" s="68">
        <f t="shared" si="3"/>
        <v>2520</v>
      </c>
      <c r="K10" s="68">
        <f t="shared" si="4"/>
        <v>12078</v>
      </c>
      <c r="L10" s="68">
        <f t="shared" si="5"/>
        <v>0</v>
      </c>
      <c r="M10" s="68">
        <f t="shared" si="6"/>
        <v>0</v>
      </c>
      <c r="N10" s="68">
        <f t="shared" si="0"/>
        <v>14598</v>
      </c>
    </row>
    <row r="11" spans="1:18">
      <c r="A11" s="69">
        <v>7</v>
      </c>
      <c r="B11" s="83">
        <v>46210</v>
      </c>
      <c r="C11" s="84"/>
      <c r="D11" s="145">
        <v>0</v>
      </c>
      <c r="E11" s="172">
        <v>21</v>
      </c>
      <c r="F11" s="145">
        <f t="shared" si="1"/>
        <v>650</v>
      </c>
      <c r="G11" s="145">
        <v>0</v>
      </c>
      <c r="H11" s="145">
        <v>0</v>
      </c>
      <c r="I11" s="68">
        <f t="shared" si="2"/>
        <v>0</v>
      </c>
      <c r="J11" s="68">
        <f t="shared" si="3"/>
        <v>2520</v>
      </c>
      <c r="K11" s="68">
        <f t="shared" si="4"/>
        <v>11700</v>
      </c>
      <c r="L11" s="68">
        <f t="shared" si="5"/>
        <v>0</v>
      </c>
      <c r="M11" s="68">
        <f t="shared" si="6"/>
        <v>0</v>
      </c>
      <c r="N11" s="68">
        <f t="shared" si="0"/>
        <v>14220</v>
      </c>
    </row>
    <row r="12" spans="1:18">
      <c r="A12" s="69">
        <v>8</v>
      </c>
      <c r="B12" s="83">
        <v>46211</v>
      </c>
      <c r="C12" s="84"/>
      <c r="D12" s="145">
        <v>0</v>
      </c>
      <c r="E12" s="173">
        <v>22.5</v>
      </c>
      <c r="F12" s="145">
        <f t="shared" si="1"/>
        <v>629</v>
      </c>
      <c r="G12" s="145">
        <v>0</v>
      </c>
      <c r="H12" s="145">
        <v>0</v>
      </c>
      <c r="I12" s="68">
        <f t="shared" si="2"/>
        <v>0</v>
      </c>
      <c r="J12" s="68">
        <f t="shared" si="3"/>
        <v>2700</v>
      </c>
      <c r="K12" s="68">
        <f t="shared" si="4"/>
        <v>11322</v>
      </c>
      <c r="L12" s="68">
        <f t="shared" si="5"/>
        <v>0</v>
      </c>
      <c r="M12" s="68">
        <f t="shared" si="6"/>
        <v>0</v>
      </c>
      <c r="N12" s="68">
        <f t="shared" si="0"/>
        <v>14022</v>
      </c>
    </row>
    <row r="13" spans="1:18">
      <c r="A13" s="69">
        <v>9</v>
      </c>
      <c r="B13" s="83">
        <v>46212</v>
      </c>
      <c r="C13" s="84"/>
      <c r="D13" s="145">
        <v>0</v>
      </c>
      <c r="E13" s="173">
        <v>44.5</v>
      </c>
      <c r="F13" s="145">
        <f t="shared" si="1"/>
        <v>606.5</v>
      </c>
      <c r="G13" s="145">
        <v>0</v>
      </c>
      <c r="H13" s="145">
        <v>0</v>
      </c>
      <c r="I13" s="68">
        <f t="shared" si="2"/>
        <v>0</v>
      </c>
      <c r="J13" s="68">
        <f t="shared" si="3"/>
        <v>5340</v>
      </c>
      <c r="K13" s="68">
        <f t="shared" si="4"/>
        <v>10917</v>
      </c>
      <c r="L13" s="68">
        <f t="shared" si="5"/>
        <v>0</v>
      </c>
      <c r="M13" s="68">
        <f t="shared" si="6"/>
        <v>0</v>
      </c>
      <c r="N13" s="68">
        <f t="shared" si="0"/>
        <v>16257</v>
      </c>
    </row>
    <row r="14" spans="1:18">
      <c r="A14" s="69">
        <v>10</v>
      </c>
      <c r="B14" s="83">
        <v>46213</v>
      </c>
      <c r="C14" s="84"/>
      <c r="D14" s="145">
        <v>0</v>
      </c>
      <c r="E14" s="171"/>
      <c r="F14" s="145">
        <f t="shared" si="1"/>
        <v>562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10116</v>
      </c>
      <c r="L14" s="68">
        <f t="shared" si="5"/>
        <v>0</v>
      </c>
      <c r="M14" s="68">
        <f t="shared" si="6"/>
        <v>0</v>
      </c>
      <c r="N14" s="68">
        <f t="shared" si="0"/>
        <v>10116</v>
      </c>
    </row>
    <row r="15" spans="1:18">
      <c r="A15" s="69">
        <v>11</v>
      </c>
      <c r="B15" s="83">
        <v>46214</v>
      </c>
      <c r="C15" s="84"/>
      <c r="D15" s="145">
        <v>0</v>
      </c>
      <c r="E15" s="171"/>
      <c r="F15" s="145">
        <f t="shared" si="1"/>
        <v>562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10116</v>
      </c>
      <c r="L15" s="68">
        <f t="shared" si="5"/>
        <v>0</v>
      </c>
      <c r="M15" s="68">
        <f t="shared" si="6"/>
        <v>0</v>
      </c>
      <c r="N15" s="68">
        <f t="shared" si="0"/>
        <v>10116</v>
      </c>
    </row>
    <row r="16" spans="1:18">
      <c r="A16" s="69">
        <v>12</v>
      </c>
      <c r="B16" s="83">
        <v>46215</v>
      </c>
      <c r="C16" s="84"/>
      <c r="D16" s="145">
        <v>0</v>
      </c>
      <c r="E16" s="171"/>
      <c r="F16" s="145">
        <f t="shared" si="1"/>
        <v>562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10116</v>
      </c>
      <c r="L16" s="68">
        <f t="shared" si="5"/>
        <v>0</v>
      </c>
      <c r="M16" s="68">
        <f t="shared" si="6"/>
        <v>0</v>
      </c>
      <c r="N16" s="68">
        <f t="shared" si="0"/>
        <v>10116</v>
      </c>
    </row>
    <row r="17" spans="1:14">
      <c r="A17" s="69">
        <v>13</v>
      </c>
      <c r="B17" s="83">
        <v>46216</v>
      </c>
      <c r="C17" s="84"/>
      <c r="D17" s="145">
        <v>0</v>
      </c>
      <c r="E17" s="171"/>
      <c r="F17" s="145">
        <f t="shared" si="1"/>
        <v>562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10116</v>
      </c>
      <c r="L17" s="68">
        <f t="shared" si="5"/>
        <v>0</v>
      </c>
      <c r="M17" s="68">
        <f t="shared" si="6"/>
        <v>0</v>
      </c>
      <c r="N17" s="68">
        <f t="shared" si="0"/>
        <v>10116</v>
      </c>
    </row>
    <row r="18" spans="1:14">
      <c r="A18" s="69">
        <v>14</v>
      </c>
      <c r="B18" s="83">
        <v>46217</v>
      </c>
      <c r="C18" s="84"/>
      <c r="D18" s="145">
        <v>0</v>
      </c>
      <c r="E18" s="173">
        <v>22.5</v>
      </c>
      <c r="F18" s="145">
        <f t="shared" si="1"/>
        <v>562</v>
      </c>
      <c r="G18" s="145">
        <v>0</v>
      </c>
      <c r="H18" s="145">
        <v>0</v>
      </c>
      <c r="I18" s="68">
        <f t="shared" si="2"/>
        <v>0</v>
      </c>
      <c r="J18" s="68">
        <f t="shared" si="3"/>
        <v>2700</v>
      </c>
      <c r="K18" s="68">
        <f t="shared" si="4"/>
        <v>10116</v>
      </c>
      <c r="L18" s="68">
        <f t="shared" si="5"/>
        <v>0</v>
      </c>
      <c r="M18" s="68">
        <f t="shared" si="6"/>
        <v>0</v>
      </c>
      <c r="N18" s="68">
        <f t="shared" si="0"/>
        <v>12816</v>
      </c>
    </row>
    <row r="19" spans="1:14">
      <c r="A19" s="69">
        <v>15</v>
      </c>
      <c r="B19" s="83">
        <v>46218</v>
      </c>
      <c r="C19" s="84"/>
      <c r="D19" s="145">
        <v>0</v>
      </c>
      <c r="E19" s="171"/>
      <c r="F19" s="145">
        <f t="shared" si="1"/>
        <v>539.5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9711</v>
      </c>
      <c r="L19" s="68">
        <f t="shared" si="5"/>
        <v>0</v>
      </c>
      <c r="M19" s="68">
        <f t="shared" si="6"/>
        <v>0</v>
      </c>
      <c r="N19" s="68">
        <f t="shared" si="0"/>
        <v>9711</v>
      </c>
    </row>
    <row r="20" spans="1:14">
      <c r="A20" s="69">
        <v>16</v>
      </c>
      <c r="B20" s="83">
        <v>46219</v>
      </c>
      <c r="C20" s="84"/>
      <c r="D20" s="145">
        <v>0</v>
      </c>
      <c r="E20" s="171"/>
      <c r="F20" s="145">
        <f t="shared" si="1"/>
        <v>539.5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9711</v>
      </c>
      <c r="L20" s="68">
        <f t="shared" si="5"/>
        <v>0</v>
      </c>
      <c r="M20" s="68">
        <f t="shared" si="6"/>
        <v>0</v>
      </c>
      <c r="N20" s="68">
        <f t="shared" si="0"/>
        <v>9711</v>
      </c>
    </row>
    <row r="21" spans="1:14">
      <c r="A21" s="69">
        <v>17</v>
      </c>
      <c r="B21" s="83">
        <v>46220</v>
      </c>
      <c r="C21" s="84"/>
      <c r="D21" s="145">
        <v>0</v>
      </c>
      <c r="E21" s="173">
        <v>44.5</v>
      </c>
      <c r="F21" s="145">
        <f t="shared" si="1"/>
        <v>539.5</v>
      </c>
      <c r="G21" s="145">
        <v>0</v>
      </c>
      <c r="H21" s="145">
        <v>0</v>
      </c>
      <c r="I21" s="68">
        <f t="shared" si="2"/>
        <v>0</v>
      </c>
      <c r="J21" s="68">
        <f t="shared" si="3"/>
        <v>5340</v>
      </c>
      <c r="K21" s="68">
        <f t="shared" si="4"/>
        <v>9711</v>
      </c>
      <c r="L21" s="68">
        <f t="shared" si="5"/>
        <v>0</v>
      </c>
      <c r="M21" s="68">
        <f t="shared" si="6"/>
        <v>0</v>
      </c>
      <c r="N21" s="68">
        <f t="shared" si="0"/>
        <v>15051</v>
      </c>
    </row>
    <row r="22" spans="1:14">
      <c r="A22" s="69">
        <v>18</v>
      </c>
      <c r="B22" s="83">
        <v>46221</v>
      </c>
      <c r="C22" s="84"/>
      <c r="D22" s="145">
        <v>0</v>
      </c>
      <c r="E22" s="173">
        <v>22.5</v>
      </c>
      <c r="F22" s="145">
        <f t="shared" si="1"/>
        <v>495</v>
      </c>
      <c r="G22" s="145">
        <v>0</v>
      </c>
      <c r="H22" s="145">
        <v>0</v>
      </c>
      <c r="I22" s="68">
        <f t="shared" si="2"/>
        <v>0</v>
      </c>
      <c r="J22" s="68">
        <f t="shared" si="3"/>
        <v>2700</v>
      </c>
      <c r="K22" s="68">
        <f t="shared" si="4"/>
        <v>8910</v>
      </c>
      <c r="L22" s="68">
        <f t="shared" si="5"/>
        <v>0</v>
      </c>
      <c r="M22" s="68">
        <f t="shared" si="6"/>
        <v>0</v>
      </c>
      <c r="N22" s="68">
        <f t="shared" si="0"/>
        <v>11610</v>
      </c>
    </row>
    <row r="23" spans="1:14">
      <c r="A23" s="69">
        <v>19</v>
      </c>
      <c r="B23" s="83">
        <v>46222</v>
      </c>
      <c r="C23" s="84"/>
      <c r="D23" s="145">
        <v>0</v>
      </c>
      <c r="E23" s="171"/>
      <c r="F23" s="145">
        <f t="shared" si="1"/>
        <v>472.5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8505</v>
      </c>
      <c r="L23" s="68">
        <f t="shared" si="5"/>
        <v>0</v>
      </c>
      <c r="M23" s="68">
        <f t="shared" si="6"/>
        <v>0</v>
      </c>
      <c r="N23" s="68">
        <f t="shared" si="0"/>
        <v>8505</v>
      </c>
    </row>
    <row r="24" spans="1:14">
      <c r="A24" s="69">
        <v>20</v>
      </c>
      <c r="B24" s="83">
        <v>46223</v>
      </c>
      <c r="C24" s="84"/>
      <c r="D24" s="145">
        <v>0</v>
      </c>
      <c r="E24" s="172">
        <v>22</v>
      </c>
      <c r="F24" s="145">
        <f t="shared" si="1"/>
        <v>472.5</v>
      </c>
      <c r="G24" s="145">
        <v>0</v>
      </c>
      <c r="H24" s="145">
        <v>0</v>
      </c>
      <c r="I24" s="68">
        <f t="shared" si="2"/>
        <v>0</v>
      </c>
      <c r="J24" s="68">
        <f t="shared" si="3"/>
        <v>2640</v>
      </c>
      <c r="K24" s="68">
        <f t="shared" si="4"/>
        <v>8505</v>
      </c>
      <c r="L24" s="68">
        <f t="shared" si="5"/>
        <v>0</v>
      </c>
      <c r="M24" s="68">
        <f t="shared" si="6"/>
        <v>0</v>
      </c>
      <c r="N24" s="68">
        <f t="shared" si="0"/>
        <v>11145</v>
      </c>
    </row>
    <row r="25" spans="1:14">
      <c r="A25" s="69">
        <v>21</v>
      </c>
      <c r="B25" s="83">
        <v>46224</v>
      </c>
      <c r="C25" s="84"/>
      <c r="D25" s="145">
        <v>0</v>
      </c>
      <c r="E25" s="171"/>
      <c r="F25" s="145">
        <f t="shared" si="1"/>
        <v>450.5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8109</v>
      </c>
      <c r="L25" s="68">
        <f t="shared" si="5"/>
        <v>0</v>
      </c>
      <c r="M25" s="68">
        <f t="shared" si="6"/>
        <v>0</v>
      </c>
      <c r="N25" s="68">
        <f t="shared" si="0"/>
        <v>8109</v>
      </c>
    </row>
    <row r="26" spans="1:14">
      <c r="A26" s="69">
        <v>22</v>
      </c>
      <c r="B26" s="83">
        <v>46225</v>
      </c>
      <c r="C26" s="84"/>
      <c r="D26" s="145">
        <v>0</v>
      </c>
      <c r="E26" s="171"/>
      <c r="F26" s="145">
        <f t="shared" si="1"/>
        <v>450.5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8109</v>
      </c>
      <c r="L26" s="68">
        <f t="shared" si="5"/>
        <v>0</v>
      </c>
      <c r="M26" s="68">
        <f t="shared" si="6"/>
        <v>0</v>
      </c>
      <c r="N26" s="68">
        <f t="shared" si="0"/>
        <v>8109</v>
      </c>
    </row>
    <row r="27" spans="1:14">
      <c r="A27" s="69">
        <v>23</v>
      </c>
      <c r="B27" s="83">
        <v>46226</v>
      </c>
      <c r="C27" s="84"/>
      <c r="D27" s="145">
        <v>0</v>
      </c>
      <c r="E27" s="171"/>
      <c r="F27" s="145">
        <f t="shared" si="1"/>
        <v>450.5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8109</v>
      </c>
      <c r="L27" s="68">
        <f t="shared" si="5"/>
        <v>0</v>
      </c>
      <c r="M27" s="68">
        <f t="shared" si="6"/>
        <v>0</v>
      </c>
      <c r="N27" s="68">
        <f t="shared" si="0"/>
        <v>8109</v>
      </c>
    </row>
    <row r="28" spans="1:14">
      <c r="A28" s="69">
        <v>24</v>
      </c>
      <c r="B28" s="83">
        <v>46227</v>
      </c>
      <c r="C28" s="84"/>
      <c r="D28" s="145">
        <v>0</v>
      </c>
      <c r="E28" s="172">
        <v>21</v>
      </c>
      <c r="F28" s="145">
        <f t="shared" si="1"/>
        <v>450.5</v>
      </c>
      <c r="G28" s="145">
        <v>0</v>
      </c>
      <c r="H28" s="145">
        <v>0</v>
      </c>
      <c r="I28" s="68">
        <f t="shared" si="2"/>
        <v>0</v>
      </c>
      <c r="J28" s="68">
        <f t="shared" si="3"/>
        <v>2520</v>
      </c>
      <c r="K28" s="68">
        <f t="shared" si="4"/>
        <v>8109</v>
      </c>
      <c r="L28" s="68">
        <f t="shared" si="5"/>
        <v>0</v>
      </c>
      <c r="M28" s="68">
        <f t="shared" si="6"/>
        <v>0</v>
      </c>
      <c r="N28" s="68">
        <f t="shared" si="0"/>
        <v>10629</v>
      </c>
    </row>
    <row r="29" spans="1:14">
      <c r="A29" s="69">
        <v>25</v>
      </c>
      <c r="B29" s="83">
        <v>46228</v>
      </c>
      <c r="C29" s="84"/>
      <c r="D29" s="145">
        <v>0</v>
      </c>
      <c r="E29" s="171"/>
      <c r="F29" s="145">
        <f t="shared" si="1"/>
        <v>429.5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7731</v>
      </c>
      <c r="L29" s="68">
        <f t="shared" si="5"/>
        <v>0</v>
      </c>
      <c r="M29" s="68">
        <f t="shared" si="6"/>
        <v>0</v>
      </c>
      <c r="N29" s="68">
        <f t="shared" si="0"/>
        <v>7731</v>
      </c>
    </row>
    <row r="30" spans="1:14">
      <c r="A30" s="69">
        <v>26</v>
      </c>
      <c r="B30" s="83">
        <v>46229</v>
      </c>
      <c r="C30" s="84"/>
      <c r="D30" s="145">
        <v>0</v>
      </c>
      <c r="E30" s="171"/>
      <c r="F30" s="145">
        <f t="shared" si="1"/>
        <v>429.5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7731</v>
      </c>
      <c r="L30" s="68">
        <f t="shared" si="5"/>
        <v>0</v>
      </c>
      <c r="M30" s="68">
        <f t="shared" si="6"/>
        <v>0</v>
      </c>
      <c r="N30" s="68">
        <f t="shared" si="0"/>
        <v>7731</v>
      </c>
    </row>
    <row r="31" spans="1:14">
      <c r="A31" s="69">
        <v>27</v>
      </c>
      <c r="B31" s="83">
        <v>46230</v>
      </c>
      <c r="C31" s="84"/>
      <c r="D31" s="145">
        <v>0</v>
      </c>
      <c r="E31" s="171"/>
      <c r="F31" s="145">
        <f t="shared" si="1"/>
        <v>429.5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7731</v>
      </c>
      <c r="L31" s="68">
        <f t="shared" si="5"/>
        <v>0</v>
      </c>
      <c r="M31" s="68">
        <f t="shared" si="6"/>
        <v>0</v>
      </c>
      <c r="N31" s="68">
        <f t="shared" si="0"/>
        <v>7731</v>
      </c>
    </row>
    <row r="32" spans="1:14">
      <c r="A32" s="69">
        <v>28</v>
      </c>
      <c r="B32" s="83">
        <v>46231</v>
      </c>
      <c r="C32" s="84"/>
      <c r="D32" s="145">
        <v>0</v>
      </c>
      <c r="E32" s="171"/>
      <c r="F32" s="145">
        <f>F31+D32-E31</f>
        <v>429.5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7731</v>
      </c>
      <c r="L32" s="68">
        <f t="shared" si="5"/>
        <v>0</v>
      </c>
      <c r="M32" s="68">
        <f t="shared" si="6"/>
        <v>0</v>
      </c>
      <c r="N32" s="68">
        <f t="shared" si="0"/>
        <v>7731</v>
      </c>
    </row>
    <row r="33" spans="1:14">
      <c r="A33" s="69">
        <v>29</v>
      </c>
      <c r="B33" s="83">
        <v>46232</v>
      </c>
      <c r="C33" s="84"/>
      <c r="D33" s="145">
        <v>0</v>
      </c>
      <c r="E33" s="174">
        <v>40.125</v>
      </c>
      <c r="F33" s="145">
        <f t="shared" ref="F33:F35" si="7">F32+D33-E32</f>
        <v>429.5</v>
      </c>
      <c r="G33" s="145">
        <v>0</v>
      </c>
      <c r="H33" s="145">
        <v>0</v>
      </c>
      <c r="I33" s="68">
        <f t="shared" si="2"/>
        <v>0</v>
      </c>
      <c r="J33" s="68">
        <f t="shared" si="3"/>
        <v>4815</v>
      </c>
      <c r="K33" s="68">
        <f t="shared" si="4"/>
        <v>7731</v>
      </c>
      <c r="L33" s="68">
        <f t="shared" si="5"/>
        <v>0</v>
      </c>
      <c r="M33" s="68">
        <f t="shared" si="6"/>
        <v>0</v>
      </c>
      <c r="N33" s="68">
        <f t="shared" si="0"/>
        <v>12546</v>
      </c>
    </row>
    <row r="34" spans="1:14">
      <c r="A34" s="69">
        <v>30</v>
      </c>
      <c r="B34" s="83">
        <v>46233</v>
      </c>
      <c r="C34" s="84"/>
      <c r="D34" s="145">
        <v>0</v>
      </c>
      <c r="E34" s="171"/>
      <c r="F34" s="145">
        <f t="shared" si="7"/>
        <v>389.375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7008.75</v>
      </c>
      <c r="L34" s="68">
        <f t="shared" si="5"/>
        <v>0</v>
      </c>
      <c r="M34" s="68">
        <f t="shared" si="6"/>
        <v>0</v>
      </c>
      <c r="N34" s="68">
        <f t="shared" si="0"/>
        <v>7008.75</v>
      </c>
    </row>
    <row r="35" spans="1:14">
      <c r="A35" s="69">
        <v>31</v>
      </c>
      <c r="B35" s="83">
        <v>46234</v>
      </c>
      <c r="C35" s="84"/>
      <c r="D35" s="145"/>
      <c r="E35" s="173">
        <v>22.5</v>
      </c>
      <c r="F35" s="145">
        <f t="shared" si="7"/>
        <v>389.375</v>
      </c>
      <c r="G35" s="145"/>
      <c r="H35" s="145"/>
      <c r="I35" s="68">
        <f t="shared" si="2"/>
        <v>0</v>
      </c>
      <c r="J35" s="68">
        <f t="shared" si="3"/>
        <v>2700</v>
      </c>
      <c r="K35" s="68">
        <f t="shared" si="4"/>
        <v>7008.75</v>
      </c>
      <c r="L35" s="68">
        <f t="shared" si="5"/>
        <v>0</v>
      </c>
      <c r="M35" s="68">
        <f t="shared" si="6"/>
        <v>0</v>
      </c>
      <c r="N35" s="68">
        <f t="shared" si="0"/>
        <v>9708.75</v>
      </c>
    </row>
    <row r="36" spans="1:14">
      <c r="D36" s="76">
        <f t="shared" ref="D36:N36" si="8">SUM(D5:D35)</f>
        <v>0</v>
      </c>
      <c r="E36" s="76">
        <f t="shared" si="8"/>
        <v>348.625</v>
      </c>
      <c r="F36" s="76">
        <f t="shared" si="8"/>
        <v>16619.75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41835</v>
      </c>
      <c r="K36" s="78">
        <f t="shared" si="8"/>
        <v>299155.5</v>
      </c>
      <c r="L36" s="78">
        <f t="shared" si="8"/>
        <v>0</v>
      </c>
      <c r="M36" s="78">
        <f t="shared" si="8"/>
        <v>0</v>
      </c>
      <c r="N36" s="78">
        <f t="shared" si="8"/>
        <v>340990.5</v>
      </c>
    </row>
    <row r="37" spans="1:14">
      <c r="L37" s="79"/>
      <c r="M37" s="79"/>
      <c r="N37" s="80">
        <f>N36*1.22</f>
        <v>416008.41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7F74-41D6-4DFE-88B6-5ED6950CF4A6}">
  <dimension ref="A1:R37"/>
  <sheetViews>
    <sheetView topLeftCell="A17" workbookViewId="0">
      <selection activeCell="B35" sqref="B35:H35"/>
    </sheetView>
  </sheetViews>
  <sheetFormatPr defaultRowHeight="15"/>
  <cols>
    <col min="1" max="1" width="12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5.42578125" style="51" customWidth="1"/>
    <col min="18" max="18" width="10.42578125" style="51" bestFit="1" customWidth="1"/>
    <col min="19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27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144</v>
      </c>
    </row>
    <row r="5" spans="1:18">
      <c r="A5" s="69">
        <v>1</v>
      </c>
      <c r="B5" s="83">
        <v>46204</v>
      </c>
      <c r="C5" s="84"/>
      <c r="D5" s="145"/>
      <c r="E5" s="145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144</v>
      </c>
    </row>
    <row r="6" spans="1:18">
      <c r="A6" s="69">
        <v>2</v>
      </c>
      <c r="B6" s="83">
        <v>46205</v>
      </c>
      <c r="C6" s="84"/>
      <c r="D6" s="145"/>
      <c r="E6" s="145"/>
      <c r="F6" s="145">
        <f t="shared" ref="F6:F31" si="1">F5+D6-E5</f>
        <v>0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0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0</v>
      </c>
      <c r="Q6" s="143" t="s">
        <v>4</v>
      </c>
      <c r="R6" s="144">
        <v>42</v>
      </c>
    </row>
    <row r="7" spans="1:18">
      <c r="A7" s="69">
        <v>3</v>
      </c>
      <c r="B7" s="83">
        <v>46206</v>
      </c>
      <c r="C7" s="84"/>
      <c r="D7" s="145"/>
      <c r="E7" s="145"/>
      <c r="F7" s="145">
        <f t="shared" si="1"/>
        <v>0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0</v>
      </c>
      <c r="L7" s="68">
        <f t="shared" si="5"/>
        <v>0</v>
      </c>
      <c r="M7" s="68">
        <f t="shared" si="6"/>
        <v>0</v>
      </c>
      <c r="N7" s="68">
        <f t="shared" si="0"/>
        <v>0</v>
      </c>
      <c r="Q7" s="143" t="s">
        <v>101</v>
      </c>
      <c r="R7" s="144">
        <v>1200</v>
      </c>
    </row>
    <row r="8" spans="1:18">
      <c r="A8" s="69">
        <v>4</v>
      </c>
      <c r="B8" s="83">
        <v>46207</v>
      </c>
      <c r="C8" s="84"/>
      <c r="D8" s="145"/>
      <c r="E8" s="145"/>
      <c r="F8" s="145">
        <f t="shared" si="1"/>
        <v>0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0</v>
      </c>
      <c r="L8" s="68">
        <f t="shared" si="5"/>
        <v>0</v>
      </c>
      <c r="M8" s="68">
        <f t="shared" si="6"/>
        <v>0</v>
      </c>
      <c r="N8" s="68">
        <f t="shared" si="0"/>
        <v>0</v>
      </c>
      <c r="Q8" s="143" t="s">
        <v>8</v>
      </c>
      <c r="R8" s="144">
        <v>240</v>
      </c>
    </row>
    <row r="9" spans="1:18">
      <c r="A9" s="69">
        <v>5</v>
      </c>
      <c r="B9" s="83">
        <v>46208</v>
      </c>
      <c r="C9" s="84"/>
      <c r="D9" s="145"/>
      <c r="E9" s="145"/>
      <c r="F9" s="145">
        <f t="shared" si="1"/>
        <v>0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0</v>
      </c>
      <c r="L9" s="68">
        <f t="shared" si="5"/>
        <v>0</v>
      </c>
      <c r="M9" s="68">
        <f t="shared" si="6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45"/>
      <c r="F10" s="145">
        <f t="shared" si="1"/>
        <v>0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0</v>
      </c>
      <c r="L10" s="68">
        <f t="shared" si="5"/>
        <v>0</v>
      </c>
      <c r="M10" s="68">
        <f t="shared" si="6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45"/>
      <c r="F11" s="145">
        <f t="shared" si="1"/>
        <v>0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0</v>
      </c>
      <c r="L11" s="68">
        <f t="shared" si="5"/>
        <v>0</v>
      </c>
      <c r="M11" s="68">
        <f t="shared" si="6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45"/>
      <c r="F12" s="145">
        <f t="shared" si="1"/>
        <v>0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0</v>
      </c>
      <c r="L12" s="68">
        <f t="shared" si="5"/>
        <v>0</v>
      </c>
      <c r="M12" s="68">
        <f t="shared" si="6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45"/>
      <c r="F13" s="145">
        <f t="shared" si="1"/>
        <v>0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0</v>
      </c>
      <c r="L13" s="68">
        <f t="shared" si="5"/>
        <v>0</v>
      </c>
      <c r="M13" s="68">
        <f t="shared" si="6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45"/>
      <c r="F14" s="145">
        <f t="shared" si="1"/>
        <v>0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0</v>
      </c>
      <c r="L14" s="68">
        <f t="shared" si="5"/>
        <v>0</v>
      </c>
      <c r="M14" s="68">
        <f t="shared" si="6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45"/>
      <c r="F15" s="145">
        <f t="shared" si="1"/>
        <v>0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0</v>
      </c>
      <c r="L15" s="68">
        <f t="shared" si="5"/>
        <v>0</v>
      </c>
      <c r="M15" s="68">
        <f t="shared" si="6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45"/>
      <c r="F16" s="145">
        <f t="shared" si="1"/>
        <v>0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0</v>
      </c>
      <c r="L16" s="68">
        <f t="shared" si="5"/>
        <v>0</v>
      </c>
      <c r="M16" s="68">
        <f t="shared" si="6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45"/>
      <c r="F17" s="145">
        <f t="shared" si="1"/>
        <v>0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0</v>
      </c>
      <c r="L17" s="68">
        <f t="shared" si="5"/>
        <v>0</v>
      </c>
      <c r="M17" s="68">
        <f t="shared" si="6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45"/>
      <c r="F18" s="145">
        <f t="shared" si="1"/>
        <v>0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0</v>
      </c>
      <c r="L18" s="68">
        <f t="shared" si="5"/>
        <v>0</v>
      </c>
      <c r="M18" s="68">
        <f t="shared" si="6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45"/>
      <c r="F19" s="145">
        <f t="shared" si="1"/>
        <v>0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0</v>
      </c>
      <c r="L19" s="68">
        <f t="shared" si="5"/>
        <v>0</v>
      </c>
      <c r="M19" s="68">
        <f t="shared" si="6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45"/>
      <c r="F20" s="145">
        <f t="shared" si="1"/>
        <v>0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0</v>
      </c>
      <c r="L20" s="68">
        <f t="shared" si="5"/>
        <v>0</v>
      </c>
      <c r="M20" s="68">
        <f t="shared" si="6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45"/>
      <c r="F21" s="145">
        <f t="shared" si="1"/>
        <v>0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0</v>
      </c>
      <c r="L21" s="68">
        <f t="shared" si="5"/>
        <v>0</v>
      </c>
      <c r="M21" s="68">
        <f t="shared" si="6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45"/>
      <c r="F22" s="145">
        <f t="shared" si="1"/>
        <v>0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0</v>
      </c>
      <c r="L22" s="68">
        <f t="shared" si="5"/>
        <v>0</v>
      </c>
      <c r="M22" s="68">
        <f t="shared" si="6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45"/>
      <c r="F23" s="145">
        <f t="shared" si="1"/>
        <v>0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0</v>
      </c>
      <c r="L23" s="68">
        <f t="shared" si="5"/>
        <v>0</v>
      </c>
      <c r="M23" s="68">
        <f t="shared" si="6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45"/>
      <c r="F24" s="145">
        <f t="shared" si="1"/>
        <v>0</v>
      </c>
      <c r="G24" s="145">
        <v>0</v>
      </c>
      <c r="H24" s="145">
        <v>0</v>
      </c>
      <c r="I24" s="68">
        <f t="shared" si="2"/>
        <v>0</v>
      </c>
      <c r="J24" s="68">
        <f t="shared" si="3"/>
        <v>0</v>
      </c>
      <c r="K24" s="68">
        <f t="shared" si="4"/>
        <v>0</v>
      </c>
      <c r="L24" s="68">
        <f t="shared" si="5"/>
        <v>0</v>
      </c>
      <c r="M24" s="68">
        <f t="shared" si="6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45"/>
      <c r="F25" s="145">
        <f t="shared" si="1"/>
        <v>0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0</v>
      </c>
      <c r="L25" s="68">
        <f t="shared" si="5"/>
        <v>0</v>
      </c>
      <c r="M25" s="68">
        <f t="shared" si="6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45"/>
      <c r="F26" s="145">
        <f t="shared" si="1"/>
        <v>0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0</v>
      </c>
      <c r="L26" s="68">
        <f t="shared" si="5"/>
        <v>0</v>
      </c>
      <c r="M26" s="68">
        <f t="shared" si="6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45"/>
      <c r="F27" s="145">
        <f t="shared" si="1"/>
        <v>0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0</v>
      </c>
      <c r="L27" s="68">
        <f t="shared" si="5"/>
        <v>0</v>
      </c>
      <c r="M27" s="68">
        <f t="shared" si="6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45"/>
      <c r="F28" s="145">
        <f t="shared" si="1"/>
        <v>0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0</v>
      </c>
      <c r="L28" s="68">
        <f t="shared" si="5"/>
        <v>0</v>
      </c>
      <c r="M28" s="68">
        <f t="shared" si="6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45"/>
      <c r="F29" s="145">
        <f t="shared" si="1"/>
        <v>0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0</v>
      </c>
      <c r="L29" s="68">
        <f t="shared" si="5"/>
        <v>0</v>
      </c>
      <c r="M29" s="68">
        <f t="shared" si="6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45"/>
      <c r="F30" s="145">
        <f t="shared" si="1"/>
        <v>0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0</v>
      </c>
      <c r="L30" s="68">
        <f t="shared" si="5"/>
        <v>0</v>
      </c>
      <c r="M30" s="68">
        <f t="shared" si="6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45"/>
      <c r="F31" s="145">
        <f t="shared" si="1"/>
        <v>0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0</v>
      </c>
      <c r="L31" s="68">
        <f t="shared" si="5"/>
        <v>0</v>
      </c>
      <c r="M31" s="68">
        <f t="shared" si="6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45"/>
      <c r="F32" s="145">
        <f>F31+D32-E31</f>
        <v>0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0</v>
      </c>
      <c r="L32" s="68">
        <f t="shared" si="5"/>
        <v>0</v>
      </c>
      <c r="M32" s="68">
        <f t="shared" si="6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45"/>
      <c r="F33" s="145">
        <f t="shared" ref="F33:F34" si="7">F32+D33-E32</f>
        <v>0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0</v>
      </c>
      <c r="L33" s="68">
        <f t="shared" si="5"/>
        <v>0</v>
      </c>
      <c r="M33" s="68">
        <f t="shared" si="6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45"/>
      <c r="F34" s="145">
        <f t="shared" si="7"/>
        <v>0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0</v>
      </c>
      <c r="L34" s="68">
        <f t="shared" si="5"/>
        <v>0</v>
      </c>
      <c r="M34" s="68">
        <f t="shared" si="6"/>
        <v>0</v>
      </c>
      <c r="N34" s="68">
        <f t="shared" si="0"/>
        <v>0</v>
      </c>
    </row>
    <row r="35" spans="1:14">
      <c r="A35" s="69">
        <v>31</v>
      </c>
      <c r="B35" s="83"/>
      <c r="C35" s="84"/>
      <c r="D35" s="145"/>
      <c r="E35" s="145"/>
      <c r="F35" s="145"/>
      <c r="G35" s="145"/>
      <c r="H35" s="145"/>
      <c r="I35" s="68">
        <f t="shared" si="2"/>
        <v>0</v>
      </c>
      <c r="J35" s="68">
        <f t="shared" si="3"/>
        <v>0</v>
      </c>
      <c r="K35" s="68">
        <f t="shared" si="4"/>
        <v>0</v>
      </c>
      <c r="L35" s="68">
        <f t="shared" si="5"/>
        <v>0</v>
      </c>
      <c r="M35" s="68">
        <f t="shared" si="6"/>
        <v>0</v>
      </c>
      <c r="N35" s="68">
        <f t="shared" si="0"/>
        <v>0</v>
      </c>
    </row>
    <row r="36" spans="1:14">
      <c r="D36" s="76">
        <f t="shared" ref="D36:N36" si="8">SUM(D5:D35)</f>
        <v>0</v>
      </c>
      <c r="E36" s="76">
        <f t="shared" si="8"/>
        <v>0</v>
      </c>
      <c r="F36" s="76">
        <f t="shared" si="8"/>
        <v>0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0</v>
      </c>
      <c r="K36" s="78">
        <f t="shared" si="8"/>
        <v>0</v>
      </c>
      <c r="L36" s="78">
        <f t="shared" si="8"/>
        <v>0</v>
      </c>
      <c r="M36" s="78">
        <f t="shared" si="8"/>
        <v>0</v>
      </c>
      <c r="N36" s="78">
        <f t="shared" si="8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2BE3-F4B1-41EA-B76A-C7BC7A98F4D6}">
  <dimension ref="A1:R37"/>
  <sheetViews>
    <sheetView topLeftCell="A16" workbookViewId="0">
      <selection activeCell="B35" sqref="B35:H35"/>
    </sheetView>
  </sheetViews>
  <sheetFormatPr defaultRowHeight="15"/>
  <cols>
    <col min="1" max="1" width="12" style="51" bestFit="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5.42578125" style="51" customWidth="1"/>
    <col min="18" max="18" width="10.42578125" style="51" bestFit="1" customWidth="1"/>
    <col min="19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32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</row>
    <row r="5" spans="1:18">
      <c r="A5" s="69">
        <v>1</v>
      </c>
      <c r="B5" s="83">
        <v>46204</v>
      </c>
      <c r="C5" s="84"/>
      <c r="D5" s="145">
        <v>0</v>
      </c>
      <c r="E5" s="145">
        <v>0</v>
      </c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140</v>
      </c>
    </row>
    <row r="6" spans="1:18">
      <c r="A6" s="69">
        <v>2</v>
      </c>
      <c r="B6" s="83">
        <v>46205</v>
      </c>
      <c r="C6" s="84"/>
      <c r="D6" s="145">
        <v>0</v>
      </c>
      <c r="E6" s="145">
        <v>0</v>
      </c>
      <c r="F6" s="145">
        <f t="shared" ref="F6:F31" si="1">F5+D6-E5</f>
        <v>0</v>
      </c>
      <c r="G6" s="145">
        <v>0</v>
      </c>
      <c r="H6" s="145">
        <v>0</v>
      </c>
      <c r="I6" s="68">
        <f t="shared" ref="I6:I35" si="2">SUM(D6*$R$4)</f>
        <v>0</v>
      </c>
      <c r="J6" s="68">
        <f t="shared" ref="J6:J35" si="3">SUM(E6*$R$5)</f>
        <v>0</v>
      </c>
      <c r="K6" s="68">
        <f t="shared" ref="K6:K35" si="4">SUM(F6*$R$6)</f>
        <v>0</v>
      </c>
      <c r="L6" s="68">
        <f t="shared" ref="L6:L35" si="5">SUM(G6*$R$7)</f>
        <v>0</v>
      </c>
      <c r="M6" s="68">
        <f t="shared" ref="M6:M35" si="6">SUM(H6*$R$8)</f>
        <v>0</v>
      </c>
      <c r="N6" s="68">
        <f t="shared" si="0"/>
        <v>0</v>
      </c>
      <c r="Q6" s="143" t="s">
        <v>4</v>
      </c>
      <c r="R6" s="144">
        <v>26</v>
      </c>
    </row>
    <row r="7" spans="1:18">
      <c r="A7" s="69">
        <v>3</v>
      </c>
      <c r="B7" s="83">
        <v>46206</v>
      </c>
      <c r="C7" s="84"/>
      <c r="D7" s="145">
        <v>0</v>
      </c>
      <c r="E7" s="145">
        <v>0</v>
      </c>
      <c r="F7" s="145">
        <f t="shared" si="1"/>
        <v>0</v>
      </c>
      <c r="G7" s="145">
        <v>0</v>
      </c>
      <c r="H7" s="145">
        <v>0</v>
      </c>
      <c r="I7" s="68">
        <f t="shared" si="2"/>
        <v>0</v>
      </c>
      <c r="J7" s="68">
        <f t="shared" si="3"/>
        <v>0</v>
      </c>
      <c r="K7" s="68">
        <f t="shared" si="4"/>
        <v>0</v>
      </c>
      <c r="L7" s="68">
        <f t="shared" si="5"/>
        <v>0</v>
      </c>
      <c r="M7" s="68">
        <f t="shared" si="6"/>
        <v>0</v>
      </c>
      <c r="N7" s="68">
        <f t="shared" si="0"/>
        <v>0</v>
      </c>
      <c r="Q7" s="143" t="s">
        <v>101</v>
      </c>
      <c r="R7" s="144">
        <v>1200</v>
      </c>
    </row>
    <row r="8" spans="1:18">
      <c r="A8" s="69">
        <v>4</v>
      </c>
      <c r="B8" s="83">
        <v>46207</v>
      </c>
      <c r="C8" s="84"/>
      <c r="D8" s="145">
        <v>0</v>
      </c>
      <c r="E8" s="145">
        <v>0</v>
      </c>
      <c r="F8" s="145">
        <f t="shared" si="1"/>
        <v>0</v>
      </c>
      <c r="G8" s="145">
        <v>0</v>
      </c>
      <c r="H8" s="145">
        <v>0</v>
      </c>
      <c r="I8" s="68">
        <f t="shared" si="2"/>
        <v>0</v>
      </c>
      <c r="J8" s="68">
        <f t="shared" si="3"/>
        <v>0</v>
      </c>
      <c r="K8" s="68">
        <f t="shared" si="4"/>
        <v>0</v>
      </c>
      <c r="L8" s="68">
        <f t="shared" si="5"/>
        <v>0</v>
      </c>
      <c r="M8" s="68">
        <f t="shared" si="6"/>
        <v>0</v>
      </c>
      <c r="N8" s="68">
        <f t="shared" si="0"/>
        <v>0</v>
      </c>
      <c r="Q8" s="143" t="s">
        <v>8</v>
      </c>
      <c r="R8" s="144">
        <v>170</v>
      </c>
    </row>
    <row r="9" spans="1:18">
      <c r="A9" s="69">
        <v>5</v>
      </c>
      <c r="B9" s="83">
        <v>46208</v>
      </c>
      <c r="C9" s="84"/>
      <c r="D9" s="145">
        <v>0</v>
      </c>
      <c r="E9" s="145">
        <v>0</v>
      </c>
      <c r="F9" s="145">
        <f t="shared" si="1"/>
        <v>0</v>
      </c>
      <c r="G9" s="145">
        <v>0</v>
      </c>
      <c r="H9" s="145">
        <v>0</v>
      </c>
      <c r="I9" s="68">
        <f t="shared" si="2"/>
        <v>0</v>
      </c>
      <c r="J9" s="68">
        <f t="shared" si="3"/>
        <v>0</v>
      </c>
      <c r="K9" s="68">
        <f t="shared" si="4"/>
        <v>0</v>
      </c>
      <c r="L9" s="68">
        <f t="shared" si="5"/>
        <v>0</v>
      </c>
      <c r="M9" s="68">
        <f t="shared" si="6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>
        <v>0</v>
      </c>
      <c r="E10" s="145">
        <v>0</v>
      </c>
      <c r="F10" s="145">
        <f t="shared" si="1"/>
        <v>0</v>
      </c>
      <c r="G10" s="145">
        <v>0</v>
      </c>
      <c r="H10" s="145">
        <v>0</v>
      </c>
      <c r="I10" s="68">
        <f t="shared" si="2"/>
        <v>0</v>
      </c>
      <c r="J10" s="68">
        <f t="shared" si="3"/>
        <v>0</v>
      </c>
      <c r="K10" s="68">
        <f t="shared" si="4"/>
        <v>0</v>
      </c>
      <c r="L10" s="68">
        <f t="shared" si="5"/>
        <v>0</v>
      </c>
      <c r="M10" s="68">
        <f t="shared" si="6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>
        <v>0</v>
      </c>
      <c r="E11" s="145">
        <v>0</v>
      </c>
      <c r="F11" s="145">
        <f t="shared" si="1"/>
        <v>0</v>
      </c>
      <c r="G11" s="145">
        <v>0</v>
      </c>
      <c r="H11" s="145">
        <v>0</v>
      </c>
      <c r="I11" s="68">
        <f t="shared" si="2"/>
        <v>0</v>
      </c>
      <c r="J11" s="68">
        <f t="shared" si="3"/>
        <v>0</v>
      </c>
      <c r="K11" s="68">
        <f t="shared" si="4"/>
        <v>0</v>
      </c>
      <c r="L11" s="68">
        <f t="shared" si="5"/>
        <v>0</v>
      </c>
      <c r="M11" s="68">
        <f t="shared" si="6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>
        <v>0</v>
      </c>
      <c r="E12" s="145">
        <v>0</v>
      </c>
      <c r="F12" s="145">
        <f t="shared" si="1"/>
        <v>0</v>
      </c>
      <c r="G12" s="145">
        <v>0</v>
      </c>
      <c r="H12" s="145">
        <v>0</v>
      </c>
      <c r="I12" s="68">
        <f t="shared" si="2"/>
        <v>0</v>
      </c>
      <c r="J12" s="68">
        <f t="shared" si="3"/>
        <v>0</v>
      </c>
      <c r="K12" s="68">
        <f t="shared" si="4"/>
        <v>0</v>
      </c>
      <c r="L12" s="68">
        <f t="shared" si="5"/>
        <v>0</v>
      </c>
      <c r="M12" s="68">
        <f t="shared" si="6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>
        <v>0</v>
      </c>
      <c r="E13" s="145">
        <v>0</v>
      </c>
      <c r="F13" s="145">
        <f t="shared" si="1"/>
        <v>0</v>
      </c>
      <c r="G13" s="145">
        <v>0</v>
      </c>
      <c r="H13" s="145">
        <v>0</v>
      </c>
      <c r="I13" s="68">
        <f t="shared" si="2"/>
        <v>0</v>
      </c>
      <c r="J13" s="68">
        <f t="shared" si="3"/>
        <v>0</v>
      </c>
      <c r="K13" s="68">
        <f t="shared" si="4"/>
        <v>0</v>
      </c>
      <c r="L13" s="68">
        <f t="shared" si="5"/>
        <v>0</v>
      </c>
      <c r="M13" s="68">
        <f t="shared" si="6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>
        <v>0</v>
      </c>
      <c r="E14" s="145">
        <v>0</v>
      </c>
      <c r="F14" s="145">
        <f t="shared" si="1"/>
        <v>0</v>
      </c>
      <c r="G14" s="145">
        <v>0</v>
      </c>
      <c r="H14" s="145">
        <v>0</v>
      </c>
      <c r="I14" s="68">
        <f t="shared" si="2"/>
        <v>0</v>
      </c>
      <c r="J14" s="68">
        <f t="shared" si="3"/>
        <v>0</v>
      </c>
      <c r="K14" s="68">
        <f t="shared" si="4"/>
        <v>0</v>
      </c>
      <c r="L14" s="68">
        <f t="shared" si="5"/>
        <v>0</v>
      </c>
      <c r="M14" s="68">
        <f t="shared" si="6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>
        <v>0</v>
      </c>
      <c r="E15" s="145">
        <v>0</v>
      </c>
      <c r="F15" s="145">
        <f t="shared" si="1"/>
        <v>0</v>
      </c>
      <c r="G15" s="145">
        <v>0</v>
      </c>
      <c r="H15" s="145">
        <v>0</v>
      </c>
      <c r="I15" s="68">
        <f t="shared" si="2"/>
        <v>0</v>
      </c>
      <c r="J15" s="68">
        <f t="shared" si="3"/>
        <v>0</v>
      </c>
      <c r="K15" s="68">
        <f t="shared" si="4"/>
        <v>0</v>
      </c>
      <c r="L15" s="68">
        <f t="shared" si="5"/>
        <v>0</v>
      </c>
      <c r="M15" s="68">
        <f t="shared" si="6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>
        <v>0</v>
      </c>
      <c r="E16" s="145">
        <v>0</v>
      </c>
      <c r="F16" s="145">
        <f t="shared" si="1"/>
        <v>0</v>
      </c>
      <c r="G16" s="145">
        <v>0</v>
      </c>
      <c r="H16" s="145">
        <v>0</v>
      </c>
      <c r="I16" s="68">
        <f t="shared" si="2"/>
        <v>0</v>
      </c>
      <c r="J16" s="68">
        <f t="shared" si="3"/>
        <v>0</v>
      </c>
      <c r="K16" s="68">
        <f t="shared" si="4"/>
        <v>0</v>
      </c>
      <c r="L16" s="68">
        <f t="shared" si="5"/>
        <v>0</v>
      </c>
      <c r="M16" s="68">
        <f t="shared" si="6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>
        <v>0</v>
      </c>
      <c r="E17" s="145">
        <v>0</v>
      </c>
      <c r="F17" s="145">
        <f t="shared" si="1"/>
        <v>0</v>
      </c>
      <c r="G17" s="145">
        <v>0</v>
      </c>
      <c r="H17" s="145">
        <v>0</v>
      </c>
      <c r="I17" s="68">
        <f t="shared" si="2"/>
        <v>0</v>
      </c>
      <c r="J17" s="68">
        <f t="shared" si="3"/>
        <v>0</v>
      </c>
      <c r="K17" s="68">
        <f t="shared" si="4"/>
        <v>0</v>
      </c>
      <c r="L17" s="68">
        <f t="shared" si="5"/>
        <v>0</v>
      </c>
      <c r="M17" s="68">
        <f t="shared" si="6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>
        <v>0</v>
      </c>
      <c r="E18" s="145">
        <v>0</v>
      </c>
      <c r="F18" s="145">
        <f t="shared" si="1"/>
        <v>0</v>
      </c>
      <c r="G18" s="145">
        <v>0</v>
      </c>
      <c r="H18" s="145">
        <v>0</v>
      </c>
      <c r="I18" s="68">
        <f t="shared" si="2"/>
        <v>0</v>
      </c>
      <c r="J18" s="68">
        <f t="shared" si="3"/>
        <v>0</v>
      </c>
      <c r="K18" s="68">
        <f t="shared" si="4"/>
        <v>0</v>
      </c>
      <c r="L18" s="68">
        <f t="shared" si="5"/>
        <v>0</v>
      </c>
      <c r="M18" s="68">
        <f t="shared" si="6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>
        <v>0</v>
      </c>
      <c r="E19" s="145">
        <v>0</v>
      </c>
      <c r="F19" s="145">
        <f t="shared" si="1"/>
        <v>0</v>
      </c>
      <c r="G19" s="145">
        <v>0</v>
      </c>
      <c r="H19" s="145">
        <v>0</v>
      </c>
      <c r="I19" s="68">
        <f t="shared" si="2"/>
        <v>0</v>
      </c>
      <c r="J19" s="68">
        <f t="shared" si="3"/>
        <v>0</v>
      </c>
      <c r="K19" s="68">
        <f t="shared" si="4"/>
        <v>0</v>
      </c>
      <c r="L19" s="68">
        <f t="shared" si="5"/>
        <v>0</v>
      </c>
      <c r="M19" s="68">
        <f t="shared" si="6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>
        <v>0</v>
      </c>
      <c r="E20" s="145">
        <v>0</v>
      </c>
      <c r="F20" s="145">
        <f t="shared" si="1"/>
        <v>0</v>
      </c>
      <c r="G20" s="145">
        <v>0</v>
      </c>
      <c r="H20" s="145">
        <v>0</v>
      </c>
      <c r="I20" s="68">
        <f t="shared" si="2"/>
        <v>0</v>
      </c>
      <c r="J20" s="68">
        <f t="shared" si="3"/>
        <v>0</v>
      </c>
      <c r="K20" s="68">
        <f t="shared" si="4"/>
        <v>0</v>
      </c>
      <c r="L20" s="68">
        <f t="shared" si="5"/>
        <v>0</v>
      </c>
      <c r="M20" s="68">
        <f t="shared" si="6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>
        <v>0</v>
      </c>
      <c r="E21" s="145">
        <v>0</v>
      </c>
      <c r="F21" s="145">
        <f t="shared" si="1"/>
        <v>0</v>
      </c>
      <c r="G21" s="145">
        <v>0</v>
      </c>
      <c r="H21" s="145">
        <v>0</v>
      </c>
      <c r="I21" s="68">
        <f t="shared" si="2"/>
        <v>0</v>
      </c>
      <c r="J21" s="68">
        <f t="shared" si="3"/>
        <v>0</v>
      </c>
      <c r="K21" s="68">
        <f t="shared" si="4"/>
        <v>0</v>
      </c>
      <c r="L21" s="68">
        <f t="shared" si="5"/>
        <v>0</v>
      </c>
      <c r="M21" s="68">
        <f t="shared" si="6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>
        <v>0</v>
      </c>
      <c r="E22" s="145">
        <v>0</v>
      </c>
      <c r="F22" s="145">
        <f t="shared" si="1"/>
        <v>0</v>
      </c>
      <c r="G22" s="145">
        <v>0</v>
      </c>
      <c r="H22" s="145">
        <v>0</v>
      </c>
      <c r="I22" s="68">
        <f t="shared" si="2"/>
        <v>0</v>
      </c>
      <c r="J22" s="68">
        <f t="shared" si="3"/>
        <v>0</v>
      </c>
      <c r="K22" s="68">
        <f t="shared" si="4"/>
        <v>0</v>
      </c>
      <c r="L22" s="68">
        <f t="shared" si="5"/>
        <v>0</v>
      </c>
      <c r="M22" s="68">
        <f t="shared" si="6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>
        <v>0</v>
      </c>
      <c r="E23" s="145">
        <v>0</v>
      </c>
      <c r="F23" s="145">
        <f t="shared" si="1"/>
        <v>0</v>
      </c>
      <c r="G23" s="145">
        <v>0</v>
      </c>
      <c r="H23" s="145">
        <v>0</v>
      </c>
      <c r="I23" s="68">
        <f t="shared" si="2"/>
        <v>0</v>
      </c>
      <c r="J23" s="68">
        <f t="shared" si="3"/>
        <v>0</v>
      </c>
      <c r="K23" s="68">
        <f t="shared" si="4"/>
        <v>0</v>
      </c>
      <c r="L23" s="68">
        <f t="shared" si="5"/>
        <v>0</v>
      </c>
      <c r="M23" s="68">
        <f t="shared" si="6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>
        <v>0</v>
      </c>
      <c r="E24" s="145">
        <v>0</v>
      </c>
      <c r="F24" s="145">
        <f t="shared" si="1"/>
        <v>0</v>
      </c>
      <c r="G24" s="145">
        <v>0</v>
      </c>
      <c r="H24" s="145">
        <v>0</v>
      </c>
      <c r="I24" s="68">
        <f t="shared" si="2"/>
        <v>0</v>
      </c>
      <c r="J24" s="68">
        <f t="shared" si="3"/>
        <v>0</v>
      </c>
      <c r="K24" s="68">
        <f t="shared" si="4"/>
        <v>0</v>
      </c>
      <c r="L24" s="68">
        <f t="shared" si="5"/>
        <v>0</v>
      </c>
      <c r="M24" s="68">
        <f t="shared" si="6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>
        <v>0</v>
      </c>
      <c r="E25" s="145">
        <v>0</v>
      </c>
      <c r="F25" s="145">
        <f t="shared" si="1"/>
        <v>0</v>
      </c>
      <c r="G25" s="145">
        <v>0</v>
      </c>
      <c r="H25" s="145">
        <v>0</v>
      </c>
      <c r="I25" s="68">
        <f t="shared" si="2"/>
        <v>0</v>
      </c>
      <c r="J25" s="68">
        <f t="shared" si="3"/>
        <v>0</v>
      </c>
      <c r="K25" s="68">
        <f t="shared" si="4"/>
        <v>0</v>
      </c>
      <c r="L25" s="68">
        <f t="shared" si="5"/>
        <v>0</v>
      </c>
      <c r="M25" s="68">
        <f t="shared" si="6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>
        <v>0</v>
      </c>
      <c r="E26" s="145">
        <v>0</v>
      </c>
      <c r="F26" s="145">
        <f t="shared" si="1"/>
        <v>0</v>
      </c>
      <c r="G26" s="145">
        <v>0</v>
      </c>
      <c r="H26" s="145">
        <v>0</v>
      </c>
      <c r="I26" s="68">
        <f t="shared" si="2"/>
        <v>0</v>
      </c>
      <c r="J26" s="68">
        <f t="shared" si="3"/>
        <v>0</v>
      </c>
      <c r="K26" s="68">
        <f t="shared" si="4"/>
        <v>0</v>
      </c>
      <c r="L26" s="68">
        <f t="shared" si="5"/>
        <v>0</v>
      </c>
      <c r="M26" s="68">
        <f t="shared" si="6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>
        <v>0</v>
      </c>
      <c r="E27" s="145">
        <v>0</v>
      </c>
      <c r="F27" s="145">
        <f t="shared" si="1"/>
        <v>0</v>
      </c>
      <c r="G27" s="145">
        <v>0</v>
      </c>
      <c r="H27" s="145">
        <v>0</v>
      </c>
      <c r="I27" s="68">
        <f t="shared" si="2"/>
        <v>0</v>
      </c>
      <c r="J27" s="68">
        <f t="shared" si="3"/>
        <v>0</v>
      </c>
      <c r="K27" s="68">
        <f t="shared" si="4"/>
        <v>0</v>
      </c>
      <c r="L27" s="68">
        <f t="shared" si="5"/>
        <v>0</v>
      </c>
      <c r="M27" s="68">
        <f t="shared" si="6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>
        <v>0</v>
      </c>
      <c r="E28" s="145">
        <v>0</v>
      </c>
      <c r="F28" s="145">
        <f t="shared" si="1"/>
        <v>0</v>
      </c>
      <c r="G28" s="145">
        <v>0</v>
      </c>
      <c r="H28" s="145">
        <v>0</v>
      </c>
      <c r="I28" s="68">
        <f t="shared" si="2"/>
        <v>0</v>
      </c>
      <c r="J28" s="68">
        <f t="shared" si="3"/>
        <v>0</v>
      </c>
      <c r="K28" s="68">
        <f t="shared" si="4"/>
        <v>0</v>
      </c>
      <c r="L28" s="68">
        <f t="shared" si="5"/>
        <v>0</v>
      </c>
      <c r="M28" s="68">
        <f t="shared" si="6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>
        <v>0</v>
      </c>
      <c r="E29" s="145">
        <v>0</v>
      </c>
      <c r="F29" s="145">
        <f t="shared" si="1"/>
        <v>0</v>
      </c>
      <c r="G29" s="145">
        <v>0</v>
      </c>
      <c r="H29" s="145">
        <v>0</v>
      </c>
      <c r="I29" s="68">
        <f t="shared" si="2"/>
        <v>0</v>
      </c>
      <c r="J29" s="68">
        <f t="shared" si="3"/>
        <v>0</v>
      </c>
      <c r="K29" s="68">
        <f t="shared" si="4"/>
        <v>0</v>
      </c>
      <c r="L29" s="68">
        <f t="shared" si="5"/>
        <v>0</v>
      </c>
      <c r="M29" s="68">
        <f t="shared" si="6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>
        <v>0</v>
      </c>
      <c r="E30" s="145">
        <v>0</v>
      </c>
      <c r="F30" s="145">
        <f t="shared" si="1"/>
        <v>0</v>
      </c>
      <c r="G30" s="145">
        <v>0</v>
      </c>
      <c r="H30" s="145">
        <v>0</v>
      </c>
      <c r="I30" s="68">
        <f t="shared" si="2"/>
        <v>0</v>
      </c>
      <c r="J30" s="68">
        <f t="shared" si="3"/>
        <v>0</v>
      </c>
      <c r="K30" s="68">
        <f t="shared" si="4"/>
        <v>0</v>
      </c>
      <c r="L30" s="68">
        <f t="shared" si="5"/>
        <v>0</v>
      </c>
      <c r="M30" s="68">
        <f t="shared" si="6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>
        <v>0</v>
      </c>
      <c r="E31" s="145">
        <v>0</v>
      </c>
      <c r="F31" s="145">
        <f t="shared" si="1"/>
        <v>0</v>
      </c>
      <c r="G31" s="145">
        <v>0</v>
      </c>
      <c r="H31" s="145">
        <v>0</v>
      </c>
      <c r="I31" s="68">
        <f t="shared" si="2"/>
        <v>0</v>
      </c>
      <c r="J31" s="68">
        <f t="shared" si="3"/>
        <v>0</v>
      </c>
      <c r="K31" s="68">
        <f t="shared" si="4"/>
        <v>0</v>
      </c>
      <c r="L31" s="68">
        <f t="shared" si="5"/>
        <v>0</v>
      </c>
      <c r="M31" s="68">
        <f t="shared" si="6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>
        <v>0</v>
      </c>
      <c r="E32" s="145">
        <v>0</v>
      </c>
      <c r="F32" s="145">
        <f>F31+D32-E31</f>
        <v>0</v>
      </c>
      <c r="G32" s="145">
        <v>0</v>
      </c>
      <c r="H32" s="145">
        <v>0</v>
      </c>
      <c r="I32" s="68">
        <f t="shared" si="2"/>
        <v>0</v>
      </c>
      <c r="J32" s="68">
        <f t="shared" si="3"/>
        <v>0</v>
      </c>
      <c r="K32" s="68">
        <f t="shared" si="4"/>
        <v>0</v>
      </c>
      <c r="L32" s="68">
        <f t="shared" si="5"/>
        <v>0</v>
      </c>
      <c r="M32" s="68">
        <f t="shared" si="6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>
        <v>0</v>
      </c>
      <c r="E33" s="145">
        <v>0</v>
      </c>
      <c r="F33" s="145">
        <f t="shared" ref="F33:F34" si="7">F32+D33-E32</f>
        <v>0</v>
      </c>
      <c r="G33" s="145">
        <v>0</v>
      </c>
      <c r="H33" s="145">
        <v>0</v>
      </c>
      <c r="I33" s="68">
        <f t="shared" si="2"/>
        <v>0</v>
      </c>
      <c r="J33" s="68">
        <f t="shared" si="3"/>
        <v>0</v>
      </c>
      <c r="K33" s="68">
        <f t="shared" si="4"/>
        <v>0</v>
      </c>
      <c r="L33" s="68">
        <f t="shared" si="5"/>
        <v>0</v>
      </c>
      <c r="M33" s="68">
        <f t="shared" si="6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>
        <v>0</v>
      </c>
      <c r="E34" s="145">
        <v>0</v>
      </c>
      <c r="F34" s="145">
        <f t="shared" si="7"/>
        <v>0</v>
      </c>
      <c r="G34" s="145">
        <v>0</v>
      </c>
      <c r="H34" s="145">
        <v>0</v>
      </c>
      <c r="I34" s="68">
        <f t="shared" si="2"/>
        <v>0</v>
      </c>
      <c r="J34" s="68">
        <f t="shared" si="3"/>
        <v>0</v>
      </c>
      <c r="K34" s="68">
        <f t="shared" si="4"/>
        <v>0</v>
      </c>
      <c r="L34" s="68">
        <f t="shared" si="5"/>
        <v>0</v>
      </c>
      <c r="M34" s="68">
        <f t="shared" si="6"/>
        <v>0</v>
      </c>
      <c r="N34" s="68">
        <f t="shared" si="0"/>
        <v>0</v>
      </c>
    </row>
    <row r="35" spans="1:14">
      <c r="A35" s="69">
        <v>31</v>
      </c>
      <c r="B35" s="83"/>
      <c r="C35" s="84"/>
      <c r="D35" s="145"/>
      <c r="E35" s="145"/>
      <c r="F35" s="145"/>
      <c r="G35" s="145"/>
      <c r="H35" s="145"/>
      <c r="I35" s="68">
        <f t="shared" si="2"/>
        <v>0</v>
      </c>
      <c r="J35" s="68">
        <f t="shared" si="3"/>
        <v>0</v>
      </c>
      <c r="K35" s="68">
        <f t="shared" si="4"/>
        <v>0</v>
      </c>
      <c r="L35" s="68">
        <f t="shared" si="5"/>
        <v>0</v>
      </c>
      <c r="M35" s="68">
        <f t="shared" si="6"/>
        <v>0</v>
      </c>
      <c r="N35" s="68">
        <f t="shared" si="0"/>
        <v>0</v>
      </c>
    </row>
    <row r="36" spans="1:14">
      <c r="D36" s="76">
        <f t="shared" ref="D36:N36" si="8">SUM(D5:D35)</f>
        <v>0</v>
      </c>
      <c r="E36" s="76">
        <f t="shared" si="8"/>
        <v>0</v>
      </c>
      <c r="F36" s="76">
        <f t="shared" si="8"/>
        <v>0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0</v>
      </c>
      <c r="K36" s="78">
        <f t="shared" si="8"/>
        <v>0</v>
      </c>
      <c r="L36" s="78">
        <f t="shared" si="8"/>
        <v>0</v>
      </c>
      <c r="M36" s="78">
        <f t="shared" si="8"/>
        <v>0</v>
      </c>
      <c r="N36" s="78">
        <f t="shared" si="8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4A67-D296-4D9B-9751-B5F3ED720185}">
  <dimension ref="A1:R37"/>
  <sheetViews>
    <sheetView topLeftCell="A14" workbookViewId="0">
      <selection activeCell="N38" sqref="N38"/>
    </sheetView>
  </sheetViews>
  <sheetFormatPr defaultRowHeight="15"/>
  <cols>
    <col min="1" max="1" width="13.28515625" style="51" customWidth="1"/>
    <col min="2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0.5703125" style="51" bestFit="1" customWidth="1"/>
    <col min="8" max="8" width="9.42578125" style="51" bestFit="1" customWidth="1"/>
    <col min="9" max="9" width="15.140625" style="51" customWidth="1"/>
    <col min="10" max="10" width="13.5703125" style="51" customWidth="1"/>
    <col min="11" max="11" width="14.5703125" style="51" customWidth="1"/>
    <col min="12" max="12" width="13.28515625" style="51" customWidth="1"/>
    <col min="13" max="13" width="11.7109375" style="51" customWidth="1"/>
    <col min="14" max="14" width="24.28515625" style="51" customWidth="1"/>
    <col min="15" max="16" width="9.140625" style="51"/>
    <col min="17" max="17" width="25.42578125" style="51" customWidth="1"/>
    <col min="18" max="16384" width="9.140625" style="51"/>
  </cols>
  <sheetData>
    <row r="1" spans="1:18">
      <c r="A1" s="50">
        <f>N37</f>
        <v>0</v>
      </c>
      <c r="G1" s="52"/>
    </row>
    <row r="2" spans="1:18" ht="28.9" customHeight="1">
      <c r="A2" s="82" t="str">
        <f>"Отчет по хранению товара за " &amp; TEXT(B5,"ММММ ГГГГ")</f>
        <v>Отчет по хранению товара за Июль 2026</v>
      </c>
      <c r="B2" s="82"/>
      <c r="C2" s="82"/>
      <c r="D2" s="82"/>
      <c r="E2" s="82"/>
      <c r="F2" s="82"/>
      <c r="G2" s="82"/>
      <c r="H2" s="82"/>
      <c r="I2" s="51" t="s">
        <v>31</v>
      </c>
    </row>
    <row r="3" spans="1:18" ht="28.9" customHeight="1">
      <c r="A3" s="53" t="s">
        <v>0</v>
      </c>
      <c r="B3" s="54" t="s">
        <v>1</v>
      </c>
      <c r="C3" s="55"/>
      <c r="D3" s="53" t="s">
        <v>2</v>
      </c>
      <c r="E3" s="53" t="s">
        <v>3</v>
      </c>
      <c r="F3" s="56" t="s">
        <v>4</v>
      </c>
      <c r="G3" s="53" t="s">
        <v>7</v>
      </c>
      <c r="H3" s="53" t="s">
        <v>8</v>
      </c>
      <c r="I3" s="53" t="s">
        <v>11</v>
      </c>
      <c r="J3" s="53" t="s">
        <v>12</v>
      </c>
      <c r="K3" s="53" t="s">
        <v>13</v>
      </c>
      <c r="L3" s="53" t="s">
        <v>16</v>
      </c>
      <c r="M3" s="53" t="s">
        <v>17</v>
      </c>
      <c r="N3" s="53" t="s">
        <v>18</v>
      </c>
      <c r="Q3" s="148" t="s">
        <v>98</v>
      </c>
      <c r="R3" s="148"/>
    </row>
    <row r="4" spans="1:18">
      <c r="A4" s="57"/>
      <c r="B4" s="58"/>
      <c r="C4" s="59"/>
      <c r="D4" s="57"/>
      <c r="E4" s="57"/>
      <c r="F4" s="60"/>
      <c r="G4" s="57"/>
      <c r="H4" s="57"/>
      <c r="I4" s="57"/>
      <c r="J4" s="57"/>
      <c r="K4" s="57"/>
      <c r="L4" s="57"/>
      <c r="M4" s="57"/>
      <c r="N4" s="57"/>
      <c r="Q4" s="143" t="s">
        <v>99</v>
      </c>
      <c r="R4" s="144">
        <v>140</v>
      </c>
    </row>
    <row r="5" spans="1:18">
      <c r="A5" s="69">
        <v>1</v>
      </c>
      <c r="B5" s="83">
        <v>46204</v>
      </c>
      <c r="C5" s="84"/>
      <c r="D5" s="145"/>
      <c r="E5" s="175"/>
      <c r="F5" s="145">
        <v>0</v>
      </c>
      <c r="G5" s="145">
        <v>0</v>
      </c>
      <c r="H5" s="145">
        <v>0</v>
      </c>
      <c r="I5" s="68">
        <f>SUM(D5*$R$4)</f>
        <v>0</v>
      </c>
      <c r="J5" s="68">
        <f>SUM(E5*$R$5)</f>
        <v>0</v>
      </c>
      <c r="K5" s="68">
        <f>SUM(F5*$R$6)</f>
        <v>0</v>
      </c>
      <c r="L5" s="68">
        <f>SUM(G5*$R$7)</f>
        <v>0</v>
      </c>
      <c r="M5" s="68">
        <f>SUM(H5*$R$8)</f>
        <v>0</v>
      </c>
      <c r="N5" s="68">
        <f t="shared" ref="N5:N35" si="0">SUM(I5:M5)</f>
        <v>0</v>
      </c>
      <c r="Q5" s="143" t="s">
        <v>100</v>
      </c>
      <c r="R5" s="144">
        <v>140</v>
      </c>
    </row>
    <row r="6" spans="1:18">
      <c r="A6" s="69">
        <v>2</v>
      </c>
      <c r="B6" s="83">
        <v>46205</v>
      </c>
      <c r="C6" s="84"/>
      <c r="D6" s="145"/>
      <c r="E6" s="176"/>
      <c r="F6" s="145">
        <f>F5+D6</f>
        <v>0</v>
      </c>
      <c r="G6" s="145">
        <v>0</v>
      </c>
      <c r="H6" s="145">
        <v>0</v>
      </c>
      <c r="I6" s="68">
        <f t="shared" ref="I6:I35" si="1">SUM(D6*$R$4)</f>
        <v>0</v>
      </c>
      <c r="J6" s="68">
        <f t="shared" ref="J6:J35" si="2">SUM(E6*$R$5)</f>
        <v>0</v>
      </c>
      <c r="K6" s="68">
        <f t="shared" ref="K6:K35" si="3">SUM(F6*$R$6)</f>
        <v>0</v>
      </c>
      <c r="L6" s="68">
        <f t="shared" ref="L6:L35" si="4">SUM(G6*$R$7)</f>
        <v>0</v>
      </c>
      <c r="M6" s="68">
        <f t="shared" ref="M6:M35" si="5">SUM(H6*$R$8)</f>
        <v>0</v>
      </c>
      <c r="N6" s="68">
        <f t="shared" si="0"/>
        <v>0</v>
      </c>
      <c r="Q6" s="143" t="s">
        <v>4</v>
      </c>
      <c r="R6" s="144">
        <v>20</v>
      </c>
    </row>
    <row r="7" spans="1:18">
      <c r="A7" s="69">
        <v>3</v>
      </c>
      <c r="B7" s="83">
        <v>46206</v>
      </c>
      <c r="C7" s="84"/>
      <c r="D7" s="145"/>
      <c r="E7" s="177"/>
      <c r="F7" s="145">
        <f t="shared" ref="F7:F30" si="6">F6+D7-E6</f>
        <v>0</v>
      </c>
      <c r="G7" s="145">
        <v>0</v>
      </c>
      <c r="H7" s="145">
        <v>0</v>
      </c>
      <c r="I7" s="68">
        <f t="shared" si="1"/>
        <v>0</v>
      </c>
      <c r="J7" s="68">
        <f t="shared" si="2"/>
        <v>0</v>
      </c>
      <c r="K7" s="68">
        <f t="shared" si="3"/>
        <v>0</v>
      </c>
      <c r="L7" s="68">
        <f t="shared" si="4"/>
        <v>0</v>
      </c>
      <c r="M7" s="68">
        <f t="shared" si="5"/>
        <v>0</v>
      </c>
      <c r="N7" s="68">
        <f t="shared" si="0"/>
        <v>0</v>
      </c>
      <c r="Q7" s="143" t="s">
        <v>101</v>
      </c>
      <c r="R7" s="144">
        <v>950</v>
      </c>
    </row>
    <row r="8" spans="1:18">
      <c r="A8" s="69">
        <v>4</v>
      </c>
      <c r="B8" s="83">
        <v>46207</v>
      </c>
      <c r="C8" s="84"/>
      <c r="D8" s="145"/>
      <c r="E8" s="177"/>
      <c r="F8" s="145">
        <f t="shared" si="6"/>
        <v>0</v>
      </c>
      <c r="G8" s="145">
        <v>0</v>
      </c>
      <c r="H8" s="145">
        <v>0</v>
      </c>
      <c r="I8" s="68">
        <f t="shared" si="1"/>
        <v>0</v>
      </c>
      <c r="J8" s="68">
        <f t="shared" si="2"/>
        <v>0</v>
      </c>
      <c r="K8" s="68">
        <f t="shared" si="3"/>
        <v>0</v>
      </c>
      <c r="L8" s="68">
        <f t="shared" si="4"/>
        <v>0</v>
      </c>
      <c r="M8" s="68">
        <f t="shared" si="5"/>
        <v>0</v>
      </c>
      <c r="N8" s="68">
        <f t="shared" si="0"/>
        <v>0</v>
      </c>
      <c r="Q8" s="143" t="s">
        <v>8</v>
      </c>
      <c r="R8" s="144">
        <v>120</v>
      </c>
    </row>
    <row r="9" spans="1:18">
      <c r="A9" s="69">
        <v>5</v>
      </c>
      <c r="B9" s="83">
        <v>46208</v>
      </c>
      <c r="C9" s="84"/>
      <c r="D9" s="145"/>
      <c r="E9" s="177"/>
      <c r="F9" s="145">
        <f t="shared" si="6"/>
        <v>0</v>
      </c>
      <c r="G9" s="145">
        <v>0</v>
      </c>
      <c r="H9" s="145">
        <v>0</v>
      </c>
      <c r="I9" s="68">
        <f t="shared" si="1"/>
        <v>0</v>
      </c>
      <c r="J9" s="68">
        <f t="shared" si="2"/>
        <v>0</v>
      </c>
      <c r="K9" s="68">
        <f t="shared" si="3"/>
        <v>0</v>
      </c>
      <c r="L9" s="68">
        <f t="shared" si="4"/>
        <v>0</v>
      </c>
      <c r="M9" s="68">
        <f t="shared" si="5"/>
        <v>0</v>
      </c>
      <c r="N9" s="68">
        <f t="shared" si="0"/>
        <v>0</v>
      </c>
    </row>
    <row r="10" spans="1:18">
      <c r="A10" s="69">
        <v>6</v>
      </c>
      <c r="B10" s="83">
        <v>46209</v>
      </c>
      <c r="C10" s="84"/>
      <c r="D10" s="145"/>
      <c r="E10" s="177"/>
      <c r="F10" s="145">
        <f t="shared" si="6"/>
        <v>0</v>
      </c>
      <c r="G10" s="145">
        <v>0</v>
      </c>
      <c r="H10" s="145">
        <v>0</v>
      </c>
      <c r="I10" s="68">
        <f t="shared" si="1"/>
        <v>0</v>
      </c>
      <c r="J10" s="68">
        <f t="shared" si="2"/>
        <v>0</v>
      </c>
      <c r="K10" s="68">
        <f t="shared" si="3"/>
        <v>0</v>
      </c>
      <c r="L10" s="68">
        <f t="shared" si="4"/>
        <v>0</v>
      </c>
      <c r="M10" s="68">
        <f t="shared" si="5"/>
        <v>0</v>
      </c>
      <c r="N10" s="68">
        <f t="shared" si="0"/>
        <v>0</v>
      </c>
    </row>
    <row r="11" spans="1:18">
      <c r="A11" s="69">
        <v>7</v>
      </c>
      <c r="B11" s="83">
        <v>46210</v>
      </c>
      <c r="C11" s="84"/>
      <c r="D11" s="145"/>
      <c r="E11" s="177"/>
      <c r="F11" s="145">
        <f t="shared" si="6"/>
        <v>0</v>
      </c>
      <c r="G11" s="145">
        <v>0</v>
      </c>
      <c r="H11" s="145">
        <v>0</v>
      </c>
      <c r="I11" s="68">
        <f t="shared" si="1"/>
        <v>0</v>
      </c>
      <c r="J11" s="68">
        <f t="shared" si="2"/>
        <v>0</v>
      </c>
      <c r="K11" s="68">
        <f t="shared" si="3"/>
        <v>0</v>
      </c>
      <c r="L11" s="68">
        <f t="shared" si="4"/>
        <v>0</v>
      </c>
      <c r="M11" s="68">
        <f t="shared" si="5"/>
        <v>0</v>
      </c>
      <c r="N11" s="68">
        <f t="shared" si="0"/>
        <v>0</v>
      </c>
    </row>
    <row r="12" spans="1:18">
      <c r="A12" s="69">
        <v>8</v>
      </c>
      <c r="B12" s="83">
        <v>46211</v>
      </c>
      <c r="C12" s="84"/>
      <c r="D12" s="145"/>
      <c r="E12" s="177"/>
      <c r="F12" s="145">
        <f t="shared" si="6"/>
        <v>0</v>
      </c>
      <c r="G12" s="145">
        <v>0</v>
      </c>
      <c r="H12" s="145">
        <v>0</v>
      </c>
      <c r="I12" s="68">
        <f t="shared" si="1"/>
        <v>0</v>
      </c>
      <c r="J12" s="68">
        <f t="shared" si="2"/>
        <v>0</v>
      </c>
      <c r="K12" s="68">
        <f t="shared" si="3"/>
        <v>0</v>
      </c>
      <c r="L12" s="68">
        <f t="shared" si="4"/>
        <v>0</v>
      </c>
      <c r="M12" s="68">
        <f t="shared" si="5"/>
        <v>0</v>
      </c>
      <c r="N12" s="68">
        <f t="shared" si="0"/>
        <v>0</v>
      </c>
    </row>
    <row r="13" spans="1:18">
      <c r="A13" s="69">
        <v>9</v>
      </c>
      <c r="B13" s="83">
        <v>46212</v>
      </c>
      <c r="C13" s="84"/>
      <c r="D13" s="145"/>
      <c r="E13" s="177"/>
      <c r="F13" s="145">
        <f t="shared" si="6"/>
        <v>0</v>
      </c>
      <c r="G13" s="145">
        <v>0</v>
      </c>
      <c r="H13" s="145">
        <v>0</v>
      </c>
      <c r="I13" s="68">
        <f t="shared" si="1"/>
        <v>0</v>
      </c>
      <c r="J13" s="68">
        <f t="shared" si="2"/>
        <v>0</v>
      </c>
      <c r="K13" s="68">
        <f t="shared" si="3"/>
        <v>0</v>
      </c>
      <c r="L13" s="68">
        <f t="shared" si="4"/>
        <v>0</v>
      </c>
      <c r="M13" s="68">
        <f t="shared" si="5"/>
        <v>0</v>
      </c>
      <c r="N13" s="68">
        <f t="shared" si="0"/>
        <v>0</v>
      </c>
    </row>
    <row r="14" spans="1:18">
      <c r="A14" s="69">
        <v>10</v>
      </c>
      <c r="B14" s="83">
        <v>46213</v>
      </c>
      <c r="C14" s="84"/>
      <c r="D14" s="145"/>
      <c r="E14" s="177"/>
      <c r="F14" s="145">
        <f t="shared" si="6"/>
        <v>0</v>
      </c>
      <c r="G14" s="145">
        <v>0</v>
      </c>
      <c r="H14" s="145">
        <v>0</v>
      </c>
      <c r="I14" s="68">
        <f t="shared" si="1"/>
        <v>0</v>
      </c>
      <c r="J14" s="68">
        <f t="shared" si="2"/>
        <v>0</v>
      </c>
      <c r="K14" s="68">
        <f t="shared" si="3"/>
        <v>0</v>
      </c>
      <c r="L14" s="68">
        <f t="shared" si="4"/>
        <v>0</v>
      </c>
      <c r="M14" s="68">
        <f t="shared" si="5"/>
        <v>0</v>
      </c>
      <c r="N14" s="68">
        <f t="shared" si="0"/>
        <v>0</v>
      </c>
    </row>
    <row r="15" spans="1:18">
      <c r="A15" s="69">
        <v>11</v>
      </c>
      <c r="B15" s="83">
        <v>46214</v>
      </c>
      <c r="C15" s="84"/>
      <c r="D15" s="145"/>
      <c r="E15" s="177"/>
      <c r="F15" s="145">
        <f t="shared" si="6"/>
        <v>0</v>
      </c>
      <c r="G15" s="145">
        <v>0</v>
      </c>
      <c r="H15" s="145">
        <v>0</v>
      </c>
      <c r="I15" s="68">
        <f t="shared" si="1"/>
        <v>0</v>
      </c>
      <c r="J15" s="68">
        <f t="shared" si="2"/>
        <v>0</v>
      </c>
      <c r="K15" s="68">
        <f t="shared" si="3"/>
        <v>0</v>
      </c>
      <c r="L15" s="68">
        <f t="shared" si="4"/>
        <v>0</v>
      </c>
      <c r="M15" s="68">
        <f t="shared" si="5"/>
        <v>0</v>
      </c>
      <c r="N15" s="68">
        <f t="shared" si="0"/>
        <v>0</v>
      </c>
    </row>
    <row r="16" spans="1:18">
      <c r="A16" s="69">
        <v>12</v>
      </c>
      <c r="B16" s="83">
        <v>46215</v>
      </c>
      <c r="C16" s="84"/>
      <c r="D16" s="145"/>
      <c r="E16" s="178"/>
      <c r="F16" s="145">
        <f t="shared" si="6"/>
        <v>0</v>
      </c>
      <c r="G16" s="145">
        <v>0</v>
      </c>
      <c r="H16" s="145">
        <v>0</v>
      </c>
      <c r="I16" s="68">
        <f t="shared" si="1"/>
        <v>0</v>
      </c>
      <c r="J16" s="68">
        <f t="shared" si="2"/>
        <v>0</v>
      </c>
      <c r="K16" s="68">
        <f t="shared" si="3"/>
        <v>0</v>
      </c>
      <c r="L16" s="68">
        <f t="shared" si="4"/>
        <v>0</v>
      </c>
      <c r="M16" s="68">
        <f t="shared" si="5"/>
        <v>0</v>
      </c>
      <c r="N16" s="68">
        <f t="shared" si="0"/>
        <v>0</v>
      </c>
    </row>
    <row r="17" spans="1:14">
      <c r="A17" s="69">
        <v>13</v>
      </c>
      <c r="B17" s="83">
        <v>46216</v>
      </c>
      <c r="C17" s="84"/>
      <c r="D17" s="145"/>
      <c r="E17" s="178"/>
      <c r="F17" s="145">
        <f t="shared" si="6"/>
        <v>0</v>
      </c>
      <c r="G17" s="145">
        <v>0</v>
      </c>
      <c r="H17" s="145">
        <v>0</v>
      </c>
      <c r="I17" s="68">
        <f t="shared" si="1"/>
        <v>0</v>
      </c>
      <c r="J17" s="68">
        <f t="shared" si="2"/>
        <v>0</v>
      </c>
      <c r="K17" s="68">
        <f t="shared" si="3"/>
        <v>0</v>
      </c>
      <c r="L17" s="68">
        <f t="shared" si="4"/>
        <v>0</v>
      </c>
      <c r="M17" s="68">
        <f t="shared" si="5"/>
        <v>0</v>
      </c>
      <c r="N17" s="68">
        <f t="shared" si="0"/>
        <v>0</v>
      </c>
    </row>
    <row r="18" spans="1:14">
      <c r="A18" s="69">
        <v>14</v>
      </c>
      <c r="B18" s="83">
        <v>46217</v>
      </c>
      <c r="C18" s="84"/>
      <c r="D18" s="145"/>
      <c r="E18" s="175"/>
      <c r="F18" s="145">
        <f t="shared" si="6"/>
        <v>0</v>
      </c>
      <c r="G18" s="145">
        <v>0</v>
      </c>
      <c r="H18" s="145">
        <v>0</v>
      </c>
      <c r="I18" s="68">
        <f t="shared" si="1"/>
        <v>0</v>
      </c>
      <c r="J18" s="68">
        <f t="shared" si="2"/>
        <v>0</v>
      </c>
      <c r="K18" s="68">
        <f t="shared" si="3"/>
        <v>0</v>
      </c>
      <c r="L18" s="68">
        <f t="shared" si="4"/>
        <v>0</v>
      </c>
      <c r="M18" s="68">
        <f t="shared" si="5"/>
        <v>0</v>
      </c>
      <c r="N18" s="68">
        <f t="shared" si="0"/>
        <v>0</v>
      </c>
    </row>
    <row r="19" spans="1:14">
      <c r="A19" s="69">
        <v>15</v>
      </c>
      <c r="B19" s="83">
        <v>46218</v>
      </c>
      <c r="C19" s="84"/>
      <c r="D19" s="145"/>
      <c r="E19" s="175"/>
      <c r="F19" s="145">
        <f t="shared" si="6"/>
        <v>0</v>
      </c>
      <c r="G19" s="145">
        <v>0</v>
      </c>
      <c r="H19" s="145">
        <v>0</v>
      </c>
      <c r="I19" s="68">
        <f t="shared" si="1"/>
        <v>0</v>
      </c>
      <c r="J19" s="68">
        <f t="shared" si="2"/>
        <v>0</v>
      </c>
      <c r="K19" s="68">
        <f t="shared" si="3"/>
        <v>0</v>
      </c>
      <c r="L19" s="68">
        <f t="shared" si="4"/>
        <v>0</v>
      </c>
      <c r="M19" s="68">
        <f t="shared" si="5"/>
        <v>0</v>
      </c>
      <c r="N19" s="68">
        <f t="shared" si="0"/>
        <v>0</v>
      </c>
    </row>
    <row r="20" spans="1:14">
      <c r="A20" s="69">
        <v>16</v>
      </c>
      <c r="B20" s="83">
        <v>46219</v>
      </c>
      <c r="C20" s="84"/>
      <c r="D20" s="145"/>
      <c r="E20" s="178"/>
      <c r="F20" s="145">
        <f t="shared" si="6"/>
        <v>0</v>
      </c>
      <c r="G20" s="145">
        <v>0</v>
      </c>
      <c r="H20" s="145">
        <v>0</v>
      </c>
      <c r="I20" s="68">
        <f t="shared" si="1"/>
        <v>0</v>
      </c>
      <c r="J20" s="68">
        <f t="shared" si="2"/>
        <v>0</v>
      </c>
      <c r="K20" s="68">
        <f t="shared" si="3"/>
        <v>0</v>
      </c>
      <c r="L20" s="68">
        <f t="shared" si="4"/>
        <v>0</v>
      </c>
      <c r="M20" s="68">
        <f t="shared" si="5"/>
        <v>0</v>
      </c>
      <c r="N20" s="68">
        <f t="shared" si="0"/>
        <v>0</v>
      </c>
    </row>
    <row r="21" spans="1:14">
      <c r="A21" s="69">
        <v>17</v>
      </c>
      <c r="B21" s="83">
        <v>46220</v>
      </c>
      <c r="C21" s="84"/>
      <c r="D21" s="145"/>
      <c r="E21" s="175"/>
      <c r="F21" s="145">
        <f t="shared" si="6"/>
        <v>0</v>
      </c>
      <c r="G21" s="145">
        <v>0</v>
      </c>
      <c r="H21" s="145">
        <v>0</v>
      </c>
      <c r="I21" s="68">
        <f t="shared" si="1"/>
        <v>0</v>
      </c>
      <c r="J21" s="68">
        <f t="shared" si="2"/>
        <v>0</v>
      </c>
      <c r="K21" s="68">
        <f t="shared" si="3"/>
        <v>0</v>
      </c>
      <c r="L21" s="68">
        <f t="shared" si="4"/>
        <v>0</v>
      </c>
      <c r="M21" s="68">
        <f t="shared" si="5"/>
        <v>0</v>
      </c>
      <c r="N21" s="68">
        <f t="shared" si="0"/>
        <v>0</v>
      </c>
    </row>
    <row r="22" spans="1:14">
      <c r="A22" s="69">
        <v>18</v>
      </c>
      <c r="B22" s="83">
        <v>46221</v>
      </c>
      <c r="C22" s="84"/>
      <c r="D22" s="145"/>
      <c r="E22" s="178"/>
      <c r="F22" s="145">
        <f t="shared" si="6"/>
        <v>0</v>
      </c>
      <c r="G22" s="145">
        <v>0</v>
      </c>
      <c r="H22" s="145">
        <v>0</v>
      </c>
      <c r="I22" s="68">
        <f t="shared" si="1"/>
        <v>0</v>
      </c>
      <c r="J22" s="68">
        <f t="shared" si="2"/>
        <v>0</v>
      </c>
      <c r="K22" s="68">
        <f t="shared" si="3"/>
        <v>0</v>
      </c>
      <c r="L22" s="68">
        <f t="shared" si="4"/>
        <v>0</v>
      </c>
      <c r="M22" s="68">
        <f t="shared" si="5"/>
        <v>0</v>
      </c>
      <c r="N22" s="68">
        <f t="shared" si="0"/>
        <v>0</v>
      </c>
    </row>
    <row r="23" spans="1:14">
      <c r="A23" s="69">
        <v>19</v>
      </c>
      <c r="B23" s="83">
        <v>46222</v>
      </c>
      <c r="C23" s="84"/>
      <c r="D23" s="145"/>
      <c r="E23" s="175"/>
      <c r="F23" s="145">
        <f t="shared" si="6"/>
        <v>0</v>
      </c>
      <c r="G23" s="145">
        <v>0</v>
      </c>
      <c r="H23" s="145">
        <v>0</v>
      </c>
      <c r="I23" s="68">
        <f t="shared" si="1"/>
        <v>0</v>
      </c>
      <c r="J23" s="68">
        <f t="shared" si="2"/>
        <v>0</v>
      </c>
      <c r="K23" s="68">
        <f t="shared" si="3"/>
        <v>0</v>
      </c>
      <c r="L23" s="68">
        <f t="shared" si="4"/>
        <v>0</v>
      </c>
      <c r="M23" s="68">
        <f t="shared" si="5"/>
        <v>0</v>
      </c>
      <c r="N23" s="68">
        <f t="shared" si="0"/>
        <v>0</v>
      </c>
    </row>
    <row r="24" spans="1:14">
      <c r="A24" s="69">
        <v>20</v>
      </c>
      <c r="B24" s="83">
        <v>46223</v>
      </c>
      <c r="C24" s="84"/>
      <c r="D24" s="145"/>
      <c r="E24" s="175"/>
      <c r="F24" s="145">
        <f t="shared" si="6"/>
        <v>0</v>
      </c>
      <c r="G24" s="145">
        <v>0</v>
      </c>
      <c r="H24" s="145">
        <v>0</v>
      </c>
      <c r="I24" s="68">
        <f t="shared" si="1"/>
        <v>0</v>
      </c>
      <c r="J24" s="68">
        <f t="shared" si="2"/>
        <v>0</v>
      </c>
      <c r="K24" s="68">
        <f t="shared" si="3"/>
        <v>0</v>
      </c>
      <c r="L24" s="68">
        <f t="shared" si="4"/>
        <v>0</v>
      </c>
      <c r="M24" s="68">
        <f t="shared" si="5"/>
        <v>0</v>
      </c>
      <c r="N24" s="68">
        <f t="shared" si="0"/>
        <v>0</v>
      </c>
    </row>
    <row r="25" spans="1:14">
      <c r="A25" s="69">
        <v>21</v>
      </c>
      <c r="B25" s="83">
        <v>46224</v>
      </c>
      <c r="C25" s="84"/>
      <c r="D25" s="145"/>
      <c r="E25" s="175"/>
      <c r="F25" s="145">
        <f t="shared" si="6"/>
        <v>0</v>
      </c>
      <c r="G25" s="145">
        <v>0</v>
      </c>
      <c r="H25" s="145">
        <v>0</v>
      </c>
      <c r="I25" s="68">
        <f t="shared" si="1"/>
        <v>0</v>
      </c>
      <c r="J25" s="68">
        <f t="shared" si="2"/>
        <v>0</v>
      </c>
      <c r="K25" s="68">
        <f t="shared" si="3"/>
        <v>0</v>
      </c>
      <c r="L25" s="68">
        <f t="shared" si="4"/>
        <v>0</v>
      </c>
      <c r="M25" s="68">
        <f t="shared" si="5"/>
        <v>0</v>
      </c>
      <c r="N25" s="68">
        <f t="shared" si="0"/>
        <v>0</v>
      </c>
    </row>
    <row r="26" spans="1:14">
      <c r="A26" s="69">
        <v>22</v>
      </c>
      <c r="B26" s="83">
        <v>46225</v>
      </c>
      <c r="C26" s="84"/>
      <c r="D26" s="145"/>
      <c r="E26" s="175"/>
      <c r="F26" s="145">
        <f t="shared" si="6"/>
        <v>0</v>
      </c>
      <c r="G26" s="145">
        <v>0</v>
      </c>
      <c r="H26" s="145">
        <v>0</v>
      </c>
      <c r="I26" s="68">
        <f t="shared" si="1"/>
        <v>0</v>
      </c>
      <c r="J26" s="68">
        <f t="shared" si="2"/>
        <v>0</v>
      </c>
      <c r="K26" s="68">
        <f t="shared" si="3"/>
        <v>0</v>
      </c>
      <c r="L26" s="68">
        <f t="shared" si="4"/>
        <v>0</v>
      </c>
      <c r="M26" s="68">
        <f t="shared" si="5"/>
        <v>0</v>
      </c>
      <c r="N26" s="68">
        <f t="shared" si="0"/>
        <v>0</v>
      </c>
    </row>
    <row r="27" spans="1:14">
      <c r="A27" s="69">
        <v>23</v>
      </c>
      <c r="B27" s="83">
        <v>46226</v>
      </c>
      <c r="C27" s="84"/>
      <c r="D27" s="145"/>
      <c r="E27" s="175"/>
      <c r="F27" s="145">
        <f t="shared" si="6"/>
        <v>0</v>
      </c>
      <c r="G27" s="145">
        <v>0</v>
      </c>
      <c r="H27" s="145">
        <v>0</v>
      </c>
      <c r="I27" s="68">
        <f t="shared" si="1"/>
        <v>0</v>
      </c>
      <c r="J27" s="68">
        <f t="shared" si="2"/>
        <v>0</v>
      </c>
      <c r="K27" s="68">
        <f t="shared" si="3"/>
        <v>0</v>
      </c>
      <c r="L27" s="68">
        <f t="shared" si="4"/>
        <v>0</v>
      </c>
      <c r="M27" s="68">
        <f t="shared" si="5"/>
        <v>0</v>
      </c>
      <c r="N27" s="68">
        <f t="shared" si="0"/>
        <v>0</v>
      </c>
    </row>
    <row r="28" spans="1:14">
      <c r="A28" s="69">
        <v>24</v>
      </c>
      <c r="B28" s="83">
        <v>46227</v>
      </c>
      <c r="C28" s="84"/>
      <c r="D28" s="145"/>
      <c r="E28" s="176"/>
      <c r="F28" s="145">
        <f t="shared" si="6"/>
        <v>0</v>
      </c>
      <c r="G28" s="145">
        <v>0</v>
      </c>
      <c r="H28" s="145">
        <v>0</v>
      </c>
      <c r="I28" s="68">
        <f t="shared" si="1"/>
        <v>0</v>
      </c>
      <c r="J28" s="68">
        <f t="shared" si="2"/>
        <v>0</v>
      </c>
      <c r="K28" s="68">
        <f t="shared" si="3"/>
        <v>0</v>
      </c>
      <c r="L28" s="68">
        <f t="shared" si="4"/>
        <v>0</v>
      </c>
      <c r="M28" s="68">
        <f t="shared" si="5"/>
        <v>0</v>
      </c>
      <c r="N28" s="68">
        <f t="shared" si="0"/>
        <v>0</v>
      </c>
    </row>
    <row r="29" spans="1:14">
      <c r="A29" s="69">
        <v>25</v>
      </c>
      <c r="B29" s="83">
        <v>46228</v>
      </c>
      <c r="C29" s="84"/>
      <c r="D29" s="145"/>
      <c r="E29" s="175"/>
      <c r="F29" s="145">
        <f t="shared" si="6"/>
        <v>0</v>
      </c>
      <c r="G29" s="145">
        <v>0</v>
      </c>
      <c r="H29" s="145">
        <v>0</v>
      </c>
      <c r="I29" s="68">
        <f t="shared" si="1"/>
        <v>0</v>
      </c>
      <c r="J29" s="68">
        <f t="shared" si="2"/>
        <v>0</v>
      </c>
      <c r="K29" s="68">
        <f t="shared" si="3"/>
        <v>0</v>
      </c>
      <c r="L29" s="68">
        <f t="shared" si="4"/>
        <v>0</v>
      </c>
      <c r="M29" s="68">
        <f t="shared" si="5"/>
        <v>0</v>
      </c>
      <c r="N29" s="68">
        <f t="shared" si="0"/>
        <v>0</v>
      </c>
    </row>
    <row r="30" spans="1:14">
      <c r="A30" s="69">
        <v>26</v>
      </c>
      <c r="B30" s="83">
        <v>46229</v>
      </c>
      <c r="C30" s="84"/>
      <c r="D30" s="145"/>
      <c r="E30" s="176"/>
      <c r="F30" s="145">
        <f t="shared" si="6"/>
        <v>0</v>
      </c>
      <c r="G30" s="145">
        <v>0</v>
      </c>
      <c r="H30" s="145">
        <v>0</v>
      </c>
      <c r="I30" s="68">
        <f t="shared" si="1"/>
        <v>0</v>
      </c>
      <c r="J30" s="68">
        <f t="shared" si="2"/>
        <v>0</v>
      </c>
      <c r="K30" s="68">
        <f t="shared" si="3"/>
        <v>0</v>
      </c>
      <c r="L30" s="68">
        <f t="shared" si="4"/>
        <v>0</v>
      </c>
      <c r="M30" s="68">
        <f t="shared" si="5"/>
        <v>0</v>
      </c>
      <c r="N30" s="68">
        <f t="shared" si="0"/>
        <v>0</v>
      </c>
    </row>
    <row r="31" spans="1:14">
      <c r="A31" s="69">
        <v>27</v>
      </c>
      <c r="B31" s="83">
        <v>46230</v>
      </c>
      <c r="C31" s="84"/>
      <c r="D31" s="145"/>
      <c r="E31" s="175"/>
      <c r="F31" s="145">
        <v>0</v>
      </c>
      <c r="G31" s="145">
        <v>0</v>
      </c>
      <c r="H31" s="145">
        <v>0</v>
      </c>
      <c r="I31" s="68">
        <f t="shared" si="1"/>
        <v>0</v>
      </c>
      <c r="J31" s="68">
        <f t="shared" si="2"/>
        <v>0</v>
      </c>
      <c r="K31" s="68">
        <f t="shared" si="3"/>
        <v>0</v>
      </c>
      <c r="L31" s="68">
        <f t="shared" si="4"/>
        <v>0</v>
      </c>
      <c r="M31" s="68">
        <f t="shared" si="5"/>
        <v>0</v>
      </c>
      <c r="N31" s="68">
        <f t="shared" si="0"/>
        <v>0</v>
      </c>
    </row>
    <row r="32" spans="1:14">
      <c r="A32" s="69">
        <v>28</v>
      </c>
      <c r="B32" s="83">
        <v>46231</v>
      </c>
      <c r="C32" s="84"/>
      <c r="D32" s="145"/>
      <c r="E32" s="175"/>
      <c r="F32" s="145">
        <f>F31+D32-E31</f>
        <v>0</v>
      </c>
      <c r="G32" s="145">
        <v>0</v>
      </c>
      <c r="H32" s="145">
        <v>0</v>
      </c>
      <c r="I32" s="68">
        <f t="shared" si="1"/>
        <v>0</v>
      </c>
      <c r="J32" s="68">
        <f t="shared" si="2"/>
        <v>0</v>
      </c>
      <c r="K32" s="68">
        <f t="shared" si="3"/>
        <v>0</v>
      </c>
      <c r="L32" s="68">
        <f t="shared" si="4"/>
        <v>0</v>
      </c>
      <c r="M32" s="68">
        <f t="shared" si="5"/>
        <v>0</v>
      </c>
      <c r="N32" s="68">
        <f t="shared" si="0"/>
        <v>0</v>
      </c>
    </row>
    <row r="33" spans="1:14">
      <c r="A33" s="69">
        <v>29</v>
      </c>
      <c r="B33" s="83">
        <v>46232</v>
      </c>
      <c r="C33" s="84"/>
      <c r="D33" s="145"/>
      <c r="E33" s="175"/>
      <c r="F33" s="145">
        <f t="shared" ref="F33:F34" si="7">F32+D33-E32</f>
        <v>0</v>
      </c>
      <c r="G33" s="145">
        <v>0</v>
      </c>
      <c r="H33" s="145">
        <v>0</v>
      </c>
      <c r="I33" s="68">
        <f t="shared" si="1"/>
        <v>0</v>
      </c>
      <c r="J33" s="68">
        <f t="shared" si="2"/>
        <v>0</v>
      </c>
      <c r="K33" s="68">
        <f t="shared" si="3"/>
        <v>0</v>
      </c>
      <c r="L33" s="68">
        <f t="shared" si="4"/>
        <v>0</v>
      </c>
      <c r="M33" s="68">
        <f t="shared" si="5"/>
        <v>0</v>
      </c>
      <c r="N33" s="68">
        <f t="shared" si="0"/>
        <v>0</v>
      </c>
    </row>
    <row r="34" spans="1:14">
      <c r="A34" s="69">
        <v>30</v>
      </c>
      <c r="B34" s="83">
        <v>46233</v>
      </c>
      <c r="C34" s="84"/>
      <c r="D34" s="145"/>
      <c r="E34" s="175"/>
      <c r="F34" s="145">
        <f t="shared" si="7"/>
        <v>0</v>
      </c>
      <c r="G34" s="145">
        <v>0</v>
      </c>
      <c r="H34" s="145">
        <v>0</v>
      </c>
      <c r="I34" s="68">
        <f t="shared" si="1"/>
        <v>0</v>
      </c>
      <c r="J34" s="68">
        <f t="shared" si="2"/>
        <v>0</v>
      </c>
      <c r="K34" s="68">
        <f t="shared" si="3"/>
        <v>0</v>
      </c>
      <c r="L34" s="68">
        <f t="shared" si="4"/>
        <v>0</v>
      </c>
      <c r="M34" s="68">
        <f t="shared" si="5"/>
        <v>0</v>
      </c>
      <c r="N34" s="68">
        <f t="shared" si="0"/>
        <v>0</v>
      </c>
    </row>
    <row r="35" spans="1:14">
      <c r="A35" s="69">
        <v>31</v>
      </c>
      <c r="B35" s="83"/>
      <c r="C35" s="84"/>
      <c r="D35" s="145"/>
      <c r="E35" s="145"/>
      <c r="F35" s="145"/>
      <c r="G35" s="145">
        <v>0</v>
      </c>
      <c r="H35" s="145">
        <v>0</v>
      </c>
      <c r="I35" s="68">
        <f t="shared" si="1"/>
        <v>0</v>
      </c>
      <c r="J35" s="68">
        <f t="shared" si="2"/>
        <v>0</v>
      </c>
      <c r="K35" s="68">
        <f t="shared" si="3"/>
        <v>0</v>
      </c>
      <c r="L35" s="68">
        <f t="shared" si="4"/>
        <v>0</v>
      </c>
      <c r="M35" s="68">
        <f t="shared" si="5"/>
        <v>0</v>
      </c>
      <c r="N35" s="68">
        <f t="shared" si="0"/>
        <v>0</v>
      </c>
    </row>
    <row r="36" spans="1:14">
      <c r="D36" s="76">
        <f t="shared" ref="D36:N36" si="8">SUM(D5:D35)</f>
        <v>0</v>
      </c>
      <c r="E36" s="76">
        <f t="shared" si="8"/>
        <v>0</v>
      </c>
      <c r="F36" s="76">
        <f t="shared" si="8"/>
        <v>0</v>
      </c>
      <c r="G36" s="76">
        <f t="shared" si="8"/>
        <v>0</v>
      </c>
      <c r="H36" s="76">
        <f t="shared" si="8"/>
        <v>0</v>
      </c>
      <c r="I36" s="78">
        <f t="shared" si="8"/>
        <v>0</v>
      </c>
      <c r="J36" s="78">
        <f t="shared" si="8"/>
        <v>0</v>
      </c>
      <c r="K36" s="78">
        <f t="shared" si="8"/>
        <v>0</v>
      </c>
      <c r="L36" s="78">
        <f t="shared" si="8"/>
        <v>0</v>
      </c>
      <c r="M36" s="78">
        <f t="shared" si="8"/>
        <v>0</v>
      </c>
      <c r="N36" s="78">
        <f t="shared" si="8"/>
        <v>0</v>
      </c>
    </row>
    <row r="37" spans="1:14">
      <c r="L37" s="79"/>
      <c r="M37" s="79"/>
      <c r="N37" s="80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E15C-FECB-4310-A7F6-E0A0DB4023C5}">
  <sheetPr>
    <pageSetUpPr fitToPage="1"/>
  </sheetPr>
  <dimension ref="A3:G22"/>
  <sheetViews>
    <sheetView workbookViewId="0">
      <selection activeCell="B16" sqref="B16"/>
    </sheetView>
  </sheetViews>
  <sheetFormatPr defaultRowHeight="15"/>
  <cols>
    <col min="1" max="1" width="18.85546875" style="51" customWidth="1"/>
    <col min="2" max="2" width="27.140625" style="51" customWidth="1"/>
    <col min="3" max="3" width="9.85546875" style="51" customWidth="1"/>
    <col min="4" max="4" width="11.28515625" style="51" customWidth="1"/>
    <col min="5" max="5" width="10.7109375" style="51" customWidth="1"/>
    <col min="6" max="6" width="14.5703125" style="51" customWidth="1"/>
    <col min="7" max="7" width="13.5703125" style="51" customWidth="1"/>
    <col min="8" max="16384" width="9.140625" style="51"/>
  </cols>
  <sheetData>
    <row r="3" spans="1:7">
      <c r="A3" s="79" t="str">
        <f ca="1">IF(DAY(TODAY())&gt;27,"Акт  №    от  " &amp; TEXT(TODAY(),"ДД ММММ ГГГГ"),"Акт  №    от  " &amp; TEXT(TODAY()-DAY(TODAY()),"ДД ММММ ГГГГ")) &amp; " г. Зеленодольск"</f>
        <v>Акт  №    от  31 Июль 2026 г. Зеленодольск</v>
      </c>
    </row>
    <row r="4" spans="1:7">
      <c r="A4" s="79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Июль 2026</v>
      </c>
      <c r="B4" s="79"/>
      <c r="C4" s="79"/>
    </row>
    <row r="5" spans="1:7">
      <c r="A5" s="79" t="s">
        <v>103</v>
      </c>
      <c r="B5" s="79"/>
      <c r="C5" s="79"/>
    </row>
    <row r="6" spans="1:7">
      <c r="A6" s="51" t="s">
        <v>104</v>
      </c>
    </row>
    <row r="7" spans="1:7">
      <c r="A7" s="51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Июль 2026 г. По 31 Июль 2026  г. ХРАНИТЕЛЬ оказал ПОКЛАЖЕДАТЕЛЮ следующие услуги (работы):</v>
      </c>
    </row>
    <row r="9" spans="1:7">
      <c r="A9" s="67" t="s">
        <v>0</v>
      </c>
      <c r="B9" s="67" t="s">
        <v>80</v>
      </c>
      <c r="C9" s="67" t="s">
        <v>81</v>
      </c>
      <c r="D9" s="67" t="s">
        <v>82</v>
      </c>
      <c r="E9" s="67" t="s">
        <v>83</v>
      </c>
      <c r="F9" s="67" t="s">
        <v>105</v>
      </c>
      <c r="G9" s="67" t="s">
        <v>106</v>
      </c>
    </row>
    <row r="10" spans="1:7">
      <c r="A10" s="132">
        <v>1</v>
      </c>
      <c r="B10" s="67" t="s">
        <v>107</v>
      </c>
      <c r="C10" s="132" t="s">
        <v>108</v>
      </c>
      <c r="D10" s="69">
        <v>2</v>
      </c>
      <c r="E10" s="138">
        <v>2000</v>
      </c>
      <c r="F10" s="138">
        <f>SUM(D10*E10)</f>
        <v>4000</v>
      </c>
      <c r="G10" s="138">
        <f>F10*1.22</f>
        <v>4880</v>
      </c>
    </row>
    <row r="11" spans="1:7">
      <c r="A11" s="132">
        <v>2</v>
      </c>
      <c r="B11" s="67" t="s">
        <v>109</v>
      </c>
      <c r="C11" s="132" t="s">
        <v>108</v>
      </c>
      <c r="D11" s="69"/>
      <c r="E11" s="138"/>
      <c r="F11" s="138">
        <f>SUM(D11*E11)</f>
        <v>0</v>
      </c>
      <c r="G11" s="138">
        <f>F11*1.2</f>
        <v>0</v>
      </c>
    </row>
    <row r="12" spans="1:7">
      <c r="A12" s="179"/>
      <c r="C12" s="179"/>
      <c r="D12" s="180"/>
      <c r="E12" s="130"/>
      <c r="F12" s="138">
        <f>SUM(F10:F11)</f>
        <v>4000</v>
      </c>
      <c r="G12" s="138">
        <f>SUM(G10:G11)</f>
        <v>4880</v>
      </c>
    </row>
    <row r="13" spans="1:7">
      <c r="A13" s="79" t="s">
        <v>110</v>
      </c>
      <c r="B13" s="79" t="s">
        <v>111</v>
      </c>
      <c r="C13" s="79"/>
      <c r="D13" s="79"/>
    </row>
    <row r="14" spans="1:7">
      <c r="A14" s="79" t="s">
        <v>112</v>
      </c>
      <c r="B14" s="79" t="str">
        <f>B13</f>
        <v>четыре тысячи рублей ноль копеек</v>
      </c>
      <c r="C14" s="79"/>
      <c r="D14" s="79"/>
    </row>
    <row r="15" spans="1:7">
      <c r="A15" s="79" t="s">
        <v>87</v>
      </c>
      <c r="B15" s="79" t="s">
        <v>113</v>
      </c>
      <c r="F15" s="181"/>
      <c r="G15" s="181"/>
    </row>
    <row r="16" spans="1:7">
      <c r="A16" s="51" t="s">
        <v>88</v>
      </c>
    </row>
    <row r="17" spans="1:4">
      <c r="A17" s="51" t="s">
        <v>89</v>
      </c>
    </row>
    <row r="20" spans="1:4">
      <c r="A20" s="51" t="s">
        <v>91</v>
      </c>
      <c r="D20" s="51" t="s">
        <v>114</v>
      </c>
    </row>
    <row r="22" spans="1:4">
      <c r="A22" s="51" t="s">
        <v>115</v>
      </c>
      <c r="D22" s="51" t="s">
        <v>95</v>
      </c>
    </row>
  </sheetData>
  <pageMargins left="0.7" right="0.7" top="0.75" bottom="0.75" header="0.3" footer="0.3"/>
  <pageSetup paperSize="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310F-A81E-44A6-9909-E99EF1D27F4B}">
  <dimension ref="A1:R36"/>
  <sheetViews>
    <sheetView topLeftCell="A7" zoomScaleNormal="100" workbookViewId="0">
      <selection activeCell="G24" sqref="G24"/>
    </sheetView>
  </sheetViews>
  <sheetFormatPr defaultRowHeight="15"/>
  <cols>
    <col min="1" max="1" width="12.28515625" style="51" customWidth="1"/>
    <col min="2" max="17" width="9.140625" style="51"/>
    <col min="18" max="18" width="13" style="51" customWidth="1"/>
    <col min="19" max="16384" width="9.140625" style="51"/>
  </cols>
  <sheetData>
    <row r="1" spans="1:18">
      <c r="A1" s="182">
        <f>R36</f>
        <v>102164</v>
      </c>
    </row>
    <row r="2" spans="1:18">
      <c r="B2" s="79" t="s">
        <v>116</v>
      </c>
    </row>
    <row r="3" spans="1:18" ht="28.9" customHeight="1">
      <c r="A3" s="183" t="s">
        <v>0</v>
      </c>
      <c r="B3" s="184" t="s">
        <v>1</v>
      </c>
      <c r="C3" s="185"/>
      <c r="D3" s="183" t="s">
        <v>117</v>
      </c>
      <c r="E3" s="183" t="s">
        <v>118</v>
      </c>
      <c r="F3" s="183" t="s">
        <v>119</v>
      </c>
      <c r="G3" s="183" t="s">
        <v>120</v>
      </c>
      <c r="H3" s="186" t="s">
        <v>4</v>
      </c>
      <c r="I3" s="183" t="s">
        <v>121</v>
      </c>
      <c r="J3" s="183" t="s">
        <v>122</v>
      </c>
      <c r="K3" s="183" t="s">
        <v>11</v>
      </c>
      <c r="L3" s="183" t="s">
        <v>12</v>
      </c>
      <c r="M3" s="183" t="s">
        <v>123</v>
      </c>
      <c r="N3" s="183" t="s">
        <v>124</v>
      </c>
      <c r="O3" s="183" t="s">
        <v>13</v>
      </c>
      <c r="P3" s="183" t="s">
        <v>125</v>
      </c>
      <c r="Q3" s="183" t="s">
        <v>126</v>
      </c>
      <c r="R3" s="183" t="s">
        <v>18</v>
      </c>
    </row>
    <row r="4" spans="1:18" ht="30">
      <c r="A4" s="57"/>
      <c r="B4" s="58"/>
      <c r="C4" s="59"/>
      <c r="D4" s="57"/>
      <c r="E4" s="57"/>
      <c r="F4" s="57"/>
      <c r="G4" s="57"/>
      <c r="H4" s="60" t="s">
        <v>127</v>
      </c>
      <c r="I4" s="57"/>
      <c r="J4" s="57"/>
      <c r="K4" s="57"/>
      <c r="L4" s="57"/>
      <c r="M4" s="57"/>
      <c r="N4" s="57"/>
      <c r="O4" s="57"/>
      <c r="P4" s="57"/>
      <c r="Q4" s="57"/>
      <c r="R4" s="57"/>
    </row>
    <row r="5" spans="1:18">
      <c r="A5" s="187">
        <v>1</v>
      </c>
      <c r="B5" s="198">
        <v>46204</v>
      </c>
      <c r="C5" s="199"/>
      <c r="D5" s="200"/>
      <c r="E5" s="188"/>
      <c r="F5" s="188"/>
      <c r="G5" s="188"/>
      <c r="H5" s="189">
        <v>130</v>
      </c>
      <c r="I5" s="189"/>
      <c r="J5" s="189"/>
      <c r="K5" s="189">
        <f>SUM(D5*171)</f>
        <v>0</v>
      </c>
      <c r="L5" s="189">
        <f>SUM(E5*171)</f>
        <v>0</v>
      </c>
      <c r="M5" s="189">
        <f>F5*1018</f>
        <v>0</v>
      </c>
      <c r="N5" s="189">
        <f>G5*1018</f>
        <v>0</v>
      </c>
      <c r="O5" s="189">
        <f>SUM(H5*22)</f>
        <v>2860</v>
      </c>
      <c r="P5" s="189">
        <f>I5*509</f>
        <v>0</v>
      </c>
      <c r="Q5" s="189">
        <f>SUM(J5)*610</f>
        <v>0</v>
      </c>
      <c r="R5" s="189">
        <f>SUM(K5:Q5)</f>
        <v>2860</v>
      </c>
    </row>
    <row r="6" spans="1:18">
      <c r="A6" s="187">
        <v>2</v>
      </c>
      <c r="B6" s="198">
        <v>46205</v>
      </c>
      <c r="C6" s="199"/>
      <c r="D6" s="200"/>
      <c r="E6" s="188"/>
      <c r="F6" s="188"/>
      <c r="G6" s="188"/>
      <c r="H6" s="189">
        <f>H5+D6-E5</f>
        <v>130</v>
      </c>
      <c r="I6" s="189"/>
      <c r="J6" s="189"/>
      <c r="K6" s="189">
        <f t="shared" ref="K6:K35" si="0">SUM(D6*171)</f>
        <v>0</v>
      </c>
      <c r="L6" s="189">
        <f t="shared" ref="L6:L35" si="1">SUM(E6*171)</f>
        <v>0</v>
      </c>
      <c r="M6" s="189">
        <f t="shared" ref="M6:N35" si="2">F6*1018</f>
        <v>0</v>
      </c>
      <c r="N6" s="189">
        <f t="shared" si="2"/>
        <v>0</v>
      </c>
      <c r="O6" s="189">
        <f t="shared" ref="O6:O35" si="3">SUM(H6*22)</f>
        <v>2860</v>
      </c>
      <c r="P6" s="189">
        <f t="shared" ref="P6:P35" si="4">I6*509</f>
        <v>0</v>
      </c>
      <c r="Q6" s="189">
        <f t="shared" ref="Q6:Q35" si="5">SUM(J6)*610</f>
        <v>0</v>
      </c>
      <c r="R6" s="189">
        <f t="shared" ref="R6:R34" si="6">SUM(K6:Q6)</f>
        <v>2860</v>
      </c>
    </row>
    <row r="7" spans="1:18">
      <c r="A7" s="187">
        <v>3</v>
      </c>
      <c r="B7" s="198">
        <v>46206</v>
      </c>
      <c r="C7" s="199"/>
      <c r="D7" s="200"/>
      <c r="E7" s="188"/>
      <c r="F7" s="188"/>
      <c r="G7" s="188"/>
      <c r="H7" s="189">
        <f t="shared" ref="H7:H35" si="7">H6+D7-E6</f>
        <v>130</v>
      </c>
      <c r="I7" s="189"/>
      <c r="J7" s="189"/>
      <c r="K7" s="189">
        <f t="shared" si="0"/>
        <v>0</v>
      </c>
      <c r="L7" s="189">
        <f t="shared" si="1"/>
        <v>0</v>
      </c>
      <c r="M7" s="189">
        <f t="shared" si="2"/>
        <v>0</v>
      </c>
      <c r="N7" s="189">
        <f t="shared" si="2"/>
        <v>0</v>
      </c>
      <c r="O7" s="189">
        <f t="shared" si="3"/>
        <v>2860</v>
      </c>
      <c r="P7" s="189">
        <f t="shared" si="4"/>
        <v>0</v>
      </c>
      <c r="Q7" s="189">
        <f t="shared" si="5"/>
        <v>0</v>
      </c>
      <c r="R7" s="189">
        <f t="shared" si="6"/>
        <v>2860</v>
      </c>
    </row>
    <row r="8" spans="1:18">
      <c r="A8" s="187">
        <v>4</v>
      </c>
      <c r="B8" s="198">
        <v>46207</v>
      </c>
      <c r="C8" s="199"/>
      <c r="D8" s="200"/>
      <c r="E8" s="188"/>
      <c r="F8" s="188"/>
      <c r="G8" s="188"/>
      <c r="H8" s="189">
        <f t="shared" si="7"/>
        <v>130</v>
      </c>
      <c r="I8" s="189"/>
      <c r="J8" s="189"/>
      <c r="K8" s="189">
        <f t="shared" si="0"/>
        <v>0</v>
      </c>
      <c r="L8" s="189">
        <f t="shared" si="1"/>
        <v>0</v>
      </c>
      <c r="M8" s="189">
        <f t="shared" si="2"/>
        <v>0</v>
      </c>
      <c r="N8" s="189">
        <f t="shared" si="2"/>
        <v>0</v>
      </c>
      <c r="O8" s="189">
        <f t="shared" si="3"/>
        <v>2860</v>
      </c>
      <c r="P8" s="189">
        <f t="shared" si="4"/>
        <v>0</v>
      </c>
      <c r="Q8" s="189">
        <f t="shared" si="5"/>
        <v>0</v>
      </c>
      <c r="R8" s="189">
        <f t="shared" si="6"/>
        <v>2860</v>
      </c>
    </row>
    <row r="9" spans="1:18">
      <c r="A9" s="190">
        <v>5</v>
      </c>
      <c r="B9" s="198">
        <v>46208</v>
      </c>
      <c r="C9" s="199"/>
      <c r="D9" s="201"/>
      <c r="E9" s="191"/>
      <c r="F9" s="191"/>
      <c r="G9" s="191"/>
      <c r="H9" s="189">
        <f t="shared" si="7"/>
        <v>130</v>
      </c>
      <c r="I9" s="189"/>
      <c r="J9" s="192"/>
      <c r="K9" s="189">
        <f t="shared" si="0"/>
        <v>0</v>
      </c>
      <c r="L9" s="189">
        <f t="shared" si="1"/>
        <v>0</v>
      </c>
      <c r="M9" s="189">
        <f t="shared" si="2"/>
        <v>0</v>
      </c>
      <c r="N9" s="189">
        <f t="shared" si="2"/>
        <v>0</v>
      </c>
      <c r="O9" s="189">
        <f t="shared" si="3"/>
        <v>2860</v>
      </c>
      <c r="P9" s="189">
        <f t="shared" si="4"/>
        <v>0</v>
      </c>
      <c r="Q9" s="189">
        <f t="shared" si="5"/>
        <v>0</v>
      </c>
      <c r="R9" s="192">
        <f t="shared" si="6"/>
        <v>2860</v>
      </c>
    </row>
    <row r="10" spans="1:18">
      <c r="A10" s="190">
        <v>6</v>
      </c>
      <c r="B10" s="198">
        <v>46209</v>
      </c>
      <c r="C10" s="199"/>
      <c r="D10" s="201"/>
      <c r="E10" s="191"/>
      <c r="F10" s="191"/>
      <c r="G10" s="191"/>
      <c r="H10" s="189">
        <f t="shared" si="7"/>
        <v>130</v>
      </c>
      <c r="I10" s="189"/>
      <c r="J10" s="192"/>
      <c r="K10" s="189">
        <f t="shared" si="0"/>
        <v>0</v>
      </c>
      <c r="L10" s="189">
        <f t="shared" si="1"/>
        <v>0</v>
      </c>
      <c r="M10" s="189">
        <f t="shared" si="2"/>
        <v>0</v>
      </c>
      <c r="N10" s="189">
        <f t="shared" si="2"/>
        <v>0</v>
      </c>
      <c r="O10" s="189">
        <f t="shared" si="3"/>
        <v>2860</v>
      </c>
      <c r="P10" s="189">
        <f t="shared" si="4"/>
        <v>0</v>
      </c>
      <c r="Q10" s="189">
        <f t="shared" si="5"/>
        <v>0</v>
      </c>
      <c r="R10" s="192">
        <f t="shared" si="6"/>
        <v>2860</v>
      </c>
    </row>
    <row r="11" spans="1:18">
      <c r="A11" s="190">
        <v>7</v>
      </c>
      <c r="B11" s="198">
        <v>46210</v>
      </c>
      <c r="C11" s="199"/>
      <c r="D11" s="201"/>
      <c r="E11" s="191"/>
      <c r="F11" s="191"/>
      <c r="G11" s="191"/>
      <c r="H11" s="189">
        <f t="shared" si="7"/>
        <v>130</v>
      </c>
      <c r="I11" s="189"/>
      <c r="J11" s="192"/>
      <c r="K11" s="189">
        <f t="shared" si="0"/>
        <v>0</v>
      </c>
      <c r="L11" s="189">
        <f t="shared" si="1"/>
        <v>0</v>
      </c>
      <c r="M11" s="189">
        <f t="shared" si="2"/>
        <v>0</v>
      </c>
      <c r="N11" s="189">
        <f t="shared" si="2"/>
        <v>0</v>
      </c>
      <c r="O11" s="189">
        <f t="shared" si="3"/>
        <v>2860</v>
      </c>
      <c r="P11" s="189">
        <f t="shared" si="4"/>
        <v>0</v>
      </c>
      <c r="Q11" s="189">
        <f t="shared" si="5"/>
        <v>0</v>
      </c>
      <c r="R11" s="192">
        <f t="shared" si="6"/>
        <v>2860</v>
      </c>
    </row>
    <row r="12" spans="1:18">
      <c r="A12" s="190">
        <v>8</v>
      </c>
      <c r="B12" s="198">
        <v>46211</v>
      </c>
      <c r="C12" s="199"/>
      <c r="D12" s="201"/>
      <c r="E12" s="191"/>
      <c r="F12" s="191"/>
      <c r="G12" s="191"/>
      <c r="H12" s="189">
        <f t="shared" si="7"/>
        <v>130</v>
      </c>
      <c r="I12" s="189"/>
      <c r="J12" s="192"/>
      <c r="K12" s="189">
        <f t="shared" si="0"/>
        <v>0</v>
      </c>
      <c r="L12" s="189">
        <f t="shared" si="1"/>
        <v>0</v>
      </c>
      <c r="M12" s="189">
        <f t="shared" si="2"/>
        <v>0</v>
      </c>
      <c r="N12" s="189">
        <f t="shared" si="2"/>
        <v>0</v>
      </c>
      <c r="O12" s="189">
        <f t="shared" si="3"/>
        <v>2860</v>
      </c>
      <c r="P12" s="189">
        <f t="shared" si="4"/>
        <v>0</v>
      </c>
      <c r="Q12" s="189">
        <f t="shared" si="5"/>
        <v>0</v>
      </c>
      <c r="R12" s="192">
        <f t="shared" si="6"/>
        <v>2860</v>
      </c>
    </row>
    <row r="13" spans="1:18">
      <c r="A13" s="187">
        <v>9</v>
      </c>
      <c r="B13" s="198">
        <v>46212</v>
      </c>
      <c r="C13" s="199"/>
      <c r="D13" s="200"/>
      <c r="E13" s="188"/>
      <c r="F13" s="188"/>
      <c r="G13" s="188"/>
      <c r="H13" s="189">
        <f t="shared" si="7"/>
        <v>130</v>
      </c>
      <c r="I13" s="189"/>
      <c r="J13" s="189"/>
      <c r="K13" s="189">
        <f t="shared" si="0"/>
        <v>0</v>
      </c>
      <c r="L13" s="189">
        <f t="shared" si="1"/>
        <v>0</v>
      </c>
      <c r="M13" s="189">
        <f t="shared" si="2"/>
        <v>0</v>
      </c>
      <c r="N13" s="189">
        <f t="shared" si="2"/>
        <v>0</v>
      </c>
      <c r="O13" s="189">
        <f t="shared" si="3"/>
        <v>2860</v>
      </c>
      <c r="P13" s="189">
        <f t="shared" si="4"/>
        <v>0</v>
      </c>
      <c r="Q13" s="189">
        <f t="shared" si="5"/>
        <v>0</v>
      </c>
      <c r="R13" s="189">
        <f t="shared" si="6"/>
        <v>2860</v>
      </c>
    </row>
    <row r="14" spans="1:18">
      <c r="A14" s="187">
        <v>10</v>
      </c>
      <c r="B14" s="198">
        <v>46213</v>
      </c>
      <c r="C14" s="199"/>
      <c r="D14" s="200"/>
      <c r="E14" s="188"/>
      <c r="F14" s="188"/>
      <c r="G14" s="188"/>
      <c r="H14" s="189">
        <f t="shared" si="7"/>
        <v>130</v>
      </c>
      <c r="I14" s="189"/>
      <c r="J14" s="189"/>
      <c r="K14" s="189">
        <f t="shared" si="0"/>
        <v>0</v>
      </c>
      <c r="L14" s="189">
        <f t="shared" si="1"/>
        <v>0</v>
      </c>
      <c r="M14" s="189">
        <f t="shared" si="2"/>
        <v>0</v>
      </c>
      <c r="N14" s="189">
        <f t="shared" si="2"/>
        <v>0</v>
      </c>
      <c r="O14" s="189">
        <f t="shared" si="3"/>
        <v>2860</v>
      </c>
      <c r="P14" s="189">
        <f t="shared" si="4"/>
        <v>0</v>
      </c>
      <c r="Q14" s="189">
        <f t="shared" si="5"/>
        <v>0</v>
      </c>
      <c r="R14" s="189">
        <f t="shared" si="6"/>
        <v>2860</v>
      </c>
    </row>
    <row r="15" spans="1:18">
      <c r="A15" s="190">
        <v>11</v>
      </c>
      <c r="B15" s="198">
        <v>46214</v>
      </c>
      <c r="C15" s="199"/>
      <c r="D15" s="201"/>
      <c r="E15" s="191"/>
      <c r="F15" s="191"/>
      <c r="G15" s="188"/>
      <c r="H15" s="189">
        <f t="shared" si="7"/>
        <v>130</v>
      </c>
      <c r="I15" s="189"/>
      <c r="J15" s="192"/>
      <c r="K15" s="189">
        <f t="shared" si="0"/>
        <v>0</v>
      </c>
      <c r="L15" s="189">
        <f t="shared" si="1"/>
        <v>0</v>
      </c>
      <c r="M15" s="189">
        <f t="shared" si="2"/>
        <v>0</v>
      </c>
      <c r="N15" s="189">
        <f t="shared" si="2"/>
        <v>0</v>
      </c>
      <c r="O15" s="189">
        <f t="shared" si="3"/>
        <v>2860</v>
      </c>
      <c r="P15" s="189">
        <f t="shared" si="4"/>
        <v>0</v>
      </c>
      <c r="Q15" s="189">
        <f t="shared" si="5"/>
        <v>0</v>
      </c>
      <c r="R15" s="192">
        <f t="shared" si="6"/>
        <v>2860</v>
      </c>
    </row>
    <row r="16" spans="1:18">
      <c r="A16" s="190">
        <v>12</v>
      </c>
      <c r="B16" s="198">
        <v>46215</v>
      </c>
      <c r="C16" s="199"/>
      <c r="D16" s="201"/>
      <c r="E16" s="191"/>
      <c r="F16" s="191"/>
      <c r="G16" s="188"/>
      <c r="H16" s="189">
        <f t="shared" si="7"/>
        <v>130</v>
      </c>
      <c r="I16" s="189"/>
      <c r="J16" s="192"/>
      <c r="K16" s="189">
        <f t="shared" si="0"/>
        <v>0</v>
      </c>
      <c r="L16" s="189">
        <f t="shared" si="1"/>
        <v>0</v>
      </c>
      <c r="M16" s="189">
        <f t="shared" si="2"/>
        <v>0</v>
      </c>
      <c r="N16" s="189">
        <f t="shared" si="2"/>
        <v>0</v>
      </c>
      <c r="O16" s="189">
        <f t="shared" si="3"/>
        <v>2860</v>
      </c>
      <c r="P16" s="189">
        <f t="shared" si="4"/>
        <v>0</v>
      </c>
      <c r="Q16" s="189">
        <f t="shared" si="5"/>
        <v>0</v>
      </c>
      <c r="R16" s="192">
        <f t="shared" si="6"/>
        <v>2860</v>
      </c>
    </row>
    <row r="17" spans="1:18">
      <c r="A17" s="190">
        <v>13</v>
      </c>
      <c r="B17" s="198">
        <v>46216</v>
      </c>
      <c r="C17" s="199"/>
      <c r="D17" s="201"/>
      <c r="E17" s="191">
        <v>12</v>
      </c>
      <c r="F17" s="191"/>
      <c r="G17" s="188"/>
      <c r="H17" s="189">
        <f t="shared" si="7"/>
        <v>130</v>
      </c>
      <c r="I17" s="189"/>
      <c r="J17" s="192"/>
      <c r="K17" s="189">
        <f t="shared" si="0"/>
        <v>0</v>
      </c>
      <c r="L17" s="189">
        <f t="shared" si="1"/>
        <v>2052</v>
      </c>
      <c r="M17" s="189">
        <f t="shared" si="2"/>
        <v>0</v>
      </c>
      <c r="N17" s="189">
        <f t="shared" si="2"/>
        <v>0</v>
      </c>
      <c r="O17" s="189">
        <f t="shared" si="3"/>
        <v>2860</v>
      </c>
      <c r="P17" s="189">
        <f t="shared" si="4"/>
        <v>0</v>
      </c>
      <c r="Q17" s="189">
        <f t="shared" si="5"/>
        <v>0</v>
      </c>
      <c r="R17" s="192">
        <f t="shared" si="6"/>
        <v>4912</v>
      </c>
    </row>
    <row r="18" spans="1:18">
      <c r="A18" s="190">
        <v>14</v>
      </c>
      <c r="B18" s="198">
        <v>46217</v>
      </c>
      <c r="C18" s="199"/>
      <c r="D18" s="201"/>
      <c r="E18" s="191">
        <v>5</v>
      </c>
      <c r="F18" s="191"/>
      <c r="G18" s="188"/>
      <c r="H18" s="189">
        <f t="shared" si="7"/>
        <v>118</v>
      </c>
      <c r="I18" s="189"/>
      <c r="J18" s="192"/>
      <c r="K18" s="189">
        <f t="shared" si="0"/>
        <v>0</v>
      </c>
      <c r="L18" s="189">
        <f t="shared" si="1"/>
        <v>855</v>
      </c>
      <c r="M18" s="189">
        <f t="shared" si="2"/>
        <v>0</v>
      </c>
      <c r="N18" s="189">
        <f t="shared" si="2"/>
        <v>0</v>
      </c>
      <c r="O18" s="189">
        <f t="shared" si="3"/>
        <v>2596</v>
      </c>
      <c r="P18" s="189">
        <f t="shared" si="4"/>
        <v>0</v>
      </c>
      <c r="Q18" s="189">
        <f t="shared" si="5"/>
        <v>0</v>
      </c>
      <c r="R18" s="192">
        <f t="shared" si="6"/>
        <v>3451</v>
      </c>
    </row>
    <row r="19" spans="1:18">
      <c r="A19" s="190">
        <v>15</v>
      </c>
      <c r="B19" s="198">
        <v>46218</v>
      </c>
      <c r="C19" s="199"/>
      <c r="D19" s="201"/>
      <c r="E19" s="191"/>
      <c r="F19" s="191"/>
      <c r="G19" s="188"/>
      <c r="H19" s="189">
        <f t="shared" si="7"/>
        <v>113</v>
      </c>
      <c r="I19" s="189"/>
      <c r="J19" s="192"/>
      <c r="K19" s="189">
        <f t="shared" si="0"/>
        <v>0</v>
      </c>
      <c r="L19" s="189">
        <f t="shared" si="1"/>
        <v>0</v>
      </c>
      <c r="M19" s="189">
        <f t="shared" si="2"/>
        <v>0</v>
      </c>
      <c r="N19" s="189">
        <f t="shared" si="2"/>
        <v>0</v>
      </c>
      <c r="O19" s="189">
        <f t="shared" si="3"/>
        <v>2486</v>
      </c>
      <c r="P19" s="189">
        <f t="shared" si="4"/>
        <v>0</v>
      </c>
      <c r="Q19" s="189">
        <f t="shared" si="5"/>
        <v>0</v>
      </c>
      <c r="R19" s="192">
        <f t="shared" si="6"/>
        <v>2486</v>
      </c>
    </row>
    <row r="20" spans="1:18">
      <c r="A20" s="187">
        <v>16</v>
      </c>
      <c r="B20" s="198">
        <v>46219</v>
      </c>
      <c r="C20" s="199"/>
      <c r="D20" s="200"/>
      <c r="E20" s="188"/>
      <c r="F20" s="188"/>
      <c r="G20" s="191"/>
      <c r="H20" s="189">
        <f t="shared" si="7"/>
        <v>113</v>
      </c>
      <c r="I20" s="189"/>
      <c r="J20" s="189"/>
      <c r="K20" s="189">
        <f t="shared" si="0"/>
        <v>0</v>
      </c>
      <c r="L20" s="189">
        <f t="shared" si="1"/>
        <v>0</v>
      </c>
      <c r="M20" s="189">
        <f t="shared" si="2"/>
        <v>0</v>
      </c>
      <c r="N20" s="189">
        <f t="shared" si="2"/>
        <v>0</v>
      </c>
      <c r="O20" s="189">
        <f t="shared" si="3"/>
        <v>2486</v>
      </c>
      <c r="P20" s="189">
        <f t="shared" si="4"/>
        <v>0</v>
      </c>
      <c r="Q20" s="189">
        <f t="shared" si="5"/>
        <v>0</v>
      </c>
      <c r="R20" s="189">
        <f t="shared" si="6"/>
        <v>2486</v>
      </c>
    </row>
    <row r="21" spans="1:18">
      <c r="A21" s="187">
        <v>17</v>
      </c>
      <c r="B21" s="198">
        <v>46220</v>
      </c>
      <c r="C21" s="199"/>
      <c r="D21" s="200"/>
      <c r="E21" s="188"/>
      <c r="F21" s="188"/>
      <c r="G21" s="191"/>
      <c r="H21" s="189">
        <f t="shared" si="7"/>
        <v>113</v>
      </c>
      <c r="I21" s="189"/>
      <c r="J21" s="189"/>
      <c r="K21" s="189">
        <f t="shared" si="0"/>
        <v>0</v>
      </c>
      <c r="L21" s="189">
        <f t="shared" si="1"/>
        <v>0</v>
      </c>
      <c r="M21" s="189">
        <f t="shared" si="2"/>
        <v>0</v>
      </c>
      <c r="N21" s="189">
        <f t="shared" si="2"/>
        <v>0</v>
      </c>
      <c r="O21" s="189">
        <f t="shared" si="3"/>
        <v>2486</v>
      </c>
      <c r="P21" s="189">
        <f t="shared" si="4"/>
        <v>0</v>
      </c>
      <c r="Q21" s="189">
        <f t="shared" si="5"/>
        <v>0</v>
      </c>
      <c r="R21" s="189">
        <f t="shared" si="6"/>
        <v>2486</v>
      </c>
    </row>
    <row r="22" spans="1:18">
      <c r="A22" s="190">
        <v>18</v>
      </c>
      <c r="B22" s="198">
        <v>46221</v>
      </c>
      <c r="C22" s="199"/>
      <c r="D22" s="201"/>
      <c r="E22" s="191"/>
      <c r="F22" s="191"/>
      <c r="G22" s="191"/>
      <c r="H22" s="189">
        <f t="shared" si="7"/>
        <v>113</v>
      </c>
      <c r="I22" s="192"/>
      <c r="J22" s="192"/>
      <c r="K22" s="189">
        <f t="shared" si="0"/>
        <v>0</v>
      </c>
      <c r="L22" s="189">
        <f t="shared" si="1"/>
        <v>0</v>
      </c>
      <c r="M22" s="189">
        <f t="shared" si="2"/>
        <v>0</v>
      </c>
      <c r="N22" s="189">
        <f t="shared" si="2"/>
        <v>0</v>
      </c>
      <c r="O22" s="189">
        <f t="shared" si="3"/>
        <v>2486</v>
      </c>
      <c r="P22" s="189">
        <f t="shared" si="4"/>
        <v>0</v>
      </c>
      <c r="Q22" s="189">
        <f t="shared" si="5"/>
        <v>0</v>
      </c>
      <c r="R22" s="192">
        <f t="shared" si="6"/>
        <v>2486</v>
      </c>
    </row>
    <row r="23" spans="1:18">
      <c r="A23" s="190">
        <v>19</v>
      </c>
      <c r="B23" s="198">
        <v>46222</v>
      </c>
      <c r="C23" s="199"/>
      <c r="D23" s="201"/>
      <c r="E23" s="191"/>
      <c r="F23" s="191"/>
      <c r="G23" s="191"/>
      <c r="H23" s="189">
        <f t="shared" si="7"/>
        <v>113</v>
      </c>
      <c r="I23" s="192"/>
      <c r="J23" s="192"/>
      <c r="K23" s="189">
        <f t="shared" si="0"/>
        <v>0</v>
      </c>
      <c r="L23" s="189">
        <f t="shared" si="1"/>
        <v>0</v>
      </c>
      <c r="M23" s="189">
        <f t="shared" si="2"/>
        <v>0</v>
      </c>
      <c r="N23" s="189">
        <f t="shared" si="2"/>
        <v>0</v>
      </c>
      <c r="O23" s="189">
        <f t="shared" si="3"/>
        <v>2486</v>
      </c>
      <c r="P23" s="189">
        <f t="shared" si="4"/>
        <v>0</v>
      </c>
      <c r="Q23" s="189">
        <f t="shared" si="5"/>
        <v>0</v>
      </c>
      <c r="R23" s="192">
        <f t="shared" si="6"/>
        <v>2486</v>
      </c>
    </row>
    <row r="24" spans="1:18">
      <c r="A24" s="190">
        <v>20</v>
      </c>
      <c r="B24" s="198">
        <v>46223</v>
      </c>
      <c r="C24" s="199"/>
      <c r="D24" s="201">
        <v>41</v>
      </c>
      <c r="E24" s="191"/>
      <c r="F24" s="191"/>
      <c r="G24" s="191"/>
      <c r="H24" s="189">
        <f t="shared" si="7"/>
        <v>154</v>
      </c>
      <c r="I24" s="192"/>
      <c r="J24" s="192"/>
      <c r="K24" s="189">
        <f t="shared" si="0"/>
        <v>7011</v>
      </c>
      <c r="L24" s="189">
        <f t="shared" si="1"/>
        <v>0</v>
      </c>
      <c r="M24" s="189">
        <f t="shared" si="2"/>
        <v>0</v>
      </c>
      <c r="N24" s="189">
        <f t="shared" si="2"/>
        <v>0</v>
      </c>
      <c r="O24" s="189">
        <f t="shared" si="3"/>
        <v>3388</v>
      </c>
      <c r="P24" s="189">
        <f t="shared" si="4"/>
        <v>0</v>
      </c>
      <c r="Q24" s="189">
        <f t="shared" si="5"/>
        <v>0</v>
      </c>
      <c r="R24" s="192">
        <f t="shared" si="6"/>
        <v>10399</v>
      </c>
    </row>
    <row r="25" spans="1:18">
      <c r="A25" s="190">
        <v>21</v>
      </c>
      <c r="B25" s="198">
        <v>46224</v>
      </c>
      <c r="C25" s="199"/>
      <c r="D25" s="201"/>
      <c r="E25" s="191">
        <v>1</v>
      </c>
      <c r="F25" s="191"/>
      <c r="G25" s="191"/>
      <c r="H25" s="189">
        <f t="shared" si="7"/>
        <v>154</v>
      </c>
      <c r="I25" s="192"/>
      <c r="J25" s="192"/>
      <c r="K25" s="189">
        <f t="shared" si="0"/>
        <v>0</v>
      </c>
      <c r="L25" s="189">
        <f t="shared" si="1"/>
        <v>171</v>
      </c>
      <c r="M25" s="189">
        <f t="shared" si="2"/>
        <v>0</v>
      </c>
      <c r="N25" s="189">
        <f t="shared" si="2"/>
        <v>0</v>
      </c>
      <c r="O25" s="189">
        <f t="shared" si="3"/>
        <v>3388</v>
      </c>
      <c r="P25" s="189">
        <f t="shared" si="4"/>
        <v>0</v>
      </c>
      <c r="Q25" s="189">
        <f t="shared" si="5"/>
        <v>0</v>
      </c>
      <c r="R25" s="192">
        <f t="shared" si="6"/>
        <v>3559</v>
      </c>
    </row>
    <row r="26" spans="1:18">
      <c r="A26" s="190">
        <v>22</v>
      </c>
      <c r="B26" s="198">
        <v>46225</v>
      </c>
      <c r="C26" s="199"/>
      <c r="D26" s="201"/>
      <c r="E26" s="191">
        <v>21</v>
      </c>
      <c r="F26" s="191"/>
      <c r="G26" s="191"/>
      <c r="H26" s="189">
        <f t="shared" si="7"/>
        <v>153</v>
      </c>
      <c r="I26" s="189"/>
      <c r="J26" s="192"/>
      <c r="K26" s="189">
        <f t="shared" si="0"/>
        <v>0</v>
      </c>
      <c r="L26" s="189">
        <f t="shared" si="1"/>
        <v>3591</v>
      </c>
      <c r="M26" s="189">
        <f t="shared" si="2"/>
        <v>0</v>
      </c>
      <c r="N26" s="189">
        <f t="shared" si="2"/>
        <v>0</v>
      </c>
      <c r="O26" s="189">
        <f t="shared" si="3"/>
        <v>3366</v>
      </c>
      <c r="P26" s="189">
        <f t="shared" si="4"/>
        <v>0</v>
      </c>
      <c r="Q26" s="189">
        <f t="shared" si="5"/>
        <v>0</v>
      </c>
      <c r="R26" s="192">
        <f t="shared" si="6"/>
        <v>6957</v>
      </c>
    </row>
    <row r="27" spans="1:18">
      <c r="A27" s="187">
        <v>23</v>
      </c>
      <c r="B27" s="198">
        <v>46226</v>
      </c>
      <c r="C27" s="199"/>
      <c r="D27" s="200"/>
      <c r="E27" s="188"/>
      <c r="F27" s="188"/>
      <c r="G27" s="188"/>
      <c r="H27" s="189">
        <f t="shared" si="7"/>
        <v>132</v>
      </c>
      <c r="I27" s="189"/>
      <c r="J27" s="189"/>
      <c r="K27" s="189">
        <f t="shared" si="0"/>
        <v>0</v>
      </c>
      <c r="L27" s="189">
        <f t="shared" si="1"/>
        <v>0</v>
      </c>
      <c r="M27" s="189">
        <f t="shared" si="2"/>
        <v>0</v>
      </c>
      <c r="N27" s="189">
        <f t="shared" si="2"/>
        <v>0</v>
      </c>
      <c r="O27" s="189">
        <f t="shared" si="3"/>
        <v>2904</v>
      </c>
      <c r="P27" s="189">
        <f t="shared" si="4"/>
        <v>0</v>
      </c>
      <c r="Q27" s="189">
        <f t="shared" si="5"/>
        <v>0</v>
      </c>
      <c r="R27" s="189">
        <f t="shared" si="6"/>
        <v>2904</v>
      </c>
    </row>
    <row r="28" spans="1:18">
      <c r="A28" s="187">
        <v>24</v>
      </c>
      <c r="B28" s="198">
        <v>46227</v>
      </c>
      <c r="C28" s="199"/>
      <c r="D28" s="200"/>
      <c r="E28" s="188"/>
      <c r="F28" s="188"/>
      <c r="G28" s="188"/>
      <c r="H28" s="189">
        <f t="shared" si="7"/>
        <v>132</v>
      </c>
      <c r="I28" s="189"/>
      <c r="J28" s="189"/>
      <c r="K28" s="189">
        <f t="shared" si="0"/>
        <v>0</v>
      </c>
      <c r="L28" s="189">
        <f t="shared" si="1"/>
        <v>0</v>
      </c>
      <c r="M28" s="189">
        <f t="shared" si="2"/>
        <v>0</v>
      </c>
      <c r="N28" s="189">
        <f t="shared" si="2"/>
        <v>0</v>
      </c>
      <c r="O28" s="189">
        <f t="shared" si="3"/>
        <v>2904</v>
      </c>
      <c r="P28" s="189">
        <f t="shared" si="4"/>
        <v>0</v>
      </c>
      <c r="Q28" s="189">
        <f t="shared" si="5"/>
        <v>0</v>
      </c>
      <c r="R28" s="189">
        <f t="shared" si="6"/>
        <v>2904</v>
      </c>
    </row>
    <row r="29" spans="1:18">
      <c r="A29" s="190">
        <v>25</v>
      </c>
      <c r="B29" s="198">
        <v>46228</v>
      </c>
      <c r="C29" s="199"/>
      <c r="D29" s="201"/>
      <c r="E29" s="191"/>
      <c r="F29" s="191"/>
      <c r="G29" s="191"/>
      <c r="H29" s="189">
        <f t="shared" si="7"/>
        <v>132</v>
      </c>
      <c r="I29" s="189"/>
      <c r="J29" s="192"/>
      <c r="K29" s="189">
        <f t="shared" si="0"/>
        <v>0</v>
      </c>
      <c r="L29" s="189">
        <f t="shared" si="1"/>
        <v>0</v>
      </c>
      <c r="M29" s="189">
        <f t="shared" si="2"/>
        <v>0</v>
      </c>
      <c r="N29" s="189">
        <f t="shared" si="2"/>
        <v>0</v>
      </c>
      <c r="O29" s="189">
        <f t="shared" si="3"/>
        <v>2904</v>
      </c>
      <c r="P29" s="189">
        <f t="shared" si="4"/>
        <v>0</v>
      </c>
      <c r="Q29" s="189">
        <f t="shared" si="5"/>
        <v>0</v>
      </c>
      <c r="R29" s="192">
        <f t="shared" si="6"/>
        <v>2904</v>
      </c>
    </row>
    <row r="30" spans="1:18">
      <c r="A30" s="190">
        <v>26</v>
      </c>
      <c r="B30" s="198">
        <v>46229</v>
      </c>
      <c r="C30" s="199"/>
      <c r="D30" s="201"/>
      <c r="E30" s="191"/>
      <c r="F30" s="191"/>
      <c r="G30" s="191"/>
      <c r="H30" s="189">
        <f t="shared" si="7"/>
        <v>132</v>
      </c>
      <c r="I30" s="189"/>
      <c r="J30" s="192"/>
      <c r="K30" s="189">
        <f t="shared" si="0"/>
        <v>0</v>
      </c>
      <c r="L30" s="189">
        <f t="shared" si="1"/>
        <v>0</v>
      </c>
      <c r="M30" s="189">
        <f t="shared" si="2"/>
        <v>0</v>
      </c>
      <c r="N30" s="189">
        <f t="shared" si="2"/>
        <v>0</v>
      </c>
      <c r="O30" s="189">
        <f t="shared" si="3"/>
        <v>2904</v>
      </c>
      <c r="P30" s="189">
        <f t="shared" si="4"/>
        <v>0</v>
      </c>
      <c r="Q30" s="189">
        <f t="shared" si="5"/>
        <v>0</v>
      </c>
      <c r="R30" s="192">
        <f t="shared" si="6"/>
        <v>2904</v>
      </c>
    </row>
    <row r="31" spans="1:18">
      <c r="A31" s="190">
        <v>27</v>
      </c>
      <c r="B31" s="198">
        <v>46230</v>
      </c>
      <c r="C31" s="199"/>
      <c r="D31" s="201"/>
      <c r="E31" s="191"/>
      <c r="F31" s="191"/>
      <c r="G31" s="191"/>
      <c r="H31" s="189">
        <f t="shared" si="7"/>
        <v>132</v>
      </c>
      <c r="I31" s="189"/>
      <c r="J31" s="192"/>
      <c r="K31" s="189">
        <f t="shared" si="0"/>
        <v>0</v>
      </c>
      <c r="L31" s="189">
        <f t="shared" si="1"/>
        <v>0</v>
      </c>
      <c r="M31" s="189">
        <f t="shared" si="2"/>
        <v>0</v>
      </c>
      <c r="N31" s="189">
        <f t="shared" si="2"/>
        <v>0</v>
      </c>
      <c r="O31" s="189">
        <f t="shared" si="3"/>
        <v>2904</v>
      </c>
      <c r="P31" s="189">
        <f t="shared" si="4"/>
        <v>0</v>
      </c>
      <c r="Q31" s="189">
        <f t="shared" si="5"/>
        <v>0</v>
      </c>
      <c r="R31" s="192">
        <f t="shared" si="6"/>
        <v>2904</v>
      </c>
    </row>
    <row r="32" spans="1:18">
      <c r="A32" s="190">
        <v>28</v>
      </c>
      <c r="B32" s="198">
        <v>46231</v>
      </c>
      <c r="C32" s="199"/>
      <c r="D32" s="201"/>
      <c r="E32" s="191"/>
      <c r="F32" s="191"/>
      <c r="G32" s="191"/>
      <c r="H32" s="189">
        <f t="shared" si="7"/>
        <v>132</v>
      </c>
      <c r="I32" s="189"/>
      <c r="J32" s="192"/>
      <c r="K32" s="189">
        <f t="shared" si="0"/>
        <v>0</v>
      </c>
      <c r="L32" s="189">
        <f t="shared" si="1"/>
        <v>0</v>
      </c>
      <c r="M32" s="189">
        <f t="shared" si="2"/>
        <v>0</v>
      </c>
      <c r="N32" s="189">
        <f t="shared" si="2"/>
        <v>0</v>
      </c>
      <c r="O32" s="189">
        <f t="shared" si="3"/>
        <v>2904</v>
      </c>
      <c r="P32" s="189">
        <f t="shared" si="4"/>
        <v>0</v>
      </c>
      <c r="Q32" s="189">
        <f t="shared" si="5"/>
        <v>0</v>
      </c>
      <c r="R32" s="192">
        <f t="shared" si="6"/>
        <v>2904</v>
      </c>
    </row>
    <row r="33" spans="1:18">
      <c r="A33" s="190">
        <v>29</v>
      </c>
      <c r="B33" s="198">
        <v>46232</v>
      </c>
      <c r="C33" s="199"/>
      <c r="D33" s="201"/>
      <c r="E33" s="191"/>
      <c r="F33" s="191"/>
      <c r="G33" s="191"/>
      <c r="H33" s="189">
        <f t="shared" si="7"/>
        <v>132</v>
      </c>
      <c r="I33" s="189"/>
      <c r="J33" s="192"/>
      <c r="K33" s="189">
        <f t="shared" si="0"/>
        <v>0</v>
      </c>
      <c r="L33" s="189">
        <f t="shared" si="1"/>
        <v>0</v>
      </c>
      <c r="M33" s="189">
        <f t="shared" si="2"/>
        <v>0</v>
      </c>
      <c r="N33" s="189">
        <f t="shared" si="2"/>
        <v>0</v>
      </c>
      <c r="O33" s="189">
        <f t="shared" si="3"/>
        <v>2904</v>
      </c>
      <c r="P33" s="189">
        <f t="shared" si="4"/>
        <v>0</v>
      </c>
      <c r="Q33" s="189">
        <f t="shared" si="5"/>
        <v>0</v>
      </c>
      <c r="R33" s="192">
        <f t="shared" si="6"/>
        <v>2904</v>
      </c>
    </row>
    <row r="34" spans="1:18">
      <c r="A34" s="190">
        <v>30</v>
      </c>
      <c r="B34" s="198">
        <v>46233</v>
      </c>
      <c r="C34" s="199"/>
      <c r="D34" s="201"/>
      <c r="E34" s="191"/>
      <c r="F34" s="191"/>
      <c r="G34" s="191"/>
      <c r="H34" s="189">
        <f t="shared" si="7"/>
        <v>132</v>
      </c>
      <c r="I34" s="189"/>
      <c r="J34" s="192"/>
      <c r="K34" s="189">
        <f t="shared" si="0"/>
        <v>0</v>
      </c>
      <c r="L34" s="189">
        <f t="shared" si="1"/>
        <v>0</v>
      </c>
      <c r="M34" s="189">
        <f t="shared" si="2"/>
        <v>0</v>
      </c>
      <c r="N34" s="189">
        <f t="shared" si="2"/>
        <v>0</v>
      </c>
      <c r="O34" s="189">
        <f t="shared" si="3"/>
        <v>2904</v>
      </c>
      <c r="P34" s="189">
        <f t="shared" si="4"/>
        <v>0</v>
      </c>
      <c r="Q34" s="189">
        <f t="shared" si="5"/>
        <v>0</v>
      </c>
      <c r="R34" s="192">
        <f t="shared" si="6"/>
        <v>2904</v>
      </c>
    </row>
    <row r="35" spans="1:18" ht="15.75" thickBot="1">
      <c r="A35" s="190">
        <v>31</v>
      </c>
      <c r="B35" s="198">
        <v>46234</v>
      </c>
      <c r="C35" s="199"/>
      <c r="D35" s="201"/>
      <c r="E35" s="191"/>
      <c r="F35" s="191"/>
      <c r="G35" s="191"/>
      <c r="H35" s="189">
        <f t="shared" si="7"/>
        <v>132</v>
      </c>
      <c r="I35" s="189"/>
      <c r="J35" s="192"/>
      <c r="K35" s="189">
        <f t="shared" si="0"/>
        <v>0</v>
      </c>
      <c r="L35" s="189">
        <f t="shared" si="1"/>
        <v>0</v>
      </c>
      <c r="M35" s="189">
        <f t="shared" si="2"/>
        <v>0</v>
      </c>
      <c r="N35" s="189">
        <f t="shared" si="2"/>
        <v>0</v>
      </c>
      <c r="O35" s="189">
        <f t="shared" si="3"/>
        <v>2904</v>
      </c>
      <c r="P35" s="189">
        <f t="shared" si="4"/>
        <v>0</v>
      </c>
      <c r="Q35" s="189">
        <f t="shared" si="5"/>
        <v>0</v>
      </c>
      <c r="R35" s="192">
        <f t="shared" ref="R35" si="8">SUM(K35:Q35)</f>
        <v>2904</v>
      </c>
    </row>
    <row r="36" spans="1:18" ht="15.75" thickBot="1">
      <c r="D36" s="193">
        <f>SUM(D5:D35)</f>
        <v>41</v>
      </c>
      <c r="E36" s="194">
        <f>SUM(E5:E35)</f>
        <v>39</v>
      </c>
      <c r="F36" s="194">
        <f>SUM(F5:F35)</f>
        <v>0</v>
      </c>
      <c r="G36" s="194"/>
      <c r="H36" s="195">
        <f>SUM(H5:H35)</f>
        <v>4022</v>
      </c>
      <c r="I36" s="196"/>
      <c r="J36" s="194"/>
      <c r="K36" s="194">
        <f>SUM(K5:K35)</f>
        <v>7011</v>
      </c>
      <c r="L36" s="194">
        <f t="shared" ref="L36:Q36" si="9">SUM(L5:L35)</f>
        <v>6669</v>
      </c>
      <c r="M36" s="194">
        <f t="shared" si="9"/>
        <v>0</v>
      </c>
      <c r="N36" s="194">
        <f t="shared" si="9"/>
        <v>0</v>
      </c>
      <c r="O36" s="194">
        <f t="shared" si="9"/>
        <v>88484</v>
      </c>
      <c r="P36" s="194">
        <f t="shared" si="9"/>
        <v>0</v>
      </c>
      <c r="Q36" s="194">
        <f t="shared" si="9"/>
        <v>0</v>
      </c>
      <c r="R36" s="197">
        <f>SUM(R5:R35)</f>
        <v>102164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5E9A-E257-4441-B989-274758467914}">
  <dimension ref="A1:R36"/>
  <sheetViews>
    <sheetView topLeftCell="A10" workbookViewId="0">
      <selection activeCell="H6" sqref="H6:H34"/>
    </sheetView>
  </sheetViews>
  <sheetFormatPr defaultRowHeight="15"/>
  <cols>
    <col min="1" max="1" width="9.85546875" style="51" customWidth="1"/>
    <col min="2" max="17" width="9.140625" style="51"/>
    <col min="18" max="18" width="10.42578125" style="51" customWidth="1"/>
    <col min="19" max="16384" width="9.140625" style="51"/>
  </cols>
  <sheetData>
    <row r="1" spans="1:18">
      <c r="A1" s="182">
        <f>R36</f>
        <v>1605.5999999999979</v>
      </c>
    </row>
    <row r="2" spans="1:18">
      <c r="B2" s="79" t="s">
        <v>116</v>
      </c>
    </row>
    <row r="3" spans="1:18" ht="28.9" customHeight="1">
      <c r="A3" s="183" t="s">
        <v>0</v>
      </c>
      <c r="B3" s="184" t="s">
        <v>1</v>
      </c>
      <c r="C3" s="185"/>
      <c r="D3" s="183" t="s">
        <v>117</v>
      </c>
      <c r="E3" s="183" t="s">
        <v>118</v>
      </c>
      <c r="F3" s="183" t="s">
        <v>119</v>
      </c>
      <c r="G3" s="183" t="s">
        <v>120</v>
      </c>
      <c r="H3" s="186" t="s">
        <v>4</v>
      </c>
      <c r="I3" s="183" t="s">
        <v>121</v>
      </c>
      <c r="J3" s="183" t="s">
        <v>122</v>
      </c>
      <c r="K3" s="183" t="s">
        <v>11</v>
      </c>
      <c r="L3" s="183" t="s">
        <v>12</v>
      </c>
      <c r="M3" s="183" t="s">
        <v>123</v>
      </c>
      <c r="N3" s="183" t="s">
        <v>124</v>
      </c>
      <c r="O3" s="183" t="s">
        <v>13</v>
      </c>
      <c r="P3" s="183" t="s">
        <v>125</v>
      </c>
      <c r="Q3" s="183" t="s">
        <v>126</v>
      </c>
      <c r="R3" s="183" t="s">
        <v>18</v>
      </c>
    </row>
    <row r="4" spans="1:18" ht="30">
      <c r="A4" s="57"/>
      <c r="B4" s="58"/>
      <c r="C4" s="59"/>
      <c r="D4" s="57"/>
      <c r="E4" s="57"/>
      <c r="F4" s="57"/>
      <c r="G4" s="57"/>
      <c r="H4" s="60" t="s">
        <v>127</v>
      </c>
      <c r="I4" s="57"/>
      <c r="J4" s="57"/>
      <c r="K4" s="57"/>
      <c r="L4" s="57"/>
      <c r="M4" s="57"/>
      <c r="N4" s="57"/>
      <c r="O4" s="57"/>
      <c r="P4" s="57"/>
      <c r="Q4" s="57"/>
      <c r="R4" s="57"/>
    </row>
    <row r="5" spans="1:18">
      <c r="A5" s="187">
        <v>1</v>
      </c>
      <c r="B5" s="198">
        <v>46204</v>
      </c>
      <c r="C5" s="199"/>
      <c r="D5" s="200"/>
      <c r="E5" s="188"/>
      <c r="F5" s="188"/>
      <c r="G5" s="188"/>
      <c r="H5" s="189">
        <v>4</v>
      </c>
      <c r="I5" s="189"/>
      <c r="J5" s="189"/>
      <c r="K5" s="189">
        <f t="shared" ref="K5:K29" si="0">SUM(D5*168)</f>
        <v>0</v>
      </c>
      <c r="L5" s="189">
        <f>SUM(E5*168)</f>
        <v>0</v>
      </c>
      <c r="M5" s="189">
        <f>F5*1000</f>
        <v>0</v>
      </c>
      <c r="N5" s="189">
        <f>G5*1000</f>
        <v>0</v>
      </c>
      <c r="O5" s="189">
        <f>SUM(H5*21.6)</f>
        <v>86.4</v>
      </c>
      <c r="P5" s="189">
        <f>I5*500</f>
        <v>0</v>
      </c>
      <c r="Q5" s="189">
        <f>SUM(J5)*600</f>
        <v>0</v>
      </c>
      <c r="R5" s="189">
        <f>SUM(K5:Q5)</f>
        <v>86.4</v>
      </c>
    </row>
    <row r="6" spans="1:18">
      <c r="A6" s="187">
        <v>2</v>
      </c>
      <c r="B6" s="198">
        <v>46205</v>
      </c>
      <c r="C6" s="199"/>
      <c r="D6" s="200"/>
      <c r="E6" s="188"/>
      <c r="F6" s="188"/>
      <c r="G6" s="188"/>
      <c r="H6" s="189">
        <f>H5+D6-E5</f>
        <v>4</v>
      </c>
      <c r="I6" s="189"/>
      <c r="J6" s="189"/>
      <c r="K6" s="189">
        <f t="shared" si="0"/>
        <v>0</v>
      </c>
      <c r="L6" s="189">
        <f t="shared" ref="L6:L34" si="1">SUM(E6*168)</f>
        <v>0</v>
      </c>
      <c r="M6" s="189">
        <f t="shared" ref="M6:N34" si="2">F6*1000</f>
        <v>0</v>
      </c>
      <c r="N6" s="189">
        <f t="shared" si="2"/>
        <v>0</v>
      </c>
      <c r="O6" s="189">
        <f t="shared" ref="O6:O34" si="3">SUM(H6*21.6)</f>
        <v>86.4</v>
      </c>
      <c r="P6" s="189">
        <f t="shared" ref="P6:P35" si="4">I6*500</f>
        <v>0</v>
      </c>
      <c r="Q6" s="189">
        <f t="shared" ref="Q6:Q35" si="5">SUM(J6)*600</f>
        <v>0</v>
      </c>
      <c r="R6" s="189">
        <f t="shared" ref="R6:R35" si="6">SUM(K6:Q6)</f>
        <v>86.4</v>
      </c>
    </row>
    <row r="7" spans="1:18">
      <c r="A7" s="187">
        <v>3</v>
      </c>
      <c r="B7" s="198">
        <v>46206</v>
      </c>
      <c r="C7" s="199"/>
      <c r="D7" s="200"/>
      <c r="E7" s="188"/>
      <c r="F7" s="188"/>
      <c r="G7" s="188"/>
      <c r="H7" s="189">
        <f t="shared" ref="H7:H34" si="7">H6+D7-E6</f>
        <v>4</v>
      </c>
      <c r="I7" s="189"/>
      <c r="J7" s="189"/>
      <c r="K7" s="189">
        <f t="shared" si="0"/>
        <v>0</v>
      </c>
      <c r="L7" s="189">
        <f t="shared" si="1"/>
        <v>0</v>
      </c>
      <c r="M7" s="189">
        <f t="shared" si="2"/>
        <v>0</v>
      </c>
      <c r="N7" s="189">
        <f t="shared" si="2"/>
        <v>0</v>
      </c>
      <c r="O7" s="189">
        <f t="shared" si="3"/>
        <v>86.4</v>
      </c>
      <c r="P7" s="189">
        <f t="shared" si="4"/>
        <v>0</v>
      </c>
      <c r="Q7" s="189">
        <f t="shared" si="5"/>
        <v>0</v>
      </c>
      <c r="R7" s="189">
        <f t="shared" si="6"/>
        <v>86.4</v>
      </c>
    </row>
    <row r="8" spans="1:18">
      <c r="A8" s="187">
        <v>4</v>
      </c>
      <c r="B8" s="198">
        <v>46207</v>
      </c>
      <c r="C8" s="199"/>
      <c r="D8" s="200"/>
      <c r="E8" s="188"/>
      <c r="F8" s="188"/>
      <c r="G8" s="188"/>
      <c r="H8" s="189">
        <f t="shared" si="7"/>
        <v>4</v>
      </c>
      <c r="I8" s="189"/>
      <c r="J8" s="189"/>
      <c r="K8" s="189">
        <f t="shared" si="0"/>
        <v>0</v>
      </c>
      <c r="L8" s="189">
        <f t="shared" si="1"/>
        <v>0</v>
      </c>
      <c r="M8" s="189">
        <f t="shared" si="2"/>
        <v>0</v>
      </c>
      <c r="N8" s="189">
        <f t="shared" si="2"/>
        <v>0</v>
      </c>
      <c r="O8" s="189">
        <f t="shared" si="3"/>
        <v>86.4</v>
      </c>
      <c r="P8" s="189">
        <f t="shared" si="4"/>
        <v>0</v>
      </c>
      <c r="Q8" s="189">
        <f t="shared" si="5"/>
        <v>0</v>
      </c>
      <c r="R8" s="189">
        <f t="shared" si="6"/>
        <v>86.4</v>
      </c>
    </row>
    <row r="9" spans="1:18">
      <c r="A9" s="190">
        <v>5</v>
      </c>
      <c r="B9" s="198">
        <v>46208</v>
      </c>
      <c r="C9" s="199"/>
      <c r="D9" s="201"/>
      <c r="E9" s="191"/>
      <c r="F9" s="191"/>
      <c r="G9" s="191"/>
      <c r="H9" s="189">
        <f t="shared" si="7"/>
        <v>4</v>
      </c>
      <c r="I9" s="189"/>
      <c r="J9" s="192"/>
      <c r="K9" s="189">
        <f t="shared" si="0"/>
        <v>0</v>
      </c>
      <c r="L9" s="189">
        <f t="shared" si="1"/>
        <v>0</v>
      </c>
      <c r="M9" s="189">
        <f t="shared" si="2"/>
        <v>0</v>
      </c>
      <c r="N9" s="189">
        <f t="shared" si="2"/>
        <v>0</v>
      </c>
      <c r="O9" s="189">
        <f t="shared" si="3"/>
        <v>86.4</v>
      </c>
      <c r="P9" s="189">
        <f t="shared" si="4"/>
        <v>0</v>
      </c>
      <c r="Q9" s="189">
        <f t="shared" si="5"/>
        <v>0</v>
      </c>
      <c r="R9" s="192">
        <f t="shared" si="6"/>
        <v>86.4</v>
      </c>
    </row>
    <row r="10" spans="1:18">
      <c r="A10" s="190">
        <v>6</v>
      </c>
      <c r="B10" s="198">
        <v>46209</v>
      </c>
      <c r="C10" s="199"/>
      <c r="D10" s="201"/>
      <c r="E10" s="191"/>
      <c r="F10" s="191"/>
      <c r="G10" s="191"/>
      <c r="H10" s="189">
        <f t="shared" si="7"/>
        <v>4</v>
      </c>
      <c r="I10" s="189"/>
      <c r="J10" s="192"/>
      <c r="K10" s="189">
        <f t="shared" si="0"/>
        <v>0</v>
      </c>
      <c r="L10" s="189">
        <f t="shared" si="1"/>
        <v>0</v>
      </c>
      <c r="M10" s="189">
        <f t="shared" si="2"/>
        <v>0</v>
      </c>
      <c r="N10" s="189">
        <f t="shared" si="2"/>
        <v>0</v>
      </c>
      <c r="O10" s="189">
        <f t="shared" si="3"/>
        <v>86.4</v>
      </c>
      <c r="P10" s="189">
        <f t="shared" si="4"/>
        <v>0</v>
      </c>
      <c r="Q10" s="189">
        <f t="shared" si="5"/>
        <v>0</v>
      </c>
      <c r="R10" s="192">
        <f t="shared" si="6"/>
        <v>86.4</v>
      </c>
    </row>
    <row r="11" spans="1:18">
      <c r="A11" s="190">
        <v>7</v>
      </c>
      <c r="B11" s="198">
        <v>46210</v>
      </c>
      <c r="C11" s="199"/>
      <c r="D11" s="201"/>
      <c r="E11" s="191">
        <v>3</v>
      </c>
      <c r="F11" s="191"/>
      <c r="G11" s="191"/>
      <c r="H11" s="189">
        <f t="shared" si="7"/>
        <v>4</v>
      </c>
      <c r="I11" s="189"/>
      <c r="J11" s="192"/>
      <c r="K11" s="189">
        <f t="shared" si="0"/>
        <v>0</v>
      </c>
      <c r="L11" s="189">
        <f t="shared" si="1"/>
        <v>504</v>
      </c>
      <c r="M11" s="189">
        <f t="shared" si="2"/>
        <v>0</v>
      </c>
      <c r="N11" s="189">
        <f t="shared" si="2"/>
        <v>0</v>
      </c>
      <c r="O11" s="189">
        <f t="shared" si="3"/>
        <v>86.4</v>
      </c>
      <c r="P11" s="189">
        <f t="shared" si="4"/>
        <v>0</v>
      </c>
      <c r="Q11" s="189">
        <f t="shared" si="5"/>
        <v>0</v>
      </c>
      <c r="R11" s="192">
        <f t="shared" si="6"/>
        <v>590.4</v>
      </c>
    </row>
    <row r="12" spans="1:18">
      <c r="A12" s="190">
        <v>8</v>
      </c>
      <c r="B12" s="198">
        <v>46211</v>
      </c>
      <c r="C12" s="199"/>
      <c r="D12" s="201"/>
      <c r="E12" s="191"/>
      <c r="F12" s="191"/>
      <c r="G12" s="191"/>
      <c r="H12" s="189">
        <f t="shared" si="7"/>
        <v>1</v>
      </c>
      <c r="I12" s="189"/>
      <c r="J12" s="192"/>
      <c r="K12" s="189">
        <f t="shared" si="0"/>
        <v>0</v>
      </c>
      <c r="L12" s="189">
        <f t="shared" si="1"/>
        <v>0</v>
      </c>
      <c r="M12" s="189">
        <f t="shared" si="2"/>
        <v>0</v>
      </c>
      <c r="N12" s="189">
        <f t="shared" si="2"/>
        <v>0</v>
      </c>
      <c r="O12" s="189">
        <f t="shared" si="3"/>
        <v>21.6</v>
      </c>
      <c r="P12" s="189">
        <f t="shared" si="4"/>
        <v>0</v>
      </c>
      <c r="Q12" s="189">
        <f t="shared" si="5"/>
        <v>0</v>
      </c>
      <c r="R12" s="192">
        <f t="shared" si="6"/>
        <v>21.6</v>
      </c>
    </row>
    <row r="13" spans="1:18">
      <c r="A13" s="187">
        <v>9</v>
      </c>
      <c r="B13" s="198">
        <v>46212</v>
      </c>
      <c r="C13" s="199"/>
      <c r="D13" s="200"/>
      <c r="E13" s="188"/>
      <c r="F13" s="188"/>
      <c r="G13" s="188"/>
      <c r="H13" s="189">
        <f t="shared" si="7"/>
        <v>1</v>
      </c>
      <c r="I13" s="189"/>
      <c r="J13" s="189"/>
      <c r="K13" s="189">
        <f t="shared" si="0"/>
        <v>0</v>
      </c>
      <c r="L13" s="189">
        <f t="shared" si="1"/>
        <v>0</v>
      </c>
      <c r="M13" s="189">
        <f t="shared" si="2"/>
        <v>0</v>
      </c>
      <c r="N13" s="189">
        <f t="shared" si="2"/>
        <v>0</v>
      </c>
      <c r="O13" s="189">
        <f t="shared" si="3"/>
        <v>21.6</v>
      </c>
      <c r="P13" s="189">
        <f t="shared" si="4"/>
        <v>0</v>
      </c>
      <c r="Q13" s="189">
        <f t="shared" si="5"/>
        <v>0</v>
      </c>
      <c r="R13" s="189">
        <f t="shared" si="6"/>
        <v>21.6</v>
      </c>
    </row>
    <row r="14" spans="1:18">
      <c r="A14" s="187">
        <v>10</v>
      </c>
      <c r="B14" s="198">
        <v>46213</v>
      </c>
      <c r="C14" s="199"/>
      <c r="D14" s="200"/>
      <c r="E14" s="188"/>
      <c r="F14" s="188"/>
      <c r="G14" s="188"/>
      <c r="H14" s="189">
        <f t="shared" si="7"/>
        <v>1</v>
      </c>
      <c r="I14" s="189"/>
      <c r="J14" s="189"/>
      <c r="K14" s="189">
        <f t="shared" si="0"/>
        <v>0</v>
      </c>
      <c r="L14" s="189">
        <f t="shared" si="1"/>
        <v>0</v>
      </c>
      <c r="M14" s="189">
        <f t="shared" si="2"/>
        <v>0</v>
      </c>
      <c r="N14" s="189">
        <f t="shared" si="2"/>
        <v>0</v>
      </c>
      <c r="O14" s="189">
        <f t="shared" si="3"/>
        <v>21.6</v>
      </c>
      <c r="P14" s="189">
        <f t="shared" si="4"/>
        <v>0</v>
      </c>
      <c r="Q14" s="189">
        <f t="shared" si="5"/>
        <v>0</v>
      </c>
      <c r="R14" s="189">
        <f t="shared" si="6"/>
        <v>21.6</v>
      </c>
    </row>
    <row r="15" spans="1:18">
      <c r="A15" s="190">
        <v>11</v>
      </c>
      <c r="B15" s="198">
        <v>46214</v>
      </c>
      <c r="C15" s="199"/>
      <c r="D15" s="201"/>
      <c r="E15" s="191"/>
      <c r="F15" s="191"/>
      <c r="G15" s="188"/>
      <c r="H15" s="189">
        <f t="shared" si="7"/>
        <v>1</v>
      </c>
      <c r="I15" s="189"/>
      <c r="J15" s="192"/>
      <c r="K15" s="189">
        <f t="shared" si="0"/>
        <v>0</v>
      </c>
      <c r="L15" s="189">
        <f t="shared" si="1"/>
        <v>0</v>
      </c>
      <c r="M15" s="189">
        <f t="shared" si="2"/>
        <v>0</v>
      </c>
      <c r="N15" s="189">
        <f t="shared" si="2"/>
        <v>0</v>
      </c>
      <c r="O15" s="189">
        <f t="shared" si="3"/>
        <v>21.6</v>
      </c>
      <c r="P15" s="189">
        <f t="shared" si="4"/>
        <v>0</v>
      </c>
      <c r="Q15" s="189">
        <f t="shared" si="5"/>
        <v>0</v>
      </c>
      <c r="R15" s="192">
        <f t="shared" si="6"/>
        <v>21.6</v>
      </c>
    </row>
    <row r="16" spans="1:18">
      <c r="A16" s="190">
        <v>12</v>
      </c>
      <c r="B16" s="198">
        <v>46215</v>
      </c>
      <c r="C16" s="199"/>
      <c r="D16" s="201"/>
      <c r="E16" s="191"/>
      <c r="F16" s="191"/>
      <c r="G16" s="188"/>
      <c r="H16" s="189">
        <f t="shared" si="7"/>
        <v>1</v>
      </c>
      <c r="I16" s="189"/>
      <c r="J16" s="192"/>
      <c r="K16" s="189">
        <f t="shared" si="0"/>
        <v>0</v>
      </c>
      <c r="L16" s="189">
        <f t="shared" si="1"/>
        <v>0</v>
      </c>
      <c r="M16" s="189">
        <f t="shared" si="2"/>
        <v>0</v>
      </c>
      <c r="N16" s="189">
        <f t="shared" si="2"/>
        <v>0</v>
      </c>
      <c r="O16" s="189">
        <f t="shared" si="3"/>
        <v>21.6</v>
      </c>
      <c r="P16" s="189">
        <f t="shared" si="4"/>
        <v>0</v>
      </c>
      <c r="Q16" s="189">
        <f t="shared" si="5"/>
        <v>0</v>
      </c>
      <c r="R16" s="192">
        <f t="shared" si="6"/>
        <v>21.6</v>
      </c>
    </row>
    <row r="17" spans="1:18">
      <c r="A17" s="190">
        <v>13</v>
      </c>
      <c r="B17" s="198">
        <v>46216</v>
      </c>
      <c r="C17" s="199"/>
      <c r="D17" s="201"/>
      <c r="E17" s="191"/>
      <c r="F17" s="191"/>
      <c r="G17" s="188"/>
      <c r="H17" s="189">
        <f t="shared" si="7"/>
        <v>1</v>
      </c>
      <c r="I17" s="189"/>
      <c r="J17" s="192"/>
      <c r="K17" s="189">
        <f t="shared" si="0"/>
        <v>0</v>
      </c>
      <c r="L17" s="189">
        <f t="shared" si="1"/>
        <v>0</v>
      </c>
      <c r="M17" s="189">
        <f t="shared" si="2"/>
        <v>0</v>
      </c>
      <c r="N17" s="189">
        <f t="shared" si="2"/>
        <v>0</v>
      </c>
      <c r="O17" s="189">
        <f t="shared" si="3"/>
        <v>21.6</v>
      </c>
      <c r="P17" s="189">
        <f t="shared" si="4"/>
        <v>0</v>
      </c>
      <c r="Q17" s="189">
        <f t="shared" si="5"/>
        <v>0</v>
      </c>
      <c r="R17" s="192">
        <f t="shared" si="6"/>
        <v>21.6</v>
      </c>
    </row>
    <row r="18" spans="1:18">
      <c r="A18" s="190">
        <v>14</v>
      </c>
      <c r="B18" s="198">
        <v>46217</v>
      </c>
      <c r="C18" s="199"/>
      <c r="D18" s="201"/>
      <c r="E18" s="191"/>
      <c r="F18" s="191"/>
      <c r="G18" s="188"/>
      <c r="H18" s="189">
        <f t="shared" si="7"/>
        <v>1</v>
      </c>
      <c r="I18" s="189"/>
      <c r="J18" s="192"/>
      <c r="K18" s="189">
        <f t="shared" si="0"/>
        <v>0</v>
      </c>
      <c r="L18" s="189">
        <f t="shared" si="1"/>
        <v>0</v>
      </c>
      <c r="M18" s="189">
        <f t="shared" si="2"/>
        <v>0</v>
      </c>
      <c r="N18" s="189">
        <f t="shared" si="2"/>
        <v>0</v>
      </c>
      <c r="O18" s="189">
        <f t="shared" si="3"/>
        <v>21.6</v>
      </c>
      <c r="P18" s="189">
        <f t="shared" si="4"/>
        <v>0</v>
      </c>
      <c r="Q18" s="189">
        <f t="shared" si="5"/>
        <v>0</v>
      </c>
      <c r="R18" s="192">
        <f t="shared" si="6"/>
        <v>21.6</v>
      </c>
    </row>
    <row r="19" spans="1:18">
      <c r="A19" s="190">
        <v>15</v>
      </c>
      <c r="B19" s="198">
        <v>46218</v>
      </c>
      <c r="C19" s="199"/>
      <c r="D19" s="201"/>
      <c r="E19" s="191"/>
      <c r="F19" s="191"/>
      <c r="G19" s="188"/>
      <c r="H19" s="189">
        <f t="shared" si="7"/>
        <v>1</v>
      </c>
      <c r="I19" s="189"/>
      <c r="J19" s="192"/>
      <c r="K19" s="189">
        <f t="shared" si="0"/>
        <v>0</v>
      </c>
      <c r="L19" s="189">
        <f t="shared" si="1"/>
        <v>0</v>
      </c>
      <c r="M19" s="189">
        <f t="shared" si="2"/>
        <v>0</v>
      </c>
      <c r="N19" s="189">
        <f t="shared" si="2"/>
        <v>0</v>
      </c>
      <c r="O19" s="189">
        <f t="shared" si="3"/>
        <v>21.6</v>
      </c>
      <c r="P19" s="189">
        <f t="shared" si="4"/>
        <v>0</v>
      </c>
      <c r="Q19" s="189">
        <f t="shared" si="5"/>
        <v>0</v>
      </c>
      <c r="R19" s="192">
        <f t="shared" si="6"/>
        <v>21.6</v>
      </c>
    </row>
    <row r="20" spans="1:18">
      <c r="A20" s="187">
        <v>16</v>
      </c>
      <c r="B20" s="198">
        <v>46219</v>
      </c>
      <c r="C20" s="199"/>
      <c r="D20" s="200"/>
      <c r="E20" s="188"/>
      <c r="F20" s="188"/>
      <c r="G20" s="191"/>
      <c r="H20" s="189">
        <f t="shared" si="7"/>
        <v>1</v>
      </c>
      <c r="I20" s="189"/>
      <c r="J20" s="189"/>
      <c r="K20" s="189">
        <f t="shared" si="0"/>
        <v>0</v>
      </c>
      <c r="L20" s="189">
        <f t="shared" si="1"/>
        <v>0</v>
      </c>
      <c r="M20" s="189">
        <f t="shared" si="2"/>
        <v>0</v>
      </c>
      <c r="N20" s="189">
        <f t="shared" si="2"/>
        <v>0</v>
      </c>
      <c r="O20" s="189">
        <f t="shared" si="3"/>
        <v>21.6</v>
      </c>
      <c r="P20" s="189">
        <f t="shared" si="4"/>
        <v>0</v>
      </c>
      <c r="Q20" s="189">
        <f t="shared" si="5"/>
        <v>0</v>
      </c>
      <c r="R20" s="189">
        <f t="shared" si="6"/>
        <v>21.6</v>
      </c>
    </row>
    <row r="21" spans="1:18">
      <c r="A21" s="187">
        <v>17</v>
      </c>
      <c r="B21" s="198">
        <v>46220</v>
      </c>
      <c r="C21" s="199"/>
      <c r="D21" s="200"/>
      <c r="E21" s="188"/>
      <c r="F21" s="188"/>
      <c r="G21" s="191"/>
      <c r="H21" s="189">
        <f t="shared" si="7"/>
        <v>1</v>
      </c>
      <c r="I21" s="189"/>
      <c r="J21" s="189"/>
      <c r="K21" s="189">
        <f t="shared" si="0"/>
        <v>0</v>
      </c>
      <c r="L21" s="189">
        <f t="shared" si="1"/>
        <v>0</v>
      </c>
      <c r="M21" s="189">
        <f t="shared" si="2"/>
        <v>0</v>
      </c>
      <c r="N21" s="189">
        <f t="shared" si="2"/>
        <v>0</v>
      </c>
      <c r="O21" s="189">
        <f t="shared" si="3"/>
        <v>21.6</v>
      </c>
      <c r="P21" s="189">
        <f t="shared" si="4"/>
        <v>0</v>
      </c>
      <c r="Q21" s="189">
        <f t="shared" si="5"/>
        <v>0</v>
      </c>
      <c r="R21" s="189">
        <f t="shared" si="6"/>
        <v>21.6</v>
      </c>
    </row>
    <row r="22" spans="1:18">
      <c r="A22" s="190">
        <v>18</v>
      </c>
      <c r="B22" s="198">
        <v>46221</v>
      </c>
      <c r="C22" s="199"/>
      <c r="D22" s="201"/>
      <c r="E22" s="191"/>
      <c r="F22" s="191"/>
      <c r="G22" s="191"/>
      <c r="H22" s="189">
        <f t="shared" si="7"/>
        <v>1</v>
      </c>
      <c r="I22" s="192"/>
      <c r="J22" s="192"/>
      <c r="K22" s="189">
        <f t="shared" si="0"/>
        <v>0</v>
      </c>
      <c r="L22" s="189">
        <f t="shared" si="1"/>
        <v>0</v>
      </c>
      <c r="M22" s="189">
        <f t="shared" si="2"/>
        <v>0</v>
      </c>
      <c r="N22" s="189">
        <f t="shared" si="2"/>
        <v>0</v>
      </c>
      <c r="O22" s="189">
        <f t="shared" si="3"/>
        <v>21.6</v>
      </c>
      <c r="P22" s="189">
        <f t="shared" si="4"/>
        <v>0</v>
      </c>
      <c r="Q22" s="189">
        <f t="shared" si="5"/>
        <v>0</v>
      </c>
      <c r="R22" s="192">
        <f t="shared" si="6"/>
        <v>21.6</v>
      </c>
    </row>
    <row r="23" spans="1:18">
      <c r="A23" s="190">
        <v>19</v>
      </c>
      <c r="B23" s="198">
        <v>46222</v>
      </c>
      <c r="C23" s="199"/>
      <c r="D23" s="201"/>
      <c r="E23" s="191"/>
      <c r="F23" s="191"/>
      <c r="G23" s="191"/>
      <c r="H23" s="189">
        <f t="shared" si="7"/>
        <v>1</v>
      </c>
      <c r="I23" s="192"/>
      <c r="J23" s="192"/>
      <c r="K23" s="189">
        <f t="shared" si="0"/>
        <v>0</v>
      </c>
      <c r="L23" s="189">
        <f t="shared" si="1"/>
        <v>0</v>
      </c>
      <c r="M23" s="189">
        <f t="shared" si="2"/>
        <v>0</v>
      </c>
      <c r="N23" s="189">
        <f t="shared" si="2"/>
        <v>0</v>
      </c>
      <c r="O23" s="189">
        <f t="shared" si="3"/>
        <v>21.6</v>
      </c>
      <c r="P23" s="189">
        <f t="shared" si="4"/>
        <v>0</v>
      </c>
      <c r="Q23" s="189">
        <f t="shared" si="5"/>
        <v>0</v>
      </c>
      <c r="R23" s="192">
        <f t="shared" si="6"/>
        <v>21.6</v>
      </c>
    </row>
    <row r="24" spans="1:18">
      <c r="A24" s="190">
        <v>20</v>
      </c>
      <c r="B24" s="198">
        <v>46223</v>
      </c>
      <c r="C24" s="199"/>
      <c r="D24" s="201"/>
      <c r="E24" s="191"/>
      <c r="F24" s="191"/>
      <c r="G24" s="191"/>
      <c r="H24" s="189">
        <f t="shared" si="7"/>
        <v>1</v>
      </c>
      <c r="I24" s="192"/>
      <c r="J24" s="192"/>
      <c r="K24" s="189">
        <f t="shared" si="0"/>
        <v>0</v>
      </c>
      <c r="L24" s="189">
        <f t="shared" si="1"/>
        <v>0</v>
      </c>
      <c r="M24" s="189">
        <f t="shared" si="2"/>
        <v>0</v>
      </c>
      <c r="N24" s="189">
        <f t="shared" si="2"/>
        <v>0</v>
      </c>
      <c r="O24" s="189">
        <f t="shared" si="3"/>
        <v>21.6</v>
      </c>
      <c r="P24" s="189">
        <f t="shared" si="4"/>
        <v>0</v>
      </c>
      <c r="Q24" s="189">
        <f t="shared" si="5"/>
        <v>0</v>
      </c>
      <c r="R24" s="192">
        <f t="shared" si="6"/>
        <v>21.6</v>
      </c>
    </row>
    <row r="25" spans="1:18">
      <c r="A25" s="190">
        <v>21</v>
      </c>
      <c r="B25" s="198">
        <v>46224</v>
      </c>
      <c r="C25" s="199"/>
      <c r="D25" s="201"/>
      <c r="E25" s="191"/>
      <c r="F25" s="191"/>
      <c r="G25" s="191"/>
      <c r="H25" s="189">
        <f t="shared" si="7"/>
        <v>1</v>
      </c>
      <c r="I25" s="192"/>
      <c r="J25" s="192"/>
      <c r="K25" s="189">
        <f t="shared" si="0"/>
        <v>0</v>
      </c>
      <c r="L25" s="189">
        <f t="shared" si="1"/>
        <v>0</v>
      </c>
      <c r="M25" s="189">
        <f t="shared" si="2"/>
        <v>0</v>
      </c>
      <c r="N25" s="189">
        <f t="shared" si="2"/>
        <v>0</v>
      </c>
      <c r="O25" s="189">
        <f t="shared" si="3"/>
        <v>21.6</v>
      </c>
      <c r="P25" s="189">
        <f t="shared" si="4"/>
        <v>0</v>
      </c>
      <c r="Q25" s="189">
        <f t="shared" si="5"/>
        <v>0</v>
      </c>
      <c r="R25" s="192">
        <f t="shared" si="6"/>
        <v>21.6</v>
      </c>
    </row>
    <row r="26" spans="1:18">
      <c r="A26" s="190">
        <v>22</v>
      </c>
      <c r="B26" s="198">
        <v>46225</v>
      </c>
      <c r="C26" s="199"/>
      <c r="D26" s="201"/>
      <c r="E26" s="191"/>
      <c r="F26" s="191"/>
      <c r="G26" s="191"/>
      <c r="H26" s="189">
        <f t="shared" si="7"/>
        <v>1</v>
      </c>
      <c r="I26" s="189"/>
      <c r="J26" s="192"/>
      <c r="K26" s="189">
        <f t="shared" si="0"/>
        <v>0</v>
      </c>
      <c r="L26" s="189">
        <f t="shared" si="1"/>
        <v>0</v>
      </c>
      <c r="M26" s="189">
        <f t="shared" si="2"/>
        <v>0</v>
      </c>
      <c r="N26" s="189">
        <f t="shared" si="2"/>
        <v>0</v>
      </c>
      <c r="O26" s="189">
        <f t="shared" si="3"/>
        <v>21.6</v>
      </c>
      <c r="P26" s="189">
        <f t="shared" si="4"/>
        <v>0</v>
      </c>
      <c r="Q26" s="189">
        <f t="shared" si="5"/>
        <v>0</v>
      </c>
      <c r="R26" s="192">
        <f t="shared" si="6"/>
        <v>21.6</v>
      </c>
    </row>
    <row r="27" spans="1:18">
      <c r="A27" s="187">
        <v>23</v>
      </c>
      <c r="B27" s="198">
        <v>46226</v>
      </c>
      <c r="C27" s="199"/>
      <c r="D27" s="200"/>
      <c r="E27" s="188"/>
      <c r="F27" s="188"/>
      <c r="G27" s="188"/>
      <c r="H27" s="189">
        <f t="shared" si="7"/>
        <v>1</v>
      </c>
      <c r="I27" s="189"/>
      <c r="J27" s="189"/>
      <c r="K27" s="189">
        <f t="shared" si="0"/>
        <v>0</v>
      </c>
      <c r="L27" s="189">
        <f t="shared" si="1"/>
        <v>0</v>
      </c>
      <c r="M27" s="189">
        <f t="shared" si="2"/>
        <v>0</v>
      </c>
      <c r="N27" s="189">
        <f t="shared" si="2"/>
        <v>0</v>
      </c>
      <c r="O27" s="189">
        <f t="shared" si="3"/>
        <v>21.6</v>
      </c>
      <c r="P27" s="189">
        <f t="shared" si="4"/>
        <v>0</v>
      </c>
      <c r="Q27" s="189">
        <f t="shared" si="5"/>
        <v>0</v>
      </c>
      <c r="R27" s="189">
        <f t="shared" si="6"/>
        <v>21.6</v>
      </c>
    </row>
    <row r="28" spans="1:18">
      <c r="A28" s="187">
        <v>24</v>
      </c>
      <c r="B28" s="198">
        <v>46227</v>
      </c>
      <c r="C28" s="199"/>
      <c r="D28" s="200"/>
      <c r="E28" s="188"/>
      <c r="F28" s="188"/>
      <c r="G28" s="188"/>
      <c r="H28" s="189">
        <f t="shared" si="7"/>
        <v>1</v>
      </c>
      <c r="I28" s="189"/>
      <c r="J28" s="189"/>
      <c r="K28" s="189">
        <f t="shared" si="0"/>
        <v>0</v>
      </c>
      <c r="L28" s="189">
        <f t="shared" si="1"/>
        <v>0</v>
      </c>
      <c r="M28" s="189">
        <f t="shared" si="2"/>
        <v>0</v>
      </c>
      <c r="N28" s="189">
        <f t="shared" si="2"/>
        <v>0</v>
      </c>
      <c r="O28" s="189">
        <f t="shared" si="3"/>
        <v>21.6</v>
      </c>
      <c r="P28" s="189">
        <f t="shared" si="4"/>
        <v>0</v>
      </c>
      <c r="Q28" s="189">
        <f t="shared" si="5"/>
        <v>0</v>
      </c>
      <c r="R28" s="189">
        <f t="shared" si="6"/>
        <v>21.6</v>
      </c>
    </row>
    <row r="29" spans="1:18">
      <c r="A29" s="190">
        <v>25</v>
      </c>
      <c r="B29" s="198">
        <v>46228</v>
      </c>
      <c r="C29" s="199"/>
      <c r="D29" s="201"/>
      <c r="E29" s="191"/>
      <c r="F29" s="191"/>
      <c r="G29" s="191"/>
      <c r="H29" s="189">
        <f t="shared" si="7"/>
        <v>1</v>
      </c>
      <c r="I29" s="189"/>
      <c r="J29" s="192"/>
      <c r="K29" s="189">
        <f t="shared" si="0"/>
        <v>0</v>
      </c>
      <c r="L29" s="189">
        <f t="shared" si="1"/>
        <v>0</v>
      </c>
      <c r="M29" s="189">
        <f>F29*1000</f>
        <v>0</v>
      </c>
      <c r="N29" s="189">
        <f t="shared" si="2"/>
        <v>0</v>
      </c>
      <c r="O29" s="189">
        <f t="shared" si="3"/>
        <v>21.6</v>
      </c>
      <c r="P29" s="189">
        <f t="shared" si="4"/>
        <v>0</v>
      </c>
      <c r="Q29" s="189">
        <f t="shared" si="5"/>
        <v>0</v>
      </c>
      <c r="R29" s="192">
        <f t="shared" si="6"/>
        <v>21.6</v>
      </c>
    </row>
    <row r="30" spans="1:18">
      <c r="A30" s="190">
        <v>26</v>
      </c>
      <c r="B30" s="198">
        <v>46229</v>
      </c>
      <c r="C30" s="199"/>
      <c r="D30" s="201"/>
      <c r="E30" s="191"/>
      <c r="F30" s="191"/>
      <c r="G30" s="191"/>
      <c r="H30" s="189">
        <f t="shared" si="7"/>
        <v>1</v>
      </c>
      <c r="I30" s="189"/>
      <c r="J30" s="192"/>
      <c r="K30" s="189">
        <f>SUM(D30*168)</f>
        <v>0</v>
      </c>
      <c r="L30" s="189">
        <f t="shared" si="1"/>
        <v>0</v>
      </c>
      <c r="M30" s="189">
        <f t="shared" si="2"/>
        <v>0</v>
      </c>
      <c r="N30" s="189">
        <f t="shared" si="2"/>
        <v>0</v>
      </c>
      <c r="O30" s="189">
        <f t="shared" si="3"/>
        <v>21.6</v>
      </c>
      <c r="P30" s="189">
        <f t="shared" si="4"/>
        <v>0</v>
      </c>
      <c r="Q30" s="189">
        <f t="shared" si="5"/>
        <v>0</v>
      </c>
      <c r="R30" s="192">
        <f t="shared" si="6"/>
        <v>21.6</v>
      </c>
    </row>
    <row r="31" spans="1:18">
      <c r="A31" s="190">
        <v>27</v>
      </c>
      <c r="B31" s="198">
        <v>46230</v>
      </c>
      <c r="C31" s="199"/>
      <c r="D31" s="201"/>
      <c r="E31" s="191"/>
      <c r="F31" s="191"/>
      <c r="G31" s="191"/>
      <c r="H31" s="189">
        <f t="shared" si="7"/>
        <v>1</v>
      </c>
      <c r="I31" s="189"/>
      <c r="J31" s="192"/>
      <c r="K31" s="189">
        <f t="shared" ref="K31:L35" si="8">SUM(D31*168)</f>
        <v>0</v>
      </c>
      <c r="L31" s="189">
        <f t="shared" si="1"/>
        <v>0</v>
      </c>
      <c r="M31" s="189">
        <f t="shared" si="2"/>
        <v>0</v>
      </c>
      <c r="N31" s="189">
        <f t="shared" si="2"/>
        <v>0</v>
      </c>
      <c r="O31" s="189">
        <f t="shared" si="3"/>
        <v>21.6</v>
      </c>
      <c r="P31" s="189">
        <f t="shared" si="4"/>
        <v>0</v>
      </c>
      <c r="Q31" s="189">
        <f t="shared" si="5"/>
        <v>0</v>
      </c>
      <c r="R31" s="192">
        <f t="shared" si="6"/>
        <v>21.6</v>
      </c>
    </row>
    <row r="32" spans="1:18">
      <c r="A32" s="190">
        <v>28</v>
      </c>
      <c r="B32" s="198">
        <v>46231</v>
      </c>
      <c r="C32" s="199"/>
      <c r="D32" s="201"/>
      <c r="E32" s="191"/>
      <c r="F32" s="191"/>
      <c r="G32" s="191"/>
      <c r="H32" s="189">
        <f t="shared" si="7"/>
        <v>1</v>
      </c>
      <c r="I32" s="189"/>
      <c r="J32" s="192"/>
      <c r="K32" s="189">
        <f t="shared" si="8"/>
        <v>0</v>
      </c>
      <c r="L32" s="189">
        <f t="shared" si="1"/>
        <v>0</v>
      </c>
      <c r="M32" s="189">
        <f t="shared" si="2"/>
        <v>0</v>
      </c>
      <c r="N32" s="189">
        <f t="shared" si="2"/>
        <v>0</v>
      </c>
      <c r="O32" s="189">
        <f t="shared" si="3"/>
        <v>21.6</v>
      </c>
      <c r="P32" s="189">
        <f t="shared" si="4"/>
        <v>0</v>
      </c>
      <c r="Q32" s="189">
        <f t="shared" si="5"/>
        <v>0</v>
      </c>
      <c r="R32" s="192">
        <f t="shared" si="6"/>
        <v>21.6</v>
      </c>
    </row>
    <row r="33" spans="1:18">
      <c r="A33" s="190">
        <v>29</v>
      </c>
      <c r="B33" s="198">
        <v>46232</v>
      </c>
      <c r="C33" s="199"/>
      <c r="D33" s="201"/>
      <c r="E33" s="191"/>
      <c r="F33" s="191"/>
      <c r="G33" s="191"/>
      <c r="H33" s="189">
        <f t="shared" si="7"/>
        <v>1</v>
      </c>
      <c r="I33" s="189"/>
      <c r="J33" s="192"/>
      <c r="K33" s="189">
        <f t="shared" si="8"/>
        <v>0</v>
      </c>
      <c r="L33" s="189">
        <f t="shared" si="1"/>
        <v>0</v>
      </c>
      <c r="M33" s="189">
        <f t="shared" si="2"/>
        <v>0</v>
      </c>
      <c r="N33" s="189">
        <f t="shared" si="2"/>
        <v>0</v>
      </c>
      <c r="O33" s="189">
        <f t="shared" si="3"/>
        <v>21.6</v>
      </c>
      <c r="P33" s="189">
        <f t="shared" si="4"/>
        <v>0</v>
      </c>
      <c r="Q33" s="189">
        <f t="shared" si="5"/>
        <v>0</v>
      </c>
      <c r="R33" s="192">
        <f t="shared" si="6"/>
        <v>21.6</v>
      </c>
    </row>
    <row r="34" spans="1:18">
      <c r="A34" s="190">
        <v>30</v>
      </c>
      <c r="B34" s="198">
        <v>46233</v>
      </c>
      <c r="C34" s="199"/>
      <c r="D34" s="201"/>
      <c r="E34" s="191"/>
      <c r="F34" s="191"/>
      <c r="G34" s="191"/>
      <c r="H34" s="189">
        <f t="shared" si="7"/>
        <v>1</v>
      </c>
      <c r="I34" s="189"/>
      <c r="J34" s="192"/>
      <c r="K34" s="189">
        <f t="shared" si="8"/>
        <v>0</v>
      </c>
      <c r="L34" s="189">
        <f t="shared" si="1"/>
        <v>0</v>
      </c>
      <c r="M34" s="189">
        <f t="shared" si="2"/>
        <v>0</v>
      </c>
      <c r="N34" s="189">
        <f t="shared" si="2"/>
        <v>0</v>
      </c>
      <c r="O34" s="189">
        <f t="shared" si="3"/>
        <v>21.6</v>
      </c>
      <c r="P34" s="189">
        <f t="shared" si="4"/>
        <v>0</v>
      </c>
      <c r="Q34" s="189">
        <f t="shared" si="5"/>
        <v>0</v>
      </c>
      <c r="R34" s="192">
        <f t="shared" si="6"/>
        <v>21.6</v>
      </c>
    </row>
    <row r="35" spans="1:18" ht="15.75" thickBot="1">
      <c r="A35" s="190"/>
      <c r="B35" s="198"/>
      <c r="C35" s="199"/>
      <c r="D35" s="201"/>
      <c r="E35" s="191"/>
      <c r="F35" s="191"/>
      <c r="G35" s="191"/>
      <c r="H35" s="189"/>
      <c r="I35" s="189"/>
      <c r="J35" s="192"/>
      <c r="K35" s="189">
        <f t="shared" si="8"/>
        <v>0</v>
      </c>
      <c r="L35" s="189">
        <f t="shared" si="8"/>
        <v>0</v>
      </c>
      <c r="M35" s="189">
        <f t="shared" ref="M35:N35" si="9">F35*1000</f>
        <v>0</v>
      </c>
      <c r="N35" s="189">
        <f t="shared" si="9"/>
        <v>0</v>
      </c>
      <c r="O35" s="189">
        <f t="shared" ref="O35" si="10">SUM(H35*21.6)</f>
        <v>0</v>
      </c>
      <c r="P35" s="189">
        <f t="shared" si="4"/>
        <v>0</v>
      </c>
      <c r="Q35" s="189">
        <f t="shared" si="5"/>
        <v>0</v>
      </c>
      <c r="R35" s="192">
        <f t="shared" si="6"/>
        <v>0</v>
      </c>
    </row>
    <row r="36" spans="1:18" ht="15.75" thickBot="1">
      <c r="D36" s="193">
        <f>SUM(D5:D35)</f>
        <v>0</v>
      </c>
      <c r="E36" s="194">
        <f>SUM(E5:E35)</f>
        <v>3</v>
      </c>
      <c r="F36" s="194">
        <f>SUM(F5:F35)</f>
        <v>0</v>
      </c>
      <c r="G36" s="194"/>
      <c r="H36" s="195">
        <f>SUM(H5:H35)</f>
        <v>51</v>
      </c>
      <c r="I36" s="196"/>
      <c r="J36" s="194"/>
      <c r="K36" s="194">
        <f>SUM(K5:K35)</f>
        <v>0</v>
      </c>
      <c r="L36" s="194">
        <f t="shared" ref="L36:Q36" si="11">SUM(L5:L35)</f>
        <v>504</v>
      </c>
      <c r="M36" s="194">
        <f t="shared" si="11"/>
        <v>0</v>
      </c>
      <c r="N36" s="194">
        <f t="shared" si="11"/>
        <v>0</v>
      </c>
      <c r="O36" s="194">
        <f t="shared" si="11"/>
        <v>1101.6000000000001</v>
      </c>
      <c r="P36" s="194">
        <f t="shared" si="11"/>
        <v>0</v>
      </c>
      <c r="Q36" s="194">
        <f t="shared" si="11"/>
        <v>0</v>
      </c>
      <c r="R36" s="197">
        <f>SUM(R5:R35)</f>
        <v>1605.5999999999979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E49B-FE83-479C-B96A-AA9B74916C9A}">
  <dimension ref="A1:S39"/>
  <sheetViews>
    <sheetView zoomScaleNormal="100" workbookViewId="0">
      <selection activeCell="K8" sqref="K8:K37"/>
    </sheetView>
  </sheetViews>
  <sheetFormatPr defaultRowHeight="15"/>
  <cols>
    <col min="1" max="1" width="12" style="51" bestFit="1" customWidth="1"/>
    <col min="2" max="11" width="9.140625" style="51"/>
    <col min="12" max="12" width="11.7109375" style="51" customWidth="1"/>
    <col min="13" max="13" width="9.140625" style="51"/>
    <col min="14" max="14" width="11.7109375" style="51" customWidth="1"/>
    <col min="15" max="16" width="9.140625" style="51"/>
    <col min="17" max="17" width="11.7109375" style="51" customWidth="1"/>
    <col min="18" max="18" width="11.28515625" style="51" customWidth="1"/>
    <col min="19" max="19" width="15" style="51" customWidth="1"/>
    <col min="20" max="16384" width="9.140625" style="51"/>
  </cols>
  <sheetData>
    <row r="1" spans="1:19">
      <c r="A1" s="202">
        <f>S39</f>
        <v>17102.400000000001</v>
      </c>
      <c r="C1" s="180"/>
      <c r="D1" s="180"/>
      <c r="E1" s="180"/>
      <c r="F1" s="180"/>
      <c r="G1" s="180"/>
      <c r="H1" s="148"/>
      <c r="I1" s="148"/>
      <c r="J1" s="180"/>
      <c r="K1" s="180"/>
      <c r="S1" s="202"/>
    </row>
    <row r="2" spans="1:19">
      <c r="C2" s="180"/>
      <c r="D2" s="180"/>
      <c r="E2" s="180"/>
      <c r="F2" s="180"/>
      <c r="G2" s="180"/>
      <c r="H2" s="148"/>
      <c r="I2" s="148"/>
      <c r="J2" s="180"/>
      <c r="K2" s="180"/>
      <c r="S2" s="202"/>
    </row>
    <row r="3" spans="1:19" ht="15.75" thickBot="1">
      <c r="C3" s="180"/>
      <c r="D3" s="180"/>
      <c r="E3" s="180"/>
      <c r="F3" s="180"/>
      <c r="G3" s="180"/>
      <c r="H3" s="148"/>
      <c r="I3" s="148"/>
      <c r="J3" s="180"/>
      <c r="K3" s="180"/>
      <c r="S3" s="202"/>
    </row>
    <row r="4" spans="1:19" ht="15.75" thickBot="1">
      <c r="A4" s="148" t="s">
        <v>128</v>
      </c>
      <c r="B4" s="203"/>
      <c r="C4" s="203"/>
      <c r="D4" s="203"/>
      <c r="E4" s="203"/>
      <c r="F4" s="203"/>
      <c r="G4" s="203"/>
      <c r="H4" s="213"/>
      <c r="I4" s="213"/>
      <c r="J4" s="180"/>
      <c r="K4" s="180"/>
      <c r="L4" s="214" t="s">
        <v>129</v>
      </c>
      <c r="M4" s="25"/>
      <c r="N4" s="25"/>
      <c r="O4" s="25"/>
      <c r="P4" s="25"/>
      <c r="Q4" s="25"/>
      <c r="R4" s="25"/>
      <c r="S4" s="26"/>
    </row>
    <row r="5" spans="1:19" ht="30">
      <c r="A5" s="27" t="s">
        <v>1</v>
      </c>
      <c r="B5" s="28"/>
      <c r="C5" s="29" t="s">
        <v>130</v>
      </c>
      <c r="D5" s="29" t="s">
        <v>131</v>
      </c>
      <c r="E5" s="29" t="s">
        <v>132</v>
      </c>
      <c r="F5" s="29" t="s">
        <v>133</v>
      </c>
      <c r="G5" s="29" t="s">
        <v>134</v>
      </c>
      <c r="H5" s="29"/>
      <c r="I5" s="29"/>
      <c r="J5" s="29" t="s">
        <v>135</v>
      </c>
      <c r="K5" s="30" t="s">
        <v>4</v>
      </c>
      <c r="L5" s="31" t="s">
        <v>136</v>
      </c>
      <c r="M5" s="29" t="s">
        <v>131</v>
      </c>
      <c r="N5" s="29" t="s">
        <v>132</v>
      </c>
      <c r="O5" s="29" t="s">
        <v>133</v>
      </c>
      <c r="P5" s="29" t="s">
        <v>137</v>
      </c>
      <c r="Q5" s="29" t="s">
        <v>8</v>
      </c>
      <c r="R5" s="29" t="s">
        <v>4</v>
      </c>
      <c r="S5" s="32" t="s">
        <v>18</v>
      </c>
    </row>
    <row r="6" spans="1:19" ht="15.75" thickBot="1">
      <c r="A6" s="33"/>
      <c r="B6" s="34"/>
      <c r="C6" s="35"/>
      <c r="D6" s="35"/>
      <c r="E6" s="35"/>
      <c r="F6" s="35"/>
      <c r="G6" s="35"/>
      <c r="H6" s="36"/>
      <c r="I6" s="36"/>
      <c r="J6" s="35"/>
      <c r="K6" s="37">
        <v>26</v>
      </c>
      <c r="L6" s="38"/>
      <c r="M6" s="35"/>
      <c r="N6" s="35"/>
      <c r="O6" s="35"/>
      <c r="P6" s="35"/>
      <c r="Q6" s="35"/>
      <c r="R6" s="35"/>
      <c r="S6" s="39"/>
    </row>
    <row r="7" spans="1:19">
      <c r="A7" s="215">
        <v>46204</v>
      </c>
      <c r="B7" s="40"/>
      <c r="C7" s="204"/>
      <c r="D7" s="204"/>
      <c r="E7" s="205"/>
      <c r="F7" s="205"/>
      <c r="G7" s="206"/>
      <c r="H7" s="206"/>
      <c r="I7" s="205"/>
      <c r="J7" s="205">
        <v>0</v>
      </c>
      <c r="K7" s="207">
        <f>K6+C7</f>
        <v>26</v>
      </c>
      <c r="L7" s="41">
        <f t="shared" ref="L7:L37" si="0">C7*168</f>
        <v>0</v>
      </c>
      <c r="M7" s="41">
        <f t="shared" ref="M7:M37" si="1">D7*4</f>
        <v>0</v>
      </c>
      <c r="N7" s="41">
        <f t="shared" ref="N7:N37" si="2">E7*168</f>
        <v>0</v>
      </c>
      <c r="O7" s="41">
        <f t="shared" ref="O7:P37" si="3">F7*4</f>
        <v>0</v>
      </c>
      <c r="P7" s="41">
        <f t="shared" si="3"/>
        <v>0</v>
      </c>
      <c r="Q7" s="41">
        <f>J7*600</f>
        <v>0</v>
      </c>
      <c r="R7" s="41">
        <f>K7*21.6</f>
        <v>561.6</v>
      </c>
      <c r="S7" s="42">
        <f t="shared" ref="S7:S36" si="4">SUM(L7:R7)</f>
        <v>561.6</v>
      </c>
    </row>
    <row r="8" spans="1:19">
      <c r="A8" s="215">
        <v>46205</v>
      </c>
      <c r="B8" s="40"/>
      <c r="C8" s="207"/>
      <c r="D8" s="207"/>
      <c r="E8" s="188"/>
      <c r="F8" s="188"/>
      <c r="G8" s="208"/>
      <c r="H8" s="208"/>
      <c r="I8" s="188"/>
      <c r="J8" s="205">
        <v>0</v>
      </c>
      <c r="K8" s="207">
        <f>K7+C8-E7</f>
        <v>26</v>
      </c>
      <c r="L8" s="41">
        <f t="shared" si="0"/>
        <v>0</v>
      </c>
      <c r="M8" s="41">
        <f t="shared" si="1"/>
        <v>0</v>
      </c>
      <c r="N8" s="41">
        <f t="shared" si="2"/>
        <v>0</v>
      </c>
      <c r="O8" s="41">
        <f t="shared" si="3"/>
        <v>0</v>
      </c>
      <c r="P8" s="41">
        <f t="shared" si="3"/>
        <v>0</v>
      </c>
      <c r="Q8" s="41">
        <f t="shared" ref="Q8:Q37" si="5">J8*600</f>
        <v>0</v>
      </c>
      <c r="R8" s="41">
        <f t="shared" ref="R8:R37" si="6">K8*21.6</f>
        <v>561.6</v>
      </c>
      <c r="S8" s="43">
        <f t="shared" si="4"/>
        <v>561.6</v>
      </c>
    </row>
    <row r="9" spans="1:19">
      <c r="A9" s="215">
        <v>46206</v>
      </c>
      <c r="B9" s="40"/>
      <c r="C9" s="207"/>
      <c r="D9" s="207"/>
      <c r="E9" s="188"/>
      <c r="F9" s="188"/>
      <c r="G9" s="208"/>
      <c r="H9" s="208"/>
      <c r="I9" s="188"/>
      <c r="J9" s="205">
        <v>0</v>
      </c>
      <c r="K9" s="207">
        <f t="shared" ref="K9:K37" si="7">K8+C9-E8</f>
        <v>26</v>
      </c>
      <c r="L9" s="41">
        <f t="shared" si="0"/>
        <v>0</v>
      </c>
      <c r="M9" s="41">
        <f t="shared" si="1"/>
        <v>0</v>
      </c>
      <c r="N9" s="41">
        <f t="shared" si="2"/>
        <v>0</v>
      </c>
      <c r="O9" s="41">
        <f t="shared" si="3"/>
        <v>0</v>
      </c>
      <c r="P9" s="41">
        <f t="shared" si="3"/>
        <v>0</v>
      </c>
      <c r="Q9" s="41">
        <f t="shared" si="5"/>
        <v>0</v>
      </c>
      <c r="R9" s="41">
        <f t="shared" si="6"/>
        <v>561.6</v>
      </c>
      <c r="S9" s="43">
        <f t="shared" si="4"/>
        <v>561.6</v>
      </c>
    </row>
    <row r="10" spans="1:19">
      <c r="A10" s="215">
        <v>46207</v>
      </c>
      <c r="B10" s="40"/>
      <c r="C10" s="207"/>
      <c r="D10" s="207"/>
      <c r="E10" s="188"/>
      <c r="F10" s="188"/>
      <c r="G10" s="208"/>
      <c r="H10" s="208"/>
      <c r="I10" s="188"/>
      <c r="J10" s="205">
        <v>0</v>
      </c>
      <c r="K10" s="207">
        <f t="shared" si="7"/>
        <v>26</v>
      </c>
      <c r="L10" s="41">
        <f t="shared" si="0"/>
        <v>0</v>
      </c>
      <c r="M10" s="41">
        <f t="shared" si="1"/>
        <v>0</v>
      </c>
      <c r="N10" s="41">
        <f t="shared" si="2"/>
        <v>0</v>
      </c>
      <c r="O10" s="41">
        <f t="shared" si="3"/>
        <v>0</v>
      </c>
      <c r="P10" s="41">
        <f t="shared" si="3"/>
        <v>0</v>
      </c>
      <c r="Q10" s="41">
        <f t="shared" si="5"/>
        <v>0</v>
      </c>
      <c r="R10" s="41">
        <f t="shared" si="6"/>
        <v>561.6</v>
      </c>
      <c r="S10" s="43">
        <f t="shared" si="4"/>
        <v>561.6</v>
      </c>
    </row>
    <row r="11" spans="1:19">
      <c r="A11" s="215">
        <v>46208</v>
      </c>
      <c r="B11" s="40"/>
      <c r="C11" s="207"/>
      <c r="D11" s="207"/>
      <c r="E11" s="188"/>
      <c r="F11" s="188"/>
      <c r="G11" s="208"/>
      <c r="H11" s="208"/>
      <c r="I11" s="188"/>
      <c r="J11" s="205">
        <v>0</v>
      </c>
      <c r="K11" s="207">
        <f t="shared" si="7"/>
        <v>26</v>
      </c>
      <c r="L11" s="41">
        <f t="shared" si="0"/>
        <v>0</v>
      </c>
      <c r="M11" s="41">
        <f t="shared" si="1"/>
        <v>0</v>
      </c>
      <c r="N11" s="41">
        <f t="shared" si="2"/>
        <v>0</v>
      </c>
      <c r="O11" s="41">
        <f t="shared" si="3"/>
        <v>0</v>
      </c>
      <c r="P11" s="41">
        <f t="shared" si="3"/>
        <v>0</v>
      </c>
      <c r="Q11" s="41">
        <f t="shared" si="5"/>
        <v>0</v>
      </c>
      <c r="R11" s="41">
        <f t="shared" si="6"/>
        <v>561.6</v>
      </c>
      <c r="S11" s="43">
        <f t="shared" si="4"/>
        <v>561.6</v>
      </c>
    </row>
    <row r="12" spans="1:19">
      <c r="A12" s="215">
        <v>46209</v>
      </c>
      <c r="B12" s="40"/>
      <c r="C12" s="207"/>
      <c r="D12" s="207"/>
      <c r="E12" s="188"/>
      <c r="F12" s="188"/>
      <c r="G12" s="208"/>
      <c r="H12" s="208"/>
      <c r="I12" s="188"/>
      <c r="J12" s="205">
        <v>0</v>
      </c>
      <c r="K12" s="207">
        <f t="shared" si="7"/>
        <v>26</v>
      </c>
      <c r="L12" s="41">
        <f t="shared" si="0"/>
        <v>0</v>
      </c>
      <c r="M12" s="41">
        <f t="shared" si="1"/>
        <v>0</v>
      </c>
      <c r="N12" s="41">
        <f t="shared" si="2"/>
        <v>0</v>
      </c>
      <c r="O12" s="41">
        <f t="shared" si="3"/>
        <v>0</v>
      </c>
      <c r="P12" s="41">
        <f t="shared" si="3"/>
        <v>0</v>
      </c>
      <c r="Q12" s="41">
        <f t="shared" si="5"/>
        <v>0</v>
      </c>
      <c r="R12" s="41">
        <f t="shared" si="6"/>
        <v>561.6</v>
      </c>
      <c r="S12" s="43">
        <f t="shared" si="4"/>
        <v>561.6</v>
      </c>
    </row>
    <row r="13" spans="1:19">
      <c r="A13" s="215">
        <v>46210</v>
      </c>
      <c r="B13" s="40"/>
      <c r="C13" s="207"/>
      <c r="D13" s="207"/>
      <c r="E13" s="188"/>
      <c r="F13" s="188"/>
      <c r="G13" s="208"/>
      <c r="H13" s="208"/>
      <c r="I13" s="188"/>
      <c r="J13" s="205">
        <v>0</v>
      </c>
      <c r="K13" s="207">
        <f t="shared" si="7"/>
        <v>26</v>
      </c>
      <c r="L13" s="41">
        <f t="shared" si="0"/>
        <v>0</v>
      </c>
      <c r="M13" s="41">
        <f t="shared" si="1"/>
        <v>0</v>
      </c>
      <c r="N13" s="41">
        <f t="shared" si="2"/>
        <v>0</v>
      </c>
      <c r="O13" s="41">
        <f t="shared" si="3"/>
        <v>0</v>
      </c>
      <c r="P13" s="41">
        <f t="shared" si="3"/>
        <v>0</v>
      </c>
      <c r="Q13" s="41">
        <f t="shared" si="5"/>
        <v>0</v>
      </c>
      <c r="R13" s="41">
        <f t="shared" si="6"/>
        <v>561.6</v>
      </c>
      <c r="S13" s="43">
        <f t="shared" si="4"/>
        <v>561.6</v>
      </c>
    </row>
    <row r="14" spans="1:19">
      <c r="A14" s="215">
        <v>46211</v>
      </c>
      <c r="B14" s="40"/>
      <c r="C14" s="207"/>
      <c r="D14" s="207"/>
      <c r="E14" s="188"/>
      <c r="F14" s="188"/>
      <c r="G14" s="208"/>
      <c r="H14" s="208"/>
      <c r="I14" s="188"/>
      <c r="J14" s="205">
        <v>0</v>
      </c>
      <c r="K14" s="207">
        <f t="shared" si="7"/>
        <v>26</v>
      </c>
      <c r="L14" s="41">
        <f t="shared" si="0"/>
        <v>0</v>
      </c>
      <c r="M14" s="41">
        <f t="shared" si="1"/>
        <v>0</v>
      </c>
      <c r="N14" s="41">
        <f t="shared" si="2"/>
        <v>0</v>
      </c>
      <c r="O14" s="41">
        <f t="shared" si="3"/>
        <v>0</v>
      </c>
      <c r="P14" s="41">
        <f t="shared" si="3"/>
        <v>0</v>
      </c>
      <c r="Q14" s="41">
        <f t="shared" si="5"/>
        <v>0</v>
      </c>
      <c r="R14" s="41">
        <f t="shared" si="6"/>
        <v>561.6</v>
      </c>
      <c r="S14" s="43">
        <f t="shared" si="4"/>
        <v>561.6</v>
      </c>
    </row>
    <row r="15" spans="1:19">
      <c r="A15" s="215">
        <v>46212</v>
      </c>
      <c r="B15" s="40"/>
      <c r="C15" s="207"/>
      <c r="D15" s="207"/>
      <c r="E15" s="188">
        <v>1</v>
      </c>
      <c r="F15" s="188"/>
      <c r="G15" s="208"/>
      <c r="H15" s="208"/>
      <c r="I15" s="188"/>
      <c r="J15" s="205">
        <v>0</v>
      </c>
      <c r="K15" s="207">
        <f t="shared" si="7"/>
        <v>26</v>
      </c>
      <c r="L15" s="41">
        <f t="shared" si="0"/>
        <v>0</v>
      </c>
      <c r="M15" s="41">
        <f t="shared" si="1"/>
        <v>0</v>
      </c>
      <c r="N15" s="41">
        <f t="shared" si="2"/>
        <v>168</v>
      </c>
      <c r="O15" s="41">
        <f t="shared" si="3"/>
        <v>0</v>
      </c>
      <c r="P15" s="41">
        <f t="shared" si="3"/>
        <v>0</v>
      </c>
      <c r="Q15" s="41">
        <f t="shared" si="5"/>
        <v>0</v>
      </c>
      <c r="R15" s="41">
        <f t="shared" si="6"/>
        <v>561.6</v>
      </c>
      <c r="S15" s="43">
        <f t="shared" si="4"/>
        <v>729.6</v>
      </c>
    </row>
    <row r="16" spans="1:19">
      <c r="A16" s="215">
        <v>46213</v>
      </c>
      <c r="B16" s="40"/>
      <c r="C16" s="207"/>
      <c r="D16" s="207"/>
      <c r="E16" s="188"/>
      <c r="F16" s="188"/>
      <c r="G16" s="208"/>
      <c r="H16" s="208"/>
      <c r="I16" s="188"/>
      <c r="J16" s="205">
        <v>0</v>
      </c>
      <c r="K16" s="207">
        <f t="shared" si="7"/>
        <v>25</v>
      </c>
      <c r="L16" s="41">
        <f t="shared" si="0"/>
        <v>0</v>
      </c>
      <c r="M16" s="41">
        <f t="shared" si="1"/>
        <v>0</v>
      </c>
      <c r="N16" s="41">
        <f t="shared" si="2"/>
        <v>0</v>
      </c>
      <c r="O16" s="41">
        <f t="shared" si="3"/>
        <v>0</v>
      </c>
      <c r="P16" s="41">
        <f t="shared" si="3"/>
        <v>0</v>
      </c>
      <c r="Q16" s="41">
        <f t="shared" si="5"/>
        <v>0</v>
      </c>
      <c r="R16" s="41">
        <f t="shared" si="6"/>
        <v>540</v>
      </c>
      <c r="S16" s="43">
        <f t="shared" si="4"/>
        <v>540</v>
      </c>
    </row>
    <row r="17" spans="1:19">
      <c r="A17" s="215">
        <v>46214</v>
      </c>
      <c r="B17" s="40"/>
      <c r="C17" s="207"/>
      <c r="D17" s="207"/>
      <c r="E17" s="188"/>
      <c r="F17" s="188"/>
      <c r="G17" s="208"/>
      <c r="H17" s="208"/>
      <c r="I17" s="188"/>
      <c r="J17" s="205">
        <v>0</v>
      </c>
      <c r="K17" s="207">
        <f t="shared" si="7"/>
        <v>25</v>
      </c>
      <c r="L17" s="41">
        <f t="shared" si="0"/>
        <v>0</v>
      </c>
      <c r="M17" s="41">
        <f t="shared" si="1"/>
        <v>0</v>
      </c>
      <c r="N17" s="41">
        <f t="shared" si="2"/>
        <v>0</v>
      </c>
      <c r="O17" s="41">
        <f t="shared" si="3"/>
        <v>0</v>
      </c>
      <c r="P17" s="41">
        <f t="shared" si="3"/>
        <v>0</v>
      </c>
      <c r="Q17" s="41">
        <f t="shared" si="5"/>
        <v>0</v>
      </c>
      <c r="R17" s="41">
        <f t="shared" si="6"/>
        <v>540</v>
      </c>
      <c r="S17" s="43">
        <f t="shared" si="4"/>
        <v>540</v>
      </c>
    </row>
    <row r="18" spans="1:19">
      <c r="A18" s="215">
        <v>46215</v>
      </c>
      <c r="B18" s="40"/>
      <c r="C18" s="209"/>
      <c r="D18" s="209"/>
      <c r="E18" s="210"/>
      <c r="F18" s="210"/>
      <c r="G18" s="211"/>
      <c r="H18" s="211"/>
      <c r="I18" s="210"/>
      <c r="J18" s="205">
        <v>0</v>
      </c>
      <c r="K18" s="207">
        <f t="shared" si="7"/>
        <v>25</v>
      </c>
      <c r="L18" s="41">
        <f t="shared" si="0"/>
        <v>0</v>
      </c>
      <c r="M18" s="41">
        <f t="shared" si="1"/>
        <v>0</v>
      </c>
      <c r="N18" s="41">
        <f t="shared" si="2"/>
        <v>0</v>
      </c>
      <c r="O18" s="41">
        <f t="shared" si="3"/>
        <v>0</v>
      </c>
      <c r="P18" s="41">
        <f t="shared" si="3"/>
        <v>0</v>
      </c>
      <c r="Q18" s="41">
        <f t="shared" si="5"/>
        <v>0</v>
      </c>
      <c r="R18" s="41">
        <f t="shared" si="6"/>
        <v>540</v>
      </c>
      <c r="S18" s="43">
        <f t="shared" si="4"/>
        <v>540</v>
      </c>
    </row>
    <row r="19" spans="1:19">
      <c r="A19" s="215">
        <v>46216</v>
      </c>
      <c r="B19" s="40"/>
      <c r="C19" s="207"/>
      <c r="D19" s="207"/>
      <c r="E19" s="188"/>
      <c r="F19" s="188"/>
      <c r="G19" s="208"/>
      <c r="H19" s="208"/>
      <c r="I19" s="188"/>
      <c r="J19" s="205">
        <v>0</v>
      </c>
      <c r="K19" s="207">
        <f t="shared" si="7"/>
        <v>25</v>
      </c>
      <c r="L19" s="41">
        <f t="shared" si="0"/>
        <v>0</v>
      </c>
      <c r="M19" s="41">
        <f t="shared" si="1"/>
        <v>0</v>
      </c>
      <c r="N19" s="41">
        <f t="shared" si="2"/>
        <v>0</v>
      </c>
      <c r="O19" s="41">
        <f t="shared" si="3"/>
        <v>0</v>
      </c>
      <c r="P19" s="41">
        <f t="shared" si="3"/>
        <v>0</v>
      </c>
      <c r="Q19" s="41">
        <f t="shared" si="5"/>
        <v>0</v>
      </c>
      <c r="R19" s="41">
        <f t="shared" si="6"/>
        <v>540</v>
      </c>
      <c r="S19" s="43">
        <f t="shared" si="4"/>
        <v>540</v>
      </c>
    </row>
    <row r="20" spans="1:19">
      <c r="A20" s="215">
        <v>46217</v>
      </c>
      <c r="B20" s="40"/>
      <c r="C20" s="207"/>
      <c r="D20" s="207"/>
      <c r="E20" s="188"/>
      <c r="F20" s="188"/>
      <c r="G20" s="208"/>
      <c r="H20" s="208"/>
      <c r="I20" s="188"/>
      <c r="J20" s="205">
        <v>0</v>
      </c>
      <c r="K20" s="207">
        <f t="shared" si="7"/>
        <v>25</v>
      </c>
      <c r="L20" s="41">
        <f t="shared" si="0"/>
        <v>0</v>
      </c>
      <c r="M20" s="41">
        <f t="shared" si="1"/>
        <v>0</v>
      </c>
      <c r="N20" s="41">
        <f t="shared" si="2"/>
        <v>0</v>
      </c>
      <c r="O20" s="41">
        <f t="shared" si="3"/>
        <v>0</v>
      </c>
      <c r="P20" s="41">
        <f t="shared" si="3"/>
        <v>0</v>
      </c>
      <c r="Q20" s="41">
        <f t="shared" si="5"/>
        <v>0</v>
      </c>
      <c r="R20" s="41">
        <f t="shared" si="6"/>
        <v>540</v>
      </c>
      <c r="S20" s="43">
        <f t="shared" si="4"/>
        <v>540</v>
      </c>
    </row>
    <row r="21" spans="1:19">
      <c r="A21" s="215">
        <v>46218</v>
      </c>
      <c r="B21" s="40"/>
      <c r="C21" s="207"/>
      <c r="D21" s="207"/>
      <c r="E21" s="188"/>
      <c r="F21" s="188"/>
      <c r="G21" s="208"/>
      <c r="H21" s="208"/>
      <c r="I21" s="188"/>
      <c r="J21" s="205">
        <v>0</v>
      </c>
      <c r="K21" s="207">
        <f t="shared" si="7"/>
        <v>25</v>
      </c>
      <c r="L21" s="41">
        <f t="shared" si="0"/>
        <v>0</v>
      </c>
      <c r="M21" s="41">
        <f t="shared" si="1"/>
        <v>0</v>
      </c>
      <c r="N21" s="41">
        <f t="shared" si="2"/>
        <v>0</v>
      </c>
      <c r="O21" s="41">
        <f t="shared" si="3"/>
        <v>0</v>
      </c>
      <c r="P21" s="41">
        <f t="shared" si="3"/>
        <v>0</v>
      </c>
      <c r="Q21" s="41">
        <f t="shared" si="5"/>
        <v>0</v>
      </c>
      <c r="R21" s="41">
        <f t="shared" si="6"/>
        <v>540</v>
      </c>
      <c r="S21" s="43">
        <f t="shared" si="4"/>
        <v>540</v>
      </c>
    </row>
    <row r="22" spans="1:19">
      <c r="A22" s="215">
        <v>46219</v>
      </c>
      <c r="B22" s="40"/>
      <c r="C22" s="207"/>
      <c r="D22" s="207"/>
      <c r="E22" s="188"/>
      <c r="F22" s="188"/>
      <c r="G22" s="208"/>
      <c r="H22" s="208"/>
      <c r="I22" s="188"/>
      <c r="J22" s="205">
        <v>0</v>
      </c>
      <c r="K22" s="207">
        <f t="shared" si="7"/>
        <v>25</v>
      </c>
      <c r="L22" s="41">
        <f t="shared" si="0"/>
        <v>0</v>
      </c>
      <c r="M22" s="41">
        <f t="shared" si="1"/>
        <v>0</v>
      </c>
      <c r="N22" s="41">
        <f t="shared" si="2"/>
        <v>0</v>
      </c>
      <c r="O22" s="41">
        <f t="shared" si="3"/>
        <v>0</v>
      </c>
      <c r="P22" s="41">
        <f t="shared" si="3"/>
        <v>0</v>
      </c>
      <c r="Q22" s="41">
        <f t="shared" si="5"/>
        <v>0</v>
      </c>
      <c r="R22" s="41">
        <f t="shared" si="6"/>
        <v>540</v>
      </c>
      <c r="S22" s="43">
        <f t="shared" si="4"/>
        <v>540</v>
      </c>
    </row>
    <row r="23" spans="1:19">
      <c r="A23" s="215">
        <v>46220</v>
      </c>
      <c r="B23" s="40"/>
      <c r="C23" s="207"/>
      <c r="D23" s="207"/>
      <c r="E23" s="188"/>
      <c r="F23" s="188"/>
      <c r="G23" s="208"/>
      <c r="H23" s="208"/>
      <c r="I23" s="188"/>
      <c r="J23" s="205">
        <v>0</v>
      </c>
      <c r="K23" s="207">
        <f t="shared" si="7"/>
        <v>25</v>
      </c>
      <c r="L23" s="41">
        <f t="shared" si="0"/>
        <v>0</v>
      </c>
      <c r="M23" s="41">
        <f t="shared" si="1"/>
        <v>0</v>
      </c>
      <c r="N23" s="41">
        <f t="shared" si="2"/>
        <v>0</v>
      </c>
      <c r="O23" s="41">
        <f t="shared" si="3"/>
        <v>0</v>
      </c>
      <c r="P23" s="41">
        <f t="shared" si="3"/>
        <v>0</v>
      </c>
      <c r="Q23" s="41">
        <f t="shared" si="5"/>
        <v>0</v>
      </c>
      <c r="R23" s="41">
        <f t="shared" si="6"/>
        <v>540</v>
      </c>
      <c r="S23" s="43">
        <f t="shared" si="4"/>
        <v>540</v>
      </c>
    </row>
    <row r="24" spans="1:19">
      <c r="A24" s="215">
        <v>46221</v>
      </c>
      <c r="B24" s="40"/>
      <c r="C24" s="207"/>
      <c r="D24" s="207"/>
      <c r="E24" s="188"/>
      <c r="F24" s="188"/>
      <c r="G24" s="208"/>
      <c r="H24" s="208"/>
      <c r="I24" s="188"/>
      <c r="J24" s="205">
        <v>0</v>
      </c>
      <c r="K24" s="207">
        <f t="shared" si="7"/>
        <v>25</v>
      </c>
      <c r="L24" s="41">
        <f t="shared" si="0"/>
        <v>0</v>
      </c>
      <c r="M24" s="41">
        <f t="shared" si="1"/>
        <v>0</v>
      </c>
      <c r="N24" s="41">
        <f t="shared" si="2"/>
        <v>0</v>
      </c>
      <c r="O24" s="41">
        <f t="shared" si="3"/>
        <v>0</v>
      </c>
      <c r="P24" s="41">
        <f t="shared" si="3"/>
        <v>0</v>
      </c>
      <c r="Q24" s="41">
        <f t="shared" si="5"/>
        <v>0</v>
      </c>
      <c r="R24" s="41">
        <f t="shared" si="6"/>
        <v>540</v>
      </c>
      <c r="S24" s="43">
        <f t="shared" si="4"/>
        <v>540</v>
      </c>
    </row>
    <row r="25" spans="1:19">
      <c r="A25" s="215">
        <v>46222</v>
      </c>
      <c r="B25" s="40"/>
      <c r="C25" s="207"/>
      <c r="D25" s="207"/>
      <c r="E25" s="188"/>
      <c r="F25" s="188"/>
      <c r="G25" s="208"/>
      <c r="H25" s="208"/>
      <c r="I25" s="188"/>
      <c r="J25" s="205">
        <v>0</v>
      </c>
      <c r="K25" s="207">
        <f t="shared" si="7"/>
        <v>25</v>
      </c>
      <c r="L25" s="41">
        <f t="shared" si="0"/>
        <v>0</v>
      </c>
      <c r="M25" s="41">
        <f t="shared" si="1"/>
        <v>0</v>
      </c>
      <c r="N25" s="41">
        <f t="shared" si="2"/>
        <v>0</v>
      </c>
      <c r="O25" s="41">
        <f t="shared" si="3"/>
        <v>0</v>
      </c>
      <c r="P25" s="41">
        <f t="shared" si="3"/>
        <v>0</v>
      </c>
      <c r="Q25" s="41">
        <f t="shared" si="5"/>
        <v>0</v>
      </c>
      <c r="R25" s="41">
        <f t="shared" si="6"/>
        <v>540</v>
      </c>
      <c r="S25" s="43">
        <f t="shared" si="4"/>
        <v>540</v>
      </c>
    </row>
    <row r="26" spans="1:19">
      <c r="A26" s="215">
        <v>46223</v>
      </c>
      <c r="B26" s="40"/>
      <c r="C26" s="207"/>
      <c r="D26" s="207"/>
      <c r="E26" s="188"/>
      <c r="F26" s="188"/>
      <c r="G26" s="208"/>
      <c r="H26" s="208"/>
      <c r="I26" s="188"/>
      <c r="J26" s="205">
        <v>0</v>
      </c>
      <c r="K26" s="207">
        <f t="shared" si="7"/>
        <v>25</v>
      </c>
      <c r="L26" s="41">
        <f t="shared" si="0"/>
        <v>0</v>
      </c>
      <c r="M26" s="41">
        <f t="shared" si="1"/>
        <v>0</v>
      </c>
      <c r="N26" s="41">
        <f t="shared" si="2"/>
        <v>0</v>
      </c>
      <c r="O26" s="41">
        <f t="shared" si="3"/>
        <v>0</v>
      </c>
      <c r="P26" s="41">
        <f t="shared" si="3"/>
        <v>0</v>
      </c>
      <c r="Q26" s="41">
        <f t="shared" si="5"/>
        <v>0</v>
      </c>
      <c r="R26" s="41">
        <f t="shared" si="6"/>
        <v>540</v>
      </c>
      <c r="S26" s="43">
        <f t="shared" si="4"/>
        <v>540</v>
      </c>
    </row>
    <row r="27" spans="1:19">
      <c r="A27" s="215">
        <v>46224</v>
      </c>
      <c r="B27" s="40"/>
      <c r="C27" s="207"/>
      <c r="D27" s="207"/>
      <c r="E27" s="188"/>
      <c r="F27" s="188"/>
      <c r="G27" s="208"/>
      <c r="H27" s="208"/>
      <c r="I27" s="188"/>
      <c r="J27" s="205">
        <v>0</v>
      </c>
      <c r="K27" s="207">
        <f t="shared" si="7"/>
        <v>25</v>
      </c>
      <c r="L27" s="41">
        <f t="shared" si="0"/>
        <v>0</v>
      </c>
      <c r="M27" s="41">
        <f t="shared" si="1"/>
        <v>0</v>
      </c>
      <c r="N27" s="41">
        <f t="shared" si="2"/>
        <v>0</v>
      </c>
      <c r="O27" s="41">
        <f t="shared" si="3"/>
        <v>0</v>
      </c>
      <c r="P27" s="41">
        <f t="shared" si="3"/>
        <v>0</v>
      </c>
      <c r="Q27" s="41">
        <f t="shared" si="5"/>
        <v>0</v>
      </c>
      <c r="R27" s="41">
        <f t="shared" si="6"/>
        <v>540</v>
      </c>
      <c r="S27" s="43">
        <f t="shared" si="4"/>
        <v>540</v>
      </c>
    </row>
    <row r="28" spans="1:19">
      <c r="A28" s="215">
        <v>46225</v>
      </c>
      <c r="B28" s="40"/>
      <c r="C28" s="207"/>
      <c r="D28" s="207"/>
      <c r="E28" s="188"/>
      <c r="F28" s="188"/>
      <c r="G28" s="208"/>
      <c r="H28" s="208"/>
      <c r="I28" s="188"/>
      <c r="J28" s="205">
        <v>0</v>
      </c>
      <c r="K28" s="207">
        <f t="shared" si="7"/>
        <v>25</v>
      </c>
      <c r="L28" s="41">
        <f t="shared" si="0"/>
        <v>0</v>
      </c>
      <c r="M28" s="41">
        <f t="shared" si="1"/>
        <v>0</v>
      </c>
      <c r="N28" s="41">
        <f t="shared" si="2"/>
        <v>0</v>
      </c>
      <c r="O28" s="41">
        <f t="shared" si="3"/>
        <v>0</v>
      </c>
      <c r="P28" s="41">
        <f t="shared" si="3"/>
        <v>0</v>
      </c>
      <c r="Q28" s="41">
        <f t="shared" si="5"/>
        <v>0</v>
      </c>
      <c r="R28" s="41">
        <f t="shared" si="6"/>
        <v>540</v>
      </c>
      <c r="S28" s="43">
        <f t="shared" si="4"/>
        <v>540</v>
      </c>
    </row>
    <row r="29" spans="1:19">
      <c r="A29" s="215">
        <v>46226</v>
      </c>
      <c r="B29" s="40"/>
      <c r="C29" s="187"/>
      <c r="D29" s="187"/>
      <c r="E29" s="187"/>
      <c r="F29" s="187"/>
      <c r="G29" s="187"/>
      <c r="H29" s="187"/>
      <c r="I29" s="187"/>
      <c r="J29" s="205">
        <v>0</v>
      </c>
      <c r="K29" s="207">
        <f t="shared" si="7"/>
        <v>25</v>
      </c>
      <c r="L29" s="41">
        <f t="shared" si="0"/>
        <v>0</v>
      </c>
      <c r="M29" s="41">
        <f t="shared" si="1"/>
        <v>0</v>
      </c>
      <c r="N29" s="41">
        <f t="shared" si="2"/>
        <v>0</v>
      </c>
      <c r="O29" s="41">
        <f t="shared" si="3"/>
        <v>0</v>
      </c>
      <c r="P29" s="41">
        <f t="shared" si="3"/>
        <v>0</v>
      </c>
      <c r="Q29" s="41">
        <f t="shared" si="5"/>
        <v>0</v>
      </c>
      <c r="R29" s="41">
        <f t="shared" si="6"/>
        <v>540</v>
      </c>
      <c r="S29" s="43">
        <f t="shared" si="4"/>
        <v>540</v>
      </c>
    </row>
    <row r="30" spans="1:19">
      <c r="A30" s="215">
        <v>46227</v>
      </c>
      <c r="B30" s="40"/>
      <c r="C30" s="207"/>
      <c r="D30" s="207"/>
      <c r="E30" s="188"/>
      <c r="F30" s="188"/>
      <c r="G30" s="208"/>
      <c r="H30" s="208"/>
      <c r="I30" s="188"/>
      <c r="J30" s="205">
        <v>0</v>
      </c>
      <c r="K30" s="207">
        <f t="shared" si="7"/>
        <v>25</v>
      </c>
      <c r="L30" s="41">
        <f t="shared" si="0"/>
        <v>0</v>
      </c>
      <c r="M30" s="41">
        <f t="shared" si="1"/>
        <v>0</v>
      </c>
      <c r="N30" s="41">
        <f t="shared" si="2"/>
        <v>0</v>
      </c>
      <c r="O30" s="41">
        <f t="shared" si="3"/>
        <v>0</v>
      </c>
      <c r="P30" s="41">
        <f t="shared" si="3"/>
        <v>0</v>
      </c>
      <c r="Q30" s="41">
        <f t="shared" si="5"/>
        <v>0</v>
      </c>
      <c r="R30" s="41">
        <f t="shared" si="6"/>
        <v>540</v>
      </c>
      <c r="S30" s="43">
        <f t="shared" si="4"/>
        <v>540</v>
      </c>
    </row>
    <row r="31" spans="1:19">
      <c r="A31" s="215">
        <v>46228</v>
      </c>
      <c r="B31" s="40"/>
      <c r="C31" s="207"/>
      <c r="D31" s="207"/>
      <c r="E31" s="188"/>
      <c r="F31" s="188"/>
      <c r="G31" s="208"/>
      <c r="H31" s="208"/>
      <c r="I31" s="188"/>
      <c r="J31" s="205">
        <v>0</v>
      </c>
      <c r="K31" s="207">
        <f t="shared" si="7"/>
        <v>25</v>
      </c>
      <c r="L31" s="41">
        <f t="shared" si="0"/>
        <v>0</v>
      </c>
      <c r="M31" s="41">
        <f t="shared" si="1"/>
        <v>0</v>
      </c>
      <c r="N31" s="41">
        <f t="shared" si="2"/>
        <v>0</v>
      </c>
      <c r="O31" s="41">
        <f t="shared" si="3"/>
        <v>0</v>
      </c>
      <c r="P31" s="41">
        <f t="shared" si="3"/>
        <v>0</v>
      </c>
      <c r="Q31" s="41">
        <f t="shared" si="5"/>
        <v>0</v>
      </c>
      <c r="R31" s="41">
        <f t="shared" si="6"/>
        <v>540</v>
      </c>
      <c r="S31" s="43">
        <f t="shared" si="4"/>
        <v>540</v>
      </c>
    </row>
    <row r="32" spans="1:19">
      <c r="A32" s="215">
        <v>46229</v>
      </c>
      <c r="B32" s="40"/>
      <c r="C32" s="207"/>
      <c r="D32" s="207"/>
      <c r="E32" s="188"/>
      <c r="F32" s="188"/>
      <c r="G32" s="208"/>
      <c r="H32" s="208"/>
      <c r="I32" s="188"/>
      <c r="J32" s="205">
        <v>0</v>
      </c>
      <c r="K32" s="207">
        <f t="shared" si="7"/>
        <v>25</v>
      </c>
      <c r="L32" s="41">
        <f t="shared" si="0"/>
        <v>0</v>
      </c>
      <c r="M32" s="41">
        <f t="shared" si="1"/>
        <v>0</v>
      </c>
      <c r="N32" s="41">
        <f t="shared" si="2"/>
        <v>0</v>
      </c>
      <c r="O32" s="41">
        <f t="shared" si="3"/>
        <v>0</v>
      </c>
      <c r="P32" s="41">
        <f t="shared" si="3"/>
        <v>0</v>
      </c>
      <c r="Q32" s="41">
        <f t="shared" si="5"/>
        <v>0</v>
      </c>
      <c r="R32" s="41">
        <f t="shared" si="6"/>
        <v>540</v>
      </c>
      <c r="S32" s="43">
        <f t="shared" si="4"/>
        <v>540</v>
      </c>
    </row>
    <row r="33" spans="1:19">
      <c r="A33" s="215">
        <v>46230</v>
      </c>
      <c r="B33" s="40"/>
      <c r="C33" s="207"/>
      <c r="D33" s="207"/>
      <c r="E33" s="188"/>
      <c r="F33" s="188"/>
      <c r="G33" s="208"/>
      <c r="H33" s="208"/>
      <c r="I33" s="188"/>
      <c r="J33" s="205">
        <v>0</v>
      </c>
      <c r="K33" s="207">
        <f t="shared" si="7"/>
        <v>25</v>
      </c>
      <c r="L33" s="41">
        <f t="shared" si="0"/>
        <v>0</v>
      </c>
      <c r="M33" s="41">
        <f t="shared" si="1"/>
        <v>0</v>
      </c>
      <c r="N33" s="41">
        <f t="shared" si="2"/>
        <v>0</v>
      </c>
      <c r="O33" s="41">
        <f t="shared" si="3"/>
        <v>0</v>
      </c>
      <c r="P33" s="41">
        <f t="shared" si="3"/>
        <v>0</v>
      </c>
      <c r="Q33" s="41">
        <f t="shared" si="5"/>
        <v>0</v>
      </c>
      <c r="R33" s="41">
        <f t="shared" si="6"/>
        <v>540</v>
      </c>
      <c r="S33" s="43">
        <f t="shared" si="4"/>
        <v>540</v>
      </c>
    </row>
    <row r="34" spans="1:19">
      <c r="A34" s="215">
        <v>46231</v>
      </c>
      <c r="B34" s="40"/>
      <c r="C34" s="207"/>
      <c r="D34" s="207"/>
      <c r="E34" s="188"/>
      <c r="F34" s="188"/>
      <c r="G34" s="188"/>
      <c r="H34" s="208"/>
      <c r="I34" s="188"/>
      <c r="J34" s="205">
        <v>0</v>
      </c>
      <c r="K34" s="207">
        <f t="shared" si="7"/>
        <v>25</v>
      </c>
      <c r="L34" s="41">
        <f t="shared" si="0"/>
        <v>0</v>
      </c>
      <c r="M34" s="41">
        <f t="shared" si="1"/>
        <v>0</v>
      </c>
      <c r="N34" s="41">
        <f t="shared" si="2"/>
        <v>0</v>
      </c>
      <c r="O34" s="41">
        <f t="shared" si="3"/>
        <v>0</v>
      </c>
      <c r="P34" s="41">
        <f t="shared" si="3"/>
        <v>0</v>
      </c>
      <c r="Q34" s="41">
        <f t="shared" si="5"/>
        <v>0</v>
      </c>
      <c r="R34" s="41">
        <f t="shared" si="6"/>
        <v>540</v>
      </c>
      <c r="S34" s="43">
        <f t="shared" si="4"/>
        <v>540</v>
      </c>
    </row>
    <row r="35" spans="1:19">
      <c r="A35" s="215">
        <v>46232</v>
      </c>
      <c r="B35" s="40"/>
      <c r="C35" s="207"/>
      <c r="D35" s="207"/>
      <c r="E35" s="188"/>
      <c r="F35" s="188"/>
      <c r="G35" s="188"/>
      <c r="H35" s="208"/>
      <c r="I35" s="188"/>
      <c r="J35" s="205"/>
      <c r="K35" s="207">
        <f t="shared" si="7"/>
        <v>25</v>
      </c>
      <c r="L35" s="41">
        <f t="shared" si="0"/>
        <v>0</v>
      </c>
      <c r="M35" s="41">
        <f t="shared" si="1"/>
        <v>0</v>
      </c>
      <c r="N35" s="41">
        <f t="shared" si="2"/>
        <v>0</v>
      </c>
      <c r="O35" s="41">
        <f t="shared" si="3"/>
        <v>0</v>
      </c>
      <c r="P35" s="41">
        <f t="shared" si="3"/>
        <v>0</v>
      </c>
      <c r="Q35" s="41">
        <f t="shared" si="5"/>
        <v>0</v>
      </c>
      <c r="R35" s="41">
        <f t="shared" si="6"/>
        <v>540</v>
      </c>
      <c r="S35" s="43">
        <f t="shared" si="4"/>
        <v>540</v>
      </c>
    </row>
    <row r="36" spans="1:19">
      <c r="A36" s="215">
        <v>46233</v>
      </c>
      <c r="B36" s="40"/>
      <c r="C36" s="207"/>
      <c r="D36" s="207"/>
      <c r="E36" s="188"/>
      <c r="F36" s="188"/>
      <c r="G36" s="188"/>
      <c r="H36" s="208"/>
      <c r="I36" s="188"/>
      <c r="J36" s="205"/>
      <c r="K36" s="207">
        <f t="shared" si="7"/>
        <v>25</v>
      </c>
      <c r="L36" s="41">
        <f t="shared" si="0"/>
        <v>0</v>
      </c>
      <c r="M36" s="41">
        <f t="shared" si="1"/>
        <v>0</v>
      </c>
      <c r="N36" s="41">
        <f t="shared" si="2"/>
        <v>0</v>
      </c>
      <c r="O36" s="41">
        <f t="shared" si="3"/>
        <v>0</v>
      </c>
      <c r="P36" s="41">
        <f t="shared" si="3"/>
        <v>0</v>
      </c>
      <c r="Q36" s="41">
        <f t="shared" si="5"/>
        <v>0</v>
      </c>
      <c r="R36" s="41">
        <f t="shared" si="6"/>
        <v>540</v>
      </c>
      <c r="S36" s="43">
        <f t="shared" si="4"/>
        <v>540</v>
      </c>
    </row>
    <row r="37" spans="1:19" ht="15.75" thickBot="1">
      <c r="A37" s="215"/>
      <c r="B37" s="40"/>
      <c r="C37" s="207"/>
      <c r="D37" s="207"/>
      <c r="E37" s="188"/>
      <c r="F37" s="188"/>
      <c r="G37" s="188"/>
      <c r="H37" s="208"/>
      <c r="I37" s="188"/>
      <c r="J37" s="205"/>
      <c r="K37" s="207">
        <f t="shared" si="7"/>
        <v>25</v>
      </c>
      <c r="L37" s="41">
        <f t="shared" si="0"/>
        <v>0</v>
      </c>
      <c r="M37" s="41">
        <f t="shared" si="1"/>
        <v>0</v>
      </c>
      <c r="N37" s="41">
        <f t="shared" si="2"/>
        <v>0</v>
      </c>
      <c r="O37" s="41">
        <f t="shared" si="3"/>
        <v>0</v>
      </c>
      <c r="P37" s="41">
        <f t="shared" si="3"/>
        <v>0</v>
      </c>
      <c r="Q37" s="41">
        <f t="shared" si="5"/>
        <v>0</v>
      </c>
      <c r="R37" s="41">
        <f t="shared" si="6"/>
        <v>540</v>
      </c>
      <c r="S37" s="43">
        <f t="shared" ref="S37" si="8">SUM(L37:R37)</f>
        <v>540</v>
      </c>
    </row>
    <row r="38" spans="1:19" ht="15.75" thickBot="1">
      <c r="A38" s="216" t="s">
        <v>26</v>
      </c>
      <c r="B38" s="44"/>
      <c r="C38" s="45">
        <f t="shared" ref="C38:K38" si="9">SUM(C7:C37)</f>
        <v>0</v>
      </c>
      <c r="D38" s="45">
        <f t="shared" si="9"/>
        <v>0</v>
      </c>
      <c r="E38" s="45">
        <f t="shared" si="9"/>
        <v>1</v>
      </c>
      <c r="F38" s="45">
        <f t="shared" si="9"/>
        <v>0</v>
      </c>
      <c r="G38" s="45">
        <f t="shared" si="9"/>
        <v>0</v>
      </c>
      <c r="H38" s="45">
        <f t="shared" si="9"/>
        <v>0</v>
      </c>
      <c r="I38" s="45">
        <f t="shared" si="9"/>
        <v>0</v>
      </c>
      <c r="J38" s="45">
        <f t="shared" si="9"/>
        <v>0</v>
      </c>
      <c r="K38" s="45">
        <f t="shared" si="9"/>
        <v>784</v>
      </c>
      <c r="L38" s="46">
        <f>SUM(L7:L37)</f>
        <v>0</v>
      </c>
      <c r="M38" s="46">
        <f t="shared" ref="M38:R38" si="10">SUM(M7:M37)</f>
        <v>0</v>
      </c>
      <c r="N38" s="46">
        <f t="shared" si="10"/>
        <v>168</v>
      </c>
      <c r="O38" s="46">
        <f t="shared" si="10"/>
        <v>0</v>
      </c>
      <c r="P38" s="46">
        <f t="shared" si="10"/>
        <v>0</v>
      </c>
      <c r="Q38" s="46">
        <f t="shared" si="10"/>
        <v>0</v>
      </c>
      <c r="R38" s="47">
        <f t="shared" si="10"/>
        <v>16934.400000000001</v>
      </c>
      <c r="S38" s="48">
        <f>SUM(S7:S37)</f>
        <v>17102.400000000001</v>
      </c>
    </row>
    <row r="39" spans="1:19">
      <c r="C39" s="180"/>
      <c r="D39" s="180"/>
      <c r="E39" s="180"/>
      <c r="F39" s="180"/>
      <c r="G39" s="180"/>
      <c r="H39" s="180"/>
      <c r="I39" s="180"/>
      <c r="J39" s="180"/>
      <c r="K39" s="180"/>
      <c r="R39" s="212" t="s">
        <v>26</v>
      </c>
      <c r="S39" s="217">
        <f>S38</f>
        <v>17102.400000000001</v>
      </c>
    </row>
  </sheetData>
  <mergeCells count="55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O5:O6"/>
    <mergeCell ref="P5:P6"/>
    <mergeCell ref="Q5:Q6"/>
    <mergeCell ref="R5:R6"/>
    <mergeCell ref="S5:S6"/>
    <mergeCell ref="A7:B7"/>
    <mergeCell ref="H5:H6"/>
    <mergeCell ref="I5:I6"/>
    <mergeCell ref="J5:J6"/>
    <mergeCell ref="L5:L6"/>
    <mergeCell ref="M5:M6"/>
    <mergeCell ref="N5:N6"/>
    <mergeCell ref="A5:B6"/>
    <mergeCell ref="C5:C6"/>
    <mergeCell ref="D5:D6"/>
    <mergeCell ref="E5:E6"/>
    <mergeCell ref="F5:F6"/>
    <mergeCell ref="G5:G6"/>
    <mergeCell ref="H1:I1"/>
    <mergeCell ref="H2:I2"/>
    <mergeCell ref="H3:I3"/>
    <mergeCell ref="A4:G4"/>
    <mergeCell ref="H4:I4"/>
    <mergeCell ref="L4:S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CED2-1857-43DD-BD0C-112FE52D0740}">
  <dimension ref="A1:L36"/>
  <sheetViews>
    <sheetView topLeftCell="B22" workbookViewId="0">
      <selection activeCell="L35" sqref="L35"/>
    </sheetView>
  </sheetViews>
  <sheetFormatPr defaultRowHeight="15"/>
  <cols>
    <col min="1" max="4" width="9.140625" style="51"/>
    <col min="5" max="5" width="12.85546875" style="51" customWidth="1"/>
    <col min="6" max="10" width="9.140625" style="51"/>
    <col min="11" max="11" width="10.85546875" style="51" customWidth="1"/>
    <col min="12" max="12" width="24" style="51" customWidth="1"/>
    <col min="13" max="16384" width="9.140625" style="51"/>
  </cols>
  <sheetData>
    <row r="1" spans="1:12">
      <c r="A1" s="218">
        <f>K36</f>
        <v>55733</v>
      </c>
    </row>
    <row r="2" spans="1:12">
      <c r="A2" s="82" t="s">
        <v>138</v>
      </c>
      <c r="B2" s="82"/>
      <c r="C2" s="82"/>
      <c r="D2" s="82"/>
      <c r="E2" s="82"/>
      <c r="F2" s="82"/>
      <c r="G2" s="82"/>
      <c r="H2" s="82"/>
    </row>
    <row r="3" spans="1:12" ht="28.9" customHeight="1">
      <c r="A3" s="183" t="s">
        <v>0</v>
      </c>
      <c r="B3" s="184" t="s">
        <v>1</v>
      </c>
      <c r="C3" s="185"/>
      <c r="D3" s="183" t="s">
        <v>117</v>
      </c>
      <c r="E3" s="219" t="s">
        <v>139</v>
      </c>
      <c r="F3" s="220"/>
      <c r="G3" s="186" t="s">
        <v>4</v>
      </c>
      <c r="H3" s="183" t="s">
        <v>11</v>
      </c>
      <c r="I3" s="183" t="s">
        <v>140</v>
      </c>
      <c r="J3" s="183" t="s">
        <v>13</v>
      </c>
      <c r="K3" s="183" t="s">
        <v>18</v>
      </c>
      <c r="L3" s="221" t="s">
        <v>141</v>
      </c>
    </row>
    <row r="4" spans="1:12" ht="30">
      <c r="A4" s="57"/>
      <c r="B4" s="58"/>
      <c r="C4" s="59"/>
      <c r="D4" s="57"/>
      <c r="E4" s="222" t="s">
        <v>142</v>
      </c>
      <c r="F4" s="222" t="s">
        <v>143</v>
      </c>
      <c r="G4" s="60" t="s">
        <v>127</v>
      </c>
      <c r="H4" s="57"/>
      <c r="I4" s="57"/>
      <c r="J4" s="57"/>
      <c r="K4" s="57"/>
      <c r="L4" s="221"/>
    </row>
    <row r="5" spans="1:12">
      <c r="A5" s="187">
        <v>1</v>
      </c>
      <c r="B5" s="83">
        <v>46204</v>
      </c>
      <c r="C5" s="84"/>
      <c r="D5" s="200">
        <v>3</v>
      </c>
      <c r="E5" s="189">
        <v>27</v>
      </c>
      <c r="F5" s="189"/>
      <c r="G5" s="224">
        <v>50</v>
      </c>
      <c r="H5" s="189">
        <f>SUM(D5*60)</f>
        <v>180</v>
      </c>
      <c r="I5" s="189">
        <f>SUM(E5*25+F5*7)</f>
        <v>675</v>
      </c>
      <c r="J5" s="189">
        <f>SUM(G5*15)</f>
        <v>750</v>
      </c>
      <c r="K5" s="189">
        <f>SUM(H5:J5)</f>
        <v>1605</v>
      </c>
      <c r="L5" s="51">
        <v>7</v>
      </c>
    </row>
    <row r="6" spans="1:12">
      <c r="A6" s="187">
        <v>2</v>
      </c>
      <c r="B6" s="83">
        <v>46205</v>
      </c>
      <c r="C6" s="84"/>
      <c r="D6" s="200"/>
      <c r="E6" s="189"/>
      <c r="F6" s="189"/>
      <c r="G6" s="224">
        <f>G5+D6-L5</f>
        <v>43</v>
      </c>
      <c r="H6" s="189">
        <f t="shared" ref="H6:H35" si="0">SUM(D6*60)</f>
        <v>0</v>
      </c>
      <c r="I6" s="189">
        <f>SUM(E6*25+F6*7)</f>
        <v>0</v>
      </c>
      <c r="J6" s="189">
        <f t="shared" ref="J6:J35" si="1">SUM(G6*15)</f>
        <v>645</v>
      </c>
      <c r="K6" s="189">
        <f t="shared" ref="K6:K35" si="2">SUM(H6:J6)</f>
        <v>645</v>
      </c>
      <c r="L6" s="51">
        <v>0</v>
      </c>
    </row>
    <row r="7" spans="1:12">
      <c r="A7" s="187">
        <v>3</v>
      </c>
      <c r="B7" s="83">
        <v>46206</v>
      </c>
      <c r="C7" s="84"/>
      <c r="D7" s="200">
        <v>20</v>
      </c>
      <c r="E7" s="189"/>
      <c r="F7" s="189">
        <v>15</v>
      </c>
      <c r="G7" s="224">
        <f t="shared" ref="G7:G35" si="3">G6+D7-L6</f>
        <v>63</v>
      </c>
      <c r="H7" s="189">
        <f t="shared" si="0"/>
        <v>1200</v>
      </c>
      <c r="I7" s="189">
        <f>SUM(E7*25+F7*7)</f>
        <v>105</v>
      </c>
      <c r="J7" s="189">
        <f t="shared" si="1"/>
        <v>945</v>
      </c>
      <c r="K7" s="189">
        <f t="shared" si="2"/>
        <v>2250</v>
      </c>
      <c r="L7" s="51">
        <v>0</v>
      </c>
    </row>
    <row r="8" spans="1:12">
      <c r="A8" s="187">
        <v>4</v>
      </c>
      <c r="B8" s="83">
        <v>46207</v>
      </c>
      <c r="C8" s="84"/>
      <c r="D8" s="200"/>
      <c r="E8" s="189"/>
      <c r="F8" s="189"/>
      <c r="G8" s="224">
        <f t="shared" si="3"/>
        <v>63</v>
      </c>
      <c r="H8" s="189">
        <f t="shared" si="0"/>
        <v>0</v>
      </c>
      <c r="I8" s="189">
        <f t="shared" ref="I8:I35" si="4">SUM(E8*25+F8*7)</f>
        <v>0</v>
      </c>
      <c r="J8" s="189">
        <f t="shared" si="1"/>
        <v>945</v>
      </c>
      <c r="K8" s="189">
        <f t="shared" si="2"/>
        <v>945</v>
      </c>
      <c r="L8" s="51">
        <v>0</v>
      </c>
    </row>
    <row r="9" spans="1:12">
      <c r="A9" s="187">
        <v>5</v>
      </c>
      <c r="B9" s="83">
        <v>46208</v>
      </c>
      <c r="C9" s="84"/>
      <c r="D9" s="200"/>
      <c r="E9" s="189"/>
      <c r="F9" s="189"/>
      <c r="G9" s="224">
        <f t="shared" si="3"/>
        <v>63</v>
      </c>
      <c r="H9" s="189">
        <f t="shared" si="0"/>
        <v>0</v>
      </c>
      <c r="I9" s="189">
        <f t="shared" si="4"/>
        <v>0</v>
      </c>
      <c r="J9" s="189">
        <f t="shared" si="1"/>
        <v>945</v>
      </c>
      <c r="K9" s="189">
        <f t="shared" si="2"/>
        <v>945</v>
      </c>
      <c r="L9" s="51">
        <v>0</v>
      </c>
    </row>
    <row r="10" spans="1:12">
      <c r="A10" s="187">
        <v>6</v>
      </c>
      <c r="B10" s="83">
        <v>46209</v>
      </c>
      <c r="C10" s="84"/>
      <c r="D10" s="200"/>
      <c r="E10" s="189">
        <v>48</v>
      </c>
      <c r="F10" s="189">
        <v>2</v>
      </c>
      <c r="G10" s="224">
        <f t="shared" si="3"/>
        <v>63</v>
      </c>
      <c r="H10" s="189">
        <f t="shared" si="0"/>
        <v>0</v>
      </c>
      <c r="I10" s="189">
        <f t="shared" si="4"/>
        <v>1214</v>
      </c>
      <c r="J10" s="189">
        <f t="shared" si="1"/>
        <v>945</v>
      </c>
      <c r="K10" s="189">
        <f t="shared" si="2"/>
        <v>2159</v>
      </c>
      <c r="L10" s="51">
        <v>11</v>
      </c>
    </row>
    <row r="11" spans="1:12">
      <c r="A11" s="187">
        <v>7</v>
      </c>
      <c r="B11" s="83">
        <v>46210</v>
      </c>
      <c r="C11" s="84"/>
      <c r="D11" s="200">
        <v>20</v>
      </c>
      <c r="E11" s="189"/>
      <c r="F11" s="189"/>
      <c r="G11" s="224">
        <f t="shared" si="3"/>
        <v>72</v>
      </c>
      <c r="H11" s="189">
        <f t="shared" si="0"/>
        <v>1200</v>
      </c>
      <c r="I11" s="189">
        <f t="shared" si="4"/>
        <v>0</v>
      </c>
      <c r="J11" s="189">
        <f t="shared" si="1"/>
        <v>1080</v>
      </c>
      <c r="K11" s="189">
        <f t="shared" si="2"/>
        <v>2280</v>
      </c>
      <c r="L11" s="51">
        <v>0</v>
      </c>
    </row>
    <row r="12" spans="1:12">
      <c r="A12" s="187">
        <v>8</v>
      </c>
      <c r="B12" s="83">
        <v>46211</v>
      </c>
      <c r="C12" s="84"/>
      <c r="D12" s="200">
        <v>21</v>
      </c>
      <c r="E12" s="189"/>
      <c r="F12" s="189"/>
      <c r="G12" s="224">
        <f t="shared" si="3"/>
        <v>93</v>
      </c>
      <c r="H12" s="189">
        <f t="shared" si="0"/>
        <v>1260</v>
      </c>
      <c r="I12" s="189">
        <f t="shared" si="4"/>
        <v>0</v>
      </c>
      <c r="J12" s="189">
        <f t="shared" si="1"/>
        <v>1395</v>
      </c>
      <c r="K12" s="189">
        <f t="shared" si="2"/>
        <v>2655</v>
      </c>
      <c r="L12" s="51">
        <v>0</v>
      </c>
    </row>
    <row r="13" spans="1:12">
      <c r="A13" s="187">
        <v>9</v>
      </c>
      <c r="B13" s="83">
        <v>46212</v>
      </c>
      <c r="C13" s="84"/>
      <c r="D13" s="200">
        <v>20</v>
      </c>
      <c r="E13" s="189">
        <v>33</v>
      </c>
      <c r="F13" s="189"/>
      <c r="G13" s="224">
        <f t="shared" si="3"/>
        <v>113</v>
      </c>
      <c r="H13" s="189">
        <f t="shared" si="0"/>
        <v>1200</v>
      </c>
      <c r="I13" s="189">
        <f t="shared" si="4"/>
        <v>825</v>
      </c>
      <c r="J13" s="189">
        <f t="shared" si="1"/>
        <v>1695</v>
      </c>
      <c r="K13" s="189">
        <f t="shared" si="2"/>
        <v>3720</v>
      </c>
      <c r="L13" s="51">
        <v>9</v>
      </c>
    </row>
    <row r="14" spans="1:12">
      <c r="A14" s="187">
        <v>10</v>
      </c>
      <c r="B14" s="83">
        <v>46213</v>
      </c>
      <c r="C14" s="84"/>
      <c r="D14" s="200">
        <v>20</v>
      </c>
      <c r="E14" s="189">
        <v>28</v>
      </c>
      <c r="F14" s="189"/>
      <c r="G14" s="224">
        <f t="shared" si="3"/>
        <v>124</v>
      </c>
      <c r="H14" s="189">
        <f t="shared" si="0"/>
        <v>1200</v>
      </c>
      <c r="I14" s="189">
        <f t="shared" si="4"/>
        <v>700</v>
      </c>
      <c r="J14" s="189">
        <f t="shared" si="1"/>
        <v>1860</v>
      </c>
      <c r="K14" s="189">
        <f t="shared" si="2"/>
        <v>3760</v>
      </c>
      <c r="L14" s="51">
        <v>7</v>
      </c>
    </row>
    <row r="15" spans="1:12">
      <c r="A15" s="187">
        <v>11</v>
      </c>
      <c r="B15" s="83">
        <v>46214</v>
      </c>
      <c r="C15" s="84"/>
      <c r="D15" s="200"/>
      <c r="E15" s="189"/>
      <c r="F15" s="189"/>
      <c r="G15" s="224">
        <f t="shared" si="3"/>
        <v>117</v>
      </c>
      <c r="H15" s="189">
        <f t="shared" si="0"/>
        <v>0</v>
      </c>
      <c r="I15" s="189">
        <f t="shared" si="4"/>
        <v>0</v>
      </c>
      <c r="J15" s="189">
        <f t="shared" si="1"/>
        <v>1755</v>
      </c>
      <c r="K15" s="189">
        <f t="shared" si="2"/>
        <v>1755</v>
      </c>
    </row>
    <row r="16" spans="1:12">
      <c r="A16" s="187">
        <v>12</v>
      </c>
      <c r="B16" s="83">
        <v>46215</v>
      </c>
      <c r="C16" s="84"/>
      <c r="D16" s="200"/>
      <c r="E16" s="189"/>
      <c r="F16" s="189"/>
      <c r="G16" s="224">
        <f t="shared" si="3"/>
        <v>117</v>
      </c>
      <c r="H16" s="189">
        <f t="shared" si="0"/>
        <v>0</v>
      </c>
      <c r="I16" s="189">
        <f t="shared" si="4"/>
        <v>0</v>
      </c>
      <c r="J16" s="189">
        <f t="shared" si="1"/>
        <v>1755</v>
      </c>
      <c r="K16" s="189">
        <f t="shared" si="2"/>
        <v>1755</v>
      </c>
    </row>
    <row r="17" spans="1:12">
      <c r="A17" s="187">
        <v>13</v>
      </c>
      <c r="B17" s="83">
        <v>46216</v>
      </c>
      <c r="C17" s="84"/>
      <c r="D17" s="200"/>
      <c r="E17" s="189">
        <v>45</v>
      </c>
      <c r="F17" s="189">
        <v>3</v>
      </c>
      <c r="G17" s="224">
        <f t="shared" si="3"/>
        <v>117</v>
      </c>
      <c r="H17" s="189">
        <f t="shared" si="0"/>
        <v>0</v>
      </c>
      <c r="I17" s="189">
        <f t="shared" si="4"/>
        <v>1146</v>
      </c>
      <c r="J17" s="189">
        <f t="shared" si="1"/>
        <v>1755</v>
      </c>
      <c r="K17" s="189">
        <f t="shared" si="2"/>
        <v>2901</v>
      </c>
      <c r="L17" s="51">
        <v>11</v>
      </c>
    </row>
    <row r="18" spans="1:12">
      <c r="A18" s="187">
        <v>14</v>
      </c>
      <c r="B18" s="83">
        <v>46217</v>
      </c>
      <c r="C18" s="84"/>
      <c r="D18" s="200"/>
      <c r="E18" s="189"/>
      <c r="F18" s="189"/>
      <c r="G18" s="224">
        <f t="shared" si="3"/>
        <v>106</v>
      </c>
      <c r="H18" s="189">
        <f t="shared" si="0"/>
        <v>0</v>
      </c>
      <c r="I18" s="189">
        <f t="shared" si="4"/>
        <v>0</v>
      </c>
      <c r="J18" s="189">
        <f t="shared" si="1"/>
        <v>1590</v>
      </c>
      <c r="K18" s="189">
        <f t="shared" si="2"/>
        <v>1590</v>
      </c>
    </row>
    <row r="19" spans="1:12">
      <c r="A19" s="187">
        <v>15</v>
      </c>
      <c r="B19" s="83">
        <v>46218</v>
      </c>
      <c r="C19" s="84"/>
      <c r="D19" s="200"/>
      <c r="E19" s="189"/>
      <c r="F19" s="189"/>
      <c r="G19" s="224">
        <f t="shared" si="3"/>
        <v>106</v>
      </c>
      <c r="H19" s="189">
        <f t="shared" si="0"/>
        <v>0</v>
      </c>
      <c r="I19" s="189">
        <f t="shared" si="4"/>
        <v>0</v>
      </c>
      <c r="J19" s="189">
        <f t="shared" si="1"/>
        <v>1590</v>
      </c>
      <c r="K19" s="189">
        <f t="shared" si="2"/>
        <v>1590</v>
      </c>
    </row>
    <row r="20" spans="1:12">
      <c r="A20" s="187">
        <v>16</v>
      </c>
      <c r="B20" s="83">
        <v>46219</v>
      </c>
      <c r="C20" s="84"/>
      <c r="D20" s="200"/>
      <c r="E20" s="189"/>
      <c r="F20" s="189"/>
      <c r="G20" s="224">
        <f t="shared" si="3"/>
        <v>106</v>
      </c>
      <c r="H20" s="189">
        <f t="shared" si="0"/>
        <v>0</v>
      </c>
      <c r="I20" s="189">
        <f t="shared" si="4"/>
        <v>0</v>
      </c>
      <c r="J20" s="189">
        <f t="shared" si="1"/>
        <v>1590</v>
      </c>
      <c r="K20" s="189">
        <f t="shared" si="2"/>
        <v>1590</v>
      </c>
    </row>
    <row r="21" spans="1:12">
      <c r="A21" s="187">
        <v>17</v>
      </c>
      <c r="B21" s="83">
        <v>46220</v>
      </c>
      <c r="C21" s="84"/>
      <c r="D21" s="200"/>
      <c r="E21" s="189"/>
      <c r="F21" s="189"/>
      <c r="G21" s="224">
        <f t="shared" si="3"/>
        <v>106</v>
      </c>
      <c r="H21" s="189">
        <f t="shared" si="0"/>
        <v>0</v>
      </c>
      <c r="I21" s="189">
        <f t="shared" si="4"/>
        <v>0</v>
      </c>
      <c r="J21" s="189">
        <f t="shared" si="1"/>
        <v>1590</v>
      </c>
      <c r="K21" s="189">
        <f t="shared" si="2"/>
        <v>1590</v>
      </c>
    </row>
    <row r="22" spans="1:12">
      <c r="A22" s="187">
        <v>18</v>
      </c>
      <c r="B22" s="83">
        <v>46221</v>
      </c>
      <c r="C22" s="84"/>
      <c r="D22" s="200"/>
      <c r="E22" s="189"/>
      <c r="F22" s="189"/>
      <c r="G22" s="224">
        <f t="shared" si="3"/>
        <v>106</v>
      </c>
      <c r="H22" s="189">
        <f t="shared" si="0"/>
        <v>0</v>
      </c>
      <c r="I22" s="189">
        <f t="shared" si="4"/>
        <v>0</v>
      </c>
      <c r="J22" s="189">
        <f t="shared" si="1"/>
        <v>1590</v>
      </c>
      <c r="K22" s="189">
        <f t="shared" si="2"/>
        <v>1590</v>
      </c>
    </row>
    <row r="23" spans="1:12">
      <c r="A23" s="187">
        <v>19</v>
      </c>
      <c r="B23" s="83">
        <v>46222</v>
      </c>
      <c r="C23" s="84"/>
      <c r="D23" s="200"/>
      <c r="E23" s="189"/>
      <c r="F23" s="189"/>
      <c r="G23" s="224">
        <f t="shared" si="3"/>
        <v>106</v>
      </c>
      <c r="H23" s="189">
        <f t="shared" si="0"/>
        <v>0</v>
      </c>
      <c r="I23" s="189">
        <f t="shared" si="4"/>
        <v>0</v>
      </c>
      <c r="J23" s="189">
        <f t="shared" si="1"/>
        <v>1590</v>
      </c>
      <c r="K23" s="189">
        <f t="shared" si="2"/>
        <v>1590</v>
      </c>
    </row>
    <row r="24" spans="1:12">
      <c r="A24" s="187">
        <v>20</v>
      </c>
      <c r="B24" s="83">
        <v>46223</v>
      </c>
      <c r="C24" s="84"/>
      <c r="D24" s="200"/>
      <c r="E24" s="189">
        <v>25</v>
      </c>
      <c r="F24" s="189">
        <v>15</v>
      </c>
      <c r="G24" s="224">
        <f t="shared" si="3"/>
        <v>106</v>
      </c>
      <c r="H24" s="189">
        <f t="shared" si="0"/>
        <v>0</v>
      </c>
      <c r="I24" s="189">
        <f t="shared" si="4"/>
        <v>730</v>
      </c>
      <c r="J24" s="189">
        <f t="shared" si="1"/>
        <v>1590</v>
      </c>
      <c r="K24" s="189">
        <f t="shared" si="2"/>
        <v>2320</v>
      </c>
      <c r="L24" s="51">
        <v>7</v>
      </c>
    </row>
    <row r="25" spans="1:12">
      <c r="A25" s="187">
        <v>21</v>
      </c>
      <c r="B25" s="83">
        <v>46224</v>
      </c>
      <c r="C25" s="84"/>
      <c r="D25" s="200"/>
      <c r="E25" s="189">
        <v>44</v>
      </c>
      <c r="F25" s="189"/>
      <c r="G25" s="224">
        <f t="shared" si="3"/>
        <v>99</v>
      </c>
      <c r="H25" s="189">
        <f t="shared" si="0"/>
        <v>0</v>
      </c>
      <c r="I25" s="189">
        <f t="shared" si="4"/>
        <v>1100</v>
      </c>
      <c r="J25" s="189">
        <f t="shared" si="1"/>
        <v>1485</v>
      </c>
      <c r="K25" s="189">
        <f t="shared" si="2"/>
        <v>2585</v>
      </c>
      <c r="L25" s="51">
        <v>10</v>
      </c>
    </row>
    <row r="26" spans="1:12">
      <c r="A26" s="187">
        <v>22</v>
      </c>
      <c r="B26" s="83">
        <v>46225</v>
      </c>
      <c r="C26" s="84"/>
      <c r="D26" s="200"/>
      <c r="E26" s="189">
        <v>20</v>
      </c>
      <c r="F26" s="189"/>
      <c r="G26" s="224">
        <f t="shared" si="3"/>
        <v>89</v>
      </c>
      <c r="H26" s="189">
        <f t="shared" si="0"/>
        <v>0</v>
      </c>
      <c r="I26" s="189">
        <f t="shared" si="4"/>
        <v>500</v>
      </c>
      <c r="J26" s="189">
        <f t="shared" si="1"/>
        <v>1335</v>
      </c>
      <c r="K26" s="189">
        <f t="shared" si="2"/>
        <v>1835</v>
      </c>
      <c r="L26" s="51">
        <v>5</v>
      </c>
    </row>
    <row r="27" spans="1:12">
      <c r="A27" s="187">
        <v>23</v>
      </c>
      <c r="B27" s="83">
        <v>46226</v>
      </c>
      <c r="C27" s="84"/>
      <c r="D27" s="200"/>
      <c r="E27" s="189"/>
      <c r="F27" s="189"/>
      <c r="G27" s="224">
        <f t="shared" si="3"/>
        <v>84</v>
      </c>
      <c r="H27" s="189">
        <f t="shared" si="0"/>
        <v>0</v>
      </c>
      <c r="I27" s="189">
        <f t="shared" si="4"/>
        <v>0</v>
      </c>
      <c r="J27" s="189">
        <f t="shared" si="1"/>
        <v>1260</v>
      </c>
      <c r="K27" s="189">
        <f t="shared" si="2"/>
        <v>1260</v>
      </c>
    </row>
    <row r="28" spans="1:12">
      <c r="A28" s="187">
        <v>24</v>
      </c>
      <c r="B28" s="83">
        <v>46227</v>
      </c>
      <c r="C28" s="84"/>
      <c r="D28" s="200"/>
      <c r="E28" s="189">
        <v>35</v>
      </c>
      <c r="F28" s="189">
        <v>54</v>
      </c>
      <c r="G28" s="224">
        <f t="shared" si="3"/>
        <v>84</v>
      </c>
      <c r="H28" s="189">
        <f t="shared" si="0"/>
        <v>0</v>
      </c>
      <c r="I28" s="189">
        <f t="shared" si="4"/>
        <v>1253</v>
      </c>
      <c r="J28" s="189">
        <f t="shared" si="1"/>
        <v>1260</v>
      </c>
      <c r="K28" s="189">
        <f t="shared" si="2"/>
        <v>2513</v>
      </c>
      <c r="L28" s="51">
        <v>10</v>
      </c>
    </row>
    <row r="29" spans="1:12">
      <c r="A29" s="187">
        <v>25</v>
      </c>
      <c r="B29" s="83">
        <v>46228</v>
      </c>
      <c r="C29" s="84"/>
      <c r="D29" s="200"/>
      <c r="E29" s="189"/>
      <c r="F29" s="189"/>
      <c r="G29" s="224">
        <f t="shared" si="3"/>
        <v>74</v>
      </c>
      <c r="H29" s="189">
        <f t="shared" si="0"/>
        <v>0</v>
      </c>
      <c r="I29" s="189">
        <f t="shared" si="4"/>
        <v>0</v>
      </c>
      <c r="J29" s="189">
        <f t="shared" si="1"/>
        <v>1110</v>
      </c>
      <c r="K29" s="189">
        <f t="shared" si="2"/>
        <v>1110</v>
      </c>
    </row>
    <row r="30" spans="1:12">
      <c r="A30" s="187">
        <v>26</v>
      </c>
      <c r="B30" s="83">
        <v>46229</v>
      </c>
      <c r="C30" s="84"/>
      <c r="D30" s="200"/>
      <c r="E30" s="189"/>
      <c r="F30" s="189"/>
      <c r="G30" s="224">
        <f t="shared" si="3"/>
        <v>74</v>
      </c>
      <c r="H30" s="189">
        <f t="shared" si="0"/>
        <v>0</v>
      </c>
      <c r="I30" s="189">
        <f t="shared" si="4"/>
        <v>0</v>
      </c>
      <c r="J30" s="189">
        <f t="shared" si="1"/>
        <v>1110</v>
      </c>
      <c r="K30" s="189">
        <f t="shared" si="2"/>
        <v>1110</v>
      </c>
    </row>
    <row r="31" spans="1:12">
      <c r="A31" s="187">
        <v>27</v>
      </c>
      <c r="B31" s="83">
        <v>46230</v>
      </c>
      <c r="C31" s="84"/>
      <c r="D31" s="200"/>
      <c r="E31" s="189">
        <v>15</v>
      </c>
      <c r="F31" s="189">
        <v>15</v>
      </c>
      <c r="G31" s="224">
        <f t="shared" si="3"/>
        <v>74</v>
      </c>
      <c r="H31" s="189">
        <f t="shared" si="0"/>
        <v>0</v>
      </c>
      <c r="I31" s="189">
        <f t="shared" si="4"/>
        <v>480</v>
      </c>
      <c r="J31" s="189">
        <f t="shared" si="1"/>
        <v>1110</v>
      </c>
      <c r="K31" s="189">
        <f t="shared" si="2"/>
        <v>1590</v>
      </c>
      <c r="L31" s="51">
        <v>4</v>
      </c>
    </row>
    <row r="32" spans="1:12">
      <c r="A32" s="187">
        <v>28</v>
      </c>
      <c r="B32" s="83">
        <v>46231</v>
      </c>
      <c r="C32" s="84"/>
      <c r="D32" s="200"/>
      <c r="E32" s="189"/>
      <c r="F32" s="189">
        <v>30</v>
      </c>
      <c r="G32" s="224">
        <f t="shared" si="3"/>
        <v>70</v>
      </c>
      <c r="H32" s="189">
        <f t="shared" si="0"/>
        <v>0</v>
      </c>
      <c r="I32" s="189">
        <f t="shared" si="4"/>
        <v>210</v>
      </c>
      <c r="J32" s="189">
        <f t="shared" si="1"/>
        <v>1050</v>
      </c>
      <c r="K32" s="189">
        <f t="shared" si="2"/>
        <v>1260</v>
      </c>
    </row>
    <row r="33" spans="1:12">
      <c r="A33" s="187">
        <v>29</v>
      </c>
      <c r="B33" s="83">
        <v>46232</v>
      </c>
      <c r="C33" s="84"/>
      <c r="D33" s="200"/>
      <c r="E33" s="189"/>
      <c r="F33" s="189"/>
      <c r="G33" s="224">
        <f t="shared" si="3"/>
        <v>70</v>
      </c>
      <c r="H33" s="189">
        <f t="shared" si="0"/>
        <v>0</v>
      </c>
      <c r="I33" s="189">
        <f t="shared" si="4"/>
        <v>0</v>
      </c>
      <c r="J33" s="189">
        <f t="shared" si="1"/>
        <v>1050</v>
      </c>
      <c r="K33" s="189">
        <f t="shared" si="2"/>
        <v>1050</v>
      </c>
    </row>
    <row r="34" spans="1:12">
      <c r="A34" s="187">
        <v>30</v>
      </c>
      <c r="B34" s="83">
        <v>46233</v>
      </c>
      <c r="C34" s="84"/>
      <c r="D34" s="200"/>
      <c r="E34" s="189">
        <v>4</v>
      </c>
      <c r="F34" s="189"/>
      <c r="G34" s="224">
        <f t="shared" si="3"/>
        <v>70</v>
      </c>
      <c r="H34" s="189">
        <f t="shared" si="0"/>
        <v>0</v>
      </c>
      <c r="I34" s="189">
        <f t="shared" si="4"/>
        <v>100</v>
      </c>
      <c r="J34" s="189">
        <f t="shared" si="1"/>
        <v>1050</v>
      </c>
      <c r="K34" s="189">
        <f t="shared" si="2"/>
        <v>1150</v>
      </c>
      <c r="L34" s="51">
        <v>1</v>
      </c>
    </row>
    <row r="35" spans="1:12">
      <c r="A35" s="187"/>
      <c r="B35" s="83">
        <v>46234</v>
      </c>
      <c r="C35" s="84"/>
      <c r="D35" s="200"/>
      <c r="E35" s="189"/>
      <c r="F35" s="189"/>
      <c r="G35" s="224">
        <f t="shared" si="3"/>
        <v>69</v>
      </c>
      <c r="H35" s="189">
        <f t="shared" si="0"/>
        <v>0</v>
      </c>
      <c r="I35" s="189">
        <f t="shared" si="4"/>
        <v>0</v>
      </c>
      <c r="J35" s="189">
        <f t="shared" si="1"/>
        <v>1035</v>
      </c>
      <c r="K35" s="189">
        <f t="shared" si="2"/>
        <v>1035</v>
      </c>
    </row>
    <row r="36" spans="1:12">
      <c r="D36" s="189"/>
      <c r="E36" s="189"/>
      <c r="F36" s="189"/>
      <c r="G36" s="189">
        <f>SUM(G5:G35)</f>
        <v>2697</v>
      </c>
      <c r="H36" s="189">
        <f>SUM(H5:H35)</f>
        <v>6240</v>
      </c>
      <c r="I36" s="189">
        <f>SUM(I5:I35)</f>
        <v>9038</v>
      </c>
      <c r="J36" s="189">
        <f>SUM(J5:J35)</f>
        <v>40455</v>
      </c>
      <c r="K36" s="223">
        <f>SUM(K5:K35)</f>
        <v>55733</v>
      </c>
    </row>
  </sheetData>
  <mergeCells count="41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I3:I4"/>
    <mergeCell ref="J3:J4"/>
    <mergeCell ref="K3:K4"/>
    <mergeCell ref="L3:L4"/>
    <mergeCell ref="B5:C5"/>
    <mergeCell ref="B6:C6"/>
    <mergeCell ref="A2:H2"/>
    <mergeCell ref="A3:A4"/>
    <mergeCell ref="B3:C4"/>
    <mergeCell ref="D3:D4"/>
    <mergeCell ref="E3:F3"/>
    <mergeCell ref="H3:H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CF9A-AF3F-49DA-9E34-9D6B266D68A8}">
  <dimension ref="A1:J35"/>
  <sheetViews>
    <sheetView topLeftCell="A10" workbookViewId="0">
      <selection activeCell="F30" sqref="F30"/>
    </sheetView>
  </sheetViews>
  <sheetFormatPr defaultRowHeight="15"/>
  <cols>
    <col min="1" max="16384" width="9.140625" style="51"/>
  </cols>
  <sheetData>
    <row r="1" spans="1:10">
      <c r="A1" s="218">
        <f>J35</f>
        <v>7812</v>
      </c>
      <c r="B1" s="82" t="s">
        <v>144</v>
      </c>
      <c r="C1" s="82"/>
      <c r="D1" s="82"/>
      <c r="E1" s="82"/>
      <c r="F1" s="82"/>
      <c r="G1" s="82"/>
      <c r="H1" s="82"/>
    </row>
    <row r="2" spans="1:10" ht="28.9" customHeight="1">
      <c r="A2" s="183" t="s">
        <v>0</v>
      </c>
      <c r="B2" s="184" t="s">
        <v>1</v>
      </c>
      <c r="C2" s="185"/>
      <c r="D2" s="183" t="s">
        <v>117</v>
      </c>
      <c r="E2" s="183" t="s">
        <v>118</v>
      </c>
      <c r="F2" s="186" t="s">
        <v>4</v>
      </c>
      <c r="G2" s="183" t="s">
        <v>11</v>
      </c>
      <c r="H2" s="183" t="s">
        <v>12</v>
      </c>
      <c r="I2" s="183" t="s">
        <v>13</v>
      </c>
      <c r="J2" s="183" t="s">
        <v>18</v>
      </c>
    </row>
    <row r="3" spans="1:10" ht="30">
      <c r="A3" s="57"/>
      <c r="B3" s="58"/>
      <c r="C3" s="59"/>
      <c r="D3" s="57"/>
      <c r="E3" s="57"/>
      <c r="F3" s="60" t="s">
        <v>127</v>
      </c>
      <c r="G3" s="57"/>
      <c r="H3" s="57"/>
      <c r="I3" s="57"/>
      <c r="J3" s="57"/>
    </row>
    <row r="4" spans="1:10">
      <c r="A4" s="187">
        <v>1</v>
      </c>
      <c r="B4" s="83">
        <v>46204</v>
      </c>
      <c r="C4" s="84"/>
      <c r="D4" s="200"/>
      <c r="E4" s="188"/>
      <c r="F4" s="225">
        <v>21</v>
      </c>
      <c r="G4" s="189">
        <f>SUM(D4*120)</f>
        <v>0</v>
      </c>
      <c r="H4" s="189">
        <f>SUM(E4*120)</f>
        <v>0</v>
      </c>
      <c r="I4" s="189">
        <f>SUM(F4*12)</f>
        <v>252</v>
      </c>
      <c r="J4" s="189">
        <f>SUM(G4:I4)</f>
        <v>252</v>
      </c>
    </row>
    <row r="5" spans="1:10">
      <c r="A5" s="187">
        <v>2</v>
      </c>
      <c r="B5" s="83">
        <v>46205</v>
      </c>
      <c r="C5" s="84"/>
      <c r="D5" s="200"/>
      <c r="E5" s="188"/>
      <c r="F5" s="225">
        <v>21</v>
      </c>
      <c r="G5" s="189">
        <f t="shared" ref="G5:G34" si="0">SUM(D5*120)</f>
        <v>0</v>
      </c>
      <c r="H5" s="189">
        <f t="shared" ref="H5:H34" si="1">SUM(E5*120)</f>
        <v>0</v>
      </c>
      <c r="I5" s="189">
        <f t="shared" ref="I5:I34" si="2">SUM(F5*12)</f>
        <v>252</v>
      </c>
      <c r="J5" s="189">
        <f t="shared" ref="J5:J34" si="3">SUM(G5:I5)</f>
        <v>252</v>
      </c>
    </row>
    <row r="6" spans="1:10">
      <c r="A6" s="187">
        <v>3</v>
      </c>
      <c r="B6" s="83">
        <v>46206</v>
      </c>
      <c r="C6" s="84"/>
      <c r="D6" s="200"/>
      <c r="E6" s="188"/>
      <c r="F6" s="225">
        <v>21</v>
      </c>
      <c r="G6" s="189">
        <f t="shared" si="0"/>
        <v>0</v>
      </c>
      <c r="H6" s="189">
        <f t="shared" si="1"/>
        <v>0</v>
      </c>
      <c r="I6" s="189">
        <f t="shared" si="2"/>
        <v>252</v>
      </c>
      <c r="J6" s="189">
        <f t="shared" si="3"/>
        <v>252</v>
      </c>
    </row>
    <row r="7" spans="1:10">
      <c r="A7" s="187">
        <v>4</v>
      </c>
      <c r="B7" s="83">
        <v>46207</v>
      </c>
      <c r="C7" s="84"/>
      <c r="D7" s="200"/>
      <c r="E7" s="188"/>
      <c r="F7" s="225">
        <v>21</v>
      </c>
      <c r="G7" s="189">
        <f t="shared" si="0"/>
        <v>0</v>
      </c>
      <c r="H7" s="189">
        <f t="shared" si="1"/>
        <v>0</v>
      </c>
      <c r="I7" s="189">
        <f t="shared" si="2"/>
        <v>252</v>
      </c>
      <c r="J7" s="189">
        <f t="shared" si="3"/>
        <v>252</v>
      </c>
    </row>
    <row r="8" spans="1:10">
      <c r="A8" s="187">
        <v>5</v>
      </c>
      <c r="B8" s="83">
        <v>46208</v>
      </c>
      <c r="C8" s="84"/>
      <c r="D8" s="200"/>
      <c r="E8" s="188"/>
      <c r="F8" s="225">
        <v>21</v>
      </c>
      <c r="G8" s="189">
        <f t="shared" si="0"/>
        <v>0</v>
      </c>
      <c r="H8" s="189">
        <f t="shared" si="1"/>
        <v>0</v>
      </c>
      <c r="I8" s="189">
        <f t="shared" si="2"/>
        <v>252</v>
      </c>
      <c r="J8" s="189">
        <f t="shared" si="3"/>
        <v>252</v>
      </c>
    </row>
    <row r="9" spans="1:10">
      <c r="A9" s="187">
        <v>6</v>
      </c>
      <c r="B9" s="83">
        <v>46209</v>
      </c>
      <c r="C9" s="84"/>
      <c r="D9" s="200"/>
      <c r="E9" s="188"/>
      <c r="F9" s="225">
        <v>21</v>
      </c>
      <c r="G9" s="189">
        <f t="shared" si="0"/>
        <v>0</v>
      </c>
      <c r="H9" s="189">
        <f t="shared" si="1"/>
        <v>0</v>
      </c>
      <c r="I9" s="189">
        <f t="shared" si="2"/>
        <v>252</v>
      </c>
      <c r="J9" s="189">
        <f t="shared" si="3"/>
        <v>252</v>
      </c>
    </row>
    <row r="10" spans="1:10">
      <c r="A10" s="187">
        <v>7</v>
      </c>
      <c r="B10" s="83">
        <v>46210</v>
      </c>
      <c r="C10" s="84"/>
      <c r="D10" s="200"/>
      <c r="E10" s="188"/>
      <c r="F10" s="225">
        <v>21</v>
      </c>
      <c r="G10" s="189">
        <f t="shared" si="0"/>
        <v>0</v>
      </c>
      <c r="H10" s="189">
        <f t="shared" si="1"/>
        <v>0</v>
      </c>
      <c r="I10" s="189">
        <f t="shared" si="2"/>
        <v>252</v>
      </c>
      <c r="J10" s="189">
        <f t="shared" si="3"/>
        <v>252</v>
      </c>
    </row>
    <row r="11" spans="1:10">
      <c r="A11" s="187">
        <v>8</v>
      </c>
      <c r="B11" s="83">
        <v>46211</v>
      </c>
      <c r="C11" s="84"/>
      <c r="D11" s="200"/>
      <c r="E11" s="188"/>
      <c r="F11" s="225">
        <v>21</v>
      </c>
      <c r="G11" s="189">
        <f t="shared" si="0"/>
        <v>0</v>
      </c>
      <c r="H11" s="189">
        <f t="shared" si="1"/>
        <v>0</v>
      </c>
      <c r="I11" s="189">
        <f t="shared" si="2"/>
        <v>252</v>
      </c>
      <c r="J11" s="189">
        <f t="shared" si="3"/>
        <v>252</v>
      </c>
    </row>
    <row r="12" spans="1:10">
      <c r="A12" s="187">
        <v>9</v>
      </c>
      <c r="B12" s="83">
        <v>46212</v>
      </c>
      <c r="C12" s="84"/>
      <c r="D12" s="200"/>
      <c r="E12" s="188"/>
      <c r="F12" s="225">
        <v>21</v>
      </c>
      <c r="G12" s="189">
        <f t="shared" si="0"/>
        <v>0</v>
      </c>
      <c r="H12" s="189">
        <f t="shared" si="1"/>
        <v>0</v>
      </c>
      <c r="I12" s="189">
        <f t="shared" si="2"/>
        <v>252</v>
      </c>
      <c r="J12" s="189">
        <f t="shared" si="3"/>
        <v>252</v>
      </c>
    </row>
    <row r="13" spans="1:10">
      <c r="A13" s="187">
        <v>10</v>
      </c>
      <c r="B13" s="83">
        <v>46213</v>
      </c>
      <c r="C13" s="84"/>
      <c r="D13" s="200"/>
      <c r="E13" s="188"/>
      <c r="F13" s="225">
        <v>21</v>
      </c>
      <c r="G13" s="189">
        <f t="shared" si="0"/>
        <v>0</v>
      </c>
      <c r="H13" s="189">
        <f t="shared" si="1"/>
        <v>0</v>
      </c>
      <c r="I13" s="189">
        <f t="shared" si="2"/>
        <v>252</v>
      </c>
      <c r="J13" s="189">
        <f t="shared" si="3"/>
        <v>252</v>
      </c>
    </row>
    <row r="14" spans="1:10">
      <c r="A14" s="187">
        <v>11</v>
      </c>
      <c r="B14" s="83">
        <v>46214</v>
      </c>
      <c r="C14" s="84"/>
      <c r="D14" s="200"/>
      <c r="E14" s="188"/>
      <c r="F14" s="225">
        <v>21</v>
      </c>
      <c r="G14" s="189">
        <f t="shared" si="0"/>
        <v>0</v>
      </c>
      <c r="H14" s="189">
        <f t="shared" si="1"/>
        <v>0</v>
      </c>
      <c r="I14" s="189">
        <f t="shared" si="2"/>
        <v>252</v>
      </c>
      <c r="J14" s="189">
        <f t="shared" si="3"/>
        <v>252</v>
      </c>
    </row>
    <row r="15" spans="1:10">
      <c r="A15" s="187">
        <v>12</v>
      </c>
      <c r="B15" s="83">
        <v>46215</v>
      </c>
      <c r="C15" s="84"/>
      <c r="D15" s="200"/>
      <c r="E15" s="188"/>
      <c r="F15" s="225">
        <v>21</v>
      </c>
      <c r="G15" s="189">
        <f t="shared" si="0"/>
        <v>0</v>
      </c>
      <c r="H15" s="189">
        <f t="shared" si="1"/>
        <v>0</v>
      </c>
      <c r="I15" s="189">
        <f t="shared" si="2"/>
        <v>252</v>
      </c>
      <c r="J15" s="189">
        <f t="shared" si="3"/>
        <v>252</v>
      </c>
    </row>
    <row r="16" spans="1:10">
      <c r="A16" s="187">
        <v>13</v>
      </c>
      <c r="B16" s="83">
        <v>46216</v>
      </c>
      <c r="C16" s="84"/>
      <c r="D16" s="200"/>
      <c r="E16" s="188"/>
      <c r="F16" s="225">
        <v>21</v>
      </c>
      <c r="G16" s="189">
        <f t="shared" si="0"/>
        <v>0</v>
      </c>
      <c r="H16" s="189">
        <f t="shared" si="1"/>
        <v>0</v>
      </c>
      <c r="I16" s="189">
        <f t="shared" si="2"/>
        <v>252</v>
      </c>
      <c r="J16" s="189">
        <f t="shared" si="3"/>
        <v>252</v>
      </c>
    </row>
    <row r="17" spans="1:10">
      <c r="A17" s="187">
        <v>14</v>
      </c>
      <c r="B17" s="83">
        <v>46217</v>
      </c>
      <c r="C17" s="84"/>
      <c r="D17" s="200"/>
      <c r="E17" s="188"/>
      <c r="F17" s="225">
        <v>21</v>
      </c>
      <c r="G17" s="189">
        <f t="shared" si="0"/>
        <v>0</v>
      </c>
      <c r="H17" s="189">
        <f t="shared" si="1"/>
        <v>0</v>
      </c>
      <c r="I17" s="189">
        <f t="shared" si="2"/>
        <v>252</v>
      </c>
      <c r="J17" s="189">
        <f t="shared" si="3"/>
        <v>252</v>
      </c>
    </row>
    <row r="18" spans="1:10">
      <c r="A18" s="187">
        <v>15</v>
      </c>
      <c r="B18" s="83">
        <v>46218</v>
      </c>
      <c r="C18" s="84"/>
      <c r="D18" s="200"/>
      <c r="E18" s="188"/>
      <c r="F18" s="225">
        <v>21</v>
      </c>
      <c r="G18" s="189">
        <f t="shared" si="0"/>
        <v>0</v>
      </c>
      <c r="H18" s="189">
        <f t="shared" si="1"/>
        <v>0</v>
      </c>
      <c r="I18" s="189">
        <f t="shared" si="2"/>
        <v>252</v>
      </c>
      <c r="J18" s="189">
        <f t="shared" si="3"/>
        <v>252</v>
      </c>
    </row>
    <row r="19" spans="1:10">
      <c r="A19" s="187">
        <v>16</v>
      </c>
      <c r="B19" s="83">
        <v>46219</v>
      </c>
      <c r="C19" s="84"/>
      <c r="D19" s="200"/>
      <c r="E19" s="188"/>
      <c r="F19" s="225">
        <v>21</v>
      </c>
      <c r="G19" s="189">
        <f t="shared" si="0"/>
        <v>0</v>
      </c>
      <c r="H19" s="189">
        <f t="shared" si="1"/>
        <v>0</v>
      </c>
      <c r="I19" s="189">
        <f t="shared" si="2"/>
        <v>252</v>
      </c>
      <c r="J19" s="189">
        <f t="shared" si="3"/>
        <v>252</v>
      </c>
    </row>
    <row r="20" spans="1:10">
      <c r="A20" s="187">
        <v>17</v>
      </c>
      <c r="B20" s="83">
        <v>46220</v>
      </c>
      <c r="C20" s="84"/>
      <c r="D20" s="200"/>
      <c r="E20" s="188"/>
      <c r="F20" s="225">
        <v>21</v>
      </c>
      <c r="G20" s="189">
        <f t="shared" si="0"/>
        <v>0</v>
      </c>
      <c r="H20" s="189">
        <f t="shared" si="1"/>
        <v>0</v>
      </c>
      <c r="I20" s="189">
        <f t="shared" si="2"/>
        <v>252</v>
      </c>
      <c r="J20" s="189">
        <f t="shared" si="3"/>
        <v>252</v>
      </c>
    </row>
    <row r="21" spans="1:10">
      <c r="A21" s="187">
        <v>18</v>
      </c>
      <c r="B21" s="83">
        <v>46221</v>
      </c>
      <c r="C21" s="84"/>
      <c r="D21" s="200"/>
      <c r="E21" s="188"/>
      <c r="F21" s="225">
        <v>21</v>
      </c>
      <c r="G21" s="189">
        <f t="shared" si="0"/>
        <v>0</v>
      </c>
      <c r="H21" s="189">
        <f t="shared" si="1"/>
        <v>0</v>
      </c>
      <c r="I21" s="189">
        <f t="shared" si="2"/>
        <v>252</v>
      </c>
      <c r="J21" s="189">
        <f t="shared" si="3"/>
        <v>252</v>
      </c>
    </row>
    <row r="22" spans="1:10">
      <c r="A22" s="187">
        <v>19</v>
      </c>
      <c r="B22" s="83">
        <v>46222</v>
      </c>
      <c r="C22" s="84"/>
      <c r="D22" s="200"/>
      <c r="E22" s="188"/>
      <c r="F22" s="225">
        <v>21</v>
      </c>
      <c r="G22" s="189">
        <f t="shared" si="0"/>
        <v>0</v>
      </c>
      <c r="H22" s="189">
        <f t="shared" si="1"/>
        <v>0</v>
      </c>
      <c r="I22" s="189">
        <f t="shared" si="2"/>
        <v>252</v>
      </c>
      <c r="J22" s="189">
        <f t="shared" si="3"/>
        <v>252</v>
      </c>
    </row>
    <row r="23" spans="1:10">
      <c r="A23" s="187">
        <v>20</v>
      </c>
      <c r="B23" s="83">
        <v>46223</v>
      </c>
      <c r="C23" s="84"/>
      <c r="D23" s="200"/>
      <c r="E23" s="188"/>
      <c r="F23" s="225">
        <v>21</v>
      </c>
      <c r="G23" s="189">
        <f t="shared" si="0"/>
        <v>0</v>
      </c>
      <c r="H23" s="189">
        <f t="shared" si="1"/>
        <v>0</v>
      </c>
      <c r="I23" s="189">
        <f t="shared" si="2"/>
        <v>252</v>
      </c>
      <c r="J23" s="189">
        <f t="shared" si="3"/>
        <v>252</v>
      </c>
    </row>
    <row r="24" spans="1:10">
      <c r="A24" s="187">
        <v>21</v>
      </c>
      <c r="B24" s="83">
        <v>46224</v>
      </c>
      <c r="C24" s="84"/>
      <c r="D24" s="200"/>
      <c r="E24" s="188"/>
      <c r="F24" s="225">
        <v>21</v>
      </c>
      <c r="G24" s="189">
        <f t="shared" si="0"/>
        <v>0</v>
      </c>
      <c r="H24" s="189">
        <f t="shared" si="1"/>
        <v>0</v>
      </c>
      <c r="I24" s="189">
        <f t="shared" si="2"/>
        <v>252</v>
      </c>
      <c r="J24" s="189">
        <f t="shared" si="3"/>
        <v>252</v>
      </c>
    </row>
    <row r="25" spans="1:10">
      <c r="A25" s="187">
        <v>22</v>
      </c>
      <c r="B25" s="83">
        <v>46225</v>
      </c>
      <c r="C25" s="84"/>
      <c r="D25" s="200"/>
      <c r="E25" s="188"/>
      <c r="F25" s="225">
        <v>21</v>
      </c>
      <c r="G25" s="189">
        <f t="shared" si="0"/>
        <v>0</v>
      </c>
      <c r="H25" s="189">
        <f t="shared" si="1"/>
        <v>0</v>
      </c>
      <c r="I25" s="189">
        <f t="shared" si="2"/>
        <v>252</v>
      </c>
      <c r="J25" s="189">
        <f t="shared" si="3"/>
        <v>252</v>
      </c>
    </row>
    <row r="26" spans="1:10">
      <c r="A26" s="187">
        <v>23</v>
      </c>
      <c r="B26" s="83">
        <v>46226</v>
      </c>
      <c r="C26" s="84"/>
      <c r="D26" s="200"/>
      <c r="E26" s="188"/>
      <c r="F26" s="225">
        <v>21</v>
      </c>
      <c r="G26" s="189">
        <f t="shared" si="0"/>
        <v>0</v>
      </c>
      <c r="H26" s="189">
        <f t="shared" si="1"/>
        <v>0</v>
      </c>
      <c r="I26" s="189">
        <f t="shared" si="2"/>
        <v>252</v>
      </c>
      <c r="J26" s="189">
        <f t="shared" si="3"/>
        <v>252</v>
      </c>
    </row>
    <row r="27" spans="1:10">
      <c r="A27" s="187">
        <v>24</v>
      </c>
      <c r="B27" s="83">
        <v>46227</v>
      </c>
      <c r="C27" s="84"/>
      <c r="D27" s="200"/>
      <c r="E27" s="188"/>
      <c r="F27" s="225">
        <v>21</v>
      </c>
      <c r="G27" s="189">
        <f t="shared" si="0"/>
        <v>0</v>
      </c>
      <c r="H27" s="189">
        <f t="shared" si="1"/>
        <v>0</v>
      </c>
      <c r="I27" s="189">
        <f t="shared" si="2"/>
        <v>252</v>
      </c>
      <c r="J27" s="189">
        <f t="shared" si="3"/>
        <v>252</v>
      </c>
    </row>
    <row r="28" spans="1:10">
      <c r="A28" s="187">
        <v>25</v>
      </c>
      <c r="B28" s="83">
        <v>46228</v>
      </c>
      <c r="C28" s="84"/>
      <c r="D28" s="200"/>
      <c r="E28" s="188"/>
      <c r="F28" s="225">
        <v>21</v>
      </c>
      <c r="G28" s="189">
        <f t="shared" si="0"/>
        <v>0</v>
      </c>
      <c r="H28" s="189">
        <f t="shared" si="1"/>
        <v>0</v>
      </c>
      <c r="I28" s="189">
        <f t="shared" si="2"/>
        <v>252</v>
      </c>
      <c r="J28" s="189">
        <f t="shared" si="3"/>
        <v>252</v>
      </c>
    </row>
    <row r="29" spans="1:10">
      <c r="A29" s="187">
        <v>26</v>
      </c>
      <c r="B29" s="83">
        <v>46229</v>
      </c>
      <c r="C29" s="84"/>
      <c r="D29" s="200"/>
      <c r="E29" s="188"/>
      <c r="F29" s="225">
        <v>21</v>
      </c>
      <c r="G29" s="189">
        <f t="shared" si="0"/>
        <v>0</v>
      </c>
      <c r="H29" s="189">
        <f t="shared" si="1"/>
        <v>0</v>
      </c>
      <c r="I29" s="189">
        <f t="shared" si="2"/>
        <v>252</v>
      </c>
      <c r="J29" s="189">
        <f t="shared" si="3"/>
        <v>252</v>
      </c>
    </row>
    <row r="30" spans="1:10">
      <c r="A30" s="187">
        <v>27</v>
      </c>
      <c r="B30" s="83">
        <v>46230</v>
      </c>
      <c r="C30" s="84"/>
      <c r="D30" s="200"/>
      <c r="E30" s="188"/>
      <c r="F30" s="225">
        <v>21</v>
      </c>
      <c r="G30" s="189">
        <f t="shared" si="0"/>
        <v>0</v>
      </c>
      <c r="H30" s="189">
        <f t="shared" si="1"/>
        <v>0</v>
      </c>
      <c r="I30" s="189">
        <f t="shared" si="2"/>
        <v>252</v>
      </c>
      <c r="J30" s="189">
        <f t="shared" si="3"/>
        <v>252</v>
      </c>
    </row>
    <row r="31" spans="1:10">
      <c r="A31" s="187">
        <v>28</v>
      </c>
      <c r="B31" s="83">
        <v>46231</v>
      </c>
      <c r="C31" s="84"/>
      <c r="D31" s="200"/>
      <c r="E31" s="188"/>
      <c r="F31" s="225">
        <v>21</v>
      </c>
      <c r="G31" s="189">
        <f t="shared" si="0"/>
        <v>0</v>
      </c>
      <c r="H31" s="189">
        <f t="shared" si="1"/>
        <v>0</v>
      </c>
      <c r="I31" s="189">
        <f t="shared" si="2"/>
        <v>252</v>
      </c>
      <c r="J31" s="189">
        <f t="shared" si="3"/>
        <v>252</v>
      </c>
    </row>
    <row r="32" spans="1:10">
      <c r="A32" s="187">
        <v>29</v>
      </c>
      <c r="B32" s="83">
        <v>46232</v>
      </c>
      <c r="C32" s="84"/>
      <c r="D32" s="200"/>
      <c r="E32" s="188"/>
      <c r="F32" s="225">
        <v>21</v>
      </c>
      <c r="G32" s="189">
        <f t="shared" si="0"/>
        <v>0</v>
      </c>
      <c r="H32" s="189">
        <f t="shared" si="1"/>
        <v>0</v>
      </c>
      <c r="I32" s="189">
        <f t="shared" si="2"/>
        <v>252</v>
      </c>
      <c r="J32" s="189">
        <f t="shared" si="3"/>
        <v>252</v>
      </c>
    </row>
    <row r="33" spans="1:10">
      <c r="A33" s="187">
        <v>30</v>
      </c>
      <c r="B33" s="83">
        <v>46233</v>
      </c>
      <c r="C33" s="84"/>
      <c r="D33" s="200"/>
      <c r="E33" s="188"/>
      <c r="F33" s="225">
        <v>21</v>
      </c>
      <c r="G33" s="189">
        <f t="shared" si="0"/>
        <v>0</v>
      </c>
      <c r="H33" s="189">
        <f t="shared" si="1"/>
        <v>0</v>
      </c>
      <c r="I33" s="189">
        <f t="shared" si="2"/>
        <v>252</v>
      </c>
      <c r="J33" s="189">
        <f t="shared" si="3"/>
        <v>252</v>
      </c>
    </row>
    <row r="34" spans="1:10">
      <c r="A34" s="187">
        <v>31</v>
      </c>
      <c r="B34" s="83">
        <v>46234</v>
      </c>
      <c r="C34" s="84"/>
      <c r="D34" s="200"/>
      <c r="E34" s="188"/>
      <c r="F34" s="225">
        <v>21</v>
      </c>
      <c r="G34" s="189">
        <f t="shared" si="0"/>
        <v>0</v>
      </c>
      <c r="H34" s="189">
        <f t="shared" si="1"/>
        <v>0</v>
      </c>
      <c r="I34" s="189">
        <f t="shared" si="2"/>
        <v>252</v>
      </c>
      <c r="J34" s="189">
        <f t="shared" si="3"/>
        <v>252</v>
      </c>
    </row>
    <row r="35" spans="1:10">
      <c r="D35" s="189"/>
      <c r="E35" s="189"/>
      <c r="F35" s="189"/>
      <c r="G35" s="189">
        <f>SUM(G4:G34)</f>
        <v>0</v>
      </c>
      <c r="H35" s="189">
        <f>SUM(H4:H34)</f>
        <v>0</v>
      </c>
      <c r="I35" s="189">
        <f>SUM(I4:I34)</f>
        <v>7812</v>
      </c>
      <c r="J35" s="223">
        <f>SUM(J4:J34)</f>
        <v>7812</v>
      </c>
    </row>
  </sheetData>
  <mergeCells count="40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I2:I3"/>
    <mergeCell ref="J2:J3"/>
    <mergeCell ref="B4:C4"/>
    <mergeCell ref="B5:C5"/>
    <mergeCell ref="B6:C6"/>
    <mergeCell ref="B7:C7"/>
    <mergeCell ref="B1:H1"/>
    <mergeCell ref="A2:A3"/>
    <mergeCell ref="B2:C3"/>
    <mergeCell ref="D2:D3"/>
    <mergeCell ref="E2:E3"/>
    <mergeCell ref="G2:G3"/>
    <mergeCell ref="H2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8DA5-BF27-4F1E-9D85-132B8E5F8215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51" customWidth="1"/>
    <col min="2" max="2" width="27.140625" style="51" customWidth="1"/>
    <col min="3" max="3" width="9.85546875" style="51" customWidth="1"/>
    <col min="4" max="4" width="11.28515625" style="51" customWidth="1"/>
    <col min="5" max="5" width="10.7109375" style="51" customWidth="1"/>
    <col min="6" max="6" width="14.5703125" style="51" customWidth="1"/>
    <col min="7" max="7" width="13.5703125" style="51" customWidth="1"/>
    <col min="8" max="16384" width="9.140625" style="51"/>
  </cols>
  <sheetData>
    <row r="3" spans="1:7">
      <c r="A3" s="79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31 Июль 2026 г. Казань_Автосервисная</v>
      </c>
    </row>
    <row r="4" spans="1:7">
      <c r="A4" s="79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Июль 2026</v>
      </c>
      <c r="B4" s="79"/>
      <c r="C4" s="79"/>
    </row>
    <row r="5" spans="1:7">
      <c r="A5" s="79" t="s">
        <v>103</v>
      </c>
      <c r="B5" s="79"/>
      <c r="C5" s="79"/>
    </row>
    <row r="6" spans="1:7">
      <c r="A6" s="51" t="s">
        <v>104</v>
      </c>
    </row>
    <row r="7" spans="1:7">
      <c r="A7" s="51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Июль 2026 г. По 31 Июль 2026  г. ХРАНИТЕЛЬ оказал ПОКЛАЖЕДАТЕЛЮ следующие услуги (работы):</v>
      </c>
    </row>
    <row r="9" spans="1:7">
      <c r="A9" s="189" t="s">
        <v>0</v>
      </c>
      <c r="B9" s="189" t="s">
        <v>80</v>
      </c>
      <c r="C9" s="189" t="s">
        <v>81</v>
      </c>
      <c r="D9" s="189" t="s">
        <v>82</v>
      </c>
      <c r="E9" s="189" t="s">
        <v>83</v>
      </c>
      <c r="F9" s="189" t="s">
        <v>105</v>
      </c>
      <c r="G9" s="189" t="s">
        <v>106</v>
      </c>
    </row>
    <row r="10" spans="1:7">
      <c r="A10" s="188">
        <v>1</v>
      </c>
      <c r="B10" s="189" t="s">
        <v>107</v>
      </c>
      <c r="C10" s="188" t="s">
        <v>108</v>
      </c>
      <c r="D10" s="187">
        <v>20</v>
      </c>
      <c r="E10" s="226">
        <v>2000</v>
      </c>
      <c r="F10" s="226">
        <f>SUM(D10*E10)</f>
        <v>40000</v>
      </c>
      <c r="G10" s="226">
        <f>F10*1.22</f>
        <v>48800</v>
      </c>
    </row>
    <row r="11" spans="1:7">
      <c r="A11" s="188">
        <v>2</v>
      </c>
      <c r="B11" s="189" t="s">
        <v>109</v>
      </c>
      <c r="C11" s="188" t="s">
        <v>108</v>
      </c>
      <c r="D11" s="187"/>
      <c r="E11" s="226"/>
      <c r="F11" s="226">
        <f>SUM(D11*E11)</f>
        <v>0</v>
      </c>
      <c r="G11" s="226">
        <f>F11*1.2</f>
        <v>0</v>
      </c>
    </row>
    <row r="12" spans="1:7">
      <c r="A12" s="179"/>
      <c r="C12" s="179"/>
      <c r="D12" s="180"/>
      <c r="E12" s="130"/>
      <c r="F12" s="226">
        <f>SUM(F10:F11)</f>
        <v>40000</v>
      </c>
      <c r="G12" s="226">
        <f>SUM(G10:G11)</f>
        <v>48800</v>
      </c>
    </row>
    <row r="13" spans="1:7">
      <c r="A13" s="79" t="s">
        <v>110</v>
      </c>
      <c r="B13" s="79" t="s">
        <v>145</v>
      </c>
      <c r="C13" s="79"/>
      <c r="D13" s="79"/>
    </row>
    <row r="14" spans="1:7">
      <c r="A14" s="79" t="s">
        <v>112</v>
      </c>
      <c r="B14" s="79" t="str">
        <f>B13</f>
        <v>сорок тысяч рублей ноль копеек</v>
      </c>
      <c r="C14" s="79"/>
      <c r="D14" s="79"/>
    </row>
    <row r="15" spans="1:7">
      <c r="A15" s="79" t="s">
        <v>87</v>
      </c>
      <c r="B15" s="79" t="s">
        <v>146</v>
      </c>
      <c r="F15" s="181"/>
      <c r="G15" s="181"/>
    </row>
    <row r="16" spans="1:7">
      <c r="A16" s="51" t="s">
        <v>88</v>
      </c>
    </row>
    <row r="17" spans="1:4">
      <c r="A17" s="51" t="s">
        <v>89</v>
      </c>
    </row>
    <row r="20" spans="1:4">
      <c r="A20" s="51" t="s">
        <v>91</v>
      </c>
      <c r="D20" s="51" t="s">
        <v>114</v>
      </c>
    </row>
    <row r="22" spans="1:4">
      <c r="A22" s="51" t="s">
        <v>115</v>
      </c>
      <c r="D22" s="51" t="s">
        <v>95</v>
      </c>
    </row>
  </sheetData>
  <pageMargins left="0.7" right="0.7" top="0.75" bottom="0.75" header="0.3" footer="0.3"/>
  <pageSetup paperSize="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B5C3-0C49-4C54-9301-550C686E239E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51" customWidth="1"/>
    <col min="2" max="2" width="27.140625" style="51" customWidth="1"/>
    <col min="3" max="3" width="9.85546875" style="51" customWidth="1"/>
    <col min="4" max="4" width="11.28515625" style="51" customWidth="1"/>
    <col min="5" max="5" width="10.7109375" style="51" customWidth="1"/>
    <col min="6" max="6" width="14.5703125" style="51" customWidth="1"/>
    <col min="7" max="7" width="13.5703125" style="51" customWidth="1"/>
    <col min="8" max="16384" width="9.140625" style="51"/>
  </cols>
  <sheetData>
    <row r="3" spans="1:7">
      <c r="A3" s="79" t="str">
        <f ca="1">IF(DAY(TODAY())&gt;27,"Акт  №    от  " &amp; TEXT(TODAY(),"ДД ММММ ГГГГ"),"Акт  №    от  " &amp; TEXT(TODAY()-DAY(TODAY()),"ДД ММММ ГГГГ")) &amp; " г. Екатеринбург"</f>
        <v>Акт  №    от  31 Июль 2026 г. Екатеринбург</v>
      </c>
    </row>
    <row r="4" spans="1:7">
      <c r="A4" s="79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Июль 2026</v>
      </c>
      <c r="B4" s="79"/>
      <c r="C4" s="79"/>
    </row>
    <row r="5" spans="1:7">
      <c r="A5" s="79" t="s">
        <v>103</v>
      </c>
      <c r="B5" s="79"/>
      <c r="C5" s="79"/>
    </row>
    <row r="6" spans="1:7">
      <c r="A6" s="51" t="s">
        <v>104</v>
      </c>
    </row>
    <row r="7" spans="1:7">
      <c r="A7" s="51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Июль 2026 г. По 31 Июль 2026  г. ХРАНИТЕЛЬ оказал ПОКЛАЖЕДАТЕЛЮ следующие услуги (работы):</v>
      </c>
    </row>
    <row r="9" spans="1:7">
      <c r="A9" s="189" t="s">
        <v>0</v>
      </c>
      <c r="B9" s="189" t="s">
        <v>80</v>
      </c>
      <c r="C9" s="189" t="s">
        <v>81</v>
      </c>
      <c r="D9" s="189" t="s">
        <v>82</v>
      </c>
      <c r="E9" s="189" t="s">
        <v>83</v>
      </c>
      <c r="F9" s="189" t="s">
        <v>105</v>
      </c>
      <c r="G9" s="189" t="s">
        <v>106</v>
      </c>
    </row>
    <row r="10" spans="1:7">
      <c r="A10" s="188">
        <v>1</v>
      </c>
      <c r="B10" s="189" t="s">
        <v>107</v>
      </c>
      <c r="C10" s="188" t="s">
        <v>108</v>
      </c>
      <c r="D10" s="187">
        <v>6</v>
      </c>
      <c r="E10" s="226">
        <v>2000</v>
      </c>
      <c r="F10" s="226">
        <f>SUM(D10*E10)</f>
        <v>12000</v>
      </c>
      <c r="G10" s="226">
        <f>F10*1.22</f>
        <v>14640</v>
      </c>
    </row>
    <row r="11" spans="1:7">
      <c r="A11" s="188">
        <v>2</v>
      </c>
      <c r="B11" s="189" t="s">
        <v>109</v>
      </c>
      <c r="C11" s="188" t="s">
        <v>108</v>
      </c>
      <c r="D11" s="187"/>
      <c r="E11" s="226"/>
      <c r="F11" s="226">
        <f>SUM(D11*E11)</f>
        <v>0</v>
      </c>
      <c r="G11" s="226">
        <f>F11*1.2</f>
        <v>0</v>
      </c>
    </row>
    <row r="12" spans="1:7">
      <c r="A12" s="179"/>
      <c r="C12" s="179"/>
      <c r="D12" s="180"/>
      <c r="E12" s="130"/>
      <c r="F12" s="226">
        <f>SUM(F10:F11)</f>
        <v>12000</v>
      </c>
      <c r="G12" s="226">
        <f>SUM(G10:G11)</f>
        <v>14640</v>
      </c>
    </row>
    <row r="13" spans="1:7">
      <c r="A13" s="79" t="s">
        <v>110</v>
      </c>
      <c r="B13" s="79" t="s">
        <v>147</v>
      </c>
      <c r="C13" s="79"/>
      <c r="D13" s="79"/>
    </row>
    <row r="14" spans="1:7">
      <c r="A14" s="79" t="s">
        <v>112</v>
      </c>
      <c r="B14" s="79" t="str">
        <f>B13</f>
        <v>двенадцать тысяч рублей ноль копеек</v>
      </c>
      <c r="C14" s="79"/>
      <c r="D14" s="79"/>
    </row>
    <row r="15" spans="1:7">
      <c r="A15" s="79" t="s">
        <v>87</v>
      </c>
      <c r="B15" s="79" t="s">
        <v>148</v>
      </c>
      <c r="F15" s="181"/>
      <c r="G15" s="181"/>
    </row>
    <row r="16" spans="1:7">
      <c r="A16" s="51" t="s">
        <v>88</v>
      </c>
    </row>
    <row r="17" spans="1:4">
      <c r="A17" s="51" t="s">
        <v>89</v>
      </c>
    </row>
    <row r="20" spans="1:4">
      <c r="A20" s="51" t="s">
        <v>91</v>
      </c>
      <c r="D20" s="51" t="s">
        <v>114</v>
      </c>
    </row>
    <row r="22" spans="1:4">
      <c r="A22" s="51" t="s">
        <v>115</v>
      </c>
      <c r="D22" s="51" t="s">
        <v>95</v>
      </c>
    </row>
  </sheetData>
  <pageMargins left="0.7" right="0.7" top="0.75" bottom="0.75" header="0.3" footer="0.3"/>
  <pageSetup paperSize="9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E1DF-01D4-4283-A4C9-ED23F066B8DD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149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187">
        <v>1</v>
      </c>
      <c r="B5" s="83" t="s">
        <v>159</v>
      </c>
      <c r="C5" s="84"/>
      <c r="D5" s="145">
        <v>0</v>
      </c>
      <c r="E5" s="145">
        <v>0</v>
      </c>
      <c r="F5" s="145">
        <v>4.0999999999999996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145">
        <v>0</v>
      </c>
      <c r="E6" s="145">
        <v>0</v>
      </c>
      <c r="F6" s="145">
        <v>4.0999999999999996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145">
        <v>0</v>
      </c>
      <c r="E7" s="145">
        <v>0</v>
      </c>
      <c r="F7" s="145">
        <v>4.0999999999999996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145">
        <v>0</v>
      </c>
      <c r="E8" s="145">
        <v>0</v>
      </c>
      <c r="F8" s="145">
        <v>4.0999999999999996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145">
        <v>0</v>
      </c>
      <c r="E9" s="145">
        <v>0</v>
      </c>
      <c r="F9" s="145">
        <v>4.0999999999999996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145">
        <v>0</v>
      </c>
      <c r="E10" s="145">
        <v>0</v>
      </c>
      <c r="F10" s="145">
        <v>4.0999999999999996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145">
        <v>0</v>
      </c>
      <c r="E11" s="145">
        <v>0</v>
      </c>
      <c r="F11" s="145">
        <v>4.0999999999999996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145">
        <v>0</v>
      </c>
      <c r="E12" s="145">
        <v>0</v>
      </c>
      <c r="F12" s="145">
        <v>4.0999999999999996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145">
        <v>0</v>
      </c>
      <c r="E13" s="145">
        <v>0</v>
      </c>
      <c r="F13" s="145">
        <v>4.0999999999999996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145">
        <v>0</v>
      </c>
      <c r="E14" s="145">
        <v>0</v>
      </c>
      <c r="F14" s="145">
        <v>4.0999999999999996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145">
        <v>0</v>
      </c>
      <c r="E15" s="145">
        <v>0</v>
      </c>
      <c r="F15" s="145">
        <v>4.0999999999999996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145">
        <v>0</v>
      </c>
      <c r="E16" s="145">
        <v>0</v>
      </c>
      <c r="F16" s="145">
        <v>4.0999999999999996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145">
        <v>0</v>
      </c>
      <c r="E17" s="145">
        <v>0</v>
      </c>
      <c r="F17" s="145">
        <v>4.0999999999999996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145">
        <v>0</v>
      </c>
      <c r="E18" s="145">
        <v>0</v>
      </c>
      <c r="F18" s="145">
        <v>4.0999999999999996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145">
        <v>0</v>
      </c>
      <c r="E19" s="145">
        <v>0</v>
      </c>
      <c r="F19" s="145">
        <v>4.0999999999999996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145">
        <v>0</v>
      </c>
      <c r="E20" s="145">
        <v>0</v>
      </c>
      <c r="F20" s="145">
        <v>4.0999999999999996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145">
        <v>0</v>
      </c>
      <c r="E21" s="145">
        <v>0</v>
      </c>
      <c r="F21" s="145">
        <v>4.0999999999999996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145">
        <v>0</v>
      </c>
      <c r="E22" s="145">
        <v>0</v>
      </c>
      <c r="F22" s="145">
        <v>4.0999999999999996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145">
        <v>0</v>
      </c>
      <c r="E23" s="145">
        <v>0</v>
      </c>
      <c r="F23" s="145">
        <v>4.0999999999999996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145">
        <v>0</v>
      </c>
      <c r="E24" s="145">
        <v>0</v>
      </c>
      <c r="F24" s="145">
        <v>4.0999999999999996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145">
        <v>0</v>
      </c>
      <c r="E25" s="145">
        <v>0</v>
      </c>
      <c r="F25" s="145">
        <v>4.0999999999999996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145">
        <v>0</v>
      </c>
      <c r="E26" s="145">
        <v>0</v>
      </c>
      <c r="F26" s="145">
        <v>4.0999999999999996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145">
        <v>0</v>
      </c>
      <c r="E27" s="145">
        <v>0</v>
      </c>
      <c r="F27" s="145">
        <v>4.0999999999999996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145">
        <v>0</v>
      </c>
      <c r="E28" s="145">
        <v>0</v>
      </c>
      <c r="F28" s="145">
        <v>4.0999999999999996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145">
        <v>0</v>
      </c>
      <c r="E29" s="145">
        <v>0</v>
      </c>
      <c r="F29" s="145">
        <v>4.0999999999999996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145">
        <v>0</v>
      </c>
      <c r="E30" s="145">
        <v>0</v>
      </c>
      <c r="F30" s="145">
        <v>4.0999999999999996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145">
        <v>0</v>
      </c>
      <c r="E31" s="145">
        <v>0</v>
      </c>
      <c r="F31" s="145">
        <v>4.0999999999999996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145">
        <v>0</v>
      </c>
      <c r="E32" s="145">
        <v>0</v>
      </c>
      <c r="F32" s="145">
        <v>4.0999999999999996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145">
        <v>0</v>
      </c>
      <c r="E33" s="145">
        <v>0</v>
      </c>
      <c r="F33" s="145">
        <v>4.0999999999999996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145">
        <v>0</v>
      </c>
      <c r="E34" s="145">
        <v>0</v>
      </c>
      <c r="F34" s="145">
        <v>4.0999999999999996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145">
        <v>0</v>
      </c>
      <c r="E35" s="145">
        <v>0</v>
      </c>
      <c r="F35" s="145">
        <v>4.0999999999999996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0</v>
      </c>
      <c r="E36" s="76">
        <v>0</v>
      </c>
      <c r="F36" s="76">
        <v>127.09999999999992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0</v>
      </c>
      <c r="N36" s="229">
        <v>0</v>
      </c>
      <c r="O36" s="229">
        <v>1244.28</v>
      </c>
      <c r="P36" s="229">
        <v>0</v>
      </c>
      <c r="Q36" s="229">
        <v>0</v>
      </c>
      <c r="R36" s="229">
        <v>0</v>
      </c>
      <c r="S36" s="229">
        <v>0</v>
      </c>
      <c r="T36" s="229">
        <v>1244.28</v>
      </c>
    </row>
    <row r="37" spans="1:20">
      <c r="R37" s="79"/>
      <c r="S37" s="79"/>
      <c r="T37" s="230">
        <v>1518.02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AEF4-BB3E-4E54-945B-D211F1696DC2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190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187">
        <v>1</v>
      </c>
      <c r="B5" s="83" t="s">
        <v>159</v>
      </c>
      <c r="C5" s="84"/>
      <c r="D5" s="145">
        <v>22.5</v>
      </c>
      <c r="E5" s="145">
        <v>165.125</v>
      </c>
      <c r="F5" s="145">
        <v>9418.4539999999997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145">
        <v>22.5</v>
      </c>
      <c r="E6" s="145">
        <v>67</v>
      </c>
      <c r="F6" s="145">
        <v>9373.9539999999997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145">
        <v>0</v>
      </c>
      <c r="E7" s="145">
        <v>111.5</v>
      </c>
      <c r="F7" s="145">
        <v>9262.4539999999997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145">
        <v>45</v>
      </c>
      <c r="E8" s="145">
        <v>111.5</v>
      </c>
      <c r="F8" s="145">
        <v>9195.9539999999997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145">
        <v>45</v>
      </c>
      <c r="E9" s="145">
        <v>0</v>
      </c>
      <c r="F9" s="145">
        <v>9240.9539999999997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145">
        <v>135</v>
      </c>
      <c r="E10" s="145">
        <v>89</v>
      </c>
      <c r="F10" s="145">
        <v>9286.9539999999997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145">
        <v>112.5</v>
      </c>
      <c r="E11" s="145">
        <v>67.875</v>
      </c>
      <c r="F11" s="145">
        <v>9331.5789999999997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145">
        <v>90</v>
      </c>
      <c r="E12" s="145">
        <v>47.25</v>
      </c>
      <c r="F12" s="145">
        <v>9374.3289999999997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145">
        <v>157.47499999999999</v>
      </c>
      <c r="E13" s="145">
        <v>125.8</v>
      </c>
      <c r="F13" s="145">
        <v>9406.0040000000008</v>
      </c>
      <c r="G13" s="227">
        <v>0</v>
      </c>
      <c r="H13" s="227">
        <v>0</v>
      </c>
      <c r="I13" s="66">
        <v>4.45</v>
      </c>
      <c r="J13" s="66">
        <v>4.45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1112.5</v>
      </c>
      <c r="S13" s="228">
        <v>623</v>
      </c>
      <c r="T13" s="228">
        <v>1735.5</v>
      </c>
    </row>
    <row r="14" spans="1:20">
      <c r="A14" s="69">
        <v>10</v>
      </c>
      <c r="B14" s="83" t="s">
        <v>168</v>
      </c>
      <c r="C14" s="84"/>
      <c r="D14" s="145">
        <v>44.975000000000001</v>
      </c>
      <c r="E14" s="145">
        <v>135.69999999999999</v>
      </c>
      <c r="F14" s="145">
        <v>9315.2790000000005</v>
      </c>
      <c r="G14" s="227">
        <v>0</v>
      </c>
      <c r="H14" s="227">
        <v>0</v>
      </c>
      <c r="I14" s="66">
        <v>2.9750000000000001</v>
      </c>
      <c r="J14" s="66">
        <v>2.9750000000000001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743.75</v>
      </c>
      <c r="S14" s="228">
        <v>416.5</v>
      </c>
      <c r="T14" s="228">
        <v>1160.25</v>
      </c>
    </row>
    <row r="15" spans="1:20">
      <c r="A15" s="69">
        <v>11</v>
      </c>
      <c r="B15" s="83" t="s">
        <v>169</v>
      </c>
      <c r="C15" s="84"/>
      <c r="D15" s="145">
        <v>202.5</v>
      </c>
      <c r="E15" s="145">
        <v>37.875</v>
      </c>
      <c r="F15" s="145">
        <v>9479.9040000000005</v>
      </c>
      <c r="G15" s="227">
        <v>0</v>
      </c>
      <c r="H15" s="227">
        <v>0</v>
      </c>
      <c r="I15" s="66">
        <v>1.5</v>
      </c>
      <c r="J15" s="66">
        <v>1.5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375</v>
      </c>
      <c r="S15" s="228">
        <v>210</v>
      </c>
      <c r="T15" s="228">
        <v>585</v>
      </c>
    </row>
    <row r="16" spans="1:20">
      <c r="A16" s="69">
        <v>12</v>
      </c>
      <c r="B16" s="83" t="s">
        <v>170</v>
      </c>
      <c r="C16" s="84"/>
      <c r="D16" s="145">
        <v>180</v>
      </c>
      <c r="E16" s="145">
        <v>44.5</v>
      </c>
      <c r="F16" s="145">
        <v>9615.4040000000005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145">
        <v>202.5</v>
      </c>
      <c r="E17" s="145">
        <v>135.75</v>
      </c>
      <c r="F17" s="145">
        <v>9682.1540000000005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145">
        <v>179.5</v>
      </c>
      <c r="E18" s="145">
        <v>227.125</v>
      </c>
      <c r="F18" s="145">
        <v>9634.5290000000005</v>
      </c>
      <c r="G18" s="227">
        <v>0</v>
      </c>
      <c r="H18" s="227">
        <v>0</v>
      </c>
      <c r="I18" s="66">
        <v>1.5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375</v>
      </c>
      <c r="S18" s="228">
        <v>0</v>
      </c>
      <c r="T18" s="228">
        <v>375</v>
      </c>
    </row>
    <row r="19" spans="1:20">
      <c r="A19" s="69">
        <v>15</v>
      </c>
      <c r="B19" s="83" t="s">
        <v>173</v>
      </c>
      <c r="C19" s="84"/>
      <c r="D19" s="145">
        <v>89.5</v>
      </c>
      <c r="E19" s="145">
        <v>43.375</v>
      </c>
      <c r="F19" s="145">
        <v>9680.6540000000005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145">
        <v>134</v>
      </c>
      <c r="E20" s="145">
        <v>178</v>
      </c>
      <c r="F20" s="145">
        <v>9636.6540000000005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145">
        <v>358</v>
      </c>
      <c r="E21" s="145">
        <v>111</v>
      </c>
      <c r="F21" s="145">
        <v>9883.6540000000005</v>
      </c>
      <c r="G21" s="227">
        <v>0</v>
      </c>
      <c r="H21" s="227">
        <v>0</v>
      </c>
      <c r="I21" s="66">
        <v>1.5</v>
      </c>
      <c r="J21" s="66">
        <v>3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375</v>
      </c>
      <c r="S21" s="228">
        <v>420</v>
      </c>
      <c r="T21" s="228">
        <v>795</v>
      </c>
    </row>
    <row r="22" spans="1:20">
      <c r="A22" s="69">
        <v>18</v>
      </c>
      <c r="B22" s="83" t="s">
        <v>176</v>
      </c>
      <c r="C22" s="84"/>
      <c r="D22" s="145">
        <v>202.5</v>
      </c>
      <c r="E22" s="145">
        <v>67</v>
      </c>
      <c r="F22" s="145">
        <v>10019.154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145">
        <v>135</v>
      </c>
      <c r="E23" s="145">
        <v>43</v>
      </c>
      <c r="F23" s="145">
        <v>10111.154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145">
        <v>180</v>
      </c>
      <c r="E24" s="145">
        <v>88.375</v>
      </c>
      <c r="F24" s="145">
        <v>10202.779</v>
      </c>
      <c r="G24" s="227">
        <v>0</v>
      </c>
      <c r="H24" s="227">
        <v>0</v>
      </c>
      <c r="I24" s="66">
        <v>1.5</v>
      </c>
      <c r="J24" s="66">
        <v>1.5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375</v>
      </c>
      <c r="S24" s="228">
        <v>210</v>
      </c>
      <c r="T24" s="228">
        <v>585</v>
      </c>
    </row>
    <row r="25" spans="1:20">
      <c r="A25" s="69">
        <v>21</v>
      </c>
      <c r="B25" s="83" t="s">
        <v>179</v>
      </c>
      <c r="C25" s="84"/>
      <c r="D25" s="145">
        <v>67.5</v>
      </c>
      <c r="E25" s="145">
        <v>46.75</v>
      </c>
      <c r="F25" s="145">
        <v>10223.529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145">
        <v>314.95</v>
      </c>
      <c r="E26" s="145">
        <v>46.5</v>
      </c>
      <c r="F26" s="145">
        <v>10491.978999999999</v>
      </c>
      <c r="G26" s="227">
        <v>0</v>
      </c>
      <c r="H26" s="227">
        <v>0</v>
      </c>
      <c r="I26" s="66">
        <v>11.95</v>
      </c>
      <c r="J26" s="66">
        <v>11.95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2987.5</v>
      </c>
      <c r="S26" s="228">
        <v>1673</v>
      </c>
      <c r="T26" s="228">
        <v>4660.5</v>
      </c>
    </row>
    <row r="27" spans="1:20">
      <c r="A27" s="69">
        <v>23</v>
      </c>
      <c r="B27" s="83" t="s">
        <v>181</v>
      </c>
      <c r="C27" s="84"/>
      <c r="D27" s="145">
        <v>135</v>
      </c>
      <c r="E27" s="145">
        <v>124.875</v>
      </c>
      <c r="F27" s="145">
        <v>10502.103999999999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145">
        <v>112.5</v>
      </c>
      <c r="E28" s="145">
        <v>0</v>
      </c>
      <c r="F28" s="145">
        <v>10614.603999999999</v>
      </c>
      <c r="G28" s="227">
        <v>0</v>
      </c>
      <c r="H28" s="227">
        <v>0</v>
      </c>
      <c r="I28" s="66">
        <v>3</v>
      </c>
      <c r="J28" s="66">
        <v>3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750</v>
      </c>
      <c r="S28" s="228">
        <v>420</v>
      </c>
      <c r="T28" s="228">
        <v>1170</v>
      </c>
    </row>
    <row r="29" spans="1:20">
      <c r="A29" s="69">
        <v>25</v>
      </c>
      <c r="B29" s="83" t="s">
        <v>183</v>
      </c>
      <c r="C29" s="84"/>
      <c r="D29" s="145">
        <v>112.5</v>
      </c>
      <c r="E29" s="145">
        <v>67.5</v>
      </c>
      <c r="F29" s="145">
        <v>10659.603999999999</v>
      </c>
      <c r="G29" s="227">
        <v>0</v>
      </c>
      <c r="H29" s="227">
        <v>0</v>
      </c>
      <c r="I29" s="66">
        <v>1.5</v>
      </c>
      <c r="J29" s="66">
        <v>1.5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375</v>
      </c>
      <c r="S29" s="228">
        <v>210</v>
      </c>
      <c r="T29" s="228">
        <v>585</v>
      </c>
    </row>
    <row r="30" spans="1:20">
      <c r="A30" s="69">
        <v>26</v>
      </c>
      <c r="B30" s="83" t="s">
        <v>184</v>
      </c>
      <c r="C30" s="84"/>
      <c r="D30" s="145">
        <v>90</v>
      </c>
      <c r="E30" s="145">
        <v>178.875</v>
      </c>
      <c r="F30" s="145">
        <v>10570.728999999999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145">
        <v>67.5</v>
      </c>
      <c r="E31" s="145">
        <v>72.875</v>
      </c>
      <c r="F31" s="145">
        <v>10565.353999999999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145">
        <v>90</v>
      </c>
      <c r="E32" s="145">
        <v>238.75</v>
      </c>
      <c r="F32" s="145">
        <v>10416.603999999999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145">
        <v>90</v>
      </c>
      <c r="E33" s="145">
        <v>317.25</v>
      </c>
      <c r="F33" s="145">
        <v>10189.353999999999</v>
      </c>
      <c r="G33" s="227">
        <v>0</v>
      </c>
      <c r="H33" s="227">
        <v>0</v>
      </c>
      <c r="I33" s="66">
        <v>6</v>
      </c>
      <c r="J33" s="66">
        <v>6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1500</v>
      </c>
      <c r="S33" s="228">
        <v>840</v>
      </c>
      <c r="T33" s="228">
        <v>2340</v>
      </c>
    </row>
    <row r="34" spans="1:20">
      <c r="A34" s="69">
        <v>30</v>
      </c>
      <c r="B34" s="83" t="s">
        <v>188</v>
      </c>
      <c r="C34" s="84"/>
      <c r="D34" s="145">
        <v>67</v>
      </c>
      <c r="E34" s="145">
        <v>375.75</v>
      </c>
      <c r="F34" s="145">
        <v>9880.6039999999994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145">
        <v>90</v>
      </c>
      <c r="E35" s="145">
        <v>404.375</v>
      </c>
      <c r="F35" s="145">
        <v>9566.2289999999994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3775.3999999999996</v>
      </c>
      <c r="E36" s="76">
        <v>3770.25</v>
      </c>
      <c r="F36" s="76">
        <v>304832.64899999998</v>
      </c>
      <c r="G36" s="76">
        <v>0</v>
      </c>
      <c r="H36" s="76">
        <v>0</v>
      </c>
      <c r="I36" s="76">
        <v>35.875</v>
      </c>
      <c r="J36" s="76">
        <v>35.875</v>
      </c>
      <c r="K36" s="76">
        <v>0</v>
      </c>
      <c r="L36" s="229">
        <v>0</v>
      </c>
      <c r="M36" s="229">
        <v>898486.81</v>
      </c>
      <c r="N36" s="229">
        <v>926186.67</v>
      </c>
      <c r="O36" s="229">
        <v>2984245.37</v>
      </c>
      <c r="P36" s="229">
        <v>1463384.94</v>
      </c>
      <c r="Q36" s="229">
        <v>0</v>
      </c>
      <c r="R36" s="229">
        <v>8968.75</v>
      </c>
      <c r="S36" s="229">
        <v>5022.5</v>
      </c>
      <c r="T36" s="229">
        <v>6286295.04</v>
      </c>
    </row>
    <row r="37" spans="1:20">
      <c r="R37" s="79"/>
      <c r="S37" s="79"/>
      <c r="T37" s="230">
        <v>7669279.9500000002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886F-51D5-440F-959F-39B51B0B4484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191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89.35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89.35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89.35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89.35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89.35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89.35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89.35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89.35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5.5</v>
      </c>
      <c r="F13" s="231">
        <v>83.85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83.85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83.85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83.85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44</v>
      </c>
      <c r="E17" s="231">
        <v>0</v>
      </c>
      <c r="F17" s="231">
        <v>127.85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22</v>
      </c>
      <c r="E18" s="231">
        <v>0</v>
      </c>
      <c r="F18" s="231">
        <v>149.85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110</v>
      </c>
      <c r="E19" s="231">
        <v>22</v>
      </c>
      <c r="F19" s="231">
        <v>237.85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88</v>
      </c>
      <c r="E20" s="231">
        <v>0</v>
      </c>
      <c r="F20" s="231">
        <v>325.85000000000002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44</v>
      </c>
      <c r="E21" s="231">
        <v>110</v>
      </c>
      <c r="F21" s="231">
        <v>259.85000000000002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259.85000000000002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259.85000000000002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259.85000000000002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259.85000000000002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259.85000000000002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22</v>
      </c>
      <c r="E27" s="231">
        <v>0</v>
      </c>
      <c r="F27" s="231">
        <v>281.85000000000002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281.85000000000002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281.85000000000002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281.85000000000002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281.85000000000002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281.85000000000002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44</v>
      </c>
      <c r="F33" s="231">
        <v>237.85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22</v>
      </c>
      <c r="E34" s="231">
        <v>132</v>
      </c>
      <c r="F34" s="231">
        <v>127.85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88</v>
      </c>
      <c r="E35" s="231">
        <v>0</v>
      </c>
      <c r="F35" s="231">
        <v>215.85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440</v>
      </c>
      <c r="E36" s="76">
        <v>313.5</v>
      </c>
      <c r="F36" s="76">
        <v>5723.3500000000013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104713.19</v>
      </c>
      <c r="N36" s="229">
        <v>77013.33</v>
      </c>
      <c r="O36" s="229">
        <v>56030.35</v>
      </c>
      <c r="P36" s="229">
        <v>0</v>
      </c>
      <c r="Q36" s="229">
        <v>0</v>
      </c>
      <c r="R36" s="229">
        <v>0</v>
      </c>
      <c r="S36" s="229">
        <v>0</v>
      </c>
      <c r="T36" s="229">
        <v>237756.87</v>
      </c>
    </row>
    <row r="37" spans="1:20">
      <c r="R37" s="79"/>
      <c r="S37" s="79"/>
      <c r="T37" s="230">
        <v>290063.38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AC30-01AE-4144-9D25-26BB80E83316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1" width="9.140625" style="51"/>
    <col min="12" max="12" width="14" style="51" customWidth="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192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221.54900000000001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221.54900000000001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221.54900000000001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221.54900000000001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221.54900000000001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221.54900000000001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221.54900000000001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221.54900000000001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221.54900000000001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221.54900000000001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221.54900000000001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221.54900000000001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221.54900000000001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221.54900000000001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221.54900000000001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221.54900000000001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221.54900000000001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221.54900000000001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221.54900000000001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221.54900000000001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221.54900000000001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221.54900000000001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221.54900000000001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221.54900000000001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131.80000000000001</v>
      </c>
      <c r="F29" s="231">
        <v>89.748999999999995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21.95</v>
      </c>
      <c r="F30" s="231">
        <v>67.799000000000007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22</v>
      </c>
      <c r="F31" s="231">
        <v>45.798999999999999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45.798999999999999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45.798999999999999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4</v>
      </c>
      <c r="F34" s="231">
        <v>41.798999999999999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41.798999999999999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0</v>
      </c>
      <c r="E36" s="76">
        <v>179.75</v>
      </c>
      <c r="F36" s="76">
        <v>5695.7190000000001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0</v>
      </c>
      <c r="N36" s="229">
        <v>17766.21</v>
      </c>
      <c r="O36" s="229">
        <v>216406.84</v>
      </c>
      <c r="P36" s="229">
        <v>0</v>
      </c>
      <c r="Q36" s="229">
        <v>0</v>
      </c>
      <c r="R36" s="229">
        <v>0</v>
      </c>
      <c r="S36" s="229">
        <v>0</v>
      </c>
      <c r="T36" s="229">
        <v>234173.05</v>
      </c>
    </row>
    <row r="37" spans="1:20">
      <c r="R37" s="79"/>
      <c r="S37" s="79"/>
      <c r="T37" s="230">
        <v>285691.12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B690-E7C9-4E43-93F4-D7612AA3B9BB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1" width="9.140625" style="51"/>
    <col min="12" max="12" width="14" style="51" customWidth="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193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84.593999999999994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84.593999999999994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84.593999999999994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84.593999999999994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84.593999999999994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84.593999999999994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84.593999999999994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84.593999999999994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84.593999999999994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84.593999999999994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84.593999999999994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84.593999999999994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84.593999999999994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84.593999999999994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84.593999999999994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84.593999999999994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84.593999999999994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84.593999999999994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84.593999999999994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84.593999999999994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84.593999999999994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84.593999999999994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84.593999999999994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84.593999999999994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84.593999999999994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84.593999999999994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84.593999999999994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84.593999999999994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84.593999999999994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0</v>
      </c>
      <c r="F34" s="231">
        <v>84.593999999999994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84.593999999999994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0</v>
      </c>
      <c r="E36" s="76">
        <v>0</v>
      </c>
      <c r="F36" s="76">
        <v>2622.4140000000011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0</v>
      </c>
      <c r="N36" s="229">
        <v>0</v>
      </c>
      <c r="O36" s="229">
        <v>99637.7</v>
      </c>
      <c r="P36" s="229">
        <v>0</v>
      </c>
      <c r="Q36" s="229">
        <v>0</v>
      </c>
      <c r="R36" s="229">
        <v>0</v>
      </c>
      <c r="S36" s="229">
        <v>0</v>
      </c>
      <c r="T36" s="229">
        <v>99637.7</v>
      </c>
    </row>
    <row r="37" spans="1:20">
      <c r="R37" s="79"/>
      <c r="S37" s="79"/>
      <c r="T37" s="230">
        <v>121557.99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A5F0-E1F6-4E11-BECA-D03E1A8C5F5D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1" width="9.140625" style="51"/>
    <col min="12" max="12" width="14" style="51" customWidth="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194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67.5</v>
      </c>
      <c r="F5" s="231">
        <v>9267.5969999999998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87.974999999999994</v>
      </c>
      <c r="F6" s="231">
        <v>9179.6219999999994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112.7</v>
      </c>
      <c r="F7" s="231">
        <v>9066.9220000000005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48.75</v>
      </c>
      <c r="F8" s="231">
        <v>9018.1720000000005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45</v>
      </c>
      <c r="F9" s="231">
        <v>8973.1720000000005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44.5</v>
      </c>
      <c r="F10" s="231">
        <v>8928.6720000000005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58.75</v>
      </c>
      <c r="F11" s="231">
        <v>8869.9220000000005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45</v>
      </c>
      <c r="F12" s="231">
        <v>8824.9220000000005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24.75</v>
      </c>
      <c r="F13" s="231">
        <v>8800.1720000000005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47.25</v>
      </c>
      <c r="F14" s="231">
        <v>8752.9220000000005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90</v>
      </c>
      <c r="F15" s="231">
        <v>8662.9220000000005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22.5</v>
      </c>
      <c r="F16" s="231">
        <v>8640.4220000000005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57</v>
      </c>
      <c r="F17" s="231">
        <v>8583.4220000000005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134.5</v>
      </c>
      <c r="F18" s="231">
        <v>8448.9220000000005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158.5</v>
      </c>
      <c r="F19" s="231">
        <v>8290.4220000000005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5.726</v>
      </c>
      <c r="E20" s="231">
        <v>407.625</v>
      </c>
      <c r="F20" s="231">
        <v>7888.5230000000001</v>
      </c>
      <c r="G20" s="227">
        <v>0</v>
      </c>
      <c r="H20" s="227">
        <v>0</v>
      </c>
      <c r="I20" s="66">
        <v>6.71</v>
      </c>
      <c r="J20" s="66">
        <v>6.71</v>
      </c>
      <c r="K20" s="67">
        <v>6.71</v>
      </c>
      <c r="L20" s="228">
        <v>1006.5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6710</v>
      </c>
      <c r="S20" s="228">
        <v>1342</v>
      </c>
      <c r="T20" s="228">
        <v>9058.5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565.67499999999995</v>
      </c>
      <c r="F21" s="231">
        <v>7322.848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674.75</v>
      </c>
      <c r="F22" s="231">
        <v>6648.098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585</v>
      </c>
      <c r="F23" s="231">
        <v>6063.098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673.5</v>
      </c>
      <c r="F24" s="231">
        <v>5389.598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561.875</v>
      </c>
      <c r="F25" s="231">
        <v>4827.723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629.9</v>
      </c>
      <c r="F26" s="231">
        <v>4197.8230000000003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746.55</v>
      </c>
      <c r="F27" s="231">
        <v>3451.2730000000001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673.9</v>
      </c>
      <c r="F28" s="231">
        <v>2777.373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374.67500000000001</v>
      </c>
      <c r="F29" s="231">
        <v>2402.6979999999999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425</v>
      </c>
      <c r="F30" s="231">
        <v>1977.6980000000001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468.125</v>
      </c>
      <c r="F31" s="231">
        <v>1509.5730000000001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329.29599999999999</v>
      </c>
      <c r="F32" s="231">
        <v>1180.277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275.55599999999998</v>
      </c>
      <c r="F33" s="231">
        <v>904.721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327.88900000000001</v>
      </c>
      <c r="F34" s="231">
        <v>576.83199999999999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102.521</v>
      </c>
      <c r="F35" s="231">
        <v>474.31099999999998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5.726</v>
      </c>
      <c r="E36" s="76">
        <v>8866.5120000000006</v>
      </c>
      <c r="F36" s="76">
        <v>189900.67199999996</v>
      </c>
      <c r="G36" s="76">
        <v>0</v>
      </c>
      <c r="H36" s="76">
        <v>0</v>
      </c>
      <c r="I36" s="76">
        <v>6.71</v>
      </c>
      <c r="J36" s="76">
        <v>6.71</v>
      </c>
      <c r="K36" s="76">
        <v>6.71</v>
      </c>
      <c r="L36" s="229">
        <v>1006.5</v>
      </c>
      <c r="M36" s="229">
        <v>786040.7</v>
      </c>
      <c r="N36" s="229">
        <v>876352.03</v>
      </c>
      <c r="O36" s="229">
        <v>7215209.1900000004</v>
      </c>
      <c r="P36" s="229">
        <v>0</v>
      </c>
      <c r="Q36" s="229">
        <v>0</v>
      </c>
      <c r="R36" s="229">
        <v>6710</v>
      </c>
      <c r="S36" s="229">
        <v>1342</v>
      </c>
      <c r="T36" s="229">
        <v>8886660.4199999999</v>
      </c>
    </row>
    <row r="37" spans="1:20">
      <c r="R37" s="79"/>
      <c r="S37" s="79"/>
      <c r="T37" s="230">
        <v>10841725.710000001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1372-093C-4F1B-978E-0789E816EA47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1" width="9.140625" style="51"/>
    <col min="12" max="12" width="14" style="51" customWidth="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195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283.66699999999997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283.66699999999997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283.66699999999997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283.66699999999997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21.975000000000001</v>
      </c>
      <c r="F9" s="231">
        <v>261.69200000000001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261.69200000000001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22</v>
      </c>
      <c r="F11" s="231">
        <v>239.69200000000001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1.375</v>
      </c>
      <c r="F12" s="231">
        <v>238.31700000000001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6.875</v>
      </c>
      <c r="F13" s="231">
        <v>231.44200000000001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231.44200000000001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44</v>
      </c>
      <c r="F15" s="231">
        <v>187.44200000000001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187.44200000000001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22</v>
      </c>
      <c r="F17" s="231">
        <v>165.44200000000001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165.44200000000001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165.44200000000001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0.98399999999999999</v>
      </c>
      <c r="E20" s="231">
        <v>0</v>
      </c>
      <c r="F20" s="231">
        <v>166.42599999999999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1.375</v>
      </c>
      <c r="F21" s="231">
        <v>165.05099999999999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165.05099999999999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165.05099999999999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165.05099999999999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165.05099999999999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165.05099999999999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165.05099999999999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44</v>
      </c>
      <c r="F28" s="231">
        <v>121.051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121.051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121.051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121.051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66.5</v>
      </c>
      <c r="F32" s="231">
        <v>54.551000000000002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54.551000000000002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1.375</v>
      </c>
      <c r="F34" s="231">
        <v>53.176000000000002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41.716000000000001</v>
      </c>
      <c r="F35" s="231">
        <v>11.46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0.98399999999999999</v>
      </c>
      <c r="E36" s="76">
        <v>273.19099999999997</v>
      </c>
      <c r="F36" s="76">
        <v>5449.8800000000037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135079.29999999999</v>
      </c>
      <c r="N36" s="229">
        <v>27001.77</v>
      </c>
      <c r="O36" s="229">
        <v>207066.27</v>
      </c>
      <c r="P36" s="229">
        <v>0</v>
      </c>
      <c r="Q36" s="229">
        <v>0</v>
      </c>
      <c r="R36" s="229">
        <v>0</v>
      </c>
      <c r="S36" s="229">
        <v>0</v>
      </c>
      <c r="T36" s="229">
        <v>369147.34</v>
      </c>
    </row>
    <row r="37" spans="1:20">
      <c r="R37" s="79"/>
      <c r="S37" s="79"/>
      <c r="T37" s="230">
        <v>450359.75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0A80-D620-453A-A3F6-9AC9C4E8938F}">
  <sheetPr>
    <pageSetUpPr fitToPage="1"/>
  </sheetPr>
  <dimension ref="A1:T37"/>
  <sheetViews>
    <sheetView topLeftCell="A16" workbookViewId="0">
      <selection activeCell="Q37" sqref="Q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1" width="9.140625" style="51"/>
    <col min="12" max="12" width="14" style="51" customWidth="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154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154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154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154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154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154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154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154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154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154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154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154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154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154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154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154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154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154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154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154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154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154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154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154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154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154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154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154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154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0</v>
      </c>
      <c r="F34" s="231">
        <v>154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154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0</v>
      </c>
      <c r="E36" s="76">
        <v>0</v>
      </c>
      <c r="F36" s="76">
        <v>4774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0</v>
      </c>
      <c r="N36" s="229">
        <v>0</v>
      </c>
      <c r="O36" s="229">
        <v>112692.89</v>
      </c>
      <c r="P36" s="229">
        <v>0</v>
      </c>
      <c r="Q36" s="229">
        <v>0</v>
      </c>
      <c r="R36" s="229">
        <v>0</v>
      </c>
      <c r="S36" s="229">
        <v>0</v>
      </c>
      <c r="T36" s="229">
        <v>112692.89</v>
      </c>
    </row>
    <row r="37" spans="1:20">
      <c r="R37" s="79"/>
      <c r="S37" s="79"/>
      <c r="T37" s="230">
        <v>137485.32999999999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B28E-13C2-43D5-8A5E-9D6FEF5CCF68}">
  <sheetPr>
    <pageSetUpPr fitToPage="1"/>
  </sheetPr>
  <dimension ref="A1:T37"/>
  <sheetViews>
    <sheetView topLeftCell="A16" workbookViewId="0">
      <selection activeCell="Q37" sqref="Q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1" width="9.140625" style="51"/>
    <col min="12" max="12" width="14" style="51" customWidth="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197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8174.5720000000001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135</v>
      </c>
      <c r="E6" s="231">
        <v>67.5</v>
      </c>
      <c r="F6" s="231">
        <v>8242.0720000000001</v>
      </c>
      <c r="G6" s="227">
        <v>0</v>
      </c>
      <c r="H6" s="227">
        <v>0</v>
      </c>
      <c r="I6" s="66">
        <v>34.5</v>
      </c>
      <c r="J6" s="66">
        <v>34.5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34500</v>
      </c>
      <c r="S6" s="228">
        <v>6900</v>
      </c>
      <c r="T6" s="228">
        <v>41400</v>
      </c>
    </row>
    <row r="7" spans="1:20">
      <c r="A7" s="69">
        <v>3</v>
      </c>
      <c r="B7" s="83" t="s">
        <v>161</v>
      </c>
      <c r="C7" s="84"/>
      <c r="D7" s="231">
        <v>90</v>
      </c>
      <c r="E7" s="231">
        <v>0</v>
      </c>
      <c r="F7" s="231">
        <v>8332.0720000000001</v>
      </c>
      <c r="G7" s="227">
        <v>0</v>
      </c>
      <c r="H7" s="227">
        <v>0</v>
      </c>
      <c r="I7" s="66">
        <v>41.75</v>
      </c>
      <c r="J7" s="66">
        <v>41.75</v>
      </c>
      <c r="K7" s="67">
        <v>0.95000000000000007</v>
      </c>
      <c r="L7" s="228">
        <v>142.5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41750</v>
      </c>
      <c r="S7" s="228">
        <v>8350</v>
      </c>
      <c r="T7" s="228">
        <v>50242.5</v>
      </c>
    </row>
    <row r="8" spans="1:20">
      <c r="A8" s="69">
        <v>4</v>
      </c>
      <c r="B8" s="83" t="s">
        <v>162</v>
      </c>
      <c r="C8" s="84"/>
      <c r="D8" s="231">
        <v>560.99099999999999</v>
      </c>
      <c r="E8" s="231">
        <v>0</v>
      </c>
      <c r="F8" s="231">
        <v>8893.0630000000001</v>
      </c>
      <c r="G8" s="227">
        <v>0</v>
      </c>
      <c r="H8" s="227">
        <v>0</v>
      </c>
      <c r="I8" s="66">
        <v>13.491</v>
      </c>
      <c r="J8" s="66">
        <v>13.491</v>
      </c>
      <c r="K8" s="67">
        <v>0.316</v>
      </c>
      <c r="L8" s="228">
        <v>47.4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13491</v>
      </c>
      <c r="S8" s="228">
        <v>2698.2</v>
      </c>
      <c r="T8" s="228">
        <v>16236.6</v>
      </c>
    </row>
    <row r="9" spans="1:20">
      <c r="A9" s="69">
        <v>5</v>
      </c>
      <c r="B9" s="83" t="s">
        <v>163</v>
      </c>
      <c r="C9" s="84"/>
      <c r="D9" s="231">
        <v>560.95299999999997</v>
      </c>
      <c r="E9" s="231">
        <v>0</v>
      </c>
      <c r="F9" s="231">
        <v>9454.0159999999996</v>
      </c>
      <c r="G9" s="227">
        <v>0</v>
      </c>
      <c r="H9" s="227">
        <v>0</v>
      </c>
      <c r="I9" s="66">
        <v>17.952999999999999</v>
      </c>
      <c r="J9" s="66">
        <v>17.952999999999999</v>
      </c>
      <c r="K9" s="67">
        <v>0.25299999999999995</v>
      </c>
      <c r="L9" s="228">
        <v>37.950000000000003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17953</v>
      </c>
      <c r="S9" s="228">
        <v>3590.6</v>
      </c>
      <c r="T9" s="228">
        <v>21581.55</v>
      </c>
    </row>
    <row r="10" spans="1:20">
      <c r="A10" s="69">
        <v>6</v>
      </c>
      <c r="B10" s="83" t="s">
        <v>164</v>
      </c>
      <c r="C10" s="84"/>
      <c r="D10" s="231">
        <v>662.99699999999996</v>
      </c>
      <c r="E10" s="231">
        <v>0</v>
      </c>
      <c r="F10" s="231">
        <v>10117.013000000001</v>
      </c>
      <c r="G10" s="227">
        <v>0</v>
      </c>
      <c r="H10" s="227">
        <v>0</v>
      </c>
      <c r="I10" s="66">
        <v>4.4969999999999999</v>
      </c>
      <c r="J10" s="66">
        <v>4.4969999999999999</v>
      </c>
      <c r="K10" s="67">
        <v>7.2000000000000008E-2</v>
      </c>
      <c r="L10" s="228">
        <v>10.8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4497</v>
      </c>
      <c r="S10" s="228">
        <v>899.4</v>
      </c>
      <c r="T10" s="228">
        <v>5407.2</v>
      </c>
    </row>
    <row r="11" spans="1:20">
      <c r="A11" s="69">
        <v>7</v>
      </c>
      <c r="B11" s="83" t="s">
        <v>165</v>
      </c>
      <c r="C11" s="84"/>
      <c r="D11" s="231">
        <v>152.99</v>
      </c>
      <c r="E11" s="231">
        <v>3</v>
      </c>
      <c r="F11" s="231">
        <v>10267.003000000001</v>
      </c>
      <c r="G11" s="227">
        <v>0</v>
      </c>
      <c r="H11" s="227">
        <v>0</v>
      </c>
      <c r="I11" s="66">
        <v>1.49</v>
      </c>
      <c r="J11" s="66">
        <v>1.49</v>
      </c>
      <c r="K11" s="67">
        <v>1.4999999999999999E-2</v>
      </c>
      <c r="L11" s="228">
        <v>2.25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1490</v>
      </c>
      <c r="S11" s="228">
        <v>298</v>
      </c>
      <c r="T11" s="228">
        <v>1790.25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21</v>
      </c>
      <c r="F12" s="231">
        <v>10246.003000000001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45</v>
      </c>
      <c r="F13" s="231">
        <v>10201.003000000001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135</v>
      </c>
      <c r="F14" s="231">
        <v>10066.003000000001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112.5</v>
      </c>
      <c r="F15" s="231">
        <v>9953.5030000000006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22.5</v>
      </c>
      <c r="F16" s="231">
        <v>9931.0030000000006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90</v>
      </c>
      <c r="F17" s="231">
        <v>9841.0030000000006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180</v>
      </c>
      <c r="F18" s="231">
        <v>9661.0030000000006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45</v>
      </c>
      <c r="F19" s="231">
        <v>9616.0030000000006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157.5</v>
      </c>
      <c r="F20" s="231">
        <v>9458.5030000000006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225</v>
      </c>
      <c r="F21" s="231">
        <v>9233.5030000000006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472.5</v>
      </c>
      <c r="F22" s="231">
        <v>8761.0030000000006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247.5</v>
      </c>
      <c r="F23" s="231">
        <v>8513.5030000000006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247.5</v>
      </c>
      <c r="F24" s="231">
        <v>8266.0030000000006</v>
      </c>
      <c r="G24" s="227">
        <v>0</v>
      </c>
      <c r="H24" s="227">
        <v>0</v>
      </c>
      <c r="I24" s="66">
        <v>4.125</v>
      </c>
      <c r="J24" s="66">
        <v>4.125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4125</v>
      </c>
      <c r="S24" s="228">
        <v>825</v>
      </c>
      <c r="T24" s="228">
        <v>4950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202.5</v>
      </c>
      <c r="F25" s="231">
        <v>8063.5029999999997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135</v>
      </c>
      <c r="F26" s="231">
        <v>7928.5029999999997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396</v>
      </c>
      <c r="F27" s="231">
        <v>7532.5029999999997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540</v>
      </c>
      <c r="F28" s="231">
        <v>6992.5029999999997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495</v>
      </c>
      <c r="F29" s="231">
        <v>6497.5029999999997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247.5</v>
      </c>
      <c r="F30" s="231">
        <v>6250.0029999999997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765</v>
      </c>
      <c r="F31" s="231">
        <v>5485.0029999999997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630</v>
      </c>
      <c r="F32" s="231">
        <v>4855.0029999999997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315</v>
      </c>
      <c r="F33" s="231">
        <v>4540.0029999999997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449.625</v>
      </c>
      <c r="F34" s="231">
        <v>4090.3780000000002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404.8</v>
      </c>
      <c r="F35" s="231">
        <v>3685.578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2162.9309999999996</v>
      </c>
      <c r="E36" s="76">
        <v>6651.9250000000002</v>
      </c>
      <c r="F36" s="76">
        <v>253148.33299999996</v>
      </c>
      <c r="G36" s="76">
        <v>0</v>
      </c>
      <c r="H36" s="76">
        <v>0</v>
      </c>
      <c r="I36" s="76">
        <v>117.806</v>
      </c>
      <c r="J36" s="76">
        <v>117.806</v>
      </c>
      <c r="K36" s="76">
        <v>1.6059999999999999</v>
      </c>
      <c r="L36" s="229">
        <v>240.9</v>
      </c>
      <c r="M36" s="229">
        <v>729152.9</v>
      </c>
      <c r="N36" s="229">
        <v>1066419.3700000001</v>
      </c>
      <c r="O36" s="229">
        <v>5975705.1399999997</v>
      </c>
      <c r="P36" s="229">
        <v>0</v>
      </c>
      <c r="Q36" s="229">
        <v>0</v>
      </c>
      <c r="R36" s="229">
        <v>117806</v>
      </c>
      <c r="S36" s="229">
        <v>23561.200000000001</v>
      </c>
      <c r="T36" s="229">
        <v>7912885.5099999998</v>
      </c>
    </row>
    <row r="37" spans="1:20">
      <c r="R37" s="79"/>
      <c r="S37" s="79"/>
      <c r="T37" s="230">
        <v>9653720.3200000003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0204-CEF1-4382-90D4-9CF4397AF8F7}">
  <sheetPr>
    <pageSetUpPr fitToPage="1"/>
  </sheetPr>
  <dimension ref="A1:T37"/>
  <sheetViews>
    <sheetView topLeftCell="A16" workbookViewId="0">
      <selection activeCell="Q37" sqref="Q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1" width="9.140625" style="51"/>
    <col min="12" max="12" width="14" style="51" customWidth="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198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66</v>
      </c>
      <c r="E5" s="231">
        <v>0</v>
      </c>
      <c r="F5" s="231">
        <v>660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66</v>
      </c>
      <c r="E6" s="231">
        <v>0</v>
      </c>
      <c r="F6" s="231">
        <v>726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88</v>
      </c>
      <c r="E7" s="231">
        <v>0</v>
      </c>
      <c r="F7" s="231">
        <v>814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22</v>
      </c>
      <c r="E8" s="231">
        <v>0</v>
      </c>
      <c r="F8" s="231">
        <v>836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22</v>
      </c>
      <c r="E9" s="231">
        <v>0</v>
      </c>
      <c r="F9" s="231">
        <v>858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858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22</v>
      </c>
      <c r="F11" s="231">
        <v>836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836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836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22</v>
      </c>
      <c r="F14" s="231">
        <v>814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814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814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22</v>
      </c>
      <c r="F17" s="231">
        <v>792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792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88</v>
      </c>
      <c r="E19" s="231">
        <v>0</v>
      </c>
      <c r="F19" s="231">
        <v>880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154</v>
      </c>
      <c r="E20" s="231">
        <v>44</v>
      </c>
      <c r="F20" s="231">
        <v>990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132</v>
      </c>
      <c r="E21" s="231">
        <v>22</v>
      </c>
      <c r="F21" s="231">
        <v>1100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66</v>
      </c>
      <c r="E22" s="231">
        <v>0</v>
      </c>
      <c r="F22" s="231">
        <v>1166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176</v>
      </c>
      <c r="E23" s="231">
        <v>0</v>
      </c>
      <c r="F23" s="231">
        <v>1342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66</v>
      </c>
      <c r="E24" s="231">
        <v>22</v>
      </c>
      <c r="F24" s="231">
        <v>1386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44</v>
      </c>
      <c r="E25" s="231">
        <v>66</v>
      </c>
      <c r="F25" s="231">
        <v>1364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196.625</v>
      </c>
      <c r="E26" s="231">
        <v>22</v>
      </c>
      <c r="F26" s="231">
        <v>1538.625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44</v>
      </c>
      <c r="E27" s="231">
        <v>66</v>
      </c>
      <c r="F27" s="231">
        <v>1516.625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1516.625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22</v>
      </c>
      <c r="F29" s="231">
        <v>1494.625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22</v>
      </c>
      <c r="F30" s="231">
        <v>1472.625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44</v>
      </c>
      <c r="F31" s="231">
        <v>1428.625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1428.625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22</v>
      </c>
      <c r="F33" s="231">
        <v>1406.625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22</v>
      </c>
      <c r="F34" s="231">
        <v>1384.625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44</v>
      </c>
      <c r="F35" s="231">
        <v>1340.625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1230.625</v>
      </c>
      <c r="E36" s="76">
        <v>484</v>
      </c>
      <c r="F36" s="76">
        <v>34042.25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414860.1</v>
      </c>
      <c r="N36" s="229">
        <v>77593.63</v>
      </c>
      <c r="O36" s="229">
        <v>803585.97</v>
      </c>
      <c r="P36" s="229">
        <v>0</v>
      </c>
      <c r="Q36" s="229">
        <v>0</v>
      </c>
      <c r="R36" s="229">
        <v>0</v>
      </c>
      <c r="S36" s="229">
        <v>0</v>
      </c>
      <c r="T36" s="229">
        <v>1296039.7</v>
      </c>
    </row>
    <row r="37" spans="1:20">
      <c r="R37" s="79"/>
      <c r="S37" s="79"/>
      <c r="T37" s="230">
        <v>1581168.43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9B21-999C-4D7C-95EB-416B01CAC9D9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199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220</v>
      </c>
      <c r="E5" s="231">
        <v>22</v>
      </c>
      <c r="F5" s="231">
        <v>814.02499999999998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814.02499999999998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2.5000000000000001E-2</v>
      </c>
      <c r="F7" s="231">
        <v>814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66</v>
      </c>
      <c r="E8" s="231">
        <v>0</v>
      </c>
      <c r="F8" s="231">
        <v>880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88</v>
      </c>
      <c r="E9" s="231">
        <v>44</v>
      </c>
      <c r="F9" s="231">
        <v>924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44</v>
      </c>
      <c r="E10" s="231">
        <v>22</v>
      </c>
      <c r="F10" s="231">
        <v>946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22</v>
      </c>
      <c r="F11" s="231">
        <v>924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110</v>
      </c>
      <c r="E12" s="231">
        <v>22</v>
      </c>
      <c r="F12" s="231">
        <v>1012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44</v>
      </c>
      <c r="F13" s="231">
        <v>968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133</v>
      </c>
      <c r="E14" s="231">
        <v>22</v>
      </c>
      <c r="F14" s="231">
        <v>1079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44</v>
      </c>
      <c r="E15" s="231">
        <v>0</v>
      </c>
      <c r="F15" s="231">
        <v>1123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22</v>
      </c>
      <c r="F16" s="231">
        <v>1101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44.5</v>
      </c>
      <c r="F17" s="231">
        <v>1056.5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22</v>
      </c>
      <c r="F18" s="231">
        <v>1034.5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44</v>
      </c>
      <c r="F19" s="231">
        <v>990.5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22</v>
      </c>
      <c r="F20" s="231">
        <v>968.5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44</v>
      </c>
      <c r="F21" s="231">
        <v>924.5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22</v>
      </c>
      <c r="F22" s="231">
        <v>902.5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44</v>
      </c>
      <c r="E23" s="231">
        <v>44</v>
      </c>
      <c r="F23" s="231">
        <v>902.5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44</v>
      </c>
      <c r="E24" s="231">
        <v>22</v>
      </c>
      <c r="F24" s="231">
        <v>924.5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22</v>
      </c>
      <c r="F25" s="231">
        <v>902.5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44</v>
      </c>
      <c r="E26" s="231">
        <v>44</v>
      </c>
      <c r="F26" s="231">
        <v>902.5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132.5</v>
      </c>
      <c r="E27" s="231">
        <v>66</v>
      </c>
      <c r="F27" s="231">
        <v>969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66.5</v>
      </c>
      <c r="F28" s="231">
        <v>902.5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44</v>
      </c>
      <c r="F29" s="231">
        <v>858.5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22</v>
      </c>
      <c r="E30" s="231">
        <v>66</v>
      </c>
      <c r="F30" s="231">
        <v>814.5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22</v>
      </c>
      <c r="E31" s="231">
        <v>22</v>
      </c>
      <c r="F31" s="231">
        <v>814.5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66</v>
      </c>
      <c r="E32" s="231">
        <v>66</v>
      </c>
      <c r="F32" s="231">
        <v>814.5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110</v>
      </c>
      <c r="E33" s="231">
        <v>22</v>
      </c>
      <c r="F33" s="231">
        <v>902.5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132</v>
      </c>
      <c r="E34" s="231">
        <v>110</v>
      </c>
      <c r="F34" s="231">
        <v>924.5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22</v>
      </c>
      <c r="E35" s="231">
        <v>44</v>
      </c>
      <c r="F35" s="231">
        <v>902.5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1343.5</v>
      </c>
      <c r="E36" s="76">
        <v>1057.0250000000001</v>
      </c>
      <c r="F36" s="76">
        <v>28811.05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167624.70000000001</v>
      </c>
      <c r="N36" s="229">
        <v>137720.15</v>
      </c>
      <c r="O36" s="229">
        <v>250179.63</v>
      </c>
      <c r="P36" s="229">
        <v>0</v>
      </c>
      <c r="Q36" s="229">
        <v>0</v>
      </c>
      <c r="R36" s="229">
        <v>0</v>
      </c>
      <c r="S36" s="229">
        <v>0</v>
      </c>
      <c r="T36" s="229">
        <v>555524.48</v>
      </c>
    </row>
    <row r="37" spans="1:20">
      <c r="R37" s="79"/>
      <c r="S37" s="79"/>
      <c r="T37" s="230">
        <v>677739.87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4671-485D-4453-B214-6404899F4AE8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200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67.5</v>
      </c>
      <c r="E5" s="231">
        <v>350.375</v>
      </c>
      <c r="F5" s="231">
        <v>10333.093000000001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135</v>
      </c>
      <c r="E6" s="231">
        <v>88.5</v>
      </c>
      <c r="F6" s="231">
        <v>10379.593000000001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112.52500000000001</v>
      </c>
      <c r="E7" s="231">
        <v>68</v>
      </c>
      <c r="F7" s="231">
        <v>10424.118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268</v>
      </c>
      <c r="E8" s="231">
        <v>131.875</v>
      </c>
      <c r="F8" s="231">
        <v>10560.243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224.5</v>
      </c>
      <c r="E9" s="231">
        <v>132.5</v>
      </c>
      <c r="F9" s="231">
        <v>10652.243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225</v>
      </c>
      <c r="E10" s="231">
        <v>91.875</v>
      </c>
      <c r="F10" s="231">
        <v>10785.368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202.5</v>
      </c>
      <c r="E11" s="231">
        <v>88.5</v>
      </c>
      <c r="F11" s="231">
        <v>10899.368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290.5</v>
      </c>
      <c r="E12" s="231">
        <v>138.375</v>
      </c>
      <c r="F12" s="231">
        <v>11051.493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600.5</v>
      </c>
      <c r="E13" s="231">
        <v>46</v>
      </c>
      <c r="F13" s="231">
        <v>11605.993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267</v>
      </c>
      <c r="E14" s="231">
        <v>223.3</v>
      </c>
      <c r="F14" s="231">
        <v>11649.692999999999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221.5</v>
      </c>
      <c r="E15" s="231">
        <v>157.875</v>
      </c>
      <c r="F15" s="231">
        <v>11713.317999999999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379.5</v>
      </c>
      <c r="E16" s="231">
        <v>89</v>
      </c>
      <c r="F16" s="231">
        <v>12003.817999999999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423.3</v>
      </c>
      <c r="E17" s="231">
        <v>308.375</v>
      </c>
      <c r="F17" s="231">
        <v>12118.743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313</v>
      </c>
      <c r="E18" s="231">
        <v>445.5</v>
      </c>
      <c r="F18" s="231">
        <v>11986.243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401.5</v>
      </c>
      <c r="E19" s="231">
        <v>250.625</v>
      </c>
      <c r="F19" s="231">
        <v>12137.118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382</v>
      </c>
      <c r="E20" s="231">
        <v>161.5</v>
      </c>
      <c r="F20" s="231">
        <v>12357.618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157.5</v>
      </c>
      <c r="E21" s="231">
        <v>201.625</v>
      </c>
      <c r="F21" s="231">
        <v>12313.493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202.5</v>
      </c>
      <c r="E22" s="231">
        <v>399.75</v>
      </c>
      <c r="F22" s="231">
        <v>12116.243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67.5</v>
      </c>
      <c r="E23" s="231">
        <v>199.875</v>
      </c>
      <c r="F23" s="231">
        <v>11983.868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45</v>
      </c>
      <c r="E24" s="231">
        <v>514.375</v>
      </c>
      <c r="F24" s="231">
        <v>11514.493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67.5</v>
      </c>
      <c r="E25" s="231">
        <v>290</v>
      </c>
      <c r="F25" s="231">
        <v>11291.993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45</v>
      </c>
      <c r="E26" s="231">
        <v>266.75</v>
      </c>
      <c r="F26" s="231">
        <v>11070.243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244.25</v>
      </c>
      <c r="E27" s="231">
        <v>382.5</v>
      </c>
      <c r="F27" s="231">
        <v>10931.993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180</v>
      </c>
      <c r="E28" s="231">
        <v>201</v>
      </c>
      <c r="F28" s="231">
        <v>10910.993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427.5</v>
      </c>
      <c r="E29" s="231">
        <v>235</v>
      </c>
      <c r="F29" s="231">
        <v>11103.493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360</v>
      </c>
      <c r="E30" s="231">
        <v>275</v>
      </c>
      <c r="F30" s="231">
        <v>11188.493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292.5</v>
      </c>
      <c r="E31" s="231">
        <v>518.5</v>
      </c>
      <c r="F31" s="231">
        <v>10962.493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67.5</v>
      </c>
      <c r="E32" s="231">
        <v>600</v>
      </c>
      <c r="F32" s="231">
        <v>10429.993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292.5</v>
      </c>
      <c r="E33" s="231">
        <v>364.5</v>
      </c>
      <c r="F33" s="231">
        <v>10357.993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333.5</v>
      </c>
      <c r="E34" s="231">
        <v>280.875</v>
      </c>
      <c r="F34" s="231">
        <v>10410.618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267.5</v>
      </c>
      <c r="E35" s="231">
        <v>286.10000000000002</v>
      </c>
      <c r="F35" s="231">
        <v>10392.018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7564.0750000000007</v>
      </c>
      <c r="E36" s="76">
        <v>7788.0250000000005</v>
      </c>
      <c r="F36" s="76">
        <v>347636.48299999995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943748.26</v>
      </c>
      <c r="N36" s="229">
        <v>1014704.46</v>
      </c>
      <c r="O36" s="229">
        <v>3018687.84</v>
      </c>
      <c r="P36" s="229">
        <v>1039374.55</v>
      </c>
      <c r="Q36" s="229">
        <v>0</v>
      </c>
      <c r="R36" s="229">
        <v>0</v>
      </c>
      <c r="S36" s="229">
        <v>0</v>
      </c>
      <c r="T36" s="229">
        <v>6016515.1100000003</v>
      </c>
    </row>
    <row r="37" spans="1:20">
      <c r="R37" s="79"/>
      <c r="S37" s="79"/>
      <c r="T37" s="230">
        <v>7340148.4299999997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8FAA-3518-4562-9DF7-325694BAA546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201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44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44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44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44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44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44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44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44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44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44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44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44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44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44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44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44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44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44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44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44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22</v>
      </c>
      <c r="E25" s="231">
        <v>0</v>
      </c>
      <c r="F25" s="231">
        <v>66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44</v>
      </c>
      <c r="E26" s="231">
        <v>0</v>
      </c>
      <c r="F26" s="231">
        <v>110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66</v>
      </c>
      <c r="E27" s="231">
        <v>0</v>
      </c>
      <c r="F27" s="231">
        <v>176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22</v>
      </c>
      <c r="E28" s="231">
        <v>0</v>
      </c>
      <c r="F28" s="231">
        <v>198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22</v>
      </c>
      <c r="F29" s="231">
        <v>176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176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176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110</v>
      </c>
      <c r="E32" s="231">
        <v>0</v>
      </c>
      <c r="F32" s="231">
        <v>286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88</v>
      </c>
      <c r="E33" s="231">
        <v>0</v>
      </c>
      <c r="F33" s="231">
        <v>374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0</v>
      </c>
      <c r="F34" s="231">
        <v>374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374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352</v>
      </c>
      <c r="E36" s="76">
        <v>22</v>
      </c>
      <c r="F36" s="76">
        <v>3366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43918.05</v>
      </c>
      <c r="N36" s="229">
        <v>2866.39</v>
      </c>
      <c r="O36" s="229">
        <v>29228.53</v>
      </c>
      <c r="P36" s="229">
        <v>0</v>
      </c>
      <c r="Q36" s="229">
        <v>0</v>
      </c>
      <c r="R36" s="229">
        <v>0</v>
      </c>
      <c r="S36" s="229">
        <v>0</v>
      </c>
      <c r="T36" s="229">
        <v>76012.97</v>
      </c>
    </row>
    <row r="37" spans="1:20">
      <c r="R37" s="79"/>
      <c r="S37" s="79"/>
      <c r="T37" s="230">
        <v>92735.82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E259-35DD-417B-B035-38814DE569C0}">
  <sheetPr>
    <pageSetUpPr fitToPage="1"/>
  </sheetPr>
  <dimension ref="A1:T37"/>
  <sheetViews>
    <sheetView workbookViewId="0">
      <selection activeCell="L36" sqref="L36"/>
    </sheetView>
  </sheetViews>
  <sheetFormatPr defaultRowHeight="15"/>
  <cols>
    <col min="1" max="3" width="9.140625" style="51"/>
    <col min="4" max="5" width="9.42578125" style="51" bestFit="1" customWidth="1"/>
    <col min="6" max="6" width="12.42578125" style="51" customWidth="1"/>
    <col min="7" max="7" width="10.5703125" style="51" bestFit="1" customWidth="1"/>
    <col min="8" max="8" width="9.5703125" style="51" bestFit="1" customWidth="1"/>
    <col min="9" max="9" width="10.5703125" style="51" bestFit="1" customWidth="1"/>
    <col min="10" max="12" width="9.140625" style="51"/>
    <col min="13" max="13" width="14.140625" style="51" customWidth="1"/>
    <col min="14" max="14" width="13.5703125" style="51" customWidth="1"/>
    <col min="15" max="15" width="17.5703125" style="51" customWidth="1"/>
    <col min="16" max="16" width="15.85546875" style="5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202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203</v>
      </c>
      <c r="H3" s="183" t="s">
        <v>6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204</v>
      </c>
      <c r="P3" s="183" t="s">
        <v>14</v>
      </c>
      <c r="Q3" s="183" t="s">
        <v>15</v>
      </c>
      <c r="R3" s="183" t="s">
        <v>16</v>
      </c>
      <c r="S3" s="183" t="s">
        <v>17</v>
      </c>
      <c r="T3" s="183" t="s">
        <v>18</v>
      </c>
    </row>
    <row r="4" spans="1:20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202.5</v>
      </c>
      <c r="E5" s="231">
        <v>132</v>
      </c>
      <c r="F5" s="231">
        <v>11867.712</v>
      </c>
      <c r="G5" s="227">
        <v>0</v>
      </c>
      <c r="H5" s="227">
        <v>0</v>
      </c>
      <c r="I5" s="66">
        <v>0</v>
      </c>
      <c r="J5" s="67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135</v>
      </c>
      <c r="E6" s="231">
        <v>89.5</v>
      </c>
      <c r="F6" s="231">
        <v>11913.212</v>
      </c>
      <c r="G6" s="227">
        <v>0</v>
      </c>
      <c r="H6" s="227">
        <v>0</v>
      </c>
      <c r="I6" s="66">
        <v>0</v>
      </c>
      <c r="J6" s="67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45.875</v>
      </c>
      <c r="F7" s="231">
        <v>11867.337</v>
      </c>
      <c r="G7" s="227">
        <v>0</v>
      </c>
      <c r="H7" s="227">
        <v>0</v>
      </c>
      <c r="I7" s="66">
        <v>0</v>
      </c>
      <c r="J7" s="67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167.125</v>
      </c>
      <c r="E8" s="231">
        <v>110.5</v>
      </c>
      <c r="F8" s="231">
        <v>11923.962</v>
      </c>
      <c r="G8" s="227">
        <v>0</v>
      </c>
      <c r="H8" s="227">
        <v>0</v>
      </c>
      <c r="I8" s="66">
        <v>0</v>
      </c>
      <c r="J8" s="67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225</v>
      </c>
      <c r="E9" s="231">
        <v>89.5</v>
      </c>
      <c r="F9" s="231">
        <v>12059.462</v>
      </c>
      <c r="G9" s="227">
        <v>0</v>
      </c>
      <c r="H9" s="227">
        <v>0</v>
      </c>
      <c r="I9" s="66">
        <v>0</v>
      </c>
      <c r="J9" s="67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245.5</v>
      </c>
      <c r="E10" s="231">
        <v>92.625</v>
      </c>
      <c r="F10" s="231">
        <v>12212.337</v>
      </c>
      <c r="G10" s="227">
        <v>0</v>
      </c>
      <c r="H10" s="227">
        <v>0</v>
      </c>
      <c r="I10" s="66">
        <v>0</v>
      </c>
      <c r="J10" s="67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312</v>
      </c>
      <c r="E11" s="231">
        <v>121.5</v>
      </c>
      <c r="F11" s="231">
        <v>12402.837</v>
      </c>
      <c r="G11" s="227">
        <v>0</v>
      </c>
      <c r="H11" s="227">
        <v>0</v>
      </c>
      <c r="I11" s="66">
        <v>0</v>
      </c>
      <c r="J11" s="67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337.5</v>
      </c>
      <c r="E12" s="231">
        <v>198.5</v>
      </c>
      <c r="F12" s="231">
        <v>12541.837</v>
      </c>
      <c r="G12" s="227">
        <v>0</v>
      </c>
      <c r="H12" s="227">
        <v>0</v>
      </c>
      <c r="I12" s="66">
        <v>0</v>
      </c>
      <c r="J12" s="67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315</v>
      </c>
      <c r="E13" s="231">
        <v>133.07499999999999</v>
      </c>
      <c r="F13" s="231">
        <v>12723.762000000001</v>
      </c>
      <c r="G13" s="227">
        <v>0</v>
      </c>
      <c r="H13" s="227">
        <v>0</v>
      </c>
      <c r="I13" s="66">
        <v>0</v>
      </c>
      <c r="J13" s="67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472.5</v>
      </c>
      <c r="E14" s="231">
        <v>143.5</v>
      </c>
      <c r="F14" s="231">
        <v>13052.762000000001</v>
      </c>
      <c r="G14" s="227">
        <v>0</v>
      </c>
      <c r="H14" s="227">
        <v>0</v>
      </c>
      <c r="I14" s="66">
        <v>0</v>
      </c>
      <c r="J14" s="67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292.5</v>
      </c>
      <c r="E15" s="231">
        <v>176</v>
      </c>
      <c r="F15" s="231">
        <v>13169.262000000001</v>
      </c>
      <c r="G15" s="227">
        <v>0</v>
      </c>
      <c r="H15" s="227">
        <v>0</v>
      </c>
      <c r="I15" s="66">
        <v>0</v>
      </c>
      <c r="J15" s="67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337.5</v>
      </c>
      <c r="E16" s="231">
        <v>154.5</v>
      </c>
      <c r="F16" s="231">
        <v>13352.262000000001</v>
      </c>
      <c r="G16" s="227">
        <v>0</v>
      </c>
      <c r="H16" s="227">
        <v>0</v>
      </c>
      <c r="I16" s="66">
        <v>0</v>
      </c>
      <c r="J16" s="67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336.5</v>
      </c>
      <c r="E17" s="231">
        <v>112.25</v>
      </c>
      <c r="F17" s="231">
        <v>13576.512000000001</v>
      </c>
      <c r="G17" s="227">
        <v>0</v>
      </c>
      <c r="H17" s="227">
        <v>0</v>
      </c>
      <c r="I17" s="66">
        <v>0</v>
      </c>
      <c r="J17" s="67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447</v>
      </c>
      <c r="E18" s="231">
        <v>116.5</v>
      </c>
      <c r="F18" s="231">
        <v>13907.012000000001</v>
      </c>
      <c r="G18" s="227">
        <v>0</v>
      </c>
      <c r="H18" s="227">
        <v>0</v>
      </c>
      <c r="I18" s="66">
        <v>0</v>
      </c>
      <c r="J18" s="67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112.5</v>
      </c>
      <c r="E19" s="231">
        <v>242.625</v>
      </c>
      <c r="F19" s="231">
        <v>13776.887000000001</v>
      </c>
      <c r="G19" s="227">
        <v>0</v>
      </c>
      <c r="H19" s="227">
        <v>0</v>
      </c>
      <c r="I19" s="66">
        <v>0</v>
      </c>
      <c r="J19" s="67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90</v>
      </c>
      <c r="E20" s="231">
        <v>199.2</v>
      </c>
      <c r="F20" s="231">
        <v>13667.687</v>
      </c>
      <c r="G20" s="227">
        <v>0</v>
      </c>
      <c r="H20" s="227">
        <v>0</v>
      </c>
      <c r="I20" s="66">
        <v>0</v>
      </c>
      <c r="J20" s="67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337.5</v>
      </c>
      <c r="E21" s="231">
        <v>137.5</v>
      </c>
      <c r="F21" s="231">
        <v>13867.687</v>
      </c>
      <c r="G21" s="227">
        <v>0</v>
      </c>
      <c r="H21" s="227">
        <v>0</v>
      </c>
      <c r="I21" s="66">
        <v>0</v>
      </c>
      <c r="J21" s="67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135</v>
      </c>
      <c r="E22" s="231">
        <v>128.375</v>
      </c>
      <c r="F22" s="231">
        <v>13874.312</v>
      </c>
      <c r="G22" s="227">
        <v>0</v>
      </c>
      <c r="H22" s="227">
        <v>0</v>
      </c>
      <c r="I22" s="66">
        <v>0</v>
      </c>
      <c r="J22" s="67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67.5</v>
      </c>
      <c r="E23" s="231">
        <v>155</v>
      </c>
      <c r="F23" s="231">
        <v>13786.812</v>
      </c>
      <c r="G23" s="227">
        <v>0</v>
      </c>
      <c r="H23" s="227">
        <v>0</v>
      </c>
      <c r="I23" s="66">
        <v>0</v>
      </c>
      <c r="J23" s="67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265.5</v>
      </c>
      <c r="F24" s="231">
        <v>13521.312</v>
      </c>
      <c r="G24" s="227">
        <v>0</v>
      </c>
      <c r="H24" s="227">
        <v>0</v>
      </c>
      <c r="I24" s="66">
        <v>0</v>
      </c>
      <c r="J24" s="67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67.5</v>
      </c>
      <c r="E25" s="231">
        <v>205.25</v>
      </c>
      <c r="F25" s="231">
        <v>13383.562</v>
      </c>
      <c r="G25" s="227">
        <v>0</v>
      </c>
      <c r="H25" s="227">
        <v>0</v>
      </c>
      <c r="I25" s="66">
        <v>0</v>
      </c>
      <c r="J25" s="67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112.5</v>
      </c>
      <c r="E26" s="231">
        <v>286.5</v>
      </c>
      <c r="F26" s="231">
        <v>13209.562</v>
      </c>
      <c r="G26" s="227">
        <v>0</v>
      </c>
      <c r="H26" s="227">
        <v>0</v>
      </c>
      <c r="I26" s="66">
        <v>0</v>
      </c>
      <c r="J26" s="67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270</v>
      </c>
      <c r="E27" s="231">
        <v>275.125</v>
      </c>
      <c r="F27" s="231">
        <v>13204.437</v>
      </c>
      <c r="G27" s="227">
        <v>0</v>
      </c>
      <c r="H27" s="227">
        <v>0</v>
      </c>
      <c r="I27" s="66">
        <v>0</v>
      </c>
      <c r="J27" s="67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270</v>
      </c>
      <c r="E28" s="231">
        <v>276.75</v>
      </c>
      <c r="F28" s="231">
        <v>13197.687</v>
      </c>
      <c r="G28" s="227">
        <v>0</v>
      </c>
      <c r="H28" s="227">
        <v>0</v>
      </c>
      <c r="I28" s="66">
        <v>0</v>
      </c>
      <c r="J28" s="67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225</v>
      </c>
      <c r="E29" s="231">
        <v>311</v>
      </c>
      <c r="F29" s="231">
        <v>13111.687</v>
      </c>
      <c r="G29" s="227">
        <v>0</v>
      </c>
      <c r="H29" s="227">
        <v>0</v>
      </c>
      <c r="I29" s="66">
        <v>0</v>
      </c>
      <c r="J29" s="67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247.5</v>
      </c>
      <c r="E30" s="231">
        <v>228.75</v>
      </c>
      <c r="F30" s="231">
        <v>13130.437</v>
      </c>
      <c r="G30" s="227">
        <v>0</v>
      </c>
      <c r="H30" s="227">
        <v>0</v>
      </c>
      <c r="I30" s="66">
        <v>0</v>
      </c>
      <c r="J30" s="67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156.375</v>
      </c>
      <c r="E31" s="231">
        <v>372.375</v>
      </c>
      <c r="F31" s="231">
        <v>12914.437</v>
      </c>
      <c r="G31" s="227">
        <v>0</v>
      </c>
      <c r="H31" s="227">
        <v>0</v>
      </c>
      <c r="I31" s="66">
        <v>0</v>
      </c>
      <c r="J31" s="67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67.5</v>
      </c>
      <c r="E32" s="231">
        <v>357.25</v>
      </c>
      <c r="F32" s="231">
        <v>12624.687</v>
      </c>
      <c r="G32" s="227">
        <v>0</v>
      </c>
      <c r="H32" s="227">
        <v>0</v>
      </c>
      <c r="I32" s="66">
        <v>0</v>
      </c>
      <c r="J32" s="67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157.5</v>
      </c>
      <c r="E33" s="231">
        <v>450.375</v>
      </c>
      <c r="F33" s="231">
        <v>12331.812</v>
      </c>
      <c r="G33" s="227">
        <v>0</v>
      </c>
      <c r="H33" s="227">
        <v>0</v>
      </c>
      <c r="I33" s="66">
        <v>0</v>
      </c>
      <c r="J33" s="67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315</v>
      </c>
      <c r="E34" s="231">
        <v>356.5</v>
      </c>
      <c r="F34" s="231">
        <v>12290.312</v>
      </c>
      <c r="G34" s="227">
        <v>0</v>
      </c>
      <c r="H34" s="227">
        <v>0</v>
      </c>
      <c r="I34" s="66">
        <v>0</v>
      </c>
      <c r="J34" s="67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269</v>
      </c>
      <c r="E35" s="231">
        <v>219.625</v>
      </c>
      <c r="F35" s="231">
        <v>12339.687</v>
      </c>
      <c r="G35" s="227">
        <v>0</v>
      </c>
      <c r="H35" s="227">
        <v>0</v>
      </c>
      <c r="I35" s="66">
        <v>0</v>
      </c>
      <c r="J35" s="67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6726</v>
      </c>
      <c r="E36" s="76">
        <v>6183.5249999999996</v>
      </c>
      <c r="F36" s="76">
        <v>400803.27199999971</v>
      </c>
      <c r="G36" s="76">
        <v>0</v>
      </c>
      <c r="H36" s="76">
        <v>0</v>
      </c>
      <c r="I36" s="76">
        <v>0</v>
      </c>
      <c r="J36" s="77">
        <v>0</v>
      </c>
      <c r="K36" s="77">
        <v>0</v>
      </c>
      <c r="L36" s="229">
        <v>0</v>
      </c>
      <c r="M36" s="229">
        <v>1138850.52</v>
      </c>
      <c r="N36" s="229">
        <v>1172115.3600000001</v>
      </c>
      <c r="O36" s="229">
        <v>12642898.67</v>
      </c>
      <c r="P36" s="229">
        <v>0</v>
      </c>
      <c r="Q36" s="229">
        <v>0</v>
      </c>
      <c r="R36" s="229">
        <v>0</v>
      </c>
      <c r="S36" s="229">
        <v>0</v>
      </c>
      <c r="T36" s="229">
        <v>14953864.539999999</v>
      </c>
    </row>
    <row r="37" spans="1:20">
      <c r="R37" s="79"/>
      <c r="S37" s="79"/>
      <c r="T37" s="230">
        <v>18243714.739999998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5BFF-3EFD-40DC-8A57-B255C981BB3F}">
  <sheetPr>
    <pageSetUpPr fitToPage="1"/>
  </sheetPr>
  <dimension ref="A1:T37"/>
  <sheetViews>
    <sheetView workbookViewId="0">
      <selection activeCell="L36" sqref="L36"/>
    </sheetView>
  </sheetViews>
  <sheetFormatPr defaultRowHeight="15"/>
  <cols>
    <col min="1" max="3" width="9.140625" style="51"/>
    <col min="4" max="5" width="9.42578125" style="51" bestFit="1" customWidth="1"/>
    <col min="6" max="6" width="12.42578125" style="51" customWidth="1"/>
    <col min="7" max="7" width="10.5703125" style="51" bestFit="1" customWidth="1"/>
    <col min="8" max="8" width="9.5703125" style="51" bestFit="1" customWidth="1"/>
    <col min="9" max="9" width="10.5703125" style="51" bestFit="1" customWidth="1"/>
    <col min="10" max="12" width="9.140625" style="51"/>
    <col min="13" max="13" width="14.140625" style="51" customWidth="1"/>
    <col min="14" max="14" width="13.5703125" style="51" customWidth="1"/>
    <col min="15" max="15" width="17.5703125" style="51" customWidth="1"/>
    <col min="16" max="16" width="15.85546875" style="5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205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203</v>
      </c>
      <c r="H3" s="183" t="s">
        <v>6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204</v>
      </c>
      <c r="P3" s="183" t="s">
        <v>14</v>
      </c>
      <c r="Q3" s="183" t="s">
        <v>15</v>
      </c>
      <c r="R3" s="183" t="s">
        <v>16</v>
      </c>
      <c r="S3" s="183" t="s">
        <v>17</v>
      </c>
      <c r="T3" s="183" t="s">
        <v>18</v>
      </c>
    </row>
    <row r="4" spans="1:20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24.25</v>
      </c>
      <c r="G5" s="227">
        <v>0</v>
      </c>
      <c r="H5" s="227">
        <v>0</v>
      </c>
      <c r="I5" s="66">
        <v>0</v>
      </c>
      <c r="J5" s="67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24.25</v>
      </c>
      <c r="G6" s="227">
        <v>0</v>
      </c>
      <c r="H6" s="227">
        <v>0</v>
      </c>
      <c r="I6" s="66">
        <v>0</v>
      </c>
      <c r="J6" s="67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24.25</v>
      </c>
      <c r="G7" s="227">
        <v>0</v>
      </c>
      <c r="H7" s="227">
        <v>0</v>
      </c>
      <c r="I7" s="66">
        <v>0</v>
      </c>
      <c r="J7" s="67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24.25</v>
      </c>
      <c r="G8" s="227">
        <v>0</v>
      </c>
      <c r="H8" s="227">
        <v>0</v>
      </c>
      <c r="I8" s="66">
        <v>0</v>
      </c>
      <c r="J8" s="67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24.25</v>
      </c>
      <c r="G9" s="227">
        <v>0</v>
      </c>
      <c r="H9" s="227">
        <v>0</v>
      </c>
      <c r="I9" s="66">
        <v>0</v>
      </c>
      <c r="J9" s="67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24.25</v>
      </c>
      <c r="G10" s="227">
        <v>0</v>
      </c>
      <c r="H10" s="227">
        <v>0</v>
      </c>
      <c r="I10" s="66">
        <v>0</v>
      </c>
      <c r="J10" s="67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24.25</v>
      </c>
      <c r="G11" s="227">
        <v>0</v>
      </c>
      <c r="H11" s="227">
        <v>0</v>
      </c>
      <c r="I11" s="66">
        <v>0</v>
      </c>
      <c r="J11" s="67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24.25</v>
      </c>
      <c r="G12" s="227">
        <v>0</v>
      </c>
      <c r="H12" s="227">
        <v>0</v>
      </c>
      <c r="I12" s="66">
        <v>0</v>
      </c>
      <c r="J12" s="67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24.25</v>
      </c>
      <c r="G13" s="227">
        <v>0</v>
      </c>
      <c r="H13" s="227">
        <v>0</v>
      </c>
      <c r="I13" s="66">
        <v>0</v>
      </c>
      <c r="J13" s="67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24.25</v>
      </c>
      <c r="G14" s="227">
        <v>0</v>
      </c>
      <c r="H14" s="227">
        <v>0</v>
      </c>
      <c r="I14" s="66">
        <v>0</v>
      </c>
      <c r="J14" s="67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24.25</v>
      </c>
      <c r="G15" s="227">
        <v>0</v>
      </c>
      <c r="H15" s="227">
        <v>0</v>
      </c>
      <c r="I15" s="66">
        <v>0</v>
      </c>
      <c r="J15" s="67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22</v>
      </c>
      <c r="E16" s="231">
        <v>0</v>
      </c>
      <c r="F16" s="231">
        <v>46.25</v>
      </c>
      <c r="G16" s="227">
        <v>0</v>
      </c>
      <c r="H16" s="227">
        <v>0</v>
      </c>
      <c r="I16" s="66">
        <v>0</v>
      </c>
      <c r="J16" s="67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88</v>
      </c>
      <c r="E17" s="231">
        <v>0</v>
      </c>
      <c r="F17" s="231">
        <v>134.25</v>
      </c>
      <c r="G17" s="227">
        <v>0</v>
      </c>
      <c r="H17" s="227">
        <v>0</v>
      </c>
      <c r="I17" s="66">
        <v>0</v>
      </c>
      <c r="J17" s="67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44</v>
      </c>
      <c r="E18" s="231">
        <v>0</v>
      </c>
      <c r="F18" s="231">
        <v>178.25</v>
      </c>
      <c r="G18" s="227">
        <v>0</v>
      </c>
      <c r="H18" s="227">
        <v>0</v>
      </c>
      <c r="I18" s="66">
        <v>0</v>
      </c>
      <c r="J18" s="67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44</v>
      </c>
      <c r="E19" s="231">
        <v>0</v>
      </c>
      <c r="F19" s="231">
        <v>222.25</v>
      </c>
      <c r="G19" s="227">
        <v>0</v>
      </c>
      <c r="H19" s="227">
        <v>0</v>
      </c>
      <c r="I19" s="66">
        <v>0</v>
      </c>
      <c r="J19" s="67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222.25</v>
      </c>
      <c r="G20" s="227">
        <v>0</v>
      </c>
      <c r="H20" s="227">
        <v>0</v>
      </c>
      <c r="I20" s="66">
        <v>0</v>
      </c>
      <c r="J20" s="67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222.25</v>
      </c>
      <c r="G21" s="227">
        <v>0</v>
      </c>
      <c r="H21" s="227">
        <v>0</v>
      </c>
      <c r="I21" s="66">
        <v>0</v>
      </c>
      <c r="J21" s="67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222.25</v>
      </c>
      <c r="G22" s="227">
        <v>0</v>
      </c>
      <c r="H22" s="227">
        <v>0</v>
      </c>
      <c r="I22" s="66">
        <v>0</v>
      </c>
      <c r="J22" s="67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222.25</v>
      </c>
      <c r="G23" s="227">
        <v>0</v>
      </c>
      <c r="H23" s="227">
        <v>0</v>
      </c>
      <c r="I23" s="66">
        <v>0</v>
      </c>
      <c r="J23" s="67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222.25</v>
      </c>
      <c r="G24" s="227">
        <v>0</v>
      </c>
      <c r="H24" s="227">
        <v>0</v>
      </c>
      <c r="I24" s="66">
        <v>0</v>
      </c>
      <c r="J24" s="67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222.25</v>
      </c>
      <c r="G25" s="227">
        <v>0</v>
      </c>
      <c r="H25" s="227">
        <v>0</v>
      </c>
      <c r="I25" s="66">
        <v>0</v>
      </c>
      <c r="J25" s="67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222.25</v>
      </c>
      <c r="G26" s="227">
        <v>0</v>
      </c>
      <c r="H26" s="227">
        <v>0</v>
      </c>
      <c r="I26" s="66">
        <v>0</v>
      </c>
      <c r="J26" s="67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222.25</v>
      </c>
      <c r="G27" s="227">
        <v>0</v>
      </c>
      <c r="H27" s="227">
        <v>0</v>
      </c>
      <c r="I27" s="66">
        <v>0</v>
      </c>
      <c r="J27" s="67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222.25</v>
      </c>
      <c r="G28" s="227">
        <v>0</v>
      </c>
      <c r="H28" s="227">
        <v>0</v>
      </c>
      <c r="I28" s="66">
        <v>0</v>
      </c>
      <c r="J28" s="67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222.25</v>
      </c>
      <c r="G29" s="227">
        <v>0</v>
      </c>
      <c r="H29" s="227">
        <v>0</v>
      </c>
      <c r="I29" s="66">
        <v>0</v>
      </c>
      <c r="J29" s="67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222.25</v>
      </c>
      <c r="G30" s="227">
        <v>0</v>
      </c>
      <c r="H30" s="227">
        <v>0</v>
      </c>
      <c r="I30" s="66">
        <v>0</v>
      </c>
      <c r="J30" s="67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222.25</v>
      </c>
      <c r="G31" s="227">
        <v>0</v>
      </c>
      <c r="H31" s="227">
        <v>0</v>
      </c>
      <c r="I31" s="66">
        <v>0</v>
      </c>
      <c r="J31" s="67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222.25</v>
      </c>
      <c r="G32" s="227">
        <v>0</v>
      </c>
      <c r="H32" s="227">
        <v>0</v>
      </c>
      <c r="I32" s="66">
        <v>0</v>
      </c>
      <c r="J32" s="67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1.375</v>
      </c>
      <c r="F33" s="231">
        <v>220.875</v>
      </c>
      <c r="G33" s="227">
        <v>0</v>
      </c>
      <c r="H33" s="227">
        <v>0</v>
      </c>
      <c r="I33" s="66">
        <v>0</v>
      </c>
      <c r="J33" s="67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0</v>
      </c>
      <c r="F34" s="231">
        <v>220.875</v>
      </c>
      <c r="G34" s="227">
        <v>0</v>
      </c>
      <c r="H34" s="227">
        <v>0</v>
      </c>
      <c r="I34" s="66">
        <v>0</v>
      </c>
      <c r="J34" s="67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220.875</v>
      </c>
      <c r="G35" s="227">
        <v>0</v>
      </c>
      <c r="H35" s="227">
        <v>0</v>
      </c>
      <c r="I35" s="66">
        <v>0</v>
      </c>
      <c r="J35" s="67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198</v>
      </c>
      <c r="E36" s="76">
        <v>1.375</v>
      </c>
      <c r="F36" s="76">
        <v>4399.625</v>
      </c>
      <c r="G36" s="76">
        <v>0</v>
      </c>
      <c r="H36" s="76">
        <v>0</v>
      </c>
      <c r="I36" s="76">
        <v>0</v>
      </c>
      <c r="J36" s="77">
        <v>0</v>
      </c>
      <c r="K36" s="77">
        <v>0</v>
      </c>
      <c r="L36" s="229">
        <v>0</v>
      </c>
      <c r="M36" s="229">
        <v>33525.480000000003</v>
      </c>
      <c r="N36" s="229">
        <v>260.64</v>
      </c>
      <c r="O36" s="229">
        <v>138781.32999999999</v>
      </c>
      <c r="P36" s="229">
        <v>0</v>
      </c>
      <c r="Q36" s="229">
        <v>0</v>
      </c>
      <c r="R36" s="229">
        <v>0</v>
      </c>
      <c r="S36" s="229">
        <v>0</v>
      </c>
      <c r="T36" s="229">
        <v>172567.46</v>
      </c>
    </row>
    <row r="37" spans="1:20">
      <c r="R37" s="79"/>
      <c r="S37" s="79"/>
      <c r="T37" s="230">
        <v>210532.3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57DB-289D-47AE-87E8-F72968B7CFCE}">
  <sheetPr>
    <pageSetUpPr fitToPage="1"/>
  </sheetPr>
  <dimension ref="A1:T37"/>
  <sheetViews>
    <sheetView workbookViewId="0">
      <selection activeCell="R5" sqref="R5:S35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90</v>
      </c>
      <c r="E5" s="231">
        <v>22</v>
      </c>
      <c r="F5" s="231">
        <v>6326.5249999999996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44.5</v>
      </c>
      <c r="E6" s="231">
        <v>0</v>
      </c>
      <c r="F6" s="231">
        <v>6371.0249999999996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112.5</v>
      </c>
      <c r="E7" s="231">
        <v>22</v>
      </c>
      <c r="F7" s="231">
        <v>6461.5249999999996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202</v>
      </c>
      <c r="E8" s="231">
        <v>0</v>
      </c>
      <c r="F8" s="231">
        <v>6663.5249999999996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90</v>
      </c>
      <c r="E9" s="231">
        <v>0</v>
      </c>
      <c r="F9" s="231">
        <v>6753.5249999999996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112.5</v>
      </c>
      <c r="E10" s="231">
        <v>0</v>
      </c>
      <c r="F10" s="231">
        <v>6866.0249999999996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134.5</v>
      </c>
      <c r="E11" s="231">
        <v>39.875</v>
      </c>
      <c r="F11" s="231">
        <v>6960.65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314</v>
      </c>
      <c r="E12" s="231">
        <v>22</v>
      </c>
      <c r="F12" s="231">
        <v>7252.65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313.5</v>
      </c>
      <c r="E13" s="231">
        <v>9</v>
      </c>
      <c r="F13" s="231">
        <v>7557.15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202.5</v>
      </c>
      <c r="E14" s="231">
        <v>2.75</v>
      </c>
      <c r="F14" s="231">
        <v>7756.9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246</v>
      </c>
      <c r="E15" s="231">
        <v>0</v>
      </c>
      <c r="F15" s="231">
        <v>8002.9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44.5</v>
      </c>
      <c r="E16" s="231">
        <v>0</v>
      </c>
      <c r="F16" s="231">
        <v>8047.4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22.25</v>
      </c>
      <c r="F17" s="231">
        <v>8025.15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8025.15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8025.15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8025.15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5.5</v>
      </c>
      <c r="F21" s="231">
        <v>8019.65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45</v>
      </c>
      <c r="F22" s="231">
        <v>7974.65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22</v>
      </c>
      <c r="F23" s="231">
        <v>7952.65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22</v>
      </c>
      <c r="F24" s="231">
        <v>7930.65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44</v>
      </c>
      <c r="F25" s="231">
        <v>7886.65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7886.65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7886.65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7886.65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22.5</v>
      </c>
      <c r="E29" s="231">
        <v>22</v>
      </c>
      <c r="F29" s="231">
        <v>7887.15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64.75</v>
      </c>
      <c r="F30" s="231">
        <v>7822.4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66.5</v>
      </c>
      <c r="F31" s="231">
        <v>7755.9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22</v>
      </c>
      <c r="F32" s="231">
        <v>7733.9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22</v>
      </c>
      <c r="F33" s="231">
        <v>7711.9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110</v>
      </c>
      <c r="F34" s="231">
        <v>7601.9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66</v>
      </c>
      <c r="F35" s="231">
        <v>7535.9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1929</v>
      </c>
      <c r="E36" s="76">
        <v>651.625</v>
      </c>
      <c r="F36" s="76">
        <v>234593.64999999988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711360</v>
      </c>
      <c r="N36" s="229">
        <v>711360</v>
      </c>
      <c r="O36" s="229">
        <v>5107200</v>
      </c>
      <c r="P36" s="229">
        <v>1461422.2</v>
      </c>
      <c r="Q36" s="229">
        <v>0</v>
      </c>
      <c r="R36" s="229">
        <v>0</v>
      </c>
      <c r="S36" s="229">
        <v>0</v>
      </c>
      <c r="T36" s="229">
        <v>7991342.2000000002</v>
      </c>
    </row>
    <row r="37" spans="1:20">
      <c r="R37" s="79"/>
      <c r="S37" s="79"/>
      <c r="T37" s="230">
        <v>9749437.4800000004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8D4A-6CF5-4F22-B6BD-F87D97420A9F}">
  <sheetPr>
    <pageSetUpPr fitToPage="1"/>
  </sheetPr>
  <dimension ref="A1:T37"/>
  <sheetViews>
    <sheetView topLeftCell="B13" workbookViewId="0">
      <selection activeCell="T37" sqref="T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207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26.303000000000001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26.303000000000001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1.375</v>
      </c>
      <c r="F7" s="231">
        <v>24.928000000000001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24.928000000000001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24.928000000000001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24.928000000000001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24.928000000000001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24.928000000000001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24.928000000000001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24.928000000000001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24.928000000000001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24.928000000000001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24.928000000000001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24.928000000000001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24.928000000000001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24.928000000000001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24.928000000000001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24.928000000000001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24.928000000000001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24.928000000000001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24.928000000000001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24.928000000000001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24.928000000000001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24.928000000000001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24.928000000000001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24.928000000000001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24.928000000000001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24.928000000000001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24.928000000000001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0</v>
      </c>
      <c r="F34" s="231">
        <v>24.928000000000001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24.928000000000001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0</v>
      </c>
      <c r="E36" s="76">
        <v>1.375</v>
      </c>
      <c r="F36" s="76">
        <v>775.51800000000003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0</v>
      </c>
      <c r="N36" s="229">
        <v>310.61</v>
      </c>
      <c r="O36" s="229">
        <v>15180.45</v>
      </c>
      <c r="P36" s="229">
        <v>0</v>
      </c>
      <c r="Q36" s="229">
        <v>0</v>
      </c>
      <c r="R36" s="229">
        <v>0</v>
      </c>
      <c r="S36" s="229">
        <v>0</v>
      </c>
      <c r="T36" s="229">
        <v>15491.06</v>
      </c>
    </row>
    <row r="37" spans="1:20">
      <c r="R37" s="79"/>
      <c r="S37" s="79"/>
      <c r="T37" s="230">
        <v>18899.09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EB4F-2E2C-4CFF-B990-7E47369D74BC}">
  <sheetPr>
    <pageSetUpPr fitToPage="1"/>
  </sheetPr>
  <dimension ref="A1:T37"/>
  <sheetViews>
    <sheetView topLeftCell="B13" workbookViewId="0">
      <selection activeCell="T37" sqref="T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208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127.5</v>
      </c>
      <c r="F5" s="231">
        <v>12763.05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66</v>
      </c>
      <c r="F6" s="231">
        <v>12697.05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199</v>
      </c>
      <c r="F7" s="231">
        <v>12498.05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44</v>
      </c>
      <c r="F8" s="231">
        <v>12454.05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88.5</v>
      </c>
      <c r="F9" s="231">
        <v>12365.55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347.5</v>
      </c>
      <c r="F10" s="231">
        <v>12018.05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199</v>
      </c>
      <c r="F11" s="231">
        <v>11819.05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198.8</v>
      </c>
      <c r="F12" s="231">
        <v>11620.25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156.75</v>
      </c>
      <c r="F13" s="231">
        <v>11463.5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130.625</v>
      </c>
      <c r="F14" s="231">
        <v>11332.875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198</v>
      </c>
      <c r="F15" s="231">
        <v>11134.875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44.5</v>
      </c>
      <c r="F16" s="231">
        <v>11090.375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44</v>
      </c>
      <c r="F17" s="231">
        <v>11046.375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221.5</v>
      </c>
      <c r="F18" s="231">
        <v>10824.875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44</v>
      </c>
      <c r="E19" s="231">
        <v>44</v>
      </c>
      <c r="F19" s="231">
        <v>10824.875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66</v>
      </c>
      <c r="E20" s="231">
        <v>176</v>
      </c>
      <c r="F20" s="231">
        <v>10714.875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132</v>
      </c>
      <c r="E21" s="231">
        <v>157</v>
      </c>
      <c r="F21" s="231">
        <v>10689.875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157</v>
      </c>
      <c r="E22" s="231">
        <v>0</v>
      </c>
      <c r="F22" s="231">
        <v>10846.875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45</v>
      </c>
      <c r="E23" s="231">
        <v>85.75</v>
      </c>
      <c r="F23" s="231">
        <v>10806.125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45</v>
      </c>
      <c r="E24" s="231">
        <v>66</v>
      </c>
      <c r="F24" s="231">
        <v>10785.125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45</v>
      </c>
      <c r="E25" s="231">
        <v>23.1</v>
      </c>
      <c r="F25" s="231">
        <v>10807.025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86.224999999999994</v>
      </c>
      <c r="E26" s="231">
        <v>200.375</v>
      </c>
      <c r="F26" s="231">
        <v>10692.875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22.5</v>
      </c>
      <c r="E27" s="231">
        <v>210.2</v>
      </c>
      <c r="F27" s="231">
        <v>10505.174999999999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88.525000000000006</v>
      </c>
      <c r="F28" s="231">
        <v>10416.65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28.875</v>
      </c>
      <c r="F29" s="231">
        <v>10387.775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67.5</v>
      </c>
      <c r="E30" s="231">
        <v>22.5</v>
      </c>
      <c r="F30" s="231">
        <v>10432.775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22.5</v>
      </c>
      <c r="E31" s="231">
        <v>110</v>
      </c>
      <c r="F31" s="231">
        <v>10345.275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159.25</v>
      </c>
      <c r="F32" s="231">
        <v>10186.025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178</v>
      </c>
      <c r="F33" s="231">
        <v>10008.025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44.5</v>
      </c>
      <c r="F34" s="231">
        <v>9963.5249999999996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22.5</v>
      </c>
      <c r="E35" s="231">
        <v>134.1</v>
      </c>
      <c r="F35" s="231">
        <v>9851.9249999999993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755.22500000000002</v>
      </c>
      <c r="E36" s="76">
        <v>3793.85</v>
      </c>
      <c r="F36" s="76">
        <v>343392.77500000014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565848.71</v>
      </c>
      <c r="N36" s="229">
        <v>857022.14</v>
      </c>
      <c r="O36" s="229">
        <v>6721775.6900000004</v>
      </c>
      <c r="P36" s="229">
        <v>0</v>
      </c>
      <c r="Q36" s="229">
        <v>0</v>
      </c>
      <c r="R36" s="229">
        <v>0</v>
      </c>
      <c r="S36" s="229">
        <v>0</v>
      </c>
      <c r="T36" s="229">
        <v>8144646.54</v>
      </c>
    </row>
    <row r="37" spans="1:20">
      <c r="R37" s="79"/>
      <c r="S37" s="79"/>
      <c r="T37" s="230">
        <v>9936468.7799999993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2B26-0BAA-4087-A437-CA10D4CEDDD5}">
  <sheetPr>
    <pageSetUpPr fitToPage="1"/>
  </sheetPr>
  <dimension ref="A1:T37"/>
  <sheetViews>
    <sheetView topLeftCell="B13" workbookViewId="0">
      <selection activeCell="T37" sqref="T37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209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15.102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15.102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15.102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15.102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15.102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15.102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15.102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15.102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15.102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15.102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15.102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15.102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15.102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88</v>
      </c>
      <c r="E18" s="231">
        <v>0</v>
      </c>
      <c r="F18" s="231">
        <v>103.102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132</v>
      </c>
      <c r="E19" s="231">
        <v>44</v>
      </c>
      <c r="F19" s="231">
        <v>191.102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66</v>
      </c>
      <c r="E20" s="231">
        <v>66</v>
      </c>
      <c r="F20" s="231">
        <v>191.102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110</v>
      </c>
      <c r="E21" s="231">
        <v>0</v>
      </c>
      <c r="F21" s="231">
        <v>301.10199999999998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22</v>
      </c>
      <c r="E22" s="231">
        <v>0</v>
      </c>
      <c r="F22" s="231">
        <v>323.10199999999998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323.10199999999998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22</v>
      </c>
      <c r="E24" s="231">
        <v>0</v>
      </c>
      <c r="F24" s="231">
        <v>345.10199999999998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345.10199999999998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22</v>
      </c>
      <c r="E26" s="231">
        <v>22</v>
      </c>
      <c r="F26" s="231">
        <v>345.10199999999998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345.10199999999998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345.10199999999998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345.10199999999998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345.10199999999998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66</v>
      </c>
      <c r="F31" s="231">
        <v>279.10199999999998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44</v>
      </c>
      <c r="F32" s="231">
        <v>235.102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235.102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0</v>
      </c>
      <c r="F34" s="231">
        <v>235.102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235.102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462</v>
      </c>
      <c r="E36" s="76">
        <v>242</v>
      </c>
      <c r="F36" s="76">
        <v>5264.1619999999984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346151.29</v>
      </c>
      <c r="N36" s="229">
        <v>54667.25</v>
      </c>
      <c r="O36" s="229">
        <v>103043.86</v>
      </c>
      <c r="P36" s="229">
        <v>0</v>
      </c>
      <c r="Q36" s="229">
        <v>0</v>
      </c>
      <c r="R36" s="229">
        <v>0</v>
      </c>
      <c r="S36" s="229">
        <v>0</v>
      </c>
      <c r="T36" s="229">
        <v>503862.4</v>
      </c>
    </row>
    <row r="37" spans="1:20">
      <c r="R37" s="79"/>
      <c r="S37" s="79"/>
      <c r="T37" s="230">
        <v>614712.13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BDE6-1DF0-4C23-965B-ADEB1C86F772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210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1.2849999999999999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1.2849999999999999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1.2849999999999999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1.2849999999999999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1.2849999999999999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1.2849999999999999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1.2849999999999999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1.2849999999999999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1.2849999999999999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1.2849999999999999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1.2849999999999999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1.2849999999999999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1.2849999999999999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1.2849999999999999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1.2849999999999999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1.2849999999999999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1.2849999999999999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1.2849999999999999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1.2849999999999999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1.2849999999999999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1.2849999999999999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1.2849999999999999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1.2849999999999999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1.2849999999999999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1.2849999999999999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1.2849999999999999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1.2849999999999999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1.2849999999999999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1.2849999999999999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0</v>
      </c>
      <c r="F34" s="231">
        <v>1.2849999999999999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1.2849999999999999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0</v>
      </c>
      <c r="E36" s="76">
        <v>0</v>
      </c>
      <c r="F36" s="76">
        <v>39.83499999999998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0</v>
      </c>
      <c r="N36" s="229">
        <v>0</v>
      </c>
      <c r="O36" s="229">
        <v>845.8</v>
      </c>
      <c r="P36" s="229">
        <v>0</v>
      </c>
      <c r="Q36" s="229">
        <v>0</v>
      </c>
      <c r="R36" s="229">
        <v>0</v>
      </c>
      <c r="S36" s="229">
        <v>0</v>
      </c>
      <c r="T36" s="229">
        <v>845.8</v>
      </c>
    </row>
    <row r="37" spans="1:20">
      <c r="R37" s="79"/>
      <c r="S37" s="79"/>
      <c r="T37" s="230">
        <v>1031.8800000000001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2CA3-7816-4CD5-BA47-D65B7B5C6980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211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62.213000000000001</v>
      </c>
      <c r="F5" s="231">
        <v>3743.752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90</v>
      </c>
      <c r="E6" s="231">
        <v>0</v>
      </c>
      <c r="F6" s="231">
        <v>3833.752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22.5</v>
      </c>
      <c r="F7" s="231">
        <v>3811.252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3811.252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3811.252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3811.252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22.5</v>
      </c>
      <c r="F11" s="231">
        <v>3788.752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45</v>
      </c>
      <c r="F12" s="231">
        <v>3743.752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22.5</v>
      </c>
      <c r="E13" s="231">
        <v>22.5</v>
      </c>
      <c r="F13" s="231">
        <v>3743.752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202.5</v>
      </c>
      <c r="E14" s="231">
        <v>0</v>
      </c>
      <c r="F14" s="231">
        <v>3946.252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3946.252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3946.252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178.57499999999999</v>
      </c>
      <c r="E17" s="231">
        <v>43.5</v>
      </c>
      <c r="F17" s="231">
        <v>4081.3270000000002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135</v>
      </c>
      <c r="E18" s="231">
        <v>29.25</v>
      </c>
      <c r="F18" s="231">
        <v>4187.0770000000002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4187.0770000000002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67</v>
      </c>
      <c r="F20" s="231">
        <v>4120.0770000000002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10.125</v>
      </c>
      <c r="F21" s="231">
        <v>4109.9520000000002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4109.9520000000002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4109.9520000000002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292.5</v>
      </c>
      <c r="E24" s="231">
        <v>132</v>
      </c>
      <c r="F24" s="231">
        <v>4270.4520000000002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135</v>
      </c>
      <c r="E25" s="231">
        <v>110.5</v>
      </c>
      <c r="F25" s="231">
        <v>4294.9520000000002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22.5</v>
      </c>
      <c r="E26" s="231">
        <v>134.75</v>
      </c>
      <c r="F26" s="231">
        <v>4182.7020000000002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88</v>
      </c>
      <c r="F27" s="231">
        <v>4094.7020000000002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154.5</v>
      </c>
      <c r="F28" s="231">
        <v>3940.2020000000002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3940.2020000000002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3940.2020000000002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200.5</v>
      </c>
      <c r="F31" s="231">
        <v>3739.7020000000002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44.575000000000003</v>
      </c>
      <c r="F32" s="231">
        <v>3695.127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67.5</v>
      </c>
      <c r="F33" s="231">
        <v>3627.627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111</v>
      </c>
      <c r="F34" s="231">
        <v>3516.627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66.55</v>
      </c>
      <c r="F35" s="231">
        <v>3450.0770000000002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1078.575</v>
      </c>
      <c r="E36" s="76">
        <v>1434.463</v>
      </c>
      <c r="F36" s="76">
        <v>121535.51200000002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429233.97</v>
      </c>
      <c r="N36" s="229">
        <v>464549.44</v>
      </c>
      <c r="O36" s="229">
        <v>2580517.75</v>
      </c>
      <c r="P36" s="229">
        <v>20513.439999999999</v>
      </c>
      <c r="Q36" s="229">
        <v>0</v>
      </c>
      <c r="R36" s="229">
        <v>0</v>
      </c>
      <c r="S36" s="229">
        <v>0</v>
      </c>
      <c r="T36" s="229">
        <v>3494814.6</v>
      </c>
    </row>
    <row r="37" spans="1:20">
      <c r="R37" s="79"/>
      <c r="S37" s="79"/>
      <c r="T37" s="230">
        <v>4263673.8099999996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B1BE-BE60-4CB4-93D6-30DD252BDCC9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51"/>
    <col min="4" max="4" width="11.7109375" style="51" customWidth="1"/>
    <col min="5" max="5" width="12.140625" style="51" customWidth="1"/>
    <col min="6" max="6" width="13.28515625" style="51" customWidth="1"/>
    <col min="7" max="7" width="11.42578125" style="51" customWidth="1"/>
    <col min="8" max="8" width="10.42578125" style="51" customWidth="1"/>
    <col min="9" max="9" width="10.5703125" style="51" bestFit="1" customWidth="1"/>
    <col min="10" max="10" width="9.42578125" style="51" bestFit="1" customWidth="1"/>
    <col min="11" max="12" width="9.140625" style="51"/>
    <col min="13" max="13" width="15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212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150</v>
      </c>
      <c r="H3" s="183" t="s">
        <v>151</v>
      </c>
      <c r="I3" s="183" t="s">
        <v>7</v>
      </c>
      <c r="J3" s="183" t="s">
        <v>8</v>
      </c>
      <c r="K3" s="183" t="s">
        <v>152</v>
      </c>
      <c r="L3" s="183" t="s">
        <v>153</v>
      </c>
      <c r="M3" s="183" t="s">
        <v>154</v>
      </c>
      <c r="N3" s="183" t="s">
        <v>155</v>
      </c>
      <c r="O3" s="183" t="s">
        <v>156</v>
      </c>
      <c r="P3" s="183" t="s">
        <v>157</v>
      </c>
      <c r="Q3" s="183" t="s">
        <v>158</v>
      </c>
      <c r="R3" s="183" t="s">
        <v>16</v>
      </c>
      <c r="S3" s="183" t="s">
        <v>17</v>
      </c>
      <c r="T3" s="183" t="s">
        <v>18</v>
      </c>
    </row>
    <row r="4" spans="1:20" ht="27" customHeight="1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40.1</v>
      </c>
      <c r="G5" s="227">
        <v>0</v>
      </c>
      <c r="H5" s="227">
        <v>0</v>
      </c>
      <c r="I5" s="66">
        <v>0</v>
      </c>
      <c r="J5" s="66">
        <v>0</v>
      </c>
      <c r="K5" s="67">
        <v>0</v>
      </c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40.1</v>
      </c>
      <c r="G6" s="227">
        <v>0</v>
      </c>
      <c r="H6" s="227">
        <v>0</v>
      </c>
      <c r="I6" s="66">
        <v>0</v>
      </c>
      <c r="J6" s="66">
        <v>0</v>
      </c>
      <c r="K6" s="67">
        <v>0</v>
      </c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40.1</v>
      </c>
      <c r="G7" s="227">
        <v>0</v>
      </c>
      <c r="H7" s="227">
        <v>0</v>
      </c>
      <c r="I7" s="66">
        <v>0</v>
      </c>
      <c r="J7" s="66">
        <v>0</v>
      </c>
      <c r="K7" s="67">
        <v>0</v>
      </c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40.1</v>
      </c>
      <c r="G8" s="227">
        <v>0</v>
      </c>
      <c r="H8" s="227">
        <v>0</v>
      </c>
      <c r="I8" s="66">
        <v>0</v>
      </c>
      <c r="J8" s="66">
        <v>0</v>
      </c>
      <c r="K8" s="67">
        <v>0</v>
      </c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40.1</v>
      </c>
      <c r="G9" s="227">
        <v>0</v>
      </c>
      <c r="H9" s="227">
        <v>0</v>
      </c>
      <c r="I9" s="66">
        <v>0</v>
      </c>
      <c r="J9" s="66">
        <v>0</v>
      </c>
      <c r="K9" s="67">
        <v>0</v>
      </c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40.1</v>
      </c>
      <c r="G10" s="227">
        <v>0</v>
      </c>
      <c r="H10" s="227">
        <v>0</v>
      </c>
      <c r="I10" s="66">
        <v>0</v>
      </c>
      <c r="J10" s="66">
        <v>0</v>
      </c>
      <c r="K10" s="67">
        <v>0</v>
      </c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40.1</v>
      </c>
      <c r="G11" s="227">
        <v>0</v>
      </c>
      <c r="H11" s="227">
        <v>0</v>
      </c>
      <c r="I11" s="66">
        <v>0</v>
      </c>
      <c r="J11" s="66">
        <v>0</v>
      </c>
      <c r="K11" s="67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40.1</v>
      </c>
      <c r="G12" s="227">
        <v>0</v>
      </c>
      <c r="H12" s="227">
        <v>0</v>
      </c>
      <c r="I12" s="66">
        <v>0</v>
      </c>
      <c r="J12" s="66">
        <v>0</v>
      </c>
      <c r="K12" s="67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40.1</v>
      </c>
      <c r="G13" s="227">
        <v>0</v>
      </c>
      <c r="H13" s="227">
        <v>0</v>
      </c>
      <c r="I13" s="66">
        <v>0</v>
      </c>
      <c r="J13" s="66">
        <v>0</v>
      </c>
      <c r="K13" s="67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40.1</v>
      </c>
      <c r="G14" s="227">
        <v>0</v>
      </c>
      <c r="H14" s="227">
        <v>0</v>
      </c>
      <c r="I14" s="66">
        <v>0</v>
      </c>
      <c r="J14" s="66">
        <v>0</v>
      </c>
      <c r="K14" s="67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40.1</v>
      </c>
      <c r="G15" s="227">
        <v>0</v>
      </c>
      <c r="H15" s="227">
        <v>0</v>
      </c>
      <c r="I15" s="66">
        <v>0</v>
      </c>
      <c r="J15" s="66">
        <v>0</v>
      </c>
      <c r="K15" s="67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40.1</v>
      </c>
      <c r="G16" s="227">
        <v>0</v>
      </c>
      <c r="H16" s="227">
        <v>0</v>
      </c>
      <c r="I16" s="66">
        <v>0</v>
      </c>
      <c r="J16" s="66">
        <v>0</v>
      </c>
      <c r="K16" s="67">
        <v>0</v>
      </c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22</v>
      </c>
      <c r="F17" s="231">
        <v>18.100000000000001</v>
      </c>
      <c r="G17" s="227">
        <v>0</v>
      </c>
      <c r="H17" s="227">
        <v>0</v>
      </c>
      <c r="I17" s="66">
        <v>0</v>
      </c>
      <c r="J17" s="66">
        <v>0</v>
      </c>
      <c r="K17" s="67">
        <v>0</v>
      </c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18.100000000000001</v>
      </c>
      <c r="G18" s="227">
        <v>0</v>
      </c>
      <c r="H18" s="227">
        <v>0</v>
      </c>
      <c r="I18" s="66">
        <v>0</v>
      </c>
      <c r="J18" s="66">
        <v>0</v>
      </c>
      <c r="K18" s="67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18.100000000000001</v>
      </c>
      <c r="G19" s="227">
        <v>0</v>
      </c>
      <c r="H19" s="227">
        <v>0</v>
      </c>
      <c r="I19" s="66">
        <v>0</v>
      </c>
      <c r="J19" s="66">
        <v>0</v>
      </c>
      <c r="K19" s="67">
        <v>0</v>
      </c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18.100000000000001</v>
      </c>
      <c r="G20" s="227">
        <v>0</v>
      </c>
      <c r="H20" s="227">
        <v>0</v>
      </c>
      <c r="I20" s="66">
        <v>0</v>
      </c>
      <c r="J20" s="66">
        <v>0</v>
      </c>
      <c r="K20" s="67">
        <v>0</v>
      </c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4.125</v>
      </c>
      <c r="F21" s="231">
        <v>13.975</v>
      </c>
      <c r="G21" s="227">
        <v>0</v>
      </c>
      <c r="H21" s="227">
        <v>0</v>
      </c>
      <c r="I21" s="66">
        <v>0</v>
      </c>
      <c r="J21" s="66">
        <v>0</v>
      </c>
      <c r="K21" s="67">
        <v>0</v>
      </c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13.975</v>
      </c>
      <c r="G22" s="227">
        <v>0</v>
      </c>
      <c r="H22" s="227">
        <v>0</v>
      </c>
      <c r="I22" s="66">
        <v>0</v>
      </c>
      <c r="J22" s="66">
        <v>0</v>
      </c>
      <c r="K22" s="67">
        <v>0</v>
      </c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13.975</v>
      </c>
      <c r="G23" s="227">
        <v>0</v>
      </c>
      <c r="H23" s="227">
        <v>0</v>
      </c>
      <c r="I23" s="66">
        <v>0</v>
      </c>
      <c r="J23" s="66">
        <v>0</v>
      </c>
      <c r="K23" s="67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13.975</v>
      </c>
      <c r="G24" s="227">
        <v>0</v>
      </c>
      <c r="H24" s="227">
        <v>0</v>
      </c>
      <c r="I24" s="66">
        <v>0</v>
      </c>
      <c r="J24" s="66">
        <v>0</v>
      </c>
      <c r="K24" s="67">
        <v>0</v>
      </c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13.975</v>
      </c>
      <c r="G25" s="227">
        <v>0</v>
      </c>
      <c r="H25" s="227">
        <v>0</v>
      </c>
      <c r="I25" s="66">
        <v>0</v>
      </c>
      <c r="J25" s="66">
        <v>0</v>
      </c>
      <c r="K25" s="67">
        <v>0</v>
      </c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13.975</v>
      </c>
      <c r="G26" s="227">
        <v>0</v>
      </c>
      <c r="H26" s="227">
        <v>0</v>
      </c>
      <c r="I26" s="66">
        <v>0</v>
      </c>
      <c r="J26" s="66">
        <v>0</v>
      </c>
      <c r="K26" s="67">
        <v>0</v>
      </c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13.975</v>
      </c>
      <c r="G27" s="227">
        <v>0</v>
      </c>
      <c r="H27" s="227">
        <v>0</v>
      </c>
      <c r="I27" s="66">
        <v>0</v>
      </c>
      <c r="J27" s="66">
        <v>0</v>
      </c>
      <c r="K27" s="67">
        <v>0</v>
      </c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13.975</v>
      </c>
      <c r="G28" s="227">
        <v>0</v>
      </c>
      <c r="H28" s="227">
        <v>0</v>
      </c>
      <c r="I28" s="66">
        <v>0</v>
      </c>
      <c r="J28" s="66">
        <v>0</v>
      </c>
      <c r="K28" s="67">
        <v>0</v>
      </c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0</v>
      </c>
      <c r="F29" s="231">
        <v>13.975</v>
      </c>
      <c r="G29" s="227">
        <v>0</v>
      </c>
      <c r="H29" s="227">
        <v>0</v>
      </c>
      <c r="I29" s="66">
        <v>0</v>
      </c>
      <c r="J29" s="66">
        <v>0</v>
      </c>
      <c r="K29" s="67">
        <v>0</v>
      </c>
      <c r="L29" s="228">
        <v>0</v>
      </c>
      <c r="M29" s="228">
        <v>0</v>
      </c>
      <c r="N29" s="228">
        <v>0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0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0</v>
      </c>
      <c r="F30" s="231">
        <v>13.975</v>
      </c>
      <c r="G30" s="227">
        <v>0</v>
      </c>
      <c r="H30" s="227">
        <v>0</v>
      </c>
      <c r="I30" s="66">
        <v>0</v>
      </c>
      <c r="J30" s="66">
        <v>0</v>
      </c>
      <c r="K30" s="67">
        <v>0</v>
      </c>
      <c r="L30" s="228">
        <v>0</v>
      </c>
      <c r="M30" s="228">
        <v>0</v>
      </c>
      <c r="N30" s="228">
        <v>0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0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0</v>
      </c>
      <c r="F31" s="231">
        <v>13.975</v>
      </c>
      <c r="G31" s="227">
        <v>0</v>
      </c>
      <c r="H31" s="227">
        <v>0</v>
      </c>
      <c r="I31" s="66">
        <v>0</v>
      </c>
      <c r="J31" s="66">
        <v>0</v>
      </c>
      <c r="K31" s="67">
        <v>0</v>
      </c>
      <c r="L31" s="228">
        <v>0</v>
      </c>
      <c r="M31" s="228">
        <v>0</v>
      </c>
      <c r="N31" s="228">
        <v>0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0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0</v>
      </c>
      <c r="F32" s="231">
        <v>13.975</v>
      </c>
      <c r="G32" s="227">
        <v>0</v>
      </c>
      <c r="H32" s="227">
        <v>0</v>
      </c>
      <c r="I32" s="66">
        <v>0</v>
      </c>
      <c r="J32" s="66">
        <v>0</v>
      </c>
      <c r="K32" s="67">
        <v>0</v>
      </c>
      <c r="L32" s="228">
        <v>0</v>
      </c>
      <c r="M32" s="228">
        <v>0</v>
      </c>
      <c r="N32" s="228">
        <v>0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0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0</v>
      </c>
      <c r="F33" s="231">
        <v>13.975</v>
      </c>
      <c r="G33" s="227">
        <v>0</v>
      </c>
      <c r="H33" s="227">
        <v>0</v>
      </c>
      <c r="I33" s="66">
        <v>0</v>
      </c>
      <c r="J33" s="66">
        <v>0</v>
      </c>
      <c r="K33" s="67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</row>
    <row r="34" spans="1:20">
      <c r="A34" s="69">
        <v>30</v>
      </c>
      <c r="B34" s="83" t="s">
        <v>188</v>
      </c>
      <c r="C34" s="84"/>
      <c r="D34" s="231">
        <v>110</v>
      </c>
      <c r="E34" s="231">
        <v>0</v>
      </c>
      <c r="F34" s="231">
        <v>123.97499999999999</v>
      </c>
      <c r="G34" s="227">
        <v>0</v>
      </c>
      <c r="H34" s="227">
        <v>0</v>
      </c>
      <c r="I34" s="66">
        <v>0</v>
      </c>
      <c r="J34" s="66">
        <v>0</v>
      </c>
      <c r="K34" s="67">
        <v>0</v>
      </c>
      <c r="L34" s="228">
        <v>0</v>
      </c>
      <c r="M34" s="228">
        <v>0</v>
      </c>
      <c r="N34" s="228">
        <v>0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0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0</v>
      </c>
      <c r="F35" s="231">
        <v>123.97499999999999</v>
      </c>
      <c r="G35" s="227">
        <v>0</v>
      </c>
      <c r="H35" s="227">
        <v>0</v>
      </c>
      <c r="I35" s="66">
        <v>0</v>
      </c>
      <c r="J35" s="66">
        <v>0</v>
      </c>
      <c r="K35" s="67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</v>
      </c>
    </row>
    <row r="36" spans="1:20">
      <c r="D36" s="76">
        <v>110</v>
      </c>
      <c r="E36" s="76">
        <v>26.125</v>
      </c>
      <c r="F36" s="76">
        <v>983.22500000000048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229">
        <v>0</v>
      </c>
      <c r="M36" s="229">
        <v>43776.03</v>
      </c>
      <c r="N36" s="229">
        <v>8460.56</v>
      </c>
      <c r="O36" s="229">
        <v>20876.45</v>
      </c>
      <c r="P36" s="229">
        <v>0</v>
      </c>
      <c r="Q36" s="229">
        <v>0</v>
      </c>
      <c r="R36" s="229">
        <v>0</v>
      </c>
      <c r="S36" s="229">
        <v>0</v>
      </c>
      <c r="T36" s="229">
        <v>73113.039999999994</v>
      </c>
    </row>
    <row r="37" spans="1:20">
      <c r="R37" s="79"/>
      <c r="S37" s="79"/>
      <c r="T37" s="230">
        <v>89197.91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BF22-462D-4B14-9E7E-4ED5C48DE3AD}">
  <sheetPr>
    <pageSetUpPr fitToPage="1"/>
  </sheetPr>
  <dimension ref="A1:T42"/>
  <sheetViews>
    <sheetView topLeftCell="A17" workbookViewId="0">
      <selection activeCell="P36" sqref="P36"/>
    </sheetView>
  </sheetViews>
  <sheetFormatPr defaultRowHeight="15"/>
  <cols>
    <col min="1" max="3" width="9.140625" style="51"/>
    <col min="4" max="4" width="11.85546875" style="51" customWidth="1"/>
    <col min="5" max="5" width="12.28515625" style="51" customWidth="1"/>
    <col min="6" max="6" width="13.140625" style="51" customWidth="1"/>
    <col min="7" max="7" width="11.42578125" style="51" customWidth="1"/>
    <col min="8" max="8" width="10.7109375" style="51" customWidth="1"/>
    <col min="9" max="9" width="10.5703125" style="51" bestFit="1" customWidth="1"/>
    <col min="10" max="12" width="9.140625" style="51"/>
    <col min="13" max="13" width="13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213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203</v>
      </c>
      <c r="H3" s="183" t="s">
        <v>151</v>
      </c>
      <c r="I3" s="183" t="s">
        <v>7</v>
      </c>
      <c r="J3" s="183" t="s">
        <v>8</v>
      </c>
      <c r="K3" s="183" t="s">
        <v>9</v>
      </c>
      <c r="L3" s="183" t="s">
        <v>10</v>
      </c>
      <c r="M3" s="183" t="s">
        <v>11</v>
      </c>
      <c r="N3" s="183" t="s">
        <v>12</v>
      </c>
      <c r="O3" s="183" t="s">
        <v>204</v>
      </c>
      <c r="P3" s="183" t="s">
        <v>157</v>
      </c>
      <c r="Q3" s="183" t="s">
        <v>15</v>
      </c>
      <c r="R3" s="183" t="s">
        <v>16</v>
      </c>
      <c r="S3" s="183" t="s">
        <v>17</v>
      </c>
      <c r="T3" s="183" t="s">
        <v>18</v>
      </c>
    </row>
    <row r="4" spans="1:20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0</v>
      </c>
      <c r="E5" s="231">
        <v>0</v>
      </c>
      <c r="F5" s="231">
        <v>661.83600000000001</v>
      </c>
      <c r="G5" s="227">
        <v>0</v>
      </c>
      <c r="H5" s="227">
        <v>0</v>
      </c>
      <c r="I5" s="66">
        <v>0</v>
      </c>
      <c r="J5" s="67">
        <v>0</v>
      </c>
      <c r="K5" s="67"/>
      <c r="L5" s="228">
        <v>0</v>
      </c>
      <c r="M5" s="228">
        <v>0</v>
      </c>
      <c r="N5" s="228">
        <v>0</v>
      </c>
      <c r="O5" s="228">
        <v>0</v>
      </c>
      <c r="P5" s="228">
        <v>0</v>
      </c>
      <c r="Q5" s="228">
        <v>0</v>
      </c>
      <c r="R5" s="228">
        <v>0</v>
      </c>
      <c r="S5" s="228">
        <v>0</v>
      </c>
      <c r="T5" s="228">
        <v>0</v>
      </c>
    </row>
    <row r="6" spans="1:20">
      <c r="A6" s="69">
        <v>2</v>
      </c>
      <c r="B6" s="83" t="s">
        <v>160</v>
      </c>
      <c r="C6" s="84"/>
      <c r="D6" s="231">
        <v>0</v>
      </c>
      <c r="E6" s="231">
        <v>0</v>
      </c>
      <c r="F6" s="231">
        <v>661.83600000000001</v>
      </c>
      <c r="G6" s="227">
        <v>0</v>
      </c>
      <c r="H6" s="227">
        <v>0</v>
      </c>
      <c r="I6" s="66">
        <v>0</v>
      </c>
      <c r="J6" s="67">
        <v>0</v>
      </c>
      <c r="K6" s="67"/>
      <c r="L6" s="228">
        <v>0</v>
      </c>
      <c r="M6" s="228">
        <v>0</v>
      </c>
      <c r="N6" s="228">
        <v>0</v>
      </c>
      <c r="O6" s="228">
        <v>0</v>
      </c>
      <c r="P6" s="228">
        <v>0</v>
      </c>
      <c r="Q6" s="228">
        <v>0</v>
      </c>
      <c r="R6" s="228">
        <v>0</v>
      </c>
      <c r="S6" s="228">
        <v>0</v>
      </c>
      <c r="T6" s="228">
        <v>0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0</v>
      </c>
      <c r="F7" s="231">
        <v>661.83600000000001</v>
      </c>
      <c r="G7" s="227">
        <v>0</v>
      </c>
      <c r="H7" s="227">
        <v>0</v>
      </c>
      <c r="I7" s="66">
        <v>0</v>
      </c>
      <c r="J7" s="67">
        <v>0</v>
      </c>
      <c r="K7" s="67"/>
      <c r="L7" s="228">
        <v>0</v>
      </c>
      <c r="M7" s="228">
        <v>0</v>
      </c>
      <c r="N7" s="228">
        <v>0</v>
      </c>
      <c r="O7" s="228">
        <v>0</v>
      </c>
      <c r="P7" s="228">
        <v>0</v>
      </c>
      <c r="Q7" s="228">
        <v>0</v>
      </c>
      <c r="R7" s="228">
        <v>0</v>
      </c>
      <c r="S7" s="228">
        <v>0</v>
      </c>
      <c r="T7" s="228">
        <v>0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0</v>
      </c>
      <c r="F8" s="231">
        <v>661.83600000000001</v>
      </c>
      <c r="G8" s="227">
        <v>0</v>
      </c>
      <c r="H8" s="227">
        <v>0</v>
      </c>
      <c r="I8" s="66">
        <v>0</v>
      </c>
      <c r="J8" s="67">
        <v>0</v>
      </c>
      <c r="K8" s="67"/>
      <c r="L8" s="228">
        <v>0</v>
      </c>
      <c r="M8" s="228">
        <v>0</v>
      </c>
      <c r="N8" s="228">
        <v>0</v>
      </c>
      <c r="O8" s="228">
        <v>0</v>
      </c>
      <c r="P8" s="228">
        <v>0</v>
      </c>
      <c r="Q8" s="228">
        <v>0</v>
      </c>
      <c r="R8" s="228">
        <v>0</v>
      </c>
      <c r="S8" s="228">
        <v>0</v>
      </c>
      <c r="T8" s="228">
        <v>0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0</v>
      </c>
      <c r="F9" s="231">
        <v>661.83600000000001</v>
      </c>
      <c r="G9" s="227">
        <v>0</v>
      </c>
      <c r="H9" s="227">
        <v>0</v>
      </c>
      <c r="I9" s="66">
        <v>0</v>
      </c>
      <c r="J9" s="67">
        <v>0</v>
      </c>
      <c r="K9" s="67"/>
      <c r="L9" s="228">
        <v>0</v>
      </c>
      <c r="M9" s="228">
        <v>0</v>
      </c>
      <c r="N9" s="228">
        <v>0</v>
      </c>
      <c r="O9" s="228">
        <v>0</v>
      </c>
      <c r="P9" s="228">
        <v>0</v>
      </c>
      <c r="Q9" s="228">
        <v>0</v>
      </c>
      <c r="R9" s="228">
        <v>0</v>
      </c>
      <c r="S9" s="228">
        <v>0</v>
      </c>
      <c r="T9" s="228">
        <v>0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0</v>
      </c>
      <c r="F10" s="231">
        <v>661.83600000000001</v>
      </c>
      <c r="G10" s="227">
        <v>0</v>
      </c>
      <c r="H10" s="227">
        <v>0</v>
      </c>
      <c r="I10" s="66">
        <v>0</v>
      </c>
      <c r="J10" s="67">
        <v>0</v>
      </c>
      <c r="K10" s="67"/>
      <c r="L10" s="228">
        <v>0</v>
      </c>
      <c r="M10" s="228">
        <v>0</v>
      </c>
      <c r="N10" s="228">
        <v>0</v>
      </c>
      <c r="O10" s="228">
        <v>0</v>
      </c>
      <c r="P10" s="228">
        <v>0</v>
      </c>
      <c r="Q10" s="228">
        <v>0</v>
      </c>
      <c r="R10" s="228">
        <v>0</v>
      </c>
      <c r="S10" s="228">
        <v>0</v>
      </c>
      <c r="T10" s="228">
        <v>0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0</v>
      </c>
      <c r="F11" s="231">
        <v>661.83600000000001</v>
      </c>
      <c r="G11" s="227">
        <v>0</v>
      </c>
      <c r="H11" s="227">
        <v>0</v>
      </c>
      <c r="I11" s="66">
        <v>0</v>
      </c>
      <c r="J11" s="67">
        <v>0</v>
      </c>
      <c r="K11" s="67"/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</row>
    <row r="12" spans="1:20">
      <c r="A12" s="69">
        <v>8</v>
      </c>
      <c r="B12" s="83" t="s">
        <v>166</v>
      </c>
      <c r="C12" s="84"/>
      <c r="D12" s="231">
        <v>0</v>
      </c>
      <c r="E12" s="231">
        <v>0</v>
      </c>
      <c r="F12" s="231">
        <v>661.83600000000001</v>
      </c>
      <c r="G12" s="227">
        <v>0</v>
      </c>
      <c r="H12" s="227">
        <v>0</v>
      </c>
      <c r="I12" s="66">
        <v>0</v>
      </c>
      <c r="J12" s="67">
        <v>0</v>
      </c>
      <c r="K12" s="67"/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</row>
    <row r="13" spans="1:20">
      <c r="A13" s="69">
        <v>9</v>
      </c>
      <c r="B13" s="83" t="s">
        <v>167</v>
      </c>
      <c r="C13" s="84"/>
      <c r="D13" s="231">
        <v>0</v>
      </c>
      <c r="E13" s="231">
        <v>0</v>
      </c>
      <c r="F13" s="231">
        <v>661.83600000000001</v>
      </c>
      <c r="G13" s="227">
        <v>0</v>
      </c>
      <c r="H13" s="227">
        <v>0</v>
      </c>
      <c r="I13" s="66">
        <v>0</v>
      </c>
      <c r="J13" s="67">
        <v>0</v>
      </c>
      <c r="K13" s="67"/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</row>
    <row r="14" spans="1:20">
      <c r="A14" s="69">
        <v>10</v>
      </c>
      <c r="B14" s="83" t="s">
        <v>168</v>
      </c>
      <c r="C14" s="84"/>
      <c r="D14" s="231">
        <v>0</v>
      </c>
      <c r="E14" s="231">
        <v>0</v>
      </c>
      <c r="F14" s="231">
        <v>661.83600000000001</v>
      </c>
      <c r="G14" s="227">
        <v>0</v>
      </c>
      <c r="H14" s="227">
        <v>0</v>
      </c>
      <c r="I14" s="66">
        <v>0</v>
      </c>
      <c r="J14" s="67">
        <v>0</v>
      </c>
      <c r="K14" s="67"/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0</v>
      </c>
      <c r="F15" s="231">
        <v>661.83600000000001</v>
      </c>
      <c r="G15" s="227">
        <v>0</v>
      </c>
      <c r="H15" s="227">
        <v>0</v>
      </c>
      <c r="I15" s="66">
        <v>0</v>
      </c>
      <c r="J15" s="67">
        <v>0</v>
      </c>
      <c r="K15" s="67"/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661.83600000000001</v>
      </c>
      <c r="G16" s="227">
        <v>0</v>
      </c>
      <c r="H16" s="227">
        <v>0</v>
      </c>
      <c r="I16" s="66">
        <v>0</v>
      </c>
      <c r="J16" s="67">
        <v>0</v>
      </c>
      <c r="K16" s="72"/>
      <c r="L16" s="228">
        <v>0</v>
      </c>
      <c r="M16" s="228">
        <v>0</v>
      </c>
      <c r="N16" s="228">
        <v>0</v>
      </c>
      <c r="O16" s="228">
        <v>0</v>
      </c>
      <c r="P16" s="228">
        <v>0</v>
      </c>
      <c r="Q16" s="228">
        <v>0</v>
      </c>
      <c r="R16" s="228">
        <v>0</v>
      </c>
      <c r="S16" s="228">
        <v>0</v>
      </c>
      <c r="T16" s="228">
        <v>0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661.83600000000001</v>
      </c>
      <c r="G17" s="227">
        <v>0</v>
      </c>
      <c r="H17" s="227">
        <v>0</v>
      </c>
      <c r="I17" s="66">
        <v>0</v>
      </c>
      <c r="J17" s="67">
        <v>0</v>
      </c>
      <c r="K17" s="67"/>
      <c r="L17" s="228">
        <v>0</v>
      </c>
      <c r="M17" s="228">
        <v>0</v>
      </c>
      <c r="N17" s="228">
        <v>0</v>
      </c>
      <c r="O17" s="228">
        <v>0</v>
      </c>
      <c r="P17" s="228">
        <v>0</v>
      </c>
      <c r="Q17" s="228">
        <v>0</v>
      </c>
      <c r="R17" s="228">
        <v>0</v>
      </c>
      <c r="S17" s="228">
        <v>0</v>
      </c>
      <c r="T17" s="228">
        <v>0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0</v>
      </c>
      <c r="F18" s="231">
        <v>661.83600000000001</v>
      </c>
      <c r="G18" s="227">
        <v>0</v>
      </c>
      <c r="H18" s="227">
        <v>0</v>
      </c>
      <c r="I18" s="66">
        <v>0</v>
      </c>
      <c r="J18" s="67">
        <v>0</v>
      </c>
      <c r="K18" s="67"/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0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0</v>
      </c>
      <c r="F19" s="231">
        <v>661.83600000000001</v>
      </c>
      <c r="G19" s="227">
        <v>0</v>
      </c>
      <c r="H19" s="227">
        <v>0</v>
      </c>
      <c r="I19" s="66">
        <v>0</v>
      </c>
      <c r="J19" s="67">
        <v>0</v>
      </c>
      <c r="K19" s="67"/>
      <c r="L19" s="228">
        <v>0</v>
      </c>
      <c r="M19" s="228">
        <v>0</v>
      </c>
      <c r="N19" s="228">
        <v>0</v>
      </c>
      <c r="O19" s="228">
        <v>0</v>
      </c>
      <c r="P19" s="228">
        <v>0</v>
      </c>
      <c r="Q19" s="228">
        <v>0</v>
      </c>
      <c r="R19" s="228">
        <v>0</v>
      </c>
      <c r="S19" s="228">
        <v>0</v>
      </c>
      <c r="T19" s="228">
        <v>0</v>
      </c>
    </row>
    <row r="20" spans="1:20">
      <c r="A20" s="69">
        <v>16</v>
      </c>
      <c r="B20" s="83" t="s">
        <v>174</v>
      </c>
      <c r="C20" s="84"/>
      <c r="D20" s="231">
        <v>0</v>
      </c>
      <c r="E20" s="231">
        <v>0</v>
      </c>
      <c r="F20" s="231">
        <v>661.83600000000001</v>
      </c>
      <c r="G20" s="227">
        <v>0</v>
      </c>
      <c r="H20" s="227">
        <v>0</v>
      </c>
      <c r="I20" s="66">
        <v>0</v>
      </c>
      <c r="J20" s="67">
        <v>0</v>
      </c>
      <c r="K20" s="67"/>
      <c r="L20" s="228">
        <v>0</v>
      </c>
      <c r="M20" s="228">
        <v>0</v>
      </c>
      <c r="N20" s="228">
        <v>0</v>
      </c>
      <c r="O20" s="228">
        <v>0</v>
      </c>
      <c r="P20" s="228">
        <v>0</v>
      </c>
      <c r="Q20" s="228">
        <v>0</v>
      </c>
      <c r="R20" s="228">
        <v>0</v>
      </c>
      <c r="S20" s="228">
        <v>0</v>
      </c>
      <c r="T20" s="228">
        <v>0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0</v>
      </c>
      <c r="F21" s="231">
        <v>661.83600000000001</v>
      </c>
      <c r="G21" s="227">
        <v>0</v>
      </c>
      <c r="H21" s="227">
        <v>0</v>
      </c>
      <c r="I21" s="66">
        <v>0</v>
      </c>
      <c r="J21" s="67">
        <v>0</v>
      </c>
      <c r="K21" s="67"/>
      <c r="L21" s="228">
        <v>0</v>
      </c>
      <c r="M21" s="228">
        <v>0</v>
      </c>
      <c r="N21" s="228">
        <v>0</v>
      </c>
      <c r="O21" s="228">
        <v>0</v>
      </c>
      <c r="P21" s="228">
        <v>0</v>
      </c>
      <c r="Q21" s="228">
        <v>0</v>
      </c>
      <c r="R21" s="228">
        <v>0</v>
      </c>
      <c r="S21" s="228">
        <v>0</v>
      </c>
      <c r="T21" s="228">
        <v>0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661.83600000000001</v>
      </c>
      <c r="G22" s="227">
        <v>0</v>
      </c>
      <c r="H22" s="227">
        <v>0</v>
      </c>
      <c r="I22" s="66">
        <v>0</v>
      </c>
      <c r="J22" s="67">
        <v>0</v>
      </c>
      <c r="K22" s="67"/>
      <c r="L22" s="228">
        <v>0</v>
      </c>
      <c r="M22" s="228">
        <v>0</v>
      </c>
      <c r="N22" s="228">
        <v>0</v>
      </c>
      <c r="O22" s="228">
        <v>0</v>
      </c>
      <c r="P22" s="228">
        <v>0</v>
      </c>
      <c r="Q22" s="228">
        <v>0</v>
      </c>
      <c r="R22" s="228">
        <v>0</v>
      </c>
      <c r="S22" s="228">
        <v>0</v>
      </c>
      <c r="T22" s="228">
        <v>0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661.83600000000001</v>
      </c>
      <c r="G23" s="227">
        <v>0</v>
      </c>
      <c r="H23" s="227">
        <v>0</v>
      </c>
      <c r="I23" s="66">
        <v>0</v>
      </c>
      <c r="J23" s="67">
        <v>0</v>
      </c>
      <c r="K23" s="67"/>
      <c r="L23" s="228">
        <v>0</v>
      </c>
      <c r="M23" s="228">
        <v>0</v>
      </c>
      <c r="N23" s="228">
        <v>0</v>
      </c>
      <c r="O23" s="228">
        <v>0</v>
      </c>
      <c r="P23" s="228">
        <v>0</v>
      </c>
      <c r="Q23" s="228">
        <v>0</v>
      </c>
      <c r="R23" s="228">
        <v>0</v>
      </c>
      <c r="S23" s="228">
        <v>0</v>
      </c>
      <c r="T23" s="228">
        <v>0</v>
      </c>
    </row>
    <row r="24" spans="1:20">
      <c r="A24" s="69">
        <v>20</v>
      </c>
      <c r="B24" s="83" t="s">
        <v>178</v>
      </c>
      <c r="C24" s="84"/>
      <c r="D24" s="231">
        <v>0</v>
      </c>
      <c r="E24" s="231">
        <v>0</v>
      </c>
      <c r="F24" s="231">
        <v>661.83600000000001</v>
      </c>
      <c r="G24" s="227">
        <v>0</v>
      </c>
      <c r="H24" s="227">
        <v>0</v>
      </c>
      <c r="I24" s="66">
        <v>0</v>
      </c>
      <c r="J24" s="67">
        <v>0</v>
      </c>
      <c r="K24" s="67"/>
      <c r="L24" s="228">
        <v>0</v>
      </c>
      <c r="M24" s="228">
        <v>0</v>
      </c>
      <c r="N24" s="228">
        <v>0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</row>
    <row r="25" spans="1:20">
      <c r="A25" s="69">
        <v>21</v>
      </c>
      <c r="B25" s="83" t="s">
        <v>179</v>
      </c>
      <c r="C25" s="84"/>
      <c r="D25" s="231">
        <v>0</v>
      </c>
      <c r="E25" s="231">
        <v>0</v>
      </c>
      <c r="F25" s="231">
        <v>661.83600000000001</v>
      </c>
      <c r="G25" s="227">
        <v>0</v>
      </c>
      <c r="H25" s="227">
        <v>0</v>
      </c>
      <c r="I25" s="66">
        <v>0</v>
      </c>
      <c r="J25" s="67">
        <v>0</v>
      </c>
      <c r="K25" s="67"/>
      <c r="L25" s="228">
        <v>0</v>
      </c>
      <c r="M25" s="228">
        <v>0</v>
      </c>
      <c r="N25" s="228">
        <v>0</v>
      </c>
      <c r="O25" s="228">
        <v>0</v>
      </c>
      <c r="P25" s="228">
        <v>0</v>
      </c>
      <c r="Q25" s="228">
        <v>0</v>
      </c>
      <c r="R25" s="228">
        <v>0</v>
      </c>
      <c r="S25" s="228">
        <v>0</v>
      </c>
      <c r="T25" s="228">
        <v>0</v>
      </c>
    </row>
    <row r="26" spans="1:20">
      <c r="A26" s="69">
        <v>22</v>
      </c>
      <c r="B26" s="83" t="s">
        <v>180</v>
      </c>
      <c r="C26" s="84"/>
      <c r="D26" s="231">
        <v>0</v>
      </c>
      <c r="E26" s="231">
        <v>0</v>
      </c>
      <c r="F26" s="231">
        <v>661.83600000000001</v>
      </c>
      <c r="G26" s="227">
        <v>0</v>
      </c>
      <c r="H26" s="227">
        <v>0</v>
      </c>
      <c r="I26" s="66">
        <v>0</v>
      </c>
      <c r="J26" s="67">
        <v>0</v>
      </c>
      <c r="K26" s="67"/>
      <c r="L26" s="228">
        <v>0</v>
      </c>
      <c r="M26" s="228">
        <v>0</v>
      </c>
      <c r="N26" s="228">
        <v>0</v>
      </c>
      <c r="O26" s="228">
        <v>0</v>
      </c>
      <c r="P26" s="228">
        <v>0</v>
      </c>
      <c r="Q26" s="228">
        <v>0</v>
      </c>
      <c r="R26" s="228">
        <v>0</v>
      </c>
      <c r="S26" s="228">
        <v>0</v>
      </c>
      <c r="T26" s="228">
        <v>0</v>
      </c>
    </row>
    <row r="27" spans="1:20">
      <c r="A27" s="69">
        <v>23</v>
      </c>
      <c r="B27" s="83" t="s">
        <v>181</v>
      </c>
      <c r="C27" s="84"/>
      <c r="D27" s="231">
        <v>0</v>
      </c>
      <c r="E27" s="231">
        <v>0</v>
      </c>
      <c r="F27" s="231">
        <v>661.83600000000001</v>
      </c>
      <c r="G27" s="227">
        <v>0</v>
      </c>
      <c r="H27" s="227">
        <v>0</v>
      </c>
      <c r="I27" s="66">
        <v>0</v>
      </c>
      <c r="J27" s="67">
        <v>0</v>
      </c>
      <c r="K27" s="67"/>
      <c r="L27" s="228">
        <v>0</v>
      </c>
      <c r="M27" s="228">
        <v>0</v>
      </c>
      <c r="N27" s="228">
        <v>0</v>
      </c>
      <c r="O27" s="228">
        <v>0</v>
      </c>
      <c r="P27" s="228">
        <v>0</v>
      </c>
      <c r="Q27" s="228">
        <v>0</v>
      </c>
      <c r="R27" s="228">
        <v>0</v>
      </c>
      <c r="S27" s="228">
        <v>0</v>
      </c>
      <c r="T27" s="228">
        <v>0</v>
      </c>
    </row>
    <row r="28" spans="1:20">
      <c r="A28" s="69">
        <v>24</v>
      </c>
      <c r="B28" s="83" t="s">
        <v>182</v>
      </c>
      <c r="C28" s="84"/>
      <c r="D28" s="231">
        <v>0</v>
      </c>
      <c r="E28" s="231">
        <v>0</v>
      </c>
      <c r="F28" s="231">
        <v>661.83600000000001</v>
      </c>
      <c r="G28" s="227">
        <v>0</v>
      </c>
      <c r="H28" s="227">
        <v>0</v>
      </c>
      <c r="I28" s="66">
        <v>0</v>
      </c>
      <c r="J28" s="67">
        <v>0</v>
      </c>
      <c r="K28" s="67"/>
      <c r="L28" s="228">
        <v>0</v>
      </c>
      <c r="M28" s="228">
        <v>0</v>
      </c>
      <c r="N28" s="228">
        <v>0</v>
      </c>
      <c r="O28" s="228">
        <v>0</v>
      </c>
      <c r="P28" s="228">
        <v>0</v>
      </c>
      <c r="Q28" s="228">
        <v>0</v>
      </c>
      <c r="R28" s="228">
        <v>0</v>
      </c>
      <c r="S28" s="228">
        <v>0</v>
      </c>
      <c r="T28" s="228">
        <v>0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15.457000000000001</v>
      </c>
      <c r="F29" s="231">
        <v>646.37900000000002</v>
      </c>
      <c r="G29" s="227">
        <v>0</v>
      </c>
      <c r="H29" s="227">
        <v>0</v>
      </c>
      <c r="I29" s="66">
        <v>0</v>
      </c>
      <c r="J29" s="67">
        <v>0</v>
      </c>
      <c r="K29" s="67"/>
      <c r="L29" s="228">
        <v>0</v>
      </c>
      <c r="M29" s="228">
        <v>0</v>
      </c>
      <c r="N29" s="228">
        <v>1776.32</v>
      </c>
      <c r="O29" s="228">
        <v>0</v>
      </c>
      <c r="P29" s="228">
        <v>0</v>
      </c>
      <c r="Q29" s="228">
        <v>0</v>
      </c>
      <c r="R29" s="228">
        <v>0</v>
      </c>
      <c r="S29" s="228">
        <v>0</v>
      </c>
      <c r="T29" s="228">
        <v>1776.32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16.882000000000001</v>
      </c>
      <c r="F30" s="231">
        <v>629.49699999999996</v>
      </c>
      <c r="G30" s="227">
        <v>0</v>
      </c>
      <c r="H30" s="227">
        <v>0</v>
      </c>
      <c r="I30" s="66">
        <v>0</v>
      </c>
      <c r="J30" s="67">
        <v>0</v>
      </c>
      <c r="K30" s="67"/>
      <c r="L30" s="228">
        <v>0</v>
      </c>
      <c r="M30" s="228">
        <v>0</v>
      </c>
      <c r="N30" s="228">
        <v>1940.08</v>
      </c>
      <c r="O30" s="228">
        <v>0</v>
      </c>
      <c r="P30" s="228">
        <v>0</v>
      </c>
      <c r="Q30" s="228">
        <v>0</v>
      </c>
      <c r="R30" s="228">
        <v>0</v>
      </c>
      <c r="S30" s="228">
        <v>0</v>
      </c>
      <c r="T30" s="228">
        <v>1940.08</v>
      </c>
    </row>
    <row r="31" spans="1:20">
      <c r="A31" s="69">
        <v>27</v>
      </c>
      <c r="B31" s="83" t="s">
        <v>185</v>
      </c>
      <c r="C31" s="84"/>
      <c r="D31" s="231">
        <v>0</v>
      </c>
      <c r="E31" s="231">
        <v>14.481</v>
      </c>
      <c r="F31" s="231">
        <v>615.01599999999996</v>
      </c>
      <c r="G31" s="227">
        <v>0</v>
      </c>
      <c r="H31" s="227">
        <v>0</v>
      </c>
      <c r="I31" s="66">
        <v>0</v>
      </c>
      <c r="J31" s="67">
        <v>0</v>
      </c>
      <c r="K31" s="67"/>
      <c r="L31" s="228">
        <v>0</v>
      </c>
      <c r="M31" s="228">
        <v>0</v>
      </c>
      <c r="N31" s="228">
        <v>1664.16</v>
      </c>
      <c r="O31" s="228">
        <v>0</v>
      </c>
      <c r="P31" s="228">
        <v>0</v>
      </c>
      <c r="Q31" s="228">
        <v>0</v>
      </c>
      <c r="R31" s="228">
        <v>0</v>
      </c>
      <c r="S31" s="228">
        <v>0</v>
      </c>
      <c r="T31" s="228">
        <v>1664.16</v>
      </c>
    </row>
    <row r="32" spans="1:20">
      <c r="A32" s="69">
        <v>28</v>
      </c>
      <c r="B32" s="83" t="s">
        <v>186</v>
      </c>
      <c r="C32" s="84"/>
      <c r="D32" s="231">
        <v>0</v>
      </c>
      <c r="E32" s="231">
        <v>42.978000000000002</v>
      </c>
      <c r="F32" s="231">
        <v>572.03800000000001</v>
      </c>
      <c r="G32" s="227">
        <v>0</v>
      </c>
      <c r="H32" s="227">
        <v>0</v>
      </c>
      <c r="I32" s="66">
        <v>0</v>
      </c>
      <c r="J32" s="67">
        <v>0</v>
      </c>
      <c r="K32" s="67"/>
      <c r="L32" s="228">
        <v>0</v>
      </c>
      <c r="M32" s="228">
        <v>0</v>
      </c>
      <c r="N32" s="228">
        <v>4939.03</v>
      </c>
      <c r="O32" s="228">
        <v>0</v>
      </c>
      <c r="P32" s="228">
        <v>0</v>
      </c>
      <c r="Q32" s="228">
        <v>0</v>
      </c>
      <c r="R32" s="228">
        <v>0</v>
      </c>
      <c r="S32" s="228">
        <v>0</v>
      </c>
      <c r="T32" s="228">
        <v>4939.03</v>
      </c>
    </row>
    <row r="33" spans="1:20">
      <c r="A33" s="69">
        <v>29</v>
      </c>
      <c r="B33" s="83" t="s">
        <v>187</v>
      </c>
      <c r="C33" s="84"/>
      <c r="D33" s="231">
        <v>0</v>
      </c>
      <c r="E33" s="231">
        <v>44.828000000000003</v>
      </c>
      <c r="F33" s="231">
        <v>527.21</v>
      </c>
      <c r="G33" s="227">
        <v>0</v>
      </c>
      <c r="H33" s="227">
        <v>0</v>
      </c>
      <c r="I33" s="66">
        <v>0</v>
      </c>
      <c r="J33" s="67">
        <v>0</v>
      </c>
      <c r="K33" s="67"/>
      <c r="L33" s="228">
        <v>0</v>
      </c>
      <c r="M33" s="228">
        <v>0</v>
      </c>
      <c r="N33" s="228">
        <v>5151.63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5151.63</v>
      </c>
    </row>
    <row r="34" spans="1:20">
      <c r="A34" s="69">
        <v>30</v>
      </c>
      <c r="B34" s="83" t="s">
        <v>188</v>
      </c>
      <c r="C34" s="84"/>
      <c r="D34" s="231">
        <v>0</v>
      </c>
      <c r="E34" s="231">
        <v>16.861999999999998</v>
      </c>
      <c r="F34" s="231">
        <v>510.34800000000001</v>
      </c>
      <c r="G34" s="227">
        <v>0</v>
      </c>
      <c r="H34" s="227">
        <v>0</v>
      </c>
      <c r="I34" s="66">
        <v>0</v>
      </c>
      <c r="J34" s="67">
        <v>0</v>
      </c>
      <c r="K34" s="67"/>
      <c r="L34" s="228">
        <v>0</v>
      </c>
      <c r="M34" s="228">
        <v>0</v>
      </c>
      <c r="N34" s="228">
        <v>1937.78</v>
      </c>
      <c r="O34" s="228">
        <v>0</v>
      </c>
      <c r="P34" s="228">
        <v>0</v>
      </c>
      <c r="Q34" s="228">
        <v>0</v>
      </c>
      <c r="R34" s="228">
        <v>0</v>
      </c>
      <c r="S34" s="228">
        <v>0</v>
      </c>
      <c r="T34" s="228">
        <v>1937.78</v>
      </c>
    </row>
    <row r="35" spans="1:20">
      <c r="A35" s="69">
        <v>31</v>
      </c>
      <c r="B35" s="83" t="s">
        <v>189</v>
      </c>
      <c r="C35" s="84"/>
      <c r="D35" s="231">
        <v>0</v>
      </c>
      <c r="E35" s="231">
        <v>13.032</v>
      </c>
      <c r="F35" s="231">
        <v>497.31599999999997</v>
      </c>
      <c r="G35" s="227">
        <v>0</v>
      </c>
      <c r="H35" s="227">
        <v>0</v>
      </c>
      <c r="I35" s="66">
        <v>0</v>
      </c>
      <c r="J35" s="67">
        <v>0</v>
      </c>
      <c r="K35" s="67"/>
      <c r="L35" s="228">
        <v>0</v>
      </c>
      <c r="M35" s="228">
        <v>0</v>
      </c>
      <c r="N35" s="228">
        <v>1497.64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1497.64</v>
      </c>
    </row>
    <row r="36" spans="1:20">
      <c r="D36" s="76">
        <v>0</v>
      </c>
      <c r="E36" s="76">
        <v>164.52</v>
      </c>
      <c r="F36" s="76">
        <v>19881.867999999995</v>
      </c>
      <c r="G36" s="76">
        <v>0</v>
      </c>
      <c r="H36" s="76">
        <v>0</v>
      </c>
      <c r="I36" s="76">
        <v>0</v>
      </c>
      <c r="J36" s="77">
        <v>0</v>
      </c>
      <c r="K36" s="77">
        <v>0</v>
      </c>
      <c r="L36" s="229">
        <v>0</v>
      </c>
      <c r="M36" s="229">
        <v>0</v>
      </c>
      <c r="N36" s="229">
        <v>18906.64</v>
      </c>
      <c r="O36" s="229">
        <v>1007760</v>
      </c>
      <c r="P36" s="229">
        <v>284561.42</v>
      </c>
      <c r="Q36" s="229">
        <v>0</v>
      </c>
      <c r="R36" s="229">
        <v>0</v>
      </c>
      <c r="S36" s="229">
        <v>0</v>
      </c>
      <c r="T36" s="229">
        <v>1311228.06</v>
      </c>
    </row>
    <row r="37" spans="1:20">
      <c r="R37" s="79"/>
      <c r="S37" s="79"/>
      <c r="T37" s="230">
        <v>1599698.23</v>
      </c>
    </row>
    <row r="42" spans="1:20">
      <c r="J42" s="51">
        <v>4377.8679999999949</v>
      </c>
      <c r="K42" s="232">
        <v>15504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1E53-AD85-4C08-A9A0-ECB2A99730C4}">
  <sheetPr>
    <pageSetUpPr fitToPage="1"/>
  </sheetPr>
  <dimension ref="A1:T37"/>
  <sheetViews>
    <sheetView topLeftCell="A17" workbookViewId="0">
      <selection activeCell="T37" sqref="T37"/>
    </sheetView>
  </sheetViews>
  <sheetFormatPr defaultRowHeight="15"/>
  <cols>
    <col min="1" max="3" width="9.140625" style="51"/>
    <col min="4" max="4" width="11.85546875" style="51" customWidth="1"/>
    <col min="5" max="5" width="12.28515625" style="51" customWidth="1"/>
    <col min="6" max="6" width="13.140625" style="51" customWidth="1"/>
    <col min="7" max="7" width="11.42578125" style="51" customWidth="1"/>
    <col min="8" max="8" width="10.7109375" style="51" customWidth="1"/>
    <col min="9" max="9" width="10.5703125" style="51" bestFit="1" customWidth="1"/>
    <col min="10" max="12" width="9.140625" style="51"/>
    <col min="13" max="13" width="13.140625" style="51" customWidth="1"/>
    <col min="14" max="14" width="13.5703125" style="51" customWidth="1"/>
    <col min="15" max="15" width="14.5703125" style="51" customWidth="1"/>
    <col min="16" max="16" width="14.5703125" style="51" bestFit="1" customWidth="1"/>
    <col min="17" max="17" width="15" style="51" customWidth="1"/>
    <col min="18" max="18" width="13.28515625" style="51" customWidth="1"/>
    <col min="19" max="19" width="11.7109375" style="51" customWidth="1"/>
    <col min="20" max="20" width="24.28515625" style="51" customWidth="1"/>
    <col min="21" max="16384" width="9.140625" style="51"/>
  </cols>
  <sheetData>
    <row r="1" spans="1:20">
      <c r="I1" s="52"/>
    </row>
    <row r="2" spans="1:20" ht="28.9" customHeight="1">
      <c r="A2" s="82" t="s">
        <v>214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20" ht="28.9" customHeight="1">
      <c r="A3" s="183" t="s">
        <v>0</v>
      </c>
      <c r="B3" s="184" t="s">
        <v>1</v>
      </c>
      <c r="C3" s="185"/>
      <c r="D3" s="183" t="s">
        <v>2</v>
      </c>
      <c r="E3" s="183" t="s">
        <v>3</v>
      </c>
      <c r="F3" s="186" t="s">
        <v>4</v>
      </c>
      <c r="G3" s="183" t="s">
        <v>215</v>
      </c>
      <c r="H3" s="183" t="s">
        <v>216</v>
      </c>
      <c r="I3" s="183" t="s">
        <v>7</v>
      </c>
      <c r="J3" s="183" t="s">
        <v>8</v>
      </c>
      <c r="K3" s="183" t="s">
        <v>9</v>
      </c>
      <c r="L3" s="183" t="s">
        <v>10</v>
      </c>
      <c r="M3" s="183" t="s">
        <v>11</v>
      </c>
      <c r="N3" s="183" t="s">
        <v>12</v>
      </c>
      <c r="O3" s="183" t="s">
        <v>13</v>
      </c>
      <c r="P3" s="183" t="s">
        <v>14</v>
      </c>
      <c r="Q3" s="183" t="s">
        <v>15</v>
      </c>
      <c r="R3" s="183" t="s">
        <v>16</v>
      </c>
      <c r="S3" s="183" t="s">
        <v>17</v>
      </c>
      <c r="T3" s="183" t="s">
        <v>18</v>
      </c>
    </row>
    <row r="4" spans="1:20">
      <c r="A4" s="57"/>
      <c r="B4" s="58"/>
      <c r="C4" s="59"/>
      <c r="D4" s="57"/>
      <c r="E4" s="57"/>
      <c r="F4" s="60"/>
      <c r="G4" s="57"/>
      <c r="H4" s="57"/>
      <c r="I4" s="57"/>
      <c r="J4" s="57"/>
      <c r="K4" s="61"/>
      <c r="L4" s="61"/>
      <c r="M4" s="57"/>
      <c r="N4" s="57"/>
      <c r="O4" s="57"/>
      <c r="P4" s="57"/>
      <c r="Q4" s="57"/>
      <c r="R4" s="57"/>
      <c r="S4" s="57"/>
      <c r="T4" s="57"/>
    </row>
    <row r="5" spans="1:20">
      <c r="A5" s="69">
        <v>1</v>
      </c>
      <c r="B5" s="83" t="s">
        <v>159</v>
      </c>
      <c r="C5" s="84"/>
      <c r="D5" s="231">
        <v>17.010999999999999</v>
      </c>
      <c r="E5" s="231">
        <v>52.578000000000003</v>
      </c>
      <c r="F5" s="231">
        <v>2421.9430000000002</v>
      </c>
      <c r="G5" s="227">
        <v>0</v>
      </c>
      <c r="H5" s="227">
        <v>5.4109999999999978</v>
      </c>
      <c r="I5" s="66">
        <v>0</v>
      </c>
      <c r="J5" s="67">
        <v>0</v>
      </c>
      <c r="K5" s="67"/>
      <c r="L5" s="228">
        <v>0</v>
      </c>
      <c r="M5" s="228">
        <v>2551.65</v>
      </c>
      <c r="N5" s="228">
        <v>7886.7</v>
      </c>
      <c r="O5" s="228">
        <v>157426.29999999999</v>
      </c>
      <c r="P5" s="228">
        <v>0</v>
      </c>
      <c r="Q5" s="228">
        <v>811.65</v>
      </c>
      <c r="R5" s="228">
        <v>0</v>
      </c>
      <c r="S5" s="228">
        <v>0</v>
      </c>
      <c r="T5" s="228">
        <v>168676.3</v>
      </c>
    </row>
    <row r="6" spans="1:20">
      <c r="A6" s="69">
        <v>2</v>
      </c>
      <c r="B6" s="83" t="s">
        <v>160</v>
      </c>
      <c r="C6" s="84"/>
      <c r="D6" s="231">
        <v>19.463999999999999</v>
      </c>
      <c r="E6" s="231">
        <v>26.829000000000001</v>
      </c>
      <c r="F6" s="231">
        <v>2414.578</v>
      </c>
      <c r="G6" s="227">
        <v>0</v>
      </c>
      <c r="H6" s="227">
        <v>28.707000000000001</v>
      </c>
      <c r="I6" s="66">
        <v>0</v>
      </c>
      <c r="J6" s="67">
        <v>0</v>
      </c>
      <c r="K6" s="67"/>
      <c r="L6" s="228">
        <v>0</v>
      </c>
      <c r="M6" s="228">
        <v>2919.6</v>
      </c>
      <c r="N6" s="228">
        <v>4024.35</v>
      </c>
      <c r="O6" s="228">
        <v>156947.57</v>
      </c>
      <c r="P6" s="228">
        <v>0</v>
      </c>
      <c r="Q6" s="228">
        <v>4306.05</v>
      </c>
      <c r="R6" s="228">
        <v>0</v>
      </c>
      <c r="S6" s="228">
        <v>0</v>
      </c>
      <c r="T6" s="228">
        <v>168197.57</v>
      </c>
    </row>
    <row r="7" spans="1:20">
      <c r="A7" s="69">
        <v>3</v>
      </c>
      <c r="B7" s="83" t="s">
        <v>161</v>
      </c>
      <c r="C7" s="84"/>
      <c r="D7" s="231">
        <v>0</v>
      </c>
      <c r="E7" s="231">
        <v>42.075000000000003</v>
      </c>
      <c r="F7" s="231">
        <v>2372.5030000000002</v>
      </c>
      <c r="G7" s="227">
        <v>0</v>
      </c>
      <c r="H7" s="227">
        <v>32.924999999999997</v>
      </c>
      <c r="I7" s="66">
        <v>0</v>
      </c>
      <c r="J7" s="67">
        <v>0</v>
      </c>
      <c r="K7" s="67"/>
      <c r="L7" s="228">
        <v>0</v>
      </c>
      <c r="M7" s="228">
        <v>0</v>
      </c>
      <c r="N7" s="228">
        <v>6311.25</v>
      </c>
      <c r="O7" s="228">
        <v>154212.70000000001</v>
      </c>
      <c r="P7" s="228">
        <v>0</v>
      </c>
      <c r="Q7" s="228">
        <v>4938.75</v>
      </c>
      <c r="R7" s="228">
        <v>0</v>
      </c>
      <c r="S7" s="228">
        <v>0</v>
      </c>
      <c r="T7" s="228">
        <v>165462.70000000001</v>
      </c>
    </row>
    <row r="8" spans="1:20">
      <c r="A8" s="69">
        <v>4</v>
      </c>
      <c r="B8" s="83" t="s">
        <v>162</v>
      </c>
      <c r="C8" s="84"/>
      <c r="D8" s="231">
        <v>0</v>
      </c>
      <c r="E8" s="231">
        <v>20.94</v>
      </c>
      <c r="F8" s="231">
        <v>2351.5630000000001</v>
      </c>
      <c r="G8" s="227">
        <v>0</v>
      </c>
      <c r="H8" s="227">
        <v>54.06</v>
      </c>
      <c r="I8" s="66">
        <v>0</v>
      </c>
      <c r="J8" s="67">
        <v>0</v>
      </c>
      <c r="K8" s="67"/>
      <c r="L8" s="228">
        <v>0</v>
      </c>
      <c r="M8" s="228">
        <v>0</v>
      </c>
      <c r="N8" s="228">
        <v>3141</v>
      </c>
      <c r="O8" s="228">
        <v>152851.6</v>
      </c>
      <c r="P8" s="228">
        <v>0</v>
      </c>
      <c r="Q8" s="228">
        <v>8109</v>
      </c>
      <c r="R8" s="228">
        <v>0</v>
      </c>
      <c r="S8" s="228">
        <v>0</v>
      </c>
      <c r="T8" s="228">
        <v>164101.6</v>
      </c>
    </row>
    <row r="9" spans="1:20">
      <c r="A9" s="69">
        <v>5</v>
      </c>
      <c r="B9" s="83" t="s">
        <v>163</v>
      </c>
      <c r="C9" s="84"/>
      <c r="D9" s="231">
        <v>0</v>
      </c>
      <c r="E9" s="231">
        <v>32.354999999999997</v>
      </c>
      <c r="F9" s="231">
        <v>2319.2080000000001</v>
      </c>
      <c r="G9" s="227">
        <v>0</v>
      </c>
      <c r="H9" s="227">
        <v>42.645000000000003</v>
      </c>
      <c r="I9" s="66">
        <v>0</v>
      </c>
      <c r="J9" s="67">
        <v>0</v>
      </c>
      <c r="K9" s="67"/>
      <c r="L9" s="228">
        <v>0</v>
      </c>
      <c r="M9" s="228">
        <v>0</v>
      </c>
      <c r="N9" s="228">
        <v>4853.25</v>
      </c>
      <c r="O9" s="228">
        <v>150748.51999999999</v>
      </c>
      <c r="P9" s="228">
        <v>0</v>
      </c>
      <c r="Q9" s="228">
        <v>6396.75</v>
      </c>
      <c r="R9" s="228">
        <v>0</v>
      </c>
      <c r="S9" s="228">
        <v>0</v>
      </c>
      <c r="T9" s="228">
        <v>161998.51999999999</v>
      </c>
    </row>
    <row r="10" spans="1:20">
      <c r="A10" s="69">
        <v>6</v>
      </c>
      <c r="B10" s="83" t="s">
        <v>164</v>
      </c>
      <c r="C10" s="84"/>
      <c r="D10" s="231">
        <v>0</v>
      </c>
      <c r="E10" s="231">
        <v>21.206</v>
      </c>
      <c r="F10" s="231">
        <v>2298.002</v>
      </c>
      <c r="G10" s="227">
        <v>0</v>
      </c>
      <c r="H10" s="227">
        <v>53.793999999999997</v>
      </c>
      <c r="I10" s="66">
        <v>0</v>
      </c>
      <c r="J10" s="67">
        <v>0</v>
      </c>
      <c r="K10" s="67"/>
      <c r="L10" s="228">
        <v>0</v>
      </c>
      <c r="M10" s="228">
        <v>0</v>
      </c>
      <c r="N10" s="228">
        <v>3180.9</v>
      </c>
      <c r="O10" s="228">
        <v>149370.13</v>
      </c>
      <c r="P10" s="228">
        <v>0</v>
      </c>
      <c r="Q10" s="228">
        <v>8069.1</v>
      </c>
      <c r="R10" s="228">
        <v>0</v>
      </c>
      <c r="S10" s="228">
        <v>0</v>
      </c>
      <c r="T10" s="228">
        <v>160620.13</v>
      </c>
    </row>
    <row r="11" spans="1:20">
      <c r="A11" s="69">
        <v>7</v>
      </c>
      <c r="B11" s="83" t="s">
        <v>165</v>
      </c>
      <c r="C11" s="84"/>
      <c r="D11" s="231">
        <v>0</v>
      </c>
      <c r="E11" s="231">
        <v>38.723999999999997</v>
      </c>
      <c r="F11" s="231">
        <v>2259.2779999999998</v>
      </c>
      <c r="G11" s="227">
        <v>0</v>
      </c>
      <c r="H11" s="227">
        <v>36.276000000000003</v>
      </c>
      <c r="I11" s="66">
        <v>0</v>
      </c>
      <c r="J11" s="67">
        <v>0</v>
      </c>
      <c r="K11" s="67"/>
      <c r="L11" s="228">
        <v>0</v>
      </c>
      <c r="M11" s="228">
        <v>0</v>
      </c>
      <c r="N11" s="228">
        <v>5808.6</v>
      </c>
      <c r="O11" s="228">
        <v>146853.07</v>
      </c>
      <c r="P11" s="228">
        <v>0</v>
      </c>
      <c r="Q11" s="228">
        <v>5441.4</v>
      </c>
      <c r="R11" s="228">
        <v>0</v>
      </c>
      <c r="S11" s="228">
        <v>0</v>
      </c>
      <c r="T11" s="228">
        <v>158103.07</v>
      </c>
    </row>
    <row r="12" spans="1:20">
      <c r="A12" s="69">
        <v>8</v>
      </c>
      <c r="B12" s="83" t="s">
        <v>166</v>
      </c>
      <c r="C12" s="84"/>
      <c r="D12" s="231">
        <v>7.1070000000000002</v>
      </c>
      <c r="E12" s="231">
        <v>11.361000000000001</v>
      </c>
      <c r="F12" s="231">
        <v>2255.0239999999999</v>
      </c>
      <c r="G12" s="227">
        <v>0</v>
      </c>
      <c r="H12" s="227">
        <v>56.531999999999996</v>
      </c>
      <c r="I12" s="66">
        <v>0</v>
      </c>
      <c r="J12" s="67">
        <v>0</v>
      </c>
      <c r="K12" s="67"/>
      <c r="L12" s="228">
        <v>0</v>
      </c>
      <c r="M12" s="228">
        <v>1066.05</v>
      </c>
      <c r="N12" s="228">
        <v>1704.15</v>
      </c>
      <c r="O12" s="228">
        <v>146576.56</v>
      </c>
      <c r="P12" s="228">
        <v>0</v>
      </c>
      <c r="Q12" s="228">
        <v>8479.7999999999993</v>
      </c>
      <c r="R12" s="228">
        <v>0</v>
      </c>
      <c r="S12" s="228">
        <v>0</v>
      </c>
      <c r="T12" s="228">
        <v>157826.56</v>
      </c>
    </row>
    <row r="13" spans="1:20">
      <c r="A13" s="69">
        <v>9</v>
      </c>
      <c r="B13" s="83" t="s">
        <v>167</v>
      </c>
      <c r="C13" s="84"/>
      <c r="D13" s="231">
        <v>7.3289999999999997</v>
      </c>
      <c r="E13" s="231">
        <v>19.582000000000001</v>
      </c>
      <c r="F13" s="231">
        <v>2242.7710000000002</v>
      </c>
      <c r="G13" s="227">
        <v>0</v>
      </c>
      <c r="H13" s="227">
        <v>48.088999999999999</v>
      </c>
      <c r="I13" s="66">
        <v>0</v>
      </c>
      <c r="J13" s="67">
        <v>0</v>
      </c>
      <c r="K13" s="67"/>
      <c r="L13" s="228">
        <v>0</v>
      </c>
      <c r="M13" s="228">
        <v>1099.3499999999999</v>
      </c>
      <c r="N13" s="228">
        <v>2937.3</v>
      </c>
      <c r="O13" s="228">
        <v>145780.12</v>
      </c>
      <c r="P13" s="228">
        <v>0</v>
      </c>
      <c r="Q13" s="228">
        <v>7213.35</v>
      </c>
      <c r="R13" s="228">
        <v>0</v>
      </c>
      <c r="S13" s="228">
        <v>0</v>
      </c>
      <c r="T13" s="228">
        <v>157030.12</v>
      </c>
    </row>
    <row r="14" spans="1:20">
      <c r="A14" s="69">
        <v>10</v>
      </c>
      <c r="B14" s="83" t="s">
        <v>168</v>
      </c>
      <c r="C14" s="84"/>
      <c r="D14" s="231">
        <v>8.0129999999999999</v>
      </c>
      <c r="E14" s="231">
        <v>27.89</v>
      </c>
      <c r="F14" s="231">
        <v>2222.8939999999998</v>
      </c>
      <c r="G14" s="227">
        <v>0</v>
      </c>
      <c r="H14" s="227">
        <v>39.097000000000001</v>
      </c>
      <c r="I14" s="66">
        <v>0</v>
      </c>
      <c r="J14" s="67">
        <v>0</v>
      </c>
      <c r="K14" s="67"/>
      <c r="L14" s="228">
        <v>0</v>
      </c>
      <c r="M14" s="228">
        <v>1201.95</v>
      </c>
      <c r="N14" s="228">
        <v>4183.5</v>
      </c>
      <c r="O14" s="228">
        <v>144488.10999999999</v>
      </c>
      <c r="P14" s="228">
        <v>0</v>
      </c>
      <c r="Q14" s="228">
        <v>5864.55</v>
      </c>
      <c r="R14" s="228">
        <v>0</v>
      </c>
      <c r="S14" s="228">
        <v>0</v>
      </c>
      <c r="T14" s="228">
        <v>155738.10999999999</v>
      </c>
    </row>
    <row r="15" spans="1:20">
      <c r="A15" s="69">
        <v>11</v>
      </c>
      <c r="B15" s="83" t="s">
        <v>169</v>
      </c>
      <c r="C15" s="84"/>
      <c r="D15" s="231">
        <v>0</v>
      </c>
      <c r="E15" s="231">
        <v>51.859000000000002</v>
      </c>
      <c r="F15" s="231">
        <v>2171.0349999999999</v>
      </c>
      <c r="G15" s="227">
        <v>0</v>
      </c>
      <c r="H15" s="227">
        <v>23.140999999999998</v>
      </c>
      <c r="I15" s="66">
        <v>0</v>
      </c>
      <c r="J15" s="67">
        <v>0</v>
      </c>
      <c r="K15" s="67"/>
      <c r="L15" s="228">
        <v>0</v>
      </c>
      <c r="M15" s="228">
        <v>0</v>
      </c>
      <c r="N15" s="228">
        <v>7778.85</v>
      </c>
      <c r="O15" s="228">
        <v>141117.28</v>
      </c>
      <c r="P15" s="228">
        <v>0</v>
      </c>
      <c r="Q15" s="228">
        <v>3471.15</v>
      </c>
      <c r="R15" s="228">
        <v>0</v>
      </c>
      <c r="S15" s="228">
        <v>0</v>
      </c>
      <c r="T15" s="228">
        <v>152367.28</v>
      </c>
    </row>
    <row r="16" spans="1:20">
      <c r="A16" s="69">
        <v>12</v>
      </c>
      <c r="B16" s="83" t="s">
        <v>170</v>
      </c>
      <c r="C16" s="84"/>
      <c r="D16" s="231">
        <v>0</v>
      </c>
      <c r="E16" s="231">
        <v>0</v>
      </c>
      <c r="F16" s="231">
        <v>2171.0349999999999</v>
      </c>
      <c r="G16" s="227">
        <v>0</v>
      </c>
      <c r="H16" s="227">
        <v>75</v>
      </c>
      <c r="I16" s="66">
        <v>0</v>
      </c>
      <c r="J16" s="67">
        <v>0</v>
      </c>
      <c r="K16" s="72"/>
      <c r="L16" s="228">
        <v>0</v>
      </c>
      <c r="M16" s="228">
        <v>0</v>
      </c>
      <c r="N16" s="228">
        <v>0</v>
      </c>
      <c r="O16" s="228">
        <v>141117.28</v>
      </c>
      <c r="P16" s="228">
        <v>0</v>
      </c>
      <c r="Q16" s="228">
        <v>11250</v>
      </c>
      <c r="R16" s="228">
        <v>0</v>
      </c>
      <c r="S16" s="228">
        <v>0</v>
      </c>
      <c r="T16" s="228">
        <v>152367.28</v>
      </c>
    </row>
    <row r="17" spans="1:20">
      <c r="A17" s="69">
        <v>13</v>
      </c>
      <c r="B17" s="83" t="s">
        <v>171</v>
      </c>
      <c r="C17" s="84"/>
      <c r="D17" s="231">
        <v>0</v>
      </c>
      <c r="E17" s="231">
        <v>0</v>
      </c>
      <c r="F17" s="231">
        <v>2171.0349999999999</v>
      </c>
      <c r="G17" s="227">
        <v>0</v>
      </c>
      <c r="H17" s="227">
        <v>75</v>
      </c>
      <c r="I17" s="66">
        <v>0</v>
      </c>
      <c r="J17" s="67">
        <v>0</v>
      </c>
      <c r="K17" s="67"/>
      <c r="L17" s="228">
        <v>0</v>
      </c>
      <c r="M17" s="228">
        <v>0</v>
      </c>
      <c r="N17" s="228">
        <v>0</v>
      </c>
      <c r="O17" s="228">
        <v>141117.28</v>
      </c>
      <c r="P17" s="228">
        <v>0</v>
      </c>
      <c r="Q17" s="228">
        <v>11250</v>
      </c>
      <c r="R17" s="228">
        <v>0</v>
      </c>
      <c r="S17" s="228">
        <v>0</v>
      </c>
      <c r="T17" s="228">
        <v>152367.28</v>
      </c>
    </row>
    <row r="18" spans="1:20">
      <c r="A18" s="69">
        <v>14</v>
      </c>
      <c r="B18" s="83" t="s">
        <v>172</v>
      </c>
      <c r="C18" s="84"/>
      <c r="D18" s="231">
        <v>0</v>
      </c>
      <c r="E18" s="231">
        <v>44.512</v>
      </c>
      <c r="F18" s="231">
        <v>2126.5230000000001</v>
      </c>
      <c r="G18" s="227">
        <v>0</v>
      </c>
      <c r="H18" s="227">
        <v>30.488</v>
      </c>
      <c r="I18" s="66">
        <v>0</v>
      </c>
      <c r="J18" s="67">
        <v>0</v>
      </c>
      <c r="K18" s="67"/>
      <c r="L18" s="228">
        <v>0</v>
      </c>
      <c r="M18" s="228">
        <v>0</v>
      </c>
      <c r="N18" s="228">
        <v>6676.8</v>
      </c>
      <c r="O18" s="228">
        <v>138224</v>
      </c>
      <c r="P18" s="228">
        <v>0</v>
      </c>
      <c r="Q18" s="228">
        <v>4573.2</v>
      </c>
      <c r="R18" s="228">
        <v>0</v>
      </c>
      <c r="S18" s="228">
        <v>0</v>
      </c>
      <c r="T18" s="228">
        <v>149474</v>
      </c>
    </row>
    <row r="19" spans="1:20">
      <c r="A19" s="69">
        <v>15</v>
      </c>
      <c r="B19" s="83" t="s">
        <v>173</v>
      </c>
      <c r="C19" s="84"/>
      <c r="D19" s="231">
        <v>0</v>
      </c>
      <c r="E19" s="231">
        <v>19.658999999999999</v>
      </c>
      <c r="F19" s="231">
        <v>2106.864</v>
      </c>
      <c r="G19" s="227">
        <v>0</v>
      </c>
      <c r="H19" s="227">
        <v>55.341000000000001</v>
      </c>
      <c r="I19" s="66">
        <v>0</v>
      </c>
      <c r="J19" s="67">
        <v>0</v>
      </c>
      <c r="K19" s="67"/>
      <c r="L19" s="228">
        <v>0</v>
      </c>
      <c r="M19" s="228">
        <v>0</v>
      </c>
      <c r="N19" s="228">
        <v>2948.85</v>
      </c>
      <c r="O19" s="228">
        <v>136946.16</v>
      </c>
      <c r="P19" s="228">
        <v>0</v>
      </c>
      <c r="Q19" s="228">
        <v>8301.15</v>
      </c>
      <c r="R19" s="228">
        <v>0</v>
      </c>
      <c r="S19" s="228">
        <v>0</v>
      </c>
      <c r="T19" s="228">
        <v>148196.16</v>
      </c>
    </row>
    <row r="20" spans="1:20">
      <c r="A20" s="69">
        <v>16</v>
      </c>
      <c r="B20" s="83" t="s">
        <v>174</v>
      </c>
      <c r="C20" s="84"/>
      <c r="D20" s="231">
        <v>16.376999999999999</v>
      </c>
      <c r="E20" s="231">
        <v>19.22</v>
      </c>
      <c r="F20" s="231">
        <v>2104.0210000000002</v>
      </c>
      <c r="G20" s="227">
        <v>0</v>
      </c>
      <c r="H20" s="227">
        <v>39.403000000000006</v>
      </c>
      <c r="I20" s="66">
        <v>0</v>
      </c>
      <c r="J20" s="67">
        <v>0</v>
      </c>
      <c r="K20" s="67"/>
      <c r="L20" s="228">
        <v>0</v>
      </c>
      <c r="M20" s="228">
        <v>2456.5500000000002</v>
      </c>
      <c r="N20" s="228">
        <v>2883</v>
      </c>
      <c r="O20" s="228">
        <v>136761.37</v>
      </c>
      <c r="P20" s="228">
        <v>0</v>
      </c>
      <c r="Q20" s="228">
        <v>5910.45</v>
      </c>
      <c r="R20" s="228">
        <v>0</v>
      </c>
      <c r="S20" s="228">
        <v>0</v>
      </c>
      <c r="T20" s="228">
        <v>148011.37</v>
      </c>
    </row>
    <row r="21" spans="1:20">
      <c r="A21" s="69">
        <v>17</v>
      </c>
      <c r="B21" s="83" t="s">
        <v>175</v>
      </c>
      <c r="C21" s="84"/>
      <c r="D21" s="231">
        <v>0</v>
      </c>
      <c r="E21" s="231">
        <v>78.933999999999997</v>
      </c>
      <c r="F21" s="231">
        <v>2025.087</v>
      </c>
      <c r="G21" s="227">
        <v>0</v>
      </c>
      <c r="H21" s="227">
        <v>0</v>
      </c>
      <c r="I21" s="66">
        <v>0</v>
      </c>
      <c r="J21" s="67">
        <v>0</v>
      </c>
      <c r="K21" s="67"/>
      <c r="L21" s="228">
        <v>0</v>
      </c>
      <c r="M21" s="228">
        <v>0</v>
      </c>
      <c r="N21" s="228">
        <v>11840.1</v>
      </c>
      <c r="O21" s="228">
        <v>131630.66</v>
      </c>
      <c r="P21" s="228">
        <v>0</v>
      </c>
      <c r="Q21" s="228">
        <v>0</v>
      </c>
      <c r="R21" s="228">
        <v>0</v>
      </c>
      <c r="S21" s="228">
        <v>0</v>
      </c>
      <c r="T21" s="228">
        <v>143470.76</v>
      </c>
    </row>
    <row r="22" spans="1:20">
      <c r="A22" s="69">
        <v>18</v>
      </c>
      <c r="B22" s="83" t="s">
        <v>176</v>
      </c>
      <c r="C22" s="84"/>
      <c r="D22" s="231">
        <v>0</v>
      </c>
      <c r="E22" s="231">
        <v>0</v>
      </c>
      <c r="F22" s="231">
        <v>2025.087</v>
      </c>
      <c r="G22" s="227">
        <v>0</v>
      </c>
      <c r="H22" s="227">
        <v>75</v>
      </c>
      <c r="I22" s="66">
        <v>0</v>
      </c>
      <c r="J22" s="67">
        <v>0</v>
      </c>
      <c r="K22" s="67"/>
      <c r="L22" s="228">
        <v>0</v>
      </c>
      <c r="M22" s="228">
        <v>0</v>
      </c>
      <c r="N22" s="228">
        <v>0</v>
      </c>
      <c r="O22" s="228">
        <v>131630.66</v>
      </c>
      <c r="P22" s="228">
        <v>0</v>
      </c>
      <c r="Q22" s="228">
        <v>11250</v>
      </c>
      <c r="R22" s="228">
        <v>0</v>
      </c>
      <c r="S22" s="228">
        <v>0</v>
      </c>
      <c r="T22" s="228">
        <v>142880.66</v>
      </c>
    </row>
    <row r="23" spans="1:20">
      <c r="A23" s="69">
        <v>19</v>
      </c>
      <c r="B23" s="83" t="s">
        <v>177</v>
      </c>
      <c r="C23" s="84"/>
      <c r="D23" s="231">
        <v>0</v>
      </c>
      <c r="E23" s="231">
        <v>0</v>
      </c>
      <c r="F23" s="231">
        <v>2025.087</v>
      </c>
      <c r="G23" s="227">
        <v>0</v>
      </c>
      <c r="H23" s="227">
        <v>75</v>
      </c>
      <c r="I23" s="66">
        <v>0</v>
      </c>
      <c r="J23" s="67">
        <v>0</v>
      </c>
      <c r="K23" s="67"/>
      <c r="L23" s="228">
        <v>0</v>
      </c>
      <c r="M23" s="228">
        <v>0</v>
      </c>
      <c r="N23" s="228">
        <v>0</v>
      </c>
      <c r="O23" s="228">
        <v>131630.66</v>
      </c>
      <c r="P23" s="228">
        <v>0</v>
      </c>
      <c r="Q23" s="228">
        <v>11250</v>
      </c>
      <c r="R23" s="228">
        <v>0</v>
      </c>
      <c r="S23" s="228">
        <v>0</v>
      </c>
      <c r="T23" s="228">
        <v>142880.66</v>
      </c>
    </row>
    <row r="24" spans="1:20">
      <c r="A24" s="69">
        <v>20</v>
      </c>
      <c r="B24" s="83" t="s">
        <v>178</v>
      </c>
      <c r="C24" s="84"/>
      <c r="D24" s="231">
        <v>47.335000000000001</v>
      </c>
      <c r="E24" s="231">
        <v>54.212000000000003</v>
      </c>
      <c r="F24" s="231">
        <v>2018.21</v>
      </c>
      <c r="G24" s="227">
        <v>0</v>
      </c>
      <c r="H24" s="227">
        <v>0</v>
      </c>
      <c r="I24" s="66">
        <v>0</v>
      </c>
      <c r="J24" s="67">
        <v>0</v>
      </c>
      <c r="K24" s="67"/>
      <c r="L24" s="228">
        <v>0</v>
      </c>
      <c r="M24" s="228">
        <v>7100.25</v>
      </c>
      <c r="N24" s="228">
        <v>8131.8</v>
      </c>
      <c r="O24" s="228">
        <v>131183.65</v>
      </c>
      <c r="P24" s="228">
        <v>0</v>
      </c>
      <c r="Q24" s="228">
        <v>0</v>
      </c>
      <c r="R24" s="228">
        <v>0</v>
      </c>
      <c r="S24" s="228">
        <v>0</v>
      </c>
      <c r="T24" s="228">
        <v>146415.70000000001</v>
      </c>
    </row>
    <row r="25" spans="1:20">
      <c r="A25" s="69">
        <v>21</v>
      </c>
      <c r="B25" s="83" t="s">
        <v>179</v>
      </c>
      <c r="C25" s="84"/>
      <c r="D25" s="231">
        <v>40.841000000000001</v>
      </c>
      <c r="E25" s="231">
        <v>0</v>
      </c>
      <c r="F25" s="231">
        <v>2059.0509999999999</v>
      </c>
      <c r="G25" s="227">
        <v>0</v>
      </c>
      <c r="H25" s="227">
        <v>34.158999999999999</v>
      </c>
      <c r="I25" s="66">
        <v>0</v>
      </c>
      <c r="J25" s="67">
        <v>0</v>
      </c>
      <c r="K25" s="67"/>
      <c r="L25" s="228">
        <v>0</v>
      </c>
      <c r="M25" s="228">
        <v>6126.15</v>
      </c>
      <c r="N25" s="228">
        <v>0</v>
      </c>
      <c r="O25" s="228">
        <v>133838.32</v>
      </c>
      <c r="P25" s="228">
        <v>0</v>
      </c>
      <c r="Q25" s="228">
        <v>5123.8500000000004</v>
      </c>
      <c r="R25" s="228">
        <v>0</v>
      </c>
      <c r="S25" s="228">
        <v>0</v>
      </c>
      <c r="T25" s="228">
        <v>145088.32000000001</v>
      </c>
    </row>
    <row r="26" spans="1:20">
      <c r="A26" s="69">
        <v>22</v>
      </c>
      <c r="B26" s="83" t="s">
        <v>180</v>
      </c>
      <c r="C26" s="84"/>
      <c r="D26" s="231">
        <v>25.74</v>
      </c>
      <c r="E26" s="231">
        <v>0</v>
      </c>
      <c r="F26" s="231">
        <v>2084.7910000000002</v>
      </c>
      <c r="G26" s="227">
        <v>0</v>
      </c>
      <c r="H26" s="227">
        <v>49.260000000000005</v>
      </c>
      <c r="I26" s="66">
        <v>0</v>
      </c>
      <c r="J26" s="67">
        <v>0</v>
      </c>
      <c r="K26" s="67"/>
      <c r="L26" s="228">
        <v>0</v>
      </c>
      <c r="M26" s="228">
        <v>3861</v>
      </c>
      <c r="N26" s="228">
        <v>0</v>
      </c>
      <c r="O26" s="228">
        <v>135511.42000000001</v>
      </c>
      <c r="P26" s="228">
        <v>0</v>
      </c>
      <c r="Q26" s="228">
        <v>7389</v>
      </c>
      <c r="R26" s="228">
        <v>0</v>
      </c>
      <c r="S26" s="228">
        <v>0</v>
      </c>
      <c r="T26" s="228">
        <v>146761.42000000001</v>
      </c>
    </row>
    <row r="27" spans="1:20">
      <c r="A27" s="69">
        <v>23</v>
      </c>
      <c r="B27" s="83" t="s">
        <v>181</v>
      </c>
      <c r="C27" s="84"/>
      <c r="D27" s="231">
        <v>16.507000000000001</v>
      </c>
      <c r="E27" s="231">
        <v>35.262999999999998</v>
      </c>
      <c r="F27" s="231">
        <v>2066.0349999999999</v>
      </c>
      <c r="G27" s="227">
        <v>0</v>
      </c>
      <c r="H27" s="227">
        <v>23.23</v>
      </c>
      <c r="I27" s="66">
        <v>0</v>
      </c>
      <c r="J27" s="67">
        <v>0</v>
      </c>
      <c r="K27" s="67"/>
      <c r="L27" s="228">
        <v>0</v>
      </c>
      <c r="M27" s="228">
        <v>2476.0500000000002</v>
      </c>
      <c r="N27" s="228">
        <v>5289.45</v>
      </c>
      <c r="O27" s="228">
        <v>134292.28</v>
      </c>
      <c r="P27" s="228">
        <v>0</v>
      </c>
      <c r="Q27" s="228">
        <v>3484.5</v>
      </c>
      <c r="R27" s="228">
        <v>0</v>
      </c>
      <c r="S27" s="228">
        <v>0</v>
      </c>
      <c r="T27" s="228">
        <v>145542.28</v>
      </c>
    </row>
    <row r="28" spans="1:20">
      <c r="A28" s="69">
        <v>24</v>
      </c>
      <c r="B28" s="83" t="s">
        <v>182</v>
      </c>
      <c r="C28" s="84"/>
      <c r="D28" s="231">
        <v>66.06</v>
      </c>
      <c r="E28" s="231">
        <v>36.545000000000002</v>
      </c>
      <c r="F28" s="231">
        <v>2095.5500000000002</v>
      </c>
      <c r="G28" s="227">
        <v>0</v>
      </c>
      <c r="H28" s="227">
        <v>0</v>
      </c>
      <c r="I28" s="66">
        <v>0</v>
      </c>
      <c r="J28" s="67">
        <v>0</v>
      </c>
      <c r="K28" s="67"/>
      <c r="L28" s="228">
        <v>0</v>
      </c>
      <c r="M28" s="228">
        <v>9909</v>
      </c>
      <c r="N28" s="228">
        <v>5481.75</v>
      </c>
      <c r="O28" s="228">
        <v>136210.75</v>
      </c>
      <c r="P28" s="228">
        <v>0</v>
      </c>
      <c r="Q28" s="228">
        <v>0</v>
      </c>
      <c r="R28" s="228">
        <v>0</v>
      </c>
      <c r="S28" s="228">
        <v>0</v>
      </c>
      <c r="T28" s="228">
        <v>151601.5</v>
      </c>
    </row>
    <row r="29" spans="1:20">
      <c r="A29" s="69">
        <v>25</v>
      </c>
      <c r="B29" s="83" t="s">
        <v>183</v>
      </c>
      <c r="C29" s="84"/>
      <c r="D29" s="231">
        <v>0</v>
      </c>
      <c r="E29" s="231">
        <v>49.93</v>
      </c>
      <c r="F29" s="231">
        <v>2045.62</v>
      </c>
      <c r="G29" s="227">
        <v>0</v>
      </c>
      <c r="H29" s="227">
        <v>25.07</v>
      </c>
      <c r="I29" s="66">
        <v>0</v>
      </c>
      <c r="J29" s="67">
        <v>0</v>
      </c>
      <c r="K29" s="67"/>
      <c r="L29" s="228">
        <v>0</v>
      </c>
      <c r="M29" s="228">
        <v>0</v>
      </c>
      <c r="N29" s="228">
        <v>7489.5</v>
      </c>
      <c r="O29" s="228">
        <v>132965.29999999999</v>
      </c>
      <c r="P29" s="228">
        <v>0</v>
      </c>
      <c r="Q29" s="228">
        <v>3760.5</v>
      </c>
      <c r="R29" s="228">
        <v>0</v>
      </c>
      <c r="S29" s="228">
        <v>0</v>
      </c>
      <c r="T29" s="228">
        <v>144215.29999999999</v>
      </c>
    </row>
    <row r="30" spans="1:20">
      <c r="A30" s="69">
        <v>26</v>
      </c>
      <c r="B30" s="83" t="s">
        <v>184</v>
      </c>
      <c r="C30" s="84"/>
      <c r="D30" s="231">
        <v>0</v>
      </c>
      <c r="E30" s="231">
        <v>30.952999999999999</v>
      </c>
      <c r="F30" s="231">
        <v>2014.6669999999999</v>
      </c>
      <c r="G30" s="227">
        <v>0</v>
      </c>
      <c r="H30" s="227">
        <v>44.046999999999997</v>
      </c>
      <c r="I30" s="66">
        <v>0</v>
      </c>
      <c r="J30" s="67">
        <v>0</v>
      </c>
      <c r="K30" s="67"/>
      <c r="L30" s="228">
        <v>0</v>
      </c>
      <c r="M30" s="228">
        <v>0</v>
      </c>
      <c r="N30" s="228">
        <v>4642.95</v>
      </c>
      <c r="O30" s="228">
        <v>130953.36</v>
      </c>
      <c r="P30" s="228">
        <v>0</v>
      </c>
      <c r="Q30" s="228">
        <v>6607.05</v>
      </c>
      <c r="R30" s="228">
        <v>0</v>
      </c>
      <c r="S30" s="228">
        <v>0</v>
      </c>
      <c r="T30" s="228">
        <v>142203.35999999999</v>
      </c>
    </row>
    <row r="31" spans="1:20">
      <c r="A31" s="69">
        <v>27</v>
      </c>
      <c r="B31" s="83" t="s">
        <v>185</v>
      </c>
      <c r="C31" s="84"/>
      <c r="D31" s="231">
        <v>8.7319999999999993</v>
      </c>
      <c r="E31" s="231">
        <v>13.91</v>
      </c>
      <c r="F31" s="231">
        <v>2009.489</v>
      </c>
      <c r="G31" s="227">
        <v>0</v>
      </c>
      <c r="H31" s="227">
        <v>52.358000000000004</v>
      </c>
      <c r="I31" s="66">
        <v>0</v>
      </c>
      <c r="J31" s="67">
        <v>0</v>
      </c>
      <c r="K31" s="67"/>
      <c r="L31" s="228">
        <v>0</v>
      </c>
      <c r="M31" s="228">
        <v>1309.8</v>
      </c>
      <c r="N31" s="228">
        <v>2086.5</v>
      </c>
      <c r="O31" s="228">
        <v>130616.79</v>
      </c>
      <c r="P31" s="228">
        <v>0</v>
      </c>
      <c r="Q31" s="228">
        <v>7853.7</v>
      </c>
      <c r="R31" s="228">
        <v>0</v>
      </c>
      <c r="S31" s="228">
        <v>0</v>
      </c>
      <c r="T31" s="228">
        <v>141866.79</v>
      </c>
    </row>
    <row r="32" spans="1:20">
      <c r="A32" s="69">
        <v>28</v>
      </c>
      <c r="B32" s="83" t="s">
        <v>186</v>
      </c>
      <c r="C32" s="84"/>
      <c r="D32" s="231">
        <v>15.462999999999999</v>
      </c>
      <c r="E32" s="231">
        <v>32.338999999999999</v>
      </c>
      <c r="F32" s="231">
        <v>1992.6130000000001</v>
      </c>
      <c r="G32" s="227">
        <v>0</v>
      </c>
      <c r="H32" s="227">
        <v>27.198</v>
      </c>
      <c r="I32" s="66">
        <v>0</v>
      </c>
      <c r="J32" s="67">
        <v>0</v>
      </c>
      <c r="K32" s="67"/>
      <c r="L32" s="228">
        <v>0</v>
      </c>
      <c r="M32" s="228">
        <v>2319.4499999999998</v>
      </c>
      <c r="N32" s="228">
        <v>4850.8500000000004</v>
      </c>
      <c r="O32" s="228">
        <v>129519.85</v>
      </c>
      <c r="P32" s="228">
        <v>0</v>
      </c>
      <c r="Q32" s="228">
        <v>4079.7</v>
      </c>
      <c r="R32" s="228">
        <v>0</v>
      </c>
      <c r="S32" s="228">
        <v>0</v>
      </c>
      <c r="T32" s="228">
        <v>140769.85</v>
      </c>
    </row>
    <row r="33" spans="1:20">
      <c r="A33" s="69">
        <v>29</v>
      </c>
      <c r="B33" s="83" t="s">
        <v>187</v>
      </c>
      <c r="C33" s="84"/>
      <c r="D33" s="231">
        <v>36.468000000000004</v>
      </c>
      <c r="E33" s="231">
        <v>50.185000000000002</v>
      </c>
      <c r="F33" s="231">
        <v>1978.896</v>
      </c>
      <c r="G33" s="227">
        <v>0</v>
      </c>
      <c r="H33" s="227">
        <v>0</v>
      </c>
      <c r="I33" s="66">
        <v>0</v>
      </c>
      <c r="J33" s="67">
        <v>0</v>
      </c>
      <c r="K33" s="67"/>
      <c r="L33" s="228">
        <v>0</v>
      </c>
      <c r="M33" s="228">
        <v>5470.2</v>
      </c>
      <c r="N33" s="228">
        <v>7527.75</v>
      </c>
      <c r="O33" s="228">
        <v>128628.24</v>
      </c>
      <c r="P33" s="228">
        <v>0</v>
      </c>
      <c r="Q33" s="228">
        <v>0</v>
      </c>
      <c r="R33" s="228">
        <v>0</v>
      </c>
      <c r="S33" s="228">
        <v>0</v>
      </c>
      <c r="T33" s="228">
        <v>141626.19</v>
      </c>
    </row>
    <row r="34" spans="1:20">
      <c r="A34" s="69">
        <v>30</v>
      </c>
      <c r="B34" s="83" t="s">
        <v>188</v>
      </c>
      <c r="C34" s="84"/>
      <c r="D34" s="231">
        <v>5.7480000000000002</v>
      </c>
      <c r="E34" s="231">
        <v>13.926</v>
      </c>
      <c r="F34" s="231">
        <v>1970.7180000000001</v>
      </c>
      <c r="G34" s="227">
        <v>0</v>
      </c>
      <c r="H34" s="227">
        <v>55.326000000000001</v>
      </c>
      <c r="I34" s="66">
        <v>0</v>
      </c>
      <c r="J34" s="67">
        <v>0</v>
      </c>
      <c r="K34" s="67"/>
      <c r="L34" s="228">
        <v>0</v>
      </c>
      <c r="M34" s="228">
        <v>862.2</v>
      </c>
      <c r="N34" s="228">
        <v>2088.9</v>
      </c>
      <c r="O34" s="228">
        <v>128096.67</v>
      </c>
      <c r="P34" s="228">
        <v>0</v>
      </c>
      <c r="Q34" s="228">
        <v>8298.9</v>
      </c>
      <c r="R34" s="228">
        <v>0</v>
      </c>
      <c r="S34" s="228">
        <v>0</v>
      </c>
      <c r="T34" s="228">
        <v>139346.67000000001</v>
      </c>
    </row>
    <row r="35" spans="1:20">
      <c r="A35" s="69">
        <v>31</v>
      </c>
      <c r="B35" s="83" t="s">
        <v>189</v>
      </c>
      <c r="C35" s="84"/>
      <c r="D35" s="231">
        <v>16.289000000000001</v>
      </c>
      <c r="E35" s="231">
        <v>60.747</v>
      </c>
      <c r="F35" s="231">
        <v>1926.26</v>
      </c>
      <c r="G35" s="227">
        <v>0</v>
      </c>
      <c r="H35" s="227">
        <v>0</v>
      </c>
      <c r="I35" s="66">
        <v>0</v>
      </c>
      <c r="J35" s="67">
        <v>0</v>
      </c>
      <c r="K35" s="67"/>
      <c r="L35" s="228">
        <v>0</v>
      </c>
      <c r="M35" s="228">
        <v>2443.35</v>
      </c>
      <c r="N35" s="228">
        <v>9112.0499999999993</v>
      </c>
      <c r="O35" s="228">
        <v>125206.9</v>
      </c>
      <c r="P35" s="228">
        <v>0</v>
      </c>
      <c r="Q35" s="228">
        <v>0</v>
      </c>
      <c r="R35" s="228">
        <v>0</v>
      </c>
      <c r="S35" s="228">
        <v>0</v>
      </c>
      <c r="T35" s="228">
        <v>136762.29999999999</v>
      </c>
    </row>
    <row r="36" spans="1:20">
      <c r="D36" s="76">
        <v>354.48399999999998</v>
      </c>
      <c r="E36" s="76">
        <v>885.7339999999997</v>
      </c>
      <c r="F36" s="76">
        <v>66345.438000000009</v>
      </c>
      <c r="G36" s="76">
        <v>0</v>
      </c>
      <c r="H36" s="76">
        <v>1084.7820000000004</v>
      </c>
      <c r="I36" s="76">
        <v>0</v>
      </c>
      <c r="J36" s="77">
        <v>0</v>
      </c>
      <c r="K36" s="77">
        <v>0</v>
      </c>
      <c r="L36" s="229">
        <v>0</v>
      </c>
      <c r="M36" s="229">
        <v>53172.6</v>
      </c>
      <c r="N36" s="229">
        <v>132860.1</v>
      </c>
      <c r="O36" s="229">
        <v>4312453.47</v>
      </c>
      <c r="P36" s="229">
        <v>0</v>
      </c>
      <c r="Q36" s="229">
        <v>162717.29999999999</v>
      </c>
      <c r="R36" s="229">
        <v>0</v>
      </c>
      <c r="S36" s="229">
        <v>0</v>
      </c>
      <c r="T36" s="229">
        <v>4661203.47</v>
      </c>
    </row>
    <row r="37" spans="1:20">
      <c r="R37" s="79"/>
      <c r="S37" s="79"/>
      <c r="T37" s="230">
        <v>5686668.2300000004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723B-C2D6-4959-BF67-1542CD39494C}">
  <dimension ref="A1:A18"/>
  <sheetViews>
    <sheetView workbookViewId="0">
      <selection activeCell="D31" sqref="D31"/>
    </sheetView>
  </sheetViews>
  <sheetFormatPr defaultRowHeight="15"/>
  <cols>
    <col min="1" max="1" width="14.140625" style="51" customWidth="1"/>
    <col min="2" max="16384" width="9.140625" style="51"/>
  </cols>
  <sheetData>
    <row r="1" spans="1:1">
      <c r="A1" s="233">
        <v>46023</v>
      </c>
    </row>
    <row r="2" spans="1:1">
      <c r="A2" s="233">
        <v>46024</v>
      </c>
    </row>
    <row r="3" spans="1:1">
      <c r="A3" s="233">
        <v>46025</v>
      </c>
    </row>
    <row r="4" spans="1:1">
      <c r="A4" s="233">
        <v>46026</v>
      </c>
    </row>
    <row r="5" spans="1:1">
      <c r="A5" s="233">
        <v>46027</v>
      </c>
    </row>
    <row r="6" spans="1:1">
      <c r="A6" s="233">
        <v>46028</v>
      </c>
    </row>
    <row r="7" spans="1:1">
      <c r="A7" s="233">
        <v>46029</v>
      </c>
    </row>
    <row r="8" spans="1:1">
      <c r="A8" s="233">
        <v>46030</v>
      </c>
    </row>
    <row r="9" spans="1:1">
      <c r="A9" s="233">
        <v>46031</v>
      </c>
    </row>
    <row r="10" spans="1:1">
      <c r="A10" s="233">
        <v>46032</v>
      </c>
    </row>
    <row r="11" spans="1:1">
      <c r="A11" s="233">
        <v>46033</v>
      </c>
    </row>
    <row r="12" spans="1:1">
      <c r="A12" s="233">
        <v>46076</v>
      </c>
    </row>
    <row r="13" spans="1:1">
      <c r="A13" s="233">
        <v>46090</v>
      </c>
    </row>
    <row r="14" spans="1:1">
      <c r="A14" s="233">
        <v>46143</v>
      </c>
    </row>
    <row r="15" spans="1:1">
      <c r="A15" s="233">
        <v>46153</v>
      </c>
    </row>
    <row r="16" spans="1:1">
      <c r="A16" s="233">
        <v>46185</v>
      </c>
    </row>
    <row r="17" spans="1:1">
      <c r="A17" s="233">
        <v>46330</v>
      </c>
    </row>
    <row r="18" spans="1:1">
      <c r="A18" s="233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58</vt:i4>
      </vt:variant>
    </vt:vector>
  </HeadingPairs>
  <TitlesOfParts>
    <vt:vector size="58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Сводка</vt:lpstr>
      <vt:lpstr>Центрополимер Зеленодольск</vt:lpstr>
      <vt:lpstr>Центрополимер Баумана</vt:lpstr>
      <vt:lpstr>Центрополимер Новикова-Прибоя</vt:lpstr>
      <vt:lpstr>Центрополимер Екатеринбург</vt:lpstr>
      <vt:lpstr>Центрополимер Новосибирск</vt:lpstr>
      <vt:lpstr>Юг Полимер Зеленодольск</vt:lpstr>
      <vt:lpstr>Юг Полимер Новикова-Прибоя</vt:lpstr>
      <vt:lpstr>Юг Полимер Баумана</vt:lpstr>
      <vt:lpstr>Приоритет Казань_Автосервисная</vt:lpstr>
      <vt:lpstr>Приоритет Казань_Приволжская</vt:lpstr>
      <vt:lpstr>Приоритет Зеленодольск</vt:lpstr>
      <vt:lpstr>Приоритет Екатеринбург</vt:lpstr>
      <vt:lpstr>Приоритет Новикова-Прибоя</vt:lpstr>
      <vt:lpstr>Приоритет Баумана</vt:lpstr>
      <vt:lpstr>Фармпласт Новикова-Прибоя</vt:lpstr>
      <vt:lpstr>Фармпласт Баумана</vt:lpstr>
      <vt:lpstr>Фармпласт Казань_Автосервисная</vt:lpstr>
      <vt:lpstr>Фармпласт Новосибирск</vt:lpstr>
      <vt:lpstr>Фармпласт Екатеринбург</vt:lpstr>
      <vt:lpstr>Зеленодольск экспорт</vt:lpstr>
      <vt:lpstr>Литейные решения</vt:lpstr>
      <vt:lpstr>ЛС-Техномет</vt:lpstr>
      <vt:lpstr>Сандекс</vt:lpstr>
      <vt:lpstr>СтройТех</vt:lpstr>
      <vt:lpstr>Ергарда</vt:lpstr>
      <vt:lpstr>Казань_Автосервисная экспорт</vt:lpstr>
      <vt:lpstr>Екатеринбург экспорт</vt:lpstr>
      <vt:lpstr>Баумана KPI</vt:lpstr>
      <vt:lpstr>Баумана Полимеры</vt:lpstr>
      <vt:lpstr>Баумана Полиом</vt:lpstr>
      <vt:lpstr>Екатеринбург KPI</vt:lpstr>
      <vt:lpstr>Екатеринбург НПЭГ</vt:lpstr>
      <vt:lpstr>Екатеринбург Полимеры</vt:lpstr>
      <vt:lpstr>Екатеринбург Полиом</vt:lpstr>
      <vt:lpstr>ЕкатеринбургЧкаловский KPI</vt:lpstr>
      <vt:lpstr>ЕкатеринбургЧкаловский Полимеры</vt:lpstr>
      <vt:lpstr>ЕкатеринбургЧкаловский Полиом</vt:lpstr>
      <vt:lpstr>Зеленодольск Данафлекс</vt:lpstr>
      <vt:lpstr>Зеленодольск Полимеры</vt:lpstr>
      <vt:lpstr>Зеленодольск Полиом</vt:lpstr>
      <vt:lpstr>Казань_Автосервисная Полимеры</vt:lpstr>
      <vt:lpstr>Казань_Автосервисная Полиом</vt:lpstr>
      <vt:lpstr>Казань_Приволжская Полимеры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2026-08-05T13:51:06Z</dcterms:created>
  <dcterms:modified xsi:type="dcterms:W3CDTF">2026-08-05T13:51:12Z</dcterms:modified>
</cp:coreProperties>
</file>
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682B91-E9E4-4181-8601-664D2DC8886B}" xr6:coauthVersionLast="47" xr6:coauthVersionMax="47" xr10:uidLastSave="{00000000-0000-0000-0000-000000000000}"/>
  <bookViews>
    <workbookView xWindow="-120" yWindow="-120" windowWidth="29040" windowHeight="15840" firstSheet="2" activeTab="2" xr2:uid="{9FA83981-2784-49A7-ADAB-60AC52F2137A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РВ Баумана" sheetId="7" r:id="rId6"/>
    <sheet name="РВ ГАЗ" sheetId="9" r:id="rId7"/>
    <sheet name="РВ Новикова-Прибоя" sheetId="10" r:id="rId8"/>
    <sheet name="Нижнекамск экспорт" sheetId="15" r:id="rId9"/>
    <sheet name="Баумана экспорт" sheetId="16" r:id="rId10"/>
    <sheet name="Зеленодольск экспорт" sheetId="17" r:id="rId11"/>
    <sheet name="Литейные решения" sheetId="18" r:id="rId12"/>
    <sheet name="ЛС-Техномет" sheetId="19" r:id="rId13"/>
    <sheet name="Сандекс" sheetId="20" r:id="rId14"/>
    <sheet name="СтройТех" sheetId="21" r:id="rId15"/>
    <sheet name="Доктор Франк" sheetId="22" r:id="rId16"/>
    <sheet name="Ергарда" sheetId="23" r:id="rId17"/>
    <sheet name="Зеленодольск Доп услуги" sheetId="24" r:id="rId18"/>
    <sheet name="Казань_Приволжская экспорт" sheetId="25" r:id="rId19"/>
    <sheet name="Казань_Автосервисная экспорт" sheetId="26" r:id="rId20"/>
    <sheet name="Казань_Автосервисная Доп услуги" sheetId="27" r:id="rId21"/>
    <sheet name="Казань_Приволжская Доп услуги" sheetId="28" r:id="rId22"/>
    <sheet name="Новикова-Прибоя Доп услуги" sheetId="29" r:id="rId23"/>
    <sheet name="Екатеринбург экспорт" sheetId="30" r:id="rId24"/>
    <sheet name="Нижнекамск Доп услуги" sheetId="31" r:id="rId25"/>
    <sheet name="Баумана KPI" sheetId="32" r:id="rId26"/>
    <sheet name="Баумана Полимеры" sheetId="33" r:id="rId27"/>
    <sheet name="Баумана Полиом" sheetId="34" r:id="rId28"/>
    <sheet name="Баумана Каучук" sheetId="35" r:id="rId29"/>
    <sheet name="Екатеринбург KPI" sheetId="36" r:id="rId30"/>
    <sheet name="Екатеринбург Полимеры" sheetId="37" r:id="rId31"/>
    <sheet name="Екатеринбург Полиом" sheetId="38" r:id="rId32"/>
    <sheet name="Зеленодольск Полимеры" sheetId="39" r:id="rId33"/>
    <sheet name="Данафлекс Зеленодольск" sheetId="40" r:id="rId34"/>
    <sheet name="Казань_Автосервисная Полимеры" sheetId="41" r:id="rId35"/>
    <sheet name="Казань_Автосервисная Полиом" sheetId="42" r:id="rId36"/>
    <sheet name="Казань_Приволжская Полимеры" sheetId="43" r:id="rId37"/>
    <sheet name="Нижнекамск Каучук" sheetId="44" r:id="rId38"/>
    <sheet name="Нижнекамск НПЭГ" sheetId="45" r:id="rId39"/>
    <sheet name="Нижнекамск ПСОН" sheetId="46" r:id="rId40"/>
    <sheet name="Нижнекамск СБС" sheetId="47" r:id="rId41"/>
    <sheet name="Новикова-Прибоя KPI" sheetId="48" r:id="rId42"/>
    <sheet name="Новикова-Прибоя Полимеры" sheetId="49" r:id="rId43"/>
    <sheet name="Новикова-Прибоя Полиом" sheetId="50" r:id="rId44"/>
    <sheet name="Новосибирск KPI" sheetId="51" r:id="rId45"/>
    <sheet name="Новосибирск Полимеры" sheetId="52" r:id="rId46"/>
    <sheet name="Новосибирск Полиом" sheetId="53" r:id="rId47"/>
    <sheet name="Новосибирск Порошок" sheetId="54" r:id="rId48"/>
    <sheet name="Новосибирск_Пасечная Порошок" sheetId="55" r:id="rId49"/>
    <sheet name="Праздники" sheetId="14" state="hidden" r:id="rId50"/>
    <sheet name="АВР Ленина" sheetId="13" state="hidden" r:id="rId51"/>
    <sheet name="АВР Новикова" sheetId="12" state="hidden" r:id="rId52"/>
    <sheet name="АВР Баумана" sheetId="11" state="hidden" r:id="rId53"/>
    <sheet name="Окская Мешки" sheetId="8" state="hidden" r:id="rId54"/>
    <sheet name="Общее и резерв" sheetId="6" state="hidden" r:id="rId55"/>
  </sheets>
  <externalReferences>
    <externalReference r:id="rId56"/>
    <externalReference r:id="rId57"/>
    <externalReference r:id="rId5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3" l="1"/>
  <c r="F9" i="31"/>
  <c r="F12" i="31" s="1"/>
  <c r="F13" i="31" s="1"/>
  <c r="F14" i="31" s="1"/>
  <c r="A3" i="31"/>
  <c r="B14" i="30" l="1"/>
  <c r="F11" i="30"/>
  <c r="G11" i="30" s="1"/>
  <c r="F10" i="30"/>
  <c r="G10" i="30" s="1"/>
  <c r="G12" i="30" s="1"/>
  <c r="A4" i="30"/>
  <c r="F12" i="30" l="1"/>
  <c r="F11" i="29"/>
  <c r="D10" i="29"/>
  <c r="F10" i="29" s="1"/>
  <c r="F9" i="29"/>
  <c r="F12" i="29" s="1"/>
  <c r="F13" i="29" s="1"/>
  <c r="F14" i="29" s="1"/>
  <c r="A3" i="29"/>
  <c r="F11" i="28" l="1"/>
  <c r="F10" i="28"/>
  <c r="D10" i="28"/>
  <c r="F9" i="28"/>
  <c r="F12" i="28" s="1"/>
  <c r="F13" i="28" s="1"/>
  <c r="F14" i="28" s="1"/>
  <c r="A6" i="28"/>
  <c r="A3" i="28"/>
  <c r="A2" i="28"/>
  <c r="F11" i="27" l="1"/>
  <c r="F10" i="27"/>
  <c r="F9" i="27"/>
  <c r="F12" i="27" s="1"/>
  <c r="F13" i="27" s="1"/>
  <c r="F14" i="27" s="1"/>
  <c r="A6" i="27"/>
  <c r="A3" i="27"/>
  <c r="A2" i="27"/>
  <c r="B14" i="26" l="1"/>
  <c r="F11" i="26"/>
  <c r="G11" i="26" s="1"/>
  <c r="F10" i="26"/>
  <c r="G10" i="26" s="1"/>
  <c r="G12" i="26" s="1"/>
  <c r="A4" i="26"/>
  <c r="F12" i="26" l="1"/>
  <c r="B14" i="25"/>
  <c r="F11" i="25"/>
  <c r="G11" i="25" s="1"/>
  <c r="F10" i="25"/>
  <c r="F12" i="25" s="1"/>
  <c r="A4" i="25"/>
  <c r="G10" i="25" l="1"/>
  <c r="G12" i="25" s="1"/>
  <c r="F11" i="24" l="1"/>
  <c r="D10" i="24"/>
  <c r="F10" i="24" s="1"/>
  <c r="F9" i="24"/>
  <c r="F12" i="24" s="1"/>
  <c r="F13" i="24" s="1"/>
  <c r="F14" i="24" s="1"/>
  <c r="A3" i="24"/>
  <c r="I34" i="23" l="1"/>
  <c r="H34" i="23"/>
  <c r="G34" i="23"/>
  <c r="J34" i="23" s="1"/>
  <c r="I33" i="23"/>
  <c r="H33" i="23"/>
  <c r="G33" i="23"/>
  <c r="J33" i="23" s="1"/>
  <c r="I32" i="23"/>
  <c r="H32" i="23"/>
  <c r="G32" i="23"/>
  <c r="J32" i="23" s="1"/>
  <c r="I31" i="23"/>
  <c r="H31" i="23"/>
  <c r="G31" i="23"/>
  <c r="J31" i="23" s="1"/>
  <c r="I30" i="23"/>
  <c r="H30" i="23"/>
  <c r="G30" i="23"/>
  <c r="J30" i="23" s="1"/>
  <c r="I29" i="23"/>
  <c r="H29" i="23"/>
  <c r="G29" i="23"/>
  <c r="J29" i="23" s="1"/>
  <c r="I28" i="23"/>
  <c r="H28" i="23"/>
  <c r="G28" i="23"/>
  <c r="J28" i="23" s="1"/>
  <c r="I27" i="23"/>
  <c r="H27" i="23"/>
  <c r="G27" i="23"/>
  <c r="J27" i="23" s="1"/>
  <c r="I26" i="23"/>
  <c r="H26" i="23"/>
  <c r="G26" i="23"/>
  <c r="J26" i="23" s="1"/>
  <c r="I25" i="23"/>
  <c r="H25" i="23"/>
  <c r="G25" i="23"/>
  <c r="J25" i="23" s="1"/>
  <c r="I24" i="23"/>
  <c r="H24" i="23"/>
  <c r="G24" i="23"/>
  <c r="J24" i="23" s="1"/>
  <c r="I23" i="23"/>
  <c r="H23" i="23"/>
  <c r="G23" i="23"/>
  <c r="J23" i="23" s="1"/>
  <c r="I22" i="23"/>
  <c r="H22" i="23"/>
  <c r="G22" i="23"/>
  <c r="J22" i="23" s="1"/>
  <c r="I21" i="23"/>
  <c r="H21" i="23"/>
  <c r="G21" i="23"/>
  <c r="J21" i="23" s="1"/>
  <c r="I20" i="23"/>
  <c r="H20" i="23"/>
  <c r="G20" i="23"/>
  <c r="J20" i="23" s="1"/>
  <c r="I19" i="23"/>
  <c r="H19" i="23"/>
  <c r="G19" i="23"/>
  <c r="J19" i="23" s="1"/>
  <c r="I18" i="23"/>
  <c r="H18" i="23"/>
  <c r="G18" i="23"/>
  <c r="J18" i="23" s="1"/>
  <c r="I17" i="23"/>
  <c r="H17" i="23"/>
  <c r="G17" i="23"/>
  <c r="J17" i="23" s="1"/>
  <c r="I16" i="23"/>
  <c r="H16" i="23"/>
  <c r="G16" i="23"/>
  <c r="J16" i="23" s="1"/>
  <c r="I15" i="23"/>
  <c r="H15" i="23"/>
  <c r="G15" i="23"/>
  <c r="J15" i="23" s="1"/>
  <c r="I14" i="23"/>
  <c r="H14" i="23"/>
  <c r="G14" i="23"/>
  <c r="J14" i="23" s="1"/>
  <c r="I13" i="23"/>
  <c r="H13" i="23"/>
  <c r="G13" i="23"/>
  <c r="J13" i="23" s="1"/>
  <c r="I12" i="23"/>
  <c r="H12" i="23"/>
  <c r="G12" i="23"/>
  <c r="J12" i="23" s="1"/>
  <c r="I11" i="23"/>
  <c r="H11" i="23"/>
  <c r="G11" i="23"/>
  <c r="J11" i="23" s="1"/>
  <c r="I10" i="23"/>
  <c r="H10" i="23"/>
  <c r="G10" i="23"/>
  <c r="J10" i="23" s="1"/>
  <c r="I9" i="23"/>
  <c r="H9" i="23"/>
  <c r="G9" i="23"/>
  <c r="J9" i="23" s="1"/>
  <c r="I8" i="23"/>
  <c r="H8" i="23"/>
  <c r="G8" i="23"/>
  <c r="J8" i="23" s="1"/>
  <c r="I7" i="23"/>
  <c r="H7" i="23"/>
  <c r="G7" i="23"/>
  <c r="J7" i="23" s="1"/>
  <c r="I6" i="23"/>
  <c r="H6" i="23"/>
  <c r="G6" i="23"/>
  <c r="J6" i="23" s="1"/>
  <c r="I5" i="23"/>
  <c r="H5" i="23"/>
  <c r="G5" i="23"/>
  <c r="J5" i="23" s="1"/>
  <c r="I4" i="23"/>
  <c r="I35" i="23" s="1"/>
  <c r="H4" i="23"/>
  <c r="H35" i="23" s="1"/>
  <c r="G4" i="23"/>
  <c r="G35" i="23" s="1"/>
  <c r="AE40" i="22"/>
  <c r="N38" i="22"/>
  <c r="M38" i="22"/>
  <c r="L38" i="22"/>
  <c r="J38" i="22"/>
  <c r="I38" i="22"/>
  <c r="H38" i="22"/>
  <c r="G38" i="22"/>
  <c r="F38" i="22"/>
  <c r="E38" i="22"/>
  <c r="D38" i="22"/>
  <c r="C38" i="22"/>
  <c r="AD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O37" i="22"/>
  <c r="AC37" i="22" s="1"/>
  <c r="AB36" i="22"/>
  <c r="AA36" i="22"/>
  <c r="Z36" i="22"/>
  <c r="Y36" i="22"/>
  <c r="X36" i="22"/>
  <c r="W36" i="22"/>
  <c r="V36" i="22"/>
  <c r="U36" i="22"/>
  <c r="T36" i="22"/>
  <c r="S36" i="22"/>
  <c r="R36" i="22"/>
  <c r="Q36" i="22"/>
  <c r="O36" i="22"/>
  <c r="AC36" i="22" s="1"/>
  <c r="K36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O35" i="22"/>
  <c r="AC35" i="22" s="1"/>
  <c r="K35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O34" i="22"/>
  <c r="K34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O33" i="22"/>
  <c r="K33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O32" i="22"/>
  <c r="AC32" i="22" s="1"/>
  <c r="K32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O31" i="22"/>
  <c r="K31" i="22"/>
  <c r="AC30" i="22"/>
  <c r="AB30" i="22"/>
  <c r="AA30" i="22"/>
  <c r="Z30" i="22"/>
  <c r="X30" i="22"/>
  <c r="W30" i="22"/>
  <c r="V30" i="22"/>
  <c r="U30" i="22"/>
  <c r="T30" i="22"/>
  <c r="S30" i="22"/>
  <c r="R30" i="22"/>
  <c r="Q30" i="22"/>
  <c r="O30" i="22"/>
  <c r="K30" i="22"/>
  <c r="Y30" i="22" s="1"/>
  <c r="AB29" i="22"/>
  <c r="AA29" i="22"/>
  <c r="Z29" i="22"/>
  <c r="X29" i="22"/>
  <c r="W29" i="22"/>
  <c r="V29" i="22"/>
  <c r="U29" i="22"/>
  <c r="T29" i="22"/>
  <c r="S29" i="22"/>
  <c r="R29" i="22"/>
  <c r="Q29" i="22"/>
  <c r="O29" i="22"/>
  <c r="AC29" i="22" s="1"/>
  <c r="K29" i="22"/>
  <c r="Y29" i="22" s="1"/>
  <c r="AB28" i="22"/>
  <c r="AA28" i="22"/>
  <c r="Z28" i="22"/>
  <c r="Y28" i="22"/>
  <c r="X28" i="22"/>
  <c r="W28" i="22"/>
  <c r="V28" i="22"/>
  <c r="U28" i="22"/>
  <c r="T28" i="22"/>
  <c r="S28" i="22"/>
  <c r="R28" i="22"/>
  <c r="Q28" i="22"/>
  <c r="O28" i="22"/>
  <c r="AC28" i="22" s="1"/>
  <c r="K28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O27" i="22"/>
  <c r="AC27" i="22" s="1"/>
  <c r="K27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O26" i="22"/>
  <c r="K26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O25" i="22"/>
  <c r="K25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O24" i="22"/>
  <c r="AC24" i="22" s="1"/>
  <c r="K24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O23" i="22"/>
  <c r="K23" i="22"/>
  <c r="AC22" i="22"/>
  <c r="AB22" i="22"/>
  <c r="AA22" i="22"/>
  <c r="Z22" i="22"/>
  <c r="X22" i="22"/>
  <c r="W22" i="22"/>
  <c r="V22" i="22"/>
  <c r="U22" i="22"/>
  <c r="T22" i="22"/>
  <c r="S22" i="22"/>
  <c r="R22" i="22"/>
  <c r="Q22" i="22"/>
  <c r="O22" i="22"/>
  <c r="K22" i="22"/>
  <c r="Y22" i="22" s="1"/>
  <c r="AB21" i="22"/>
  <c r="AA21" i="22"/>
  <c r="Z21" i="22"/>
  <c r="X21" i="22"/>
  <c r="W21" i="22"/>
  <c r="V21" i="22"/>
  <c r="U21" i="22"/>
  <c r="T21" i="22"/>
  <c r="S21" i="22"/>
  <c r="R21" i="22"/>
  <c r="Q21" i="22"/>
  <c r="O21" i="22"/>
  <c r="AC21" i="22" s="1"/>
  <c r="K21" i="22"/>
  <c r="Y21" i="22" s="1"/>
  <c r="AB20" i="22"/>
  <c r="AA20" i="22"/>
  <c r="Z20" i="22"/>
  <c r="Y20" i="22"/>
  <c r="X20" i="22"/>
  <c r="W20" i="22"/>
  <c r="V20" i="22"/>
  <c r="U20" i="22"/>
  <c r="T20" i="22"/>
  <c r="S20" i="22"/>
  <c r="R20" i="22"/>
  <c r="Q20" i="22"/>
  <c r="O20" i="22"/>
  <c r="AC20" i="22" s="1"/>
  <c r="K20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O19" i="22"/>
  <c r="AC19" i="22" s="1"/>
  <c r="K19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O18" i="22"/>
  <c r="K18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O17" i="22"/>
  <c r="K17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O16" i="22"/>
  <c r="AC16" i="22" s="1"/>
  <c r="K16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O15" i="22"/>
  <c r="K15" i="22"/>
  <c r="AC14" i="22"/>
  <c r="AB14" i="22"/>
  <c r="AA14" i="22"/>
  <c r="Z14" i="22"/>
  <c r="X14" i="22"/>
  <c r="W14" i="22"/>
  <c r="V14" i="22"/>
  <c r="U14" i="22"/>
  <c r="T14" i="22"/>
  <c r="S14" i="22"/>
  <c r="R14" i="22"/>
  <c r="Q14" i="22"/>
  <c r="O14" i="22"/>
  <c r="K14" i="22"/>
  <c r="Y14" i="22" s="1"/>
  <c r="AB13" i="22"/>
  <c r="AA13" i="22"/>
  <c r="Z13" i="22"/>
  <c r="X13" i="22"/>
  <c r="W13" i="22"/>
  <c r="V13" i="22"/>
  <c r="U13" i="22"/>
  <c r="T13" i="22"/>
  <c r="S13" i="22"/>
  <c r="R13" i="22"/>
  <c r="Q13" i="22"/>
  <c r="O13" i="22"/>
  <c r="AC13" i="22" s="1"/>
  <c r="K13" i="22"/>
  <c r="Y13" i="22" s="1"/>
  <c r="AB12" i="22"/>
  <c r="AA12" i="22"/>
  <c r="Z12" i="22"/>
  <c r="Y12" i="22"/>
  <c r="X12" i="22"/>
  <c r="W12" i="22"/>
  <c r="V12" i="22"/>
  <c r="U12" i="22"/>
  <c r="T12" i="22"/>
  <c r="S12" i="22"/>
  <c r="R12" i="22"/>
  <c r="Q12" i="22"/>
  <c r="O12" i="22"/>
  <c r="AC12" i="22" s="1"/>
  <c r="K12" i="22"/>
  <c r="AB11" i="22"/>
  <c r="AA11" i="22"/>
  <c r="Z11" i="22"/>
  <c r="Y11" i="22"/>
  <c r="X11" i="22"/>
  <c r="W11" i="22"/>
  <c r="V11" i="22"/>
  <c r="U11" i="22"/>
  <c r="T11" i="22"/>
  <c r="S11" i="22"/>
  <c r="R11" i="22"/>
  <c r="R38" i="22" s="1"/>
  <c r="Q11" i="22"/>
  <c r="O11" i="22"/>
  <c r="AC11" i="22" s="1"/>
  <c r="K11" i="22"/>
  <c r="AC10" i="22"/>
  <c r="AB10" i="22"/>
  <c r="AA10" i="22"/>
  <c r="Z10" i="22"/>
  <c r="Y10" i="22"/>
  <c r="X10" i="22"/>
  <c r="W10" i="22"/>
  <c r="V10" i="22"/>
  <c r="U10" i="22"/>
  <c r="T10" i="22"/>
  <c r="T38" i="22" s="1"/>
  <c r="S10" i="22"/>
  <c r="S38" i="22" s="1"/>
  <c r="R10" i="22"/>
  <c r="Q10" i="22"/>
  <c r="O10" i="22"/>
  <c r="K10" i="22"/>
  <c r="AC9" i="22"/>
  <c r="AB9" i="22"/>
  <c r="AA9" i="22"/>
  <c r="Z9" i="22"/>
  <c r="Y9" i="22"/>
  <c r="X9" i="22"/>
  <c r="W9" i="22"/>
  <c r="V9" i="22"/>
  <c r="V38" i="22" s="1"/>
  <c r="U9" i="22"/>
  <c r="T9" i="22"/>
  <c r="S9" i="22"/>
  <c r="R9" i="22"/>
  <c r="Q9" i="22"/>
  <c r="O9" i="22"/>
  <c r="K9" i="22"/>
  <c r="AB8" i="22"/>
  <c r="AA8" i="22"/>
  <c r="Z8" i="22"/>
  <c r="Y8" i="22"/>
  <c r="X8" i="22"/>
  <c r="W8" i="22"/>
  <c r="V8" i="22"/>
  <c r="U8" i="22"/>
  <c r="T8" i="22"/>
  <c r="S8" i="22"/>
  <c r="R8" i="22"/>
  <c r="Q8" i="22"/>
  <c r="O8" i="22"/>
  <c r="AC8" i="22" s="1"/>
  <c r="K8" i="22"/>
  <c r="AD7" i="22"/>
  <c r="AC7" i="22"/>
  <c r="AB7" i="22"/>
  <c r="AB38" i="22" s="1"/>
  <c r="AA7" i="22"/>
  <c r="AA38" i="22" s="1"/>
  <c r="Z7" i="22"/>
  <c r="Z38" i="22" s="1"/>
  <c r="Y7" i="22"/>
  <c r="Y38" i="22" s="1"/>
  <c r="X7" i="22"/>
  <c r="X38" i="22" s="1"/>
  <c r="W7" i="22"/>
  <c r="W38" i="22" s="1"/>
  <c r="V7" i="22"/>
  <c r="U7" i="22"/>
  <c r="T7" i="22"/>
  <c r="S7" i="22"/>
  <c r="R7" i="22"/>
  <c r="Q7" i="22"/>
  <c r="Q38" i="22" s="1"/>
  <c r="P7" i="22"/>
  <c r="O7" i="22"/>
  <c r="O38" i="22" s="1"/>
  <c r="K7" i="22"/>
  <c r="K38" i="22" s="1"/>
  <c r="G36" i="21"/>
  <c r="J35" i="21"/>
  <c r="I35" i="21"/>
  <c r="H35" i="21"/>
  <c r="K35" i="21" s="1"/>
  <c r="J34" i="21"/>
  <c r="I34" i="21"/>
  <c r="H34" i="21"/>
  <c r="K34" i="21" s="1"/>
  <c r="J33" i="21"/>
  <c r="I33" i="21"/>
  <c r="K33" i="21" s="1"/>
  <c r="H33" i="21"/>
  <c r="J32" i="21"/>
  <c r="I32" i="21"/>
  <c r="H32" i="21"/>
  <c r="K32" i="21" s="1"/>
  <c r="J31" i="21"/>
  <c r="I31" i="21"/>
  <c r="H31" i="21"/>
  <c r="K31" i="21" s="1"/>
  <c r="J30" i="21"/>
  <c r="I30" i="21"/>
  <c r="H30" i="21"/>
  <c r="K30" i="21" s="1"/>
  <c r="J29" i="21"/>
  <c r="I29" i="21"/>
  <c r="K29" i="21" s="1"/>
  <c r="H29" i="21"/>
  <c r="J28" i="21"/>
  <c r="I28" i="21"/>
  <c r="H28" i="21"/>
  <c r="K28" i="21" s="1"/>
  <c r="J27" i="21"/>
  <c r="I27" i="21"/>
  <c r="H27" i="21"/>
  <c r="K27" i="21" s="1"/>
  <c r="J26" i="21"/>
  <c r="I26" i="21"/>
  <c r="H26" i="21"/>
  <c r="K26" i="21" s="1"/>
  <c r="J25" i="21"/>
  <c r="I25" i="21"/>
  <c r="K25" i="21" s="1"/>
  <c r="H25" i="21"/>
  <c r="J24" i="21"/>
  <c r="I24" i="21"/>
  <c r="H24" i="21"/>
  <c r="K24" i="21" s="1"/>
  <c r="J23" i="21"/>
  <c r="I23" i="21"/>
  <c r="H23" i="21"/>
  <c r="K23" i="21" s="1"/>
  <c r="J22" i="21"/>
  <c r="I22" i="21"/>
  <c r="H22" i="21"/>
  <c r="K22" i="21" s="1"/>
  <c r="J21" i="21"/>
  <c r="I21" i="21"/>
  <c r="K21" i="21" s="1"/>
  <c r="H21" i="21"/>
  <c r="J20" i="21"/>
  <c r="I20" i="21"/>
  <c r="H20" i="21"/>
  <c r="K20" i="21" s="1"/>
  <c r="J19" i="21"/>
  <c r="I19" i="21"/>
  <c r="H19" i="21"/>
  <c r="K19" i="21" s="1"/>
  <c r="J18" i="21"/>
  <c r="I18" i="21"/>
  <c r="H18" i="21"/>
  <c r="K18" i="21" s="1"/>
  <c r="J17" i="21"/>
  <c r="I17" i="21"/>
  <c r="K17" i="21" s="1"/>
  <c r="H17" i="21"/>
  <c r="J16" i="21"/>
  <c r="I16" i="21"/>
  <c r="H16" i="21"/>
  <c r="K16" i="21" s="1"/>
  <c r="J15" i="21"/>
  <c r="I15" i="21"/>
  <c r="H15" i="21"/>
  <c r="K15" i="21" s="1"/>
  <c r="J14" i="21"/>
  <c r="I14" i="21"/>
  <c r="H14" i="21"/>
  <c r="K14" i="21" s="1"/>
  <c r="J13" i="21"/>
  <c r="I13" i="21"/>
  <c r="K13" i="21" s="1"/>
  <c r="H13" i="21"/>
  <c r="J12" i="21"/>
  <c r="I12" i="21"/>
  <c r="H12" i="21"/>
  <c r="K12" i="21" s="1"/>
  <c r="J11" i="21"/>
  <c r="I11" i="21"/>
  <c r="H11" i="21"/>
  <c r="K11" i="21" s="1"/>
  <c r="J10" i="21"/>
  <c r="I10" i="21"/>
  <c r="H10" i="21"/>
  <c r="K10" i="21" s="1"/>
  <c r="J9" i="21"/>
  <c r="I9" i="21"/>
  <c r="K9" i="21" s="1"/>
  <c r="H9" i="21"/>
  <c r="J8" i="21"/>
  <c r="I8" i="21"/>
  <c r="H8" i="21"/>
  <c r="K8" i="21" s="1"/>
  <c r="J7" i="21"/>
  <c r="I7" i="21"/>
  <c r="H7" i="21"/>
  <c r="K7" i="21" s="1"/>
  <c r="J6" i="21"/>
  <c r="I6" i="21"/>
  <c r="H6" i="21"/>
  <c r="K6" i="21" s="1"/>
  <c r="J5" i="21"/>
  <c r="J36" i="21" s="1"/>
  <c r="I5" i="21"/>
  <c r="I36" i="21" s="1"/>
  <c r="H5" i="21"/>
  <c r="H36" i="21" s="1"/>
  <c r="J38" i="20"/>
  <c r="I38" i="20"/>
  <c r="H38" i="20"/>
  <c r="G38" i="20"/>
  <c r="F38" i="20"/>
  <c r="E38" i="20"/>
  <c r="D38" i="20"/>
  <c r="C38" i="20"/>
  <c r="R37" i="20"/>
  <c r="Q37" i="20"/>
  <c r="P37" i="20"/>
  <c r="O37" i="20"/>
  <c r="N37" i="20"/>
  <c r="M37" i="20"/>
  <c r="L37" i="20"/>
  <c r="S37" i="20" s="1"/>
  <c r="Q36" i="20"/>
  <c r="P36" i="20"/>
  <c r="O36" i="20"/>
  <c r="N36" i="20"/>
  <c r="M36" i="20"/>
  <c r="L36" i="20"/>
  <c r="Q35" i="20"/>
  <c r="P35" i="20"/>
  <c r="O35" i="20"/>
  <c r="N35" i="20"/>
  <c r="M35" i="20"/>
  <c r="L35" i="20"/>
  <c r="Q34" i="20"/>
  <c r="P34" i="20"/>
  <c r="O34" i="20"/>
  <c r="N34" i="20"/>
  <c r="M34" i="20"/>
  <c r="L34" i="20"/>
  <c r="Q33" i="20"/>
  <c r="P33" i="20"/>
  <c r="O33" i="20"/>
  <c r="N33" i="20"/>
  <c r="M33" i="20"/>
  <c r="L33" i="20"/>
  <c r="Q32" i="20"/>
  <c r="P32" i="20"/>
  <c r="O32" i="20"/>
  <c r="N32" i="20"/>
  <c r="M32" i="20"/>
  <c r="L32" i="20"/>
  <c r="Q31" i="20"/>
  <c r="P31" i="20"/>
  <c r="O31" i="20"/>
  <c r="N31" i="20"/>
  <c r="M31" i="20"/>
  <c r="L31" i="20"/>
  <c r="Q30" i="20"/>
  <c r="P30" i="20"/>
  <c r="O30" i="20"/>
  <c r="N30" i="20"/>
  <c r="M30" i="20"/>
  <c r="L30" i="20"/>
  <c r="Q29" i="20"/>
  <c r="P29" i="20"/>
  <c r="O29" i="20"/>
  <c r="N29" i="20"/>
  <c r="M29" i="20"/>
  <c r="L29" i="20"/>
  <c r="Q28" i="20"/>
  <c r="P28" i="20"/>
  <c r="O28" i="20"/>
  <c r="N28" i="20"/>
  <c r="M28" i="20"/>
  <c r="L28" i="20"/>
  <c r="Q27" i="20"/>
  <c r="P27" i="20"/>
  <c r="O27" i="20"/>
  <c r="N27" i="20"/>
  <c r="M27" i="20"/>
  <c r="L27" i="20"/>
  <c r="Q26" i="20"/>
  <c r="P26" i="20"/>
  <c r="O26" i="20"/>
  <c r="N26" i="20"/>
  <c r="M26" i="20"/>
  <c r="L26" i="20"/>
  <c r="Q25" i="20"/>
  <c r="P25" i="20"/>
  <c r="O25" i="20"/>
  <c r="N25" i="20"/>
  <c r="M25" i="20"/>
  <c r="L25" i="20"/>
  <c r="Q24" i="20"/>
  <c r="P24" i="20"/>
  <c r="O24" i="20"/>
  <c r="N24" i="20"/>
  <c r="M24" i="20"/>
  <c r="L24" i="20"/>
  <c r="Q23" i="20"/>
  <c r="P23" i="20"/>
  <c r="O23" i="20"/>
  <c r="N23" i="20"/>
  <c r="M23" i="20"/>
  <c r="L23" i="20"/>
  <c r="Q22" i="20"/>
  <c r="P22" i="20"/>
  <c r="O22" i="20"/>
  <c r="N22" i="20"/>
  <c r="M22" i="20"/>
  <c r="L22" i="20"/>
  <c r="Q21" i="20"/>
  <c r="P21" i="20"/>
  <c r="O21" i="20"/>
  <c r="N21" i="20"/>
  <c r="M21" i="20"/>
  <c r="L21" i="20"/>
  <c r="Q20" i="20"/>
  <c r="P20" i="20"/>
  <c r="O20" i="20"/>
  <c r="N20" i="20"/>
  <c r="M20" i="20"/>
  <c r="L20" i="20"/>
  <c r="Q19" i="20"/>
  <c r="P19" i="20"/>
  <c r="O19" i="20"/>
  <c r="N19" i="20"/>
  <c r="M19" i="20"/>
  <c r="L19" i="20"/>
  <c r="Q18" i="20"/>
  <c r="P18" i="20"/>
  <c r="O18" i="20"/>
  <c r="N18" i="20"/>
  <c r="M18" i="20"/>
  <c r="L18" i="20"/>
  <c r="Q17" i="20"/>
  <c r="P17" i="20"/>
  <c r="O17" i="20"/>
  <c r="N17" i="20"/>
  <c r="M17" i="20"/>
  <c r="L17" i="20"/>
  <c r="Q16" i="20"/>
  <c r="P16" i="20"/>
  <c r="O16" i="20"/>
  <c r="N16" i="20"/>
  <c r="M16" i="20"/>
  <c r="L16" i="20"/>
  <c r="Q15" i="20"/>
  <c r="P15" i="20"/>
  <c r="O15" i="20"/>
  <c r="N15" i="20"/>
  <c r="M15" i="20"/>
  <c r="L15" i="20"/>
  <c r="Q14" i="20"/>
  <c r="P14" i="20"/>
  <c r="O14" i="20"/>
  <c r="N14" i="20"/>
  <c r="M14" i="20"/>
  <c r="L14" i="20"/>
  <c r="Q13" i="20"/>
  <c r="P13" i="20"/>
  <c r="O13" i="20"/>
  <c r="N13" i="20"/>
  <c r="M13" i="20"/>
  <c r="L13" i="20"/>
  <c r="Q12" i="20"/>
  <c r="P12" i="20"/>
  <c r="O12" i="20"/>
  <c r="N12" i="20"/>
  <c r="M12" i="20"/>
  <c r="L12" i="20"/>
  <c r="Q11" i="20"/>
  <c r="P11" i="20"/>
  <c r="O11" i="20"/>
  <c r="N11" i="20"/>
  <c r="M11" i="20"/>
  <c r="L11" i="20"/>
  <c r="Q10" i="20"/>
  <c r="P10" i="20"/>
  <c r="O10" i="20"/>
  <c r="N10" i="20"/>
  <c r="M10" i="20"/>
  <c r="L10" i="20"/>
  <c r="Q9" i="20"/>
  <c r="P9" i="20"/>
  <c r="O9" i="20"/>
  <c r="N9" i="20"/>
  <c r="M9" i="20"/>
  <c r="L9" i="20"/>
  <c r="Q8" i="20"/>
  <c r="P8" i="20"/>
  <c r="O8" i="20"/>
  <c r="N8" i="20"/>
  <c r="M8" i="20"/>
  <c r="L8" i="20"/>
  <c r="K8" i="20"/>
  <c r="K9" i="20" s="1"/>
  <c r="S7" i="20"/>
  <c r="R7" i="20"/>
  <c r="Q7" i="20"/>
  <c r="Q38" i="20" s="1"/>
  <c r="P7" i="20"/>
  <c r="P38" i="20" s="1"/>
  <c r="O7" i="20"/>
  <c r="O38" i="20" s="1"/>
  <c r="N7" i="20"/>
  <c r="N38" i="20" s="1"/>
  <c r="M7" i="20"/>
  <c r="M38" i="20" s="1"/>
  <c r="L7" i="20"/>
  <c r="L38" i="20" s="1"/>
  <c r="H36" i="19"/>
  <c r="F36" i="19"/>
  <c r="E36" i="19"/>
  <c r="D36" i="19"/>
  <c r="Q35" i="19"/>
  <c r="P35" i="19"/>
  <c r="O35" i="19"/>
  <c r="R35" i="19" s="1"/>
  <c r="N35" i="19"/>
  <c r="M35" i="19"/>
  <c r="L35" i="19"/>
  <c r="K35" i="19"/>
  <c r="Q34" i="19"/>
  <c r="P34" i="19"/>
  <c r="O34" i="19"/>
  <c r="N34" i="19"/>
  <c r="M34" i="19"/>
  <c r="L34" i="19"/>
  <c r="K34" i="19"/>
  <c r="R34" i="19" s="1"/>
  <c r="Q33" i="19"/>
  <c r="P33" i="19"/>
  <c r="O33" i="19"/>
  <c r="R33" i="19" s="1"/>
  <c r="N33" i="19"/>
  <c r="M33" i="19"/>
  <c r="L33" i="19"/>
  <c r="K33" i="19"/>
  <c r="Q32" i="19"/>
  <c r="P32" i="19"/>
  <c r="O32" i="19"/>
  <c r="N32" i="19"/>
  <c r="M32" i="19"/>
  <c r="L32" i="19"/>
  <c r="K32" i="19"/>
  <c r="R32" i="19" s="1"/>
  <c r="Q31" i="19"/>
  <c r="P31" i="19"/>
  <c r="O31" i="19"/>
  <c r="R31" i="19" s="1"/>
  <c r="N31" i="19"/>
  <c r="M31" i="19"/>
  <c r="L31" i="19"/>
  <c r="K31" i="19"/>
  <c r="Q30" i="19"/>
  <c r="P30" i="19"/>
  <c r="O30" i="19"/>
  <c r="N30" i="19"/>
  <c r="M30" i="19"/>
  <c r="L30" i="19"/>
  <c r="K30" i="19"/>
  <c r="R30" i="19" s="1"/>
  <c r="Q29" i="19"/>
  <c r="P29" i="19"/>
  <c r="O29" i="19"/>
  <c r="R29" i="19" s="1"/>
  <c r="N29" i="19"/>
  <c r="M29" i="19"/>
  <c r="L29" i="19"/>
  <c r="K29" i="19"/>
  <c r="Q28" i="19"/>
  <c r="P28" i="19"/>
  <c r="O28" i="19"/>
  <c r="N28" i="19"/>
  <c r="M28" i="19"/>
  <c r="L28" i="19"/>
  <c r="K28" i="19"/>
  <c r="R28" i="19" s="1"/>
  <c r="Q27" i="19"/>
  <c r="P27" i="19"/>
  <c r="O27" i="19"/>
  <c r="R27" i="19" s="1"/>
  <c r="N27" i="19"/>
  <c r="M27" i="19"/>
  <c r="L27" i="19"/>
  <c r="K27" i="19"/>
  <c r="Q26" i="19"/>
  <c r="P26" i="19"/>
  <c r="O26" i="19"/>
  <c r="N26" i="19"/>
  <c r="M26" i="19"/>
  <c r="L26" i="19"/>
  <c r="K26" i="19"/>
  <c r="R26" i="19" s="1"/>
  <c r="Q25" i="19"/>
  <c r="P25" i="19"/>
  <c r="O25" i="19"/>
  <c r="R25" i="19" s="1"/>
  <c r="N25" i="19"/>
  <c r="M25" i="19"/>
  <c r="L25" i="19"/>
  <c r="K25" i="19"/>
  <c r="Q24" i="19"/>
  <c r="P24" i="19"/>
  <c r="O24" i="19"/>
  <c r="N24" i="19"/>
  <c r="M24" i="19"/>
  <c r="L24" i="19"/>
  <c r="K24" i="19"/>
  <c r="R24" i="19" s="1"/>
  <c r="Q23" i="19"/>
  <c r="P23" i="19"/>
  <c r="O23" i="19"/>
  <c r="R23" i="19" s="1"/>
  <c r="N23" i="19"/>
  <c r="M23" i="19"/>
  <c r="L23" i="19"/>
  <c r="K23" i="19"/>
  <c r="Q22" i="19"/>
  <c r="P22" i="19"/>
  <c r="O22" i="19"/>
  <c r="N22" i="19"/>
  <c r="M22" i="19"/>
  <c r="L22" i="19"/>
  <c r="K22" i="19"/>
  <c r="R22" i="19" s="1"/>
  <c r="Q21" i="19"/>
  <c r="P21" i="19"/>
  <c r="O21" i="19"/>
  <c r="R21" i="19" s="1"/>
  <c r="N21" i="19"/>
  <c r="M21" i="19"/>
  <c r="L21" i="19"/>
  <c r="K21" i="19"/>
  <c r="Q20" i="19"/>
  <c r="P20" i="19"/>
  <c r="O20" i="19"/>
  <c r="N20" i="19"/>
  <c r="M20" i="19"/>
  <c r="L20" i="19"/>
  <c r="K20" i="19"/>
  <c r="R20" i="19" s="1"/>
  <c r="Q19" i="19"/>
  <c r="P19" i="19"/>
  <c r="O19" i="19"/>
  <c r="R19" i="19" s="1"/>
  <c r="N19" i="19"/>
  <c r="M19" i="19"/>
  <c r="L19" i="19"/>
  <c r="K19" i="19"/>
  <c r="Q18" i="19"/>
  <c r="P18" i="19"/>
  <c r="O18" i="19"/>
  <c r="N18" i="19"/>
  <c r="M18" i="19"/>
  <c r="L18" i="19"/>
  <c r="K18" i="19"/>
  <c r="R18" i="19" s="1"/>
  <c r="Q17" i="19"/>
  <c r="P17" i="19"/>
  <c r="O17" i="19"/>
  <c r="R17" i="19" s="1"/>
  <c r="N17" i="19"/>
  <c r="M17" i="19"/>
  <c r="L17" i="19"/>
  <c r="K17" i="19"/>
  <c r="Q16" i="19"/>
  <c r="P16" i="19"/>
  <c r="O16" i="19"/>
  <c r="N16" i="19"/>
  <c r="M16" i="19"/>
  <c r="L16" i="19"/>
  <c r="K16" i="19"/>
  <c r="R16" i="19" s="1"/>
  <c r="Q15" i="19"/>
  <c r="P15" i="19"/>
  <c r="O15" i="19"/>
  <c r="R15" i="19" s="1"/>
  <c r="N15" i="19"/>
  <c r="M15" i="19"/>
  <c r="L15" i="19"/>
  <c r="K15" i="19"/>
  <c r="Q14" i="19"/>
  <c r="P14" i="19"/>
  <c r="O14" i="19"/>
  <c r="N14" i="19"/>
  <c r="M14" i="19"/>
  <c r="L14" i="19"/>
  <c r="K14" i="19"/>
  <c r="R14" i="19" s="1"/>
  <c r="Q13" i="19"/>
  <c r="P13" i="19"/>
  <c r="O13" i="19"/>
  <c r="R13" i="19" s="1"/>
  <c r="N13" i="19"/>
  <c r="M13" i="19"/>
  <c r="L13" i="19"/>
  <c r="K13" i="19"/>
  <c r="Q12" i="19"/>
  <c r="P12" i="19"/>
  <c r="O12" i="19"/>
  <c r="N12" i="19"/>
  <c r="M12" i="19"/>
  <c r="L12" i="19"/>
  <c r="K12" i="19"/>
  <c r="R12" i="19" s="1"/>
  <c r="Q11" i="19"/>
  <c r="P11" i="19"/>
  <c r="O11" i="19"/>
  <c r="R11" i="19" s="1"/>
  <c r="N11" i="19"/>
  <c r="M11" i="19"/>
  <c r="L11" i="19"/>
  <c r="K11" i="19"/>
  <c r="Q10" i="19"/>
  <c r="P10" i="19"/>
  <c r="O10" i="19"/>
  <c r="N10" i="19"/>
  <c r="M10" i="19"/>
  <c r="L10" i="19"/>
  <c r="K10" i="19"/>
  <c r="R10" i="19" s="1"/>
  <c r="Q9" i="19"/>
  <c r="P9" i="19"/>
  <c r="O9" i="19"/>
  <c r="R9" i="19" s="1"/>
  <c r="N9" i="19"/>
  <c r="M9" i="19"/>
  <c r="L9" i="19"/>
  <c r="K9" i="19"/>
  <c r="Q8" i="19"/>
  <c r="P8" i="19"/>
  <c r="O8" i="19"/>
  <c r="N8" i="19"/>
  <c r="M8" i="19"/>
  <c r="L8" i="19"/>
  <c r="K8" i="19"/>
  <c r="R8" i="19" s="1"/>
  <c r="Q7" i="19"/>
  <c r="P7" i="19"/>
  <c r="O7" i="19"/>
  <c r="R7" i="19" s="1"/>
  <c r="N7" i="19"/>
  <c r="M7" i="19"/>
  <c r="L7" i="19"/>
  <c r="K7" i="19"/>
  <c r="Q6" i="19"/>
  <c r="P6" i="19"/>
  <c r="O6" i="19"/>
  <c r="N6" i="19"/>
  <c r="M6" i="19"/>
  <c r="L6" i="19"/>
  <c r="K6" i="19"/>
  <c r="R6" i="19" s="1"/>
  <c r="Q5" i="19"/>
  <c r="Q36" i="19" s="1"/>
  <c r="P5" i="19"/>
  <c r="P36" i="19" s="1"/>
  <c r="O5" i="19"/>
  <c r="O36" i="19" s="1"/>
  <c r="N5" i="19"/>
  <c r="N36" i="19" s="1"/>
  <c r="M5" i="19"/>
  <c r="M36" i="19" s="1"/>
  <c r="L5" i="19"/>
  <c r="L36" i="19" s="1"/>
  <c r="K5" i="19"/>
  <c r="F36" i="18"/>
  <c r="E36" i="18"/>
  <c r="D36" i="18"/>
  <c r="Q35" i="18"/>
  <c r="P35" i="18"/>
  <c r="O35" i="18"/>
  <c r="R35" i="18" s="1"/>
  <c r="N35" i="18"/>
  <c r="M35" i="18"/>
  <c r="L35" i="18"/>
  <c r="K35" i="18"/>
  <c r="Q34" i="18"/>
  <c r="P34" i="18"/>
  <c r="N34" i="18"/>
  <c r="M34" i="18"/>
  <c r="L34" i="18"/>
  <c r="K34" i="18"/>
  <c r="Q33" i="18"/>
  <c r="P33" i="18"/>
  <c r="N33" i="18"/>
  <c r="M33" i="18"/>
  <c r="L33" i="18"/>
  <c r="K33" i="18"/>
  <c r="Q32" i="18"/>
  <c r="P32" i="18"/>
  <c r="N32" i="18"/>
  <c r="M32" i="18"/>
  <c r="L32" i="18"/>
  <c r="K32" i="18"/>
  <c r="Q31" i="18"/>
  <c r="P31" i="18"/>
  <c r="N31" i="18"/>
  <c r="M31" i="18"/>
  <c r="L31" i="18"/>
  <c r="K31" i="18"/>
  <c r="Q30" i="18"/>
  <c r="P30" i="18"/>
  <c r="N30" i="18"/>
  <c r="M30" i="18"/>
  <c r="L30" i="18"/>
  <c r="K30" i="18"/>
  <c r="Q29" i="18"/>
  <c r="P29" i="18"/>
  <c r="N29" i="18"/>
  <c r="M29" i="18"/>
  <c r="L29" i="18"/>
  <c r="K29" i="18"/>
  <c r="Q28" i="18"/>
  <c r="P28" i="18"/>
  <c r="N28" i="18"/>
  <c r="M28" i="18"/>
  <c r="L28" i="18"/>
  <c r="K28" i="18"/>
  <c r="Q27" i="18"/>
  <c r="P27" i="18"/>
  <c r="N27" i="18"/>
  <c r="M27" i="18"/>
  <c r="L27" i="18"/>
  <c r="K27" i="18"/>
  <c r="Q26" i="18"/>
  <c r="P26" i="18"/>
  <c r="N26" i="18"/>
  <c r="M26" i="18"/>
  <c r="L26" i="18"/>
  <c r="K26" i="18"/>
  <c r="Q25" i="18"/>
  <c r="P25" i="18"/>
  <c r="N25" i="18"/>
  <c r="M25" i="18"/>
  <c r="L25" i="18"/>
  <c r="K25" i="18"/>
  <c r="Q24" i="18"/>
  <c r="P24" i="18"/>
  <c r="N24" i="18"/>
  <c r="M24" i="18"/>
  <c r="L24" i="18"/>
  <c r="K24" i="18"/>
  <c r="Q23" i="18"/>
  <c r="P23" i="18"/>
  <c r="N23" i="18"/>
  <c r="M23" i="18"/>
  <c r="L23" i="18"/>
  <c r="K23" i="18"/>
  <c r="Q22" i="18"/>
  <c r="P22" i="18"/>
  <c r="N22" i="18"/>
  <c r="M22" i="18"/>
  <c r="L22" i="18"/>
  <c r="K22" i="18"/>
  <c r="Q21" i="18"/>
  <c r="P21" i="18"/>
  <c r="N21" i="18"/>
  <c r="M21" i="18"/>
  <c r="L21" i="18"/>
  <c r="K21" i="18"/>
  <c r="Q20" i="18"/>
  <c r="P20" i="18"/>
  <c r="N20" i="18"/>
  <c r="M20" i="18"/>
  <c r="L20" i="18"/>
  <c r="K20" i="18"/>
  <c r="Q19" i="18"/>
  <c r="P19" i="18"/>
  <c r="N19" i="18"/>
  <c r="M19" i="18"/>
  <c r="L19" i="18"/>
  <c r="K19" i="18"/>
  <c r="Q18" i="18"/>
  <c r="P18" i="18"/>
  <c r="N18" i="18"/>
  <c r="M18" i="18"/>
  <c r="L18" i="18"/>
  <c r="K18" i="18"/>
  <c r="Q17" i="18"/>
  <c r="P17" i="18"/>
  <c r="N17" i="18"/>
  <c r="M17" i="18"/>
  <c r="L17" i="18"/>
  <c r="K17" i="18"/>
  <c r="Q16" i="18"/>
  <c r="P16" i="18"/>
  <c r="N16" i="18"/>
  <c r="M16" i="18"/>
  <c r="L16" i="18"/>
  <c r="K16" i="18"/>
  <c r="Q15" i="18"/>
  <c r="P15" i="18"/>
  <c r="N15" i="18"/>
  <c r="M15" i="18"/>
  <c r="L15" i="18"/>
  <c r="K15" i="18"/>
  <c r="Q14" i="18"/>
  <c r="P14" i="18"/>
  <c r="N14" i="18"/>
  <c r="M14" i="18"/>
  <c r="L14" i="18"/>
  <c r="K14" i="18"/>
  <c r="Q13" i="18"/>
  <c r="P13" i="18"/>
  <c r="N13" i="18"/>
  <c r="M13" i="18"/>
  <c r="L13" i="18"/>
  <c r="K13" i="18"/>
  <c r="Q12" i="18"/>
  <c r="P12" i="18"/>
  <c r="N12" i="18"/>
  <c r="M12" i="18"/>
  <c r="L12" i="18"/>
  <c r="K12" i="18"/>
  <c r="Q11" i="18"/>
  <c r="P11" i="18"/>
  <c r="N11" i="18"/>
  <c r="M11" i="18"/>
  <c r="L11" i="18"/>
  <c r="K11" i="18"/>
  <c r="Q10" i="18"/>
  <c r="P10" i="18"/>
  <c r="N10" i="18"/>
  <c r="M10" i="18"/>
  <c r="L10" i="18"/>
  <c r="K10" i="18"/>
  <c r="Q9" i="18"/>
  <c r="P9" i="18"/>
  <c r="N9" i="18"/>
  <c r="M9" i="18"/>
  <c r="L9" i="18"/>
  <c r="K9" i="18"/>
  <c r="Q8" i="18"/>
  <c r="P8" i="18"/>
  <c r="N8" i="18"/>
  <c r="M8" i="18"/>
  <c r="L8" i="18"/>
  <c r="K8" i="18"/>
  <c r="Q7" i="18"/>
  <c r="P7" i="18"/>
  <c r="N7" i="18"/>
  <c r="M7" i="18"/>
  <c r="L7" i="18"/>
  <c r="K7" i="18"/>
  <c r="H7" i="18"/>
  <c r="H8" i="18" s="1"/>
  <c r="Q6" i="18"/>
  <c r="P6" i="18"/>
  <c r="N6" i="18"/>
  <c r="M6" i="18"/>
  <c r="L6" i="18"/>
  <c r="K6" i="18"/>
  <c r="H6" i="18"/>
  <c r="O6" i="18" s="1"/>
  <c r="Q5" i="18"/>
  <c r="Q36" i="18" s="1"/>
  <c r="P5" i="18"/>
  <c r="P36" i="18" s="1"/>
  <c r="O5" i="18"/>
  <c r="N5" i="18"/>
  <c r="N36" i="18" s="1"/>
  <c r="M5" i="18"/>
  <c r="M36" i="18" s="1"/>
  <c r="L5" i="18"/>
  <c r="L36" i="18" s="1"/>
  <c r="K5" i="18"/>
  <c r="J4" i="23" l="1"/>
  <c r="J35" i="23" s="1"/>
  <c r="A1" i="23" s="1"/>
  <c r="AC38" i="22"/>
  <c r="AE37" i="22"/>
  <c r="U38" i="22"/>
  <c r="AE7" i="22"/>
  <c r="P8" i="22"/>
  <c r="K5" i="21"/>
  <c r="K36" i="21" s="1"/>
  <c r="A1" i="21" s="1"/>
  <c r="R9" i="20"/>
  <c r="K10" i="20"/>
  <c r="S9" i="20"/>
  <c r="R8" i="20"/>
  <c r="R5" i="19"/>
  <c r="R36" i="19" s="1"/>
  <c r="A1" i="19" s="1"/>
  <c r="K36" i="19"/>
  <c r="R6" i="18"/>
  <c r="O8" i="18"/>
  <c r="R8" i="18" s="1"/>
  <c r="H9" i="18"/>
  <c r="R5" i="18"/>
  <c r="K36" i="18"/>
  <c r="O7" i="18"/>
  <c r="P9" i="22" l="1"/>
  <c r="AD8" i="22"/>
  <c r="S8" i="20"/>
  <c r="K11" i="20"/>
  <c r="R10" i="20"/>
  <c r="S10" i="20" s="1"/>
  <c r="R7" i="18"/>
  <c r="H10" i="18"/>
  <c r="O9" i="18"/>
  <c r="R9" i="18" s="1"/>
  <c r="P10" i="22" l="1"/>
  <c r="AD9" i="22"/>
  <c r="AE9" i="22" s="1"/>
  <c r="AE8" i="22"/>
  <c r="K12" i="20"/>
  <c r="R11" i="20"/>
  <c r="S11" i="20" s="1"/>
  <c r="H11" i="18"/>
  <c r="O10" i="18"/>
  <c r="R10" i="18" s="1"/>
  <c r="P11" i="22" l="1"/>
  <c r="AD10" i="22"/>
  <c r="K13" i="20"/>
  <c r="R12" i="20"/>
  <c r="S12" i="20" s="1"/>
  <c r="H12" i="18"/>
  <c r="O11" i="18"/>
  <c r="R11" i="18" s="1"/>
  <c r="AD11" i="22" l="1"/>
  <c r="AE11" i="22" s="1"/>
  <c r="P12" i="22"/>
  <c r="AE10" i="22"/>
  <c r="K14" i="20"/>
  <c r="R13" i="20"/>
  <c r="S13" i="20" s="1"/>
  <c r="H13" i="18"/>
  <c r="O12" i="18"/>
  <c r="R12" i="18" s="1"/>
  <c r="AD12" i="22" l="1"/>
  <c r="P13" i="22"/>
  <c r="R14" i="20"/>
  <c r="S14" i="20" s="1"/>
  <c r="K15" i="20"/>
  <c r="H14" i="18"/>
  <c r="O13" i="18"/>
  <c r="R13" i="18" s="1"/>
  <c r="P14" i="22" l="1"/>
  <c r="AD13" i="22"/>
  <c r="AE13" i="22" s="1"/>
  <c r="AE12" i="22"/>
  <c r="K16" i="20"/>
  <c r="R15" i="20"/>
  <c r="S15" i="20" s="1"/>
  <c r="H15" i="18"/>
  <c r="O14" i="18"/>
  <c r="R14" i="18" s="1"/>
  <c r="P15" i="22" l="1"/>
  <c r="AD14" i="22"/>
  <c r="AE14" i="22" s="1"/>
  <c r="R16" i="20"/>
  <c r="S16" i="20" s="1"/>
  <c r="K17" i="20"/>
  <c r="O15" i="18"/>
  <c r="R15" i="18" s="1"/>
  <c r="H16" i="18"/>
  <c r="P16" i="22" l="1"/>
  <c r="AD15" i="22"/>
  <c r="AE15" i="22" s="1"/>
  <c r="K18" i="20"/>
  <c r="R17" i="20"/>
  <c r="S17" i="20" s="1"/>
  <c r="H17" i="18"/>
  <c r="O16" i="18"/>
  <c r="R16" i="18" s="1"/>
  <c r="P17" i="22" l="1"/>
  <c r="AD16" i="22"/>
  <c r="AE16" i="22" s="1"/>
  <c r="R18" i="20"/>
  <c r="S18" i="20" s="1"/>
  <c r="K19" i="20"/>
  <c r="O17" i="18"/>
  <c r="R17" i="18" s="1"/>
  <c r="H18" i="18"/>
  <c r="P18" i="22" l="1"/>
  <c r="AD17" i="22"/>
  <c r="AE17" i="22" s="1"/>
  <c r="K20" i="20"/>
  <c r="R19" i="20"/>
  <c r="S19" i="20" s="1"/>
  <c r="O18" i="18"/>
  <c r="R18" i="18" s="1"/>
  <c r="H19" i="18"/>
  <c r="P19" i="22" l="1"/>
  <c r="AD18" i="22"/>
  <c r="AE18" i="22" s="1"/>
  <c r="K21" i="20"/>
  <c r="R20" i="20"/>
  <c r="S20" i="20" s="1"/>
  <c r="H20" i="18"/>
  <c r="O19" i="18"/>
  <c r="R19" i="18" s="1"/>
  <c r="AD19" i="22" l="1"/>
  <c r="AE19" i="22" s="1"/>
  <c r="P20" i="22"/>
  <c r="K22" i="20"/>
  <c r="R21" i="20"/>
  <c r="S21" i="20" s="1"/>
  <c r="H21" i="18"/>
  <c r="O20" i="18"/>
  <c r="R20" i="18" s="1"/>
  <c r="AD20" i="22" l="1"/>
  <c r="AE20" i="22" s="1"/>
  <c r="P21" i="22"/>
  <c r="K23" i="20"/>
  <c r="R22" i="20"/>
  <c r="S22" i="20" s="1"/>
  <c r="O21" i="18"/>
  <c r="R21" i="18" s="1"/>
  <c r="H22" i="18"/>
  <c r="P22" i="22" l="1"/>
  <c r="AD21" i="22"/>
  <c r="AE21" i="22" s="1"/>
  <c r="R23" i="20"/>
  <c r="S23" i="20" s="1"/>
  <c r="K24" i="20"/>
  <c r="H23" i="18"/>
  <c r="O22" i="18"/>
  <c r="R22" i="18" s="1"/>
  <c r="P23" i="22" l="1"/>
  <c r="AD22" i="22"/>
  <c r="AE22" i="22" s="1"/>
  <c r="K25" i="20"/>
  <c r="R24" i="20"/>
  <c r="S24" i="20" s="1"/>
  <c r="H24" i="18"/>
  <c r="O23" i="18"/>
  <c r="R23" i="18" s="1"/>
  <c r="P24" i="22" l="1"/>
  <c r="AD23" i="22"/>
  <c r="AE23" i="22" s="1"/>
  <c r="R25" i="20"/>
  <c r="S25" i="20" s="1"/>
  <c r="K26" i="20"/>
  <c r="O24" i="18"/>
  <c r="R24" i="18" s="1"/>
  <c r="H25" i="18"/>
  <c r="P25" i="22" l="1"/>
  <c r="AD24" i="22"/>
  <c r="AE24" i="22" s="1"/>
  <c r="K27" i="20"/>
  <c r="R26" i="20"/>
  <c r="S26" i="20" s="1"/>
  <c r="H26" i="18"/>
  <c r="O25" i="18"/>
  <c r="R25" i="18" s="1"/>
  <c r="P26" i="22" l="1"/>
  <c r="AD25" i="22"/>
  <c r="AE25" i="22" s="1"/>
  <c r="K28" i="20"/>
  <c r="R27" i="20"/>
  <c r="S27" i="20" s="1"/>
  <c r="O26" i="18"/>
  <c r="R26" i="18" s="1"/>
  <c r="H27" i="18"/>
  <c r="P27" i="22" l="1"/>
  <c r="AD26" i="22"/>
  <c r="AE26" i="22" s="1"/>
  <c r="K29" i="20"/>
  <c r="R28" i="20"/>
  <c r="S28" i="20" s="1"/>
  <c r="H28" i="18"/>
  <c r="O27" i="18"/>
  <c r="R27" i="18" s="1"/>
  <c r="AD27" i="22" l="1"/>
  <c r="AE27" i="22" s="1"/>
  <c r="P28" i="22"/>
  <c r="K30" i="20"/>
  <c r="R29" i="20"/>
  <c r="S29" i="20" s="1"/>
  <c r="O28" i="18"/>
  <c r="R28" i="18" s="1"/>
  <c r="H29" i="18"/>
  <c r="AD28" i="22" l="1"/>
  <c r="AE28" i="22" s="1"/>
  <c r="P29" i="22"/>
  <c r="R30" i="20"/>
  <c r="S30" i="20" s="1"/>
  <c r="K31" i="20"/>
  <c r="H30" i="18"/>
  <c r="O29" i="18"/>
  <c r="R29" i="18" s="1"/>
  <c r="P30" i="22" l="1"/>
  <c r="AD29" i="22"/>
  <c r="AE29" i="22" s="1"/>
  <c r="K32" i="20"/>
  <c r="R31" i="20"/>
  <c r="S31" i="20" s="1"/>
  <c r="H31" i="18"/>
  <c r="O30" i="18"/>
  <c r="R30" i="18" s="1"/>
  <c r="P31" i="22" l="1"/>
  <c r="AD30" i="22"/>
  <c r="AE30" i="22" s="1"/>
  <c r="K33" i="20"/>
  <c r="R32" i="20"/>
  <c r="S32" i="20" s="1"/>
  <c r="O31" i="18"/>
  <c r="R31" i="18" s="1"/>
  <c r="H32" i="18"/>
  <c r="P32" i="22" l="1"/>
  <c r="AD31" i="22"/>
  <c r="AE31" i="22" s="1"/>
  <c r="K34" i="20"/>
  <c r="R33" i="20"/>
  <c r="S33" i="20" s="1"/>
  <c r="H33" i="18"/>
  <c r="O32" i="18"/>
  <c r="R32" i="18" s="1"/>
  <c r="P33" i="22" l="1"/>
  <c r="AD32" i="22"/>
  <c r="AE32" i="22" s="1"/>
  <c r="R34" i="20"/>
  <c r="S34" i="20" s="1"/>
  <c r="K35" i="20"/>
  <c r="O33" i="18"/>
  <c r="R33" i="18" s="1"/>
  <c r="H34" i="18"/>
  <c r="P34" i="22" l="1"/>
  <c r="AD33" i="22"/>
  <c r="AE33" i="22" s="1"/>
  <c r="K36" i="20"/>
  <c r="R35" i="20"/>
  <c r="S35" i="20" s="1"/>
  <c r="O34" i="18"/>
  <c r="H36" i="18"/>
  <c r="P35" i="22" l="1"/>
  <c r="AD34" i="22"/>
  <c r="AE34" i="22" s="1"/>
  <c r="R36" i="20"/>
  <c r="K38" i="20"/>
  <c r="R34" i="18"/>
  <c r="R36" i="18" s="1"/>
  <c r="A1" i="18" s="1"/>
  <c r="O36" i="18"/>
  <c r="AD35" i="22" l="1"/>
  <c r="AE35" i="22" s="1"/>
  <c r="P36" i="22"/>
  <c r="S36" i="20"/>
  <c r="S38" i="20" s="1"/>
  <c r="S39" i="20" s="1"/>
  <c r="A1" i="20" s="1"/>
  <c r="R38" i="20"/>
  <c r="AD36" i="22" l="1"/>
  <c r="P38" i="22"/>
  <c r="AE36" i="22" l="1"/>
  <c r="AE38" i="22" s="1"/>
  <c r="AE41" i="22" s="1"/>
  <c r="A1" i="22" s="1"/>
  <c r="AD38" i="22"/>
  <c r="B14" i="17" l="1"/>
  <c r="F11" i="17"/>
  <c r="G11" i="17" s="1"/>
  <c r="F10" i="17"/>
  <c r="G10" i="17" s="1"/>
  <c r="G12" i="17" s="1"/>
  <c r="A4" i="17"/>
  <c r="F12" i="17" l="1"/>
  <c r="B14" i="16" l="1"/>
  <c r="F11" i="16"/>
  <c r="G11" i="16" s="1"/>
  <c r="F10" i="16"/>
  <c r="G10" i="16" s="1"/>
  <c r="G12" i="16" s="1"/>
  <c r="A4" i="16"/>
  <c r="F12" i="16" l="1"/>
  <c r="B14" i="15"/>
  <c r="F11" i="15"/>
  <c r="G11" i="15" s="1"/>
  <c r="F10" i="15"/>
  <c r="F12" i="15" s="1"/>
  <c r="A4" i="15"/>
  <c r="G10" i="15" l="1"/>
  <c r="G12" i="15" s="1"/>
  <c r="D15" i="13"/>
  <c r="F15" i="13" s="1"/>
  <c r="D14" i="13"/>
  <c r="F14" i="13" s="1"/>
  <c r="D13" i="13"/>
  <c r="F13" i="13" s="1"/>
  <c r="F12" i="13"/>
  <c r="D11" i="13"/>
  <c r="F11" i="13" s="1"/>
  <c r="D10" i="13"/>
  <c r="F10" i="13" s="1"/>
  <c r="F17" i="13" s="1"/>
  <c r="F18" i="13" s="1"/>
  <c r="F19" i="13" s="1"/>
  <c r="A7" i="13"/>
  <c r="A4" i="13"/>
  <c r="A3" i="13"/>
  <c r="D15" i="12"/>
  <c r="F15" i="12" s="1"/>
  <c r="D14" i="12"/>
  <c r="F14" i="12" s="1"/>
  <c r="D13" i="12"/>
  <c r="F13" i="12" s="1"/>
  <c r="F12" i="12"/>
  <c r="D11" i="12"/>
  <c r="F11" i="12" s="1"/>
  <c r="D10" i="12"/>
  <c r="F10" i="12" s="1"/>
  <c r="A7" i="12"/>
  <c r="A4" i="12"/>
  <c r="A3" i="12"/>
  <c r="F17" i="11"/>
  <c r="F16" i="11"/>
  <c r="D15" i="11"/>
  <c r="F15" i="11" s="1"/>
  <c r="D14" i="11"/>
  <c r="F14" i="11" s="1"/>
  <c r="D13" i="11"/>
  <c r="F13" i="11" s="1"/>
  <c r="F12" i="11"/>
  <c r="D11" i="11"/>
  <c r="F11" i="11" s="1"/>
  <c r="D10" i="11"/>
  <c r="F10" i="11" s="1"/>
  <c r="A7" i="11"/>
  <c r="A4" i="11"/>
  <c r="A3" i="11"/>
  <c r="H37" i="10"/>
  <c r="F37" i="10"/>
  <c r="E37" i="10"/>
  <c r="D37" i="10"/>
  <c r="C37" i="10"/>
  <c r="P36" i="10"/>
  <c r="J36" i="10" s="1"/>
  <c r="N36" i="10"/>
  <c r="L36" i="10"/>
  <c r="K36" i="10"/>
  <c r="G36" i="10"/>
  <c r="M36" i="10" s="1"/>
  <c r="P35" i="10"/>
  <c r="J35" i="10" s="1"/>
  <c r="N35" i="10"/>
  <c r="L35" i="10"/>
  <c r="K35" i="10"/>
  <c r="P34" i="10"/>
  <c r="J34" i="10" s="1"/>
  <c r="N34" i="10"/>
  <c r="L34" i="10"/>
  <c r="K34" i="10"/>
  <c r="P33" i="10"/>
  <c r="I33" i="10" s="1"/>
  <c r="N33" i="10"/>
  <c r="L33" i="10"/>
  <c r="K33" i="10"/>
  <c r="P32" i="10"/>
  <c r="J32" i="10" s="1"/>
  <c r="N32" i="10"/>
  <c r="L32" i="10"/>
  <c r="K32" i="10"/>
  <c r="P31" i="10"/>
  <c r="J31" i="10" s="1"/>
  <c r="N31" i="10"/>
  <c r="L31" i="10"/>
  <c r="K31" i="10"/>
  <c r="P30" i="10"/>
  <c r="J30" i="10" s="1"/>
  <c r="N30" i="10"/>
  <c r="L30" i="10"/>
  <c r="K30" i="10"/>
  <c r="I30" i="10"/>
  <c r="P29" i="10"/>
  <c r="J29" i="10" s="1"/>
  <c r="N29" i="10"/>
  <c r="L29" i="10"/>
  <c r="K29" i="10"/>
  <c r="P28" i="10"/>
  <c r="I28" i="10" s="1"/>
  <c r="N28" i="10"/>
  <c r="L28" i="10"/>
  <c r="K28" i="10"/>
  <c r="P27" i="10"/>
  <c r="J27" i="10" s="1"/>
  <c r="N27" i="10"/>
  <c r="L27" i="10"/>
  <c r="K27" i="10"/>
  <c r="P26" i="10"/>
  <c r="J26" i="10" s="1"/>
  <c r="N26" i="10"/>
  <c r="L26" i="10"/>
  <c r="K26" i="10"/>
  <c r="I26" i="10"/>
  <c r="P25" i="10"/>
  <c r="J25" i="10" s="1"/>
  <c r="N25" i="10"/>
  <c r="L25" i="10"/>
  <c r="K25" i="10"/>
  <c r="P24" i="10"/>
  <c r="I24" i="10" s="1"/>
  <c r="N24" i="10"/>
  <c r="L24" i="10"/>
  <c r="K24" i="10"/>
  <c r="J24" i="10"/>
  <c r="P23" i="10"/>
  <c r="I23" i="10" s="1"/>
  <c r="N23" i="10"/>
  <c r="L23" i="10"/>
  <c r="K23" i="10"/>
  <c r="P22" i="10"/>
  <c r="J22" i="10" s="1"/>
  <c r="N22" i="10"/>
  <c r="L22" i="10"/>
  <c r="K22" i="10"/>
  <c r="P21" i="10"/>
  <c r="N21" i="10"/>
  <c r="L21" i="10"/>
  <c r="K21" i="10"/>
  <c r="J21" i="10"/>
  <c r="I21" i="10"/>
  <c r="P20" i="10"/>
  <c r="J20" i="10" s="1"/>
  <c r="N20" i="10"/>
  <c r="L20" i="10"/>
  <c r="K20" i="10"/>
  <c r="P19" i="10"/>
  <c r="J19" i="10" s="1"/>
  <c r="N19" i="10"/>
  <c r="L19" i="10"/>
  <c r="K19" i="10"/>
  <c r="P18" i="10"/>
  <c r="J18" i="10" s="1"/>
  <c r="N18" i="10"/>
  <c r="L18" i="10"/>
  <c r="K18" i="10"/>
  <c r="P17" i="10"/>
  <c r="I17" i="10" s="1"/>
  <c r="N17" i="10"/>
  <c r="L17" i="10"/>
  <c r="K17" i="10"/>
  <c r="P16" i="10"/>
  <c r="J16" i="10" s="1"/>
  <c r="N16" i="10"/>
  <c r="L16" i="10"/>
  <c r="K16" i="10"/>
  <c r="P15" i="10"/>
  <c r="J15" i="10" s="1"/>
  <c r="N15" i="10"/>
  <c r="L15" i="10"/>
  <c r="K15" i="10"/>
  <c r="P14" i="10"/>
  <c r="J14" i="10" s="1"/>
  <c r="N14" i="10"/>
  <c r="L14" i="10"/>
  <c r="K14" i="10"/>
  <c r="I14" i="10"/>
  <c r="P13" i="10"/>
  <c r="J13" i="10" s="1"/>
  <c r="N13" i="10"/>
  <c r="L13" i="10"/>
  <c r="K13" i="10"/>
  <c r="P12" i="10"/>
  <c r="J12" i="10" s="1"/>
  <c r="N12" i="10"/>
  <c r="L12" i="10"/>
  <c r="K12" i="10"/>
  <c r="I12" i="10"/>
  <c r="P11" i="10"/>
  <c r="N11" i="10"/>
  <c r="L11" i="10"/>
  <c r="K11" i="10"/>
  <c r="P10" i="10"/>
  <c r="J10" i="10" s="1"/>
  <c r="N10" i="10"/>
  <c r="L10" i="10"/>
  <c r="K10" i="10"/>
  <c r="P9" i="10"/>
  <c r="I9" i="10" s="1"/>
  <c r="N9" i="10"/>
  <c r="L9" i="10"/>
  <c r="K9" i="10"/>
  <c r="P8" i="10"/>
  <c r="J8" i="10" s="1"/>
  <c r="N8" i="10"/>
  <c r="L8" i="10"/>
  <c r="K8" i="10"/>
  <c r="P7" i="10"/>
  <c r="I7" i="10" s="1"/>
  <c r="N7" i="10"/>
  <c r="L7" i="10"/>
  <c r="K7" i="10"/>
  <c r="G7" i="10"/>
  <c r="G8" i="10" s="1"/>
  <c r="N6" i="10"/>
  <c r="N37" i="10" s="1"/>
  <c r="M6" i="10"/>
  <c r="L6" i="10"/>
  <c r="K6" i="10"/>
  <c r="J6" i="10"/>
  <c r="I6" i="10"/>
  <c r="A3" i="10"/>
  <c r="H37" i="9"/>
  <c r="F37" i="9"/>
  <c r="E37" i="9"/>
  <c r="D37" i="9"/>
  <c r="C37" i="9"/>
  <c r="P36" i="9"/>
  <c r="J36" i="9" s="1"/>
  <c r="N36" i="9"/>
  <c r="L36" i="9"/>
  <c r="K36" i="9"/>
  <c r="G36" i="9"/>
  <c r="M36" i="9" s="1"/>
  <c r="P35" i="9"/>
  <c r="J35" i="9" s="1"/>
  <c r="N35" i="9"/>
  <c r="L35" i="9"/>
  <c r="K35" i="9"/>
  <c r="P34" i="9"/>
  <c r="J34" i="9" s="1"/>
  <c r="N34" i="9"/>
  <c r="L34" i="9"/>
  <c r="K34" i="9"/>
  <c r="P33" i="9"/>
  <c r="I33" i="9" s="1"/>
  <c r="N33" i="9"/>
  <c r="L33" i="9"/>
  <c r="K33" i="9"/>
  <c r="P32" i="9"/>
  <c r="J32" i="9" s="1"/>
  <c r="N32" i="9"/>
  <c r="L32" i="9"/>
  <c r="K32" i="9"/>
  <c r="P31" i="9"/>
  <c r="J31" i="9" s="1"/>
  <c r="N31" i="9"/>
  <c r="L31" i="9"/>
  <c r="K31" i="9"/>
  <c r="P30" i="9"/>
  <c r="J30" i="9" s="1"/>
  <c r="N30" i="9"/>
  <c r="L30" i="9"/>
  <c r="K30" i="9"/>
  <c r="I30" i="9"/>
  <c r="P29" i="9"/>
  <c r="J29" i="9" s="1"/>
  <c r="N29" i="9"/>
  <c r="L29" i="9"/>
  <c r="K29" i="9"/>
  <c r="P28" i="9"/>
  <c r="I28" i="9" s="1"/>
  <c r="N28" i="9"/>
  <c r="L28" i="9"/>
  <c r="K28" i="9"/>
  <c r="J28" i="9"/>
  <c r="P27" i="9"/>
  <c r="J27" i="9" s="1"/>
  <c r="N27" i="9"/>
  <c r="L27" i="9"/>
  <c r="K27" i="9"/>
  <c r="P26" i="9"/>
  <c r="J26" i="9" s="1"/>
  <c r="N26" i="9"/>
  <c r="L26" i="9"/>
  <c r="K26" i="9"/>
  <c r="P25" i="9"/>
  <c r="N25" i="9"/>
  <c r="L25" i="9"/>
  <c r="K25" i="9"/>
  <c r="J25" i="9"/>
  <c r="I25" i="9"/>
  <c r="P24" i="9"/>
  <c r="J24" i="9" s="1"/>
  <c r="N24" i="9"/>
  <c r="L24" i="9"/>
  <c r="K24" i="9"/>
  <c r="P23" i="9"/>
  <c r="J23" i="9" s="1"/>
  <c r="N23" i="9"/>
  <c r="L23" i="9"/>
  <c r="K23" i="9"/>
  <c r="I23" i="9"/>
  <c r="P22" i="9"/>
  <c r="J22" i="9" s="1"/>
  <c r="N22" i="9"/>
  <c r="L22" i="9"/>
  <c r="K22" i="9"/>
  <c r="P21" i="9"/>
  <c r="I21" i="9" s="1"/>
  <c r="N21" i="9"/>
  <c r="L21" i="9"/>
  <c r="K21" i="9"/>
  <c r="J21" i="9"/>
  <c r="P20" i="9"/>
  <c r="J20" i="9" s="1"/>
  <c r="N20" i="9"/>
  <c r="L20" i="9"/>
  <c r="K20" i="9"/>
  <c r="P19" i="9"/>
  <c r="I19" i="9" s="1"/>
  <c r="N19" i="9"/>
  <c r="L19" i="9"/>
  <c r="K19" i="9"/>
  <c r="P18" i="9"/>
  <c r="J18" i="9" s="1"/>
  <c r="N18" i="9"/>
  <c r="L18" i="9"/>
  <c r="K18" i="9"/>
  <c r="P17" i="9"/>
  <c r="I17" i="9" s="1"/>
  <c r="N17" i="9"/>
  <c r="L17" i="9"/>
  <c r="K17" i="9"/>
  <c r="P16" i="9"/>
  <c r="J16" i="9" s="1"/>
  <c r="N16" i="9"/>
  <c r="L16" i="9"/>
  <c r="K16" i="9"/>
  <c r="P15" i="9"/>
  <c r="J15" i="9" s="1"/>
  <c r="N15" i="9"/>
  <c r="L15" i="9"/>
  <c r="K15" i="9"/>
  <c r="P14" i="9"/>
  <c r="N14" i="9"/>
  <c r="L14" i="9"/>
  <c r="K14" i="9"/>
  <c r="J14" i="9"/>
  <c r="I14" i="9"/>
  <c r="P13" i="9"/>
  <c r="J13" i="9" s="1"/>
  <c r="N13" i="9"/>
  <c r="L13" i="9"/>
  <c r="K13" i="9"/>
  <c r="P12" i="9"/>
  <c r="N12" i="9"/>
  <c r="L12" i="9"/>
  <c r="K12" i="9"/>
  <c r="J12" i="9"/>
  <c r="I12" i="9"/>
  <c r="P11" i="9"/>
  <c r="N11" i="9"/>
  <c r="L11" i="9"/>
  <c r="K11" i="9"/>
  <c r="P10" i="9"/>
  <c r="J10" i="9" s="1"/>
  <c r="N10" i="9"/>
  <c r="L10" i="9"/>
  <c r="K10" i="9"/>
  <c r="I10" i="9"/>
  <c r="P9" i="9"/>
  <c r="J9" i="9" s="1"/>
  <c r="N9" i="9"/>
  <c r="L9" i="9"/>
  <c r="K9" i="9"/>
  <c r="P8" i="9"/>
  <c r="J8" i="9" s="1"/>
  <c r="N8" i="9"/>
  <c r="L8" i="9"/>
  <c r="K8" i="9"/>
  <c r="P7" i="9"/>
  <c r="J7" i="9" s="1"/>
  <c r="N7" i="9"/>
  <c r="L7" i="9"/>
  <c r="K7" i="9"/>
  <c r="G7" i="9"/>
  <c r="G8" i="9" s="1"/>
  <c r="N6" i="9"/>
  <c r="N37" i="9" s="1"/>
  <c r="M6" i="9"/>
  <c r="L6" i="9"/>
  <c r="K6" i="9"/>
  <c r="J6" i="9"/>
  <c r="I6" i="9"/>
  <c r="A3" i="9"/>
  <c r="H37" i="8"/>
  <c r="F37" i="8"/>
  <c r="E37" i="8"/>
  <c r="P36" i="8"/>
  <c r="J36" i="8" s="1"/>
  <c r="N36" i="8"/>
  <c r="M36" i="8"/>
  <c r="L36" i="8"/>
  <c r="K36" i="8"/>
  <c r="P35" i="8"/>
  <c r="J35" i="8" s="1"/>
  <c r="N35" i="8"/>
  <c r="L35" i="8"/>
  <c r="K35" i="8"/>
  <c r="D35" i="8"/>
  <c r="C35" i="8"/>
  <c r="P34" i="8"/>
  <c r="I34" i="8" s="1"/>
  <c r="N34" i="8"/>
  <c r="L34" i="8"/>
  <c r="K34" i="8"/>
  <c r="D34" i="8"/>
  <c r="C34" i="8"/>
  <c r="P33" i="8"/>
  <c r="J33" i="8" s="1"/>
  <c r="N33" i="8"/>
  <c r="L33" i="8"/>
  <c r="K33" i="8"/>
  <c r="D33" i="8"/>
  <c r="C33" i="8"/>
  <c r="P32" i="8"/>
  <c r="J32" i="8" s="1"/>
  <c r="N32" i="8"/>
  <c r="L32" i="8"/>
  <c r="K32" i="8"/>
  <c r="I32" i="8"/>
  <c r="D32" i="8"/>
  <c r="C32" i="8"/>
  <c r="P31" i="8"/>
  <c r="J31" i="8" s="1"/>
  <c r="N31" i="8"/>
  <c r="L31" i="8"/>
  <c r="K31" i="8"/>
  <c r="D31" i="8"/>
  <c r="C31" i="8"/>
  <c r="P30" i="8"/>
  <c r="J30" i="8" s="1"/>
  <c r="N30" i="8"/>
  <c r="L30" i="8"/>
  <c r="K30" i="8"/>
  <c r="D30" i="8"/>
  <c r="C30" i="8"/>
  <c r="P29" i="8"/>
  <c r="I29" i="8" s="1"/>
  <c r="N29" i="8"/>
  <c r="L29" i="8"/>
  <c r="K29" i="8"/>
  <c r="J29" i="8"/>
  <c r="D29" i="8"/>
  <c r="C29" i="8"/>
  <c r="P28" i="8"/>
  <c r="J28" i="8" s="1"/>
  <c r="N28" i="8"/>
  <c r="L28" i="8"/>
  <c r="K28" i="8"/>
  <c r="D28" i="8"/>
  <c r="C28" i="8"/>
  <c r="I28" i="8" s="1"/>
  <c r="P27" i="8"/>
  <c r="J27" i="8" s="1"/>
  <c r="N27" i="8"/>
  <c r="L27" i="8"/>
  <c r="K27" i="8"/>
  <c r="I27" i="8"/>
  <c r="D27" i="8"/>
  <c r="C27" i="8"/>
  <c r="P26" i="8"/>
  <c r="N26" i="8"/>
  <c r="L26" i="8"/>
  <c r="K26" i="8"/>
  <c r="J26" i="8"/>
  <c r="I26" i="8"/>
  <c r="D26" i="8"/>
  <c r="C26" i="8"/>
  <c r="P25" i="8"/>
  <c r="N25" i="8"/>
  <c r="L25" i="8"/>
  <c r="K25" i="8"/>
  <c r="D25" i="8"/>
  <c r="C25" i="8"/>
  <c r="P24" i="8"/>
  <c r="I24" i="8" s="1"/>
  <c r="N24" i="8"/>
  <c r="L24" i="8"/>
  <c r="K24" i="8"/>
  <c r="J24" i="8"/>
  <c r="D24" i="8"/>
  <c r="C24" i="8"/>
  <c r="P23" i="8"/>
  <c r="I23" i="8" s="1"/>
  <c r="N23" i="8"/>
  <c r="L23" i="8"/>
  <c r="K23" i="8"/>
  <c r="D23" i="8"/>
  <c r="C23" i="8"/>
  <c r="P22" i="8"/>
  <c r="J22" i="8" s="1"/>
  <c r="N22" i="8"/>
  <c r="L22" i="8"/>
  <c r="K22" i="8"/>
  <c r="D22" i="8"/>
  <c r="C22" i="8"/>
  <c r="P21" i="8"/>
  <c r="J21" i="8" s="1"/>
  <c r="N21" i="8"/>
  <c r="L21" i="8"/>
  <c r="K21" i="8"/>
  <c r="D21" i="8"/>
  <c r="C21" i="8"/>
  <c r="P20" i="8"/>
  <c r="J20" i="8" s="1"/>
  <c r="N20" i="8"/>
  <c r="L20" i="8"/>
  <c r="K20" i="8"/>
  <c r="D20" i="8"/>
  <c r="C20" i="8"/>
  <c r="P19" i="8"/>
  <c r="N19" i="8"/>
  <c r="L19" i="8"/>
  <c r="K19" i="8"/>
  <c r="D19" i="8"/>
  <c r="J19" i="8" s="1"/>
  <c r="C19" i="8"/>
  <c r="P18" i="8"/>
  <c r="I18" i="8" s="1"/>
  <c r="N18" i="8"/>
  <c r="L18" i="8"/>
  <c r="K18" i="8"/>
  <c r="D18" i="8"/>
  <c r="J18" i="8" s="1"/>
  <c r="C18" i="8"/>
  <c r="P17" i="8"/>
  <c r="J17" i="8" s="1"/>
  <c r="N17" i="8"/>
  <c r="L17" i="8"/>
  <c r="K17" i="8"/>
  <c r="D17" i="8"/>
  <c r="C17" i="8"/>
  <c r="P16" i="8"/>
  <c r="J16" i="8" s="1"/>
  <c r="N16" i="8"/>
  <c r="L16" i="8"/>
  <c r="K16" i="8"/>
  <c r="I16" i="8"/>
  <c r="D16" i="8"/>
  <c r="C16" i="8"/>
  <c r="P15" i="8"/>
  <c r="I15" i="8" s="1"/>
  <c r="N15" i="8"/>
  <c r="L15" i="8"/>
  <c r="K15" i="8"/>
  <c r="D15" i="8"/>
  <c r="C15" i="8"/>
  <c r="P14" i="8"/>
  <c r="J14" i="8" s="1"/>
  <c r="N14" i="8"/>
  <c r="L14" i="8"/>
  <c r="K14" i="8"/>
  <c r="D14" i="8"/>
  <c r="C14" i="8"/>
  <c r="P13" i="8"/>
  <c r="N13" i="8"/>
  <c r="L13" i="8"/>
  <c r="K13" i="8"/>
  <c r="J13" i="8"/>
  <c r="I13" i="8"/>
  <c r="D13" i="8"/>
  <c r="C13" i="8"/>
  <c r="P12" i="8"/>
  <c r="J12" i="8" s="1"/>
  <c r="N12" i="8"/>
  <c r="L12" i="8"/>
  <c r="K12" i="8"/>
  <c r="D12" i="8"/>
  <c r="C12" i="8"/>
  <c r="P11" i="8"/>
  <c r="J11" i="8" s="1"/>
  <c r="N11" i="8"/>
  <c r="L11" i="8"/>
  <c r="K11" i="8"/>
  <c r="I11" i="8"/>
  <c r="D11" i="8"/>
  <c r="C11" i="8"/>
  <c r="P10" i="8"/>
  <c r="N10" i="8"/>
  <c r="L10" i="8"/>
  <c r="K10" i="8"/>
  <c r="D10" i="8"/>
  <c r="C10" i="8"/>
  <c r="P9" i="8"/>
  <c r="N9" i="8"/>
  <c r="L9" i="8"/>
  <c r="K9" i="8"/>
  <c r="D9" i="8"/>
  <c r="J9" i="8" s="1"/>
  <c r="C9" i="8"/>
  <c r="I9" i="8" s="1"/>
  <c r="P8" i="8"/>
  <c r="N8" i="8"/>
  <c r="L8" i="8"/>
  <c r="K8" i="8"/>
  <c r="D8" i="8"/>
  <c r="C8" i="8"/>
  <c r="P7" i="8"/>
  <c r="I7" i="8" s="1"/>
  <c r="N7" i="8"/>
  <c r="L7" i="8"/>
  <c r="K7" i="8"/>
  <c r="J7" i="8"/>
  <c r="D7" i="8"/>
  <c r="C7" i="8"/>
  <c r="P6" i="8"/>
  <c r="N6" i="8"/>
  <c r="N37" i="8" s="1"/>
  <c r="L6" i="8"/>
  <c r="L37" i="8" s="1"/>
  <c r="K6" i="8"/>
  <c r="K37" i="8" s="1"/>
  <c r="G6" i="8"/>
  <c r="G7" i="8" s="1"/>
  <c r="D6" i="8"/>
  <c r="D37" i="8" s="1"/>
  <c r="C6" i="8"/>
  <c r="C37" i="8" s="1"/>
  <c r="A3" i="8"/>
  <c r="H37" i="7"/>
  <c r="F37" i="7"/>
  <c r="E37" i="7"/>
  <c r="D37" i="7"/>
  <c r="C37" i="7"/>
  <c r="P36" i="7"/>
  <c r="J36" i="7" s="1"/>
  <c r="N36" i="7"/>
  <c r="L36" i="7"/>
  <c r="K36" i="7"/>
  <c r="G36" i="7"/>
  <c r="M36" i="7" s="1"/>
  <c r="P35" i="7"/>
  <c r="N35" i="7"/>
  <c r="L35" i="7"/>
  <c r="K35" i="7"/>
  <c r="P34" i="7"/>
  <c r="J34" i="7" s="1"/>
  <c r="N34" i="7"/>
  <c r="L34" i="7"/>
  <c r="K34" i="7"/>
  <c r="P33" i="7"/>
  <c r="I33" i="7" s="1"/>
  <c r="N33" i="7"/>
  <c r="L33" i="7"/>
  <c r="K33" i="7"/>
  <c r="J33" i="7"/>
  <c r="P32" i="7"/>
  <c r="J32" i="7" s="1"/>
  <c r="N32" i="7"/>
  <c r="L32" i="7"/>
  <c r="K32" i="7"/>
  <c r="P31" i="7"/>
  <c r="J31" i="7" s="1"/>
  <c r="N31" i="7"/>
  <c r="L31" i="7"/>
  <c r="K31" i="7"/>
  <c r="P30" i="7"/>
  <c r="J30" i="7" s="1"/>
  <c r="N30" i="7"/>
  <c r="L30" i="7"/>
  <c r="K30" i="7"/>
  <c r="P29" i="7"/>
  <c r="J29" i="7" s="1"/>
  <c r="N29" i="7"/>
  <c r="L29" i="7"/>
  <c r="K29" i="7"/>
  <c r="P28" i="7"/>
  <c r="N28" i="7"/>
  <c r="L28" i="7"/>
  <c r="K28" i="7"/>
  <c r="P27" i="7"/>
  <c r="J27" i="7" s="1"/>
  <c r="N27" i="7"/>
  <c r="L27" i="7"/>
  <c r="K27" i="7"/>
  <c r="P26" i="7"/>
  <c r="J26" i="7" s="1"/>
  <c r="N26" i="7"/>
  <c r="L26" i="7"/>
  <c r="K26" i="7"/>
  <c r="I26" i="7"/>
  <c r="P25" i="7"/>
  <c r="J25" i="7" s="1"/>
  <c r="N25" i="7"/>
  <c r="L25" i="7"/>
  <c r="K25" i="7"/>
  <c r="P24" i="7"/>
  <c r="J24" i="7" s="1"/>
  <c r="N24" i="7"/>
  <c r="L24" i="7"/>
  <c r="K24" i="7"/>
  <c r="P23" i="7"/>
  <c r="N23" i="7"/>
  <c r="L23" i="7"/>
  <c r="K23" i="7"/>
  <c r="J23" i="7"/>
  <c r="I23" i="7"/>
  <c r="P22" i="7"/>
  <c r="J22" i="7" s="1"/>
  <c r="N22" i="7"/>
  <c r="L22" i="7"/>
  <c r="K22" i="7"/>
  <c r="P21" i="7"/>
  <c r="J21" i="7" s="1"/>
  <c r="N21" i="7"/>
  <c r="L21" i="7"/>
  <c r="K21" i="7"/>
  <c r="I21" i="7"/>
  <c r="P20" i="7"/>
  <c r="J20" i="7" s="1"/>
  <c r="N20" i="7"/>
  <c r="L20" i="7"/>
  <c r="K20" i="7"/>
  <c r="P19" i="7"/>
  <c r="N19" i="7"/>
  <c r="L19" i="7"/>
  <c r="K19" i="7"/>
  <c r="J19" i="7"/>
  <c r="I19" i="7"/>
  <c r="P18" i="7"/>
  <c r="N18" i="7"/>
  <c r="L18" i="7"/>
  <c r="K18" i="7"/>
  <c r="P17" i="7"/>
  <c r="I17" i="7" s="1"/>
  <c r="N17" i="7"/>
  <c r="L17" i="7"/>
  <c r="K17" i="7"/>
  <c r="J17" i="7"/>
  <c r="P16" i="7"/>
  <c r="N16" i="7"/>
  <c r="L16" i="7"/>
  <c r="K16" i="7"/>
  <c r="J16" i="7"/>
  <c r="I16" i="7"/>
  <c r="P15" i="7"/>
  <c r="J15" i="7" s="1"/>
  <c r="N15" i="7"/>
  <c r="L15" i="7"/>
  <c r="K15" i="7"/>
  <c r="I15" i="7"/>
  <c r="P14" i="7"/>
  <c r="J14" i="7" s="1"/>
  <c r="N14" i="7"/>
  <c r="L14" i="7"/>
  <c r="K14" i="7"/>
  <c r="P13" i="7"/>
  <c r="J13" i="7" s="1"/>
  <c r="N13" i="7"/>
  <c r="L13" i="7"/>
  <c r="K13" i="7"/>
  <c r="P12" i="7"/>
  <c r="N12" i="7"/>
  <c r="L12" i="7"/>
  <c r="K12" i="7"/>
  <c r="P11" i="7"/>
  <c r="N11" i="7"/>
  <c r="L11" i="7"/>
  <c r="K11" i="7"/>
  <c r="P10" i="7"/>
  <c r="J10" i="7" s="1"/>
  <c r="N10" i="7"/>
  <c r="L10" i="7"/>
  <c r="K10" i="7"/>
  <c r="I10" i="7"/>
  <c r="P9" i="7"/>
  <c r="J9" i="7" s="1"/>
  <c r="N9" i="7"/>
  <c r="L9" i="7"/>
  <c r="K9" i="7"/>
  <c r="G9" i="7"/>
  <c r="G10" i="7" s="1"/>
  <c r="P8" i="7"/>
  <c r="J8" i="7" s="1"/>
  <c r="N8" i="7"/>
  <c r="M8" i="7"/>
  <c r="L8" i="7"/>
  <c r="K8" i="7"/>
  <c r="G8" i="7"/>
  <c r="P7" i="7"/>
  <c r="N7" i="7"/>
  <c r="M7" i="7"/>
  <c r="L7" i="7"/>
  <c r="K7" i="7"/>
  <c r="J7" i="7"/>
  <c r="I7" i="7"/>
  <c r="G7" i="7"/>
  <c r="N6" i="7"/>
  <c r="N37" i="7" s="1"/>
  <c r="M6" i="7"/>
  <c r="L6" i="7"/>
  <c r="K6" i="7"/>
  <c r="J6" i="7"/>
  <c r="I6" i="7"/>
  <c r="A3" i="7"/>
  <c r="M36" i="6"/>
  <c r="F36" i="6"/>
  <c r="E36" i="6"/>
  <c r="G36" i="6" s="1"/>
  <c r="C36" i="6"/>
  <c r="H36" i="6" s="1"/>
  <c r="L36" i="6" s="1"/>
  <c r="M35" i="6"/>
  <c r="H35" i="6"/>
  <c r="L35" i="6" s="1"/>
  <c r="F35" i="6"/>
  <c r="E35" i="6"/>
  <c r="G35" i="6" s="1"/>
  <c r="C35" i="6"/>
  <c r="D35" i="6" s="1"/>
  <c r="I35" i="6" s="1"/>
  <c r="M34" i="6"/>
  <c r="F34" i="6"/>
  <c r="E34" i="6"/>
  <c r="G34" i="6" s="1"/>
  <c r="C34" i="6"/>
  <c r="D34" i="6" s="1"/>
  <c r="I34" i="6" s="1"/>
  <c r="M33" i="6"/>
  <c r="F33" i="6"/>
  <c r="E33" i="6"/>
  <c r="G33" i="6" s="1"/>
  <c r="C33" i="6"/>
  <c r="D33" i="6" s="1"/>
  <c r="I33" i="6" s="1"/>
  <c r="M32" i="6"/>
  <c r="F32" i="6"/>
  <c r="E32" i="6"/>
  <c r="C32" i="6"/>
  <c r="D32" i="6" s="1"/>
  <c r="I32" i="6" s="1"/>
  <c r="M31" i="6"/>
  <c r="F31" i="6"/>
  <c r="E31" i="6"/>
  <c r="G31" i="6" s="1"/>
  <c r="C31" i="6"/>
  <c r="D31" i="6" s="1"/>
  <c r="I31" i="6" s="1"/>
  <c r="M30" i="6"/>
  <c r="F30" i="6"/>
  <c r="E30" i="6"/>
  <c r="G30" i="6" s="1"/>
  <c r="C30" i="6"/>
  <c r="H30" i="6" s="1"/>
  <c r="L30" i="6" s="1"/>
  <c r="M29" i="6"/>
  <c r="F29" i="6"/>
  <c r="E29" i="6"/>
  <c r="G29" i="6" s="1"/>
  <c r="C29" i="6"/>
  <c r="H29" i="6" s="1"/>
  <c r="L29" i="6" s="1"/>
  <c r="M28" i="6"/>
  <c r="F28" i="6"/>
  <c r="E28" i="6"/>
  <c r="G28" i="6" s="1"/>
  <c r="C28" i="6"/>
  <c r="D28" i="6" s="1"/>
  <c r="I28" i="6" s="1"/>
  <c r="M27" i="6"/>
  <c r="F27" i="6"/>
  <c r="E27" i="6"/>
  <c r="G27" i="6" s="1"/>
  <c r="J27" i="6" s="1"/>
  <c r="C27" i="6"/>
  <c r="D27" i="6" s="1"/>
  <c r="I27" i="6" s="1"/>
  <c r="M26" i="6"/>
  <c r="F26" i="6"/>
  <c r="K26" i="6" s="1"/>
  <c r="E26" i="6"/>
  <c r="C26" i="6"/>
  <c r="D26" i="6" s="1"/>
  <c r="I26" i="6" s="1"/>
  <c r="M25" i="6"/>
  <c r="K25" i="6" s="1"/>
  <c r="F25" i="6"/>
  <c r="E25" i="6"/>
  <c r="G25" i="6" s="1"/>
  <c r="C25" i="6"/>
  <c r="H25" i="6" s="1"/>
  <c r="L25" i="6" s="1"/>
  <c r="M24" i="6"/>
  <c r="F24" i="6"/>
  <c r="E24" i="6"/>
  <c r="G24" i="6" s="1"/>
  <c r="C24" i="6"/>
  <c r="H24" i="6" s="1"/>
  <c r="L24" i="6" s="1"/>
  <c r="M23" i="6"/>
  <c r="F23" i="6"/>
  <c r="E23" i="6"/>
  <c r="C23" i="6"/>
  <c r="D23" i="6" s="1"/>
  <c r="I23" i="6" s="1"/>
  <c r="M22" i="6"/>
  <c r="F22" i="6"/>
  <c r="K22" i="6" s="1"/>
  <c r="E22" i="6"/>
  <c r="G22" i="6" s="1"/>
  <c r="J22" i="6" s="1"/>
  <c r="C22" i="6"/>
  <c r="H22" i="6" s="1"/>
  <c r="L22" i="6" s="1"/>
  <c r="M21" i="6"/>
  <c r="F21" i="6"/>
  <c r="E21" i="6"/>
  <c r="G21" i="6" s="1"/>
  <c r="C21" i="6"/>
  <c r="D21" i="6" s="1"/>
  <c r="I21" i="6" s="1"/>
  <c r="M20" i="6"/>
  <c r="K20" i="6"/>
  <c r="H20" i="6"/>
  <c r="L20" i="6" s="1"/>
  <c r="G20" i="6"/>
  <c r="F20" i="6"/>
  <c r="E20" i="6"/>
  <c r="C20" i="6"/>
  <c r="D20" i="6" s="1"/>
  <c r="I20" i="6" s="1"/>
  <c r="M19" i="6"/>
  <c r="F19" i="6"/>
  <c r="E19" i="6"/>
  <c r="C19" i="6"/>
  <c r="H19" i="6" s="1"/>
  <c r="L19" i="6" s="1"/>
  <c r="M18" i="6"/>
  <c r="F18" i="6"/>
  <c r="E18" i="6"/>
  <c r="C18" i="6"/>
  <c r="M17" i="6"/>
  <c r="K17" i="6" s="1"/>
  <c r="H17" i="6"/>
  <c r="L17" i="6" s="1"/>
  <c r="F17" i="6"/>
  <c r="E17" i="6"/>
  <c r="G17" i="6" s="1"/>
  <c r="C17" i="6"/>
  <c r="D17" i="6" s="1"/>
  <c r="I17" i="6" s="1"/>
  <c r="M16" i="6"/>
  <c r="F16" i="6"/>
  <c r="E16" i="6"/>
  <c r="G16" i="6" s="1"/>
  <c r="C16" i="6"/>
  <c r="H16" i="6" s="1"/>
  <c r="L16" i="6" s="1"/>
  <c r="M15" i="6"/>
  <c r="F15" i="6"/>
  <c r="K15" i="6" s="1"/>
  <c r="E15" i="6"/>
  <c r="G15" i="6" s="1"/>
  <c r="C15" i="6"/>
  <c r="M14" i="6"/>
  <c r="F14" i="6"/>
  <c r="E14" i="6"/>
  <c r="C14" i="6"/>
  <c r="D14" i="6" s="1"/>
  <c r="I14" i="6" s="1"/>
  <c r="M13" i="6"/>
  <c r="F13" i="6"/>
  <c r="E13" i="6"/>
  <c r="G13" i="6" s="1"/>
  <c r="C13" i="6"/>
  <c r="H13" i="6" s="1"/>
  <c r="L13" i="6" s="1"/>
  <c r="M12" i="6"/>
  <c r="F12" i="6"/>
  <c r="E12" i="6"/>
  <c r="C12" i="6"/>
  <c r="D12" i="6" s="1"/>
  <c r="I12" i="6" s="1"/>
  <c r="M11" i="6"/>
  <c r="F11" i="6"/>
  <c r="K11" i="6" s="1"/>
  <c r="E11" i="6"/>
  <c r="G11" i="6" s="1"/>
  <c r="J11" i="6" s="1"/>
  <c r="C11" i="6"/>
  <c r="D11" i="6" s="1"/>
  <c r="I11" i="6" s="1"/>
  <c r="M10" i="6"/>
  <c r="F10" i="6"/>
  <c r="K10" i="6" s="1"/>
  <c r="E10" i="6"/>
  <c r="C10" i="6"/>
  <c r="D10" i="6" s="1"/>
  <c r="I10" i="6" s="1"/>
  <c r="M9" i="6"/>
  <c r="F9" i="6"/>
  <c r="E9" i="6"/>
  <c r="D9" i="6"/>
  <c r="I9" i="6" s="1"/>
  <c r="C9" i="6"/>
  <c r="H9" i="6" s="1"/>
  <c r="L9" i="6" s="1"/>
  <c r="M8" i="6"/>
  <c r="F8" i="6"/>
  <c r="K8" i="6" s="1"/>
  <c r="E8" i="6"/>
  <c r="G8" i="6" s="1"/>
  <c r="J8" i="6" s="1"/>
  <c r="C8" i="6"/>
  <c r="H8" i="6" s="1"/>
  <c r="L8" i="6" s="1"/>
  <c r="M7" i="6"/>
  <c r="F7" i="6"/>
  <c r="K7" i="6" s="1"/>
  <c r="E7" i="6"/>
  <c r="C7" i="6"/>
  <c r="D7" i="6" s="1"/>
  <c r="I7" i="6" s="1"/>
  <c r="M6" i="6"/>
  <c r="K6" i="6" s="1"/>
  <c r="K37" i="6" s="1"/>
  <c r="F6" i="6"/>
  <c r="F37" i="6" s="1"/>
  <c r="E6" i="6"/>
  <c r="E37" i="6" s="1"/>
  <c r="C6" i="6"/>
  <c r="H6" i="6" s="1"/>
  <c r="A3" i="6"/>
  <c r="J35" i="7" l="1"/>
  <c r="I35" i="7"/>
  <c r="D18" i="6"/>
  <c r="I18" i="6" s="1"/>
  <c r="H18" i="6"/>
  <c r="L18" i="6" s="1"/>
  <c r="D29" i="6"/>
  <c r="I29" i="6" s="1"/>
  <c r="J28" i="7"/>
  <c r="I28" i="7"/>
  <c r="J18" i="7"/>
  <c r="I18" i="7"/>
  <c r="G12" i="6"/>
  <c r="J12" i="7"/>
  <c r="I12" i="7"/>
  <c r="D15" i="6"/>
  <c r="I15" i="6" s="1"/>
  <c r="H15" i="6"/>
  <c r="L15" i="6" s="1"/>
  <c r="H12" i="6"/>
  <c r="L12" i="6" s="1"/>
  <c r="G23" i="6"/>
  <c r="G9" i="6"/>
  <c r="J10" i="8"/>
  <c r="I10" i="8"/>
  <c r="K23" i="6"/>
  <c r="O7" i="7"/>
  <c r="G32" i="6"/>
  <c r="I8" i="8"/>
  <c r="J8" i="8"/>
  <c r="K37" i="9"/>
  <c r="I32" i="9"/>
  <c r="K37" i="10"/>
  <c r="J9" i="10"/>
  <c r="I25" i="10"/>
  <c r="J28" i="10"/>
  <c r="K32" i="6"/>
  <c r="K35" i="6"/>
  <c r="K9" i="6"/>
  <c r="G18" i="6"/>
  <c r="J18" i="6" s="1"/>
  <c r="S3" i="8"/>
  <c r="K12" i="6"/>
  <c r="D24" i="6"/>
  <c r="I24" i="6" s="1"/>
  <c r="J29" i="6"/>
  <c r="D13" i="6"/>
  <c r="I13" i="6" s="1"/>
  <c r="J15" i="6"/>
  <c r="K18" i="6"/>
  <c r="H33" i="6"/>
  <c r="L33" i="6" s="1"/>
  <c r="K36" i="6"/>
  <c r="D8" i="6"/>
  <c r="I8" i="6" s="1"/>
  <c r="H21" i="6"/>
  <c r="L21" i="6" s="1"/>
  <c r="K33" i="6"/>
  <c r="H27" i="6"/>
  <c r="L27" i="6" s="1"/>
  <c r="I34" i="7"/>
  <c r="K13" i="6"/>
  <c r="G19" i="6"/>
  <c r="K21" i="6"/>
  <c r="J24" i="6"/>
  <c r="K27" i="6"/>
  <c r="K19" i="6"/>
  <c r="K37" i="7"/>
  <c r="K16" i="6"/>
  <c r="D25" i="6"/>
  <c r="I25" i="6" s="1"/>
  <c r="H34" i="6"/>
  <c r="L34" i="6" s="1"/>
  <c r="L37" i="7"/>
  <c r="S3" i="7"/>
  <c r="H11" i="6"/>
  <c r="L11" i="6" s="1"/>
  <c r="G14" i="6"/>
  <c r="K34" i="6"/>
  <c r="H14" i="6"/>
  <c r="L14" i="6" s="1"/>
  <c r="H28" i="6"/>
  <c r="L28" i="6" s="1"/>
  <c r="H31" i="6"/>
  <c r="L31" i="6" s="1"/>
  <c r="I9" i="7"/>
  <c r="I25" i="7"/>
  <c r="K14" i="6"/>
  <c r="J20" i="6"/>
  <c r="K28" i="6"/>
  <c r="K31" i="6"/>
  <c r="I32" i="7"/>
  <c r="J23" i="8"/>
  <c r="L37" i="9"/>
  <c r="I16" i="9"/>
  <c r="J19" i="9"/>
  <c r="L37" i="10"/>
  <c r="I16" i="10"/>
  <c r="I19" i="10"/>
  <c r="I35" i="10"/>
  <c r="I32" i="10"/>
  <c r="I26" i="9"/>
  <c r="F18" i="11"/>
  <c r="F19" i="11" s="1"/>
  <c r="F20" i="11" s="1"/>
  <c r="I7" i="9"/>
  <c r="J33" i="9"/>
  <c r="J7" i="10"/>
  <c r="I10" i="10"/>
  <c r="J23" i="10"/>
  <c r="I19" i="8"/>
  <c r="J17" i="9"/>
  <c r="J17" i="10"/>
  <c r="J37" i="10" s="1"/>
  <c r="J33" i="10"/>
  <c r="I12" i="8"/>
  <c r="J34" i="8"/>
  <c r="I34" i="9"/>
  <c r="I8" i="10"/>
  <c r="S3" i="9"/>
  <c r="I18" i="9"/>
  <c r="I18" i="10"/>
  <c r="I34" i="10"/>
  <c r="I25" i="8"/>
  <c r="S3" i="10"/>
  <c r="J25" i="8"/>
  <c r="I9" i="9"/>
  <c r="J15" i="8"/>
  <c r="I35" i="8"/>
  <c r="F17" i="12"/>
  <c r="F18" i="12" s="1"/>
  <c r="F19" i="12" s="1"/>
  <c r="G9" i="10"/>
  <c r="M8" i="10"/>
  <c r="O8" i="10" s="1"/>
  <c r="O6" i="10"/>
  <c r="R2" i="10"/>
  <c r="S2" i="10"/>
  <c r="M7" i="10"/>
  <c r="I11" i="10"/>
  <c r="I27" i="10"/>
  <c r="J11" i="10"/>
  <c r="I20" i="10"/>
  <c r="I36" i="10"/>
  <c r="O36" i="10" s="1"/>
  <c r="R3" i="10"/>
  <c r="I13" i="10"/>
  <c r="I29" i="10"/>
  <c r="I22" i="10"/>
  <c r="I15" i="10"/>
  <c r="I31" i="10"/>
  <c r="G9" i="9"/>
  <c r="M8" i="9"/>
  <c r="I35" i="9"/>
  <c r="O6" i="9"/>
  <c r="R2" i="9"/>
  <c r="S2" i="9"/>
  <c r="M7" i="9"/>
  <c r="O7" i="9" s="1"/>
  <c r="I11" i="9"/>
  <c r="I27" i="9"/>
  <c r="J11" i="9"/>
  <c r="J37" i="9" s="1"/>
  <c r="I20" i="9"/>
  <c r="I36" i="9"/>
  <c r="O36" i="9" s="1"/>
  <c r="R3" i="9"/>
  <c r="I13" i="9"/>
  <c r="I29" i="9"/>
  <c r="I22" i="9"/>
  <c r="I15" i="9"/>
  <c r="I31" i="9"/>
  <c r="I8" i="9"/>
  <c r="I24" i="9"/>
  <c r="G8" i="8"/>
  <c r="M7" i="8"/>
  <c r="O7" i="8" s="1"/>
  <c r="I6" i="8"/>
  <c r="I22" i="8"/>
  <c r="J6" i="8"/>
  <c r="I31" i="8"/>
  <c r="M6" i="8"/>
  <c r="I21" i="8"/>
  <c r="I36" i="8"/>
  <c r="O36" i="8" s="1"/>
  <c r="R2" i="8"/>
  <c r="I14" i="8"/>
  <c r="I30" i="8"/>
  <c r="S2" i="8"/>
  <c r="I17" i="8"/>
  <c r="I33" i="8"/>
  <c r="I20" i="8"/>
  <c r="R3" i="8"/>
  <c r="G11" i="7"/>
  <c r="M10" i="7"/>
  <c r="O10" i="7"/>
  <c r="O6" i="7"/>
  <c r="I14" i="7"/>
  <c r="I30" i="7"/>
  <c r="R2" i="7"/>
  <c r="S2" i="7"/>
  <c r="I11" i="7"/>
  <c r="I27" i="7"/>
  <c r="J11" i="7"/>
  <c r="J37" i="7" s="1"/>
  <c r="I20" i="7"/>
  <c r="I36" i="7"/>
  <c r="O36" i="7" s="1"/>
  <c r="R3" i="7"/>
  <c r="M9" i="7"/>
  <c r="O9" i="7" s="1"/>
  <c r="I13" i="7"/>
  <c r="I29" i="7"/>
  <c r="I22" i="7"/>
  <c r="I31" i="7"/>
  <c r="I8" i="7"/>
  <c r="O8" i="7" s="1"/>
  <c r="I24" i="7"/>
  <c r="J30" i="6"/>
  <c r="J19" i="6"/>
  <c r="H37" i="6"/>
  <c r="L6" i="6"/>
  <c r="L37" i="6" s="1"/>
  <c r="L38" i="6" s="1"/>
  <c r="G26" i="6"/>
  <c r="J26" i="6" s="1"/>
  <c r="K30" i="6"/>
  <c r="J33" i="6"/>
  <c r="G7" i="6"/>
  <c r="J7" i="6" s="1"/>
  <c r="J14" i="6"/>
  <c r="D16" i="6"/>
  <c r="I16" i="6" s="1"/>
  <c r="H7" i="6"/>
  <c r="L7" i="6" s="1"/>
  <c r="G10" i="6"/>
  <c r="J10" i="6" s="1"/>
  <c r="J17" i="6"/>
  <c r="D19" i="6"/>
  <c r="I19" i="6" s="1"/>
  <c r="H23" i="6"/>
  <c r="L23" i="6" s="1"/>
  <c r="D6" i="6"/>
  <c r="H10" i="6"/>
  <c r="L10" i="6" s="1"/>
  <c r="D22" i="6"/>
  <c r="I22" i="6" s="1"/>
  <c r="H26" i="6"/>
  <c r="L26" i="6" s="1"/>
  <c r="J36" i="6"/>
  <c r="K29" i="6"/>
  <c r="J32" i="6"/>
  <c r="C37" i="6"/>
  <c r="K24" i="6"/>
  <c r="J23" i="6"/>
  <c r="H32" i="6"/>
  <c r="L32" i="6" s="1"/>
  <c r="G6" i="6"/>
  <c r="J13" i="6"/>
  <c r="J16" i="6"/>
  <c r="J35" i="6"/>
  <c r="J9" i="6"/>
  <c r="J25" i="6"/>
  <c r="J12" i="6"/>
  <c r="J28" i="6"/>
  <c r="D30" i="6"/>
  <c r="I30" i="6" s="1"/>
  <c r="J31" i="6"/>
  <c r="J34" i="6"/>
  <c r="D36" i="6"/>
  <c r="I36" i="6" s="1"/>
  <c r="J21" i="6"/>
  <c r="J37" i="8" l="1"/>
  <c r="O7" i="10"/>
  <c r="G10" i="10"/>
  <c r="M9" i="10"/>
  <c r="O9" i="10" s="1"/>
  <c r="I37" i="10"/>
  <c r="O8" i="9"/>
  <c r="G10" i="9"/>
  <c r="M9" i="9"/>
  <c r="O9" i="9" s="1"/>
  <c r="I37" i="9"/>
  <c r="M8" i="8"/>
  <c r="O8" i="8" s="1"/>
  <c r="G9" i="8"/>
  <c r="O6" i="8"/>
  <c r="I37" i="8"/>
  <c r="M11" i="7"/>
  <c r="O11" i="7" s="1"/>
  <c r="G12" i="7"/>
  <c r="I37" i="7"/>
  <c r="J6" i="6"/>
  <c r="J37" i="6" s="1"/>
  <c r="G37" i="6"/>
  <c r="D37" i="6"/>
  <c r="I6" i="6"/>
  <c r="I37" i="6" s="1"/>
  <c r="G11" i="10" l="1"/>
  <c r="M10" i="10"/>
  <c r="O10" i="10" s="1"/>
  <c r="G11" i="9"/>
  <c r="M10" i="9"/>
  <c r="O10" i="9" s="1"/>
  <c r="G10" i="8"/>
  <c r="M9" i="8"/>
  <c r="G13" i="7"/>
  <c r="M12" i="7"/>
  <c r="M11" i="10" l="1"/>
  <c r="O11" i="10" s="1"/>
  <c r="G12" i="10"/>
  <c r="M11" i="9"/>
  <c r="O11" i="9" s="1"/>
  <c r="G12" i="9"/>
  <c r="O9" i="8"/>
  <c r="G11" i="8"/>
  <c r="M10" i="8"/>
  <c r="O10" i="8" s="1"/>
  <c r="O12" i="7"/>
  <c r="M13" i="7"/>
  <c r="O13" i="7" s="1"/>
  <c r="G14" i="7"/>
  <c r="G13" i="10" l="1"/>
  <c r="M12" i="10"/>
  <c r="O12" i="10" s="1"/>
  <c r="G13" i="9"/>
  <c r="M12" i="9"/>
  <c r="O12" i="9" s="1"/>
  <c r="M11" i="8"/>
  <c r="O11" i="8" s="1"/>
  <c r="G12" i="8"/>
  <c r="G15" i="7"/>
  <c r="M14" i="7"/>
  <c r="O14" i="7" s="1"/>
  <c r="M13" i="10" l="1"/>
  <c r="O13" i="10" s="1"/>
  <c r="G14" i="10"/>
  <c r="M13" i="9"/>
  <c r="O13" i="9" s="1"/>
  <c r="G14" i="9"/>
  <c r="G13" i="8"/>
  <c r="M12" i="8"/>
  <c r="G16" i="7"/>
  <c r="M15" i="7"/>
  <c r="O15" i="7" s="1"/>
  <c r="G15" i="10" l="1"/>
  <c r="M14" i="10"/>
  <c r="O14" i="10" s="1"/>
  <c r="G15" i="9"/>
  <c r="M14" i="9"/>
  <c r="O14" i="9" s="1"/>
  <c r="O12" i="8"/>
  <c r="G14" i="8"/>
  <c r="M13" i="8"/>
  <c r="O13" i="8" s="1"/>
  <c r="G17" i="7"/>
  <c r="M16" i="7"/>
  <c r="O16" i="7" s="1"/>
  <c r="G16" i="10" l="1"/>
  <c r="M15" i="10"/>
  <c r="O15" i="10" s="1"/>
  <c r="G16" i="9"/>
  <c r="M15" i="9"/>
  <c r="O15" i="9" s="1"/>
  <c r="M14" i="8"/>
  <c r="O14" i="8" s="1"/>
  <c r="G15" i="8"/>
  <c r="G18" i="7"/>
  <c r="M17" i="7"/>
  <c r="O17" i="7" s="1"/>
  <c r="G17" i="10" l="1"/>
  <c r="M16" i="10"/>
  <c r="O16" i="10" s="1"/>
  <c r="G17" i="9"/>
  <c r="M16" i="9"/>
  <c r="O16" i="9" s="1"/>
  <c r="M15" i="8"/>
  <c r="O15" i="8" s="1"/>
  <c r="G16" i="8"/>
  <c r="M18" i="7"/>
  <c r="O18" i="7" s="1"/>
  <c r="G19" i="7"/>
  <c r="G18" i="10" l="1"/>
  <c r="M17" i="10"/>
  <c r="O17" i="10" s="1"/>
  <c r="G18" i="9"/>
  <c r="M17" i="9"/>
  <c r="O17" i="9" s="1"/>
  <c r="G17" i="8"/>
  <c r="M16" i="8"/>
  <c r="O16" i="8" s="1"/>
  <c r="G20" i="7"/>
  <c r="M19" i="7"/>
  <c r="O19" i="7" s="1"/>
  <c r="M18" i="10" l="1"/>
  <c r="O18" i="10" s="1"/>
  <c r="G19" i="10"/>
  <c r="M18" i="9"/>
  <c r="O18" i="9" s="1"/>
  <c r="G19" i="9"/>
  <c r="G18" i="8"/>
  <c r="M17" i="8"/>
  <c r="O17" i="8" s="1"/>
  <c r="M20" i="7"/>
  <c r="O20" i="7" s="1"/>
  <c r="G21" i="7"/>
  <c r="G20" i="10" l="1"/>
  <c r="M19" i="10"/>
  <c r="O19" i="10" s="1"/>
  <c r="G20" i="9"/>
  <c r="M19" i="9"/>
  <c r="O19" i="9" s="1"/>
  <c r="M18" i="8"/>
  <c r="O18" i="8" s="1"/>
  <c r="G19" i="8"/>
  <c r="G22" i="7"/>
  <c r="M21" i="7"/>
  <c r="O21" i="7" s="1"/>
  <c r="M20" i="10" l="1"/>
  <c r="O20" i="10" s="1"/>
  <c r="G21" i="10"/>
  <c r="M20" i="9"/>
  <c r="O20" i="9" s="1"/>
  <c r="G21" i="9"/>
  <c r="G20" i="8"/>
  <c r="M19" i="8"/>
  <c r="O19" i="8" s="1"/>
  <c r="M22" i="7"/>
  <c r="O22" i="7" s="1"/>
  <c r="G23" i="7"/>
  <c r="G22" i="10" l="1"/>
  <c r="M21" i="10"/>
  <c r="O21" i="10" s="1"/>
  <c r="G22" i="9"/>
  <c r="M21" i="9"/>
  <c r="O21" i="9" s="1"/>
  <c r="G21" i="8"/>
  <c r="M20" i="8"/>
  <c r="O20" i="8" s="1"/>
  <c r="G24" i="7"/>
  <c r="M23" i="7"/>
  <c r="O23" i="7" s="1"/>
  <c r="M22" i="10" l="1"/>
  <c r="O22" i="10" s="1"/>
  <c r="G23" i="10"/>
  <c r="M22" i="9"/>
  <c r="O22" i="9" s="1"/>
  <c r="G23" i="9"/>
  <c r="M21" i="8"/>
  <c r="O21" i="8" s="1"/>
  <c r="G22" i="8"/>
  <c r="G25" i="7"/>
  <c r="M24" i="7"/>
  <c r="O24" i="7" s="1"/>
  <c r="G24" i="10" l="1"/>
  <c r="M23" i="10"/>
  <c r="O23" i="10" s="1"/>
  <c r="G24" i="9"/>
  <c r="M23" i="9"/>
  <c r="O23" i="9" s="1"/>
  <c r="G23" i="8"/>
  <c r="M22" i="8"/>
  <c r="O22" i="8" s="1"/>
  <c r="G26" i="7"/>
  <c r="M25" i="7"/>
  <c r="O25" i="7" s="1"/>
  <c r="G25" i="10" l="1"/>
  <c r="M24" i="10"/>
  <c r="O24" i="10" s="1"/>
  <c r="G25" i="9"/>
  <c r="M24" i="9"/>
  <c r="O24" i="9" s="1"/>
  <c r="G24" i="8"/>
  <c r="M23" i="8"/>
  <c r="O23" i="8" s="1"/>
  <c r="G27" i="7"/>
  <c r="M26" i="7"/>
  <c r="O26" i="7" s="1"/>
  <c r="G26" i="10" l="1"/>
  <c r="M25" i="10"/>
  <c r="O25" i="10" s="1"/>
  <c r="G26" i="9"/>
  <c r="M25" i="9"/>
  <c r="O25" i="9" s="1"/>
  <c r="M24" i="8"/>
  <c r="O24" i="8" s="1"/>
  <c r="G25" i="8"/>
  <c r="M27" i="7"/>
  <c r="O27" i="7" s="1"/>
  <c r="G28" i="7"/>
  <c r="G27" i="10" l="1"/>
  <c r="M26" i="10"/>
  <c r="O26" i="10" s="1"/>
  <c r="G27" i="9"/>
  <c r="M26" i="9"/>
  <c r="O26" i="9" s="1"/>
  <c r="G26" i="8"/>
  <c r="M25" i="8"/>
  <c r="O25" i="8" s="1"/>
  <c r="G29" i="7"/>
  <c r="M28" i="7"/>
  <c r="O28" i="7" s="1"/>
  <c r="M27" i="10" l="1"/>
  <c r="O27" i="10" s="1"/>
  <c r="G28" i="10"/>
  <c r="M27" i="9"/>
  <c r="O27" i="9" s="1"/>
  <c r="G28" i="9"/>
  <c r="G27" i="8"/>
  <c r="M26" i="8"/>
  <c r="O26" i="8" s="1"/>
  <c r="M29" i="7"/>
  <c r="O29" i="7" s="1"/>
  <c r="G30" i="7"/>
  <c r="G29" i="10" l="1"/>
  <c r="M28" i="10"/>
  <c r="O28" i="10" s="1"/>
  <c r="G29" i="9"/>
  <c r="M28" i="9"/>
  <c r="O28" i="9" s="1"/>
  <c r="M27" i="8"/>
  <c r="O27" i="8" s="1"/>
  <c r="G28" i="8"/>
  <c r="G31" i="7"/>
  <c r="M30" i="7"/>
  <c r="O30" i="7" s="1"/>
  <c r="M29" i="10" l="1"/>
  <c r="O29" i="10" s="1"/>
  <c r="G30" i="10"/>
  <c r="M29" i="9"/>
  <c r="O29" i="9" s="1"/>
  <c r="G30" i="9"/>
  <c r="G29" i="8"/>
  <c r="M28" i="8"/>
  <c r="O28" i="8" s="1"/>
  <c r="G32" i="7"/>
  <c r="M31" i="7"/>
  <c r="O31" i="7" s="1"/>
  <c r="G31" i="10" l="1"/>
  <c r="M30" i="10"/>
  <c r="O30" i="10" s="1"/>
  <c r="G31" i="9"/>
  <c r="M30" i="9"/>
  <c r="O30" i="9" s="1"/>
  <c r="G30" i="8"/>
  <c r="M29" i="8"/>
  <c r="O29" i="8" s="1"/>
  <c r="G33" i="7"/>
  <c r="M32" i="7"/>
  <c r="O32" i="7" s="1"/>
  <c r="G32" i="10" l="1"/>
  <c r="M31" i="10"/>
  <c r="O31" i="10" s="1"/>
  <c r="G32" i="9"/>
  <c r="M31" i="9"/>
  <c r="O31" i="9" s="1"/>
  <c r="M30" i="8"/>
  <c r="O30" i="8" s="1"/>
  <c r="G31" i="8"/>
  <c r="G34" i="7"/>
  <c r="M33" i="7"/>
  <c r="O33" i="7" s="1"/>
  <c r="G33" i="10" l="1"/>
  <c r="M32" i="10"/>
  <c r="O32" i="10" s="1"/>
  <c r="G33" i="9"/>
  <c r="M32" i="9"/>
  <c r="O32" i="9" s="1"/>
  <c r="M31" i="8"/>
  <c r="O31" i="8" s="1"/>
  <c r="G32" i="8"/>
  <c r="M34" i="7"/>
  <c r="O34" i="7" s="1"/>
  <c r="G35" i="7"/>
  <c r="G34" i="10" l="1"/>
  <c r="M33" i="10"/>
  <c r="O33" i="10" s="1"/>
  <c r="G34" i="9"/>
  <c r="M33" i="9"/>
  <c r="O33" i="9" s="1"/>
  <c r="G33" i="8"/>
  <c r="M32" i="8"/>
  <c r="O32" i="8" s="1"/>
  <c r="M35" i="7"/>
  <c r="G37" i="7"/>
  <c r="M34" i="10" l="1"/>
  <c r="O34" i="10" s="1"/>
  <c r="G35" i="10"/>
  <c r="M34" i="9"/>
  <c r="O34" i="9" s="1"/>
  <c r="G35" i="9"/>
  <c r="G34" i="8"/>
  <c r="M33" i="8"/>
  <c r="O33" i="8" s="1"/>
  <c r="O35" i="7"/>
  <c r="O37" i="7" s="1"/>
  <c r="O38" i="7" s="1"/>
  <c r="M37" i="7"/>
  <c r="M35" i="10" l="1"/>
  <c r="G37" i="10"/>
  <c r="M35" i="9"/>
  <c r="G37" i="9"/>
  <c r="M34" i="8"/>
  <c r="O34" i="8" s="1"/>
  <c r="G35" i="8"/>
  <c r="O35" i="10" l="1"/>
  <c r="O37" i="10" s="1"/>
  <c r="O38" i="10" s="1"/>
  <c r="M37" i="10"/>
  <c r="O35" i="9"/>
  <c r="O37" i="9" s="1"/>
  <c r="O38" i="9" s="1"/>
  <c r="M37" i="9"/>
  <c r="M35" i="8"/>
  <c r="G37" i="8"/>
  <c r="O35" i="8" l="1"/>
  <c r="O37" i="8" s="1"/>
  <c r="O38" i="8" s="1"/>
  <c r="M37" i="8"/>
  <c r="F14" i="5" l="1"/>
  <c r="F15" i="5" s="1"/>
  <c r="F16" i="5" s="1"/>
  <c r="C36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L50" i="3" a="1"/>
  <c r="G40" i="3" a="1"/>
  <c r="G51" i="3" a="1"/>
  <c r="B65" i="3" a="1"/>
  <c r="H48" i="3" a="1"/>
  <c r="G23" i="3" a="1"/>
  <c r="I45" i="3" a="1"/>
  <c r="C51" i="3" a="1"/>
  <c r="B61" i="3" a="1"/>
  <c r="J44" i="3" a="1"/>
  <c r="L49" i="3" a="1"/>
  <c r="G38" i="3" a="1"/>
  <c r="G31" i="3" a="1"/>
  <c r="G35" i="3" a="1"/>
  <c r="C31" i="3" a="1"/>
  <c r="D50" i="3" a="1"/>
  <c r="C25" i="3" a="1"/>
  <c r="F49" i="3" a="1"/>
  <c r="B57" i="3" a="1"/>
  <c r="G46" i="3" a="1"/>
  <c r="G19" i="3" a="1"/>
  <c r="G36" i="3" a="1"/>
  <c r="J49" i="3" a="1"/>
  <c r="K53" i="3" a="1"/>
  <c r="B44" i="3" a="1"/>
  <c r="C26" i="3" a="1"/>
  <c r="D49" i="3" a="1"/>
  <c r="E50" i="3" a="1"/>
  <c r="K46" i="3" a="1"/>
  <c r="K48" i="3" a="1"/>
  <c r="C21" i="3" a="1"/>
  <c r="E47" i="3" a="1"/>
  <c r="G53" i="3" a="1"/>
  <c r="F44" i="3" a="1"/>
  <c r="I52" i="3" a="1"/>
  <c r="C27" i="3" a="1"/>
  <c r="B49" i="3" a="1"/>
  <c r="C53" i="3" a="1"/>
  <c r="G34" i="3" a="1"/>
  <c r="K52" i="3" a="1"/>
  <c r="E48" i="3" a="1"/>
  <c r="D51" i="3" a="1"/>
  <c r="C44" i="3" a="1"/>
  <c r="E45" i="3" a="1"/>
  <c r="C48" i="3" a="1"/>
  <c r="L52" i="3" a="1"/>
  <c r="L45" i="3" a="1"/>
  <c r="F51" i="3" a="1"/>
  <c r="G32" i="3" a="1"/>
  <c r="H50" i="3" a="1"/>
  <c r="C23" i="3" a="1"/>
  <c r="I47" i="3" a="1"/>
  <c r="J51" i="3" a="1"/>
  <c r="G30" i="3" a="1"/>
  <c r="J53" i="3" a="1"/>
  <c r="H49" i="3" a="1"/>
  <c r="L44" i="3" a="1"/>
  <c r="F52" i="3" a="1"/>
  <c r="B45" i="3" a="1"/>
  <c r="E52" i="3" a="1"/>
  <c r="J46" i="3" a="1"/>
  <c r="D52" i="3" a="1"/>
  <c r="D45" i="3" a="1"/>
  <c r="E49" i="3" a="1"/>
  <c r="B64" i="3" a="1"/>
  <c r="G48" i="3" a="1"/>
  <c r="C19" i="3" a="1"/>
  <c r="H45" i="3" a="1"/>
  <c r="B51" i="3" a="1"/>
  <c r="B60" i="3" a="1"/>
  <c r="E46" i="3" a="1"/>
  <c r="E53" i="3" a="1"/>
  <c r="D46" i="3" a="1"/>
  <c r="C49" i="3" a="1"/>
  <c r="H53" i="3" a="1"/>
  <c r="B46" i="3" a="1"/>
  <c r="K50" i="3" a="1"/>
  <c r="G39" i="3" a="1"/>
  <c r="L47" i="3" a="1"/>
  <c r="B56" i="3" a="1"/>
  <c r="F46" i="3" a="1"/>
  <c r="H52" i="3" a="1"/>
  <c r="G26" i="3" a="1"/>
  <c r="I49" i="3" a="1"/>
  <c r="I46" i="3" a="1"/>
  <c r="G47" i="3" a="1"/>
  <c r="K44" i="3" a="1"/>
  <c r="G44" i="3" a="1"/>
  <c r="K51" i="3" a="1"/>
  <c r="I44" i="3" a="1"/>
  <c r="C50" i="3" a="1"/>
  <c r="G24" i="3" a="1"/>
  <c r="D47" i="3" a="1"/>
  <c r="F53" i="3" a="1"/>
  <c r="E44" i="3" a="1"/>
  <c r="G50" i="3" a="1"/>
  <c r="G22" i="3" a="1"/>
  <c r="H47" i="3" a="1"/>
  <c r="B53" i="3" a="1"/>
  <c r="B63" i="3" a="1"/>
  <c r="C52" i="3" a="1"/>
  <c r="C47" i="3" a="1"/>
  <c r="D48" i="3" a="1"/>
  <c r="C33" i="3" a="1"/>
  <c r="C34" i="3" a="1"/>
  <c r="J48" i="3" a="1"/>
  <c r="G20" i="3" a="1"/>
  <c r="K45" i="3" a="1"/>
  <c r="E51" i="3" a="1"/>
  <c r="C32" i="3" a="1"/>
  <c r="F48" i="3" a="1"/>
  <c r="G52" i="3" a="1"/>
  <c r="G45" i="3" a="1"/>
  <c r="I51" i="3" a="1"/>
  <c r="F50" i="3" a="1"/>
  <c r="C22" i="3" a="1"/>
  <c r="F45" i="3" a="1"/>
  <c r="G21" i="3" a="1"/>
  <c r="D53" i="3" a="1"/>
  <c r="G27" i="3" a="1"/>
  <c r="C30" i="3" a="1"/>
  <c r="B48" i="3" a="1"/>
  <c r="C45" i="3" a="1"/>
  <c r="L46" i="3" a="1"/>
  <c r="L48" i="3" a="1"/>
  <c r="G37" i="3" a="1"/>
  <c r="B67" i="3" a="1"/>
  <c r="F47" i="3" a="1"/>
  <c r="B59" i="3" a="1"/>
  <c r="H44" i="3" a="1"/>
  <c r="J50" i="3" a="1"/>
  <c r="G28" i="3" a="1"/>
  <c r="K47" i="3" a="1"/>
  <c r="L51" i="3" a="1"/>
  <c r="D44" i="3" a="1"/>
  <c r="K49" i="3" a="1"/>
  <c r="J47" i="3" a="1"/>
  <c r="B47" i="3" a="1"/>
  <c r="I53" i="3" a="1"/>
  <c r="G33" i="3" a="1"/>
  <c r="B50" i="3" a="1"/>
  <c r="C24" i="3" a="1"/>
  <c r="G25" i="3" a="1"/>
  <c r="B58" i="3" a="1"/>
  <c r="H51" i="3" a="1"/>
  <c r="G29" i="3" a="1"/>
  <c r="I48" i="3" a="1"/>
  <c r="C20" i="3" a="1"/>
  <c r="J45" i="3" a="1"/>
  <c r="B62" i="3" a="1"/>
  <c r="B52" i="3" a="1"/>
  <c r="C46" i="3" a="1"/>
  <c r="G49" i="3" a="1"/>
  <c r="B66" i="3" a="1"/>
  <c r="H46" i="3" a="1"/>
  <c r="J52" i="3" a="1"/>
  <c r="L53" i="3" a="1"/>
  <c r="I50" i="3" a="1"/>
  <c r="G21" i="3" l="1"/>
  <c r="G25" i="3"/>
  <c r="F45" i="3"/>
  <c r="G47" i="3"/>
  <c r="H49" i="3"/>
  <c r="I51" i="3"/>
  <c r="B53" i="3"/>
  <c r="J53" i="3"/>
  <c r="B60" i="3"/>
  <c r="D7" i="3" s="1"/>
  <c r="G30" i="3"/>
  <c r="G34" i="3"/>
  <c r="B44" i="3"/>
  <c r="J44" i="3"/>
  <c r="C46" i="3"/>
  <c r="K46" i="3"/>
  <c r="D48" i="3"/>
  <c r="L48" i="3"/>
  <c r="E50" i="3"/>
  <c r="F52" i="3"/>
  <c r="C22" i="3"/>
  <c r="C26" i="3"/>
  <c r="G45" i="3"/>
  <c r="H47" i="3"/>
  <c r="I49" i="3"/>
  <c r="B51" i="3"/>
  <c r="J51" i="3"/>
  <c r="C53" i="3"/>
  <c r="K53" i="3"/>
  <c r="B61" i="3"/>
  <c r="D10" i="3" s="1"/>
  <c r="C31" i="3"/>
  <c r="G35" i="3"/>
  <c r="C44" i="3"/>
  <c r="K44" i="3"/>
  <c r="D46" i="3"/>
  <c r="L46" i="3"/>
  <c r="E48" i="3"/>
  <c r="F50" i="3"/>
  <c r="G52" i="3"/>
  <c r="G22" i="3"/>
  <c r="G26" i="3"/>
  <c r="H45" i="3"/>
  <c r="I47" i="3"/>
  <c r="B49" i="3"/>
  <c r="J49" i="3"/>
  <c r="C51" i="3"/>
  <c r="K51" i="3"/>
  <c r="D53" i="3"/>
  <c r="L53" i="3"/>
  <c r="B62" i="3"/>
  <c r="D9" i="3" s="1"/>
  <c r="G31" i="3"/>
  <c r="D44" i="3"/>
  <c r="L44" i="3"/>
  <c r="E46" i="3"/>
  <c r="F48" i="3"/>
  <c r="G50" i="3"/>
  <c r="H52" i="3"/>
  <c r="C19" i="3"/>
  <c r="C23" i="3"/>
  <c r="C27" i="3"/>
  <c r="G36" i="3"/>
  <c r="E9" i="3" s="1"/>
  <c r="I45" i="3"/>
  <c r="B47" i="3"/>
  <c r="J47" i="3"/>
  <c r="C49" i="3"/>
  <c r="K49" i="3"/>
  <c r="D51" i="3"/>
  <c r="L51" i="3"/>
  <c r="E53" i="3"/>
  <c r="B63" i="3"/>
  <c r="D11" i="3" s="1"/>
  <c r="C32" i="3"/>
  <c r="E44" i="3"/>
  <c r="F46" i="3"/>
  <c r="G48" i="3"/>
  <c r="H50" i="3"/>
  <c r="I52" i="3"/>
  <c r="G19" i="3"/>
  <c r="G23" i="3"/>
  <c r="G27" i="3"/>
  <c r="E12" i="3" s="1"/>
  <c r="G37" i="3"/>
  <c r="E10" i="3" s="1"/>
  <c r="B45" i="3"/>
  <c r="M45" i="3" s="1"/>
  <c r="B5" i="3" s="1"/>
  <c r="J45" i="3"/>
  <c r="C47" i="3"/>
  <c r="K47" i="3"/>
  <c r="D49" i="3"/>
  <c r="L49" i="3"/>
  <c r="E51" i="3"/>
  <c r="F53" i="3"/>
  <c r="B56" i="3"/>
  <c r="B64" i="3"/>
  <c r="D12" i="3" s="1"/>
  <c r="G32" i="3"/>
  <c r="E7" i="3" s="1"/>
  <c r="F44" i="3"/>
  <c r="G46" i="3"/>
  <c r="H48" i="3"/>
  <c r="I50" i="3"/>
  <c r="B52" i="3"/>
  <c r="J52" i="3"/>
  <c r="C20" i="3"/>
  <c r="C24" i="3"/>
  <c r="F15" i="3" s="1"/>
  <c r="G28" i="3"/>
  <c r="G38" i="3"/>
  <c r="C45" i="3"/>
  <c r="K45" i="3"/>
  <c r="D47" i="3"/>
  <c r="L47" i="3"/>
  <c r="E49" i="3"/>
  <c r="F51" i="3"/>
  <c r="G53" i="3"/>
  <c r="B57" i="3"/>
  <c r="D5" i="3" s="1"/>
  <c r="B65" i="3"/>
  <c r="D13" i="3" s="1"/>
  <c r="C33" i="3"/>
  <c r="G44" i="3"/>
  <c r="H46" i="3"/>
  <c r="I48" i="3"/>
  <c r="B50" i="3"/>
  <c r="J50" i="3"/>
  <c r="C52" i="3"/>
  <c r="K52" i="3"/>
  <c r="G20" i="3"/>
  <c r="G24" i="3"/>
  <c r="G39" i="3"/>
  <c r="D45" i="3"/>
  <c r="L45" i="3"/>
  <c r="E47" i="3"/>
  <c r="F49" i="3"/>
  <c r="G51" i="3"/>
  <c r="H53" i="3"/>
  <c r="B58" i="3"/>
  <c r="D14" i="3" s="1"/>
  <c r="G14" i="3" s="1"/>
  <c r="B66" i="3"/>
  <c r="D15" i="3" s="1"/>
  <c r="G29" i="3"/>
  <c r="G33" i="3"/>
  <c r="H44" i="3"/>
  <c r="I46" i="3"/>
  <c r="B48" i="3"/>
  <c r="J48" i="3"/>
  <c r="C50" i="3"/>
  <c r="K50" i="3"/>
  <c r="D52" i="3"/>
  <c r="L52" i="3"/>
  <c r="C21" i="3"/>
  <c r="C25" i="3"/>
  <c r="F5" i="3" s="1"/>
  <c r="G40" i="3"/>
  <c r="E45" i="3"/>
  <c r="F47" i="3"/>
  <c r="G49" i="3"/>
  <c r="H51" i="3"/>
  <c r="I53" i="3"/>
  <c r="B59" i="3"/>
  <c r="D6" i="3" s="1"/>
  <c r="B67" i="3"/>
  <c r="D8" i="3" s="1"/>
  <c r="C30" i="3"/>
  <c r="C34" i="3"/>
  <c r="I44" i="3"/>
  <c r="B46" i="3"/>
  <c r="J46" i="3"/>
  <c r="C48" i="3"/>
  <c r="K48" i="3"/>
  <c r="D50" i="3"/>
  <c r="L50" i="3"/>
  <c r="E52" i="3"/>
  <c r="C29" i="3" l="1"/>
  <c r="C13" i="3" s="1"/>
  <c r="M47" i="3"/>
  <c r="B7" i="3" s="1"/>
  <c r="G7" i="3" s="1"/>
  <c r="M49" i="3"/>
  <c r="B9" i="3" s="1"/>
  <c r="G9" i="3" s="1"/>
  <c r="F4" i="3"/>
  <c r="F16" i="3" s="1"/>
  <c r="C18" i="3"/>
  <c r="M46" i="3"/>
  <c r="B6" i="3" s="1"/>
  <c r="D4" i="3"/>
  <c r="D16" i="3" s="1"/>
  <c r="B55" i="3"/>
  <c r="M53" i="3"/>
  <c r="B15" i="3" s="1"/>
  <c r="G15" i="3" s="1"/>
  <c r="E6" i="3"/>
  <c r="C16" i="3"/>
  <c r="G13" i="3"/>
  <c r="M48" i="3"/>
  <c r="B8" i="3" s="1"/>
  <c r="G8" i="3" s="1"/>
  <c r="M52" i="3"/>
  <c r="B12" i="3" s="1"/>
  <c r="G12" i="3" s="1"/>
  <c r="M44" i="3"/>
  <c r="E5" i="3"/>
  <c r="G5" i="3" s="1"/>
  <c r="E4" i="3"/>
  <c r="G18" i="3"/>
  <c r="M51" i="3"/>
  <c r="B11" i="3" s="1"/>
  <c r="M50" i="3"/>
  <c r="B10" i="3" s="1"/>
  <c r="G10" i="3" s="1"/>
  <c r="E11" i="3"/>
  <c r="E16" i="3" l="1"/>
  <c r="G6" i="3"/>
  <c r="B4" i="3"/>
  <c r="K42" i="3"/>
  <c r="I36" i="3" s="1"/>
  <c r="G11" i="3"/>
  <c r="B16" i="3" l="1"/>
  <c r="G4" i="3"/>
  <c r="G16" i="3" s="1"/>
  <c r="A1" i="3" s="1"/>
  <c r="K36" i="2" l="1"/>
  <c r="J36" i="2"/>
  <c r="I36" i="2"/>
  <c r="H36" i="2"/>
  <c r="E36" i="2"/>
  <c r="D36" i="2"/>
  <c r="S35" i="2"/>
  <c r="R35" i="2"/>
  <c r="Q35" i="2"/>
  <c r="O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R7" i="2"/>
  <c r="Q7" i="2"/>
  <c r="N7" i="2"/>
  <c r="M7" i="2"/>
  <c r="L7" i="2"/>
  <c r="S6" i="2"/>
  <c r="R6" i="2"/>
  <c r="Q6" i="2"/>
  <c r="N6" i="2"/>
  <c r="M6" i="2"/>
  <c r="L6" i="2"/>
  <c r="F6" i="2"/>
  <c r="O6" i="2" s="1"/>
  <c r="S5" i="2"/>
  <c r="S36" i="2" s="1"/>
  <c r="R5" i="2"/>
  <c r="R36" i="2" s="1"/>
  <c r="Q5" i="2"/>
  <c r="Q36" i="2" s="1"/>
  <c r="O5" i="2"/>
  <c r="N5" i="2"/>
  <c r="N36" i="2" s="1"/>
  <c r="M5" i="2"/>
  <c r="M36" i="2" s="1"/>
  <c r="L5" i="2"/>
  <c r="L36" i="2" s="1"/>
  <c r="F5" i="2"/>
  <c r="A2" i="2"/>
  <c r="F7" i="2" l="1"/>
  <c r="G7" i="2"/>
  <c r="P7" i="2" s="1"/>
  <c r="G35" i="2"/>
  <c r="P35" i="2" s="1"/>
  <c r="T35" i="2" s="1"/>
  <c r="G6" i="2"/>
  <c r="P6" i="2" s="1"/>
  <c r="T6" i="2" s="1"/>
  <c r="G5" i="2"/>
  <c r="P5" i="2" l="1"/>
  <c r="F8" i="2"/>
  <c r="O7" i="2"/>
  <c r="F9" i="2" l="1"/>
  <c r="O8" i="2"/>
  <c r="G8" i="2"/>
  <c r="T7" i="2"/>
  <c r="T5" i="2"/>
  <c r="T8" i="2" l="1"/>
  <c r="O9" i="2"/>
  <c r="F10" i="2"/>
  <c r="G9" i="2"/>
  <c r="P9" i="2" s="1"/>
  <c r="P8" i="2"/>
  <c r="F11" i="2" l="1"/>
  <c r="O10" i="2"/>
  <c r="G10" i="2"/>
  <c r="P10" i="2" s="1"/>
  <c r="T9" i="2"/>
  <c r="T10" i="2" l="1"/>
  <c r="F12" i="2"/>
  <c r="O11" i="2"/>
  <c r="G11" i="2"/>
  <c r="P11" i="2" s="1"/>
  <c r="T11" i="2" l="1"/>
  <c r="O12" i="2"/>
  <c r="F13" i="2"/>
  <c r="G12" i="2"/>
  <c r="P12" i="2" s="1"/>
  <c r="F14" i="2" l="1"/>
  <c r="O13" i="2"/>
  <c r="G13" i="2"/>
  <c r="P13" i="2" s="1"/>
  <c r="T12" i="2"/>
  <c r="T13" i="2" l="1"/>
  <c r="F15" i="2"/>
  <c r="O14" i="2"/>
  <c r="G14" i="2"/>
  <c r="P14" i="2" s="1"/>
  <c r="O15" i="2" l="1"/>
  <c r="F16" i="2"/>
  <c r="G15" i="2"/>
  <c r="P15" i="2" s="1"/>
  <c r="T14" i="2"/>
  <c r="F17" i="2" l="1"/>
  <c r="O16" i="2"/>
  <c r="G16" i="2"/>
  <c r="P16" i="2" s="1"/>
  <c r="T15" i="2"/>
  <c r="T16" i="2" l="1"/>
  <c r="F18" i="2"/>
  <c r="O17" i="2"/>
  <c r="G17" i="2"/>
  <c r="P17" i="2" s="1"/>
  <c r="O18" i="2" l="1"/>
  <c r="F19" i="2"/>
  <c r="G18" i="2"/>
  <c r="P18" i="2" s="1"/>
  <c r="T17" i="2"/>
  <c r="O19" i="2" l="1"/>
  <c r="F20" i="2"/>
  <c r="G19" i="2"/>
  <c r="P19" i="2" s="1"/>
  <c r="T18" i="2"/>
  <c r="F21" i="2" l="1"/>
  <c r="O20" i="2"/>
  <c r="G20" i="2"/>
  <c r="P20" i="2" s="1"/>
  <c r="T19" i="2"/>
  <c r="T20" i="2" l="1"/>
  <c r="F22" i="2"/>
  <c r="O21" i="2"/>
  <c r="G21" i="2"/>
  <c r="P21" i="2" s="1"/>
  <c r="T21" i="2" l="1"/>
  <c r="O22" i="2"/>
  <c r="F23" i="2"/>
  <c r="G22" i="2"/>
  <c r="P22" i="2" s="1"/>
  <c r="F24" i="2" l="1"/>
  <c r="O23" i="2"/>
  <c r="G23" i="2"/>
  <c r="P23" i="2" s="1"/>
  <c r="T22" i="2"/>
  <c r="T23" i="2" l="1"/>
  <c r="F25" i="2"/>
  <c r="O24" i="2"/>
  <c r="G24" i="2"/>
  <c r="P24" i="2" s="1"/>
  <c r="O25" i="2" l="1"/>
  <c r="F26" i="2"/>
  <c r="G25" i="2"/>
  <c r="P25" i="2" s="1"/>
  <c r="T24" i="2"/>
  <c r="F27" i="2" l="1"/>
  <c r="O26" i="2"/>
  <c r="G26" i="2"/>
  <c r="P26" i="2" s="1"/>
  <c r="T25" i="2"/>
  <c r="T26" i="2" l="1"/>
  <c r="F28" i="2"/>
  <c r="O27" i="2"/>
  <c r="G27" i="2"/>
  <c r="P27" i="2" s="1"/>
  <c r="O28" i="2" l="1"/>
  <c r="F29" i="2"/>
  <c r="G28" i="2"/>
  <c r="P28" i="2" s="1"/>
  <c r="T27" i="2"/>
  <c r="F30" i="2" l="1"/>
  <c r="O29" i="2"/>
  <c r="G29" i="2"/>
  <c r="P29" i="2" s="1"/>
  <c r="T28" i="2"/>
  <c r="T29" i="2" l="1"/>
  <c r="F31" i="2"/>
  <c r="O30" i="2"/>
  <c r="G30" i="2"/>
  <c r="P30" i="2" s="1"/>
  <c r="O31" i="2" l="1"/>
  <c r="F32" i="2"/>
  <c r="G31" i="2"/>
  <c r="P31" i="2" s="1"/>
  <c r="T30" i="2"/>
  <c r="F33" i="2" l="1"/>
  <c r="O32" i="2"/>
  <c r="G32" i="2"/>
  <c r="P32" i="2" s="1"/>
  <c r="T31" i="2"/>
  <c r="T32" i="2" l="1"/>
  <c r="F34" i="2"/>
  <c r="O33" i="2"/>
  <c r="G33" i="2"/>
  <c r="P33" i="2" s="1"/>
  <c r="T33" i="2" l="1"/>
  <c r="O34" i="2"/>
  <c r="G34" i="2"/>
  <c r="F36" i="2"/>
  <c r="O36" i="2" l="1"/>
  <c r="P34" i="2"/>
  <c r="P36" i="2" s="1"/>
  <c r="G36" i="2"/>
  <c r="T34" i="2" l="1"/>
  <c r="T36" i="2" s="1"/>
  <c r="T37" i="2" s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<sst xmlns="http://schemas.openxmlformats.org/spreadsheetml/2006/main" count="1955" uniqueCount="282">
  <si>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</si>
  <si>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</si>
  <si>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</si>
  <si>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</si>
  <si>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</si>
  <si>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</si>
  <si>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</si>
  <si>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</si>
  <si>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</si>
  <si>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</si>
  <si>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</si>
  <si>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</si>
  <si>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</si>
  <si>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</si>
  <si>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</si>
  <si>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</si>
  <si>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</si>
  <si>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</si>
  <si>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</si>
  <si>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</si>
  <si>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</si>
  <si>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</si>
  <si>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</si>
  <si>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</si>
  <si>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</si>
  <si>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</si>
  <si>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</si>
  <si>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</si>
  <si>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</si>
  <si>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</si>
  <si>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</si>
  <si>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</si>
  <si>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</si>
  <si>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</si>
  <si>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</si>
  <si>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</si>
  <si>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</si>
  <si>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</si>
  <si>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</si>
  <si>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</si>
  <si>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</si>
  <si>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</si>
  <si>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</si>
  <si>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</si>
  <si>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</si>
  <si>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</si>
  <si>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</si>
  <si>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</si>
  <si>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</si>
  <si>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</si>
  <si>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</si>
  <si>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</si>
  <si>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</si>
  <si>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</si>
  <si>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</si>
  <si>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</si>
  <si>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</si>
  <si>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</si>
  <si>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</si>
  <si>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</si>
  <si>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Комитаус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</si>
  <si>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</si>
  <si>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</si>
  <si>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</si>
  <si>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</si>
  <si>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</si>
  <si>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</si>
  <si>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</si>
  <si>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</si>
  <si>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</si>
  <si>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Полиэфир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</si>
  <si>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</si>
  <si>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</si>
  <si>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</si>
  <si>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</si>
  <si>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</si>
  <si>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</si>
  <si>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</si>
  <si>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</si>
  <si>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</si>
  <si>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</si>
  <si>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</si>
  <si>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</si>
  <si>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</si>
  <si>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</si>
  <si>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</si>
  <si>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</si>
  <si>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</si>
  <si>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</si>
  <si>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</si>
  <si>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</si>
  <si>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</si>
  <si>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</si>
  <si>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Резерв 8000 т</t>
  </si>
  <si>
    <t>Приемка</t>
  </si>
  <si>
    <t>Отгрузка</t>
  </si>
  <si>
    <t>Резерв ПРР 300 т</t>
  </si>
  <si>
    <t>Стоимость резерва хранения</t>
  </si>
  <si>
    <t>Стоимость ПРР</t>
  </si>
  <si>
    <t>Стоимость резерва ПРР</t>
  </si>
  <si>
    <t>Выходной</t>
  </si>
  <si>
    <t>Рабочий</t>
  </si>
  <si>
    <t>Выгрузка</t>
  </si>
  <si>
    <t>Выгрузка кол-во тонн</t>
  </si>
  <si>
    <t>Загрузка кол-во тонн</t>
  </si>
  <si>
    <t>Выгрузка после 20:00</t>
  </si>
  <si>
    <t>Загрузка после 20:00</t>
  </si>
  <si>
    <t>Стоимость выгрузки после 20:00</t>
  </si>
  <si>
    <t>Стоимость загрузки после 20:00</t>
  </si>
  <si>
    <t>(кол-во тонн)</t>
  </si>
  <si>
    <t>С НДС;</t>
  </si>
  <si>
    <t xml:space="preserve">по Договору хранения № РУС 4102 от «20» февраля 2023 г.      </t>
  </si>
  <si>
    <t xml:space="preserve">     </t>
  </si>
  <si>
    <t>Приемка товара</t>
  </si>
  <si>
    <t>тонн</t>
  </si>
  <si>
    <t>Приемка товара в выходные дни</t>
  </si>
  <si>
    <t>Приемка после 20:00</t>
  </si>
  <si>
    <t>Загрузка товара в выходные дни</t>
  </si>
  <si>
    <t>Загрузка товара</t>
  </si>
  <si>
    <t>Хранение товара</t>
  </si>
  <si>
    <t>Резерв хранения</t>
  </si>
  <si>
    <t>Резерв ПРР</t>
  </si>
  <si>
    <t>ООО "РусВинил"</t>
  </si>
  <si>
    <t>____________________Расстегаев Д.О.</t>
  </si>
  <si>
    <t>Акт  №    от  «30» Ноября 2025 г. Нижнекамск</t>
  </si>
  <si>
    <t xml:space="preserve">по Договору хранения № СХ.47103 от «10» апреля 2025 г.      </t>
  </si>
  <si>
    <t xml:space="preserve"> Во исполнение Договора в период с "01" Ноября 2025 г. по "30" Ноября  2025 г. ХРАНИТЕЛЬ оказал ПОКЛАЖЕДАТЕЛЮ следующие услуги (работы):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</si>
  <si>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</si>
  <si>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</si>
  <si>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</si>
  <si>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</si>
  <si>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</si>
  <si>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</si>
  <si>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пятьдесят две тысячи рублей ноль копеек</t>
  </si>
  <si>
    <t xml:space="preserve">Без налога (НДС): </t>
  </si>
  <si>
    <t>шестьдесят две тысячи четыреста рублей ноль копеек</t>
  </si>
  <si>
    <t>ПАО "СИБУР Холдинг"</t>
  </si>
  <si>
    <t>Акт  №    от  «30» Ноября 2025 г. Нижний Новгород склад Баумана</t>
  </si>
  <si>
    <t xml:space="preserve">по Договору хранения № СХ.45411 от «01» января 2025 г.      </t>
  </si>
  <si>
    <t>Семнадцать тысяч рублей ноль копеек</t>
  </si>
  <si>
    <t>Двадцать тысяч четыреста рублей ноль копеек</t>
  </si>
  <si>
    <t>Акт  №    от  «30» Ноября 2025 г. Зеленодольск</t>
  </si>
  <si>
    <t>четырнадцать тысяч рублей ноль копеек</t>
  </si>
  <si>
    <t>шестнадцать тысяч восемьсот рублей ноль копеек</t>
  </si>
  <si>
    <t>Отчет по хранению  товара  за Ноябрь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</si>
  <si>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</si>
  <si>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</si>
  <si>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</si>
  <si>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</si>
  <si>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</si>
  <si>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</si>
  <si>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</si>
  <si>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</si>
  <si>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</si>
  <si>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</si>
  <si>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</si>
  <si>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Ноябрь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</si>
  <si>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</si>
  <si>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</si>
  <si>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</si>
  <si>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</si>
  <si>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</si>
  <si>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</si>
  <si>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</si>
  <si>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</si>
  <si>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</si>
  <si>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Ноябрь</t>
  </si>
  <si>
    <t>ручная загрузка</t>
  </si>
  <si>
    <t>стоимость загр.. Работ</t>
  </si>
  <si>
    <t>мультипак</t>
  </si>
  <si>
    <t>шт,.</t>
  </si>
  <si>
    <t>Отчет "Доктор Франк" Ноябрь 2025</t>
  </si>
  <si>
    <t>Предоставление паддона</t>
  </si>
  <si>
    <t>оформление и выдача ТТН</t>
  </si>
  <si>
    <t>Печать этикеток</t>
  </si>
  <si>
    <t>Маркировка</t>
  </si>
  <si>
    <t xml:space="preserve">Перекладка Товара  </t>
  </si>
  <si>
    <t>Упаковка в стрейч</t>
  </si>
  <si>
    <t>Упаковка в пупырку</t>
  </si>
  <si>
    <t>Паллеты</t>
  </si>
  <si>
    <t>Документы</t>
  </si>
  <si>
    <t xml:space="preserve">Перекладка товара </t>
  </si>
  <si>
    <t>Отчет по хранению  товара  Ергарда за Ноябрь</t>
  </si>
  <si>
    <t>Акт  №    от  30 Ноября 2025</t>
  </si>
  <si>
    <t xml:space="preserve">по Договору хранения № СХ.39036 от «01» июня 2023 г.      </t>
  </si>
  <si>
    <t xml:space="preserve"> Во исполнение Договора в период с 01 Ноября 2025 г. По 30 Ноября 2025  г. ХРАНИТЕЛЬ оказал ПОКЛАЖЕДАТЕЛЮ следующие услуги (работы):</t>
  </si>
  <si>
    <t>Переконсолидация Товара</t>
  </si>
  <si>
    <t>тонна</t>
  </si>
  <si>
    <t>Предоставление фито поддона</t>
  </si>
  <si>
    <t>штука</t>
  </si>
  <si>
    <t>Акт  №    от  «30» Сентября 2025 г. Казань_Приволжская</t>
  </si>
  <si>
    <t xml:space="preserve"> Во исполнение Договора в период с "01" Сентября 2025 г. по "30" Сентября  2025 г. ХРАНИТЕЛЬ оказал ПОКЛАЖЕДАТЕЛЮ следующие услуги (работы):</t>
  </si>
  <si>
    <t>десять тысяч рублей ноль копеек</t>
  </si>
  <si>
    <t>двеналцать тысяч рублей ноль копеек</t>
  </si>
  <si>
    <t>Акт  №    от  «30» Ноября 2025 г. Казань_Автосервисная</t>
  </si>
  <si>
    <t>десять тысячь рублей ноль копеек</t>
  </si>
  <si>
    <t>двенадцать тысяч рублей ноль копеек</t>
  </si>
  <si>
    <t>Акт  №    от  «30» Ноября 2025 г. Екатеринбург</t>
  </si>
  <si>
    <t>восемьдесят шесть тысяч рублей ноль копеек</t>
  </si>
  <si>
    <t>сто три тысячи двести рублей ноль копеек</t>
  </si>
  <si>
    <t>Переборка синтетического каучука</t>
  </si>
  <si>
    <t>Отчет по хранению товара за Ноябрь 2025 Баумана KPI</t>
  </si>
  <si>
    <t>Резервирование 6920 ГЕ</t>
  </si>
  <si>
    <t>Мин. Суточный резерв 625</t>
  </si>
  <si>
    <t>Взвешивание</t>
  </si>
  <si>
    <t>Стоимость взвешивания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</si>
  <si>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</si>
  <si>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</si>
  <si>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</si>
  <si>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</si>
  <si>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</si>
  <si>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</si>
  <si>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</si>
  <si>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</si>
  <si>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</si>
  <si>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</si>
  <si>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</si>
  <si>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</si>
  <si>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</si>
  <si>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</si>
  <si>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</si>
  <si>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</si>
  <si>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</si>
  <si>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</si>
  <si>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</si>
  <si>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</si>
  <si>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</si>
  <si>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</si>
  <si>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</si>
  <si>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</si>
  <si>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</si>
  <si>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</si>
  <si>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</si>
  <si>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</si>
  <si>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</si>
  <si>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</si>
  <si>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Отчет по хранению товара за Ноябрь 2025 Баумана Полимеры</t>
  </si>
  <si>
    <t>Отчет по хранению товара за Ноябрь 2025 Баумана Полиом</t>
  </si>
  <si>
    <t>Отчет по хранению товара за Ноябрь 2025 Баумана Каучук Каучук</t>
  </si>
  <si>
    <t>Резервирование 8000 ГЕ</t>
  </si>
  <si>
    <t>Мин. Суточный резерв 200</t>
  </si>
  <si>
    <t>Отчет по хранению товара за Ноябрь 2025 Екатеринбург KPI</t>
  </si>
  <si>
    <t>Резервирование 10500 ГЕ</t>
  </si>
  <si>
    <t>Мин. Суточный резерв 1000</t>
  </si>
  <si>
    <t>стоимость взвешивания</t>
  </si>
  <si>
    <t>Отчет по хранению товара за Ноябрь 2025 Екатеринбург Полимеры</t>
  </si>
  <si>
    <t>Отчет по хранению товара за Ноябрь 2025 Екатеринбург Полиом</t>
  </si>
  <si>
    <t>Отчет по хранению товара за Ноябрь 2025 Зеленодольск Полимеры</t>
  </si>
  <si>
    <t>Резервирование 9500 ГЕ</t>
  </si>
  <si>
    <t>Мин. Суточный резерв 700</t>
  </si>
  <si>
    <t>Отчет по хранению товара за Ноябрь 2025 Зеленодольск Данафлекс Данафлекс</t>
  </si>
  <si>
    <t>Мин. Суточный резерв 800</t>
  </si>
  <si>
    <t>Отчет по хранению товара за Ноябрь 2025 Казань_Автосервисная Полимеры</t>
  </si>
  <si>
    <t>Резервирование 12000 т</t>
  </si>
  <si>
    <t>Мин. Суточный резерв 1000 т</t>
  </si>
  <si>
    <t>Отчет по хранению товара за Ноябрь 2025 Казань_Автосервисная Полиом</t>
  </si>
  <si>
    <t>Отчет по хранению товара за Ноябрь 2025 Казань_Приволжская Полимеры</t>
  </si>
  <si>
    <t>Резервирование 6000 т</t>
  </si>
  <si>
    <t>Мин. Суточный резерв 500 т</t>
  </si>
  <si>
    <t>Отчет по хранению товара за Ноябрь 2025 Нижнекамск Каучук Каучук</t>
  </si>
  <si>
    <t>Резервирование 3250 ГЕ</t>
  </si>
  <si>
    <t>Отчет по хранению товара за Ноябрь 2025 Нижнекамск НПЭГ НПЭГ</t>
  </si>
  <si>
    <t>Резервирование 1000 ГЕ</t>
  </si>
  <si>
    <t>Мин. Суточный резерв 100</t>
  </si>
  <si>
    <t>Отчет по хранению товара за Ноябрь 2025 Нижнекамск ПСОН ПСОН</t>
  </si>
  <si>
    <t>Отчет по хранению товара за Ноябрь 2025 Нижнекамск СБС СБС</t>
  </si>
  <si>
    <t>Отчет по хранению товара за Ноябрь 2025 Новикова-Прибоя KPI</t>
  </si>
  <si>
    <t>Резервирование 12000 ГЕ</t>
  </si>
  <si>
    <t>Мин. Суточный резерв 1400</t>
  </si>
  <si>
    <t>Отчет по хранению товара за Ноябрь 2025 Новикова-Прибоя Полимеры</t>
  </si>
  <si>
    <t>Отчет по хранению товара за Ноябрь 2025 Новикова-Прибоя Полиом</t>
  </si>
  <si>
    <t>Отчет по хранению товара за Ноябрь 2025 Новосибирск KPI</t>
  </si>
  <si>
    <t>Резервирование 4000 ГЕ</t>
  </si>
  <si>
    <t>Мин. Суточный резерв 600</t>
  </si>
  <si>
    <t>Отчет по хранению товара за Ноябрь 2025 Новосибирск Полимеры</t>
  </si>
  <si>
    <t>Отчет по хранению товара за Ноябрь 2025 Новосибирск Полиом</t>
  </si>
  <si>
    <t>Отчет по хранению товара за Ноябрь 2025 Новосибирск Порошок Порошок</t>
  </si>
  <si>
    <t>Резервирование 510 т</t>
  </si>
  <si>
    <t>Мин. Суточный резерв 0</t>
  </si>
  <si>
    <t>Отчет по хранению товара за Ноябрь 2025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</si>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</sst>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₽&quot;#,##0.00_);\(&quot;₽&quot;#,##0.00\)"/>
    <numFmt numFmtId="165" formatCode="_(&quot;₽&quot;* #,##0.00_);_(&quot;₽&quot;* \(#,##0.00\);_(&quot;₽&quot;* &quot;-&quot;??_);_(@_)"/>
    <numFmt numFmtId="166" formatCode="0.000000"/>
    <numFmt numFmtId="167" formatCode="0.000"/>
    <numFmt numFmtId="168" formatCode="0.0000"/>
    <numFmt numFmtId="169" formatCode="0.00000"/>
    <numFmt numFmtId="170" formatCode="#,##0.00\ &quot;₽&quot;"/>
    <numFmt numFmtId="171" formatCode="#,##0.000"/>
    <numFmt numFmtId="172" formatCode="_-* #,##0.00\ [$₽-419]_-;\-* #,##0.00\ [$₽-419]_-;_-* &quot;-&quot;??\ [$₽-419]_-;_-@_-"/>
    <numFmt numFmtId="173" formatCode="_-* #,##0.00\ &quot;₽&quot;_-;\-* #,##0.00\ &quot;₽&quot;_-;_-* &quot;-&quot;??\ &quot;₽&quot;_-;_-@"/>
  </numFmts>
  <fonts count="31">
    <font>
      <sz val="12"/>
      <color theme="1"/>
      <name val="0xProto"/>
      <family val="2"/>
      <charset val="204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Times New Roman"/>
      <family val="1"/>
      <charset val="204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4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rgb="FF00B050"/>
      <name val="Calibri"/>
      <family val="2"/>
      <charset val="204"/>
    </font>
    <font>
      <b/>
      <sz val="11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</cellStyleXfs>
  <cellXfs count="272">
    <xf numFmtId="0" fontId="0" fillId="0" borderId="0" xfId="0"/>
    <xf numFmtId="165" fontId="1" fillId="0" borderId="0" xfId="1" applyNumberFormat="1"/>
    <xf numFmtId="0" fontId="1" fillId="0" borderId="0" xfId="1"/>
    <xf numFmtId="0" fontId="1" fillId="0" borderId="0" xfId="1" quotePrefix="1"/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8" xfId="1" applyBorder="1" applyAlignment="1">
      <alignment horizontal="center"/>
    </xf>
    <xf numFmtId="0" fontId="6" fillId="0" borderId="10" xfId="3" applyFont="1" applyBorder="1" applyAlignment="1">
      <alignment vertical="top"/>
    </xf>
    <xf numFmtId="166" fontId="7" fillId="0" borderId="10" xfId="4" applyNumberFormat="1" applyFont="1" applyBorder="1" applyAlignment="1">
      <alignment horizontal="right" vertical="top"/>
    </xf>
    <xf numFmtId="166" fontId="8" fillId="0" borderId="11" xfId="2" applyNumberFormat="1" applyFont="1" applyBorder="1" applyAlignment="1">
      <alignment horizontal="right" vertical="top"/>
    </xf>
    <xf numFmtId="167" fontId="1" fillId="0" borderId="11" xfId="1" applyNumberFormat="1" applyBorder="1"/>
    <xf numFmtId="0" fontId="1" fillId="0" borderId="11" xfId="1" applyBorder="1"/>
    <xf numFmtId="165" fontId="1" fillId="0" borderId="11" xfId="1" applyNumberFormat="1" applyBorder="1"/>
    <xf numFmtId="0" fontId="1" fillId="0" borderId="11" xfId="1" applyBorder="1" applyAlignment="1">
      <alignment horizontal="center"/>
    </xf>
    <xf numFmtId="168" fontId="6" fillId="0" borderId="10" xfId="3" applyNumberFormat="1" applyFont="1" applyBorder="1" applyAlignment="1">
      <alignment horizontal="right" vertical="top"/>
    </xf>
    <xf numFmtId="0" fontId="6" fillId="0" borderId="10" xfId="3" applyFont="1" applyBorder="1" applyAlignment="1">
      <alignment horizontal="right" vertical="top"/>
    </xf>
    <xf numFmtId="0" fontId="1" fillId="0" borderId="12" xfId="1" applyBorder="1"/>
    <xf numFmtId="169" fontId="6" fillId="0" borderId="10" xfId="3" applyNumberFormat="1" applyFont="1" applyBorder="1" applyAlignment="1">
      <alignment horizontal="right" vertical="top"/>
    </xf>
    <xf numFmtId="167" fontId="3" fillId="0" borderId="11" xfId="1" applyNumberFormat="1" applyFont="1" applyBorder="1"/>
    <xf numFmtId="1" fontId="3" fillId="0" borderId="11" xfId="1" applyNumberFormat="1" applyFont="1" applyBorder="1"/>
    <xf numFmtId="165" fontId="3" fillId="0" borderId="11" xfId="1" applyNumberFormat="1" applyFont="1" applyBorder="1"/>
    <xf numFmtId="0" fontId="3" fillId="0" borderId="0" xfId="1" applyFont="1"/>
    <xf numFmtId="165" fontId="9" fillId="0" borderId="11" xfId="1" applyNumberFormat="1" applyFont="1" applyBorder="1"/>
    <xf numFmtId="166" fontId="1" fillId="0" borderId="0" xfId="1" applyNumberFormat="1"/>
    <xf numFmtId="0" fontId="8" fillId="0" borderId="0" xfId="6"/>
    <xf numFmtId="165" fontId="10" fillId="0" borderId="13" xfId="6" applyNumberFormat="1" applyFont="1" applyBorder="1" applyAlignment="1">
      <alignment vertical="center"/>
    </xf>
    <xf numFmtId="0" fontId="10" fillId="0" borderId="13" xfId="6" applyFont="1" applyBorder="1" applyAlignment="1">
      <alignment vertical="center"/>
    </xf>
    <xf numFmtId="0" fontId="11" fillId="0" borderId="16" xfId="6" applyFont="1" applyBorder="1" applyAlignment="1">
      <alignment horizontal="center"/>
    </xf>
    <xf numFmtId="0" fontId="11" fillId="0" borderId="17" xfId="6" applyFont="1" applyBorder="1" applyAlignment="1">
      <alignment horizontal="center"/>
    </xf>
    <xf numFmtId="0" fontId="11" fillId="0" borderId="18" xfId="6" applyFont="1" applyBorder="1" applyAlignment="1">
      <alignment horizontal="center"/>
    </xf>
    <xf numFmtId="165" fontId="8" fillId="0" borderId="19" xfId="5" applyFont="1" applyBorder="1"/>
    <xf numFmtId="170" fontId="8" fillId="0" borderId="20" xfId="5" applyNumberFormat="1" applyFont="1" applyBorder="1"/>
    <xf numFmtId="0" fontId="8" fillId="0" borderId="21" xfId="6" applyBorder="1" applyAlignment="1">
      <alignment horizontal="center"/>
    </xf>
    <xf numFmtId="170" fontId="8" fillId="0" borderId="5" xfId="5" applyNumberFormat="1" applyFont="1" applyBorder="1" applyAlignment="1">
      <alignment horizontal="right"/>
    </xf>
    <xf numFmtId="170" fontId="9" fillId="0" borderId="22" xfId="5" applyNumberFormat="1" applyFont="1" applyBorder="1" applyAlignment="1">
      <alignment horizontal="right"/>
    </xf>
    <xf numFmtId="165" fontId="8" fillId="0" borderId="9" xfId="5" applyFont="1" applyBorder="1"/>
    <xf numFmtId="170" fontId="8" fillId="0" borderId="23" xfId="5" applyNumberFormat="1" applyFont="1" applyBorder="1"/>
    <xf numFmtId="0" fontId="8" fillId="0" borderId="9" xfId="6" applyBorder="1" applyAlignment="1">
      <alignment horizontal="center"/>
    </xf>
    <xf numFmtId="0" fontId="12" fillId="0" borderId="9" xfId="6" applyFont="1" applyBorder="1" applyAlignment="1">
      <alignment horizontal="center"/>
    </xf>
    <xf numFmtId="0" fontId="12" fillId="0" borderId="24" xfId="6" applyFont="1" applyBorder="1" applyAlignment="1">
      <alignment horizontal="center"/>
    </xf>
    <xf numFmtId="165" fontId="8" fillId="0" borderId="25" xfId="5" applyFont="1" applyBorder="1"/>
    <xf numFmtId="170" fontId="8" fillId="0" borderId="26" xfId="5" applyNumberFormat="1" applyFont="1" applyBorder="1"/>
    <xf numFmtId="0" fontId="12" fillId="0" borderId="16" xfId="6" applyFont="1" applyBorder="1"/>
    <xf numFmtId="170" fontId="3" fillId="0" borderId="27" xfId="5" applyNumberFormat="1" applyFont="1" applyBorder="1" applyAlignment="1">
      <alignment horizontal="right" vertical="center"/>
    </xf>
    <xf numFmtId="170" fontId="13" fillId="0" borderId="27" xfId="5" applyNumberFormat="1" applyFont="1" applyBorder="1" applyAlignment="1">
      <alignment horizontal="right" vertical="center"/>
    </xf>
    <xf numFmtId="0" fontId="12" fillId="0" borderId="0" xfId="6" applyFont="1"/>
    <xf numFmtId="165" fontId="3" fillId="0" borderId="0" xfId="5" applyFont="1" applyBorder="1" applyAlignment="1"/>
    <xf numFmtId="165" fontId="13" fillId="0" borderId="0" xfId="5" applyFont="1" applyBorder="1" applyAlignment="1"/>
    <xf numFmtId="170" fontId="9" fillId="0" borderId="30" xfId="6" applyNumberFormat="1" applyFont="1" applyBorder="1" applyAlignment="1">
      <alignment horizontal="right"/>
    </xf>
    <xf numFmtId="170" fontId="9" fillId="0" borderId="18" xfId="6" applyNumberFormat="1" applyFont="1" applyBorder="1" applyAlignment="1">
      <alignment horizontal="right"/>
    </xf>
    <xf numFmtId="165" fontId="9" fillId="0" borderId="0" xfId="6" applyNumberFormat="1" applyFont="1"/>
    <xf numFmtId="0" fontId="11" fillId="0" borderId="0" xfId="6" applyFont="1" applyAlignment="1">
      <alignment horizontal="center"/>
    </xf>
    <xf numFmtId="0" fontId="12" fillId="0" borderId="5" xfId="6" applyFont="1" applyBorder="1"/>
    <xf numFmtId="170" fontId="12" fillId="0" borderId="5" xfId="6" applyNumberFormat="1" applyFont="1" applyBorder="1"/>
    <xf numFmtId="170" fontId="14" fillId="0" borderId="5" xfId="5" applyNumberFormat="1" applyFont="1" applyBorder="1" applyAlignment="1">
      <alignment horizontal="right" vertical="center" wrapText="1"/>
    </xf>
    <xf numFmtId="170" fontId="14" fillId="0" borderId="8" xfId="5" applyNumberFormat="1" applyFont="1" applyBorder="1" applyAlignment="1">
      <alignment horizontal="right" vertical="center" wrapText="1"/>
    </xf>
    <xf numFmtId="165" fontId="14" fillId="0" borderId="0" xfId="5" applyFont="1" applyBorder="1" applyAlignment="1">
      <alignment horizontal="center" vertical="center" wrapText="1"/>
    </xf>
    <xf numFmtId="0" fontId="12" fillId="0" borderId="8" xfId="6" applyFont="1" applyBorder="1"/>
    <xf numFmtId="170" fontId="12" fillId="0" borderId="8" xfId="6" applyNumberFormat="1" applyFont="1" applyBorder="1"/>
    <xf numFmtId="170" fontId="12" fillId="0" borderId="0" xfId="6" applyNumberFormat="1" applyFont="1"/>
    <xf numFmtId="0" fontId="12" fillId="0" borderId="0" xfId="6" applyFont="1" applyAlignment="1">
      <alignment horizontal="center"/>
    </xf>
    <xf numFmtId="170" fontId="14" fillId="0" borderId="0" xfId="5" applyNumberFormat="1" applyFont="1" applyBorder="1" applyAlignment="1">
      <alignment horizontal="right" vertical="center" wrapText="1"/>
    </xf>
    <xf numFmtId="170" fontId="14" fillId="0" borderId="0" xfId="5" applyNumberFormat="1" applyFont="1" applyBorder="1" applyAlignment="1">
      <alignment horizontal="center" vertical="center" wrapText="1"/>
    </xf>
    <xf numFmtId="0" fontId="8" fillId="0" borderId="16" xfId="6" applyBorder="1"/>
    <xf numFmtId="0" fontId="11" fillId="0" borderId="35" xfId="6" applyFont="1" applyBorder="1" applyAlignment="1">
      <alignment horizontal="center"/>
    </xf>
    <xf numFmtId="0" fontId="11" fillId="0" borderId="29" xfId="6" applyFont="1" applyBorder="1" applyAlignment="1">
      <alignment horizontal="center"/>
    </xf>
    <xf numFmtId="0" fontId="11" fillId="0" borderId="27" xfId="6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170" fontId="8" fillId="0" borderId="5" xfId="5" applyNumberFormat="1" applyFont="1" applyBorder="1"/>
    <xf numFmtId="170" fontId="11" fillId="0" borderId="5" xfId="6" applyNumberFormat="1" applyFont="1" applyBorder="1"/>
    <xf numFmtId="0" fontId="11" fillId="0" borderId="8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165" fontId="8" fillId="0" borderId="0" xfId="5" applyFont="1" applyBorder="1"/>
    <xf numFmtId="165" fontId="11" fillId="0" borderId="0" xfId="6" applyNumberFormat="1" applyFont="1"/>
    <xf numFmtId="0" fontId="11" fillId="0" borderId="28" xfId="6" applyFont="1" applyBorder="1" applyAlignment="1">
      <alignment horizontal="center"/>
    </xf>
    <xf numFmtId="165" fontId="0" fillId="0" borderId="0" xfId="5" applyFont="1"/>
    <xf numFmtId="0" fontId="2" fillId="0" borderId="0" xfId="1" applyFont="1"/>
    <xf numFmtId="0" fontId="15" fillId="0" borderId="0" xfId="1" applyFont="1"/>
    <xf numFmtId="0" fontId="1" fillId="0" borderId="8" xfId="1" applyBorder="1"/>
    <xf numFmtId="0" fontId="1" fillId="0" borderId="8" xfId="1" applyBorder="1" applyAlignment="1">
      <alignment horizontal="center" vertical="center"/>
    </xf>
    <xf numFmtId="0" fontId="16" fillId="0" borderId="0" xfId="1" applyFont="1" applyAlignment="1">
      <alignment wrapText="1"/>
    </xf>
    <xf numFmtId="1" fontId="16" fillId="0" borderId="8" xfId="1" applyNumberFormat="1" applyFont="1" applyBorder="1" applyAlignment="1">
      <alignment horizontal="center" vertical="center"/>
    </xf>
    <xf numFmtId="165" fontId="0" fillId="0" borderId="8" xfId="5" applyFont="1" applyBorder="1" applyAlignment="1">
      <alignment vertical="center"/>
    </xf>
    <xf numFmtId="0" fontId="16" fillId="0" borderId="36" xfId="1" applyFont="1" applyBorder="1" applyAlignment="1">
      <alignment vertical="center" wrapText="1"/>
    </xf>
    <xf numFmtId="0" fontId="16" fillId="0" borderId="8" xfId="1" applyFont="1" applyBorder="1" applyAlignment="1">
      <alignment horizontal="left" vertical="top" wrapText="1"/>
    </xf>
    <xf numFmtId="165" fontId="0" fillId="0" borderId="8" xfId="5" applyFont="1" applyBorder="1"/>
    <xf numFmtId="165" fontId="3" fillId="0" borderId="0" xfId="5" applyFont="1"/>
    <xf numFmtId="165" fontId="3" fillId="0" borderId="0" xfId="5" applyFont="1" applyFill="1" applyBorder="1"/>
    <xf numFmtId="0" fontId="1" fillId="3" borderId="0" xfId="1" applyFill="1"/>
    <xf numFmtId="167" fontId="1" fillId="3" borderId="8" xfId="1" applyNumberFormat="1" applyFill="1" applyBorder="1"/>
    <xf numFmtId="0" fontId="1" fillId="3" borderId="8" xfId="1" applyFill="1" applyBorder="1"/>
    <xf numFmtId="165" fontId="1" fillId="3" borderId="8" xfId="1" applyNumberFormat="1" applyFill="1" applyBorder="1"/>
    <xf numFmtId="167" fontId="3" fillId="0" borderId="16" xfId="1" applyNumberFormat="1" applyFont="1" applyBorder="1"/>
    <xf numFmtId="165" fontId="3" fillId="0" borderId="16" xfId="1" applyNumberFormat="1" applyFont="1" applyBorder="1"/>
    <xf numFmtId="165" fontId="9" fillId="0" borderId="16" xfId="1" applyNumberFormat="1" applyFont="1" applyBorder="1"/>
    <xf numFmtId="165" fontId="9" fillId="0" borderId="18" xfId="1" applyNumberFormat="1" applyFont="1" applyBorder="1"/>
    <xf numFmtId="165" fontId="17" fillId="0" borderId="0" xfId="1" applyNumberFormat="1" applyFont="1"/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67" fontId="18" fillId="3" borderId="8" xfId="8" applyNumberFormat="1" applyFont="1" applyFill="1" applyBorder="1" applyAlignment="1">
      <alignment horizontal="center" vertical="top"/>
    </xf>
    <xf numFmtId="167" fontId="1" fillId="3" borderId="8" xfId="1" applyNumberFormat="1" applyFill="1" applyBorder="1" applyAlignment="1">
      <alignment horizontal="center" vertical="center"/>
    </xf>
    <xf numFmtId="167" fontId="3" fillId="3" borderId="8" xfId="1" applyNumberFormat="1" applyFont="1" applyFill="1" applyBorder="1" applyAlignment="1">
      <alignment horizontal="center" vertical="center"/>
    </xf>
    <xf numFmtId="167" fontId="16" fillId="3" borderId="8" xfId="1" applyNumberFormat="1" applyFont="1" applyFill="1" applyBorder="1" applyAlignment="1">
      <alignment horizontal="center" vertical="center"/>
    </xf>
    <xf numFmtId="167" fontId="19" fillId="3" borderId="8" xfId="1" applyNumberFormat="1" applyFont="1" applyFill="1" applyBorder="1" applyAlignment="1">
      <alignment horizontal="center" vertical="center"/>
    </xf>
    <xf numFmtId="0" fontId="3" fillId="0" borderId="16" xfId="1" applyFont="1" applyBorder="1"/>
    <xf numFmtId="167" fontId="1" fillId="3" borderId="12" xfId="1" applyNumberFormat="1" applyFill="1" applyBorder="1"/>
    <xf numFmtId="167" fontId="3" fillId="3" borderId="12" xfId="1" applyNumberFormat="1" applyFont="1" applyFill="1" applyBorder="1" applyAlignment="1">
      <alignment horizontal="center" vertical="center"/>
    </xf>
    <xf numFmtId="0" fontId="1" fillId="3" borderId="12" xfId="1" applyFill="1" applyBorder="1"/>
    <xf numFmtId="167" fontId="1" fillId="3" borderId="0" xfId="1" applyNumberFormat="1" applyFill="1"/>
    <xf numFmtId="171" fontId="16" fillId="0" borderId="8" xfId="1" applyNumberFormat="1" applyFont="1" applyBorder="1" applyAlignment="1">
      <alignment horizontal="center"/>
    </xf>
    <xf numFmtId="172" fontId="1" fillId="0" borderId="8" xfId="1" applyNumberFormat="1" applyBorder="1"/>
    <xf numFmtId="171" fontId="1" fillId="0" borderId="8" xfId="1" applyNumberFormat="1" applyBorder="1" applyAlignment="1">
      <alignment horizontal="center"/>
    </xf>
    <xf numFmtId="0" fontId="20" fillId="0" borderId="8" xfId="1" applyFont="1" applyBorder="1"/>
    <xf numFmtId="0" fontId="20" fillId="0" borderId="0" xfId="1" applyFont="1"/>
    <xf numFmtId="165" fontId="1" fillId="0" borderId="8" xfId="1" applyNumberFormat="1" applyBorder="1"/>
    <xf numFmtId="14" fontId="1" fillId="0" borderId="0" xfId="1" applyNumberFormat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/>
    <xf numFmtId="170" fontId="1" fillId="0" borderId="8" xfId="1" applyNumberFormat="1" applyBorder="1" applyAlignment="1">
      <alignment horizontal="center"/>
    </xf>
    <xf numFmtId="0" fontId="18" fillId="0" borderId="8" xfId="8" applyFont="1" applyBorder="1" applyAlignment="1">
      <alignment horizontal="center" vertical="top"/>
    </xf>
    <xf numFmtId="0" fontId="1" fillId="3" borderId="8" xfId="1" applyFill="1" applyBorder="1" applyAlignment="1">
      <alignment horizontal="center"/>
    </xf>
    <xf numFmtId="0" fontId="18" fillId="3" borderId="8" xfId="8" applyFont="1" applyFill="1" applyBorder="1" applyAlignment="1">
      <alignment horizontal="center" vertical="top"/>
    </xf>
    <xf numFmtId="0" fontId="1" fillId="3" borderId="8" xfId="1" applyFill="1" applyBorder="1" applyAlignment="1">
      <alignment horizontal="center" vertical="center"/>
    </xf>
    <xf numFmtId="0" fontId="3" fillId="0" borderId="17" xfId="1" applyFont="1" applyBorder="1"/>
    <xf numFmtId="1" fontId="3" fillId="0" borderId="17" xfId="1" applyNumberFormat="1" applyFont="1" applyBorder="1"/>
    <xf numFmtId="167" fontId="3" fillId="0" borderId="17" xfId="1" applyNumberFormat="1" applyFont="1" applyBorder="1"/>
    <xf numFmtId="170" fontId="9" fillId="0" borderId="18" xfId="1" applyNumberFormat="1" applyFont="1" applyBorder="1"/>
    <xf numFmtId="173" fontId="1" fillId="0" borderId="0" xfId="1" applyNumberFormat="1"/>
    <xf numFmtId="0" fontId="21" fillId="0" borderId="0" xfId="1" applyFont="1" applyAlignment="1">
      <alignment horizontal="center"/>
    </xf>
    <xf numFmtId="173" fontId="21" fillId="0" borderId="0" xfId="1" applyNumberFormat="1" applyFont="1"/>
    <xf numFmtId="0" fontId="25" fillId="0" borderId="41" xfId="1" applyFont="1" applyBorder="1" applyAlignment="1">
      <alignment horizontal="center" vertical="center" wrapText="1"/>
    </xf>
    <xf numFmtId="0" fontId="25" fillId="0" borderId="47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top"/>
    </xf>
    <xf numFmtId="0" fontId="16" fillId="0" borderId="5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wrapText="1"/>
    </xf>
    <xf numFmtId="0" fontId="16" fillId="0" borderId="8" xfId="1" applyFont="1" applyBorder="1" applyAlignment="1">
      <alignment horizontal="center" vertical="top"/>
    </xf>
    <xf numFmtId="170" fontId="27" fillId="0" borderId="5" xfId="1" applyNumberFormat="1" applyFont="1" applyBorder="1" applyAlignment="1">
      <alignment horizontal="right"/>
    </xf>
    <xf numFmtId="173" fontId="25" fillId="0" borderId="5" xfId="1" applyNumberFormat="1" applyFont="1" applyBorder="1" applyAlignment="1">
      <alignment horizontal="right"/>
    </xf>
    <xf numFmtId="0" fontId="16" fillId="0" borderId="8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wrapText="1"/>
    </xf>
    <xf numFmtId="173" fontId="25" fillId="0" borderId="8" xfId="1" applyNumberFormat="1" applyFont="1" applyBorder="1" applyAlignment="1">
      <alignment horizontal="right"/>
    </xf>
    <xf numFmtId="0" fontId="16" fillId="5" borderId="8" xfId="1" applyFont="1" applyFill="1" applyBorder="1" applyAlignment="1">
      <alignment horizontal="center" vertical="top"/>
    </xf>
    <xf numFmtId="0" fontId="16" fillId="5" borderId="8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wrapText="1"/>
    </xf>
    <xf numFmtId="0" fontId="16" fillId="0" borderId="8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170" fontId="25" fillId="0" borderId="17" xfId="1" applyNumberFormat="1" applyFont="1" applyBorder="1" applyAlignment="1">
      <alignment horizontal="right"/>
    </xf>
    <xf numFmtId="170" fontId="25" fillId="0" borderId="54" xfId="1" applyNumberFormat="1" applyFont="1" applyBorder="1" applyAlignment="1">
      <alignment horizontal="right"/>
    </xf>
    <xf numFmtId="173" fontId="25" fillId="0" borderId="55" xfId="1" applyNumberFormat="1" applyFont="1" applyBorder="1" applyAlignment="1">
      <alignment horizontal="right"/>
    </xf>
    <xf numFmtId="0" fontId="3" fillId="0" borderId="19" xfId="1" applyFont="1" applyBorder="1" applyAlignment="1">
      <alignment horizontal="center"/>
    </xf>
    <xf numFmtId="173" fontId="28" fillId="0" borderId="20" xfId="1" applyNumberFormat="1" applyFont="1" applyBorder="1" applyAlignment="1">
      <alignment horizontal="center"/>
    </xf>
    <xf numFmtId="4" fontId="1" fillId="0" borderId="0" xfId="1" applyNumberFormat="1"/>
    <xf numFmtId="0" fontId="3" fillId="0" borderId="8" xfId="1" applyFont="1" applyBorder="1" applyAlignment="1">
      <alignment horizontal="center"/>
    </xf>
    <xf numFmtId="0" fontId="18" fillId="0" borderId="8" xfId="9" applyFont="1" applyBorder="1" applyAlignment="1">
      <alignment horizontal="center" vertical="top"/>
    </xf>
    <xf numFmtId="4" fontId="1" fillId="0" borderId="8" xfId="1" applyNumberFormat="1" applyBorder="1"/>
    <xf numFmtId="173" fontId="16" fillId="0" borderId="0" xfId="10" applyNumberFormat="1"/>
    <xf numFmtId="0" fontId="16" fillId="0" borderId="0" xfId="10"/>
    <xf numFmtId="0" fontId="21" fillId="0" borderId="0" xfId="10" applyFont="1" applyAlignment="1">
      <alignment horizontal="center"/>
    </xf>
    <xf numFmtId="173" fontId="21" fillId="0" borderId="0" xfId="10" applyNumberFormat="1" applyFont="1"/>
    <xf numFmtId="0" fontId="25" fillId="0" borderId="41" xfId="10" applyFont="1" applyBorder="1" applyAlignment="1">
      <alignment horizontal="center" vertical="center" wrapText="1"/>
    </xf>
    <xf numFmtId="0" fontId="25" fillId="0" borderId="47" xfId="10" applyFont="1" applyBorder="1" applyAlignment="1">
      <alignment horizontal="center" vertical="center" wrapText="1"/>
    </xf>
    <xf numFmtId="0" fontId="16" fillId="0" borderId="5" xfId="10" applyBorder="1" applyAlignment="1">
      <alignment horizontal="center" vertical="top"/>
    </xf>
    <xf numFmtId="0" fontId="16" fillId="0" borderId="5" xfId="10" applyBorder="1" applyAlignment="1">
      <alignment horizontal="center" vertical="center"/>
    </xf>
    <xf numFmtId="0" fontId="16" fillId="0" borderId="5" xfId="10" applyBorder="1" applyAlignment="1">
      <alignment horizontal="center" wrapText="1"/>
    </xf>
    <xf numFmtId="170" fontId="27" fillId="0" borderId="5" xfId="10" applyNumberFormat="1" applyFont="1" applyBorder="1" applyAlignment="1">
      <alignment horizontal="right"/>
    </xf>
    <xf numFmtId="173" fontId="25" fillId="0" borderId="5" xfId="10" applyNumberFormat="1" applyFont="1" applyBorder="1" applyAlignment="1">
      <alignment horizontal="right"/>
    </xf>
    <xf numFmtId="0" fontId="16" fillId="0" borderId="8" xfId="10" applyBorder="1" applyAlignment="1">
      <alignment horizontal="center" vertical="top"/>
    </xf>
    <xf numFmtId="0" fontId="16" fillId="0" borderId="8" xfId="10" applyBorder="1" applyAlignment="1">
      <alignment horizontal="center" vertical="center"/>
    </xf>
    <xf numFmtId="0" fontId="16" fillId="0" borderId="8" xfId="10" applyBorder="1" applyAlignment="1">
      <alignment horizontal="center" wrapText="1"/>
    </xf>
    <xf numFmtId="173" fontId="25" fillId="0" borderId="8" xfId="10" applyNumberFormat="1" applyFont="1" applyBorder="1" applyAlignment="1">
      <alignment horizontal="right"/>
    </xf>
    <xf numFmtId="0" fontId="16" fillId="5" borderId="8" xfId="10" applyFill="1" applyBorder="1" applyAlignment="1">
      <alignment horizontal="center" vertical="top"/>
    </xf>
    <xf numFmtId="0" fontId="16" fillId="5" borderId="8" xfId="10" applyFill="1" applyBorder="1" applyAlignment="1">
      <alignment horizontal="center" vertical="center"/>
    </xf>
    <xf numFmtId="0" fontId="16" fillId="5" borderId="8" xfId="10" applyFill="1" applyBorder="1" applyAlignment="1">
      <alignment horizontal="center" wrapText="1"/>
    </xf>
    <xf numFmtId="0" fontId="16" fillId="0" borderId="8" xfId="10" applyBorder="1" applyAlignment="1">
      <alignment horizontal="center"/>
    </xf>
    <xf numFmtId="0" fontId="25" fillId="0" borderId="16" xfId="10" applyFont="1" applyBorder="1" applyAlignment="1">
      <alignment horizontal="center"/>
    </xf>
    <xf numFmtId="170" fontId="25" fillId="0" borderId="17" xfId="10" applyNumberFormat="1" applyFont="1" applyBorder="1" applyAlignment="1">
      <alignment horizontal="right"/>
    </xf>
    <xf numFmtId="173" fontId="25" fillId="0" borderId="18" xfId="10" applyNumberFormat="1" applyFont="1" applyBorder="1" applyAlignment="1">
      <alignment horizontal="right"/>
    </xf>
    <xf numFmtId="173" fontId="29" fillId="0" borderId="56" xfId="10" applyNumberFormat="1" applyFont="1" applyBorder="1" applyAlignment="1">
      <alignment horizontal="center"/>
    </xf>
    <xf numFmtId="0" fontId="29" fillId="0" borderId="57" xfId="10" applyFont="1" applyBorder="1" applyAlignment="1">
      <alignment horizontal="center"/>
    </xf>
    <xf numFmtId="173" fontId="29" fillId="0" borderId="57" xfId="10" applyNumberFormat="1" applyFont="1" applyBorder="1" applyAlignment="1">
      <alignment horizontal="center"/>
    </xf>
    <xf numFmtId="173" fontId="28" fillId="0" borderId="58" xfId="10" applyNumberFormat="1" applyFont="1" applyBorder="1" applyAlignment="1">
      <alignment horizontal="center"/>
    </xf>
    <xf numFmtId="0" fontId="18" fillId="0" borderId="8" xfId="11" applyFont="1" applyBorder="1" applyAlignment="1">
      <alignment horizontal="center" vertical="top"/>
    </xf>
    <xf numFmtId="167" fontId="1" fillId="0" borderId="8" xfId="1" applyNumberFormat="1" applyBorder="1" applyAlignment="1">
      <alignment horizontal="center"/>
    </xf>
    <xf numFmtId="170" fontId="0" fillId="0" borderId="8" xfId="5" applyNumberFormat="1" applyFont="1" applyBorder="1"/>
    <xf numFmtId="0" fontId="30" fillId="0" borderId="8" xfId="1" applyFont="1" applyBorder="1"/>
    <xf numFmtId="167" fontId="16" fillId="0" borderId="8" xfId="1" applyNumberFormat="1" applyFont="1" applyBorder="1" applyAlignment="1">
      <alignment horizontal="center"/>
    </xf>
    <xf numFmtId="1" fontId="7" fillId="0" borderId="10" xfId="4" applyNumberFormat="1" applyFont="1" applyBorder="1" applyAlignment="1">
      <alignment horizontal="right" vertical="top"/>
    </xf>
    <xf numFmtId="3" fontId="7" fillId="0" borderId="10" xfId="4" applyNumberFormat="1" applyFont="1" applyBorder="1" applyAlignment="1">
      <alignment horizontal="right" vertical="top"/>
    </xf>
    <xf numFmtId="3" fontId="8" fillId="0" borderId="11" xfId="2" applyNumberFormat="1" applyFont="1" applyBorder="1" applyAlignment="1">
      <alignment horizontal="right" vertical="top"/>
    </xf>
    <xf numFmtId="164" fontId="1" fillId="0" borderId="11" xfId="1" applyNumberFormat="1" applyBorder="1"/>
    <xf numFmtId="164" fontId="3" fillId="0" borderId="11" xfId="1" applyNumberFormat="1" applyFont="1" applyBorder="1"/>
    <xf numFmtId="164" fontId="9" fillId="0" borderId="11" xfId="1" applyNumberFormat="1" applyFont="1" applyBorder="1"/>
    <xf numFmtId="0" fontId="3" fillId="0" borderId="59" xfId="1" applyFont="1" applyBorder="1" applyAlignment="1">
      <alignment horizontal="center" wrapText="1"/>
    </xf>
    <xf numFmtId="167" fontId="7" fillId="0" borderId="10" xfId="4" applyNumberFormat="1" applyFont="1" applyBorder="1" applyAlignment="1">
      <alignment horizontal="right" vertical="top"/>
    </xf>
    <xf numFmtId="167" fontId="8" fillId="0" borderId="11" xfId="2" applyNumberFormat="1" applyFont="1" applyBorder="1" applyAlignment="1">
      <alignment horizontal="right" vertical="top"/>
    </xf>
    <xf numFmtId="14" fontId="5" fillId="2" borderId="9" xfId="2" applyNumberFormat="1" applyFont="1" applyFill="1" applyBorder="1" applyAlignment="1">
      <alignment horizontal="center" vertical="top"/>
    </xf>
    <xf numFmtId="0" fontId="5" fillId="2" borderId="9" xfId="2" applyFont="1" applyFill="1" applyBorder="1" applyAlignment="1">
      <alignment horizontal="center" vertical="top"/>
    </xf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12" fillId="0" borderId="33" xfId="6" applyFont="1" applyBorder="1" applyAlignment="1">
      <alignment horizontal="center"/>
    </xf>
    <xf numFmtId="0" fontId="12" fillId="0" borderId="34" xfId="6" applyFont="1" applyBorder="1" applyAlignment="1">
      <alignment horizontal="center"/>
    </xf>
    <xf numFmtId="0" fontId="11" fillId="0" borderId="28" xfId="6" applyFont="1" applyBorder="1" applyAlignment="1">
      <alignment horizontal="center"/>
    </xf>
    <xf numFmtId="0" fontId="11" fillId="0" borderId="29" xfId="6" applyFont="1" applyBorder="1" applyAlignment="1">
      <alignment horizontal="center"/>
    </xf>
    <xf numFmtId="0" fontId="11" fillId="0" borderId="30" xfId="6" applyFont="1" applyBorder="1" applyAlignment="1">
      <alignment horizontal="center"/>
    </xf>
    <xf numFmtId="170" fontId="9" fillId="0" borderId="28" xfId="6" applyNumberFormat="1" applyFont="1" applyBorder="1" applyAlignment="1">
      <alignment horizontal="center"/>
    </xf>
    <xf numFmtId="170" fontId="9" fillId="0" borderId="29" xfId="6" applyNumberFormat="1" applyFont="1" applyBorder="1" applyAlignment="1">
      <alignment horizontal="center"/>
    </xf>
    <xf numFmtId="170" fontId="9" fillId="0" borderId="30" xfId="6" applyNumberFormat="1" applyFont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12" fillId="0" borderId="32" xfId="6" applyFont="1" applyBorder="1" applyAlignment="1">
      <alignment horizontal="center"/>
    </xf>
    <xf numFmtId="170" fontId="10" fillId="0" borderId="0" xfId="5" applyNumberFormat="1" applyFont="1" applyBorder="1" applyAlignment="1">
      <alignment horizontal="center" vertical="center"/>
    </xf>
    <xf numFmtId="0" fontId="11" fillId="0" borderId="14" xfId="6" applyFont="1" applyBorder="1" applyAlignment="1">
      <alignment horizontal="center"/>
    </xf>
    <xf numFmtId="0" fontId="11" fillId="0" borderId="15" xfId="6" applyFont="1" applyBorder="1" applyAlignment="1">
      <alignment horizontal="center"/>
    </xf>
    <xf numFmtId="0" fontId="11" fillId="0" borderId="16" xfId="6" applyFont="1" applyBorder="1" applyAlignment="1">
      <alignment horizontal="center"/>
    </xf>
    <xf numFmtId="0" fontId="11" fillId="0" borderId="17" xfId="6" applyFont="1" applyBorder="1" applyAlignment="1">
      <alignment horizontal="center"/>
    </xf>
    <xf numFmtId="14" fontId="5" fillId="3" borderId="9" xfId="7" applyNumberFormat="1" applyFont="1" applyFill="1" applyBorder="1" applyAlignment="1">
      <alignment horizontal="center" vertical="top"/>
    </xf>
    <xf numFmtId="0" fontId="5" fillId="3" borderId="9" xfId="7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4" fontId="26" fillId="4" borderId="52" xfId="1" applyNumberFormat="1" applyFont="1" applyFill="1" applyBorder="1" applyAlignment="1">
      <alignment horizontal="center" vertical="top"/>
    </xf>
    <xf numFmtId="0" fontId="12" fillId="0" borderId="53" xfId="1" applyFont="1" applyBorder="1"/>
    <xf numFmtId="14" fontId="26" fillId="4" borderId="50" xfId="1" applyNumberFormat="1" applyFont="1" applyFill="1" applyBorder="1" applyAlignment="1">
      <alignment horizontal="center" vertical="top"/>
    </xf>
    <xf numFmtId="0" fontId="12" fillId="0" borderId="51" xfId="1" applyFont="1" applyBorder="1"/>
    <xf numFmtId="0" fontId="25" fillId="0" borderId="40" xfId="1" applyFont="1" applyBorder="1" applyAlignment="1">
      <alignment horizontal="center" vertical="center" wrapText="1"/>
    </xf>
    <xf numFmtId="0" fontId="12" fillId="0" borderId="46" xfId="1" applyFont="1" applyBorder="1"/>
    <xf numFmtId="173" fontId="25" fillId="0" borderId="43" xfId="1" applyNumberFormat="1" applyFont="1" applyBorder="1" applyAlignment="1">
      <alignment horizontal="center" vertical="center" wrapText="1"/>
    </xf>
    <xf numFmtId="0" fontId="12" fillId="0" borderId="49" xfId="1" applyFont="1" applyBorder="1"/>
    <xf numFmtId="0" fontId="25" fillId="0" borderId="46" xfId="1" applyFont="1" applyBorder="1" applyAlignment="1">
      <alignment horizontal="center" vertical="center" wrapText="1"/>
    </xf>
    <xf numFmtId="0" fontId="25" fillId="0" borderId="42" xfId="1" applyFont="1" applyBorder="1" applyAlignment="1">
      <alignment horizontal="center" vertical="center" wrapText="1"/>
    </xf>
    <xf numFmtId="0" fontId="12" fillId="0" borderId="48" xfId="1" applyFont="1" applyBorder="1"/>
    <xf numFmtId="0" fontId="25" fillId="0" borderId="14" xfId="1" applyFont="1" applyBorder="1" applyAlignment="1">
      <alignment horizontal="center" vertical="center" wrapText="1"/>
    </xf>
    <xf numFmtId="0" fontId="12" fillId="0" borderId="39" xfId="1" applyFont="1" applyBorder="1"/>
    <xf numFmtId="0" fontId="12" fillId="0" borderId="44" xfId="1" applyFont="1" applyBorder="1"/>
    <xf numFmtId="0" fontId="12" fillId="0" borderId="45" xfId="1" applyFont="1" applyBorder="1"/>
    <xf numFmtId="0" fontId="22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1" fillId="0" borderId="0" xfId="1"/>
    <xf numFmtId="0" fontId="22" fillId="0" borderId="13" xfId="1" applyFont="1" applyBorder="1" applyAlignment="1">
      <alignment horizontal="center"/>
    </xf>
    <xf numFmtId="0" fontId="24" fillId="0" borderId="37" xfId="1" applyFont="1" applyBorder="1" applyAlignment="1">
      <alignment horizontal="center"/>
    </xf>
    <xf numFmtId="0" fontId="12" fillId="0" borderId="38" xfId="1" applyFont="1" applyBorder="1"/>
    <xf numFmtId="0" fontId="12" fillId="0" borderId="36" xfId="1" applyFont="1" applyBorder="1"/>
    <xf numFmtId="0" fontId="3" fillId="0" borderId="33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4" fontId="26" fillId="4" borderId="52" xfId="10" applyNumberFormat="1" applyFont="1" applyFill="1" applyBorder="1" applyAlignment="1">
      <alignment horizontal="center" vertical="top"/>
    </xf>
    <xf numFmtId="0" fontId="12" fillId="0" borderId="53" xfId="10" applyFont="1" applyBorder="1"/>
    <xf numFmtId="14" fontId="26" fillId="4" borderId="50" xfId="10" applyNumberFormat="1" applyFont="1" applyFill="1" applyBorder="1" applyAlignment="1">
      <alignment horizontal="center" vertical="top"/>
    </xf>
    <xf numFmtId="0" fontId="12" fillId="0" borderId="51" xfId="10" applyFont="1" applyBorder="1"/>
    <xf numFmtId="0" fontId="25" fillId="0" borderId="40" xfId="10" applyFont="1" applyBorder="1" applyAlignment="1">
      <alignment horizontal="center" vertical="center" wrapText="1"/>
    </xf>
    <xf numFmtId="0" fontId="12" fillId="0" borderId="46" xfId="10" applyFont="1" applyBorder="1"/>
    <xf numFmtId="173" fontId="25" fillId="0" borderId="43" xfId="10" applyNumberFormat="1" applyFont="1" applyBorder="1" applyAlignment="1">
      <alignment horizontal="center" vertical="center" wrapText="1"/>
    </xf>
    <xf numFmtId="0" fontId="12" fillId="0" borderId="49" xfId="10" applyFont="1" applyBorder="1"/>
    <xf numFmtId="0" fontId="25" fillId="0" borderId="42" xfId="10" applyFont="1" applyBorder="1" applyAlignment="1">
      <alignment horizontal="center" vertical="center" wrapText="1"/>
    </xf>
    <xf numFmtId="0" fontId="12" fillId="0" borderId="48" xfId="10" applyFont="1" applyBorder="1"/>
    <xf numFmtId="0" fontId="23" fillId="0" borderId="0" xfId="10" applyFont="1" applyAlignment="1">
      <alignment horizontal="center"/>
    </xf>
    <xf numFmtId="0" fontId="16" fillId="0" borderId="0" xfId="10"/>
    <xf numFmtId="0" fontId="22" fillId="0" borderId="0" xfId="10" applyFont="1" applyAlignment="1">
      <alignment horizontal="center"/>
    </xf>
    <xf numFmtId="0" fontId="24" fillId="0" borderId="37" xfId="10" applyFont="1" applyBorder="1" applyAlignment="1">
      <alignment horizontal="center"/>
    </xf>
    <xf numFmtId="0" fontId="12" fillId="0" borderId="38" xfId="10" applyFont="1" applyBorder="1"/>
    <xf numFmtId="0" fontId="12" fillId="0" borderId="36" xfId="10" applyFont="1" applyBorder="1"/>
    <xf numFmtId="0" fontId="25" fillId="0" borderId="14" xfId="10" applyFont="1" applyBorder="1" applyAlignment="1">
      <alignment horizontal="center" vertical="center" wrapText="1"/>
    </xf>
    <xf numFmtId="0" fontId="12" fillId="0" borderId="39" xfId="10" applyFont="1" applyBorder="1"/>
    <xf numFmtId="0" fontId="12" fillId="0" borderId="44" xfId="10" applyFont="1" applyBorder="1"/>
    <xf numFmtId="0" fontId="12" fillId="0" borderId="45" xfId="10" applyFont="1" applyBorder="1"/>
    <xf numFmtId="0" fontId="3" fillId="0" borderId="59" xfId="1" applyFont="1" applyBorder="1" applyAlignment="1">
      <alignment horizontal="center" wrapText="1"/>
    </xf>
    <xf numFmtId="0" fontId="3" fillId="0" borderId="60" xfId="1" applyFont="1" applyBorder="1" applyAlignment="1">
      <alignment horizontal="center" wrapText="1"/>
    </xf>
    <xf numFmtId="0" fontId="3" fillId="0" borderId="61" xfId="1" applyFont="1" applyBorder="1" applyAlignment="1">
      <alignment horizontal="center" wrapText="1"/>
    </xf>
  </cellXfs>
  <cellStyles count="12">
    <cellStyle name="Денежный 2" xfId="5" xr:uid="{C43DC6DC-825B-43CA-A208-37A4F4FDD883}"/>
    <cellStyle name="Обычный" xfId="0" builtinId="0"/>
    <cellStyle name="Обычный 2" xfId="1" xr:uid="{97B905A6-8F30-4D14-9D8F-6E3FF95214B8}"/>
    <cellStyle name="Обычный 4" xfId="10" xr:uid="{453C1372-23E0-485F-812A-FE886B7E2BD1}"/>
    <cellStyle name="Обычный 5" xfId="6" xr:uid="{6EC11ED3-7290-4B62-94D1-EF6B5E68D8C0}"/>
    <cellStyle name="Обычный_Биаксплен Новосибирск" xfId="3" xr:uid="{D6BC4340-358A-4594-8BB5-BDBB6EFAEDED}"/>
    <cellStyle name="Обычный_Ергарда" xfId="11" xr:uid="{765638B0-EDD5-4FD8-BB82-4BA0648E0C0C}"/>
    <cellStyle name="Обычный_Лист1" xfId="8" xr:uid="{601C9EF9-FE09-4FCE-A51F-2BC5ECC2297B}"/>
    <cellStyle name="Обычный_РусВинил ББ" xfId="7" xr:uid="{29E4AFAA-E7CD-4973-83E7-15F37540D9D6}"/>
    <cellStyle name="Обычный_Сибур" xfId="2" xr:uid="{43CF36F9-709F-4405-A03C-5F441CBB3D79}"/>
    <cellStyle name="Обычный_Сибур 1" xfId="4" xr:uid="{DE4D5579-3ADC-44B6-9E25-8115874A9B0D}"/>
    <cellStyle name="Обычный_СтройТех" xfId="9" xr:uid="{11707414-3B8E-4F87-9785-B67AA9FE4950}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7DBAF482-B15A-4767-B84B-00013F382429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9670860-09E0-411F-B042-333407FEFF28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F04995EE-478F-4948-A171-3C67E215136B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91;&#1089;&#1074;&#1080;&#1085;&#1080;&#1083;/&#1056;&#1042;%20&#1054;&#1090;&#1095;&#1077;&#1090;/&#1056;&#1042;%20&#1053;&#1086;&#1103;&#1073;&#1088;&#1100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AddIns/EXCELTools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91;&#1089;&#1074;&#1080;&#1085;&#1080;&#1083;/&#1056;&#1042;%20&#1054;&#1090;&#1095;&#1077;&#1090;/Temp/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ее и резерв"/>
      <sheetName val="РВ Баумана"/>
      <sheetName val="Окская Мешки"/>
      <sheetName val="РВ ГАЗ"/>
      <sheetName val="РВ Новикова-Прибоя"/>
      <sheetName val="АВР Баумана"/>
      <sheetName val="АВР Новикова"/>
      <sheetName val="АВР Ленина"/>
      <sheetName val="Праздники"/>
    </sheetNames>
    <sheetDataSet>
      <sheetData sheetId="0"/>
      <sheetData sheetId="1">
        <row r="2">
          <cell r="R2">
            <v>0</v>
          </cell>
          <cell r="S2">
            <v>0</v>
          </cell>
        </row>
        <row r="3">
          <cell r="R3">
            <v>19.350000000000001</v>
          </cell>
          <cell r="S3">
            <v>208.97000000000003</v>
          </cell>
        </row>
        <row r="6">
          <cell r="C6">
            <v>0</v>
          </cell>
          <cell r="D6">
            <v>40.85</v>
          </cell>
          <cell r="G6">
            <v>1448.615</v>
          </cell>
        </row>
        <row r="7">
          <cell r="C7">
            <v>0</v>
          </cell>
          <cell r="D7">
            <v>0</v>
          </cell>
          <cell r="G7">
            <v>1407.7650000000001</v>
          </cell>
        </row>
        <row r="8">
          <cell r="C8">
            <v>0</v>
          </cell>
          <cell r="D8">
            <v>18</v>
          </cell>
          <cell r="G8">
            <v>1407.7650000000001</v>
          </cell>
        </row>
        <row r="9">
          <cell r="C9">
            <v>0</v>
          </cell>
          <cell r="D9">
            <v>0</v>
          </cell>
          <cell r="G9">
            <v>1389.7650000000001</v>
          </cell>
        </row>
        <row r="10">
          <cell r="C10">
            <v>0</v>
          </cell>
          <cell r="D10">
            <v>8.5749999999999993</v>
          </cell>
          <cell r="G10">
            <v>1389.7650000000001</v>
          </cell>
        </row>
        <row r="11">
          <cell r="C11">
            <v>0</v>
          </cell>
          <cell r="D11">
            <v>0</v>
          </cell>
          <cell r="G11">
            <v>1381.19</v>
          </cell>
        </row>
        <row r="12">
          <cell r="C12">
            <v>0</v>
          </cell>
          <cell r="D12">
            <v>0</v>
          </cell>
          <cell r="G12">
            <v>1381.19</v>
          </cell>
        </row>
        <row r="13">
          <cell r="C13">
            <v>0</v>
          </cell>
          <cell r="D13">
            <v>0</v>
          </cell>
          <cell r="G13">
            <v>1381.19</v>
          </cell>
        </row>
        <row r="14">
          <cell r="C14">
            <v>0</v>
          </cell>
          <cell r="D14">
            <v>0</v>
          </cell>
          <cell r="G14">
            <v>1381.19</v>
          </cell>
        </row>
        <row r="15">
          <cell r="C15">
            <v>0</v>
          </cell>
          <cell r="D15">
            <v>12.375</v>
          </cell>
          <cell r="G15">
            <v>1381.19</v>
          </cell>
        </row>
        <row r="16">
          <cell r="C16">
            <v>0</v>
          </cell>
          <cell r="D16">
            <v>34.875</v>
          </cell>
          <cell r="G16">
            <v>1368.8150000000001</v>
          </cell>
        </row>
        <row r="17">
          <cell r="C17">
            <v>0</v>
          </cell>
          <cell r="D17">
            <v>0</v>
          </cell>
          <cell r="G17">
            <v>1333.94</v>
          </cell>
        </row>
        <row r="18">
          <cell r="C18">
            <v>0</v>
          </cell>
          <cell r="D18">
            <v>37.125</v>
          </cell>
          <cell r="G18">
            <v>1333.94</v>
          </cell>
        </row>
        <row r="19">
          <cell r="C19">
            <v>0</v>
          </cell>
          <cell r="D19">
            <v>0</v>
          </cell>
          <cell r="G19">
            <v>1296.8150000000001</v>
          </cell>
        </row>
        <row r="20">
          <cell r="C20">
            <v>0</v>
          </cell>
          <cell r="D20">
            <v>0</v>
          </cell>
          <cell r="G20">
            <v>1296.8150000000001</v>
          </cell>
        </row>
        <row r="21">
          <cell r="C21">
            <v>0</v>
          </cell>
          <cell r="D21">
            <v>0</v>
          </cell>
          <cell r="G21">
            <v>1296.8150000000001</v>
          </cell>
        </row>
        <row r="22">
          <cell r="C22">
            <v>0</v>
          </cell>
          <cell r="D22">
            <v>0</v>
          </cell>
          <cell r="G22">
            <v>1296.8150000000001</v>
          </cell>
        </row>
        <row r="23">
          <cell r="C23">
            <v>0</v>
          </cell>
          <cell r="D23">
            <v>0</v>
          </cell>
          <cell r="G23">
            <v>1296.8150000000001</v>
          </cell>
        </row>
        <row r="24">
          <cell r="C24">
            <v>0</v>
          </cell>
          <cell r="D24">
            <v>0</v>
          </cell>
          <cell r="G24">
            <v>1296.8150000000001</v>
          </cell>
        </row>
        <row r="25">
          <cell r="C25">
            <v>0</v>
          </cell>
          <cell r="D25">
            <v>17.170000000000002</v>
          </cell>
          <cell r="G25">
            <v>1296.8150000000001</v>
          </cell>
        </row>
        <row r="26">
          <cell r="C26">
            <v>0</v>
          </cell>
          <cell r="D26">
            <v>22</v>
          </cell>
          <cell r="G26">
            <v>1279.645</v>
          </cell>
        </row>
        <row r="27">
          <cell r="C27">
            <v>0</v>
          </cell>
          <cell r="D27">
            <v>0</v>
          </cell>
          <cell r="G27">
            <v>1257.645</v>
          </cell>
        </row>
        <row r="28">
          <cell r="C28">
            <v>0</v>
          </cell>
          <cell r="D28">
            <v>0</v>
          </cell>
          <cell r="G28">
            <v>1257.645</v>
          </cell>
        </row>
        <row r="29">
          <cell r="C29">
            <v>0</v>
          </cell>
          <cell r="D29">
            <v>0</v>
          </cell>
          <cell r="G29">
            <v>1386.645</v>
          </cell>
        </row>
        <row r="30">
          <cell r="C30">
            <v>0</v>
          </cell>
          <cell r="D30">
            <v>0</v>
          </cell>
          <cell r="G30">
            <v>1431.645</v>
          </cell>
        </row>
        <row r="31">
          <cell r="C31">
            <v>0</v>
          </cell>
          <cell r="D31">
            <v>11</v>
          </cell>
          <cell r="G31">
            <v>1431.645</v>
          </cell>
        </row>
        <row r="32">
          <cell r="C32">
            <v>0</v>
          </cell>
          <cell r="D32">
            <v>0</v>
          </cell>
          <cell r="G32">
            <v>1420.645</v>
          </cell>
        </row>
        <row r="33">
          <cell r="C33">
            <v>0</v>
          </cell>
          <cell r="D33">
            <v>25</v>
          </cell>
          <cell r="G33">
            <v>1420.645</v>
          </cell>
        </row>
        <row r="34">
          <cell r="C34">
            <v>0</v>
          </cell>
          <cell r="D34">
            <v>0</v>
          </cell>
          <cell r="G34">
            <v>1395.645</v>
          </cell>
        </row>
        <row r="35">
          <cell r="C35">
            <v>0</v>
          </cell>
          <cell r="D35">
            <v>1.35</v>
          </cell>
          <cell r="G35">
            <v>1395.645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40741.474999999977</v>
          </cell>
        </row>
      </sheetData>
      <sheetData sheetId="2"/>
      <sheetData sheetId="3">
        <row r="2">
          <cell r="R2">
            <v>0</v>
          </cell>
          <cell r="S2">
            <v>0</v>
          </cell>
        </row>
        <row r="3">
          <cell r="R3">
            <v>42.75</v>
          </cell>
          <cell r="S3">
            <v>160.85499999999999</v>
          </cell>
        </row>
        <row r="6">
          <cell r="C6">
            <v>0</v>
          </cell>
          <cell r="D6">
            <v>44</v>
          </cell>
          <cell r="G6">
            <v>377.60500000000002</v>
          </cell>
        </row>
        <row r="7">
          <cell r="C7">
            <v>0</v>
          </cell>
          <cell r="D7">
            <v>0</v>
          </cell>
          <cell r="G7">
            <v>333.60500000000002</v>
          </cell>
        </row>
        <row r="8">
          <cell r="C8">
            <v>0</v>
          </cell>
          <cell r="D8">
            <v>0</v>
          </cell>
          <cell r="G8">
            <v>333.60500000000002</v>
          </cell>
        </row>
        <row r="9">
          <cell r="C9">
            <v>0</v>
          </cell>
          <cell r="D9">
            <v>0</v>
          </cell>
          <cell r="G9">
            <v>333.60500000000002</v>
          </cell>
        </row>
        <row r="10">
          <cell r="C10">
            <v>0</v>
          </cell>
          <cell r="D10">
            <v>0</v>
          </cell>
          <cell r="G10">
            <v>333.60500000000002</v>
          </cell>
        </row>
        <row r="11">
          <cell r="C11">
            <v>0</v>
          </cell>
          <cell r="D11">
            <v>0</v>
          </cell>
          <cell r="G11">
            <v>333.60500000000002</v>
          </cell>
        </row>
        <row r="12">
          <cell r="C12">
            <v>0</v>
          </cell>
          <cell r="D12">
            <v>0</v>
          </cell>
          <cell r="G12">
            <v>333.60500000000002</v>
          </cell>
        </row>
        <row r="13">
          <cell r="C13">
            <v>0</v>
          </cell>
          <cell r="D13">
            <v>0</v>
          </cell>
          <cell r="G13">
            <v>333.60500000000002</v>
          </cell>
        </row>
        <row r="14">
          <cell r="C14">
            <v>0</v>
          </cell>
          <cell r="D14">
            <v>42.75</v>
          </cell>
          <cell r="G14">
            <v>333.60500000000002</v>
          </cell>
        </row>
        <row r="15">
          <cell r="C15">
            <v>0</v>
          </cell>
          <cell r="D15">
            <v>64.75</v>
          </cell>
          <cell r="G15">
            <v>290.85500000000002</v>
          </cell>
        </row>
        <row r="16">
          <cell r="C16">
            <v>0</v>
          </cell>
          <cell r="D16">
            <v>7.875</v>
          </cell>
          <cell r="G16">
            <v>226.10500000000002</v>
          </cell>
        </row>
        <row r="17">
          <cell r="C17">
            <v>0</v>
          </cell>
          <cell r="D17">
            <v>0</v>
          </cell>
          <cell r="G17">
            <v>218.23000000000002</v>
          </cell>
        </row>
        <row r="18">
          <cell r="C18">
            <v>0</v>
          </cell>
          <cell r="D18">
            <v>0</v>
          </cell>
          <cell r="G18">
            <v>218.23000000000002</v>
          </cell>
        </row>
        <row r="19">
          <cell r="C19">
            <v>0</v>
          </cell>
          <cell r="D19">
            <v>22.23</v>
          </cell>
          <cell r="G19">
            <v>218.23000000000002</v>
          </cell>
        </row>
        <row r="20">
          <cell r="C20">
            <v>0</v>
          </cell>
          <cell r="D20">
            <v>0</v>
          </cell>
          <cell r="G20">
            <v>196.00000000000003</v>
          </cell>
        </row>
        <row r="21">
          <cell r="C21">
            <v>0</v>
          </cell>
          <cell r="D21">
            <v>0</v>
          </cell>
          <cell r="G21">
            <v>196.00000000000003</v>
          </cell>
        </row>
        <row r="22">
          <cell r="C22">
            <v>0</v>
          </cell>
          <cell r="D22">
            <v>22</v>
          </cell>
          <cell r="G22">
            <v>196.00000000000003</v>
          </cell>
        </row>
        <row r="23">
          <cell r="C23">
            <v>0</v>
          </cell>
          <cell r="D23">
            <v>0</v>
          </cell>
          <cell r="G23">
            <v>174.00000000000003</v>
          </cell>
        </row>
        <row r="24">
          <cell r="C24">
            <v>0</v>
          </cell>
          <cell r="D24">
            <v>0</v>
          </cell>
          <cell r="G24">
            <v>174.00000000000003</v>
          </cell>
        </row>
        <row r="25">
          <cell r="C25">
            <v>0</v>
          </cell>
          <cell r="D25">
            <v>0</v>
          </cell>
          <cell r="G25">
            <v>174.00000000000003</v>
          </cell>
        </row>
        <row r="26">
          <cell r="C26">
            <v>0</v>
          </cell>
          <cell r="D26">
            <v>0</v>
          </cell>
          <cell r="G26">
            <v>174.00000000000003</v>
          </cell>
        </row>
        <row r="27">
          <cell r="C27">
            <v>0</v>
          </cell>
          <cell r="D27">
            <v>0</v>
          </cell>
          <cell r="G27">
            <v>174.00000000000003</v>
          </cell>
        </row>
        <row r="28">
          <cell r="C28">
            <v>0</v>
          </cell>
          <cell r="D28">
            <v>0</v>
          </cell>
          <cell r="G28">
            <v>174.00000000000003</v>
          </cell>
        </row>
        <row r="29">
          <cell r="C29">
            <v>0</v>
          </cell>
          <cell r="D29">
            <v>0</v>
          </cell>
          <cell r="G29">
            <v>45.000000000000028</v>
          </cell>
        </row>
        <row r="30">
          <cell r="C30">
            <v>0</v>
          </cell>
          <cell r="D30">
            <v>0</v>
          </cell>
          <cell r="G30">
            <v>0</v>
          </cell>
        </row>
        <row r="31">
          <cell r="C31">
            <v>0</v>
          </cell>
          <cell r="D31">
            <v>0</v>
          </cell>
          <cell r="G31">
            <v>0</v>
          </cell>
        </row>
        <row r="32">
          <cell r="C32">
            <v>0</v>
          </cell>
          <cell r="D32">
            <v>0</v>
          </cell>
          <cell r="G32">
            <v>0</v>
          </cell>
        </row>
        <row r="33">
          <cell r="C33">
            <v>0</v>
          </cell>
          <cell r="D33">
            <v>0</v>
          </cell>
          <cell r="G33">
            <v>0</v>
          </cell>
        </row>
        <row r="34">
          <cell r="C34">
            <v>0</v>
          </cell>
          <cell r="D34">
            <v>0</v>
          </cell>
          <cell r="G34">
            <v>0</v>
          </cell>
        </row>
        <row r="35">
          <cell r="C35">
            <v>0</v>
          </cell>
          <cell r="D35">
            <v>0</v>
          </cell>
          <cell r="G35">
            <v>0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5895.0950000000003</v>
          </cell>
        </row>
      </sheetData>
      <sheetData sheetId="4">
        <row r="2">
          <cell r="R2">
            <v>42</v>
          </cell>
          <cell r="S2">
            <v>21</v>
          </cell>
        </row>
        <row r="3">
          <cell r="R3">
            <v>16.38</v>
          </cell>
          <cell r="S3">
            <v>67.61999999999999</v>
          </cell>
        </row>
        <row r="6">
          <cell r="C6">
            <v>0</v>
          </cell>
          <cell r="D6">
            <v>7.8250000000000002</v>
          </cell>
          <cell r="G6">
            <v>320.14499999999998</v>
          </cell>
        </row>
        <row r="7">
          <cell r="C7">
            <v>0</v>
          </cell>
          <cell r="D7">
            <v>0</v>
          </cell>
          <cell r="G7">
            <v>312.32</v>
          </cell>
        </row>
        <row r="8">
          <cell r="C8">
            <v>0</v>
          </cell>
          <cell r="D8">
            <v>0</v>
          </cell>
          <cell r="G8">
            <v>312.32</v>
          </cell>
        </row>
        <row r="9">
          <cell r="C9">
            <v>0</v>
          </cell>
          <cell r="D9">
            <v>0</v>
          </cell>
          <cell r="G9">
            <v>312.32</v>
          </cell>
        </row>
        <row r="10">
          <cell r="C10">
            <v>0</v>
          </cell>
          <cell r="D10">
            <v>13.355</v>
          </cell>
          <cell r="G10">
            <v>312.32</v>
          </cell>
        </row>
        <row r="11">
          <cell r="C11">
            <v>0</v>
          </cell>
          <cell r="D11">
            <v>0</v>
          </cell>
          <cell r="G11">
            <v>298.96499999999997</v>
          </cell>
        </row>
        <row r="12">
          <cell r="C12">
            <v>0</v>
          </cell>
          <cell r="D12">
            <v>0</v>
          </cell>
          <cell r="G12">
            <v>298.96499999999997</v>
          </cell>
        </row>
        <row r="13">
          <cell r="C13">
            <v>0</v>
          </cell>
          <cell r="D13">
            <v>0</v>
          </cell>
          <cell r="G13">
            <v>298.96499999999997</v>
          </cell>
        </row>
        <row r="14">
          <cell r="C14">
            <v>0</v>
          </cell>
          <cell r="D14">
            <v>0</v>
          </cell>
          <cell r="G14">
            <v>298.96499999999997</v>
          </cell>
        </row>
        <row r="15">
          <cell r="C15">
            <v>0</v>
          </cell>
          <cell r="D15">
            <v>0</v>
          </cell>
          <cell r="G15">
            <v>298.96499999999997</v>
          </cell>
        </row>
        <row r="16">
          <cell r="C16">
            <v>0</v>
          </cell>
          <cell r="D16">
            <v>0</v>
          </cell>
          <cell r="G16">
            <v>298.96499999999997</v>
          </cell>
        </row>
        <row r="17">
          <cell r="C17">
            <v>0</v>
          </cell>
          <cell r="D17">
            <v>0</v>
          </cell>
          <cell r="G17">
            <v>298.96499999999997</v>
          </cell>
        </row>
        <row r="18">
          <cell r="C18">
            <v>0</v>
          </cell>
          <cell r="D18">
            <v>0</v>
          </cell>
          <cell r="G18">
            <v>298.96499999999997</v>
          </cell>
        </row>
        <row r="19">
          <cell r="C19">
            <v>0</v>
          </cell>
          <cell r="D19">
            <v>21.89</v>
          </cell>
          <cell r="G19">
            <v>298.96499999999997</v>
          </cell>
        </row>
        <row r="20">
          <cell r="C20">
            <v>0</v>
          </cell>
          <cell r="D20">
            <v>0</v>
          </cell>
          <cell r="G20">
            <v>277.07499999999999</v>
          </cell>
        </row>
        <row r="21">
          <cell r="C21">
            <v>0</v>
          </cell>
          <cell r="D21">
            <v>0</v>
          </cell>
          <cell r="G21">
            <v>277.07499999999999</v>
          </cell>
        </row>
        <row r="22">
          <cell r="C22">
            <v>0</v>
          </cell>
          <cell r="D22">
            <v>0</v>
          </cell>
          <cell r="G22">
            <v>277.07499999999999</v>
          </cell>
        </row>
        <row r="23">
          <cell r="C23">
            <v>0</v>
          </cell>
          <cell r="D23">
            <v>0</v>
          </cell>
          <cell r="G23">
            <v>277.07499999999999</v>
          </cell>
        </row>
        <row r="24">
          <cell r="C24">
            <v>0</v>
          </cell>
          <cell r="D24">
            <v>0</v>
          </cell>
          <cell r="G24">
            <v>277.07499999999999</v>
          </cell>
        </row>
        <row r="25">
          <cell r="C25">
            <v>0</v>
          </cell>
          <cell r="D25">
            <v>0</v>
          </cell>
          <cell r="G25">
            <v>277.07499999999999</v>
          </cell>
        </row>
        <row r="26">
          <cell r="C26">
            <v>0</v>
          </cell>
          <cell r="D26">
            <v>0</v>
          </cell>
          <cell r="G26">
            <v>277.07499999999999</v>
          </cell>
        </row>
        <row r="27">
          <cell r="C27">
            <v>0</v>
          </cell>
          <cell r="D27">
            <v>0</v>
          </cell>
          <cell r="G27">
            <v>277.07499999999999</v>
          </cell>
        </row>
        <row r="28">
          <cell r="C28">
            <v>0</v>
          </cell>
          <cell r="D28">
            <v>0</v>
          </cell>
          <cell r="G28">
            <v>277.07499999999999</v>
          </cell>
        </row>
        <row r="29">
          <cell r="C29">
            <v>0</v>
          </cell>
          <cell r="D29">
            <v>0</v>
          </cell>
          <cell r="G29">
            <v>277.07499999999999</v>
          </cell>
        </row>
        <row r="30">
          <cell r="C30">
            <v>0</v>
          </cell>
          <cell r="D30">
            <v>0</v>
          </cell>
          <cell r="G30">
            <v>277.07499999999999</v>
          </cell>
        </row>
        <row r="31">
          <cell r="C31">
            <v>0</v>
          </cell>
          <cell r="D31">
            <v>0</v>
          </cell>
          <cell r="G31">
            <v>277.07499999999999</v>
          </cell>
        </row>
        <row r="32">
          <cell r="C32">
            <v>0</v>
          </cell>
          <cell r="D32">
            <v>22.23</v>
          </cell>
          <cell r="G32">
            <v>277.07499999999999</v>
          </cell>
        </row>
        <row r="33">
          <cell r="C33">
            <v>21</v>
          </cell>
          <cell r="D33">
            <v>2.3199999999999998</v>
          </cell>
          <cell r="G33">
            <v>275.84499999999997</v>
          </cell>
        </row>
        <row r="34">
          <cell r="C34">
            <v>42</v>
          </cell>
          <cell r="D34">
            <v>0</v>
          </cell>
          <cell r="G34">
            <v>315.52499999999998</v>
          </cell>
        </row>
        <row r="35">
          <cell r="C35">
            <v>0</v>
          </cell>
          <cell r="D35">
            <v>16.38</v>
          </cell>
          <cell r="G35">
            <v>315.52499999999998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8768.9799999999977</v>
          </cell>
        </row>
      </sheetData>
      <sheetData sheetId="5"/>
      <sheetData sheetId="6"/>
      <sheetData sheetId="7"/>
      <sheetData sheetId="8">
        <row r="1">
          <cell r="A1">
            <v>45292</v>
          </cell>
        </row>
        <row r="2">
          <cell r="A2">
            <v>45293</v>
          </cell>
        </row>
        <row r="3">
          <cell r="A3">
            <v>45294</v>
          </cell>
        </row>
        <row r="4">
          <cell r="A4">
            <v>45295</v>
          </cell>
        </row>
        <row r="5">
          <cell r="A5">
            <v>45296</v>
          </cell>
        </row>
        <row r="6">
          <cell r="A6">
            <v>45297</v>
          </cell>
        </row>
        <row r="7">
          <cell r="A7">
            <v>45298</v>
          </cell>
        </row>
        <row r="8">
          <cell r="A8">
            <v>45299</v>
          </cell>
        </row>
        <row r="9">
          <cell r="A9">
            <v>45345</v>
          </cell>
        </row>
        <row r="10">
          <cell r="A10">
            <v>45359</v>
          </cell>
        </row>
        <row r="11">
          <cell r="A11">
            <v>45410</v>
          </cell>
        </row>
        <row r="12">
          <cell r="A12">
            <v>45411</v>
          </cell>
        </row>
        <row r="13">
          <cell r="A13">
            <v>45412</v>
          </cell>
        </row>
        <row r="14">
          <cell r="A14">
            <v>45778</v>
          </cell>
        </row>
        <row r="15">
          <cell r="A15">
            <v>45779</v>
          </cell>
        </row>
        <row r="16">
          <cell r="A16">
            <v>45780</v>
          </cell>
        </row>
        <row r="17">
          <cell r="A17">
            <v>45781</v>
          </cell>
        </row>
        <row r="18">
          <cell r="A18">
            <v>45785</v>
          </cell>
        </row>
        <row r="19">
          <cell r="A19">
            <v>45786</v>
          </cell>
        </row>
        <row r="20">
          <cell r="A20">
            <v>45787</v>
          </cell>
        </row>
        <row r="21">
          <cell r="A21">
            <v>45788</v>
          </cell>
        </row>
        <row r="22">
          <cell r="A22">
            <v>45820</v>
          </cell>
        </row>
        <row r="23">
          <cell r="A23">
            <v>45821</v>
          </cell>
        </row>
        <row r="24">
          <cell r="A24">
            <v>45822</v>
          </cell>
        </row>
        <row r="25">
          <cell r="A25">
            <v>45823</v>
          </cell>
        </row>
        <row r="26">
          <cell r="A26">
            <v>45963</v>
          </cell>
        </row>
        <row r="27">
          <cell r="A27">
            <v>45964</v>
          </cell>
        </row>
        <row r="28">
          <cell r="A28">
            <v>45965</v>
          </cell>
        </row>
        <row r="29">
          <cell r="A29">
            <v>46022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7">
          <cell r="D7"/>
          <cell r="F7"/>
          <cell r="I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55CF-9D39-4725-8235-42E5B85709E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3978-D39B-450A-B692-3113CB2739AF}">
  <dimension ref="A1:T40"/>
  <sheetViews>
    <sheetView topLeftCell="A10" workbookViewId="0">
      <selection activeCell="G12" sqref="G12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A1" s="1">
        <f>T37</f>
        <v>406065.257568</v>
      </c>
      <c r="I1" s="3"/>
    </row>
    <row r="2" spans="1:20" ht="28.9" customHeight="1">
      <c r="A2" s="201" t="str">
        <f>"Отчет по хранению товара за " &amp; TEXT(B5,"ММММ ГГГГ")</f>
        <v>Отчет по хранению товара за Ноябрь 2025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198" t="s">
        <v>0</v>
      </c>
      <c r="B3" s="202" t="s">
        <v>1</v>
      </c>
      <c r="C3" s="203"/>
      <c r="D3" s="198" t="s">
        <v>2</v>
      </c>
      <c r="E3" s="198" t="s">
        <v>3</v>
      </c>
      <c r="F3" s="4" t="s">
        <v>4</v>
      </c>
      <c r="G3" s="198" t="s">
        <v>5</v>
      </c>
      <c r="H3" s="198" t="s">
        <v>6</v>
      </c>
      <c r="I3" s="198" t="s">
        <v>7</v>
      </c>
      <c r="J3" s="198" t="s">
        <v>8</v>
      </c>
      <c r="K3" s="198" t="s">
        <v>9</v>
      </c>
      <c r="L3" s="198" t="s">
        <v>10</v>
      </c>
      <c r="M3" s="198" t="s">
        <v>11</v>
      </c>
      <c r="N3" s="198" t="s">
        <v>12</v>
      </c>
      <c r="O3" s="198" t="s">
        <v>13</v>
      </c>
      <c r="P3" s="198" t="s">
        <v>14</v>
      </c>
      <c r="Q3" s="198" t="s">
        <v>15</v>
      </c>
      <c r="R3" s="198" t="s">
        <v>16</v>
      </c>
      <c r="S3" s="198" t="s">
        <v>17</v>
      </c>
      <c r="T3" s="198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6">
        <v>1</v>
      </c>
      <c r="B5" s="196">
        <v>45962</v>
      </c>
      <c r="C5" s="197"/>
      <c r="D5" s="7"/>
      <c r="E5" s="7"/>
      <c r="F5" s="8">
        <f>124.81618+D5-E5</f>
        <v>124.81618</v>
      </c>
      <c r="G5" s="9">
        <f>IF(OR(B5="",NOT(ISERROR(SEARCH("KPI",$A$2))),NOT(ISERROR(SEARCH("Полиом",$A$2)))),0,IF(70-F5&lt;=0,0,70-F5))</f>
        <v>0</v>
      </c>
      <c r="H5" s="9"/>
      <c r="I5" s="10"/>
      <c r="J5" s="10"/>
      <c r="K5" s="11"/>
      <c r="L5" s="12">
        <f>SUM(K5*240)</f>
        <v>0</v>
      </c>
      <c r="M5" s="12">
        <f>SUM(D5*120)</f>
        <v>0</v>
      </c>
      <c r="N5" s="12">
        <f>SUM(E5*120)</f>
        <v>0</v>
      </c>
      <c r="O5" s="12">
        <f>SUM(F5*54)</f>
        <v>6740.0737200000003</v>
      </c>
      <c r="P5" s="12">
        <f>SUM(G5*54)</f>
        <v>0</v>
      </c>
      <c r="Q5" s="12">
        <f>SUM(H5*120)</f>
        <v>0</v>
      </c>
      <c r="R5" s="12">
        <f>SUM(I5*1000)</f>
        <v>0</v>
      </c>
      <c r="S5" s="12">
        <f>SUM(J5*140)</f>
        <v>0</v>
      </c>
      <c r="T5" s="12">
        <f>SUM(L5:S5)</f>
        <v>6740.0737200000003</v>
      </c>
    </row>
    <row r="6" spans="1:20">
      <c r="A6" s="13">
        <v>2</v>
      </c>
      <c r="B6" s="196">
        <v>45963</v>
      </c>
      <c r="C6" s="197"/>
      <c r="D6" s="7"/>
      <c r="E6" s="7"/>
      <c r="F6" s="8">
        <f>F5-E6+D6</f>
        <v>124.81618</v>
      </c>
      <c r="G6" s="9">
        <f t="shared" ref="G6:G35" si="0">IF(OR(B6="",NOT(ISERROR(SEARCH("KPI",$A$2))),NOT(ISERROR(SEARCH("Полиом",$A$2)))),0,IF(70-F6&lt;=0,0,70-F6))</f>
        <v>0</v>
      </c>
      <c r="H6" s="9"/>
      <c r="I6" s="10"/>
      <c r="J6" s="10"/>
      <c r="K6" s="11"/>
      <c r="L6" s="12">
        <f t="shared" ref="L6:L35" si="1">SUM(K6*240)</f>
        <v>0</v>
      </c>
      <c r="M6" s="12">
        <f t="shared" ref="M6:N35" si="2">SUM(D6*120)</f>
        <v>0</v>
      </c>
      <c r="N6" s="12">
        <f t="shared" si="2"/>
        <v>0</v>
      </c>
      <c r="O6" s="12">
        <f t="shared" ref="O6:P35" si="3">SUM(F6*54)</f>
        <v>6740.0737200000003</v>
      </c>
      <c r="P6" s="12">
        <f t="shared" si="3"/>
        <v>0</v>
      </c>
      <c r="Q6" s="12">
        <f t="shared" ref="Q6:Q35" si="4">SUM(H6*120)</f>
        <v>0</v>
      </c>
      <c r="R6" s="12">
        <f t="shared" ref="R6:R35" si="5">SUM(I6*1000)</f>
        <v>0</v>
      </c>
      <c r="S6" s="12">
        <f t="shared" ref="S6:S35" si="6">SUM(J6*140)</f>
        <v>0</v>
      </c>
      <c r="T6" s="12">
        <f t="shared" ref="T6:T35" si="7">SUM(L6:S6)</f>
        <v>6740.0737200000003</v>
      </c>
    </row>
    <row r="7" spans="1:20">
      <c r="A7" s="13">
        <v>3</v>
      </c>
      <c r="B7" s="196">
        <v>45964</v>
      </c>
      <c r="C7" s="197"/>
      <c r="D7" s="7"/>
      <c r="E7" s="7"/>
      <c r="F7" s="8">
        <f t="shared" ref="F7:F31" si="8">F6-E7+D7</f>
        <v>124.81618</v>
      </c>
      <c r="G7" s="9">
        <f t="shared" si="0"/>
        <v>0</v>
      </c>
      <c r="H7" s="9"/>
      <c r="I7" s="10"/>
      <c r="J7" s="10"/>
      <c r="K7" s="11"/>
      <c r="L7" s="12">
        <f t="shared" si="1"/>
        <v>0</v>
      </c>
      <c r="M7" s="12">
        <f t="shared" si="2"/>
        <v>0</v>
      </c>
      <c r="N7" s="12">
        <f t="shared" si="2"/>
        <v>0</v>
      </c>
      <c r="O7" s="12">
        <f t="shared" si="3"/>
        <v>6740.0737200000003</v>
      </c>
      <c r="P7" s="12">
        <f t="shared" si="3"/>
        <v>0</v>
      </c>
      <c r="Q7" s="12">
        <f t="shared" si="4"/>
        <v>0</v>
      </c>
      <c r="R7" s="12">
        <f t="shared" si="5"/>
        <v>0</v>
      </c>
      <c r="S7" s="12">
        <f t="shared" si="6"/>
        <v>0</v>
      </c>
      <c r="T7" s="12">
        <f t="shared" si="7"/>
        <v>6740.0737200000003</v>
      </c>
    </row>
    <row r="8" spans="1:20">
      <c r="A8" s="13">
        <v>4</v>
      </c>
      <c r="B8" s="196">
        <v>45965</v>
      </c>
      <c r="C8" s="197"/>
      <c r="D8" s="7"/>
      <c r="E8" s="7"/>
      <c r="F8" s="8">
        <f t="shared" si="8"/>
        <v>124.81618</v>
      </c>
      <c r="G8" s="9">
        <f t="shared" si="0"/>
        <v>0</v>
      </c>
      <c r="H8" s="9"/>
      <c r="I8" s="10"/>
      <c r="J8" s="10"/>
      <c r="K8" s="11"/>
      <c r="L8" s="12">
        <f t="shared" si="1"/>
        <v>0</v>
      </c>
      <c r="M8" s="12">
        <f t="shared" si="2"/>
        <v>0</v>
      </c>
      <c r="N8" s="12">
        <f t="shared" si="2"/>
        <v>0</v>
      </c>
      <c r="O8" s="12">
        <f t="shared" si="3"/>
        <v>6740.0737200000003</v>
      </c>
      <c r="P8" s="12">
        <f t="shared" si="3"/>
        <v>0</v>
      </c>
      <c r="Q8" s="12">
        <f t="shared" si="4"/>
        <v>0</v>
      </c>
      <c r="R8" s="12">
        <f t="shared" si="5"/>
        <v>0</v>
      </c>
      <c r="S8" s="12">
        <f t="shared" si="6"/>
        <v>0</v>
      </c>
      <c r="T8" s="12">
        <f t="shared" si="7"/>
        <v>6740.0737200000003</v>
      </c>
    </row>
    <row r="9" spans="1:20">
      <c r="A9" s="13">
        <v>5</v>
      </c>
      <c r="B9" s="196">
        <v>45966</v>
      </c>
      <c r="C9" s="197"/>
      <c r="D9" s="14">
        <v>18.026800000000001</v>
      </c>
      <c r="E9" s="15"/>
      <c r="F9" s="8">
        <f t="shared" si="8"/>
        <v>142.84298000000001</v>
      </c>
      <c r="G9" s="9">
        <f t="shared" si="0"/>
        <v>0</v>
      </c>
      <c r="H9" s="9"/>
      <c r="I9" s="10"/>
      <c r="J9" s="10"/>
      <c r="K9" s="11"/>
      <c r="L9" s="12">
        <f t="shared" si="1"/>
        <v>0</v>
      </c>
      <c r="M9" s="12">
        <f t="shared" si="2"/>
        <v>2163.2160000000003</v>
      </c>
      <c r="N9" s="12">
        <f t="shared" si="2"/>
        <v>0</v>
      </c>
      <c r="O9" s="12">
        <f t="shared" si="3"/>
        <v>7713.5209200000008</v>
      </c>
      <c r="P9" s="12">
        <f t="shared" si="3"/>
        <v>0</v>
      </c>
      <c r="Q9" s="12">
        <f t="shared" si="4"/>
        <v>0</v>
      </c>
      <c r="R9" s="12">
        <f t="shared" si="5"/>
        <v>0</v>
      </c>
      <c r="S9" s="12">
        <f t="shared" si="6"/>
        <v>0</v>
      </c>
      <c r="T9" s="12">
        <f t="shared" si="7"/>
        <v>9876.7369200000012</v>
      </c>
    </row>
    <row r="10" spans="1:20">
      <c r="A10" s="13">
        <v>6</v>
      </c>
      <c r="B10" s="196">
        <v>45967</v>
      </c>
      <c r="C10" s="197"/>
      <c r="D10" s="7"/>
      <c r="E10" s="7"/>
      <c r="F10" s="8">
        <f t="shared" si="8"/>
        <v>142.84298000000001</v>
      </c>
      <c r="G10" s="9">
        <f t="shared" si="0"/>
        <v>0</v>
      </c>
      <c r="H10" s="9"/>
      <c r="I10" s="10"/>
      <c r="J10" s="10"/>
      <c r="K10" s="11"/>
      <c r="L10" s="12">
        <f t="shared" si="1"/>
        <v>0</v>
      </c>
      <c r="M10" s="12">
        <f t="shared" si="2"/>
        <v>0</v>
      </c>
      <c r="N10" s="12">
        <f t="shared" si="2"/>
        <v>0</v>
      </c>
      <c r="O10" s="12">
        <f t="shared" si="3"/>
        <v>7713.5209200000008</v>
      </c>
      <c r="P10" s="12">
        <f t="shared" si="3"/>
        <v>0</v>
      </c>
      <c r="Q10" s="12">
        <f t="shared" si="4"/>
        <v>0</v>
      </c>
      <c r="R10" s="12">
        <f t="shared" si="5"/>
        <v>0</v>
      </c>
      <c r="S10" s="12">
        <f t="shared" si="6"/>
        <v>0</v>
      </c>
      <c r="T10" s="12">
        <f t="shared" si="7"/>
        <v>7713.5209200000008</v>
      </c>
    </row>
    <row r="11" spans="1:20">
      <c r="A11" s="13">
        <v>7</v>
      </c>
      <c r="B11" s="196">
        <v>45968</v>
      </c>
      <c r="C11" s="197"/>
      <c r="D11" s="7"/>
      <c r="E11" s="7"/>
      <c r="F11" s="8">
        <f t="shared" si="8"/>
        <v>142.84298000000001</v>
      </c>
      <c r="G11" s="9">
        <f t="shared" si="0"/>
        <v>0</v>
      </c>
      <c r="H11" s="9"/>
      <c r="I11" s="10"/>
      <c r="J11" s="10"/>
      <c r="K11" s="11"/>
      <c r="L11" s="12">
        <f t="shared" si="1"/>
        <v>0</v>
      </c>
      <c r="M11" s="12">
        <f t="shared" si="2"/>
        <v>0</v>
      </c>
      <c r="N11" s="12">
        <f t="shared" si="2"/>
        <v>0</v>
      </c>
      <c r="O11" s="12">
        <f t="shared" si="3"/>
        <v>7713.5209200000008</v>
      </c>
      <c r="P11" s="12">
        <f t="shared" si="3"/>
        <v>0</v>
      </c>
      <c r="Q11" s="12">
        <f t="shared" si="4"/>
        <v>0</v>
      </c>
      <c r="R11" s="12">
        <f t="shared" si="5"/>
        <v>0</v>
      </c>
      <c r="S11" s="12">
        <f t="shared" si="6"/>
        <v>0</v>
      </c>
      <c r="T11" s="12">
        <f t="shared" si="7"/>
        <v>7713.5209200000008</v>
      </c>
    </row>
    <row r="12" spans="1:20">
      <c r="A12" s="13">
        <v>8</v>
      </c>
      <c r="B12" s="196">
        <v>45969</v>
      </c>
      <c r="C12" s="197"/>
      <c r="D12" s="7"/>
      <c r="E12" s="7"/>
      <c r="F12" s="8">
        <f t="shared" si="8"/>
        <v>142.84298000000001</v>
      </c>
      <c r="G12" s="9">
        <f t="shared" si="0"/>
        <v>0</v>
      </c>
      <c r="H12" s="9"/>
      <c r="I12" s="10"/>
      <c r="J12" s="10"/>
      <c r="K12" s="11"/>
      <c r="L12" s="12">
        <f t="shared" si="1"/>
        <v>0</v>
      </c>
      <c r="M12" s="12">
        <f t="shared" si="2"/>
        <v>0</v>
      </c>
      <c r="N12" s="12">
        <f t="shared" si="2"/>
        <v>0</v>
      </c>
      <c r="O12" s="12">
        <f t="shared" si="3"/>
        <v>7713.5209200000008</v>
      </c>
      <c r="P12" s="12">
        <f t="shared" si="3"/>
        <v>0</v>
      </c>
      <c r="Q12" s="12">
        <f t="shared" si="4"/>
        <v>0</v>
      </c>
      <c r="R12" s="12">
        <f t="shared" si="5"/>
        <v>0</v>
      </c>
      <c r="S12" s="12">
        <f t="shared" si="6"/>
        <v>0</v>
      </c>
      <c r="T12" s="12">
        <f t="shared" si="7"/>
        <v>7713.5209200000008</v>
      </c>
    </row>
    <row r="13" spans="1:20">
      <c r="A13" s="13">
        <v>9</v>
      </c>
      <c r="B13" s="196">
        <v>45970</v>
      </c>
      <c r="C13" s="197"/>
      <c r="D13" s="7"/>
      <c r="E13" s="7"/>
      <c r="F13" s="8">
        <f t="shared" si="8"/>
        <v>142.84298000000001</v>
      </c>
      <c r="G13" s="9">
        <f t="shared" si="0"/>
        <v>0</v>
      </c>
      <c r="H13" s="9"/>
      <c r="I13" s="10"/>
      <c r="J13" s="10"/>
      <c r="K13" s="11"/>
      <c r="L13" s="12">
        <f t="shared" si="1"/>
        <v>0</v>
      </c>
      <c r="M13" s="12">
        <f t="shared" si="2"/>
        <v>0</v>
      </c>
      <c r="N13" s="12">
        <f t="shared" si="2"/>
        <v>0</v>
      </c>
      <c r="O13" s="12">
        <f t="shared" si="3"/>
        <v>7713.5209200000008</v>
      </c>
      <c r="P13" s="12">
        <f t="shared" si="3"/>
        <v>0</v>
      </c>
      <c r="Q13" s="12">
        <f t="shared" si="4"/>
        <v>0</v>
      </c>
      <c r="R13" s="12">
        <f t="shared" si="5"/>
        <v>0</v>
      </c>
      <c r="S13" s="12">
        <f t="shared" si="6"/>
        <v>0</v>
      </c>
      <c r="T13" s="12">
        <f t="shared" si="7"/>
        <v>7713.5209200000008</v>
      </c>
    </row>
    <row r="14" spans="1:20">
      <c r="A14" s="13">
        <v>10</v>
      </c>
      <c r="B14" s="196">
        <v>45971</v>
      </c>
      <c r="C14" s="197"/>
      <c r="D14" s="14">
        <v>70.494600000000005</v>
      </c>
      <c r="E14" s="15"/>
      <c r="F14" s="8">
        <f t="shared" si="8"/>
        <v>213.33758</v>
      </c>
      <c r="G14" s="9">
        <f t="shared" si="0"/>
        <v>0</v>
      </c>
      <c r="H14" s="9"/>
      <c r="I14" s="10"/>
      <c r="J14" s="10"/>
      <c r="K14" s="11"/>
      <c r="L14" s="12">
        <f t="shared" si="1"/>
        <v>0</v>
      </c>
      <c r="M14" s="12">
        <f t="shared" si="2"/>
        <v>8459.3520000000008</v>
      </c>
      <c r="N14" s="12">
        <f t="shared" si="2"/>
        <v>0</v>
      </c>
      <c r="O14" s="12">
        <f t="shared" si="3"/>
        <v>11520.22932</v>
      </c>
      <c r="P14" s="12">
        <f t="shared" si="3"/>
        <v>0</v>
      </c>
      <c r="Q14" s="12">
        <f t="shared" si="4"/>
        <v>0</v>
      </c>
      <c r="R14" s="12">
        <f t="shared" si="5"/>
        <v>0</v>
      </c>
      <c r="S14" s="12">
        <f t="shared" si="6"/>
        <v>0</v>
      </c>
      <c r="T14" s="12">
        <f t="shared" si="7"/>
        <v>19979.581320000001</v>
      </c>
    </row>
    <row r="15" spans="1:20">
      <c r="A15" s="13">
        <v>11</v>
      </c>
      <c r="B15" s="196">
        <v>45972</v>
      </c>
      <c r="C15" s="197"/>
      <c r="D15" s="15"/>
      <c r="E15" s="14">
        <v>20.9834</v>
      </c>
      <c r="F15" s="8">
        <f t="shared" si="8"/>
        <v>192.35418000000001</v>
      </c>
      <c r="G15" s="9">
        <f t="shared" si="0"/>
        <v>0</v>
      </c>
      <c r="H15" s="9"/>
      <c r="I15" s="10"/>
      <c r="J15" s="10"/>
      <c r="K15" s="11"/>
      <c r="L15" s="12">
        <f t="shared" si="1"/>
        <v>0</v>
      </c>
      <c r="M15" s="12">
        <f t="shared" si="2"/>
        <v>0</v>
      </c>
      <c r="N15" s="12">
        <f t="shared" si="2"/>
        <v>2518.0079999999998</v>
      </c>
      <c r="O15" s="12">
        <f t="shared" si="3"/>
        <v>10387.12572</v>
      </c>
      <c r="P15" s="12">
        <f t="shared" si="3"/>
        <v>0</v>
      </c>
      <c r="Q15" s="12">
        <f t="shared" si="4"/>
        <v>0</v>
      </c>
      <c r="R15" s="12">
        <f t="shared" si="5"/>
        <v>0</v>
      </c>
      <c r="S15" s="12">
        <f t="shared" si="6"/>
        <v>0</v>
      </c>
      <c r="T15" s="12">
        <f t="shared" si="7"/>
        <v>12905.13372</v>
      </c>
    </row>
    <row r="16" spans="1:20">
      <c r="A16" s="13">
        <v>12</v>
      </c>
      <c r="B16" s="196">
        <v>45973</v>
      </c>
      <c r="C16" s="197"/>
      <c r="D16" s="15"/>
      <c r="E16" s="14">
        <v>20.524799999999999</v>
      </c>
      <c r="F16" s="8">
        <f t="shared" si="8"/>
        <v>171.82938000000001</v>
      </c>
      <c r="G16" s="9">
        <f t="shared" si="0"/>
        <v>0</v>
      </c>
      <c r="H16" s="9"/>
      <c r="I16" s="10"/>
      <c r="J16" s="10"/>
      <c r="K16" s="16"/>
      <c r="L16" s="12">
        <f t="shared" si="1"/>
        <v>0</v>
      </c>
      <c r="M16" s="12">
        <f t="shared" si="2"/>
        <v>0</v>
      </c>
      <c r="N16" s="12">
        <f t="shared" si="2"/>
        <v>2462.9759999999997</v>
      </c>
      <c r="O16" s="12">
        <f t="shared" si="3"/>
        <v>9278.7865200000015</v>
      </c>
      <c r="P16" s="12">
        <f t="shared" si="3"/>
        <v>0</v>
      </c>
      <c r="Q16" s="12">
        <f t="shared" si="4"/>
        <v>0</v>
      </c>
      <c r="R16" s="12">
        <f t="shared" si="5"/>
        <v>0</v>
      </c>
      <c r="S16" s="12">
        <f t="shared" si="6"/>
        <v>0</v>
      </c>
      <c r="T16" s="12">
        <f t="shared" si="7"/>
        <v>11741.76252</v>
      </c>
    </row>
    <row r="17" spans="1:20">
      <c r="A17" s="13">
        <v>13</v>
      </c>
      <c r="B17" s="196">
        <v>45974</v>
      </c>
      <c r="C17" s="197"/>
      <c r="D17" s="14">
        <v>17.9925</v>
      </c>
      <c r="E17" s="14">
        <v>19.789400000000001</v>
      </c>
      <c r="F17" s="8">
        <f t="shared" si="8"/>
        <v>170.03248000000002</v>
      </c>
      <c r="G17" s="9">
        <f t="shared" si="0"/>
        <v>0</v>
      </c>
      <c r="H17" s="9"/>
      <c r="I17" s="10"/>
      <c r="J17" s="10"/>
      <c r="K17" s="11"/>
      <c r="L17" s="12">
        <f t="shared" si="1"/>
        <v>0</v>
      </c>
      <c r="M17" s="12">
        <f t="shared" si="2"/>
        <v>2159.1</v>
      </c>
      <c r="N17" s="12">
        <f t="shared" si="2"/>
        <v>2374.7280000000001</v>
      </c>
      <c r="O17" s="12">
        <f t="shared" si="3"/>
        <v>9181.753920000001</v>
      </c>
      <c r="P17" s="12">
        <f t="shared" si="3"/>
        <v>0</v>
      </c>
      <c r="Q17" s="12">
        <f t="shared" si="4"/>
        <v>0</v>
      </c>
      <c r="R17" s="12">
        <f t="shared" si="5"/>
        <v>0</v>
      </c>
      <c r="S17" s="12">
        <f t="shared" si="6"/>
        <v>0</v>
      </c>
      <c r="T17" s="12">
        <f t="shared" si="7"/>
        <v>13715.581920000001</v>
      </c>
    </row>
    <row r="18" spans="1:20">
      <c r="A18" s="13">
        <v>14</v>
      </c>
      <c r="B18" s="196">
        <v>45975</v>
      </c>
      <c r="C18" s="197"/>
      <c r="D18" s="7"/>
      <c r="E18" s="7"/>
      <c r="F18" s="8">
        <f t="shared" si="8"/>
        <v>170.03248000000002</v>
      </c>
      <c r="G18" s="9">
        <f t="shared" si="0"/>
        <v>0</v>
      </c>
      <c r="H18" s="9"/>
      <c r="I18" s="10"/>
      <c r="J18" s="10"/>
      <c r="K18" s="11"/>
      <c r="L18" s="12">
        <f t="shared" si="1"/>
        <v>0</v>
      </c>
      <c r="M18" s="12">
        <f t="shared" si="2"/>
        <v>0</v>
      </c>
      <c r="N18" s="12">
        <f t="shared" si="2"/>
        <v>0</v>
      </c>
      <c r="O18" s="12">
        <f t="shared" si="3"/>
        <v>9181.753920000001</v>
      </c>
      <c r="P18" s="12">
        <f t="shared" si="3"/>
        <v>0</v>
      </c>
      <c r="Q18" s="12">
        <f t="shared" si="4"/>
        <v>0</v>
      </c>
      <c r="R18" s="12">
        <f t="shared" si="5"/>
        <v>0</v>
      </c>
      <c r="S18" s="12">
        <f t="shared" si="6"/>
        <v>0</v>
      </c>
      <c r="T18" s="12">
        <f t="shared" si="7"/>
        <v>9181.753920000001</v>
      </c>
    </row>
    <row r="19" spans="1:20">
      <c r="A19" s="13">
        <v>15</v>
      </c>
      <c r="B19" s="196">
        <v>45976</v>
      </c>
      <c r="C19" s="197"/>
      <c r="D19" s="7"/>
      <c r="E19" s="7"/>
      <c r="F19" s="8">
        <f t="shared" si="8"/>
        <v>170.03248000000002</v>
      </c>
      <c r="G19" s="9">
        <f t="shared" si="0"/>
        <v>0</v>
      </c>
      <c r="H19" s="9"/>
      <c r="I19" s="10"/>
      <c r="J19" s="10"/>
      <c r="K19" s="11"/>
      <c r="L19" s="12">
        <f t="shared" si="1"/>
        <v>0</v>
      </c>
      <c r="M19" s="12">
        <f t="shared" si="2"/>
        <v>0</v>
      </c>
      <c r="N19" s="12">
        <f t="shared" si="2"/>
        <v>0</v>
      </c>
      <c r="O19" s="12">
        <f t="shared" si="3"/>
        <v>9181.753920000001</v>
      </c>
      <c r="P19" s="12">
        <f t="shared" si="3"/>
        <v>0</v>
      </c>
      <c r="Q19" s="12">
        <f t="shared" si="4"/>
        <v>0</v>
      </c>
      <c r="R19" s="12">
        <f t="shared" si="5"/>
        <v>0</v>
      </c>
      <c r="S19" s="12">
        <f t="shared" si="6"/>
        <v>0</v>
      </c>
      <c r="T19" s="12">
        <f t="shared" si="7"/>
        <v>9181.753920000001</v>
      </c>
    </row>
    <row r="20" spans="1:20">
      <c r="A20" s="13">
        <v>16</v>
      </c>
      <c r="B20" s="196">
        <v>45977</v>
      </c>
      <c r="C20" s="197"/>
      <c r="D20" s="7"/>
      <c r="E20" s="7"/>
      <c r="F20" s="8">
        <f t="shared" si="8"/>
        <v>170.03248000000002</v>
      </c>
      <c r="G20" s="9">
        <f t="shared" si="0"/>
        <v>0</v>
      </c>
      <c r="H20" s="9"/>
      <c r="I20" s="10"/>
      <c r="J20" s="10"/>
      <c r="K20" s="11"/>
      <c r="L20" s="12">
        <f t="shared" si="1"/>
        <v>0</v>
      </c>
      <c r="M20" s="12">
        <f t="shared" si="2"/>
        <v>0</v>
      </c>
      <c r="N20" s="12">
        <f t="shared" si="2"/>
        <v>0</v>
      </c>
      <c r="O20" s="12">
        <f t="shared" si="3"/>
        <v>9181.753920000001</v>
      </c>
      <c r="P20" s="12">
        <f t="shared" si="3"/>
        <v>0</v>
      </c>
      <c r="Q20" s="12">
        <f t="shared" si="4"/>
        <v>0</v>
      </c>
      <c r="R20" s="12">
        <f t="shared" si="5"/>
        <v>0</v>
      </c>
      <c r="S20" s="12">
        <f t="shared" si="6"/>
        <v>0</v>
      </c>
      <c r="T20" s="12">
        <f t="shared" si="7"/>
        <v>9181.753920000001</v>
      </c>
    </row>
    <row r="21" spans="1:20">
      <c r="A21" s="13">
        <v>17</v>
      </c>
      <c r="B21" s="196">
        <v>45978</v>
      </c>
      <c r="C21" s="197"/>
      <c r="D21" s="15"/>
      <c r="E21" s="14">
        <v>3.2094</v>
      </c>
      <c r="F21" s="8">
        <f t="shared" si="8"/>
        <v>166.82308000000003</v>
      </c>
      <c r="G21" s="9">
        <f t="shared" si="0"/>
        <v>0</v>
      </c>
      <c r="H21" s="9"/>
      <c r="I21" s="10"/>
      <c r="J21" s="10"/>
      <c r="K21" s="11"/>
      <c r="L21" s="12">
        <f t="shared" si="1"/>
        <v>0</v>
      </c>
      <c r="M21" s="12">
        <f t="shared" si="2"/>
        <v>0</v>
      </c>
      <c r="N21" s="12">
        <f t="shared" si="2"/>
        <v>385.12799999999999</v>
      </c>
      <c r="O21" s="12">
        <f t="shared" si="3"/>
        <v>9008.4463200000009</v>
      </c>
      <c r="P21" s="12">
        <f t="shared" si="3"/>
        <v>0</v>
      </c>
      <c r="Q21" s="12">
        <f t="shared" si="4"/>
        <v>0</v>
      </c>
      <c r="R21" s="12">
        <f t="shared" si="5"/>
        <v>0</v>
      </c>
      <c r="S21" s="12">
        <f t="shared" si="6"/>
        <v>0</v>
      </c>
      <c r="T21" s="12">
        <f t="shared" si="7"/>
        <v>9393.5743200000015</v>
      </c>
    </row>
    <row r="22" spans="1:20">
      <c r="A22" s="13">
        <v>18</v>
      </c>
      <c r="B22" s="196">
        <v>45979</v>
      </c>
      <c r="C22" s="197"/>
      <c r="D22" s="15"/>
      <c r="E22" s="17">
        <v>8.6578800000000005</v>
      </c>
      <c r="F22" s="8">
        <f t="shared" si="8"/>
        <v>158.16520000000003</v>
      </c>
      <c r="G22" s="9">
        <f t="shared" si="0"/>
        <v>0</v>
      </c>
      <c r="H22" s="9"/>
      <c r="I22" s="10"/>
      <c r="J22" s="10"/>
      <c r="K22" s="11"/>
      <c r="L22" s="12">
        <f t="shared" si="1"/>
        <v>0</v>
      </c>
      <c r="M22" s="12">
        <f t="shared" si="2"/>
        <v>0</v>
      </c>
      <c r="N22" s="12">
        <f t="shared" si="2"/>
        <v>1038.9456</v>
      </c>
      <c r="O22" s="12">
        <f t="shared" si="3"/>
        <v>8540.9208000000017</v>
      </c>
      <c r="P22" s="12">
        <f t="shared" si="3"/>
        <v>0</v>
      </c>
      <c r="Q22" s="12">
        <f t="shared" si="4"/>
        <v>0</v>
      </c>
      <c r="R22" s="12">
        <f t="shared" si="5"/>
        <v>0</v>
      </c>
      <c r="S22" s="12">
        <f t="shared" si="6"/>
        <v>0</v>
      </c>
      <c r="T22" s="12">
        <f t="shared" si="7"/>
        <v>9579.8664000000026</v>
      </c>
    </row>
    <row r="23" spans="1:20">
      <c r="A23" s="13">
        <v>19</v>
      </c>
      <c r="B23" s="196">
        <v>45980</v>
      </c>
      <c r="C23" s="197"/>
      <c r="D23" s="15"/>
      <c r="E23" s="14">
        <v>3.9537</v>
      </c>
      <c r="F23" s="8">
        <f t="shared" si="8"/>
        <v>154.21150000000003</v>
      </c>
      <c r="G23" s="9">
        <f t="shared" si="0"/>
        <v>0</v>
      </c>
      <c r="H23" s="9"/>
      <c r="I23" s="10"/>
      <c r="J23" s="10"/>
      <c r="K23" s="11"/>
      <c r="L23" s="12">
        <f t="shared" si="1"/>
        <v>0</v>
      </c>
      <c r="M23" s="12">
        <f t="shared" si="2"/>
        <v>0</v>
      </c>
      <c r="N23" s="12">
        <f t="shared" si="2"/>
        <v>474.44400000000002</v>
      </c>
      <c r="O23" s="12">
        <f t="shared" si="3"/>
        <v>8327.4210000000021</v>
      </c>
      <c r="P23" s="12">
        <f t="shared" si="3"/>
        <v>0</v>
      </c>
      <c r="Q23" s="12">
        <f t="shared" si="4"/>
        <v>0</v>
      </c>
      <c r="R23" s="12">
        <f t="shared" si="5"/>
        <v>0</v>
      </c>
      <c r="S23" s="12">
        <f t="shared" si="6"/>
        <v>0</v>
      </c>
      <c r="T23" s="12">
        <f t="shared" si="7"/>
        <v>8801.8650000000016</v>
      </c>
    </row>
    <row r="24" spans="1:20">
      <c r="A24" s="13">
        <v>20</v>
      </c>
      <c r="B24" s="196">
        <v>45981</v>
      </c>
      <c r="C24" s="197"/>
      <c r="D24" s="14">
        <v>17.461500000000001</v>
      </c>
      <c r="E24" s="14">
        <v>3.6718000000000002</v>
      </c>
      <c r="F24" s="8">
        <f t="shared" si="8"/>
        <v>168.00120000000004</v>
      </c>
      <c r="G24" s="9">
        <f t="shared" si="0"/>
        <v>0</v>
      </c>
      <c r="H24" s="9"/>
      <c r="I24" s="10"/>
      <c r="J24" s="10"/>
      <c r="K24" s="11"/>
      <c r="L24" s="12">
        <f t="shared" si="1"/>
        <v>0</v>
      </c>
      <c r="M24" s="12">
        <f t="shared" si="2"/>
        <v>2095.38</v>
      </c>
      <c r="N24" s="12">
        <f t="shared" si="2"/>
        <v>440.61600000000004</v>
      </c>
      <c r="O24" s="12">
        <f t="shared" si="3"/>
        <v>9072.0648000000019</v>
      </c>
      <c r="P24" s="12">
        <f t="shared" si="3"/>
        <v>0</v>
      </c>
      <c r="Q24" s="12">
        <f t="shared" si="4"/>
        <v>0</v>
      </c>
      <c r="R24" s="12">
        <f t="shared" si="5"/>
        <v>0</v>
      </c>
      <c r="S24" s="12">
        <f t="shared" si="6"/>
        <v>0</v>
      </c>
      <c r="T24" s="12">
        <f t="shared" si="7"/>
        <v>11608.060800000003</v>
      </c>
    </row>
    <row r="25" spans="1:20">
      <c r="A25" s="13">
        <v>21</v>
      </c>
      <c r="B25" s="196">
        <v>45982</v>
      </c>
      <c r="C25" s="197"/>
      <c r="D25" s="14">
        <v>70.923400000000001</v>
      </c>
      <c r="E25" s="14">
        <v>21.711500000000001</v>
      </c>
      <c r="F25" s="8">
        <f t="shared" si="8"/>
        <v>217.21310000000005</v>
      </c>
      <c r="G25" s="9">
        <f t="shared" si="0"/>
        <v>0</v>
      </c>
      <c r="H25" s="9"/>
      <c r="I25" s="10"/>
      <c r="J25" s="10"/>
      <c r="K25" s="11"/>
      <c r="L25" s="12">
        <f t="shared" si="1"/>
        <v>0</v>
      </c>
      <c r="M25" s="12">
        <f t="shared" si="2"/>
        <v>8510.8080000000009</v>
      </c>
      <c r="N25" s="12">
        <f t="shared" si="2"/>
        <v>2605.38</v>
      </c>
      <c r="O25" s="12">
        <f t="shared" si="3"/>
        <v>11729.507400000002</v>
      </c>
      <c r="P25" s="12">
        <f t="shared" si="3"/>
        <v>0</v>
      </c>
      <c r="Q25" s="12">
        <f t="shared" si="4"/>
        <v>0</v>
      </c>
      <c r="R25" s="12">
        <f t="shared" si="5"/>
        <v>0</v>
      </c>
      <c r="S25" s="12">
        <f t="shared" si="6"/>
        <v>0</v>
      </c>
      <c r="T25" s="12">
        <f t="shared" si="7"/>
        <v>22845.695400000004</v>
      </c>
    </row>
    <row r="26" spans="1:20">
      <c r="A26" s="13">
        <v>22</v>
      </c>
      <c r="B26" s="196">
        <v>45983</v>
      </c>
      <c r="C26" s="197"/>
      <c r="D26" s="7"/>
      <c r="E26" s="7"/>
      <c r="F26" s="8">
        <f t="shared" si="8"/>
        <v>217.21310000000005</v>
      </c>
      <c r="G26" s="9">
        <f t="shared" si="0"/>
        <v>0</v>
      </c>
      <c r="H26" s="9"/>
      <c r="I26" s="10"/>
      <c r="J26" s="10"/>
      <c r="K26" s="11"/>
      <c r="L26" s="12">
        <f t="shared" si="1"/>
        <v>0</v>
      </c>
      <c r="M26" s="12">
        <f t="shared" si="2"/>
        <v>0</v>
      </c>
      <c r="N26" s="12">
        <f t="shared" si="2"/>
        <v>0</v>
      </c>
      <c r="O26" s="12">
        <f t="shared" si="3"/>
        <v>11729.507400000002</v>
      </c>
      <c r="P26" s="12">
        <f t="shared" si="3"/>
        <v>0</v>
      </c>
      <c r="Q26" s="12">
        <f t="shared" si="4"/>
        <v>0</v>
      </c>
      <c r="R26" s="12">
        <f t="shared" si="5"/>
        <v>0</v>
      </c>
      <c r="S26" s="12">
        <f t="shared" si="6"/>
        <v>0</v>
      </c>
      <c r="T26" s="12">
        <f t="shared" si="7"/>
        <v>11729.507400000002</v>
      </c>
    </row>
    <row r="27" spans="1:20">
      <c r="A27" s="13">
        <v>23</v>
      </c>
      <c r="B27" s="196">
        <v>45984</v>
      </c>
      <c r="C27" s="197"/>
      <c r="D27" s="7"/>
      <c r="E27" s="7"/>
      <c r="F27" s="8">
        <f t="shared" si="8"/>
        <v>217.21310000000005</v>
      </c>
      <c r="G27" s="9">
        <f t="shared" si="0"/>
        <v>0</v>
      </c>
      <c r="H27" s="9"/>
      <c r="I27" s="10"/>
      <c r="J27" s="10"/>
      <c r="K27" s="11"/>
      <c r="L27" s="12">
        <f t="shared" si="1"/>
        <v>0</v>
      </c>
      <c r="M27" s="12">
        <f t="shared" si="2"/>
        <v>0</v>
      </c>
      <c r="N27" s="12">
        <f t="shared" si="2"/>
        <v>0</v>
      </c>
      <c r="O27" s="12">
        <f t="shared" si="3"/>
        <v>11729.507400000002</v>
      </c>
      <c r="P27" s="12">
        <f t="shared" si="3"/>
        <v>0</v>
      </c>
      <c r="Q27" s="12">
        <f t="shared" si="4"/>
        <v>0</v>
      </c>
      <c r="R27" s="12">
        <f t="shared" si="5"/>
        <v>0</v>
      </c>
      <c r="S27" s="12">
        <f t="shared" si="6"/>
        <v>0</v>
      </c>
      <c r="T27" s="12">
        <f t="shared" si="7"/>
        <v>11729.507400000002</v>
      </c>
    </row>
    <row r="28" spans="1:20">
      <c r="A28" s="13">
        <v>24</v>
      </c>
      <c r="B28" s="196">
        <v>45985</v>
      </c>
      <c r="C28" s="197"/>
      <c r="D28" s="14">
        <v>34.971200000000003</v>
      </c>
      <c r="E28" s="14">
        <v>4.0396000000000001</v>
      </c>
      <c r="F28" s="8">
        <f t="shared" si="8"/>
        <v>248.14470000000006</v>
      </c>
      <c r="G28" s="9">
        <f t="shared" si="0"/>
        <v>0</v>
      </c>
      <c r="H28" s="9"/>
      <c r="I28" s="10"/>
      <c r="J28" s="10"/>
      <c r="K28" s="11"/>
      <c r="L28" s="12">
        <f t="shared" si="1"/>
        <v>0</v>
      </c>
      <c r="M28" s="12">
        <f t="shared" si="2"/>
        <v>4196.5440000000008</v>
      </c>
      <c r="N28" s="12">
        <f t="shared" si="2"/>
        <v>484.75200000000001</v>
      </c>
      <c r="O28" s="12">
        <f t="shared" si="3"/>
        <v>13399.813800000004</v>
      </c>
      <c r="P28" s="12">
        <f t="shared" si="3"/>
        <v>0</v>
      </c>
      <c r="Q28" s="12">
        <f t="shared" si="4"/>
        <v>0</v>
      </c>
      <c r="R28" s="12">
        <f t="shared" si="5"/>
        <v>0</v>
      </c>
      <c r="S28" s="12">
        <f t="shared" si="6"/>
        <v>0</v>
      </c>
      <c r="T28" s="12">
        <f t="shared" si="7"/>
        <v>18081.109800000006</v>
      </c>
    </row>
    <row r="29" spans="1:20">
      <c r="A29" s="13">
        <v>25</v>
      </c>
      <c r="B29" s="196">
        <v>45986</v>
      </c>
      <c r="C29" s="197"/>
      <c r="D29" s="15"/>
      <c r="E29" s="14">
        <v>21.772500000000001</v>
      </c>
      <c r="F29" s="8">
        <f t="shared" si="8"/>
        <v>226.37220000000005</v>
      </c>
      <c r="G29" s="9">
        <f t="shared" si="0"/>
        <v>0</v>
      </c>
      <c r="H29" s="9"/>
      <c r="I29" s="10"/>
      <c r="J29" s="10"/>
      <c r="K29" s="11"/>
      <c r="L29" s="12">
        <f t="shared" si="1"/>
        <v>0</v>
      </c>
      <c r="M29" s="12">
        <f t="shared" si="2"/>
        <v>0</v>
      </c>
      <c r="N29" s="12">
        <f t="shared" si="2"/>
        <v>2612.7000000000003</v>
      </c>
      <c r="O29" s="12">
        <f t="shared" si="3"/>
        <v>12224.098800000003</v>
      </c>
      <c r="P29" s="12">
        <f t="shared" si="3"/>
        <v>0</v>
      </c>
      <c r="Q29" s="12">
        <f t="shared" si="4"/>
        <v>0</v>
      </c>
      <c r="R29" s="12">
        <f t="shared" si="5"/>
        <v>0</v>
      </c>
      <c r="S29" s="12">
        <f t="shared" si="6"/>
        <v>0</v>
      </c>
      <c r="T29" s="12">
        <f t="shared" si="7"/>
        <v>14836.798800000004</v>
      </c>
    </row>
    <row r="30" spans="1:20">
      <c r="A30" s="13">
        <v>26</v>
      </c>
      <c r="B30" s="196">
        <v>45987</v>
      </c>
      <c r="C30" s="197"/>
      <c r="D30" s="14">
        <v>17.788499999999999</v>
      </c>
      <c r="E30" s="14">
        <v>23.4968</v>
      </c>
      <c r="F30" s="8">
        <f t="shared" si="8"/>
        <v>220.66390000000004</v>
      </c>
      <c r="G30" s="9">
        <f t="shared" si="0"/>
        <v>0</v>
      </c>
      <c r="H30" s="9"/>
      <c r="I30" s="10"/>
      <c r="J30" s="10"/>
      <c r="K30" s="11"/>
      <c r="L30" s="12">
        <f t="shared" si="1"/>
        <v>0</v>
      </c>
      <c r="M30" s="12">
        <f t="shared" si="2"/>
        <v>2134.62</v>
      </c>
      <c r="N30" s="12">
        <f t="shared" si="2"/>
        <v>2819.616</v>
      </c>
      <c r="O30" s="12">
        <f t="shared" si="3"/>
        <v>11915.850600000002</v>
      </c>
      <c r="P30" s="12">
        <f t="shared" si="3"/>
        <v>0</v>
      </c>
      <c r="Q30" s="12">
        <f t="shared" si="4"/>
        <v>0</v>
      </c>
      <c r="R30" s="12">
        <f t="shared" si="5"/>
        <v>0</v>
      </c>
      <c r="S30" s="12">
        <f t="shared" si="6"/>
        <v>0</v>
      </c>
      <c r="T30" s="12">
        <f t="shared" si="7"/>
        <v>16870.086600000002</v>
      </c>
    </row>
    <row r="31" spans="1:20">
      <c r="A31" s="13">
        <v>27</v>
      </c>
      <c r="B31" s="196">
        <v>45988</v>
      </c>
      <c r="C31" s="197"/>
      <c r="D31" s="15"/>
      <c r="E31" s="14">
        <v>28.451799999999999</v>
      </c>
      <c r="F31" s="8">
        <f t="shared" si="8"/>
        <v>192.21210000000005</v>
      </c>
      <c r="G31" s="9">
        <f t="shared" si="0"/>
        <v>0</v>
      </c>
      <c r="H31" s="9"/>
      <c r="I31" s="10"/>
      <c r="J31" s="10"/>
      <c r="K31" s="11"/>
      <c r="L31" s="12">
        <f t="shared" si="1"/>
        <v>0</v>
      </c>
      <c r="M31" s="12">
        <f t="shared" si="2"/>
        <v>0</v>
      </c>
      <c r="N31" s="12">
        <f t="shared" si="2"/>
        <v>3414.2159999999999</v>
      </c>
      <c r="O31" s="12">
        <f t="shared" si="3"/>
        <v>10379.453400000002</v>
      </c>
      <c r="P31" s="12">
        <f t="shared" si="3"/>
        <v>0</v>
      </c>
      <c r="Q31" s="12">
        <f t="shared" si="4"/>
        <v>0</v>
      </c>
      <c r="R31" s="12">
        <f t="shared" si="5"/>
        <v>0</v>
      </c>
      <c r="S31" s="12">
        <f t="shared" si="6"/>
        <v>0</v>
      </c>
      <c r="T31" s="12">
        <f t="shared" si="7"/>
        <v>13793.669400000002</v>
      </c>
    </row>
    <row r="32" spans="1:20">
      <c r="A32" s="13">
        <v>28</v>
      </c>
      <c r="B32" s="196">
        <v>45989</v>
      </c>
      <c r="C32" s="197"/>
      <c r="D32" s="14">
        <v>17.9406</v>
      </c>
      <c r="E32" s="14">
        <v>15.6684</v>
      </c>
      <c r="F32" s="8">
        <f>F31-E32+D32</f>
        <v>194.48430000000005</v>
      </c>
      <c r="G32" s="9">
        <f t="shared" si="0"/>
        <v>0</v>
      </c>
      <c r="H32" s="9"/>
      <c r="I32" s="10"/>
      <c r="J32" s="10"/>
      <c r="K32" s="11"/>
      <c r="L32" s="12">
        <f t="shared" si="1"/>
        <v>0</v>
      </c>
      <c r="M32" s="12">
        <f t="shared" si="2"/>
        <v>2152.8719999999998</v>
      </c>
      <c r="N32" s="12">
        <f t="shared" si="2"/>
        <v>1880.2080000000001</v>
      </c>
      <c r="O32" s="12">
        <f t="shared" si="3"/>
        <v>10502.152200000002</v>
      </c>
      <c r="P32" s="12">
        <f t="shared" si="3"/>
        <v>0</v>
      </c>
      <c r="Q32" s="12">
        <f t="shared" si="4"/>
        <v>0</v>
      </c>
      <c r="R32" s="12">
        <f t="shared" si="5"/>
        <v>0</v>
      </c>
      <c r="S32" s="12">
        <f t="shared" si="6"/>
        <v>0</v>
      </c>
      <c r="T32" s="12">
        <f t="shared" si="7"/>
        <v>14535.232200000002</v>
      </c>
    </row>
    <row r="33" spans="1:20">
      <c r="A33" s="13">
        <v>29</v>
      </c>
      <c r="B33" s="196">
        <v>45990</v>
      </c>
      <c r="C33" s="197"/>
      <c r="D33" s="7"/>
      <c r="E33" s="7"/>
      <c r="F33" s="8">
        <f t="shared" ref="F33:F34" si="9">F32-E33+D33</f>
        <v>194.48430000000005</v>
      </c>
      <c r="G33" s="9">
        <f t="shared" si="0"/>
        <v>0</v>
      </c>
      <c r="H33" s="9"/>
      <c r="I33" s="10"/>
      <c r="J33" s="10"/>
      <c r="K33" s="11"/>
      <c r="L33" s="12">
        <f t="shared" si="1"/>
        <v>0</v>
      </c>
      <c r="M33" s="12">
        <f t="shared" si="2"/>
        <v>0</v>
      </c>
      <c r="N33" s="12">
        <f t="shared" si="2"/>
        <v>0</v>
      </c>
      <c r="O33" s="12">
        <f t="shared" si="3"/>
        <v>10502.152200000002</v>
      </c>
      <c r="P33" s="12">
        <f t="shared" si="3"/>
        <v>0</v>
      </c>
      <c r="Q33" s="12">
        <f t="shared" si="4"/>
        <v>0</v>
      </c>
      <c r="R33" s="12">
        <f t="shared" si="5"/>
        <v>0</v>
      </c>
      <c r="S33" s="12">
        <f t="shared" si="6"/>
        <v>0</v>
      </c>
      <c r="T33" s="12">
        <f t="shared" si="7"/>
        <v>10502.152200000002</v>
      </c>
    </row>
    <row r="34" spans="1:20">
      <c r="A34" s="13">
        <v>30</v>
      </c>
      <c r="B34" s="196">
        <v>45991</v>
      </c>
      <c r="C34" s="197"/>
      <c r="D34" s="7"/>
      <c r="E34" s="7"/>
      <c r="F34" s="8">
        <f t="shared" si="9"/>
        <v>194.48430000000005</v>
      </c>
      <c r="G34" s="9">
        <f t="shared" si="0"/>
        <v>0</v>
      </c>
      <c r="H34" s="9"/>
      <c r="I34" s="10"/>
      <c r="J34" s="10"/>
      <c r="K34" s="11"/>
      <c r="L34" s="12">
        <f t="shared" si="1"/>
        <v>0</v>
      </c>
      <c r="M34" s="12">
        <f t="shared" si="2"/>
        <v>0</v>
      </c>
      <c r="N34" s="12">
        <f t="shared" si="2"/>
        <v>0</v>
      </c>
      <c r="O34" s="12">
        <f t="shared" si="3"/>
        <v>10502.152200000002</v>
      </c>
      <c r="P34" s="12">
        <f t="shared" si="3"/>
        <v>0</v>
      </c>
      <c r="Q34" s="12">
        <f t="shared" si="4"/>
        <v>0</v>
      </c>
      <c r="R34" s="12">
        <f t="shared" si="5"/>
        <v>0</v>
      </c>
      <c r="S34" s="12">
        <f t="shared" si="6"/>
        <v>0</v>
      </c>
      <c r="T34" s="12">
        <f t="shared" si="7"/>
        <v>10502.152200000002</v>
      </c>
    </row>
    <row r="35" spans="1:20">
      <c r="A35" s="13"/>
      <c r="B35" s="196"/>
      <c r="C35" s="197"/>
      <c r="D35" s="15"/>
      <c r="E35" s="14"/>
      <c r="F35" s="8"/>
      <c r="G35" s="9">
        <f t="shared" si="0"/>
        <v>0</v>
      </c>
      <c r="H35" s="9"/>
      <c r="I35" s="10"/>
      <c r="J35" s="10"/>
      <c r="K35" s="11"/>
      <c r="L35" s="12">
        <f t="shared" si="1"/>
        <v>0</v>
      </c>
      <c r="M35" s="12">
        <f t="shared" si="2"/>
        <v>0</v>
      </c>
      <c r="N35" s="12">
        <f t="shared" si="2"/>
        <v>0</v>
      </c>
      <c r="O35" s="12">
        <f t="shared" si="3"/>
        <v>0</v>
      </c>
      <c r="P35" s="12">
        <f t="shared" si="3"/>
        <v>0</v>
      </c>
      <c r="Q35" s="12">
        <f t="shared" si="4"/>
        <v>0</v>
      </c>
      <c r="R35" s="12">
        <f t="shared" si="5"/>
        <v>0</v>
      </c>
      <c r="S35" s="12">
        <f t="shared" si="6"/>
        <v>0</v>
      </c>
      <c r="T35" s="12">
        <f t="shared" si="7"/>
        <v>0</v>
      </c>
    </row>
    <row r="36" spans="1:20">
      <c r="D36" s="18">
        <f t="shared" ref="D36:T36" si="10">SUM(D5:D35)</f>
        <v>265.59910000000002</v>
      </c>
      <c r="E36" s="18">
        <f t="shared" si="10"/>
        <v>195.93098000000001</v>
      </c>
      <c r="F36" s="18">
        <f t="shared" si="10"/>
        <v>5240.8167599999997</v>
      </c>
      <c r="G36" s="18">
        <f t="shared" si="10"/>
        <v>0</v>
      </c>
      <c r="H36" s="18">
        <f t="shared" si="10"/>
        <v>0</v>
      </c>
      <c r="I36" s="18">
        <f t="shared" si="10"/>
        <v>0</v>
      </c>
      <c r="J36" s="18">
        <f t="shared" si="10"/>
        <v>0</v>
      </c>
      <c r="K36" s="19">
        <f t="shared" si="10"/>
        <v>0</v>
      </c>
      <c r="L36" s="20">
        <f t="shared" si="10"/>
        <v>0</v>
      </c>
      <c r="M36" s="20">
        <f t="shared" si="10"/>
        <v>31871.892000000003</v>
      </c>
      <c r="N36" s="20">
        <f t="shared" si="10"/>
        <v>23511.717599999996</v>
      </c>
      <c r="O36" s="20">
        <f t="shared" si="10"/>
        <v>283004.10504000005</v>
      </c>
      <c r="P36" s="20">
        <f t="shared" si="10"/>
        <v>0</v>
      </c>
      <c r="Q36" s="20">
        <f t="shared" si="10"/>
        <v>0</v>
      </c>
      <c r="R36" s="20">
        <f t="shared" si="10"/>
        <v>0</v>
      </c>
      <c r="S36" s="20">
        <f t="shared" si="10"/>
        <v>0</v>
      </c>
      <c r="T36" s="20">
        <f t="shared" si="10"/>
        <v>338387.71464000002</v>
      </c>
    </row>
    <row r="37" spans="1:20">
      <c r="R37" s="21"/>
      <c r="S37" s="21"/>
      <c r="T37" s="22">
        <f>T36*1.2</f>
        <v>406065.257568</v>
      </c>
    </row>
    <row r="40" spans="1:20">
      <c r="F40" s="23"/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8BA9-4070-4E1F-B7CD-577FD94FACB8}">
  <dimension ref="A1:M124"/>
  <sheetViews>
    <sheetView tabSelected="1" topLeftCell="C34" zoomScaleNormal="100" workbookViewId="0">
      <selection activeCell="A53" sqref="A53"/>
    </sheetView>
  </sheetViews>
  <sheetFormatPr defaultColWidth="10.09765625" defaultRowHeight="15" customHeight="1"/>
  <cols>
    <col min="1" max="1" width="20" style="24" customWidth="1"/>
    <col min="2" max="2" width="12.3984375" style="24" customWidth="1"/>
    <col min="3" max="3" width="12" style="24" customWidth="1"/>
    <col min="4" max="4" width="12.8984375" style="24" customWidth="1"/>
    <col min="5" max="5" width="14.59765625" style="24" customWidth="1"/>
    <col min="6" max="6" width="15.296875" style="24" customWidth="1"/>
    <col min="7" max="9" width="15.59765625" style="24" customWidth="1"/>
    <col min="10" max="10" width="13.5" style="24" customWidth="1"/>
    <col min="11" max="11" width="15.796875" style="24" customWidth="1"/>
    <col min="12" max="12" width="21.19921875" style="24" customWidth="1"/>
    <col min="13" max="13" width="21.8984375" style="24" customWidth="1"/>
    <col min="14" max="16384" width="10.09765625" style="24"/>
  </cols>
  <sheetData>
    <row r="1" spans="1:10" ht="161.25" customHeight="1" thickBot="1">
      <c r="A1" s="216">
        <f ca="1">G16</f>
        <v>122492735.747568</v>
      </c>
      <c r="B1" s="216"/>
      <c r="C1" s="216"/>
      <c r="D1" s="216"/>
      <c r="E1" s="216"/>
      <c r="F1" s="216"/>
      <c r="G1" s="216"/>
    </row>
    <row r="2" spans="1:10" ht="12.75" customHeight="1" thickBot="1">
      <c r="A2" s="25"/>
      <c r="B2" s="26"/>
      <c r="C2" s="26"/>
      <c r="D2" s="26"/>
      <c r="E2" s="26"/>
      <c r="F2" s="26"/>
      <c r="I2" s="217" t="s">
        <v>19</v>
      </c>
      <c r="J2" s="218"/>
    </row>
    <row r="3" spans="1:10" ht="14.25" customHeight="1" thickBot="1">
      <c r="A3" s="27" t="s">
        <v>20</v>
      </c>
      <c r="B3" s="28" t="s">
        <v>21</v>
      </c>
      <c r="C3" s="28" t="s">
        <v>22</v>
      </c>
      <c r="D3" s="28" t="s">
        <v>23</v>
      </c>
      <c r="E3" s="28" t="s">
        <v>24</v>
      </c>
      <c r="F3" s="28" t="s">
        <v>25</v>
      </c>
      <c r="G3" s="29" t="s">
        <v>26</v>
      </c>
      <c r="I3" s="30" t="s">
        <v>27</v>
      </c>
      <c r="J3" s="31">
        <v>23143268.370000001</v>
      </c>
    </row>
    <row r="4" spans="1:10" ht="14.25" customHeight="1">
      <c r="A4" s="32" t="s">
        <v>28</v>
      </c>
      <c r="B4" s="33">
        <f t="shared" ref="B4:B12" ca="1" si="0">INDEX($M$44:$M$53,MATCH(A4,$A$44:$A$53,0),1)</f>
        <v>8924079.959999999</v>
      </c>
      <c r="C4" s="33">
        <v>0</v>
      </c>
      <c r="D4" s="33">
        <f t="shared" ref="D4:D15" ca="1" si="1">INDEX($B$56:$B$72,MATCH(A4,$A$56:$A$72,0),1)</f>
        <v>774895.04999999993</v>
      </c>
      <c r="E4" s="33">
        <f t="shared" ref="E4:E15" ca="1" si="2">SUMIF($F$19:$F$41,A4,$G$19:$G$41)</f>
        <v>0</v>
      </c>
      <c r="F4" s="33">
        <f t="shared" ref="F4:F15" ca="1" si="3">SUMIF($B$19:$B$27,A4,$C$19:$C$27)</f>
        <v>73217.599999999977</v>
      </c>
      <c r="G4" s="34">
        <f t="shared" ref="G4:G13" ca="1" si="4">SUM(B4:F4)</f>
        <v>9772192.6099999994</v>
      </c>
      <c r="I4" s="35" t="s">
        <v>29</v>
      </c>
      <c r="J4" s="36">
        <v>19482962</v>
      </c>
    </row>
    <row r="5" spans="1:10" ht="14.25" customHeight="1">
      <c r="A5" s="37" t="s">
        <v>30</v>
      </c>
      <c r="B5" s="33">
        <f t="shared" ca="1" si="0"/>
        <v>11956019.65</v>
      </c>
      <c r="C5" s="33">
        <v>0</v>
      </c>
      <c r="D5" s="33">
        <f t="shared" ca="1" si="1"/>
        <v>187151.93999999997</v>
      </c>
      <c r="E5" s="33">
        <f t="shared" ca="1" si="2"/>
        <v>0</v>
      </c>
      <c r="F5" s="33">
        <f t="shared" ca="1" si="3"/>
        <v>7920</v>
      </c>
      <c r="G5" s="34">
        <f t="shared" ca="1" si="4"/>
        <v>12151091.59</v>
      </c>
      <c r="I5" s="35" t="s">
        <v>30</v>
      </c>
      <c r="J5" s="36">
        <v>14483152.129999999</v>
      </c>
    </row>
    <row r="6" spans="1:10" ht="14.25" customHeight="1">
      <c r="A6" s="37" t="s">
        <v>31</v>
      </c>
      <c r="B6" s="33">
        <f t="shared" ca="1" si="0"/>
        <v>10380689.159999998</v>
      </c>
      <c r="C6" s="33">
        <v>0</v>
      </c>
      <c r="D6" s="33">
        <f t="shared" ca="1" si="1"/>
        <v>0</v>
      </c>
      <c r="E6" s="33">
        <f t="shared" ca="1" si="2"/>
        <v>0</v>
      </c>
      <c r="F6" s="33">
        <f t="shared" si="3"/>
        <v>0</v>
      </c>
      <c r="G6" s="34">
        <f t="shared" ca="1" si="4"/>
        <v>10380689.159999998</v>
      </c>
      <c r="I6" s="35" t="s">
        <v>31</v>
      </c>
      <c r="J6" s="36">
        <v>11908608.83</v>
      </c>
    </row>
    <row r="7" spans="1:10" ht="14.25" customHeight="1">
      <c r="A7" s="38" t="s">
        <v>32</v>
      </c>
      <c r="B7" s="33">
        <f t="shared" ca="1" si="0"/>
        <v>7819161.8600000003</v>
      </c>
      <c r="C7" s="33">
        <v>0</v>
      </c>
      <c r="D7" s="33">
        <f t="shared" ca="1" si="1"/>
        <v>0</v>
      </c>
      <c r="E7" s="33">
        <f t="shared" ca="1" si="2"/>
        <v>406065.257568</v>
      </c>
      <c r="F7" s="33">
        <f t="shared" si="3"/>
        <v>0</v>
      </c>
      <c r="G7" s="34">
        <f t="shared" ca="1" si="4"/>
        <v>8225227.1175680002</v>
      </c>
      <c r="I7" s="35" t="s">
        <v>28</v>
      </c>
      <c r="J7" s="36">
        <v>11544503.229999999</v>
      </c>
    </row>
    <row r="8" spans="1:10" ht="14.25" customHeight="1">
      <c r="A8" s="38" t="s">
        <v>33</v>
      </c>
      <c r="B8" s="33">
        <f t="shared" ca="1" si="0"/>
        <v>4797371.3899999997</v>
      </c>
      <c r="C8" s="33">
        <v>0</v>
      </c>
      <c r="D8" s="33">
        <f t="shared" ca="1" si="1"/>
        <v>0</v>
      </c>
      <c r="E8" s="33">
        <f t="shared" si="2"/>
        <v>0</v>
      </c>
      <c r="F8" s="33">
        <f t="shared" si="3"/>
        <v>0</v>
      </c>
      <c r="G8" s="34">
        <f t="shared" ca="1" si="4"/>
        <v>4797371.3899999997</v>
      </c>
      <c r="I8" s="35"/>
      <c r="J8" s="36"/>
    </row>
    <row r="9" spans="1:10" ht="14.25" customHeight="1">
      <c r="A9" s="37" t="s">
        <v>27</v>
      </c>
      <c r="B9" s="33">
        <f t="shared" ca="1" si="0"/>
        <v>23025567</v>
      </c>
      <c r="C9" s="33">
        <v>0</v>
      </c>
      <c r="D9" s="33">
        <f t="shared" ca="1" si="1"/>
        <v>0</v>
      </c>
      <c r="E9" s="33">
        <f t="shared" ca="1" si="2"/>
        <v>0</v>
      </c>
      <c r="F9" s="33">
        <f t="shared" si="3"/>
        <v>0</v>
      </c>
      <c r="G9" s="34">
        <f t="shared" ca="1" si="4"/>
        <v>23025567</v>
      </c>
      <c r="I9" s="35" t="s">
        <v>34</v>
      </c>
      <c r="J9" s="36">
        <v>9900926.8800000008</v>
      </c>
    </row>
    <row r="10" spans="1:10" ht="14.25" customHeight="1">
      <c r="A10" s="37" t="s">
        <v>34</v>
      </c>
      <c r="B10" s="33">
        <f t="shared" ca="1" si="0"/>
        <v>9548916.3599999994</v>
      </c>
      <c r="C10" s="33">
        <v>0</v>
      </c>
      <c r="D10" s="33">
        <f t="shared" ca="1" si="1"/>
        <v>0</v>
      </c>
      <c r="E10" s="33">
        <f t="shared" ca="1" si="2"/>
        <v>0</v>
      </c>
      <c r="F10" s="33">
        <f t="shared" si="3"/>
        <v>0</v>
      </c>
      <c r="G10" s="34">
        <f t="shared" ca="1" si="4"/>
        <v>9548916.3599999994</v>
      </c>
      <c r="I10" s="35" t="s">
        <v>35</v>
      </c>
      <c r="J10" s="36">
        <v>9082789.1400000006</v>
      </c>
    </row>
    <row r="11" spans="1:10" ht="14.25" customHeight="1">
      <c r="A11" s="37" t="s">
        <v>35</v>
      </c>
      <c r="B11" s="33">
        <f t="shared" ca="1" si="0"/>
        <v>8845863.3000000007</v>
      </c>
      <c r="C11" s="33">
        <v>0</v>
      </c>
      <c r="D11" s="33">
        <f t="shared" ca="1" si="1"/>
        <v>0</v>
      </c>
      <c r="E11" s="33">
        <f t="shared" ca="1" si="2"/>
        <v>360241.3</v>
      </c>
      <c r="F11" s="33">
        <f t="shared" si="3"/>
        <v>0</v>
      </c>
      <c r="G11" s="34">
        <f t="shared" ca="1" si="4"/>
        <v>9206104.6000000015</v>
      </c>
      <c r="I11" s="35" t="s">
        <v>32</v>
      </c>
      <c r="J11" s="36">
        <v>7932975.6470719995</v>
      </c>
    </row>
    <row r="12" spans="1:10" ht="14.25" customHeight="1">
      <c r="A12" s="37" t="s">
        <v>36</v>
      </c>
      <c r="B12" s="33">
        <f t="shared" ca="1" si="0"/>
        <v>4418904.41</v>
      </c>
      <c r="C12" s="33">
        <v>0</v>
      </c>
      <c r="D12" s="33">
        <f t="shared" ca="1" si="1"/>
        <v>0</v>
      </c>
      <c r="E12" s="33">
        <f t="shared" ca="1" si="2"/>
        <v>0</v>
      </c>
      <c r="F12" s="33">
        <f t="shared" si="3"/>
        <v>0</v>
      </c>
      <c r="G12" s="34">
        <f t="shared" ca="1" si="4"/>
        <v>4418904.41</v>
      </c>
      <c r="I12" s="35" t="s">
        <v>36</v>
      </c>
      <c r="J12" s="36">
        <v>7580244.574</v>
      </c>
    </row>
    <row r="13" spans="1:10" ht="14.25" customHeight="1">
      <c r="A13" s="39" t="s">
        <v>29</v>
      </c>
      <c r="B13" s="33">
        <v>0</v>
      </c>
      <c r="C13" s="33">
        <f ca="1">C29+C36</f>
        <v>30820063.399999999</v>
      </c>
      <c r="D13" s="33">
        <f t="shared" ca="1" si="1"/>
        <v>0</v>
      </c>
      <c r="E13" s="33">
        <f t="shared" si="2"/>
        <v>0</v>
      </c>
      <c r="F13" s="33">
        <f t="shared" si="3"/>
        <v>0</v>
      </c>
      <c r="G13" s="34">
        <f t="shared" ca="1" si="4"/>
        <v>30820063.399999999</v>
      </c>
      <c r="I13" s="35" t="s">
        <v>37</v>
      </c>
      <c r="J13" s="36">
        <v>6720000</v>
      </c>
    </row>
    <row r="14" spans="1:10" ht="14.25" customHeight="1" thickBot="1">
      <c r="A14" s="39" t="s">
        <v>38</v>
      </c>
      <c r="B14" s="33">
        <v>0</v>
      </c>
      <c r="C14" s="33">
        <v>0</v>
      </c>
      <c r="D14" s="33">
        <f t="shared" ca="1" si="1"/>
        <v>0</v>
      </c>
      <c r="E14" s="33">
        <f t="shared" si="2"/>
        <v>0</v>
      </c>
      <c r="F14" s="33">
        <f t="shared" si="3"/>
        <v>0</v>
      </c>
      <c r="G14" s="34">
        <f ca="1">SUM(B14:F14)</f>
        <v>0</v>
      </c>
      <c r="I14" s="40" t="s">
        <v>38</v>
      </c>
      <c r="J14" s="41">
        <v>2464921.6199999992</v>
      </c>
    </row>
    <row r="15" spans="1:10" ht="14.25" customHeight="1" thickBot="1">
      <c r="A15" s="39" t="s">
        <v>37</v>
      </c>
      <c r="B15" s="33">
        <f ca="1">INDEX($M$44:$M$53,MATCH(A15,$A$44:$A$53,0),1)</f>
        <v>0</v>
      </c>
      <c r="C15" s="33">
        <v>0</v>
      </c>
      <c r="D15" s="33">
        <f t="shared" ca="1" si="1"/>
        <v>146608.10999999999</v>
      </c>
      <c r="E15" s="33">
        <f t="shared" si="2"/>
        <v>0</v>
      </c>
      <c r="F15" s="33">
        <f t="shared" ca="1" si="3"/>
        <v>0</v>
      </c>
      <c r="G15" s="34">
        <f ca="1">SUM(B15:F15)</f>
        <v>146608.10999999999</v>
      </c>
    </row>
    <row r="16" spans="1:10" ht="14.25" customHeight="1" thickBot="1">
      <c r="A16" s="42"/>
      <c r="B16" s="43">
        <f t="shared" ref="B16:G16" ca="1" si="5">SUM(B4:B15)</f>
        <v>89716573.089999989</v>
      </c>
      <c r="C16" s="43">
        <f t="shared" ca="1" si="5"/>
        <v>30820063.399999999</v>
      </c>
      <c r="D16" s="43">
        <f t="shared" ca="1" si="5"/>
        <v>1108655.0999999999</v>
      </c>
      <c r="E16" s="43">
        <f t="shared" ca="1" si="5"/>
        <v>766306.55756799993</v>
      </c>
      <c r="F16" s="43">
        <f t="shared" ca="1" si="5"/>
        <v>81137.599999999977</v>
      </c>
      <c r="G16" s="44">
        <f t="shared" ca="1" si="5"/>
        <v>122492735.747568</v>
      </c>
    </row>
    <row r="17" spans="1:10" ht="14.25" customHeight="1" thickBot="1">
      <c r="A17" s="45"/>
      <c r="B17" s="46"/>
      <c r="C17" s="46"/>
      <c r="D17" s="46"/>
      <c r="E17" s="46"/>
      <c r="F17" s="47"/>
    </row>
    <row r="18" spans="1:10" ht="14.25" customHeight="1" thickBot="1">
      <c r="A18" s="208" t="s">
        <v>39</v>
      </c>
      <c r="B18" s="209"/>
      <c r="C18" s="48">
        <f ca="1">SUM(C19:C27)</f>
        <v>81137.599999999977</v>
      </c>
      <c r="E18" s="219" t="s">
        <v>24</v>
      </c>
      <c r="F18" s="220"/>
      <c r="G18" s="49">
        <f ca="1">SUM(G19:G40)</f>
        <v>766306.55756799993</v>
      </c>
      <c r="H18" s="50"/>
      <c r="I18" s="51"/>
    </row>
    <row r="19" spans="1:10" ht="14.25" customHeight="1">
      <c r="A19" s="52" t="s">
        <v>40</v>
      </c>
      <c r="B19" s="53" t="s">
        <v>28</v>
      </c>
      <c r="C19" s="54" cm="1">
        <f t="array" aca="1" ref="C19" ca="1">IFERROR(INDIRECT("'" &amp; A19 &amp; "'!A1"),)</f>
        <v>23948</v>
      </c>
      <c r="E19" s="52" t="s">
        <v>41</v>
      </c>
      <c r="F19" s="53" t="s">
        <v>28</v>
      </c>
      <c r="G19" s="55" cm="1">
        <f t="array" aca="1" ref="G19" ca="1">IFERROR(INDIRECT("'" &amp; E19 &amp; " "  &amp; F19 &amp; "'!A1"),0)</f>
        <v>0</v>
      </c>
      <c r="H19" s="56"/>
      <c r="I19" s="56"/>
    </row>
    <row r="20" spans="1:10" ht="14.25" customHeight="1">
      <c r="A20" s="57" t="s">
        <v>42</v>
      </c>
      <c r="B20" s="58" t="s">
        <v>28</v>
      </c>
      <c r="C20" s="54" cm="1">
        <f t="array" aca="1" ref="C20" ca="1">IFERROR(INDIRECT("'" &amp; A20 &amp; "'!A1"),)</f>
        <v>8640</v>
      </c>
      <c r="E20" s="57" t="s">
        <v>43</v>
      </c>
      <c r="F20" s="58" t="s">
        <v>28</v>
      </c>
      <c r="G20" s="55" cm="1">
        <f t="array" aca="1" ref="G20" ca="1">IFERROR(INDIRECT("'" &amp; E20 &amp; " "  &amp; F20 &amp; "'!A1"),0)</f>
        <v>0</v>
      </c>
      <c r="H20" s="56"/>
      <c r="I20" s="56"/>
    </row>
    <row r="21" spans="1:10" ht="14.25" customHeight="1">
      <c r="A21" s="57" t="s">
        <v>44</v>
      </c>
      <c r="B21" s="58" t="s">
        <v>28</v>
      </c>
      <c r="C21" s="54" cm="1">
        <f t="array" aca="1" ref="C21" ca="1">IFERROR(INDIRECT("'" &amp; A21 &amp; "'!A1"),)</f>
        <v>16675.199999999997</v>
      </c>
      <c r="E21" s="52" t="s">
        <v>45</v>
      </c>
      <c r="F21" s="53" t="s">
        <v>28</v>
      </c>
      <c r="G21" s="55" cm="1">
        <f t="array" aca="1" ref="G21" ca="1">IFERROR(INDIRECT("'" &amp; E21 &amp; " "  &amp; F21 &amp; "'!A1"),0)</f>
        <v>0</v>
      </c>
      <c r="H21" s="56"/>
      <c r="I21" s="56"/>
    </row>
    <row r="22" spans="1:10" ht="14.25" customHeight="1">
      <c r="A22" s="57" t="s">
        <v>46</v>
      </c>
      <c r="B22" s="58" t="s">
        <v>28</v>
      </c>
      <c r="C22" s="54" cm="1">
        <f t="array" aca="1" ref="C22" ca="1">IFERROR(INDIRECT("'" &amp; A22 &amp; "'!A1"),)</f>
        <v>21823.199999999986</v>
      </c>
      <c r="E22" s="52" t="s">
        <v>47</v>
      </c>
      <c r="F22" s="53" t="s">
        <v>31</v>
      </c>
      <c r="G22" s="55" cm="1">
        <f t="array" aca="1" ref="G22" ca="1">IFERROR(INDIRECT("'" &amp; E22 &amp; " "  &amp; F22 &amp; "'!A1"),0)</f>
        <v>0</v>
      </c>
      <c r="H22" s="56"/>
      <c r="I22" s="56"/>
    </row>
    <row r="23" spans="1:10" ht="14.25" customHeight="1">
      <c r="A23" s="57" t="s">
        <v>48</v>
      </c>
      <c r="B23" s="58" t="s">
        <v>28</v>
      </c>
      <c r="C23" s="54" cm="1">
        <f t="array" aca="1" ref="C23" ca="1">IFERROR(INDIRECT("'" &amp; A23 &amp; "'!A1"),)</f>
        <v>2131.1999999999985</v>
      </c>
      <c r="E23" s="57" t="s">
        <v>41</v>
      </c>
      <c r="F23" s="58" t="s">
        <v>31</v>
      </c>
      <c r="G23" s="55" cm="1">
        <f t="array" aca="1" ref="G23" ca="1">IFERROR(INDIRECT("'" &amp; E23 &amp; " "  &amp; F23 &amp; "'!A1"),0)</f>
        <v>0</v>
      </c>
      <c r="H23" s="56"/>
      <c r="I23" s="56"/>
    </row>
    <row r="24" spans="1:10" ht="14.25" customHeight="1">
      <c r="A24" s="57" t="s">
        <v>49</v>
      </c>
      <c r="B24" s="58" t="s">
        <v>37</v>
      </c>
      <c r="C24" s="54" cm="1">
        <f t="array" aca="1" ref="C24" ca="1">IFERROR(INDIRECT("'" &amp; A24 &amp; "'!A1"),)</f>
        <v>0</v>
      </c>
      <c r="E24" s="57" t="s">
        <v>43</v>
      </c>
      <c r="F24" s="58" t="s">
        <v>31</v>
      </c>
      <c r="G24" s="55" cm="1">
        <f t="array" aca="1" ref="G24" ca="1">IFERROR(INDIRECT("'" &amp; E24 &amp; " "  &amp; F24 &amp; "'!A1"),0)</f>
        <v>0</v>
      </c>
      <c r="H24" s="56"/>
      <c r="I24" s="56"/>
    </row>
    <row r="25" spans="1:10" ht="14.25" customHeight="1">
      <c r="A25" s="57" t="s">
        <v>50</v>
      </c>
      <c r="B25" s="58" t="s">
        <v>30</v>
      </c>
      <c r="C25" s="54" cm="1">
        <f t="array" aca="1" ref="C25" ca="1">IFERROR(INDIRECT("'" &amp; A25 &amp; "'!A1"),)</f>
        <v>0</v>
      </c>
      <c r="E25" s="57" t="s">
        <v>41</v>
      </c>
      <c r="F25" s="58" t="s">
        <v>35</v>
      </c>
      <c r="G25" s="55" cm="1">
        <f t="array" aca="1" ref="G25" ca="1">IFERROR(INDIRECT("'" &amp; E25 &amp; " "  &amp; F25 &amp; "'!A1"),0)</f>
        <v>0</v>
      </c>
      <c r="H25" s="56"/>
      <c r="I25" s="56"/>
    </row>
    <row r="26" spans="1:10" ht="14.25" customHeight="1">
      <c r="A26" s="57" t="s">
        <v>51</v>
      </c>
      <c r="B26" s="58" t="s">
        <v>30</v>
      </c>
      <c r="C26" s="54" cm="1">
        <f t="array" aca="1" ref="C26" ca="1">IFERROR(INDIRECT("'" &amp; A26 &amp; "'!A1"),)</f>
        <v>7920</v>
      </c>
      <c r="E26" s="57" t="s">
        <v>52</v>
      </c>
      <c r="F26" s="58" t="s">
        <v>35</v>
      </c>
      <c r="G26" s="55" cm="1">
        <f t="array" aca="1" ref="G26" ca="1">IFERROR(INDIRECT("'" &amp; E26 &amp; " "  &amp; F26 &amp; "'!t37"),0)</f>
        <v>360241.3</v>
      </c>
      <c r="H26" s="56"/>
      <c r="I26" s="56"/>
    </row>
    <row r="27" spans="1:10" ht="14.25" customHeight="1">
      <c r="A27" s="57" t="s">
        <v>53</v>
      </c>
      <c r="B27" s="58" t="s">
        <v>30</v>
      </c>
      <c r="C27" s="54" cm="1">
        <f t="array" aca="1" ref="C27" ca="1">IFERROR(INDIRECT("'" &amp; A27 &amp; "'!A1"),)</f>
        <v>0</v>
      </c>
      <c r="E27" s="57" t="s">
        <v>54</v>
      </c>
      <c r="F27" s="58" t="s">
        <v>36</v>
      </c>
      <c r="G27" s="55" cm="1">
        <f t="array" aca="1" ref="G27" ca="1">IFERROR(INDIRECT("'" &amp; E27 &amp; " "  &amp; F27 &amp; "'!A1"),0)</f>
        <v>0</v>
      </c>
      <c r="H27" s="56"/>
      <c r="I27" s="56"/>
    </row>
    <row r="28" spans="1:10" ht="14.25" customHeight="1" thickBot="1">
      <c r="A28" s="45"/>
      <c r="B28" s="59"/>
      <c r="C28" s="56"/>
      <c r="E28" s="57" t="s">
        <v>43</v>
      </c>
      <c r="F28" s="58" t="s">
        <v>30</v>
      </c>
      <c r="G28" s="55" cm="1">
        <f t="array" aca="1" ref="G28" ca="1">IFERROR(INDIRECT("'" &amp; E28 &amp; " "  &amp; F28 &amp; "'!A1"),0)</f>
        <v>0</v>
      </c>
      <c r="H28" s="56"/>
      <c r="I28" s="56"/>
    </row>
    <row r="29" spans="1:10" ht="14.25" customHeight="1" thickBot="1">
      <c r="A29" s="208" t="s">
        <v>29</v>
      </c>
      <c r="B29" s="209"/>
      <c r="C29" s="48">
        <f ca="1">SUM(C30:C34)</f>
        <v>19155890</v>
      </c>
      <c r="E29" s="57" t="s">
        <v>47</v>
      </c>
      <c r="F29" s="58" t="s">
        <v>30</v>
      </c>
      <c r="G29" s="55" cm="1">
        <f t="array" aca="1" ref="G29" ca="1">IFERROR(INDIRECT("'" &amp; E29 &amp; " "  &amp; F29 &amp; "'!A1"),0)</f>
        <v>0</v>
      </c>
      <c r="H29" s="56"/>
      <c r="I29" s="56"/>
    </row>
    <row r="30" spans="1:10" ht="14.25" customHeight="1">
      <c r="A30" s="214" t="s">
        <v>55</v>
      </c>
      <c r="B30" s="215"/>
      <c r="C30" s="54" cm="1">
        <f t="array" aca="1" ref="C30" ca="1">INDIRECT("'" &amp; A29 &amp; "'!F17")</f>
        <v>15902450</v>
      </c>
      <c r="E30" s="57" t="s">
        <v>45</v>
      </c>
      <c r="F30" s="58" t="s">
        <v>30</v>
      </c>
      <c r="G30" s="55" cm="1">
        <f t="array" aca="1" ref="G30" ca="1">IFERROR(INDIRECT("'" &amp; E30 &amp; " "  &amp; F30 &amp; "'!A1"),0)</f>
        <v>0</v>
      </c>
      <c r="H30" s="56"/>
      <c r="I30" s="56"/>
    </row>
    <row r="31" spans="1:10" ht="14.25" customHeight="1">
      <c r="A31" s="206" t="s">
        <v>56</v>
      </c>
      <c r="B31" s="207"/>
      <c r="C31" s="55" cm="1">
        <f t="array" aca="1" ref="C31" ca="1">INDIRECT("'" &amp; A29 &amp; "'!F16")</f>
        <v>0</v>
      </c>
      <c r="E31" s="57" t="s">
        <v>41</v>
      </c>
      <c r="F31" s="58" t="s">
        <v>30</v>
      </c>
      <c r="G31" s="55" cm="1">
        <f t="array" aca="1" ref="G31" ca="1">IFERROR(INDIRECT("'" &amp; E31 &amp; " "  &amp; F31 &amp; "'!A1"),0)</f>
        <v>0</v>
      </c>
      <c r="H31" s="56"/>
      <c r="I31" s="56"/>
      <c r="J31" s="24">
        <v>16297524.09</v>
      </c>
    </row>
    <row r="32" spans="1:10" ht="14.25" customHeight="1">
      <c r="A32" s="206" t="s">
        <v>57</v>
      </c>
      <c r="B32" s="207"/>
      <c r="C32" s="55" cm="1">
        <f t="array" aca="1" ref="C32" ca="1">INDIRECT("'" &amp; A29 &amp; "'!F18")</f>
        <v>804000</v>
      </c>
      <c r="E32" s="52" t="s">
        <v>58</v>
      </c>
      <c r="F32" s="53" t="s">
        <v>32</v>
      </c>
      <c r="G32" s="55" cm="1">
        <f t="array" aca="1" ref="G32" ca="1">IFERROR(INDIRECT("'" &amp; E32 &amp; " "  &amp; F32 &amp; "'!A1"),0)</f>
        <v>406065.257568</v>
      </c>
      <c r="H32" s="56"/>
      <c r="I32" s="56"/>
      <c r="J32" s="24">
        <v>71775903.099999994</v>
      </c>
    </row>
    <row r="33" spans="1:13" ht="14.25" customHeight="1">
      <c r="A33" s="206" t="s">
        <v>59</v>
      </c>
      <c r="B33" s="207"/>
      <c r="C33" s="55" cm="1">
        <f t="array" aca="1" ref="C33" ca="1">INDIRECT("'" &amp; A29 &amp; "'!F19")</f>
        <v>2449440</v>
      </c>
      <c r="E33" s="52" t="s">
        <v>47</v>
      </c>
      <c r="F33" s="53" t="s">
        <v>32</v>
      </c>
      <c r="G33" s="55" cm="1">
        <f t="array" aca="1" ref="G33" ca="1">IFERROR(INDIRECT("'" &amp; E33 &amp; " "  &amp; F33 &amp; "'!A1"),0)</f>
        <v>0</v>
      </c>
      <c r="H33" s="56"/>
      <c r="I33" s="56"/>
      <c r="J33" s="24">
        <f>J31+J32-78062.4</f>
        <v>87995364.789999992</v>
      </c>
    </row>
    <row r="34" spans="1:13" ht="14.25" customHeight="1">
      <c r="A34" s="206" t="s">
        <v>60</v>
      </c>
      <c r="B34" s="207"/>
      <c r="C34" s="55" cm="1">
        <f t="array" aca="1" ref="C34" ca="1">INDIRECT("'" &amp; A29 &amp; "'!F20")</f>
        <v>0</v>
      </c>
      <c r="E34" s="57" t="s">
        <v>43</v>
      </c>
      <c r="F34" s="58" t="s">
        <v>32</v>
      </c>
      <c r="G34" s="55" cm="1">
        <f t="array" aca="1" ref="G34" ca="1">IFERROR(INDIRECT("'" &amp; E34 &amp; " "  &amp; F34 &amp; "'!A1"),0)</f>
        <v>0</v>
      </c>
      <c r="H34" s="56"/>
      <c r="I34" s="56"/>
    </row>
    <row r="35" spans="1:13" ht="14.25" customHeight="1" thickBot="1">
      <c r="A35" s="60"/>
      <c r="B35" s="60"/>
      <c r="C35" s="61"/>
      <c r="E35" s="57" t="s">
        <v>45</v>
      </c>
      <c r="F35" s="58" t="s">
        <v>35</v>
      </c>
      <c r="G35" s="55" cm="1">
        <f t="array" aca="1" ref="G35" ca="1">IFERROR(INDIRECT("'" &amp; E35 &amp; " "  &amp; F35 &amp; "'!A1"),0)</f>
        <v>0</v>
      </c>
      <c r="H35" s="56"/>
      <c r="I35" s="56"/>
    </row>
    <row r="36" spans="1:13" ht="14.25" customHeight="1" thickBot="1">
      <c r="A36" s="208" t="s">
        <v>61</v>
      </c>
      <c r="B36" s="209"/>
      <c r="C36" s="48">
        <f>SUM(C37:C41)</f>
        <v>11664173.399999999</v>
      </c>
      <c r="E36" s="57" t="s">
        <v>43</v>
      </c>
      <c r="F36" s="58" t="s">
        <v>27</v>
      </c>
      <c r="G36" s="55" cm="1">
        <f t="array" aca="1" ref="G36" ca="1">IFERROR(INDIRECT("'" &amp; E36 &amp; " "  &amp; F36 &amp; "'!A1"),0)</f>
        <v>0</v>
      </c>
      <c r="H36" s="56"/>
      <c r="I36" s="56">
        <f ca="1">K42-J33</f>
        <v>1721208.299999997</v>
      </c>
    </row>
    <row r="37" spans="1:13" ht="14.25" customHeight="1">
      <c r="A37" s="214" t="s">
        <v>62</v>
      </c>
      <c r="B37" s="215"/>
      <c r="C37" s="54">
        <v>4715760.5999999996</v>
      </c>
      <c r="E37" s="57" t="s">
        <v>41</v>
      </c>
      <c r="F37" s="58" t="s">
        <v>34</v>
      </c>
      <c r="G37" s="55" cm="1">
        <f t="array" aca="1" ref="G37" ca="1">IFERROR(INDIRECT("'" &amp; E37 &amp; " "  &amp; F37 &amp; "'!A1"),0)</f>
        <v>0</v>
      </c>
      <c r="H37" s="56"/>
      <c r="I37" s="56"/>
    </row>
    <row r="38" spans="1:13" ht="14.25" customHeight="1">
      <c r="A38" s="206" t="s">
        <v>36</v>
      </c>
      <c r="B38" s="207"/>
      <c r="C38" s="55">
        <v>6948412.7999999998</v>
      </c>
      <c r="E38" s="57" t="s">
        <v>47</v>
      </c>
      <c r="F38" s="58" t="s">
        <v>28</v>
      </c>
      <c r="G38" s="55" cm="1">
        <f t="array" aca="1" ref="G38" ca="1">IFERROR(INDIRECT("'" &amp; E38 &amp; " "  &amp; F38 &amp; "'!A1"),0)</f>
        <v>0</v>
      </c>
      <c r="H38" s="56"/>
      <c r="I38" s="56"/>
    </row>
    <row r="39" spans="1:13" ht="14.25" customHeight="1">
      <c r="A39" s="206"/>
      <c r="B39" s="207"/>
      <c r="C39" s="55"/>
      <c r="E39" s="57" t="s">
        <v>41</v>
      </c>
      <c r="F39" s="58" t="s">
        <v>27</v>
      </c>
      <c r="G39" s="55" cm="1">
        <f t="array" aca="1" ref="G39" ca="1">IFERROR(INDIRECT("'" &amp; E39 &amp; " "  &amp; F39 &amp; "'!A1"),0)</f>
        <v>0</v>
      </c>
      <c r="H39" s="56"/>
      <c r="I39" s="56"/>
    </row>
    <row r="40" spans="1:13" ht="14.25" customHeight="1">
      <c r="A40" s="206"/>
      <c r="B40" s="207"/>
      <c r="C40" s="55"/>
      <c r="E40" s="57" t="s">
        <v>63</v>
      </c>
      <c r="F40" s="58" t="s">
        <v>36</v>
      </c>
      <c r="G40" s="55" cm="1">
        <f t="array" aca="1" ref="G40" ca="1">IFERROR(INDIRECT("'" &amp; E40 &amp; " "  &amp; F40 &amp; "'!A1"),0)</f>
        <v>0</v>
      </c>
      <c r="H40" s="56"/>
      <c r="I40" s="56"/>
    </row>
    <row r="41" spans="1:13" ht="14.25" customHeight="1" thickBot="1">
      <c r="A41" s="206"/>
      <c r="B41" s="207"/>
      <c r="C41" s="55"/>
      <c r="E41" s="45"/>
      <c r="F41" s="59"/>
      <c r="G41" s="62"/>
      <c r="H41" s="56"/>
      <c r="I41" s="56"/>
    </row>
    <row r="42" spans="1:13" ht="14.25" customHeight="1" thickBot="1">
      <c r="A42" s="208" t="s">
        <v>64</v>
      </c>
      <c r="B42" s="209"/>
      <c r="C42" s="209"/>
      <c r="D42" s="209"/>
      <c r="E42" s="209"/>
      <c r="F42" s="209"/>
      <c r="G42" s="209"/>
      <c r="H42" s="209"/>
      <c r="I42" s="209"/>
      <c r="J42" s="210"/>
      <c r="K42" s="211">
        <f ca="1">SUM(M44:M53)</f>
        <v>89716573.089999989</v>
      </c>
      <c r="L42" s="212"/>
      <c r="M42" s="213"/>
    </row>
    <row r="43" spans="1:13" ht="14.25" customHeight="1" thickBot="1">
      <c r="A43" s="63"/>
      <c r="B43" s="28" t="s">
        <v>65</v>
      </c>
      <c r="C43" s="28" t="s">
        <v>66</v>
      </c>
      <c r="D43" s="28" t="s">
        <v>67</v>
      </c>
      <c r="E43" s="28" t="s">
        <v>68</v>
      </c>
      <c r="F43" s="28" t="s">
        <v>69</v>
      </c>
      <c r="G43" s="64" t="s">
        <v>70</v>
      </c>
      <c r="H43" s="64" t="s">
        <v>71</v>
      </c>
      <c r="I43" s="64" t="s">
        <v>72</v>
      </c>
      <c r="J43" s="65" t="s">
        <v>73</v>
      </c>
      <c r="K43" s="65" t="s">
        <v>74</v>
      </c>
      <c r="L43" s="65" t="s">
        <v>75</v>
      </c>
      <c r="M43" s="66" t="s">
        <v>76</v>
      </c>
    </row>
    <row r="44" spans="1:13" ht="14.25" customHeight="1">
      <c r="A44" s="67" t="s">
        <v>28</v>
      </c>
      <c r="B44" s="68" cm="1">
        <f t="array" aca="1" ref="B44" ca="1">IFERROR(INDIRECT("'" &amp; $A44 &amp; " " &amp; B$43 &amp; "'!T37"),)</f>
        <v>98335.49</v>
      </c>
      <c r="C44" s="68" cm="1">
        <f t="array" aca="1" ref="C44" ca="1">IFERROR(INDIRECT("'" &amp; $A44 &amp; " " &amp; C$43 &amp; "'!T37"),)</f>
        <v>412734.67</v>
      </c>
      <c r="D44" s="68" cm="1">
        <f t="array" aca="1" ref="D44" ca="1">IFERROR(INDIRECT("'" &amp; $A44 &amp; " " &amp; D$43 &amp; "'!T37"),)</f>
        <v>8370577.7999999998</v>
      </c>
      <c r="E44" s="68" cm="1">
        <f t="array" aca="1" ref="E44" ca="1">IFERROR(INDIRECT("'" &amp; $A44 &amp; " " &amp; E$43 &amp; "'!T37"),)</f>
        <v>22032</v>
      </c>
      <c r="F44" s="68" cm="1">
        <f t="array" aca="1" ref="F44" ca="1">IFERROR(INDIRECT("'" &amp; $A44 &amp; " " &amp; F$43 &amp; "'!T37"),)</f>
        <v>0</v>
      </c>
      <c r="G44" s="68" cm="1">
        <f t="array" aca="1" ref="G44" ca="1">IFERROR(INDIRECT("'" &amp; $A44 &amp; " " &amp; G$43 &amp; "'!T37"),)</f>
        <v>0</v>
      </c>
      <c r="H44" s="68" cm="1">
        <f t="array" aca="1" ref="H44" ca="1">IFERROR(INDIRECT("'" &amp; $A44 &amp; " " &amp; H$43 &amp; "'!T37"),)</f>
        <v>0</v>
      </c>
      <c r="I44" s="68" cm="1">
        <f t="array" aca="1" ref="I44" ca="1">IFERROR(INDIRECT("'" &amp; $A44 &amp; " " &amp; I$43 &amp; "'!T37"),)</f>
        <v>0</v>
      </c>
      <c r="J44" s="68" cm="1">
        <f t="array" aca="1" ref="J44" ca="1">IFERROR(INDIRECT("'" &amp; $A44 &amp; " " &amp; J$43 &amp; "'!T37"),)</f>
        <v>0</v>
      </c>
      <c r="K44" s="68" cm="1">
        <f t="array" aca="1" ref="K44" ca="1">IFERROR(INDIRECT("'" &amp; $A44 &amp; " " &amp; K$43 &amp; "'!G12"),)</f>
        <v>20400</v>
      </c>
      <c r="L44" s="68" cm="1">
        <f t="array" aca="1" ref="L44" ca="1">IFERROR(INDIRECT("'" &amp; $A44 &amp; " " &amp; L$43 &amp; "'!F14"),)</f>
        <v>0</v>
      </c>
      <c r="M44" s="69">
        <f ca="1">SUM(B44:L44)</f>
        <v>8924079.959999999</v>
      </c>
    </row>
    <row r="45" spans="1:13" ht="14.25" customHeight="1">
      <c r="A45" s="70" t="s">
        <v>30</v>
      </c>
      <c r="B45" s="68" cm="1">
        <f t="array" aca="1" ref="B45" ca="1">IFERROR(INDIRECT("'" &amp; $A45 &amp; " " &amp; B$43 &amp; "'!T37"),)</f>
        <v>95811.91</v>
      </c>
      <c r="C45" s="68" cm="1">
        <f t="array" aca="1" ref="C45" ca="1">IFERROR(INDIRECT("'" &amp; $A45 &amp; " " &amp; C$43 &amp; "'!T37"),)</f>
        <v>8409.24</v>
      </c>
      <c r="D45" s="68" cm="1">
        <f t="array" aca="1" ref="D45" ca="1">IFERROR(INDIRECT("'" &amp; $A45 &amp; " " &amp; D$43 &amp; "'!T37"),)</f>
        <v>11678400</v>
      </c>
      <c r="E45" s="68" cm="1">
        <f t="array" aca="1" ref="E45" ca="1">IFERROR(INDIRECT("'" &amp; $A45 &amp; " " &amp; E$43 &amp; "'!T37"),)</f>
        <v>0</v>
      </c>
      <c r="F45" s="68" cm="1">
        <f t="array" aca="1" ref="F45" ca="1">IFERROR(INDIRECT("'" &amp; $A45 &amp; " " &amp; F$43 &amp; "'!T37"),)</f>
        <v>0</v>
      </c>
      <c r="G45" s="68" cm="1">
        <f t="array" aca="1" ref="G45" ca="1">IFERROR(INDIRECT("'" &amp; $A45 &amp; " " &amp; G$43 &amp; "'!T37"),)</f>
        <v>0</v>
      </c>
      <c r="H45" s="68" cm="1">
        <f t="array" aca="1" ref="H45" ca="1">IFERROR(INDIRECT("'" &amp; $A45 &amp; " " &amp; H$43 &amp; "'!T37"),)</f>
        <v>0</v>
      </c>
      <c r="I45" s="68" cm="1">
        <f t="array" aca="1" ref="I45" ca="1">IFERROR(INDIRECT("'" &amp; $A45 &amp; " " &amp; I$43 &amp; "'!T37"),)</f>
        <v>0</v>
      </c>
      <c r="J45" s="68" cm="1">
        <f t="array" aca="1" ref="J45" ca="1">IFERROR(INDIRECT("'" &amp; $A45 &amp; " " &amp; J$43 &amp; "'!T37"),)</f>
        <v>0</v>
      </c>
      <c r="K45" s="68" cm="1">
        <f t="array" aca="1" ref="K45" ca="1">IFERROR(INDIRECT("'" &amp; $A45 &amp; " " &amp; K$43 &amp; "'!G12"),)</f>
        <v>0</v>
      </c>
      <c r="L45" s="68" cm="1">
        <f t="array" aca="1" ref="L45" ca="1">IFERROR(INDIRECT("'" &amp; $A45 &amp; " " &amp; L$43 &amp; "'!F14"),)</f>
        <v>173398.5</v>
      </c>
      <c r="M45" s="69">
        <f t="shared" ref="M45:M53" ca="1" si="6">SUM(B45:L45)</f>
        <v>11956019.65</v>
      </c>
    </row>
    <row r="46" spans="1:13" ht="14.25" customHeight="1">
      <c r="A46" s="70" t="s">
        <v>31</v>
      </c>
      <c r="B46" s="68" cm="1">
        <f t="array" aca="1" ref="B46" ca="1">IFERROR(INDIRECT("'" &amp; $A46 &amp; " " &amp; B$43 &amp; "'!T37"),)</f>
        <v>12568.35</v>
      </c>
      <c r="C46" s="68" cm="1">
        <f t="array" aca="1" ref="C46" ca="1">IFERROR(INDIRECT("'" &amp; $A46 &amp; " " &amp; C$43 &amp; "'!T37"),)</f>
        <v>219606.77</v>
      </c>
      <c r="D46" s="68" cm="1">
        <f t="array" aca="1" ref="D46" ca="1">IFERROR(INDIRECT("'" &amp; $A46 &amp; " " &amp; D$43 &amp; "'!T37"),)</f>
        <v>10045314.039999999</v>
      </c>
      <c r="E46" s="68" cm="1">
        <f t="array" aca="1" ref="E46" ca="1">IFERROR(INDIRECT("'" &amp; $A46 &amp; " " &amp; E$43 &amp; "'!T37"),)</f>
        <v>0</v>
      </c>
      <c r="F46" s="68" cm="1">
        <f t="array" aca="1" ref="F46" ca="1">IFERROR(INDIRECT("'" &amp; $A46 &amp; " " &amp; F$43 &amp; "'!T37"),)</f>
        <v>0</v>
      </c>
      <c r="G46" s="68" cm="1">
        <f t="array" aca="1" ref="G46" ca="1">IFERROR(INDIRECT("'" &amp; $A46 &amp; " " &amp; G$43 &amp; "'!T37"),)</f>
        <v>0</v>
      </c>
      <c r="H46" s="68" cm="1">
        <f t="array" aca="1" ref="H46" ca="1">IFERROR(INDIRECT("'" &amp; $A46 &amp; " " &amp; H$43 &amp; "'!T37"),)</f>
        <v>0</v>
      </c>
      <c r="I46" s="68" cm="1">
        <f t="array" aca="1" ref="I46" ca="1">IFERROR(INDIRECT("'" &amp; $A46 &amp; " " &amp; I$43 &amp; "'!T37"),)</f>
        <v>0</v>
      </c>
      <c r="J46" s="68" cm="1">
        <f t="array" aca="1" ref="J46" ca="1">IFERROR(INDIRECT("'" &amp; $A46 &amp; " " &amp; J$43 &amp; "'!T37"),)</f>
        <v>0</v>
      </c>
      <c r="K46" s="68" cm="1">
        <f t="array" aca="1" ref="K46" ca="1">IFERROR(INDIRECT("'" &amp; $A46 &amp; " " &amp; K$43 &amp; "'!G12"),)</f>
        <v>103200</v>
      </c>
      <c r="L46" s="68" cm="1">
        <f t="array" aca="1" ref="L46" ca="1">IFERROR(INDIRECT("'" &amp; $A46 &amp; " " &amp; L$43 &amp; "'!F14"),)</f>
        <v>0</v>
      </c>
      <c r="M46" s="69">
        <f t="shared" ca="1" si="6"/>
        <v>10380689.159999998</v>
      </c>
    </row>
    <row r="47" spans="1:13" ht="14.25" customHeight="1">
      <c r="A47" s="71" t="s">
        <v>32</v>
      </c>
      <c r="B47" s="68" cm="1">
        <f t="array" aca="1" ref="B47" ca="1">IFERROR(INDIRECT("'" &amp; $A47 &amp; " " &amp; B$43 &amp; "'!T37"),)</f>
        <v>33617.06</v>
      </c>
      <c r="C47" s="68" cm="1">
        <f t="array" aca="1" ref="C47" ca="1">IFERROR(INDIRECT("'" &amp; $A47 &amp; " " &amp; C$43 &amp; "'!T37"),)</f>
        <v>76872.179999999993</v>
      </c>
      <c r="D47" s="68" cm="1">
        <f t="array" aca="1" ref="D47" ca="1">IFERROR(INDIRECT("'" &amp; $A47 &amp; " " &amp; D$43 &amp; "'!T37"),)</f>
        <v>5537520</v>
      </c>
      <c r="E47" s="68" cm="1">
        <f t="array" aca="1" ref="E47" ca="1">IFERROR(INDIRECT("'" &amp; $A47 &amp; " " &amp; E$43 &amp; "'!T37"),)</f>
        <v>0</v>
      </c>
      <c r="F47" s="68" cm="1">
        <f t="array" aca="1" ref="F47" ca="1">IFERROR(INDIRECT("'" &amp; $A47 &amp; " " &amp; F$43 &amp; "'!T37"),)</f>
        <v>0</v>
      </c>
      <c r="G47" s="68" cm="1">
        <f t="array" aca="1" ref="G47" ca="1">IFERROR(INDIRECT("'" &amp; $A47 &amp; " " &amp; G$43 &amp; "'!T37"),)</f>
        <v>0</v>
      </c>
      <c r="H47" s="68" cm="1">
        <f t="array" aca="1" ref="H47" ca="1">IFERROR(INDIRECT("'" &amp; $A47 &amp; " " &amp; H$43 &amp; "'!T37"),)</f>
        <v>0</v>
      </c>
      <c r="I47" s="68" cm="1">
        <f t="array" aca="1" ref="I47" ca="1">IFERROR(INDIRECT("'" &amp; $A47 &amp; " " &amp; I$43 &amp; "'!T37"),)</f>
        <v>2171152.62</v>
      </c>
      <c r="J47" s="68" cm="1">
        <f t="array" aca="1" ref="J47" ca="1">IFERROR(INDIRECT("'" &amp; $A47 &amp; " " &amp; J$43 &amp; "'!T37"),)</f>
        <v>0</v>
      </c>
      <c r="K47" s="68" cm="1">
        <f t="array" aca="1" ref="K47" ca="1">IFERROR(INDIRECT("'" &amp; $A47 &amp; " " &amp; K$43 &amp; "'!G12"),)</f>
        <v>0</v>
      </c>
      <c r="L47" s="68" cm="1">
        <f t="array" aca="1" ref="L47" ca="1">IFERROR(INDIRECT("'" &amp; $A47 &amp; " " &amp; L$43 &amp; "'!F14"),)</f>
        <v>0</v>
      </c>
      <c r="M47" s="69">
        <f t="shared" ca="1" si="6"/>
        <v>7819161.8600000003</v>
      </c>
    </row>
    <row r="48" spans="1:13" ht="14.25" customHeight="1">
      <c r="A48" s="71" t="s">
        <v>33</v>
      </c>
      <c r="B48" s="68" cm="1">
        <f t="array" aca="1" ref="B48" ca="1">IFERROR(INDIRECT("'" &amp; $A48 &amp; " " &amp; B$43 &amp; "'!T37"),)</f>
        <v>0</v>
      </c>
      <c r="C48" s="68" cm="1">
        <f t="array" aca="1" ref="C48" ca="1">IFERROR(INDIRECT("'" &amp; $A48 &amp; " " &amp; C$43 &amp; "'!T37"),)</f>
        <v>0</v>
      </c>
      <c r="D48" s="68" cm="1">
        <f t="array" aca="1" ref="D48" ca="1">IFERROR(INDIRECT("'" &amp; $A48 &amp; " " &amp; D$43 &amp; "'!T37"),)</f>
        <v>0</v>
      </c>
      <c r="E48" s="68" cm="1">
        <f t="array" aca="1" ref="E48" ca="1">IFERROR(INDIRECT("'" &amp; $A48 &amp; " " &amp; E$43 &amp; "'!T37"),)</f>
        <v>0</v>
      </c>
      <c r="F48" s="68" cm="1">
        <f t="array" aca="1" ref="F48" ca="1">IFERROR(INDIRECT("'" &amp; $A48 &amp; " " &amp; F$43 &amp; "'!T37"),)</f>
        <v>0</v>
      </c>
      <c r="G48" s="68" cm="1">
        <f t="array" aca="1" ref="G48" ca="1">IFERROR(INDIRECT("'" &amp; $A48 &amp; " " &amp; G$43 &amp; "'!T37"),)</f>
        <v>0</v>
      </c>
      <c r="H48" s="68" cm="1">
        <f t="array" aca="1" ref="H48" ca="1">IFERROR(INDIRECT("'" &amp; $A48 &amp; " " &amp; H$43 &amp; "'!T37"),)</f>
        <v>0</v>
      </c>
      <c r="I48" s="68" cm="1">
        <f t="array" aca="1" ref="I48" ca="1">IFERROR(INDIRECT("'" &amp; $A48 &amp; " " &amp; I$43 &amp; "'!T37"),)</f>
        <v>4797371.3899999997</v>
      </c>
      <c r="J48" s="68" cm="1">
        <f t="array" aca="1" ref="J48" ca="1">IFERROR(INDIRECT("'" &amp; $A48 &amp; " " &amp; J$43 &amp; "'!T37"),)</f>
        <v>0</v>
      </c>
      <c r="K48" s="68" cm="1">
        <f t="array" aca="1" ref="K48" ca="1">IFERROR(INDIRECT("'" &amp; $A48 &amp; " " &amp; K$43 &amp; "'!G12"),)</f>
        <v>0</v>
      </c>
      <c r="L48" s="68" cm="1">
        <f t="array" aca="1" ref="L48" ca="1">IFERROR(INDIRECT("'" &amp; $A48 &amp; " " &amp; L$43 &amp; "'!F14"),)</f>
        <v>0</v>
      </c>
      <c r="M48" s="69">
        <f t="shared" ca="1" si="6"/>
        <v>4797371.3899999997</v>
      </c>
    </row>
    <row r="49" spans="1:13" ht="14.25" customHeight="1">
      <c r="A49" s="70" t="s">
        <v>27</v>
      </c>
      <c r="B49" s="68" cm="1">
        <f t="array" aca="1" ref="B49" ca="1">IFERROR(INDIRECT("'" &amp; $A49 &amp; " " &amp; B$43 &amp; "'!T37"),)</f>
        <v>0</v>
      </c>
      <c r="C49" s="68" cm="1">
        <f t="array" aca="1" ref="C49" ca="1">IFERROR(INDIRECT("'" &amp; $A49 &amp; " " &amp; C$43 &amp; "'!T37"),)</f>
        <v>13659</v>
      </c>
      <c r="D49" s="68" cm="1">
        <f t="array" aca="1" ref="D49" ca="1">IFERROR(INDIRECT("'" &amp; $A49 &amp; " " &amp; D$43 &amp; "'!T37"),)</f>
        <v>19440000</v>
      </c>
      <c r="E49" s="68" cm="1">
        <f t="array" aca="1" ref="E49" ca="1">IFERROR(INDIRECT("'" &amp; $A49 &amp; " " &amp; E$43 &amp; "'!T37"),)</f>
        <v>0</v>
      </c>
      <c r="F49" s="68" cm="1">
        <f t="array" aca="1" ref="F49" ca="1">IFERROR(INDIRECT("'" &amp; $A49 &amp; " " &amp; F$43 &amp; "'!T37"),)</f>
        <v>0</v>
      </c>
      <c r="G49" s="68" cm="1">
        <f t="array" aca="1" ref="G49" ca="1">IFERROR(INDIRECT("'" &amp; $A49 &amp; " " &amp; G$43 &amp; "'!T37"),)</f>
        <v>0</v>
      </c>
      <c r="H49" s="68" cm="1">
        <f t="array" aca="1" ref="H49" ca="1">IFERROR(INDIRECT("'" &amp; $A49 &amp; " " &amp; H$43 &amp; "'!T37"),)</f>
        <v>0</v>
      </c>
      <c r="I49" s="68" cm="1">
        <f t="array" aca="1" ref="I49" ca="1">IFERROR(INDIRECT("'" &amp; $A49 &amp; " " &amp; I$43 &amp; "'!T37"),)</f>
        <v>0</v>
      </c>
      <c r="J49" s="68" cm="1">
        <f t="array" aca="1" ref="J49" ca="1">IFERROR(INDIRECT("'" &amp; $A49 &amp; " " &amp; J$43 &amp; "'!T37"),)</f>
        <v>0</v>
      </c>
      <c r="K49" s="68" cm="1">
        <f t="array" aca="1" ref="K49" ca="1">IFERROR(INDIRECT("'" &amp; $A49 &amp; " " &amp; K$43 &amp; "'!G12"),)</f>
        <v>12000</v>
      </c>
      <c r="L49" s="68" cm="1">
        <f t="array" aca="1" ref="L49" ca="1">IFERROR(INDIRECT("'" &amp; $A49 &amp; " " &amp; L$43 &amp; "'!F14"),)</f>
        <v>3559908</v>
      </c>
      <c r="M49" s="69">
        <f t="shared" ca="1" si="6"/>
        <v>23025567</v>
      </c>
    </row>
    <row r="50" spans="1:13" ht="14.25" customHeight="1">
      <c r="A50" s="70" t="s">
        <v>34</v>
      </c>
      <c r="B50" s="68" cm="1">
        <f t="array" aca="1" ref="B50" ca="1">IFERROR(INDIRECT("'" &amp; $A50 &amp; " " &amp; B$43 &amp; "'!T37"),)</f>
        <v>0</v>
      </c>
      <c r="C50" s="68" cm="1">
        <f t="array" aca="1" ref="C50" ca="1">IFERROR(INDIRECT("'" &amp; $A50 &amp; " " &amp; C$43 &amp; "'!T37"),)</f>
        <v>0</v>
      </c>
      <c r="D50" s="68" cm="1">
        <f t="array" aca="1" ref="D50" ca="1">IFERROR(INDIRECT("'" &amp; $A50 &amp; " " &amp; D$43 &amp; "'!T37"),)</f>
        <v>8420916.3599999994</v>
      </c>
      <c r="E50" s="68" cm="1">
        <f t="array" aca="1" ref="E50" ca="1">IFERROR(INDIRECT("'" &amp; $A50 &amp; " " &amp; E$43 &amp; "'!T37"),)</f>
        <v>0</v>
      </c>
      <c r="F50" s="68" cm="1">
        <f t="array" aca="1" ref="F50" ca="1">IFERROR(INDIRECT("'" &amp; $A50 &amp; " " &amp; F$43 &amp; "'!T37"),)</f>
        <v>0</v>
      </c>
      <c r="G50" s="68" cm="1">
        <f t="array" aca="1" ref="G50" ca="1">IFERROR(INDIRECT("'" &amp; $A50 &amp; " " &amp; G$43 &amp; "'!T37"),)</f>
        <v>0</v>
      </c>
      <c r="H50" s="68" cm="1">
        <f t="array" aca="1" ref="H50" ca="1">IFERROR(INDIRECT("'" &amp; $A50 &amp; " " &amp; H$43 &amp; "'!T37"),)</f>
        <v>0</v>
      </c>
      <c r="I50" s="68" cm="1">
        <f t="array" aca="1" ref="I50" ca="1">IFERROR(INDIRECT("'" &amp; $A50 &amp; " " &amp; I$43 &amp; "'!T37"),)</f>
        <v>0</v>
      </c>
      <c r="J50" s="68" cm="1">
        <f t="array" aca="1" ref="J50" ca="1">IFERROR(INDIRECT("'" &amp; $A50 &amp; " " &amp; J$43 &amp; "'!T37"),)</f>
        <v>0</v>
      </c>
      <c r="K50" s="68" cm="1">
        <f t="array" aca="1" ref="K50" ca="1">IFERROR(INDIRECT("'" &amp; $A50 &amp; " " &amp; K$43 &amp; "'!G12"),)</f>
        <v>12000</v>
      </c>
      <c r="L50" s="68" cm="1">
        <f t="array" aca="1" ref="L50" ca="1">IFERROR(INDIRECT("'" &amp; $A50 &amp; " " &amp; L$43 &amp; "'!F14"),)</f>
        <v>1116000</v>
      </c>
      <c r="M50" s="69">
        <f t="shared" ca="1" si="6"/>
        <v>9548916.3599999994</v>
      </c>
    </row>
    <row r="51" spans="1:13" ht="14.25" customHeight="1">
      <c r="A51" s="70" t="s">
        <v>35</v>
      </c>
      <c r="B51" s="68" cm="1">
        <f t="array" aca="1" ref="B51" ca="1">IFERROR(INDIRECT("'" &amp; $A51 &amp; " " &amp; B$43 &amp; "'!T37"),)</f>
        <v>0</v>
      </c>
      <c r="C51" s="68" cm="1">
        <f t="array" aca="1" ref="C51" ca="1">IFERROR(INDIRECT("'" &amp; $A51 &amp; " " &amp; C$43 &amp; "'!T37"),)</f>
        <v>0</v>
      </c>
      <c r="D51" s="68" cm="1">
        <f t="array" aca="1" ref="D51" ca="1">IFERROR(INDIRECT("'" &amp; $A51 &amp; " " &amp; D$43 &amp; "'!T37"),)</f>
        <v>7133502.2999999998</v>
      </c>
      <c r="E51" s="68" cm="1">
        <f t="array" aca="1" ref="E51" ca="1">IFERROR(INDIRECT("'" &amp; $A51 &amp; " " &amp; E$43 &amp; "'!T37"),)</f>
        <v>0</v>
      </c>
      <c r="F51" s="68" cm="1">
        <f t="array" aca="1" ref="F51" ca="1">IFERROR(INDIRECT("'" &amp; $A51 &amp; " " &amp; F$43 &amp; "'!T37"),)</f>
        <v>0</v>
      </c>
      <c r="G51" s="68" cm="1">
        <f t="array" aca="1" ref="G51" ca="1">IFERROR(INDIRECT("'" &amp; $A51 &amp; " " &amp; G$43 &amp; "'!T37"),)</f>
        <v>0</v>
      </c>
      <c r="H51" s="68" cm="1">
        <f t="array" aca="1" ref="H51" ca="1">IFERROR(INDIRECT("'" &amp; $A51 &amp; " " &amp; H$43 &amp; "'!T37"),)</f>
        <v>0</v>
      </c>
      <c r="I51" s="68" cm="1">
        <f t="array" aca="1" ref="I51" ca="1">IFERROR(INDIRECT("'" &amp; $A51 &amp; " " &amp; I$43 &amp; "'!T37"),)</f>
        <v>0</v>
      </c>
      <c r="J51" s="68" cm="1">
        <f t="array" aca="1" ref="J51" ca="1">IFERROR(INDIRECT("'" &amp; $A51 &amp; " " &amp; J$43 &amp; "'!T37"),)</f>
        <v>0</v>
      </c>
      <c r="K51" s="68" cm="1">
        <f t="array" aca="1" ref="K51" ca="1">IFERROR(INDIRECT("'" &amp; $A51 &amp; " " &amp; K$43 &amp; "'!G12"),)</f>
        <v>16800</v>
      </c>
      <c r="L51" s="68" cm="1">
        <f t="array" aca="1" ref="L51" ca="1">IFERROR(INDIRECT("'" &amp; $A51 &amp; " " &amp; L$43 &amp; "'!F14"),)</f>
        <v>1695561</v>
      </c>
      <c r="M51" s="69">
        <f t="shared" ca="1" si="6"/>
        <v>8845863.3000000007</v>
      </c>
    </row>
    <row r="52" spans="1:13" ht="14.25" customHeight="1">
      <c r="A52" s="70" t="s">
        <v>36</v>
      </c>
      <c r="B52" s="68" cm="1">
        <f t="array" aca="1" ref="B52" ca="1">IFERROR(INDIRECT("'" &amp; $A52 &amp; " " &amp; B$43 &amp; "'!T37"),)</f>
        <v>0</v>
      </c>
      <c r="C52" s="68" cm="1">
        <f t="array" aca="1" ref="C52" ca="1">IFERROR(INDIRECT("'" &amp; $A52 &amp; " " &amp; C$43 &amp; "'!T37"),)</f>
        <v>0</v>
      </c>
      <c r="D52" s="68" cm="1">
        <f t="array" aca="1" ref="D52" ca="1">IFERROR(INDIRECT("'" &amp; $A52 &amp; " " &amp; D$43 &amp; "'!T37"),)</f>
        <v>0</v>
      </c>
      <c r="E52" s="68" cm="1">
        <f t="array" aca="1" ref="E52" ca="1">IFERROR(INDIRECT("'" &amp; $A52 &amp; " " &amp; E$43 &amp; "'!T37"),)</f>
        <v>2624649.54</v>
      </c>
      <c r="F52" s="68" cm="1">
        <f t="array" aca="1" ref="F52" ca="1">IFERROR(INDIRECT("'" &amp; $A52 &amp; " " &amp; F$43 &amp; "'!T37"),)</f>
        <v>1278171.08</v>
      </c>
      <c r="G52" s="68" cm="1">
        <f t="array" aca="1" ref="G52" ca="1">IFERROR(INDIRECT("'" &amp; $A52 &amp; " " &amp; G$43 &amp; "'!T37"),)</f>
        <v>0</v>
      </c>
      <c r="H52" s="68" cm="1">
        <f t="array" aca="1" ref="H52" ca="1">IFERROR(INDIRECT("'" &amp; $A52 &amp; " " &amp; H$43 &amp; "'!T37"),)</f>
        <v>50.49</v>
      </c>
      <c r="I52" s="68" cm="1">
        <f t="array" aca="1" ref="I52" ca="1">IFERROR(INDIRECT("'" &amp; $A52 &amp; " " &amp; I$43 &amp; "'!T37"),)</f>
        <v>0</v>
      </c>
      <c r="J52" s="68" cm="1">
        <f t="array" aca="1" ref="J52" ca="1">IFERROR(INDIRECT("'" &amp; $A52 &amp; " " &amp; J$43 &amp; "'!T37"),)</f>
        <v>193569.3</v>
      </c>
      <c r="K52" s="68" cm="1">
        <f t="array" aca="1" ref="K52" ca="1">IFERROR(INDIRECT("'" &amp; $A52 &amp; " " &amp; K$43 &amp; "'!G12"),)</f>
        <v>62400</v>
      </c>
      <c r="L52" s="68" cm="1">
        <f t="array" aca="1" ref="L52" ca="1">IFERROR(INDIRECT("'" &amp; $A52 &amp; " " &amp; L$43 &amp; "'!F14"),)</f>
        <v>260064</v>
      </c>
      <c r="M52" s="69">
        <f t="shared" ca="1" si="6"/>
        <v>4418904.41</v>
      </c>
    </row>
    <row r="53" spans="1:13" ht="14.25" customHeight="1">
      <c r="A53" s="70" t="s">
        <v>37</v>
      </c>
      <c r="B53" s="68" cm="1">
        <f t="array" aca="1" ref="B53" ca="1">IFERROR(INDIRECT("'" &amp; $A53 &amp; "'!F16"),) + IFERROR(INDIRECT("'" &amp; $A53 &amp; "'!F17"),)</f>
        <v>0</v>
      </c>
      <c r="C53" s="68" cm="1">
        <f t="array" aca="1" ref="C53" ca="1">IFERROR(INDIRECT("'" &amp; $A53 &amp; "'!F16"),) + IFERROR(INDIRECT("'" &amp; $A53 &amp; "'!F17"),)</f>
        <v>0</v>
      </c>
      <c r="D53" s="68" cm="1">
        <f t="array" aca="1" ref="D53" ca="1">IFERROR(INDIRECT("'" &amp; $A53 &amp; "'!F16"),) + IFERROR(INDIRECT("'" &amp; $A53 &amp; "'!F17"),)</f>
        <v>0</v>
      </c>
      <c r="E53" s="68" cm="1">
        <f t="array" aca="1" ref="E53" ca="1">IFERROR(INDIRECT("'" &amp; $A53 &amp; "'!F16"),) + IFERROR(INDIRECT("'" &amp; $A53 &amp; "'!F17"),)</f>
        <v>0</v>
      </c>
      <c r="F53" s="68" cm="1">
        <f t="array" aca="1" ref="F53" ca="1">IFERROR(INDIRECT("'" &amp; $A53 &amp; "'!F16"),) + IFERROR(INDIRECT("'" &amp; $A53 &amp; "'!F17"),)</f>
        <v>0</v>
      </c>
      <c r="G53" s="68" cm="1">
        <f t="array" aca="1" ref="G53" ca="1">IFERROR(INDIRECT("'" &amp; $A53 &amp; "'!F16"),) + IFERROR(INDIRECT("'" &amp; $A53 &amp; "'!F17"),)</f>
        <v>0</v>
      </c>
      <c r="H53" s="68" cm="1">
        <f t="array" aca="1" ref="H53" ca="1">IFERROR(INDIRECT("'" &amp; $A53 &amp; "'!F16"),) + IFERROR(INDIRECT("'" &amp; $A53 &amp; "'!F17"),)</f>
        <v>0</v>
      </c>
      <c r="I53" s="68" cm="1">
        <f t="array" aca="1" ref="I53" ca="1">IFERROR(INDIRECT("'" &amp; $A53 &amp; "'!F16"),) + IFERROR(INDIRECT("'" &amp; $A53 &amp; "'!F17"),)</f>
        <v>0</v>
      </c>
      <c r="J53" s="68" cm="1">
        <f t="array" aca="1" ref="J53" ca="1">IFERROR(INDIRECT("'" &amp; $A53 &amp; "'!F16"),) + IFERROR(INDIRECT("'" &amp; $A53 &amp; "'!F17"),)</f>
        <v>0</v>
      </c>
      <c r="K53" s="68" cm="1">
        <f t="array" aca="1" ref="K53" ca="1">IFERROR(INDIRECT("'" &amp; $A53 &amp; " " &amp; K$43 &amp; "'!G12"),)</f>
        <v>0</v>
      </c>
      <c r="L53" s="68" cm="1">
        <f t="array" aca="1" ref="L53" ca="1">IFERROR(INDIRECT("'" &amp; $A53 &amp; " " &amp; L$43 &amp; "'!F14"),)</f>
        <v>0</v>
      </c>
      <c r="M53" s="69">
        <f t="shared" ca="1" si="6"/>
        <v>0</v>
      </c>
    </row>
    <row r="54" spans="1:13" ht="14.25" customHeight="1" thickBot="1">
      <c r="A54" s="51"/>
      <c r="B54" s="72"/>
      <c r="C54" s="72"/>
      <c r="D54" s="72"/>
      <c r="E54" s="72"/>
      <c r="F54" s="72"/>
      <c r="G54" s="72"/>
      <c r="H54" s="72"/>
      <c r="I54" s="72"/>
      <c r="J54" s="73"/>
    </row>
    <row r="55" spans="1:13" ht="14.25" customHeight="1" thickBot="1">
      <c r="A55" s="74" t="s">
        <v>23</v>
      </c>
      <c r="B55" s="48">
        <f ca="1">SUM(B56:B66)</f>
        <v>1108655.0999999999</v>
      </c>
    </row>
    <row r="56" spans="1:13" ht="14.25" customHeight="1">
      <c r="A56" s="67" t="s">
        <v>28</v>
      </c>
      <c r="B56" s="33" cm="1">
        <f t="array" aca="1" ref="B56" ca="1">IFERROR(INDIRECT("'РВ " &amp; A56 &amp; "'!O38"),0)</f>
        <v>774895.04999999993</v>
      </c>
    </row>
    <row r="57" spans="1:13" ht="14.25" customHeight="1">
      <c r="A57" s="70" t="s">
        <v>30</v>
      </c>
      <c r="B57" s="33" cm="1">
        <f t="array" aca="1" ref="B57" ca="1">IFERROR(INDIRECT("'РВ " &amp; A57 &amp; "'!O38"),0)</f>
        <v>187151.93999999997</v>
      </c>
    </row>
    <row r="58" spans="1:13" ht="14.25" customHeight="1">
      <c r="A58" s="70" t="s">
        <v>38</v>
      </c>
      <c r="B58" s="33" cm="1">
        <f t="array" aca="1" ref="B58" ca="1">IFERROR(INDIRECT("'РВ " &amp; A58 &amp; "'!O38"),0)</f>
        <v>0</v>
      </c>
    </row>
    <row r="59" spans="1:13" ht="14.25" customHeight="1">
      <c r="A59" s="70" t="s">
        <v>31</v>
      </c>
      <c r="B59" s="33" cm="1">
        <f t="array" aca="1" ref="B59" ca="1">IFERROR(INDIRECT("'РВ " &amp; A59 &amp; "'!O38"),0)</f>
        <v>0</v>
      </c>
    </row>
    <row r="60" spans="1:13" ht="14.25" customHeight="1">
      <c r="A60" s="71" t="s">
        <v>32</v>
      </c>
      <c r="B60" s="33" cm="1">
        <f t="array" aca="1" ref="B60" ca="1">IFERROR(INDIRECT("'РВ " &amp; A60 &amp; "'!O38"),0)</f>
        <v>0</v>
      </c>
    </row>
    <row r="61" spans="1:13" ht="14.25" customHeight="1">
      <c r="A61" s="70" t="s">
        <v>34</v>
      </c>
      <c r="B61" s="33" cm="1">
        <f t="array" aca="1" ref="B61" ca="1">IFERROR(INDIRECT("'РВ " &amp; A61 &amp; "'!O38"),0)</f>
        <v>0</v>
      </c>
    </row>
    <row r="62" spans="1:13" ht="14.25" customHeight="1">
      <c r="A62" s="70" t="s">
        <v>27</v>
      </c>
      <c r="B62" s="33" cm="1">
        <f t="array" aca="1" ref="B62" ca="1">IFERROR(INDIRECT("'РВ " &amp; A62 &amp; "'!O38"),0)</f>
        <v>0</v>
      </c>
    </row>
    <row r="63" spans="1:13" ht="14.25" customHeight="1">
      <c r="A63" s="70" t="s">
        <v>35</v>
      </c>
      <c r="B63" s="33" cm="1">
        <f t="array" aca="1" ref="B63" ca="1">IFERROR(INDIRECT("'РВ " &amp; A63 &amp; "'!O38"),0)</f>
        <v>0</v>
      </c>
    </row>
    <row r="64" spans="1:13" ht="14.25" customHeight="1">
      <c r="A64" s="70" t="s">
        <v>36</v>
      </c>
      <c r="B64" s="33" cm="1">
        <f t="array" aca="1" ref="B64" ca="1">IFERROR(INDIRECT("'РВ " &amp; A64 &amp; "'!O38"),0)</f>
        <v>0</v>
      </c>
    </row>
    <row r="65" spans="1:2" ht="14.25" customHeight="1">
      <c r="A65" s="70" t="s">
        <v>29</v>
      </c>
      <c r="B65" s="33" cm="1">
        <f t="array" aca="1" ref="B65" ca="1">IFERROR(INDIRECT("'РВ " &amp; A65 &amp; "'!O38"),0)</f>
        <v>0</v>
      </c>
    </row>
    <row r="66" spans="1:2" ht="14.25" customHeight="1">
      <c r="A66" s="70" t="s">
        <v>37</v>
      </c>
      <c r="B66" s="33" cm="1">
        <f t="array" aca="1" ref="B66" ca="1">IFERROR(INDIRECT("'РВ " &amp; A66 &amp; "'!O38"),0)</f>
        <v>146608.10999999999</v>
      </c>
    </row>
    <row r="67" spans="1:2" ht="14.25" customHeight="1">
      <c r="A67" s="71" t="s">
        <v>33</v>
      </c>
      <c r="B67" s="33" cm="1">
        <f t="array" aca="1" ref="B67" ca="1">IFERROR(INDIRECT("'РВ " &amp; A67 &amp; "'!O38"),0)</f>
        <v>0</v>
      </c>
    </row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</sheetData>
  <mergeCells count="18">
    <mergeCell ref="A30:B30"/>
    <mergeCell ref="A1:G1"/>
    <mergeCell ref="I2:J2"/>
    <mergeCell ref="A18:B18"/>
    <mergeCell ref="E18:F18"/>
    <mergeCell ref="A29:B29"/>
    <mergeCell ref="K42:M42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J42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43E0-F76F-4662-82CE-96094D7F117C}">
  <dimension ref="A1:F9"/>
  <sheetViews>
    <sheetView workbookViewId="0">
      <selection sqref="A1:B1"/>
    </sheetView>
  </sheetViews>
  <sheetFormatPr defaultRowHeight="15"/>
  <cols>
    <col min="1" max="1" width="26.796875" style="2" customWidth="1"/>
    <col min="2" max="2" width="28.8984375" style="2" customWidth="1"/>
    <col min="3" max="3" width="8.796875" style="2"/>
    <col min="4" max="4" width="9.296875" style="2" customWidth="1"/>
    <col min="5" max="5" width="10.19921875" style="2" bestFit="1" customWidth="1"/>
    <col min="6" max="6" width="11.296875" style="2" customWidth="1"/>
    <col min="7" max="16384" width="8.796875" style="2"/>
  </cols>
  <sheetData>
    <row r="1" spans="1:6" ht="15.75">
      <c r="A1" s="1"/>
      <c r="B1" s="75"/>
    </row>
    <row r="3" spans="1:6" ht="21">
      <c r="A3" s="76"/>
    </row>
    <row r="4" spans="1:6">
      <c r="A4" s="21"/>
      <c r="B4" s="21"/>
      <c r="C4" s="21"/>
    </row>
    <row r="5" spans="1:6">
      <c r="A5" s="21"/>
      <c r="B5" s="21"/>
      <c r="C5" s="21"/>
    </row>
    <row r="7" spans="1:6">
      <c r="A7" s="77"/>
    </row>
    <row r="9" spans="1:6">
      <c r="E9" s="21"/>
      <c r="F9" s="21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4B07-6620-4FB9-8647-7955E90279A7}">
  <dimension ref="A3:F23"/>
  <sheetViews>
    <sheetView workbookViewId="0">
      <selection activeCell="F21" sqref="F21"/>
    </sheetView>
  </sheetViews>
  <sheetFormatPr defaultRowHeight="15"/>
  <cols>
    <col min="1" max="1" width="8.796875" style="2"/>
    <col min="2" max="2" width="28.8984375" style="2" customWidth="1"/>
    <col min="3" max="3" width="8.796875" style="2"/>
    <col min="4" max="4" width="9.296875" style="2" customWidth="1"/>
    <col min="5" max="5" width="11.8984375" style="2" customWidth="1"/>
    <col min="6" max="6" width="11.296875" style="2" customWidth="1"/>
    <col min="7" max="16384" width="8.796875" style="2"/>
  </cols>
  <sheetData>
    <row r="3" spans="1:6" ht="21">
      <c r="A3" s="76"/>
    </row>
    <row r="4" spans="1:6">
      <c r="A4" s="21"/>
      <c r="B4" s="21"/>
      <c r="C4" s="21"/>
    </row>
    <row r="5" spans="1:6">
      <c r="A5" s="21"/>
      <c r="B5" s="21"/>
      <c r="C5" s="21"/>
    </row>
    <row r="7" spans="1:6">
      <c r="A7" s="77"/>
    </row>
    <row r="9" spans="1:6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81</v>
      </c>
    </row>
    <row r="10" spans="1:6" ht="15.75" thickBot="1">
      <c r="A10" s="79"/>
      <c r="B10" s="80"/>
      <c r="C10" s="79"/>
      <c r="D10" s="81"/>
      <c r="E10" s="82"/>
      <c r="F10" s="82"/>
    </row>
    <row r="11" spans="1:6">
      <c r="A11" s="79"/>
      <c r="B11" s="83"/>
      <c r="C11" s="79"/>
      <c r="D11" s="79"/>
      <c r="E11" s="82"/>
      <c r="F11" s="82"/>
    </row>
    <row r="12" spans="1:6">
      <c r="A12" s="79"/>
      <c r="B12" s="84"/>
      <c r="C12" s="79"/>
      <c r="D12" s="79"/>
      <c r="E12" s="82"/>
      <c r="F12" s="82"/>
    </row>
    <row r="13" spans="1:6">
      <c r="A13" s="79"/>
      <c r="B13" s="80"/>
      <c r="C13" s="79"/>
      <c r="D13" s="79"/>
      <c r="E13" s="82"/>
      <c r="F13" s="82"/>
    </row>
    <row r="14" spans="1:6" ht="15.75">
      <c r="A14" s="2" t="s">
        <v>82</v>
      </c>
      <c r="E14" s="75"/>
      <c r="F14" s="85">
        <f>SUM(F10:F13)</f>
        <v>0</v>
      </c>
    </row>
    <row r="15" spans="1:6" ht="15.75">
      <c r="A15" s="2" t="s">
        <v>83</v>
      </c>
      <c r="E15" s="75"/>
      <c r="F15" s="85">
        <f>SUM(F14)</f>
        <v>0</v>
      </c>
    </row>
    <row r="16" spans="1:6" ht="15.75">
      <c r="A16" s="2" t="s">
        <v>84</v>
      </c>
      <c r="E16" s="75"/>
      <c r="F16" s="85">
        <f>SUM(F15)*1.2</f>
        <v>0</v>
      </c>
    </row>
    <row r="17" spans="1:6">
      <c r="A17" s="2" t="s">
        <v>85</v>
      </c>
      <c r="E17" s="86" t="s">
        <v>55</v>
      </c>
      <c r="F17" s="86">
        <v>15902450</v>
      </c>
    </row>
    <row r="18" spans="1:6">
      <c r="A18" s="2" t="s">
        <v>86</v>
      </c>
      <c r="E18" s="21" t="s">
        <v>57</v>
      </c>
      <c r="F18" s="86">
        <v>804000</v>
      </c>
    </row>
    <row r="19" spans="1:6">
      <c r="E19" s="21" t="s">
        <v>87</v>
      </c>
      <c r="F19" s="86">
        <v>2449440</v>
      </c>
    </row>
    <row r="20" spans="1:6">
      <c r="E20" s="2" t="s">
        <v>60</v>
      </c>
      <c r="F20" s="87">
        <v>0</v>
      </c>
    </row>
    <row r="21" spans="1:6">
      <c r="A21" s="2" t="s">
        <v>88</v>
      </c>
      <c r="D21" s="2" t="s">
        <v>89</v>
      </c>
    </row>
    <row r="23" spans="1:6">
      <c r="A23" s="2" t="s">
        <v>90</v>
      </c>
      <c r="B23" s="2" t="s">
        <v>91</v>
      </c>
      <c r="D23" s="2" t="s">
        <v>92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792C-B71B-44E6-B5EF-BF8135C2BD6A}">
  <sheetPr>
    <pageSetUpPr fitToPage="1"/>
  </sheetPr>
  <dimension ref="A1:S40"/>
  <sheetViews>
    <sheetView topLeftCell="A10" workbookViewId="0">
      <selection activeCell="J25" sqref="J25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100</v>
      </c>
      <c r="S1" s="78" t="s">
        <v>101</v>
      </c>
    </row>
    <row r="2" spans="1:19">
      <c r="M2" s="88"/>
      <c r="Q2" s="78" t="s">
        <v>102</v>
      </c>
      <c r="R2" s="78">
        <f>SUMIF($P$6:$P$36,R$1,$C6:$C36)</f>
        <v>0</v>
      </c>
      <c r="S2" s="78">
        <f>SUMIF($P$6:$P$36,S$1,$C6:$C36)</f>
        <v>0</v>
      </c>
    </row>
    <row r="3" spans="1:19" ht="21">
      <c r="A3" s="76" t="str">
        <f>"Отчет по хранению  товара  РВ " &amp; TEXT(A6,"ММММ ") &amp; YEAR(A6) &amp; " Баумана"</f>
        <v>Отчет по хранению  товара  РВ Ноябрь 2025 Баумана</v>
      </c>
      <c r="G3" s="88"/>
      <c r="M3" s="88"/>
      <c r="Q3" s="78" t="s">
        <v>95</v>
      </c>
      <c r="R3" s="78">
        <f>SUMIF($P$6:$P$36,R$1,$D6:$D36)</f>
        <v>19.350000000000001</v>
      </c>
      <c r="S3" s="78">
        <f>SUMIF($P$6:$P$36,S$1,$D6:$D36)</f>
        <v>208.97000000000003</v>
      </c>
    </row>
    <row r="4" spans="1:19">
      <c r="A4" s="202" t="s">
        <v>1</v>
      </c>
      <c r="B4" s="203"/>
      <c r="C4" s="198" t="s">
        <v>103</v>
      </c>
      <c r="D4" s="198" t="s">
        <v>104</v>
      </c>
      <c r="E4" s="198" t="s">
        <v>105</v>
      </c>
      <c r="F4" s="198" t="s">
        <v>106</v>
      </c>
      <c r="G4" s="97" t="s">
        <v>4</v>
      </c>
      <c r="H4" s="198" t="s">
        <v>7</v>
      </c>
      <c r="I4" s="198" t="s">
        <v>11</v>
      </c>
      <c r="J4" s="198" t="s">
        <v>12</v>
      </c>
      <c r="K4" s="198" t="s">
        <v>107</v>
      </c>
      <c r="L4" s="198" t="s">
        <v>108</v>
      </c>
      <c r="M4" s="223" t="s">
        <v>13</v>
      </c>
      <c r="N4" s="198" t="s">
        <v>16</v>
      </c>
      <c r="O4" s="198" t="s">
        <v>18</v>
      </c>
    </row>
    <row r="5" spans="1:19" ht="30">
      <c r="A5" s="204"/>
      <c r="B5" s="205"/>
      <c r="C5" s="199"/>
      <c r="D5" s="199"/>
      <c r="E5" s="199"/>
      <c r="F5" s="199"/>
      <c r="G5" s="98" t="s">
        <v>109</v>
      </c>
      <c r="H5" s="199"/>
      <c r="I5" s="199"/>
      <c r="J5" s="199"/>
      <c r="K5" s="199"/>
      <c r="L5" s="199"/>
      <c r="M5" s="224"/>
      <c r="N5" s="199"/>
      <c r="O5" s="199"/>
    </row>
    <row r="6" spans="1:19">
      <c r="A6" s="221">
        <v>45962</v>
      </c>
      <c r="B6" s="222"/>
      <c r="C6" s="99">
        <v>0</v>
      </c>
      <c r="D6" s="100">
        <v>40.85</v>
      </c>
      <c r="E6" s="100"/>
      <c r="F6" s="101"/>
      <c r="G6" s="89">
        <v>1448.615</v>
      </c>
      <c r="H6" s="90"/>
      <c r="I6" s="91">
        <f>IF(P6="Выходной",SUM(C6*150)*1.5,SUM(C6*150))</f>
        <v>0</v>
      </c>
      <c r="J6" s="91">
        <f>IF(P6="Выходной",SUM(D6*150)*1.5,SUM(D6*150))</f>
        <v>6127.5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21729.224999999999</v>
      </c>
      <c r="N6" s="91">
        <f>SUM(H6)*750</f>
        <v>0</v>
      </c>
      <c r="O6" s="91">
        <f>SUM(I6:N6)</f>
        <v>27856.724999999999</v>
      </c>
      <c r="P6" s="2" t="s">
        <v>101</v>
      </c>
    </row>
    <row r="7" spans="1:19">
      <c r="A7" s="221">
        <v>45963</v>
      </c>
      <c r="B7" s="222"/>
      <c r="C7" s="99">
        <v>0</v>
      </c>
      <c r="D7" s="100">
        <v>0</v>
      </c>
      <c r="E7" s="100"/>
      <c r="F7" s="101"/>
      <c r="G7" s="89">
        <f>IF(A7 ="",0,G6+C7+E7-D6-F6)</f>
        <v>1407.7650000000001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21116.475000000002</v>
      </c>
      <c r="N7" s="91">
        <f t="shared" ref="N7:N36" si="3">SUM(H7)*750</f>
        <v>0</v>
      </c>
      <c r="O7" s="91">
        <f t="shared" ref="O7:O35" si="4">SUM(I7:N7)</f>
        <v>21116.475000000002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1">
        <v>45964</v>
      </c>
      <c r="B8" s="222"/>
      <c r="C8" s="99">
        <v>0</v>
      </c>
      <c r="D8" s="100">
        <v>18</v>
      </c>
      <c r="E8" s="100"/>
      <c r="F8" s="101"/>
      <c r="G8" s="89">
        <f t="shared" ref="G8:G36" si="5">IF(A8 ="",0,G7+C8+E8-D7-F7)</f>
        <v>1407.7650000000001</v>
      </c>
      <c r="H8" s="90"/>
      <c r="I8" s="91">
        <f t="shared" si="0"/>
        <v>0</v>
      </c>
      <c r="J8" s="91">
        <f t="shared" si="1"/>
        <v>4050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21116.475000000002</v>
      </c>
      <c r="N8" s="91">
        <f t="shared" si="3"/>
        <v>0</v>
      </c>
      <c r="O8" s="91">
        <f t="shared" si="4"/>
        <v>25166.475000000002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1">
        <v>45965</v>
      </c>
      <c r="B9" s="222"/>
      <c r="C9" s="99">
        <v>0</v>
      </c>
      <c r="D9" s="100">
        <v>0</v>
      </c>
      <c r="E9" s="100"/>
      <c r="F9" s="101"/>
      <c r="G9" s="89">
        <f t="shared" si="5"/>
        <v>1389.7650000000001</v>
      </c>
      <c r="H9" s="90"/>
      <c r="I9" s="91">
        <f t="shared" si="0"/>
        <v>0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20846.475000000002</v>
      </c>
      <c r="N9" s="91">
        <f t="shared" si="3"/>
        <v>0</v>
      </c>
      <c r="O9" s="91">
        <f t="shared" si="4"/>
        <v>20846.475000000002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21">
        <v>45966</v>
      </c>
      <c r="B10" s="222"/>
      <c r="C10" s="99">
        <v>0</v>
      </c>
      <c r="D10" s="100">
        <v>8.5749999999999993</v>
      </c>
      <c r="E10" s="100"/>
      <c r="F10" s="101"/>
      <c r="G10" s="89">
        <f t="shared" si="5"/>
        <v>1389.7650000000001</v>
      </c>
      <c r="H10" s="90"/>
      <c r="I10" s="91">
        <f t="shared" si="0"/>
        <v>0</v>
      </c>
      <c r="J10" s="91">
        <f t="shared" si="1"/>
        <v>1286.25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20846.475000000002</v>
      </c>
      <c r="N10" s="91">
        <f t="shared" si="3"/>
        <v>0</v>
      </c>
      <c r="O10" s="91">
        <f t="shared" si="4"/>
        <v>22132.725000000002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1">
        <v>45967</v>
      </c>
      <c r="B11" s="222"/>
      <c r="C11" s="99">
        <v>0</v>
      </c>
      <c r="D11" s="100">
        <v>0</v>
      </c>
      <c r="E11" s="100"/>
      <c r="F11" s="101"/>
      <c r="G11" s="89">
        <f t="shared" si="5"/>
        <v>1381.19</v>
      </c>
      <c r="H11" s="90"/>
      <c r="I11" s="91">
        <f t="shared" si="0"/>
        <v>0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20717.850000000002</v>
      </c>
      <c r="N11" s="91">
        <f t="shared" si="3"/>
        <v>0</v>
      </c>
      <c r="O11" s="91">
        <f t="shared" si="4"/>
        <v>20717.850000000002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1">
        <v>45968</v>
      </c>
      <c r="B12" s="222"/>
      <c r="C12" s="99">
        <v>0</v>
      </c>
      <c r="D12" s="100">
        <v>0</v>
      </c>
      <c r="E12" s="100"/>
      <c r="F12" s="101"/>
      <c r="G12" s="89">
        <f t="shared" si="5"/>
        <v>1381.19</v>
      </c>
      <c r="H12" s="90"/>
      <c r="I12" s="91">
        <f t="shared" si="0"/>
        <v>0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20717.850000000002</v>
      </c>
      <c r="N12" s="91">
        <f t="shared" si="3"/>
        <v>0</v>
      </c>
      <c r="O12" s="91">
        <f t="shared" si="4"/>
        <v>20717.850000000002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1">
        <v>45969</v>
      </c>
      <c r="B13" s="222"/>
      <c r="C13" s="99">
        <v>0</v>
      </c>
      <c r="D13" s="100">
        <v>0</v>
      </c>
      <c r="E13" s="100"/>
      <c r="F13" s="102"/>
      <c r="G13" s="89">
        <f t="shared" si="5"/>
        <v>1381.19</v>
      </c>
      <c r="H13" s="90"/>
      <c r="I13" s="91">
        <f t="shared" si="0"/>
        <v>0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20717.850000000002</v>
      </c>
      <c r="N13" s="91">
        <f t="shared" si="3"/>
        <v>0</v>
      </c>
      <c r="O13" s="91">
        <f t="shared" si="4"/>
        <v>20717.850000000002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1">
        <v>45970</v>
      </c>
      <c r="B14" s="222"/>
      <c r="C14" s="99">
        <v>0</v>
      </c>
      <c r="D14" s="100">
        <v>0</v>
      </c>
      <c r="E14" s="100"/>
      <c r="F14" s="102"/>
      <c r="G14" s="89">
        <f t="shared" si="5"/>
        <v>1381.19</v>
      </c>
      <c r="H14" s="90"/>
      <c r="I14" s="91">
        <f t="shared" si="0"/>
        <v>0</v>
      </c>
      <c r="J14" s="91">
        <f t="shared" si="1"/>
        <v>0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20717.850000000002</v>
      </c>
      <c r="N14" s="91">
        <f t="shared" si="3"/>
        <v>0</v>
      </c>
      <c r="O14" s="91">
        <f t="shared" si="4"/>
        <v>20717.850000000002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1">
        <v>45971</v>
      </c>
      <c r="B15" s="222"/>
      <c r="C15" s="99">
        <v>0</v>
      </c>
      <c r="D15" s="100">
        <v>12.375</v>
      </c>
      <c r="E15" s="100"/>
      <c r="F15" s="101"/>
      <c r="G15" s="89">
        <f t="shared" si="5"/>
        <v>1381.19</v>
      </c>
      <c r="H15" s="90"/>
      <c r="I15" s="91">
        <f t="shared" si="0"/>
        <v>0</v>
      </c>
      <c r="J15" s="91">
        <f t="shared" si="1"/>
        <v>1856.25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20717.850000000002</v>
      </c>
      <c r="N15" s="91">
        <f t="shared" si="3"/>
        <v>0</v>
      </c>
      <c r="O15" s="91">
        <f t="shared" si="4"/>
        <v>22574.100000000002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1">
        <v>45972</v>
      </c>
      <c r="B16" s="222"/>
      <c r="C16" s="99">
        <v>0</v>
      </c>
      <c r="D16" s="100">
        <v>34.875</v>
      </c>
      <c r="E16" s="100"/>
      <c r="F16" s="101"/>
      <c r="G16" s="89">
        <f t="shared" si="5"/>
        <v>1368.8150000000001</v>
      </c>
      <c r="H16" s="90"/>
      <c r="I16" s="91">
        <f t="shared" si="0"/>
        <v>0</v>
      </c>
      <c r="J16" s="91">
        <f t="shared" si="1"/>
        <v>5231.25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20532.225000000002</v>
      </c>
      <c r="N16" s="91">
        <f t="shared" si="3"/>
        <v>0</v>
      </c>
      <c r="O16" s="91">
        <f t="shared" si="4"/>
        <v>25763.475000000002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1">
        <v>45973</v>
      </c>
      <c r="B17" s="222"/>
      <c r="C17" s="99">
        <v>0</v>
      </c>
      <c r="D17" s="100">
        <v>0</v>
      </c>
      <c r="E17" s="100"/>
      <c r="F17" s="101"/>
      <c r="G17" s="89">
        <f t="shared" si="5"/>
        <v>1333.94</v>
      </c>
      <c r="H17" s="90"/>
      <c r="I17" s="91">
        <f t="shared" si="0"/>
        <v>0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20009.100000000002</v>
      </c>
      <c r="N17" s="91">
        <f t="shared" si="3"/>
        <v>0</v>
      </c>
      <c r="O17" s="91">
        <f t="shared" si="4"/>
        <v>20009.100000000002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1">
        <v>45974</v>
      </c>
      <c r="B18" s="222"/>
      <c r="C18" s="99">
        <v>0</v>
      </c>
      <c r="D18" s="100">
        <v>37.125</v>
      </c>
      <c r="E18" s="100"/>
      <c r="F18" s="101"/>
      <c r="G18" s="89">
        <f t="shared" si="5"/>
        <v>1333.94</v>
      </c>
      <c r="H18" s="90"/>
      <c r="I18" s="91">
        <f t="shared" si="0"/>
        <v>0</v>
      </c>
      <c r="J18" s="91">
        <f t="shared" si="1"/>
        <v>5568.75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20009.100000000002</v>
      </c>
      <c r="N18" s="91">
        <f t="shared" si="3"/>
        <v>0</v>
      </c>
      <c r="O18" s="91">
        <f t="shared" si="4"/>
        <v>25577.850000000002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1">
        <v>45975</v>
      </c>
      <c r="B19" s="222"/>
      <c r="C19" s="99">
        <v>0</v>
      </c>
      <c r="D19" s="100">
        <v>0</v>
      </c>
      <c r="E19" s="100"/>
      <c r="F19" s="101"/>
      <c r="G19" s="89">
        <f t="shared" si="5"/>
        <v>1296.8150000000001</v>
      </c>
      <c r="H19" s="90"/>
      <c r="I19" s="91">
        <f t="shared" si="0"/>
        <v>0</v>
      </c>
      <c r="J19" s="91">
        <f t="shared" si="1"/>
        <v>0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19452.225000000002</v>
      </c>
      <c r="N19" s="91">
        <f t="shared" si="3"/>
        <v>0</v>
      </c>
      <c r="O19" s="91">
        <f t="shared" si="4"/>
        <v>19452.225000000002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1">
        <v>45976</v>
      </c>
      <c r="B20" s="222"/>
      <c r="C20" s="99">
        <v>0</v>
      </c>
      <c r="D20" s="100">
        <v>0</v>
      </c>
      <c r="E20" s="100"/>
      <c r="F20" s="101"/>
      <c r="G20" s="89">
        <f t="shared" si="5"/>
        <v>1296.8150000000001</v>
      </c>
      <c r="H20" s="90"/>
      <c r="I20" s="91">
        <f t="shared" si="0"/>
        <v>0</v>
      </c>
      <c r="J20" s="91">
        <f t="shared" si="1"/>
        <v>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19452.225000000002</v>
      </c>
      <c r="N20" s="91">
        <f t="shared" si="3"/>
        <v>0</v>
      </c>
      <c r="O20" s="91">
        <f t="shared" si="4"/>
        <v>19452.225000000002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1">
        <v>45977</v>
      </c>
      <c r="B21" s="222"/>
      <c r="C21" s="99">
        <v>0</v>
      </c>
      <c r="D21" s="100">
        <v>0</v>
      </c>
      <c r="E21" s="100"/>
      <c r="F21" s="101"/>
      <c r="G21" s="89">
        <f t="shared" si="5"/>
        <v>1296.8150000000001</v>
      </c>
      <c r="H21" s="90"/>
      <c r="I21" s="91">
        <f t="shared" si="0"/>
        <v>0</v>
      </c>
      <c r="J21" s="91">
        <f t="shared" si="1"/>
        <v>0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19452.225000000002</v>
      </c>
      <c r="N21" s="91">
        <f t="shared" si="3"/>
        <v>0</v>
      </c>
      <c r="O21" s="91">
        <f t="shared" si="4"/>
        <v>19452.225000000002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1">
        <v>45978</v>
      </c>
      <c r="B22" s="222"/>
      <c r="C22" s="99">
        <v>0</v>
      </c>
      <c r="D22" s="100">
        <v>0</v>
      </c>
      <c r="E22" s="100"/>
      <c r="F22" s="101"/>
      <c r="G22" s="89">
        <f t="shared" si="5"/>
        <v>1296.8150000000001</v>
      </c>
      <c r="H22" s="90"/>
      <c r="I22" s="91">
        <f t="shared" si="0"/>
        <v>0</v>
      </c>
      <c r="J22" s="91">
        <f t="shared" si="1"/>
        <v>0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19452.225000000002</v>
      </c>
      <c r="N22" s="91">
        <f t="shared" si="3"/>
        <v>0</v>
      </c>
      <c r="O22" s="91">
        <f t="shared" si="4"/>
        <v>19452.225000000002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1">
        <v>45979</v>
      </c>
      <c r="B23" s="222"/>
      <c r="C23" s="99">
        <v>0</v>
      </c>
      <c r="D23" s="100">
        <v>0</v>
      </c>
      <c r="E23" s="100"/>
      <c r="F23" s="101"/>
      <c r="G23" s="89">
        <f t="shared" si="5"/>
        <v>1296.8150000000001</v>
      </c>
      <c r="H23" s="90"/>
      <c r="I23" s="91">
        <f t="shared" si="0"/>
        <v>0</v>
      </c>
      <c r="J23" s="91">
        <f t="shared" si="1"/>
        <v>0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19452.225000000002</v>
      </c>
      <c r="N23" s="91">
        <f t="shared" si="3"/>
        <v>0</v>
      </c>
      <c r="O23" s="91">
        <f t="shared" si="4"/>
        <v>19452.225000000002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1">
        <v>45980</v>
      </c>
      <c r="B24" s="222"/>
      <c r="C24" s="99">
        <v>0</v>
      </c>
      <c r="D24" s="100">
        <v>0</v>
      </c>
      <c r="E24" s="100"/>
      <c r="F24" s="101"/>
      <c r="G24" s="89">
        <f t="shared" si="5"/>
        <v>1296.8150000000001</v>
      </c>
      <c r="H24" s="90"/>
      <c r="I24" s="91">
        <f t="shared" si="0"/>
        <v>0</v>
      </c>
      <c r="J24" s="91">
        <f t="shared" si="1"/>
        <v>0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19452.225000000002</v>
      </c>
      <c r="N24" s="91">
        <f t="shared" si="3"/>
        <v>0</v>
      </c>
      <c r="O24" s="91">
        <f t="shared" si="4"/>
        <v>19452.225000000002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1">
        <v>45981</v>
      </c>
      <c r="B25" s="222"/>
      <c r="C25" s="99">
        <v>0</v>
      </c>
      <c r="D25" s="100">
        <v>17.170000000000002</v>
      </c>
      <c r="E25" s="100"/>
      <c r="F25" s="101"/>
      <c r="G25" s="89">
        <f t="shared" si="5"/>
        <v>1296.8150000000001</v>
      </c>
      <c r="H25" s="90"/>
      <c r="I25" s="91">
        <f t="shared" si="0"/>
        <v>0</v>
      </c>
      <c r="J25" s="91">
        <f>IF(P25="Выходной",SUM(D25*150)*1.5,SUM(D25*150))-7.17*150</f>
        <v>1500.0000000000005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19452.225000000002</v>
      </c>
      <c r="N25" s="91">
        <f t="shared" si="3"/>
        <v>0</v>
      </c>
      <c r="O25" s="91">
        <f t="shared" si="4"/>
        <v>20952.225000000002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1">
        <v>45982</v>
      </c>
      <c r="B26" s="222"/>
      <c r="C26" s="99">
        <v>0</v>
      </c>
      <c r="D26" s="100">
        <v>22</v>
      </c>
      <c r="E26" s="103"/>
      <c r="F26" s="101"/>
      <c r="G26" s="89">
        <f>IF(A26 ="",0,G25+C26+E26-D25-F25)</f>
        <v>1279.645</v>
      </c>
      <c r="H26" s="90"/>
      <c r="I26" s="91">
        <f t="shared" si="0"/>
        <v>0</v>
      </c>
      <c r="J26" s="91">
        <f t="shared" si="1"/>
        <v>3300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19194.674999999999</v>
      </c>
      <c r="N26" s="91">
        <f t="shared" si="3"/>
        <v>0</v>
      </c>
      <c r="O26" s="91">
        <f t="shared" si="4"/>
        <v>22494.674999999999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1">
        <v>45983</v>
      </c>
      <c r="B27" s="222"/>
      <c r="C27" s="99">
        <v>0</v>
      </c>
      <c r="D27" s="100">
        <v>0</v>
      </c>
      <c r="E27" s="100"/>
      <c r="F27" s="102"/>
      <c r="G27" s="89">
        <f t="shared" si="5"/>
        <v>1257.645</v>
      </c>
      <c r="H27" s="90"/>
      <c r="I27" s="91">
        <f t="shared" si="0"/>
        <v>0</v>
      </c>
      <c r="J27" s="91">
        <f t="shared" si="1"/>
        <v>0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18864.674999999999</v>
      </c>
      <c r="N27" s="91">
        <f t="shared" si="3"/>
        <v>0</v>
      </c>
      <c r="O27" s="91">
        <f t="shared" si="4"/>
        <v>18864.674999999999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1">
        <v>45984</v>
      </c>
      <c r="B28" s="222"/>
      <c r="C28" s="99">
        <v>0</v>
      </c>
      <c r="D28" s="100">
        <v>0</v>
      </c>
      <c r="E28" s="100"/>
      <c r="F28" s="101"/>
      <c r="G28" s="89">
        <f t="shared" si="5"/>
        <v>1257.645</v>
      </c>
      <c r="H28" s="90"/>
      <c r="I28" s="91">
        <f t="shared" si="0"/>
        <v>0</v>
      </c>
      <c r="J28" s="91">
        <f t="shared" si="1"/>
        <v>0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18864.674999999999</v>
      </c>
      <c r="N28" s="91">
        <f t="shared" si="3"/>
        <v>0</v>
      </c>
      <c r="O28" s="91">
        <f t="shared" si="4"/>
        <v>18864.674999999999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1">
        <v>45985</v>
      </c>
      <c r="B29" s="222"/>
      <c r="C29" s="99">
        <v>0</v>
      </c>
      <c r="D29" s="100">
        <v>0</v>
      </c>
      <c r="E29" s="100"/>
      <c r="F29" s="101"/>
      <c r="G29" s="89">
        <f>IF(A29 ="",0,G28+C29+E29-D28-F28)+129</f>
        <v>1386.645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20799.674999999999</v>
      </c>
      <c r="N29" s="91">
        <f t="shared" si="3"/>
        <v>0</v>
      </c>
      <c r="O29" s="91">
        <f t="shared" si="4"/>
        <v>20799.674999999999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1">
        <v>45986</v>
      </c>
      <c r="B30" s="222"/>
      <c r="C30" s="99">
        <v>0</v>
      </c>
      <c r="D30" s="100">
        <v>0</v>
      </c>
      <c r="E30" s="100"/>
      <c r="F30" s="101"/>
      <c r="G30" s="89">
        <f>IF(A30 ="",0,G29+C30+E30-D29-F29)+45</f>
        <v>1431.645</v>
      </c>
      <c r="H30" s="90"/>
      <c r="I30" s="91">
        <f t="shared" si="0"/>
        <v>0</v>
      </c>
      <c r="J30" s="91">
        <f t="shared" si="1"/>
        <v>0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21474.674999999999</v>
      </c>
      <c r="N30" s="91">
        <f t="shared" si="3"/>
        <v>0</v>
      </c>
      <c r="O30" s="91">
        <f t="shared" si="4"/>
        <v>21474.674999999999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1">
        <v>45987</v>
      </c>
      <c r="B31" s="222"/>
      <c r="C31" s="99">
        <v>0</v>
      </c>
      <c r="D31" s="100">
        <v>11</v>
      </c>
      <c r="E31" s="100"/>
      <c r="F31" s="101"/>
      <c r="G31" s="89">
        <f t="shared" si="5"/>
        <v>1431.645</v>
      </c>
      <c r="H31" s="90"/>
      <c r="I31" s="91">
        <f t="shared" si="0"/>
        <v>0</v>
      </c>
      <c r="J31" s="91">
        <f t="shared" si="1"/>
        <v>1650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21474.674999999999</v>
      </c>
      <c r="N31" s="91">
        <f t="shared" si="3"/>
        <v>0</v>
      </c>
      <c r="O31" s="91">
        <f t="shared" si="4"/>
        <v>23124.674999999999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1">
        <v>45988</v>
      </c>
      <c r="B32" s="222"/>
      <c r="C32" s="99">
        <v>0</v>
      </c>
      <c r="D32" s="100">
        <v>0</v>
      </c>
      <c r="E32" s="100"/>
      <c r="F32" s="101"/>
      <c r="G32" s="89">
        <f t="shared" si="5"/>
        <v>1420.645</v>
      </c>
      <c r="H32" s="90"/>
      <c r="I32" s="91">
        <f t="shared" si="0"/>
        <v>0</v>
      </c>
      <c r="J32" s="91">
        <f t="shared" si="1"/>
        <v>0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21309.674999999999</v>
      </c>
      <c r="N32" s="91">
        <f t="shared" si="3"/>
        <v>0</v>
      </c>
      <c r="O32" s="91">
        <f t="shared" si="4"/>
        <v>21309.674999999999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1">
        <v>45989</v>
      </c>
      <c r="B33" s="222"/>
      <c r="C33" s="99">
        <v>0</v>
      </c>
      <c r="D33" s="100">
        <v>25</v>
      </c>
      <c r="E33" s="100"/>
      <c r="F33" s="101"/>
      <c r="G33" s="89">
        <f t="shared" si="5"/>
        <v>1420.645</v>
      </c>
      <c r="H33" s="90"/>
      <c r="I33" s="91">
        <f t="shared" si="0"/>
        <v>0</v>
      </c>
      <c r="J33" s="91">
        <f t="shared" si="1"/>
        <v>3750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21309.674999999999</v>
      </c>
      <c r="N33" s="91">
        <f t="shared" si="3"/>
        <v>0</v>
      </c>
      <c r="O33" s="91">
        <f t="shared" si="4"/>
        <v>25059.674999999999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1">
        <v>45990</v>
      </c>
      <c r="B34" s="222"/>
      <c r="C34" s="99">
        <v>0</v>
      </c>
      <c r="D34" s="100">
        <v>0</v>
      </c>
      <c r="E34" s="100"/>
      <c r="F34" s="101"/>
      <c r="G34" s="89">
        <f t="shared" si="5"/>
        <v>1395.645</v>
      </c>
      <c r="H34" s="90"/>
      <c r="I34" s="91">
        <f t="shared" si="0"/>
        <v>0</v>
      </c>
      <c r="J34" s="91">
        <f t="shared" si="1"/>
        <v>0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20934.674999999999</v>
      </c>
      <c r="N34" s="91">
        <f t="shared" si="3"/>
        <v>0</v>
      </c>
      <c r="O34" s="91">
        <f t="shared" si="4"/>
        <v>20934.674999999999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1">
        <v>45991</v>
      </c>
      <c r="B35" s="222"/>
      <c r="C35" s="99">
        <v>0</v>
      </c>
      <c r="D35" s="100">
        <v>1.35</v>
      </c>
      <c r="E35" s="89"/>
      <c r="F35" s="101"/>
      <c r="G35" s="89">
        <f t="shared" si="5"/>
        <v>1395.645</v>
      </c>
      <c r="H35" s="90"/>
      <c r="I35" s="91">
        <f t="shared" si="0"/>
        <v>0</v>
      </c>
      <c r="J35" s="91">
        <f t="shared" si="1"/>
        <v>303.75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20934.674999999999</v>
      </c>
      <c r="N35" s="91">
        <f t="shared" si="3"/>
        <v>0</v>
      </c>
      <c r="O35" s="91">
        <f t="shared" si="4"/>
        <v>21238.424999999999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1"/>
      <c r="B36" s="222"/>
      <c r="C36" s="99">
        <v>0</v>
      </c>
      <c r="D36" s="100">
        <v>0</v>
      </c>
      <c r="E36" s="89"/>
      <c r="F36" s="101"/>
      <c r="G36" s="89">
        <f t="shared" si="5"/>
        <v>0</v>
      </c>
      <c r="H36" s="90"/>
      <c r="I36" s="91">
        <f t="shared" si="0"/>
        <v>0</v>
      </c>
      <c r="J36" s="91">
        <f t="shared" si="1"/>
        <v>0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0</v>
      </c>
      <c r="N36" s="91">
        <f t="shared" si="3"/>
        <v>0</v>
      </c>
      <c r="O36" s="91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0</v>
      </c>
      <c r="D37" s="92">
        <f t="shared" ref="D37:O37" si="7">SUM(D6:D36)</f>
        <v>228.32000000000002</v>
      </c>
      <c r="E37" s="92">
        <f t="shared" si="7"/>
        <v>0</v>
      </c>
      <c r="F37" s="92">
        <f t="shared" si="7"/>
        <v>0</v>
      </c>
      <c r="G37" s="92">
        <f t="shared" si="7"/>
        <v>40741.474999999977</v>
      </c>
      <c r="H37" s="104">
        <f t="shared" si="7"/>
        <v>0</v>
      </c>
      <c r="I37" s="93">
        <f t="shared" si="7"/>
        <v>0</v>
      </c>
      <c r="J37" s="93">
        <f t="shared" si="7"/>
        <v>34623.75</v>
      </c>
      <c r="K37" s="93">
        <f t="shared" si="7"/>
        <v>0</v>
      </c>
      <c r="L37" s="93">
        <f t="shared" si="7"/>
        <v>0</v>
      </c>
      <c r="M37" s="93">
        <f t="shared" si="7"/>
        <v>611122.125</v>
      </c>
      <c r="N37" s="93">
        <f t="shared" si="7"/>
        <v>0</v>
      </c>
      <c r="O37" s="94">
        <f t="shared" si="7"/>
        <v>645745.875</v>
      </c>
    </row>
    <row r="38" spans="1:17" ht="15.75" thickBot="1">
      <c r="G38" s="88"/>
      <c r="L38" s="16"/>
      <c r="M38" s="88"/>
      <c r="N38" s="104" t="s">
        <v>110</v>
      </c>
      <c r="O38" s="95">
        <f>O37*1.2</f>
        <v>774895.04999999993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conditionalFormatting sqref="A6:O36">
    <cfRule type="expression" dxfId="2" priority="1">
      <formula>$P6="Выходной"</formula>
    </cfRule>
  </conditionalFormatting>
  <pageMargins left="0.7" right="0.7" top="0.75" bottom="0.75" header="0.3" footer="0.3"/>
  <pageSetup paperSize="9" scale="64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0F52-DC6B-44A1-8B69-D0AE59922BE7}">
  <sheetPr>
    <pageSetUpPr fitToPage="1"/>
  </sheetPr>
  <dimension ref="A1:S40"/>
  <sheetViews>
    <sheetView workbookViewId="0">
      <selection activeCell="G31" sqref="G31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0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100</v>
      </c>
      <c r="S1" s="78" t="s">
        <v>101</v>
      </c>
    </row>
    <row r="2" spans="1:19">
      <c r="M2" s="88"/>
      <c r="Q2" s="78" t="s">
        <v>102</v>
      </c>
      <c r="R2" s="78">
        <f>SUMIF($P$6:$P$36,R$1,$C6:$C36)</f>
        <v>0</v>
      </c>
      <c r="S2" s="78">
        <f>SUMIF($P$6:$P$36,S$1,$C6:$C36)</f>
        <v>0</v>
      </c>
    </row>
    <row r="3" spans="1:19" ht="21">
      <c r="A3" s="76" t="str">
        <f>"Отчет по хранению  товара  РВ " &amp; TEXT(A6,"ММММ ") &amp; YEAR(A6) &amp; " Ленина 88"</f>
        <v>Отчет по хранению  товара  РВ Ноябрь 2025 Ленина 88</v>
      </c>
      <c r="G3" s="88"/>
      <c r="M3" s="88"/>
      <c r="Q3" s="78" t="s">
        <v>95</v>
      </c>
      <c r="R3" s="78">
        <f>SUMIF($P$6:$P$36,R$1,$D6:$D36)</f>
        <v>42.75</v>
      </c>
      <c r="S3" s="78">
        <f>SUMIF($P$6:$P$36,S$1,$D6:$D36)</f>
        <v>160.85499999999999</v>
      </c>
    </row>
    <row r="4" spans="1:19">
      <c r="A4" s="202" t="s">
        <v>1</v>
      </c>
      <c r="B4" s="203"/>
      <c r="C4" s="198" t="s">
        <v>103</v>
      </c>
      <c r="D4" s="198" t="s">
        <v>104</v>
      </c>
      <c r="E4" s="198" t="s">
        <v>105</v>
      </c>
      <c r="F4" s="198" t="s">
        <v>106</v>
      </c>
      <c r="G4" s="97" t="s">
        <v>4</v>
      </c>
      <c r="H4" s="198" t="s">
        <v>7</v>
      </c>
      <c r="I4" s="198" t="s">
        <v>11</v>
      </c>
      <c r="J4" s="198" t="s">
        <v>12</v>
      </c>
      <c r="K4" s="198" t="s">
        <v>107</v>
      </c>
      <c r="L4" s="198" t="s">
        <v>108</v>
      </c>
      <c r="M4" s="223" t="s">
        <v>13</v>
      </c>
      <c r="N4" s="198" t="s">
        <v>16</v>
      </c>
      <c r="O4" s="198" t="s">
        <v>18</v>
      </c>
    </row>
    <row r="5" spans="1:19" ht="30">
      <c r="A5" s="204"/>
      <c r="B5" s="205"/>
      <c r="C5" s="199"/>
      <c r="D5" s="199"/>
      <c r="E5" s="199"/>
      <c r="F5" s="199"/>
      <c r="G5" s="98" t="s">
        <v>109</v>
      </c>
      <c r="H5" s="199"/>
      <c r="I5" s="199"/>
      <c r="J5" s="199"/>
      <c r="K5" s="199"/>
      <c r="L5" s="199"/>
      <c r="M5" s="224"/>
      <c r="N5" s="199"/>
      <c r="O5" s="199"/>
    </row>
    <row r="6" spans="1:19">
      <c r="A6" s="221">
        <v>45962</v>
      </c>
      <c r="B6" s="222"/>
      <c r="C6" s="99">
        <v>0</v>
      </c>
      <c r="D6" s="100">
        <v>44</v>
      </c>
      <c r="E6" s="100"/>
      <c r="F6" s="101"/>
      <c r="G6" s="89">
        <v>377.60500000000002</v>
      </c>
      <c r="H6" s="90"/>
      <c r="I6" s="91">
        <f>IF(P6="Выходной",SUM(C6*150)*1.5,SUM(C6*150))</f>
        <v>0</v>
      </c>
      <c r="J6" s="91">
        <f>IF(P6="Выходной",SUM(D6*150)*1.5,SUM(D6*150))</f>
        <v>6600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5664.0750000000007</v>
      </c>
      <c r="N6" s="91">
        <f>SUM(H6)*750</f>
        <v>0</v>
      </c>
      <c r="O6" s="91">
        <f>SUM(I6:N6)</f>
        <v>12264.075000000001</v>
      </c>
      <c r="P6" s="2" t="s">
        <v>101</v>
      </c>
    </row>
    <row r="7" spans="1:19">
      <c r="A7" s="221">
        <v>45963</v>
      </c>
      <c r="B7" s="222"/>
      <c r="C7" s="99">
        <v>0</v>
      </c>
      <c r="D7" s="100">
        <v>0</v>
      </c>
      <c r="E7" s="100"/>
      <c r="F7" s="101"/>
      <c r="G7" s="89">
        <f>IF(A7 ="",0,G6+C7+E7-D6-F6)</f>
        <v>333.60500000000002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5004.0750000000007</v>
      </c>
      <c r="N7" s="91">
        <f t="shared" ref="N7:N36" si="3">SUM(H7)*750</f>
        <v>0</v>
      </c>
      <c r="O7" s="91">
        <f t="shared" ref="O7:O35" si="4">SUM(I7:N7)</f>
        <v>5004.0750000000007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1">
        <v>45964</v>
      </c>
      <c r="B8" s="222"/>
      <c r="C8" s="99">
        <v>0</v>
      </c>
      <c r="D8" s="100">
        <v>0</v>
      </c>
      <c r="E8" s="100"/>
      <c r="F8" s="101"/>
      <c r="G8" s="89">
        <f t="shared" ref="G8:G36" si="5">IF(A8 ="",0,G7+C8+E8-D7-F7)</f>
        <v>333.60500000000002</v>
      </c>
      <c r="H8" s="90"/>
      <c r="I8" s="91">
        <f t="shared" si="0"/>
        <v>0</v>
      </c>
      <c r="J8" s="91">
        <f t="shared" si="1"/>
        <v>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5004.0750000000007</v>
      </c>
      <c r="N8" s="91">
        <f t="shared" si="3"/>
        <v>0</v>
      </c>
      <c r="O8" s="91">
        <f t="shared" si="4"/>
        <v>5004.0750000000007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1">
        <v>45965</v>
      </c>
      <c r="B9" s="222"/>
      <c r="C9" s="99">
        <v>0</v>
      </c>
      <c r="D9" s="100">
        <v>0</v>
      </c>
      <c r="E9" s="100"/>
      <c r="F9" s="101"/>
      <c r="G9" s="89">
        <f t="shared" si="5"/>
        <v>333.60500000000002</v>
      </c>
      <c r="H9" s="90"/>
      <c r="I9" s="91">
        <f t="shared" si="0"/>
        <v>0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5004.0750000000007</v>
      </c>
      <c r="N9" s="91">
        <f t="shared" si="3"/>
        <v>0</v>
      </c>
      <c r="O9" s="91">
        <f t="shared" si="4"/>
        <v>5004.0750000000007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21">
        <v>45966</v>
      </c>
      <c r="B10" s="222"/>
      <c r="C10" s="99">
        <v>0</v>
      </c>
      <c r="D10" s="100">
        <v>0</v>
      </c>
      <c r="E10" s="100"/>
      <c r="F10" s="101"/>
      <c r="G10" s="89">
        <f t="shared" si="5"/>
        <v>333.60500000000002</v>
      </c>
      <c r="H10" s="90"/>
      <c r="I10" s="91">
        <f t="shared" si="0"/>
        <v>0</v>
      </c>
      <c r="J10" s="91">
        <f t="shared" si="1"/>
        <v>0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5004.0750000000007</v>
      </c>
      <c r="N10" s="91">
        <f t="shared" si="3"/>
        <v>0</v>
      </c>
      <c r="O10" s="91">
        <f t="shared" si="4"/>
        <v>5004.0750000000007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1">
        <v>45967</v>
      </c>
      <c r="B11" s="222"/>
      <c r="C11" s="99">
        <v>0</v>
      </c>
      <c r="D11" s="100">
        <v>0</v>
      </c>
      <c r="E11" s="100"/>
      <c r="F11" s="101"/>
      <c r="G11" s="89">
        <f t="shared" si="5"/>
        <v>333.60500000000002</v>
      </c>
      <c r="H11" s="90"/>
      <c r="I11" s="91">
        <f t="shared" si="0"/>
        <v>0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5004.0750000000007</v>
      </c>
      <c r="N11" s="91">
        <f t="shared" si="3"/>
        <v>0</v>
      </c>
      <c r="O11" s="91">
        <f t="shared" si="4"/>
        <v>5004.0750000000007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1">
        <v>45968</v>
      </c>
      <c r="B12" s="222"/>
      <c r="C12" s="99">
        <v>0</v>
      </c>
      <c r="D12" s="100">
        <v>0</v>
      </c>
      <c r="E12" s="100"/>
      <c r="F12" s="101"/>
      <c r="G12" s="89">
        <f t="shared" si="5"/>
        <v>333.60500000000002</v>
      </c>
      <c r="H12" s="90"/>
      <c r="I12" s="91">
        <f t="shared" si="0"/>
        <v>0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5004.0750000000007</v>
      </c>
      <c r="N12" s="91">
        <f t="shared" si="3"/>
        <v>0</v>
      </c>
      <c r="O12" s="91">
        <f t="shared" si="4"/>
        <v>5004.0750000000007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1">
        <v>45969</v>
      </c>
      <c r="B13" s="222"/>
      <c r="C13" s="99">
        <v>0</v>
      </c>
      <c r="D13" s="100">
        <v>0</v>
      </c>
      <c r="E13" s="100"/>
      <c r="F13" s="102"/>
      <c r="G13" s="89">
        <f t="shared" si="5"/>
        <v>333.60500000000002</v>
      </c>
      <c r="H13" s="90"/>
      <c r="I13" s="91">
        <f t="shared" si="0"/>
        <v>0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5004.0750000000007</v>
      </c>
      <c r="N13" s="91">
        <f t="shared" si="3"/>
        <v>0</v>
      </c>
      <c r="O13" s="91">
        <f t="shared" si="4"/>
        <v>5004.0750000000007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1">
        <v>45970</v>
      </c>
      <c r="B14" s="222"/>
      <c r="C14" s="99">
        <v>0</v>
      </c>
      <c r="D14" s="100">
        <v>42.75</v>
      </c>
      <c r="E14" s="100"/>
      <c r="F14" s="102"/>
      <c r="G14" s="89">
        <f t="shared" si="5"/>
        <v>333.60500000000002</v>
      </c>
      <c r="H14" s="90"/>
      <c r="I14" s="91">
        <f t="shared" si="0"/>
        <v>0</v>
      </c>
      <c r="J14" s="91">
        <f t="shared" si="1"/>
        <v>9618.75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5004.0750000000007</v>
      </c>
      <c r="N14" s="91">
        <f t="shared" si="3"/>
        <v>0</v>
      </c>
      <c r="O14" s="91">
        <f t="shared" si="4"/>
        <v>14622.825000000001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1">
        <v>45971</v>
      </c>
      <c r="B15" s="222"/>
      <c r="C15" s="99">
        <v>0</v>
      </c>
      <c r="D15" s="100">
        <v>64.75</v>
      </c>
      <c r="E15" s="100"/>
      <c r="F15" s="101"/>
      <c r="G15" s="89">
        <f t="shared" si="5"/>
        <v>290.85500000000002</v>
      </c>
      <c r="H15" s="90"/>
      <c r="I15" s="91">
        <f t="shared" si="0"/>
        <v>0</v>
      </c>
      <c r="J15" s="91">
        <f t="shared" si="1"/>
        <v>9712.5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4362.8250000000007</v>
      </c>
      <c r="N15" s="91">
        <f t="shared" si="3"/>
        <v>0</v>
      </c>
      <c r="O15" s="91">
        <f t="shared" si="4"/>
        <v>14075.325000000001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1">
        <v>45972</v>
      </c>
      <c r="B16" s="222"/>
      <c r="C16" s="99">
        <v>0</v>
      </c>
      <c r="D16" s="100">
        <v>7.875</v>
      </c>
      <c r="E16" s="100"/>
      <c r="F16" s="101"/>
      <c r="G16" s="89">
        <f t="shared" si="5"/>
        <v>226.10500000000002</v>
      </c>
      <c r="H16" s="90"/>
      <c r="I16" s="91">
        <f t="shared" si="0"/>
        <v>0</v>
      </c>
      <c r="J16" s="91">
        <f t="shared" si="1"/>
        <v>1181.25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3391.5750000000003</v>
      </c>
      <c r="N16" s="91">
        <f t="shared" si="3"/>
        <v>0</v>
      </c>
      <c r="O16" s="91">
        <f t="shared" si="4"/>
        <v>4572.8250000000007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1">
        <v>45973</v>
      </c>
      <c r="B17" s="222"/>
      <c r="C17" s="99">
        <v>0</v>
      </c>
      <c r="D17" s="100">
        <v>0</v>
      </c>
      <c r="E17" s="100"/>
      <c r="F17" s="101"/>
      <c r="G17" s="89">
        <f t="shared" si="5"/>
        <v>218.23000000000002</v>
      </c>
      <c r="H17" s="90"/>
      <c r="I17" s="91">
        <f t="shared" si="0"/>
        <v>0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3273.4500000000003</v>
      </c>
      <c r="N17" s="91">
        <f t="shared" si="3"/>
        <v>0</v>
      </c>
      <c r="O17" s="91">
        <f t="shared" si="4"/>
        <v>3273.4500000000003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1">
        <v>45974</v>
      </c>
      <c r="B18" s="222"/>
      <c r="C18" s="99">
        <v>0</v>
      </c>
      <c r="D18" s="100">
        <v>0</v>
      </c>
      <c r="E18" s="100"/>
      <c r="F18" s="101"/>
      <c r="G18" s="89">
        <f t="shared" si="5"/>
        <v>218.23000000000002</v>
      </c>
      <c r="H18" s="90"/>
      <c r="I18" s="91">
        <f t="shared" si="0"/>
        <v>0</v>
      </c>
      <c r="J18" s="91">
        <f t="shared" si="1"/>
        <v>0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3273.4500000000003</v>
      </c>
      <c r="N18" s="91">
        <f t="shared" si="3"/>
        <v>0</v>
      </c>
      <c r="O18" s="91">
        <f t="shared" si="4"/>
        <v>3273.4500000000003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1">
        <v>45975</v>
      </c>
      <c r="B19" s="222"/>
      <c r="C19" s="99">
        <v>0</v>
      </c>
      <c r="D19" s="100">
        <v>22.23</v>
      </c>
      <c r="E19" s="100"/>
      <c r="F19" s="101"/>
      <c r="G19" s="89">
        <f t="shared" si="5"/>
        <v>218.23000000000002</v>
      </c>
      <c r="H19" s="90"/>
      <c r="I19" s="91">
        <f t="shared" si="0"/>
        <v>0</v>
      </c>
      <c r="J19" s="91">
        <f t="shared" si="1"/>
        <v>3334.5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3273.4500000000003</v>
      </c>
      <c r="N19" s="91">
        <f t="shared" si="3"/>
        <v>0</v>
      </c>
      <c r="O19" s="91">
        <f t="shared" si="4"/>
        <v>6607.9500000000007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1">
        <v>45976</v>
      </c>
      <c r="B20" s="222"/>
      <c r="C20" s="99">
        <v>0</v>
      </c>
      <c r="D20" s="100">
        <v>0</v>
      </c>
      <c r="E20" s="100"/>
      <c r="F20" s="101"/>
      <c r="G20" s="89">
        <f t="shared" si="5"/>
        <v>196.00000000000003</v>
      </c>
      <c r="H20" s="90"/>
      <c r="I20" s="91">
        <f t="shared" si="0"/>
        <v>0</v>
      </c>
      <c r="J20" s="91">
        <f t="shared" si="1"/>
        <v>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2940.0000000000005</v>
      </c>
      <c r="N20" s="91">
        <f t="shared" si="3"/>
        <v>0</v>
      </c>
      <c r="O20" s="91">
        <f t="shared" si="4"/>
        <v>2940.0000000000005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1">
        <v>45977</v>
      </c>
      <c r="B21" s="222"/>
      <c r="C21" s="99">
        <v>0</v>
      </c>
      <c r="D21" s="100">
        <v>0</v>
      </c>
      <c r="E21" s="100"/>
      <c r="F21" s="101"/>
      <c r="G21" s="89">
        <f t="shared" si="5"/>
        <v>196.00000000000003</v>
      </c>
      <c r="H21" s="90"/>
      <c r="I21" s="91">
        <f t="shared" si="0"/>
        <v>0</v>
      </c>
      <c r="J21" s="91">
        <f t="shared" si="1"/>
        <v>0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2940.0000000000005</v>
      </c>
      <c r="N21" s="91">
        <f t="shared" si="3"/>
        <v>0</v>
      </c>
      <c r="O21" s="91">
        <f t="shared" si="4"/>
        <v>2940.0000000000005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1">
        <v>45978</v>
      </c>
      <c r="B22" s="222"/>
      <c r="C22" s="99">
        <v>0</v>
      </c>
      <c r="D22" s="100">
        <v>22</v>
      </c>
      <c r="E22" s="100"/>
      <c r="F22" s="101"/>
      <c r="G22" s="89">
        <f t="shared" si="5"/>
        <v>196.00000000000003</v>
      </c>
      <c r="H22" s="90"/>
      <c r="I22" s="91">
        <f t="shared" si="0"/>
        <v>0</v>
      </c>
      <c r="J22" s="91">
        <f t="shared" si="1"/>
        <v>3300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2940.0000000000005</v>
      </c>
      <c r="N22" s="91">
        <f t="shared" si="3"/>
        <v>0</v>
      </c>
      <c r="O22" s="91">
        <f t="shared" si="4"/>
        <v>6240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1">
        <v>45979</v>
      </c>
      <c r="B23" s="222"/>
      <c r="C23" s="99">
        <v>0</v>
      </c>
      <c r="D23" s="100">
        <v>0</v>
      </c>
      <c r="E23" s="100"/>
      <c r="F23" s="101"/>
      <c r="G23" s="89">
        <f t="shared" si="5"/>
        <v>174.00000000000003</v>
      </c>
      <c r="H23" s="90"/>
      <c r="I23" s="91">
        <f t="shared" si="0"/>
        <v>0</v>
      </c>
      <c r="J23" s="91">
        <f t="shared" si="1"/>
        <v>0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2610.0000000000005</v>
      </c>
      <c r="N23" s="91">
        <f t="shared" si="3"/>
        <v>0</v>
      </c>
      <c r="O23" s="91">
        <f t="shared" si="4"/>
        <v>2610.0000000000005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1">
        <v>45980</v>
      </c>
      <c r="B24" s="222"/>
      <c r="C24" s="99">
        <v>0</v>
      </c>
      <c r="D24" s="100">
        <v>0</v>
      </c>
      <c r="E24" s="100"/>
      <c r="F24" s="101"/>
      <c r="G24" s="89">
        <f t="shared" si="5"/>
        <v>174.00000000000003</v>
      </c>
      <c r="H24" s="90"/>
      <c r="I24" s="91">
        <f t="shared" si="0"/>
        <v>0</v>
      </c>
      <c r="J24" s="91">
        <f t="shared" si="1"/>
        <v>0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2610.0000000000005</v>
      </c>
      <c r="N24" s="91">
        <f t="shared" si="3"/>
        <v>0</v>
      </c>
      <c r="O24" s="91">
        <f t="shared" si="4"/>
        <v>2610.0000000000005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1">
        <v>45981</v>
      </c>
      <c r="B25" s="222"/>
      <c r="C25" s="99">
        <v>0</v>
      </c>
      <c r="D25" s="100">
        <v>0</v>
      </c>
      <c r="E25" s="100"/>
      <c r="F25" s="101"/>
      <c r="G25" s="89">
        <f t="shared" si="5"/>
        <v>174.00000000000003</v>
      </c>
      <c r="H25" s="90"/>
      <c r="I25" s="91">
        <f t="shared" si="0"/>
        <v>0</v>
      </c>
      <c r="J25" s="91">
        <f t="shared" si="1"/>
        <v>0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2610.0000000000005</v>
      </c>
      <c r="N25" s="91">
        <f t="shared" si="3"/>
        <v>0</v>
      </c>
      <c r="O25" s="91">
        <f t="shared" si="4"/>
        <v>2610.0000000000005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1">
        <v>45982</v>
      </c>
      <c r="B26" s="222"/>
      <c r="C26" s="99">
        <v>0</v>
      </c>
      <c r="D26" s="100">
        <v>0</v>
      </c>
      <c r="E26" s="103"/>
      <c r="F26" s="101"/>
      <c r="G26" s="89">
        <f t="shared" si="5"/>
        <v>174.00000000000003</v>
      </c>
      <c r="H26" s="90"/>
      <c r="I26" s="91">
        <f t="shared" si="0"/>
        <v>0</v>
      </c>
      <c r="J26" s="91">
        <f t="shared" si="1"/>
        <v>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2610.0000000000005</v>
      </c>
      <c r="N26" s="91">
        <f t="shared" si="3"/>
        <v>0</v>
      </c>
      <c r="O26" s="91">
        <f t="shared" si="4"/>
        <v>2610.0000000000005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1">
        <v>45983</v>
      </c>
      <c r="B27" s="222"/>
      <c r="C27" s="99">
        <v>0</v>
      </c>
      <c r="D27" s="100">
        <v>0</v>
      </c>
      <c r="E27" s="100"/>
      <c r="F27" s="102"/>
      <c r="G27" s="89">
        <f t="shared" si="5"/>
        <v>174.00000000000003</v>
      </c>
      <c r="H27" s="90"/>
      <c r="I27" s="91">
        <f t="shared" si="0"/>
        <v>0</v>
      </c>
      <c r="J27" s="91">
        <f t="shared" si="1"/>
        <v>0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2610.0000000000005</v>
      </c>
      <c r="N27" s="91">
        <f t="shared" si="3"/>
        <v>0</v>
      </c>
      <c r="O27" s="91">
        <f t="shared" si="4"/>
        <v>2610.0000000000005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1">
        <v>45984</v>
      </c>
      <c r="B28" s="222"/>
      <c r="C28" s="99">
        <v>0</v>
      </c>
      <c r="D28" s="100">
        <v>0</v>
      </c>
      <c r="E28" s="100"/>
      <c r="F28" s="101"/>
      <c r="G28" s="89">
        <f t="shared" si="5"/>
        <v>174.00000000000003</v>
      </c>
      <c r="H28" s="90"/>
      <c r="I28" s="91">
        <f t="shared" si="0"/>
        <v>0</v>
      </c>
      <c r="J28" s="91">
        <f t="shared" si="1"/>
        <v>0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2610.0000000000005</v>
      </c>
      <c r="N28" s="91">
        <f t="shared" si="3"/>
        <v>0</v>
      </c>
      <c r="O28" s="91">
        <f t="shared" si="4"/>
        <v>2610.0000000000005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1">
        <v>45985</v>
      </c>
      <c r="B29" s="222"/>
      <c r="C29" s="99">
        <v>0</v>
      </c>
      <c r="D29" s="100">
        <v>0</v>
      </c>
      <c r="E29" s="100"/>
      <c r="F29" s="101"/>
      <c r="G29" s="89">
        <f>IF(A29 ="",0,G28+C29+E29-D28-F28)-129</f>
        <v>45.000000000000028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675.00000000000045</v>
      </c>
      <c r="N29" s="91">
        <f t="shared" si="3"/>
        <v>0</v>
      </c>
      <c r="O29" s="91">
        <f t="shared" si="4"/>
        <v>675.00000000000045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1">
        <v>45986</v>
      </c>
      <c r="B30" s="222"/>
      <c r="C30" s="99">
        <v>0</v>
      </c>
      <c r="D30" s="100">
        <v>0</v>
      </c>
      <c r="E30" s="100"/>
      <c r="F30" s="101"/>
      <c r="G30" s="89">
        <f>IF(A30 ="",0,G29+C30+E30-D29-F29)-45</f>
        <v>0</v>
      </c>
      <c r="H30" s="90"/>
      <c r="I30" s="91">
        <f t="shared" si="0"/>
        <v>0</v>
      </c>
      <c r="J30" s="91">
        <f t="shared" si="1"/>
        <v>0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0</v>
      </c>
      <c r="N30" s="91">
        <f t="shared" si="3"/>
        <v>0</v>
      </c>
      <c r="O30" s="91">
        <f t="shared" si="4"/>
        <v>0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1">
        <v>45987</v>
      </c>
      <c r="B31" s="222"/>
      <c r="C31" s="99">
        <v>0</v>
      </c>
      <c r="D31" s="100">
        <v>0</v>
      </c>
      <c r="E31" s="100"/>
      <c r="F31" s="101"/>
      <c r="G31" s="89">
        <f t="shared" si="5"/>
        <v>0</v>
      </c>
      <c r="H31" s="90"/>
      <c r="I31" s="91">
        <f t="shared" si="0"/>
        <v>0</v>
      </c>
      <c r="J31" s="91">
        <f t="shared" si="1"/>
        <v>0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0</v>
      </c>
      <c r="N31" s="91">
        <f t="shared" si="3"/>
        <v>0</v>
      </c>
      <c r="O31" s="91">
        <f t="shared" si="4"/>
        <v>0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1">
        <v>45988</v>
      </c>
      <c r="B32" s="222"/>
      <c r="C32" s="99">
        <v>0</v>
      </c>
      <c r="D32" s="100">
        <v>0</v>
      </c>
      <c r="E32" s="100"/>
      <c r="F32" s="101"/>
      <c r="G32" s="89">
        <f t="shared" si="5"/>
        <v>0</v>
      </c>
      <c r="H32" s="90"/>
      <c r="I32" s="91">
        <f t="shared" si="0"/>
        <v>0</v>
      </c>
      <c r="J32" s="91">
        <f t="shared" si="1"/>
        <v>0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0</v>
      </c>
      <c r="N32" s="91">
        <f t="shared" si="3"/>
        <v>0</v>
      </c>
      <c r="O32" s="91">
        <f t="shared" si="4"/>
        <v>0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1">
        <v>45989</v>
      </c>
      <c r="B33" s="222"/>
      <c r="C33" s="99">
        <v>0</v>
      </c>
      <c r="D33" s="100">
        <v>0</v>
      </c>
      <c r="E33" s="100"/>
      <c r="F33" s="101"/>
      <c r="G33" s="89">
        <f t="shared" si="5"/>
        <v>0</v>
      </c>
      <c r="H33" s="90"/>
      <c r="I33" s="91">
        <f t="shared" si="0"/>
        <v>0</v>
      </c>
      <c r="J33" s="91">
        <f t="shared" si="1"/>
        <v>0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0</v>
      </c>
      <c r="N33" s="91">
        <f t="shared" si="3"/>
        <v>0</v>
      </c>
      <c r="O33" s="91">
        <f t="shared" si="4"/>
        <v>0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1">
        <v>45990</v>
      </c>
      <c r="B34" s="222"/>
      <c r="C34" s="99">
        <v>0</v>
      </c>
      <c r="D34" s="100">
        <v>0</v>
      </c>
      <c r="E34" s="100"/>
      <c r="F34" s="101"/>
      <c r="G34" s="89">
        <f t="shared" si="5"/>
        <v>0</v>
      </c>
      <c r="H34" s="90"/>
      <c r="I34" s="91">
        <f t="shared" si="0"/>
        <v>0</v>
      </c>
      <c r="J34" s="91">
        <f t="shared" si="1"/>
        <v>0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0</v>
      </c>
      <c r="N34" s="91">
        <f t="shared" si="3"/>
        <v>0</v>
      </c>
      <c r="O34" s="91">
        <f t="shared" si="4"/>
        <v>0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1">
        <v>45991</v>
      </c>
      <c r="B35" s="222"/>
      <c r="C35" s="99">
        <v>0</v>
      </c>
      <c r="D35" s="100">
        <v>0</v>
      </c>
      <c r="E35" s="89"/>
      <c r="F35" s="101"/>
      <c r="G35" s="89">
        <f t="shared" si="5"/>
        <v>0</v>
      </c>
      <c r="H35" s="90"/>
      <c r="I35" s="91">
        <f t="shared" si="0"/>
        <v>0</v>
      </c>
      <c r="J35" s="91">
        <f t="shared" si="1"/>
        <v>0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0</v>
      </c>
      <c r="N35" s="91">
        <f t="shared" si="3"/>
        <v>0</v>
      </c>
      <c r="O35" s="91">
        <f t="shared" si="4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1"/>
      <c r="B36" s="222"/>
      <c r="C36" s="99">
        <v>0</v>
      </c>
      <c r="D36" s="100">
        <v>0</v>
      </c>
      <c r="E36" s="89"/>
      <c r="F36" s="101"/>
      <c r="G36" s="89">
        <f t="shared" si="5"/>
        <v>0</v>
      </c>
      <c r="H36" s="90"/>
      <c r="I36" s="91">
        <f t="shared" si="0"/>
        <v>0</v>
      </c>
      <c r="J36" s="91">
        <f t="shared" si="1"/>
        <v>0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0</v>
      </c>
      <c r="N36" s="91">
        <f t="shared" si="3"/>
        <v>0</v>
      </c>
      <c r="O36" s="91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0</v>
      </c>
      <c r="D37" s="92">
        <f t="shared" ref="D37:O37" si="7">SUM(D6:D36)</f>
        <v>203.60499999999999</v>
      </c>
      <c r="E37" s="92">
        <f t="shared" si="7"/>
        <v>0</v>
      </c>
      <c r="F37" s="92">
        <f t="shared" si="7"/>
        <v>0</v>
      </c>
      <c r="G37" s="92">
        <f t="shared" si="7"/>
        <v>5895.0950000000003</v>
      </c>
      <c r="H37" s="104">
        <f t="shared" si="7"/>
        <v>0</v>
      </c>
      <c r="I37" s="93">
        <f t="shared" si="7"/>
        <v>0</v>
      </c>
      <c r="J37" s="93">
        <f t="shared" si="7"/>
        <v>33747</v>
      </c>
      <c r="K37" s="93">
        <f t="shared" si="7"/>
        <v>0</v>
      </c>
      <c r="L37" s="93">
        <f t="shared" si="7"/>
        <v>0</v>
      </c>
      <c r="M37" s="93">
        <f t="shared" si="7"/>
        <v>88426.424999999988</v>
      </c>
      <c r="N37" s="93">
        <f t="shared" si="7"/>
        <v>0</v>
      </c>
      <c r="O37" s="94">
        <f t="shared" si="7"/>
        <v>122173.42499999999</v>
      </c>
    </row>
    <row r="38" spans="1:17" ht="15.75" thickBot="1">
      <c r="G38" s="88"/>
      <c r="L38" s="16"/>
      <c r="M38" s="88"/>
      <c r="N38" s="104" t="s">
        <v>110</v>
      </c>
      <c r="O38" s="95">
        <f>O37*1.2</f>
        <v>146608.10999999999</v>
      </c>
      <c r="Q38" s="96"/>
    </row>
    <row r="39" spans="1:17">
      <c r="G39" s="108"/>
      <c r="M39" s="88"/>
    </row>
    <row r="40" spans="1:17">
      <c r="G40" s="88"/>
      <c r="M40" s="88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conditionalFormatting sqref="C6:O36">
    <cfRule type="expression" dxfId="1" priority="1">
      <formula>$P6="Выходной"</formula>
    </cfRule>
  </conditionalFormatting>
  <pageMargins left="0.7" right="0.7" top="0.75" bottom="0.75" header="0.3" footer="0.3"/>
  <pageSetup paperSize="9" scale="6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C07D-7C90-4C6A-8FC9-753C882B9210}">
  <sheetPr>
    <pageSetUpPr fitToPage="1"/>
  </sheetPr>
  <dimension ref="A1:S40"/>
  <sheetViews>
    <sheetView workbookViewId="0">
      <selection activeCell="J11" sqref="J11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1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100</v>
      </c>
      <c r="S1" s="78" t="s">
        <v>101</v>
      </c>
    </row>
    <row r="2" spans="1:19">
      <c r="M2" s="88"/>
      <c r="Q2" s="78" t="s">
        <v>102</v>
      </c>
      <c r="R2" s="78">
        <f>SUMIF($P$6:$P$36,R$1,$C6:$C36)</f>
        <v>42</v>
      </c>
      <c r="S2" s="78">
        <f>SUMIF($P$6:$P$36,S$1,$C6:$C36)</f>
        <v>21</v>
      </c>
    </row>
    <row r="3" spans="1:19" ht="21">
      <c r="A3" s="76" t="str">
        <f>"Отчет по хранению  товара  РВ " &amp; TEXT(A6,"ММММ ") &amp; YEAR(A6) &amp; " Новикова"</f>
        <v>Отчет по хранению  товара  РВ Ноябрь 2025 Новикова</v>
      </c>
      <c r="G3" s="88"/>
      <c r="M3" s="88"/>
      <c r="Q3" s="78" t="s">
        <v>95</v>
      </c>
      <c r="R3" s="78">
        <f>SUMIF($P$6:$P$36,R$1,$D6:$D36)</f>
        <v>16.38</v>
      </c>
      <c r="S3" s="78">
        <f>SUMIF($P$6:$P$36,S$1,$D6:$D36)</f>
        <v>67.61999999999999</v>
      </c>
    </row>
    <row r="4" spans="1:19">
      <c r="A4" s="202" t="s">
        <v>1</v>
      </c>
      <c r="B4" s="203"/>
      <c r="C4" s="198" t="s">
        <v>103</v>
      </c>
      <c r="D4" s="198" t="s">
        <v>104</v>
      </c>
      <c r="E4" s="198" t="s">
        <v>105</v>
      </c>
      <c r="F4" s="198" t="s">
        <v>106</v>
      </c>
      <c r="G4" s="97" t="s">
        <v>4</v>
      </c>
      <c r="H4" s="198" t="s">
        <v>7</v>
      </c>
      <c r="I4" s="198" t="s">
        <v>11</v>
      </c>
      <c r="J4" s="198" t="s">
        <v>12</v>
      </c>
      <c r="K4" s="198" t="s">
        <v>107</v>
      </c>
      <c r="L4" s="198" t="s">
        <v>108</v>
      </c>
      <c r="M4" s="223" t="s">
        <v>13</v>
      </c>
      <c r="N4" s="198" t="s">
        <v>16</v>
      </c>
      <c r="O4" s="198" t="s">
        <v>18</v>
      </c>
    </row>
    <row r="5" spans="1:19" ht="30">
      <c r="A5" s="204"/>
      <c r="B5" s="205"/>
      <c r="C5" s="199"/>
      <c r="D5" s="199"/>
      <c r="E5" s="199"/>
      <c r="F5" s="199"/>
      <c r="G5" s="98" t="s">
        <v>109</v>
      </c>
      <c r="H5" s="199"/>
      <c r="I5" s="199"/>
      <c r="J5" s="199"/>
      <c r="K5" s="199"/>
      <c r="L5" s="199"/>
      <c r="M5" s="224"/>
      <c r="N5" s="199"/>
      <c r="O5" s="199"/>
    </row>
    <row r="6" spans="1:19">
      <c r="A6" s="221">
        <v>45962</v>
      </c>
      <c r="B6" s="222"/>
      <c r="C6" s="99">
        <v>0</v>
      </c>
      <c r="D6" s="100">
        <v>7.8250000000000002</v>
      </c>
      <c r="E6" s="100"/>
      <c r="F6" s="101"/>
      <c r="G6" s="89">
        <v>320.14499999999998</v>
      </c>
      <c r="H6" s="90"/>
      <c r="I6" s="91">
        <f>IF(P6="Выходной",SUM(C6*150)*1.5,SUM(C6*150))</f>
        <v>0</v>
      </c>
      <c r="J6" s="91">
        <f>IF(P6="Выходной",SUM(D6*150)*1.5,SUM(D6*150))</f>
        <v>1173.75</v>
      </c>
      <c r="K6" s="91">
        <f>IF(OR(WEEKDAY(A6)=1,WEEKDAY(A6)=7,NOT(ISERROR(MATCH(A6,[1]Праздники!A:A,0)))),SUM(E6*225)*1.5,SUM(E6*225))</f>
        <v>0</v>
      </c>
      <c r="L6" s="91">
        <f>IF(OR(WEEKDAY(A6)=1,WEEKDAY(A6)=7,NOT(ISERROR(MATCH(A6,[1]Праздники!A:A,0)))),SUM(F6*225)*1.5,SUM(F6*225))</f>
        <v>0</v>
      </c>
      <c r="M6" s="91">
        <f>SUM(G6*15)</f>
        <v>4802.1749999999993</v>
      </c>
      <c r="N6" s="91">
        <f>SUM(H6)*750</f>
        <v>0</v>
      </c>
      <c r="O6" s="91">
        <f>SUM(I6:N6)</f>
        <v>5975.9249999999993</v>
      </c>
      <c r="P6" s="2" t="s">
        <v>101</v>
      </c>
    </row>
    <row r="7" spans="1:19">
      <c r="A7" s="221">
        <v>45963</v>
      </c>
      <c r="B7" s="222"/>
      <c r="C7" s="99">
        <v>0</v>
      </c>
      <c r="D7" s="100">
        <v>0</v>
      </c>
      <c r="E7" s="100"/>
      <c r="F7" s="101"/>
      <c r="G7" s="89">
        <f>IF(A7 ="",0,G6+C7+E7-D6-F6)</f>
        <v>312.32</v>
      </c>
      <c r="H7" s="90"/>
      <c r="I7" s="91">
        <f t="shared" ref="I7:I36" si="0">IF(P7="Выходной",SUM(C7*150)*1.5,SUM(C7*150))</f>
        <v>0</v>
      </c>
      <c r="J7" s="91">
        <f t="shared" ref="J7:J36" si="1">IF(P7="Выходной",SUM(D7*150)*1.5,SUM(D7*150))</f>
        <v>0</v>
      </c>
      <c r="K7" s="91">
        <f>IF(OR(WEEKDAY(A7)=1,WEEKDAY(A7)=7,NOT(ISERROR(MATCH(A7,[1]Праздники!A:A,0)))),SUM(E7*225)*1.5,SUM(E7*225))</f>
        <v>0</v>
      </c>
      <c r="L7" s="91">
        <f>IF(OR(WEEKDAY(A7)=1,WEEKDAY(A7)=7,NOT(ISERROR(MATCH(A7,[1]Праздники!A:A,0)))),SUM(F7*225)*1.5,SUM(F7*225))</f>
        <v>0</v>
      </c>
      <c r="M7" s="91">
        <f t="shared" ref="M7:M36" si="2">SUM(G7*15)</f>
        <v>4684.8</v>
      </c>
      <c r="N7" s="91">
        <f t="shared" ref="N7:N36" si="3">SUM(H7)*750</f>
        <v>0</v>
      </c>
      <c r="O7" s="91">
        <f t="shared" ref="O7:O35" si="4">SUM(I7:N7)</f>
        <v>4684.8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1">
        <v>45964</v>
      </c>
      <c r="B8" s="222"/>
      <c r="C8" s="99">
        <v>0</v>
      </c>
      <c r="D8" s="100">
        <v>0</v>
      </c>
      <c r="E8" s="100"/>
      <c r="F8" s="101"/>
      <c r="G8" s="89">
        <f t="shared" ref="G8:G36" si="5">IF(A8 ="",0,G7+C8+E8-D7-F7)</f>
        <v>312.32</v>
      </c>
      <c r="H8" s="90"/>
      <c r="I8" s="91">
        <f t="shared" si="0"/>
        <v>0</v>
      </c>
      <c r="J8" s="91">
        <f t="shared" si="1"/>
        <v>0</v>
      </c>
      <c r="K8" s="91">
        <f>IF(OR(WEEKDAY(A8)=1,WEEKDAY(A8)=7,NOT(ISERROR(MATCH(A8,[1]Праздники!A:A,0)))),SUM(E8*225)*1.5,SUM(E8*225))</f>
        <v>0</v>
      </c>
      <c r="L8" s="91">
        <f>IF(OR(WEEKDAY(A8)=1,WEEKDAY(A8)=7,NOT(ISERROR(MATCH(A8,[1]Праздники!A:A,0)))),SUM(F8*225)*1.5,SUM(F8*225))</f>
        <v>0</v>
      </c>
      <c r="M8" s="91">
        <f t="shared" si="2"/>
        <v>4684.8</v>
      </c>
      <c r="N8" s="91">
        <f t="shared" si="3"/>
        <v>0</v>
      </c>
      <c r="O8" s="91">
        <f t="shared" si="4"/>
        <v>4684.8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1">
        <v>45965</v>
      </c>
      <c r="B9" s="222"/>
      <c r="C9" s="99">
        <v>0</v>
      </c>
      <c r="D9" s="100">
        <v>0</v>
      </c>
      <c r="E9" s="100"/>
      <c r="F9" s="101"/>
      <c r="G9" s="89">
        <f t="shared" si="5"/>
        <v>312.32</v>
      </c>
      <c r="H9" s="90"/>
      <c r="I9" s="91">
        <f t="shared" si="0"/>
        <v>0</v>
      </c>
      <c r="J9" s="91">
        <f t="shared" si="1"/>
        <v>0</v>
      </c>
      <c r="K9" s="91">
        <f>IF(OR(WEEKDAY(A9)=1,WEEKDAY(A9)=7,NOT(ISERROR(MATCH(A9,[1]Праздники!A:A,0)))),SUM(E9*225)*1.5,SUM(E9*225))</f>
        <v>0</v>
      </c>
      <c r="L9" s="91">
        <f>IF(OR(WEEKDAY(A9)=1,WEEKDAY(A9)=7,NOT(ISERROR(MATCH(A9,[1]Праздники!A:A,0)))),SUM(F9*225)*1.5,SUM(F9*225))</f>
        <v>0</v>
      </c>
      <c r="M9" s="91">
        <f t="shared" si="2"/>
        <v>4684.8</v>
      </c>
      <c r="N9" s="91">
        <f t="shared" si="3"/>
        <v>0</v>
      </c>
      <c r="O9" s="91">
        <f t="shared" si="4"/>
        <v>4684.8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21">
        <v>45966</v>
      </c>
      <c r="B10" s="222"/>
      <c r="C10" s="99">
        <v>0</v>
      </c>
      <c r="D10" s="100">
        <v>13.355</v>
      </c>
      <c r="E10" s="100"/>
      <c r="F10" s="101"/>
      <c r="G10" s="89">
        <f t="shared" si="5"/>
        <v>312.32</v>
      </c>
      <c r="H10" s="90"/>
      <c r="I10" s="91">
        <f t="shared" si="0"/>
        <v>0</v>
      </c>
      <c r="J10" s="91">
        <f>IF(P10="Выходной",SUM(D10*150)*1.5,SUM(D10*150))*0</f>
        <v>0</v>
      </c>
      <c r="K10" s="91">
        <f>IF(OR(WEEKDAY(A10)=1,WEEKDAY(A10)=7,NOT(ISERROR(MATCH(A10,[1]Праздники!A:A,0)))),SUM(E10*225)*1.5,SUM(E10*225))</f>
        <v>0</v>
      </c>
      <c r="L10" s="91">
        <f>IF(OR(WEEKDAY(A10)=1,WEEKDAY(A10)=7,NOT(ISERROR(MATCH(A10,[1]Праздники!A:A,0)))),SUM(F10*225)*1.5,SUM(F10*225))</f>
        <v>0</v>
      </c>
      <c r="M10" s="91">
        <f t="shared" si="2"/>
        <v>4684.8</v>
      </c>
      <c r="N10" s="91">
        <f t="shared" si="3"/>
        <v>0</v>
      </c>
      <c r="O10" s="91">
        <f t="shared" si="4"/>
        <v>4684.8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1">
        <v>45967</v>
      </c>
      <c r="B11" s="222"/>
      <c r="C11" s="99">
        <v>0</v>
      </c>
      <c r="D11" s="100">
        <v>0</v>
      </c>
      <c r="E11" s="100"/>
      <c r="F11" s="101"/>
      <c r="G11" s="89">
        <f>IF(A11 ="",0,G10+C11+E11-D10-F10)</f>
        <v>298.96499999999997</v>
      </c>
      <c r="H11" s="90"/>
      <c r="I11" s="91">
        <f t="shared" si="0"/>
        <v>0</v>
      </c>
      <c r="J11" s="91">
        <f t="shared" si="1"/>
        <v>0</v>
      </c>
      <c r="K11" s="91">
        <f>IF(OR(WEEKDAY(A11)=1,WEEKDAY(A11)=7,NOT(ISERROR(MATCH(A11,[1]Праздники!A:A,0)))),SUM(E11*225)*1.5,SUM(E11*225))</f>
        <v>0</v>
      </c>
      <c r="L11" s="91">
        <f>IF(OR(WEEKDAY(A11)=1,WEEKDAY(A11)=7,NOT(ISERROR(MATCH(A11,[1]Праздники!A:A,0)))),SUM(F11*225)*1.5,SUM(F11*225))</f>
        <v>0</v>
      </c>
      <c r="M11" s="91">
        <f t="shared" si="2"/>
        <v>4484.4749999999995</v>
      </c>
      <c r="N11" s="91">
        <f t="shared" si="3"/>
        <v>0</v>
      </c>
      <c r="O11" s="91">
        <f t="shared" si="4"/>
        <v>4484.4749999999995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1">
        <v>45968</v>
      </c>
      <c r="B12" s="222"/>
      <c r="C12" s="99">
        <v>0</v>
      </c>
      <c r="D12" s="100">
        <v>0</v>
      </c>
      <c r="E12" s="100"/>
      <c r="F12" s="101"/>
      <c r="G12" s="89">
        <f t="shared" si="5"/>
        <v>298.96499999999997</v>
      </c>
      <c r="H12" s="90"/>
      <c r="I12" s="91">
        <f t="shared" si="0"/>
        <v>0</v>
      </c>
      <c r="J12" s="91">
        <f t="shared" si="1"/>
        <v>0</v>
      </c>
      <c r="K12" s="91">
        <f>IF(OR(WEEKDAY(A12)=1,WEEKDAY(A12)=7,NOT(ISERROR(MATCH(A12,[1]Праздники!A:A,0)))),SUM(E12*225)*1.5,SUM(E12*225))</f>
        <v>0</v>
      </c>
      <c r="L12" s="91">
        <f>IF(OR(WEEKDAY(A12)=1,WEEKDAY(A12)=7,NOT(ISERROR(MATCH(A12,[1]Праздники!A:A,0)))),SUM(F12*225)*1.5,SUM(F12*225))</f>
        <v>0</v>
      </c>
      <c r="M12" s="91">
        <f t="shared" si="2"/>
        <v>4484.4749999999995</v>
      </c>
      <c r="N12" s="91">
        <f t="shared" si="3"/>
        <v>0</v>
      </c>
      <c r="O12" s="91">
        <f t="shared" si="4"/>
        <v>4484.4749999999995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1">
        <v>45969</v>
      </c>
      <c r="B13" s="222"/>
      <c r="C13" s="99">
        <v>0</v>
      </c>
      <c r="D13" s="100">
        <v>0</v>
      </c>
      <c r="E13" s="100"/>
      <c r="F13" s="102"/>
      <c r="G13" s="89">
        <f t="shared" si="5"/>
        <v>298.96499999999997</v>
      </c>
      <c r="H13" s="90"/>
      <c r="I13" s="91">
        <f t="shared" si="0"/>
        <v>0</v>
      </c>
      <c r="J13" s="91">
        <f t="shared" si="1"/>
        <v>0</v>
      </c>
      <c r="K13" s="91">
        <f>IF(OR(WEEKDAY(A13)=1,WEEKDAY(A13)=7,NOT(ISERROR(MATCH(A13,[1]Праздники!A:A,0)))),SUM(E13*225)*1.5,SUM(E13*225))</f>
        <v>0</v>
      </c>
      <c r="L13" s="91">
        <f>IF(OR(WEEKDAY(A13)=1,WEEKDAY(A13)=7,NOT(ISERROR(MATCH(A13,[1]Праздники!A:A,0)))),SUM(F13*225)*1.5,SUM(F13*225))</f>
        <v>0</v>
      </c>
      <c r="M13" s="91">
        <f t="shared" si="2"/>
        <v>4484.4749999999995</v>
      </c>
      <c r="N13" s="91">
        <f t="shared" si="3"/>
        <v>0</v>
      </c>
      <c r="O13" s="91">
        <f t="shared" si="4"/>
        <v>4484.4749999999995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1">
        <v>45970</v>
      </c>
      <c r="B14" s="222"/>
      <c r="C14" s="99">
        <v>0</v>
      </c>
      <c r="D14" s="100">
        <v>0</v>
      </c>
      <c r="E14" s="100"/>
      <c r="F14" s="102"/>
      <c r="G14" s="89">
        <f t="shared" si="5"/>
        <v>298.96499999999997</v>
      </c>
      <c r="H14" s="90"/>
      <c r="I14" s="91">
        <f t="shared" si="0"/>
        <v>0</v>
      </c>
      <c r="J14" s="91">
        <f t="shared" si="1"/>
        <v>0</v>
      </c>
      <c r="K14" s="91">
        <f>IF(OR(WEEKDAY(A14)=1,WEEKDAY(A14)=7,NOT(ISERROR(MATCH(A14,[1]Праздники!A:A,0)))),SUM(E14*225)*1.5,SUM(E14*225))</f>
        <v>0</v>
      </c>
      <c r="L14" s="91">
        <f>IF(OR(WEEKDAY(A14)=1,WEEKDAY(A14)=7,NOT(ISERROR(MATCH(A14,[1]Праздники!A:A,0)))),SUM(F14*225)*1.5,SUM(F14*225))</f>
        <v>0</v>
      </c>
      <c r="M14" s="91">
        <f t="shared" si="2"/>
        <v>4484.4749999999995</v>
      </c>
      <c r="N14" s="91">
        <f t="shared" si="3"/>
        <v>0</v>
      </c>
      <c r="O14" s="91">
        <f t="shared" si="4"/>
        <v>4484.4749999999995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1">
        <v>45971</v>
      </c>
      <c r="B15" s="222"/>
      <c r="C15" s="99">
        <v>0</v>
      </c>
      <c r="D15" s="100">
        <v>0</v>
      </c>
      <c r="E15" s="100"/>
      <c r="F15" s="101"/>
      <c r="G15" s="89">
        <f t="shared" si="5"/>
        <v>298.96499999999997</v>
      </c>
      <c r="H15" s="90"/>
      <c r="I15" s="91">
        <f t="shared" si="0"/>
        <v>0</v>
      </c>
      <c r="J15" s="91">
        <f t="shared" si="1"/>
        <v>0</v>
      </c>
      <c r="K15" s="91">
        <f>IF(OR(WEEKDAY(A15)=1,WEEKDAY(A15)=7,NOT(ISERROR(MATCH(A15,[1]Праздники!A:A,0)))),SUM(E15*225)*1.5,SUM(E15*225))</f>
        <v>0</v>
      </c>
      <c r="L15" s="91">
        <f>IF(OR(WEEKDAY(A15)=1,WEEKDAY(A15)=7,NOT(ISERROR(MATCH(A15,[1]Праздники!A:A,0)))),SUM(F15*225)*1.5,SUM(F15*225))</f>
        <v>0</v>
      </c>
      <c r="M15" s="91">
        <f t="shared" si="2"/>
        <v>4484.4749999999995</v>
      </c>
      <c r="N15" s="91">
        <f t="shared" si="3"/>
        <v>0</v>
      </c>
      <c r="O15" s="91">
        <f t="shared" si="4"/>
        <v>4484.4749999999995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1">
        <v>45972</v>
      </c>
      <c r="B16" s="222"/>
      <c r="C16" s="99">
        <v>0</v>
      </c>
      <c r="D16" s="100">
        <v>0</v>
      </c>
      <c r="E16" s="100"/>
      <c r="F16" s="101"/>
      <c r="G16" s="89">
        <f t="shared" si="5"/>
        <v>298.96499999999997</v>
      </c>
      <c r="H16" s="90"/>
      <c r="I16" s="91">
        <f t="shared" si="0"/>
        <v>0</v>
      </c>
      <c r="J16" s="91">
        <f t="shared" si="1"/>
        <v>0</v>
      </c>
      <c r="K16" s="91">
        <f>IF(OR(WEEKDAY(A16)=1,WEEKDAY(A16)=7,NOT(ISERROR(MATCH(A16,[1]Праздники!A:A,0)))),SUM(E16*225)*1.5,SUM(E16*225))</f>
        <v>0</v>
      </c>
      <c r="L16" s="91">
        <f>IF(OR(WEEKDAY(A16)=1,WEEKDAY(A16)=7,NOT(ISERROR(MATCH(A16,[1]Праздники!A:A,0)))),SUM(F16*225)*1.5,SUM(F16*225))</f>
        <v>0</v>
      </c>
      <c r="M16" s="91">
        <f t="shared" si="2"/>
        <v>4484.4749999999995</v>
      </c>
      <c r="N16" s="91">
        <f t="shared" si="3"/>
        <v>0</v>
      </c>
      <c r="O16" s="91">
        <f t="shared" si="4"/>
        <v>4484.4749999999995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1">
        <v>45973</v>
      </c>
      <c r="B17" s="222"/>
      <c r="C17" s="99">
        <v>0</v>
      </c>
      <c r="D17" s="100">
        <v>0</v>
      </c>
      <c r="E17" s="100"/>
      <c r="F17" s="101"/>
      <c r="G17" s="89">
        <f t="shared" si="5"/>
        <v>298.96499999999997</v>
      </c>
      <c r="H17" s="90"/>
      <c r="I17" s="91">
        <f t="shared" si="0"/>
        <v>0</v>
      </c>
      <c r="J17" s="91">
        <f t="shared" si="1"/>
        <v>0</v>
      </c>
      <c r="K17" s="91">
        <f>IF(OR(WEEKDAY(A17)=1,WEEKDAY(A17)=7,NOT(ISERROR(MATCH(A17,[1]Праздники!A:A,0)))),SUM(E17*225)*1.5,SUM(E17*225))</f>
        <v>0</v>
      </c>
      <c r="L17" s="91">
        <f>IF(OR(WEEKDAY(A17)=1,WEEKDAY(A17)=7,NOT(ISERROR(MATCH(A17,[1]Праздники!A:A,0)))),SUM(F17*225)*1.5,SUM(F17*225))</f>
        <v>0</v>
      </c>
      <c r="M17" s="91">
        <f t="shared" si="2"/>
        <v>4484.4749999999995</v>
      </c>
      <c r="N17" s="91">
        <f t="shared" si="3"/>
        <v>0</v>
      </c>
      <c r="O17" s="91">
        <f t="shared" si="4"/>
        <v>4484.4749999999995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1">
        <v>45974</v>
      </c>
      <c r="B18" s="222"/>
      <c r="C18" s="99">
        <v>0</v>
      </c>
      <c r="D18" s="100">
        <v>0</v>
      </c>
      <c r="E18" s="100"/>
      <c r="F18" s="101"/>
      <c r="G18" s="89">
        <f t="shared" si="5"/>
        <v>298.96499999999997</v>
      </c>
      <c r="H18" s="90"/>
      <c r="I18" s="91">
        <f t="shared" si="0"/>
        <v>0</v>
      </c>
      <c r="J18" s="91">
        <f t="shared" si="1"/>
        <v>0</v>
      </c>
      <c r="K18" s="91">
        <f>IF(OR(WEEKDAY(A18)=1,WEEKDAY(A18)=7,NOT(ISERROR(MATCH(A18,[1]Праздники!A:A,0)))),SUM(E18*225)*1.5,SUM(E18*225))</f>
        <v>0</v>
      </c>
      <c r="L18" s="91">
        <f>IF(OR(WEEKDAY(A18)=1,WEEKDAY(A18)=7,NOT(ISERROR(MATCH(A18,[1]Праздники!A:A,0)))),SUM(F18*225)*1.5,SUM(F18*225))</f>
        <v>0</v>
      </c>
      <c r="M18" s="91">
        <f t="shared" si="2"/>
        <v>4484.4749999999995</v>
      </c>
      <c r="N18" s="91">
        <f t="shared" si="3"/>
        <v>0</v>
      </c>
      <c r="O18" s="91">
        <f t="shared" si="4"/>
        <v>4484.4749999999995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1">
        <v>45975</v>
      </c>
      <c r="B19" s="222"/>
      <c r="C19" s="99">
        <v>0</v>
      </c>
      <c r="D19" s="100">
        <v>21.89</v>
      </c>
      <c r="E19" s="100"/>
      <c r="F19" s="101"/>
      <c r="G19" s="89">
        <f t="shared" si="5"/>
        <v>298.96499999999997</v>
      </c>
      <c r="H19" s="90"/>
      <c r="I19" s="91">
        <f t="shared" si="0"/>
        <v>0</v>
      </c>
      <c r="J19" s="91">
        <f t="shared" si="1"/>
        <v>3283.5</v>
      </c>
      <c r="K19" s="91">
        <f>IF(OR(WEEKDAY(A19)=1,WEEKDAY(A19)=7,NOT(ISERROR(MATCH(A19,[1]Праздники!A:A,0)))),SUM(E19*225)*1.5,SUM(E19*225))</f>
        <v>0</v>
      </c>
      <c r="L19" s="91">
        <f>IF(OR(WEEKDAY(A19)=1,WEEKDAY(A19)=7,NOT(ISERROR(MATCH(A19,[1]Праздники!A:A,0)))),SUM(F19*225)*1.5,SUM(F19*225))</f>
        <v>0</v>
      </c>
      <c r="M19" s="91">
        <f t="shared" si="2"/>
        <v>4484.4749999999995</v>
      </c>
      <c r="N19" s="91">
        <f t="shared" si="3"/>
        <v>0</v>
      </c>
      <c r="O19" s="91">
        <f t="shared" si="4"/>
        <v>7767.9749999999995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1">
        <v>45976</v>
      </c>
      <c r="B20" s="222"/>
      <c r="C20" s="99">
        <v>0</v>
      </c>
      <c r="D20" s="100">
        <v>0</v>
      </c>
      <c r="E20" s="100"/>
      <c r="F20" s="101"/>
      <c r="G20" s="89">
        <f t="shared" si="5"/>
        <v>277.07499999999999</v>
      </c>
      <c r="H20" s="90"/>
      <c r="I20" s="91">
        <f t="shared" si="0"/>
        <v>0</v>
      </c>
      <c r="J20" s="91">
        <f t="shared" si="1"/>
        <v>0</v>
      </c>
      <c r="K20" s="91">
        <f>IF(OR(WEEKDAY(A20)=1,WEEKDAY(A20)=7,NOT(ISERROR(MATCH(A20,[1]Праздники!A:A,0)))),SUM(E20*225)*1.5,SUM(E20*225))</f>
        <v>0</v>
      </c>
      <c r="L20" s="91">
        <f>IF(OR(WEEKDAY(A20)=1,WEEKDAY(A20)=7,NOT(ISERROR(MATCH(A20,[1]Праздники!A:A,0)))),SUM(F20*225)*1.5,SUM(F20*225))</f>
        <v>0</v>
      </c>
      <c r="M20" s="91">
        <f t="shared" si="2"/>
        <v>4156.125</v>
      </c>
      <c r="N20" s="91">
        <f t="shared" si="3"/>
        <v>0</v>
      </c>
      <c r="O20" s="91">
        <f t="shared" si="4"/>
        <v>4156.125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1">
        <v>45977</v>
      </c>
      <c r="B21" s="222"/>
      <c r="C21" s="99">
        <v>0</v>
      </c>
      <c r="D21" s="100">
        <v>0</v>
      </c>
      <c r="E21" s="100"/>
      <c r="F21" s="101"/>
      <c r="G21" s="89">
        <f t="shared" si="5"/>
        <v>277.07499999999999</v>
      </c>
      <c r="H21" s="90"/>
      <c r="I21" s="91">
        <f t="shared" si="0"/>
        <v>0</v>
      </c>
      <c r="J21" s="91">
        <f t="shared" si="1"/>
        <v>0</v>
      </c>
      <c r="K21" s="91">
        <f>IF(OR(WEEKDAY(A21)=1,WEEKDAY(A21)=7,NOT(ISERROR(MATCH(A21,[1]Праздники!A:A,0)))),SUM(E21*225)*1.5,SUM(E21*225))</f>
        <v>0</v>
      </c>
      <c r="L21" s="91">
        <f>IF(OR(WEEKDAY(A21)=1,WEEKDAY(A21)=7,NOT(ISERROR(MATCH(A21,[1]Праздники!A:A,0)))),SUM(F21*225)*1.5,SUM(F21*225))</f>
        <v>0</v>
      </c>
      <c r="M21" s="91">
        <f t="shared" si="2"/>
        <v>4156.125</v>
      </c>
      <c r="N21" s="91">
        <f t="shared" si="3"/>
        <v>0</v>
      </c>
      <c r="O21" s="91">
        <f t="shared" si="4"/>
        <v>4156.125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1">
        <v>45978</v>
      </c>
      <c r="B22" s="222"/>
      <c r="C22" s="99">
        <v>0</v>
      </c>
      <c r="D22" s="100">
        <v>0</v>
      </c>
      <c r="E22" s="100"/>
      <c r="F22" s="101"/>
      <c r="G22" s="89">
        <f t="shared" si="5"/>
        <v>277.07499999999999</v>
      </c>
      <c r="H22" s="90"/>
      <c r="I22" s="91">
        <f t="shared" si="0"/>
        <v>0</v>
      </c>
      <c r="J22" s="91">
        <f t="shared" si="1"/>
        <v>0</v>
      </c>
      <c r="K22" s="91">
        <f>IF(OR(WEEKDAY(A22)=1,WEEKDAY(A22)=7,NOT(ISERROR(MATCH(A22,[1]Праздники!A:A,0)))),SUM(E22*225)*1.5,SUM(E22*225))</f>
        <v>0</v>
      </c>
      <c r="L22" s="91">
        <f>IF(OR(WEEKDAY(A22)=1,WEEKDAY(A22)=7,NOT(ISERROR(MATCH(A22,[1]Праздники!A:A,0)))),SUM(F22*225)*1.5,SUM(F22*225))</f>
        <v>0</v>
      </c>
      <c r="M22" s="91">
        <f t="shared" si="2"/>
        <v>4156.125</v>
      </c>
      <c r="N22" s="91">
        <f t="shared" si="3"/>
        <v>0</v>
      </c>
      <c r="O22" s="91">
        <f t="shared" si="4"/>
        <v>4156.125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1">
        <v>45979</v>
      </c>
      <c r="B23" s="222"/>
      <c r="C23" s="99">
        <v>0</v>
      </c>
      <c r="D23" s="100">
        <v>0</v>
      </c>
      <c r="E23" s="100"/>
      <c r="F23" s="101"/>
      <c r="G23" s="89">
        <f t="shared" si="5"/>
        <v>277.07499999999999</v>
      </c>
      <c r="H23" s="90"/>
      <c r="I23" s="91">
        <f t="shared" si="0"/>
        <v>0</v>
      </c>
      <c r="J23" s="91">
        <f t="shared" si="1"/>
        <v>0</v>
      </c>
      <c r="K23" s="91">
        <f>IF(OR(WEEKDAY(A23)=1,WEEKDAY(A23)=7,NOT(ISERROR(MATCH(A23,[1]Праздники!A:A,0)))),SUM(E23*225)*1.5,SUM(E23*225))</f>
        <v>0</v>
      </c>
      <c r="L23" s="91">
        <f>IF(OR(WEEKDAY(A23)=1,WEEKDAY(A23)=7,NOT(ISERROR(MATCH(A23,[1]Праздники!A:A,0)))),SUM(F23*225)*1.5,SUM(F23*225))</f>
        <v>0</v>
      </c>
      <c r="M23" s="91">
        <f t="shared" si="2"/>
        <v>4156.125</v>
      </c>
      <c r="N23" s="91">
        <f t="shared" si="3"/>
        <v>0</v>
      </c>
      <c r="O23" s="91">
        <f t="shared" si="4"/>
        <v>4156.125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1">
        <v>45980</v>
      </c>
      <c r="B24" s="222"/>
      <c r="C24" s="99">
        <v>0</v>
      </c>
      <c r="D24" s="100">
        <v>0</v>
      </c>
      <c r="E24" s="100"/>
      <c r="F24" s="101"/>
      <c r="G24" s="89">
        <f t="shared" si="5"/>
        <v>277.07499999999999</v>
      </c>
      <c r="H24" s="90"/>
      <c r="I24" s="91">
        <f t="shared" si="0"/>
        <v>0</v>
      </c>
      <c r="J24" s="91">
        <f t="shared" si="1"/>
        <v>0</v>
      </c>
      <c r="K24" s="91">
        <f>IF(OR(WEEKDAY(A24)=1,WEEKDAY(A24)=7,NOT(ISERROR(MATCH(A24,[1]Праздники!A:A,0)))),SUM(E24*225)*1.5,SUM(E24*225))</f>
        <v>0</v>
      </c>
      <c r="L24" s="91">
        <f>IF(OR(WEEKDAY(A24)=1,WEEKDAY(A24)=7,NOT(ISERROR(MATCH(A24,[1]Праздники!A:A,0)))),SUM(F24*225)*1.5,SUM(F24*225))</f>
        <v>0</v>
      </c>
      <c r="M24" s="91">
        <f t="shared" si="2"/>
        <v>4156.125</v>
      </c>
      <c r="N24" s="91">
        <f t="shared" si="3"/>
        <v>0</v>
      </c>
      <c r="O24" s="91">
        <f t="shared" si="4"/>
        <v>4156.125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1">
        <v>45981</v>
      </c>
      <c r="B25" s="222"/>
      <c r="C25" s="99">
        <v>0</v>
      </c>
      <c r="D25" s="100">
        <v>0</v>
      </c>
      <c r="E25" s="100"/>
      <c r="F25" s="101"/>
      <c r="G25" s="89">
        <f t="shared" si="5"/>
        <v>277.07499999999999</v>
      </c>
      <c r="H25" s="90"/>
      <c r="I25" s="91">
        <f t="shared" si="0"/>
        <v>0</v>
      </c>
      <c r="J25" s="91">
        <f t="shared" si="1"/>
        <v>0</v>
      </c>
      <c r="K25" s="91">
        <f>IF(OR(WEEKDAY(A25)=1,WEEKDAY(A25)=7,NOT(ISERROR(MATCH(A25,[1]Праздники!A:A,0)))),SUM(E25*225)*1.5,SUM(E25*225))</f>
        <v>0</v>
      </c>
      <c r="L25" s="91">
        <f>IF(OR(WEEKDAY(A25)=1,WEEKDAY(A25)=7,NOT(ISERROR(MATCH(A25,[1]Праздники!A:A,0)))),SUM(F25*225)*1.5,SUM(F25*225))</f>
        <v>0</v>
      </c>
      <c r="M25" s="91">
        <f t="shared" si="2"/>
        <v>4156.125</v>
      </c>
      <c r="N25" s="91">
        <f t="shared" si="3"/>
        <v>0</v>
      </c>
      <c r="O25" s="91">
        <f t="shared" si="4"/>
        <v>4156.125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1">
        <v>45982</v>
      </c>
      <c r="B26" s="222"/>
      <c r="C26" s="99">
        <v>0</v>
      </c>
      <c r="D26" s="100">
        <v>0</v>
      </c>
      <c r="E26" s="103"/>
      <c r="F26" s="101"/>
      <c r="G26" s="89">
        <f t="shared" si="5"/>
        <v>277.07499999999999</v>
      </c>
      <c r="H26" s="90"/>
      <c r="I26" s="91">
        <f t="shared" si="0"/>
        <v>0</v>
      </c>
      <c r="J26" s="91">
        <f t="shared" si="1"/>
        <v>0</v>
      </c>
      <c r="K26" s="91">
        <f>IF(OR(WEEKDAY(A26)=1,WEEKDAY(A26)=7,NOT(ISERROR(MATCH(A26,[1]Праздники!A:A,0)))),SUM(E26*225)*1.5,SUM(E26*225))</f>
        <v>0</v>
      </c>
      <c r="L26" s="91">
        <f>IF(OR(WEEKDAY(A26)=1,WEEKDAY(A26)=7,NOT(ISERROR(MATCH(A26,[1]Праздники!A:A,0)))),SUM(F26*225)*1.5,SUM(F26*225))</f>
        <v>0</v>
      </c>
      <c r="M26" s="91">
        <f t="shared" si="2"/>
        <v>4156.125</v>
      </c>
      <c r="N26" s="91">
        <f t="shared" si="3"/>
        <v>0</v>
      </c>
      <c r="O26" s="91">
        <f t="shared" si="4"/>
        <v>4156.125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1">
        <v>45983</v>
      </c>
      <c r="B27" s="222"/>
      <c r="C27" s="99">
        <v>0</v>
      </c>
      <c r="D27" s="100">
        <v>0</v>
      </c>
      <c r="E27" s="100"/>
      <c r="F27" s="102"/>
      <c r="G27" s="89">
        <f t="shared" si="5"/>
        <v>277.07499999999999</v>
      </c>
      <c r="H27" s="90"/>
      <c r="I27" s="91">
        <f t="shared" si="0"/>
        <v>0</v>
      </c>
      <c r="J27" s="91">
        <f t="shared" si="1"/>
        <v>0</v>
      </c>
      <c r="K27" s="91">
        <f>IF(OR(WEEKDAY(A27)=1,WEEKDAY(A27)=7,NOT(ISERROR(MATCH(A27,[1]Праздники!A:A,0)))),SUM(E27*225)*1.5,SUM(E27*225))</f>
        <v>0</v>
      </c>
      <c r="L27" s="91">
        <f>IF(OR(WEEKDAY(A27)=1,WEEKDAY(A27)=7,NOT(ISERROR(MATCH(A27,[1]Праздники!A:A,0)))),SUM(F27*225)*1.5,SUM(F27*225))</f>
        <v>0</v>
      </c>
      <c r="M27" s="91">
        <f t="shared" si="2"/>
        <v>4156.125</v>
      </c>
      <c r="N27" s="91">
        <f t="shared" si="3"/>
        <v>0</v>
      </c>
      <c r="O27" s="91">
        <f t="shared" si="4"/>
        <v>4156.125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1">
        <v>45984</v>
      </c>
      <c r="B28" s="222"/>
      <c r="C28" s="99">
        <v>0</v>
      </c>
      <c r="D28" s="100">
        <v>0</v>
      </c>
      <c r="E28" s="100"/>
      <c r="F28" s="101"/>
      <c r="G28" s="89">
        <f t="shared" si="5"/>
        <v>277.07499999999999</v>
      </c>
      <c r="H28" s="90"/>
      <c r="I28" s="91">
        <f t="shared" si="0"/>
        <v>0</v>
      </c>
      <c r="J28" s="91">
        <f t="shared" si="1"/>
        <v>0</v>
      </c>
      <c r="K28" s="91">
        <f>IF(OR(WEEKDAY(A28)=1,WEEKDAY(A28)=7,NOT(ISERROR(MATCH(A28,[1]Праздники!A:A,0)))),SUM(E28*225)*1.5,SUM(E28*225))</f>
        <v>0</v>
      </c>
      <c r="L28" s="91">
        <f>IF(OR(WEEKDAY(A28)=1,WEEKDAY(A28)=7,NOT(ISERROR(MATCH(A28,[1]Праздники!A:A,0)))),SUM(F28*225)*1.5,SUM(F28*225))</f>
        <v>0</v>
      </c>
      <c r="M28" s="91">
        <f t="shared" si="2"/>
        <v>4156.125</v>
      </c>
      <c r="N28" s="91">
        <f t="shared" si="3"/>
        <v>0</v>
      </c>
      <c r="O28" s="91">
        <f t="shared" si="4"/>
        <v>4156.125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1">
        <v>45985</v>
      </c>
      <c r="B29" s="222"/>
      <c r="C29" s="99">
        <v>0</v>
      </c>
      <c r="D29" s="100">
        <v>0</v>
      </c>
      <c r="E29" s="100"/>
      <c r="F29" s="101"/>
      <c r="G29" s="89">
        <f t="shared" si="5"/>
        <v>277.07499999999999</v>
      </c>
      <c r="H29" s="90"/>
      <c r="I29" s="91">
        <f t="shared" si="0"/>
        <v>0</v>
      </c>
      <c r="J29" s="91">
        <f t="shared" si="1"/>
        <v>0</v>
      </c>
      <c r="K29" s="91">
        <f>IF(OR(WEEKDAY(A29)=1,WEEKDAY(A29)=7,NOT(ISERROR(MATCH(A29,[1]Праздники!A:A,0)))),SUM(E29*225)*1.5,SUM(E29*225))</f>
        <v>0</v>
      </c>
      <c r="L29" s="91">
        <f>IF(OR(WEEKDAY(A29)=1,WEEKDAY(A29)=7,NOT(ISERROR(MATCH(A29,[1]Праздники!A:A,0)))),SUM(F29*225)*1.5,SUM(F29*225))</f>
        <v>0</v>
      </c>
      <c r="M29" s="91">
        <f t="shared" si="2"/>
        <v>4156.125</v>
      </c>
      <c r="N29" s="91">
        <f t="shared" si="3"/>
        <v>0</v>
      </c>
      <c r="O29" s="91">
        <f t="shared" si="4"/>
        <v>4156.125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1">
        <v>45986</v>
      </c>
      <c r="B30" s="222"/>
      <c r="C30" s="99">
        <v>0</v>
      </c>
      <c r="D30" s="100">
        <v>0</v>
      </c>
      <c r="E30" s="100"/>
      <c r="F30" s="101"/>
      <c r="G30" s="89">
        <f t="shared" si="5"/>
        <v>277.07499999999999</v>
      </c>
      <c r="H30" s="90"/>
      <c r="I30" s="91">
        <f t="shared" si="0"/>
        <v>0</v>
      </c>
      <c r="J30" s="91">
        <f t="shared" si="1"/>
        <v>0</v>
      </c>
      <c r="K30" s="91">
        <f>IF(OR(WEEKDAY(A30)=1,WEEKDAY(A30)=7,NOT(ISERROR(MATCH(A30,[1]Праздники!A:A,0)))),SUM(E30*225)*1.5,SUM(E30*225))</f>
        <v>0</v>
      </c>
      <c r="L30" s="91">
        <f>IF(OR(WEEKDAY(A30)=1,WEEKDAY(A30)=7,NOT(ISERROR(MATCH(A30,[1]Праздники!A:A,0)))),SUM(F30*225)*1.5,SUM(F30*225))</f>
        <v>0</v>
      </c>
      <c r="M30" s="91">
        <f t="shared" si="2"/>
        <v>4156.125</v>
      </c>
      <c r="N30" s="91">
        <f t="shared" si="3"/>
        <v>0</v>
      </c>
      <c r="O30" s="91">
        <f t="shared" si="4"/>
        <v>4156.125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1">
        <v>45987</v>
      </c>
      <c r="B31" s="222"/>
      <c r="C31" s="99">
        <v>0</v>
      </c>
      <c r="D31" s="100">
        <v>0</v>
      </c>
      <c r="E31" s="100"/>
      <c r="F31" s="101"/>
      <c r="G31" s="89">
        <f t="shared" si="5"/>
        <v>277.07499999999999</v>
      </c>
      <c r="H31" s="90"/>
      <c r="I31" s="91">
        <f t="shared" si="0"/>
        <v>0</v>
      </c>
      <c r="J31" s="91">
        <f t="shared" si="1"/>
        <v>0</v>
      </c>
      <c r="K31" s="91">
        <f>IF(OR(WEEKDAY(A31)=1,WEEKDAY(A31)=7,NOT(ISERROR(MATCH(A31,[1]Праздники!A:A,0)))),SUM(E31*225)*1.5,SUM(E31*225))</f>
        <v>0</v>
      </c>
      <c r="L31" s="91">
        <f>IF(OR(WEEKDAY(A31)=1,WEEKDAY(A31)=7,NOT(ISERROR(MATCH(A31,[1]Праздники!A:A,0)))),SUM(F31*225)*1.5,SUM(F31*225))</f>
        <v>0</v>
      </c>
      <c r="M31" s="91">
        <f t="shared" si="2"/>
        <v>4156.125</v>
      </c>
      <c r="N31" s="91">
        <f t="shared" si="3"/>
        <v>0</v>
      </c>
      <c r="O31" s="91">
        <f t="shared" si="4"/>
        <v>4156.125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1">
        <v>45988</v>
      </c>
      <c r="B32" s="222"/>
      <c r="C32" s="99">
        <v>0</v>
      </c>
      <c r="D32" s="100">
        <v>22.23</v>
      </c>
      <c r="E32" s="100"/>
      <c r="F32" s="101"/>
      <c r="G32" s="89">
        <f t="shared" si="5"/>
        <v>277.07499999999999</v>
      </c>
      <c r="H32" s="90"/>
      <c r="I32" s="91">
        <f t="shared" si="0"/>
        <v>0</v>
      </c>
      <c r="J32" s="91">
        <f t="shared" si="1"/>
        <v>3334.5</v>
      </c>
      <c r="K32" s="91">
        <f>IF(OR(WEEKDAY(A32)=1,WEEKDAY(A32)=7,NOT(ISERROR(MATCH(A32,[1]Праздники!A:A,0)))),SUM(E32*225)*1.5,SUM(E32*225))</f>
        <v>0</v>
      </c>
      <c r="L32" s="91">
        <f>IF(OR(WEEKDAY(A32)=1,WEEKDAY(A32)=7,NOT(ISERROR(MATCH(A32,[1]Праздники!A:A,0)))),SUM(F32*225)*1.5,SUM(F32*225))</f>
        <v>0</v>
      </c>
      <c r="M32" s="91">
        <f t="shared" si="2"/>
        <v>4156.125</v>
      </c>
      <c r="N32" s="91">
        <f t="shared" si="3"/>
        <v>0</v>
      </c>
      <c r="O32" s="91">
        <f t="shared" si="4"/>
        <v>7490.625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1">
        <v>45989</v>
      </c>
      <c r="B33" s="222"/>
      <c r="C33" s="99">
        <v>21</v>
      </c>
      <c r="D33" s="100">
        <v>2.3199999999999998</v>
      </c>
      <c r="E33" s="100"/>
      <c r="F33" s="101"/>
      <c r="G33" s="89">
        <f t="shared" si="5"/>
        <v>275.84499999999997</v>
      </c>
      <c r="H33" s="90"/>
      <c r="I33" s="91">
        <f t="shared" si="0"/>
        <v>3150</v>
      </c>
      <c r="J33" s="91">
        <f t="shared" si="1"/>
        <v>348</v>
      </c>
      <c r="K33" s="91">
        <f>IF(OR(WEEKDAY(A33)=1,WEEKDAY(A33)=7,NOT(ISERROR(MATCH(A33,[1]Праздники!A:A,0)))),SUM(E33*225)*1.5,SUM(E33*225))</f>
        <v>0</v>
      </c>
      <c r="L33" s="91">
        <f>IF(OR(WEEKDAY(A33)=1,WEEKDAY(A33)=7,NOT(ISERROR(MATCH(A33,[1]Праздники!A:A,0)))),SUM(F33*225)*1.5,SUM(F33*225))</f>
        <v>0</v>
      </c>
      <c r="M33" s="91">
        <f t="shared" si="2"/>
        <v>4137.6749999999993</v>
      </c>
      <c r="N33" s="91">
        <f t="shared" si="3"/>
        <v>0</v>
      </c>
      <c r="O33" s="91">
        <f t="shared" si="4"/>
        <v>7635.6749999999993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1">
        <v>45990</v>
      </c>
      <c r="B34" s="222"/>
      <c r="C34" s="99">
        <v>42</v>
      </c>
      <c r="D34" s="100">
        <v>0</v>
      </c>
      <c r="E34" s="100"/>
      <c r="F34" s="101"/>
      <c r="G34" s="89">
        <f t="shared" si="5"/>
        <v>315.52499999999998</v>
      </c>
      <c r="H34" s="90"/>
      <c r="I34" s="91">
        <f t="shared" si="0"/>
        <v>9450</v>
      </c>
      <c r="J34" s="91">
        <f t="shared" si="1"/>
        <v>0</v>
      </c>
      <c r="K34" s="91">
        <f>IF(OR(WEEKDAY(A34)=1,WEEKDAY(A34)=7,NOT(ISERROR(MATCH(A34,[1]Праздники!A:A,0)))),SUM(E34*225)*1.5,SUM(E34*225))</f>
        <v>0</v>
      </c>
      <c r="L34" s="91">
        <f>IF(OR(WEEKDAY(A34)=1,WEEKDAY(A34)=7,NOT(ISERROR(MATCH(A34,[1]Праздники!A:A,0)))),SUM(F34*225)*1.5,SUM(F34*225))</f>
        <v>0</v>
      </c>
      <c r="M34" s="91">
        <f t="shared" si="2"/>
        <v>4732.875</v>
      </c>
      <c r="N34" s="91">
        <f t="shared" si="3"/>
        <v>0</v>
      </c>
      <c r="O34" s="91">
        <f t="shared" si="4"/>
        <v>14182.875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1">
        <v>45991</v>
      </c>
      <c r="B35" s="222"/>
      <c r="C35" s="99">
        <v>0</v>
      </c>
      <c r="D35" s="100">
        <v>16.38</v>
      </c>
      <c r="E35" s="89"/>
      <c r="F35" s="101"/>
      <c r="G35" s="89">
        <f t="shared" si="5"/>
        <v>315.52499999999998</v>
      </c>
      <c r="H35" s="90"/>
      <c r="I35" s="91">
        <f t="shared" si="0"/>
        <v>0</v>
      </c>
      <c r="J35" s="91">
        <f t="shared" si="1"/>
        <v>3685.5</v>
      </c>
      <c r="K35" s="91">
        <f>IF(OR(WEEKDAY(A35)=1,WEEKDAY(A35)=7,NOT(ISERROR(MATCH(A35,[1]Праздники!A:A,0)))),SUM(E35*225)*1.5,SUM(E35*225))</f>
        <v>0</v>
      </c>
      <c r="L35" s="91">
        <f>IF(OR(WEEKDAY(A35)=1,WEEKDAY(A35)=7,NOT(ISERROR(MATCH(A35,[1]Праздники!A:A,0)))),SUM(F35*225)*1.5,SUM(F35*225))</f>
        <v>0</v>
      </c>
      <c r="M35" s="91">
        <f t="shared" si="2"/>
        <v>4732.875</v>
      </c>
      <c r="N35" s="91">
        <f t="shared" si="3"/>
        <v>0</v>
      </c>
      <c r="O35" s="91">
        <f t="shared" si="4"/>
        <v>8418.375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1"/>
      <c r="B36" s="222"/>
      <c r="C36" s="99">
        <v>0</v>
      </c>
      <c r="D36" s="100">
        <v>0</v>
      </c>
      <c r="E36" s="89"/>
      <c r="F36" s="101"/>
      <c r="G36" s="89">
        <f t="shared" si="5"/>
        <v>0</v>
      </c>
      <c r="H36" s="90"/>
      <c r="I36" s="91">
        <f t="shared" si="0"/>
        <v>0</v>
      </c>
      <c r="J36" s="91">
        <f t="shared" si="1"/>
        <v>0</v>
      </c>
      <c r="K36" s="91">
        <f>IF(OR(WEEKDAY(A36)=1,WEEKDAY(A36)=7,NOT(ISERROR(MATCH(A36,[1]Праздники!A:A,0)))),SUM(E36*225)*1.5,SUM(E36*225))</f>
        <v>0</v>
      </c>
      <c r="L36" s="91">
        <f>IF(OR(WEEKDAY(A36)=1,WEEKDAY(A36)=7,NOT(ISERROR(MATCH(A36,[1]Праздники!A:A,0)))),SUM(F36*225)*1.5,SUM(F36*225))</f>
        <v>0</v>
      </c>
      <c r="M36" s="91">
        <f t="shared" si="2"/>
        <v>0</v>
      </c>
      <c r="N36" s="91">
        <f t="shared" si="3"/>
        <v>0</v>
      </c>
      <c r="O36" s="91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63</v>
      </c>
      <c r="D37" s="92">
        <f t="shared" ref="D37:O37" si="7">SUM(D6:D36)</f>
        <v>83.999999999999986</v>
      </c>
      <c r="E37" s="92">
        <f t="shared" si="7"/>
        <v>0</v>
      </c>
      <c r="F37" s="92">
        <f t="shared" si="7"/>
        <v>0</v>
      </c>
      <c r="G37" s="92">
        <f t="shared" si="7"/>
        <v>8768.9799999999977</v>
      </c>
      <c r="H37" s="104">
        <f t="shared" si="7"/>
        <v>0</v>
      </c>
      <c r="I37" s="93">
        <f t="shared" si="7"/>
        <v>12600</v>
      </c>
      <c r="J37" s="93">
        <f t="shared" si="7"/>
        <v>11825.25</v>
      </c>
      <c r="K37" s="93">
        <f t="shared" si="7"/>
        <v>0</v>
      </c>
      <c r="L37" s="93">
        <f t="shared" si="7"/>
        <v>0</v>
      </c>
      <c r="M37" s="93">
        <f t="shared" si="7"/>
        <v>131534.70000000001</v>
      </c>
      <c r="N37" s="93">
        <f t="shared" si="7"/>
        <v>0</v>
      </c>
      <c r="O37" s="94">
        <f t="shared" si="7"/>
        <v>155959.94999999998</v>
      </c>
    </row>
    <row r="38" spans="1:17" ht="15.75" thickBot="1">
      <c r="G38" s="88"/>
      <c r="L38" s="16"/>
      <c r="M38" s="88"/>
      <c r="N38" s="104" t="s">
        <v>110</v>
      </c>
      <c r="O38" s="95">
        <f>O37*1.2</f>
        <v>187151.93999999997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conditionalFormatting sqref="A6:O36">
    <cfRule type="expression" dxfId="0" priority="1">
      <formula>$P6="Выходной"</formula>
    </cfRule>
  </conditionalFormatting>
  <pageMargins left="0.7" right="0.7" top="0.75" bottom="0.75" header="0.3" footer="0.3"/>
  <pageSetup paperSize="9" scale="6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6827-3DDD-427C-88D5-2798D10ACC6D}">
  <dimension ref="A3:G22"/>
  <sheetViews>
    <sheetView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124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125</v>
      </c>
      <c r="B5" s="21"/>
      <c r="C5" s="21"/>
    </row>
    <row r="6" spans="1:7">
      <c r="A6" s="2" t="s">
        <v>112</v>
      </c>
    </row>
    <row r="7" spans="1:7">
      <c r="A7" s="2" t="s">
        <v>126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26</v>
      </c>
      <c r="E10" s="85">
        <v>2000</v>
      </c>
      <c r="F10" s="85">
        <f>SUM(D10*E10)</f>
        <v>52000</v>
      </c>
      <c r="G10" s="85">
        <f>F10*1.2</f>
        <v>62400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52000</v>
      </c>
      <c r="G12" s="85">
        <f>SUM(G10:G11)</f>
        <v>62400</v>
      </c>
    </row>
    <row r="13" spans="1:7">
      <c r="A13" s="21" t="s">
        <v>132</v>
      </c>
      <c r="B13" s="21" t="s">
        <v>133</v>
      </c>
      <c r="C13" s="21"/>
      <c r="D13" s="21"/>
    </row>
    <row r="14" spans="1:7">
      <c r="A14" s="21" t="s">
        <v>134</v>
      </c>
      <c r="B14" s="21" t="str">
        <f>B13</f>
        <v>пятьдесят две тысячи рублей ноль копеек</v>
      </c>
      <c r="C14" s="21"/>
      <c r="D14" s="21"/>
    </row>
    <row r="15" spans="1:7">
      <c r="A15" s="21" t="s">
        <v>84</v>
      </c>
      <c r="B15" s="21" t="s">
        <v>135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27D1-0DCC-42CD-BB41-8EF7B5C7657E}">
  <sheetPr>
    <pageSetUpPr fitToPage="1"/>
  </sheetPr>
  <dimension ref="A3:G22"/>
  <sheetViews>
    <sheetView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137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138</v>
      </c>
      <c r="B5" s="21"/>
      <c r="C5" s="21"/>
    </row>
    <row r="6" spans="1:7">
      <c r="A6" s="2" t="s">
        <v>112</v>
      </c>
    </row>
    <row r="7" spans="1:7">
      <c r="A7" s="2" t="s">
        <v>126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17</v>
      </c>
      <c r="E10" s="85">
        <v>1000</v>
      </c>
      <c r="F10" s="85">
        <f>SUM(D10*E10)</f>
        <v>17000</v>
      </c>
      <c r="G10" s="85">
        <f>F10*1.2</f>
        <v>20400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17000</v>
      </c>
      <c r="G12" s="85">
        <f>SUM(G10:G11)</f>
        <v>20400</v>
      </c>
    </row>
    <row r="13" spans="1:7">
      <c r="A13" s="21" t="s">
        <v>132</v>
      </c>
      <c r="B13" s="21" t="s">
        <v>139</v>
      </c>
      <c r="C13" s="21"/>
      <c r="D13" s="21"/>
    </row>
    <row r="14" spans="1:7">
      <c r="A14" s="21" t="s">
        <v>134</v>
      </c>
      <c r="B14" s="21" t="str">
        <f>B13</f>
        <v>Семнадцать тысяч рублей ноль копеек</v>
      </c>
      <c r="C14" s="21"/>
      <c r="D14" s="21"/>
    </row>
    <row r="15" spans="1:7">
      <c r="A15" s="21" t="s">
        <v>84</v>
      </c>
      <c r="B15" s="21" t="s">
        <v>140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scale="9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9BEA-DA95-4D64-A900-5B2DE5251C9F}">
  <sheetPr>
    <pageSetUpPr fitToPage="1"/>
  </sheetPr>
  <dimension ref="A3:G22"/>
  <sheetViews>
    <sheetView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141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125</v>
      </c>
      <c r="B5" s="21"/>
      <c r="C5" s="21"/>
    </row>
    <row r="6" spans="1:7">
      <c r="A6" s="2" t="s">
        <v>112</v>
      </c>
    </row>
    <row r="7" spans="1:7">
      <c r="A7" s="2" t="s">
        <v>126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7</v>
      </c>
      <c r="E10" s="85">
        <v>2000</v>
      </c>
      <c r="F10" s="85">
        <f>SUM(D10*E10)</f>
        <v>14000</v>
      </c>
      <c r="G10" s="85">
        <f>F10*1.2</f>
        <v>16800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14000</v>
      </c>
      <c r="G12" s="85">
        <f>SUM(G10:G11)</f>
        <v>16800</v>
      </c>
    </row>
    <row r="13" spans="1:7">
      <c r="A13" s="21" t="s">
        <v>132</v>
      </c>
      <c r="B13" s="21" t="s">
        <v>142</v>
      </c>
      <c r="C13" s="21"/>
      <c r="D13" s="21"/>
    </row>
    <row r="14" spans="1:7">
      <c r="A14" s="21" t="s">
        <v>134</v>
      </c>
      <c r="B14" s="21" t="str">
        <f>B13</f>
        <v>четырнадцать тысяч рублей ноль копеек</v>
      </c>
      <c r="C14" s="21"/>
      <c r="D14" s="21"/>
    </row>
    <row r="15" spans="1:7">
      <c r="A15" s="21" t="s">
        <v>84</v>
      </c>
      <c r="B15" s="21" t="s">
        <v>143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8422-FBEC-4491-BA00-490EB6E88F2F}">
  <dimension ref="A1:R36"/>
  <sheetViews>
    <sheetView workbookViewId="0">
      <selection activeCell="E30" sqref="E30"/>
    </sheetView>
  </sheetViews>
  <sheetFormatPr defaultRowHeight="15"/>
  <cols>
    <col min="1" max="1" width="8.5976562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19">
        <f>R36</f>
        <v>16675.199999999997</v>
      </c>
    </row>
    <row r="2" spans="1:18" ht="21">
      <c r="B2" s="76" t="s">
        <v>144</v>
      </c>
    </row>
    <row r="3" spans="1:18" ht="28.9" customHeight="1">
      <c r="A3" s="198" t="s">
        <v>0</v>
      </c>
      <c r="B3" s="202" t="s">
        <v>1</v>
      </c>
      <c r="C3" s="203"/>
      <c r="D3" s="198" t="s">
        <v>145</v>
      </c>
      <c r="E3" s="198" t="s">
        <v>146</v>
      </c>
      <c r="F3" s="198" t="s">
        <v>147</v>
      </c>
      <c r="G3" s="198" t="s">
        <v>148</v>
      </c>
      <c r="H3" s="4" t="s">
        <v>4</v>
      </c>
      <c r="I3" s="198" t="s">
        <v>149</v>
      </c>
      <c r="J3" s="198" t="s">
        <v>150</v>
      </c>
      <c r="K3" s="198" t="s">
        <v>11</v>
      </c>
      <c r="L3" s="198" t="s">
        <v>12</v>
      </c>
      <c r="M3" s="198" t="s">
        <v>151</v>
      </c>
      <c r="N3" s="198" t="s">
        <v>152</v>
      </c>
      <c r="O3" s="198" t="s">
        <v>13</v>
      </c>
      <c r="P3" s="198" t="s">
        <v>153</v>
      </c>
      <c r="Q3" s="198" t="s">
        <v>154</v>
      </c>
      <c r="R3" s="198" t="s">
        <v>18</v>
      </c>
    </row>
    <row r="4" spans="1:18" ht="30">
      <c r="A4" s="199"/>
      <c r="B4" s="204"/>
      <c r="C4" s="205"/>
      <c r="D4" s="199"/>
      <c r="E4" s="199"/>
      <c r="F4" s="199"/>
      <c r="G4" s="199"/>
      <c r="H4" s="5" t="s">
        <v>155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</row>
    <row r="5" spans="1:18">
      <c r="A5" s="6">
        <v>1</v>
      </c>
      <c r="B5" s="221">
        <v>45962</v>
      </c>
      <c r="C5" s="222"/>
      <c r="D5" s="120"/>
      <c r="E5" s="79"/>
      <c r="F5" s="79"/>
      <c r="G5" s="79"/>
      <c r="H5" s="78">
        <v>13</v>
      </c>
      <c r="I5" s="78"/>
      <c r="J5" s="78"/>
      <c r="K5" s="78">
        <f t="shared" ref="K5:K29" si="0">SUM(D5*168)</f>
        <v>0</v>
      </c>
      <c r="L5" s="78">
        <f>SUM(E5*168)</f>
        <v>0</v>
      </c>
      <c r="M5" s="78">
        <f>F5*1000</f>
        <v>0</v>
      </c>
      <c r="N5" s="78">
        <f>G5*1000</f>
        <v>0</v>
      </c>
      <c r="O5" s="78">
        <f>SUM(H5*21.6)</f>
        <v>280.8</v>
      </c>
      <c r="P5" s="78">
        <f>I5*500</f>
        <v>0</v>
      </c>
      <c r="Q5" s="78">
        <f>SUM(J5)*600</f>
        <v>0</v>
      </c>
      <c r="R5" s="78">
        <f>SUM(K5:Q5)</f>
        <v>280.8</v>
      </c>
    </row>
    <row r="6" spans="1:18">
      <c r="A6" s="6">
        <v>2</v>
      </c>
      <c r="B6" s="221">
        <v>45963</v>
      </c>
      <c r="C6" s="222"/>
      <c r="D6" s="120"/>
      <c r="E6" s="79"/>
      <c r="F6" s="79"/>
      <c r="G6" s="79"/>
      <c r="H6" s="78">
        <f>H5+D6-E5</f>
        <v>13</v>
      </c>
      <c r="I6" s="78"/>
      <c r="J6" s="78"/>
      <c r="K6" s="78">
        <f t="shared" si="0"/>
        <v>0</v>
      </c>
      <c r="L6" s="78">
        <f t="shared" ref="L6:L34" si="1">SUM(E6*168)</f>
        <v>0</v>
      </c>
      <c r="M6" s="78">
        <f t="shared" ref="M6:N34" si="2">F6*1000</f>
        <v>0</v>
      </c>
      <c r="N6" s="78">
        <f t="shared" si="2"/>
        <v>0</v>
      </c>
      <c r="O6" s="78">
        <f t="shared" ref="O6:O34" si="3">SUM(H6*21.6)</f>
        <v>280.8</v>
      </c>
      <c r="P6" s="78">
        <f t="shared" ref="P6:P35" si="4">I6*500</f>
        <v>0</v>
      </c>
      <c r="Q6" s="78">
        <f t="shared" ref="Q6:Q35" si="5">SUM(J6)*600</f>
        <v>0</v>
      </c>
      <c r="R6" s="78">
        <f t="shared" ref="R6:R35" si="6">SUM(K6:Q6)</f>
        <v>280.8</v>
      </c>
    </row>
    <row r="7" spans="1:18">
      <c r="A7" s="6">
        <v>3</v>
      </c>
      <c r="B7" s="221">
        <v>45964</v>
      </c>
      <c r="C7" s="222"/>
      <c r="D7" s="120"/>
      <c r="E7" s="79"/>
      <c r="F7" s="79"/>
      <c r="G7" s="79"/>
      <c r="H7" s="78">
        <f t="shared" ref="H7:H34" si="7">H6+D7-E6</f>
        <v>13</v>
      </c>
      <c r="I7" s="78"/>
      <c r="J7" s="78"/>
      <c r="K7" s="78">
        <f t="shared" si="0"/>
        <v>0</v>
      </c>
      <c r="L7" s="78">
        <f t="shared" si="1"/>
        <v>0</v>
      </c>
      <c r="M7" s="78">
        <f t="shared" si="2"/>
        <v>0</v>
      </c>
      <c r="N7" s="78">
        <f t="shared" si="2"/>
        <v>0</v>
      </c>
      <c r="O7" s="78">
        <f t="shared" si="3"/>
        <v>280.8</v>
      </c>
      <c r="P7" s="78">
        <f t="shared" si="4"/>
        <v>0</v>
      </c>
      <c r="Q7" s="78">
        <f t="shared" si="5"/>
        <v>0</v>
      </c>
      <c r="R7" s="78">
        <f t="shared" si="6"/>
        <v>280.8</v>
      </c>
    </row>
    <row r="8" spans="1:18">
      <c r="A8" s="6">
        <v>4</v>
      </c>
      <c r="B8" s="221">
        <v>45965</v>
      </c>
      <c r="C8" s="222"/>
      <c r="D8" s="120"/>
      <c r="E8" s="79"/>
      <c r="F8" s="79"/>
      <c r="G8" s="79"/>
      <c r="H8" s="78">
        <f t="shared" si="7"/>
        <v>13</v>
      </c>
      <c r="I8" s="78"/>
      <c r="J8" s="78"/>
      <c r="K8" s="78">
        <f t="shared" si="0"/>
        <v>0</v>
      </c>
      <c r="L8" s="78">
        <f t="shared" si="1"/>
        <v>0</v>
      </c>
      <c r="M8" s="78">
        <f t="shared" si="2"/>
        <v>0</v>
      </c>
      <c r="N8" s="78">
        <f t="shared" si="2"/>
        <v>0</v>
      </c>
      <c r="O8" s="78">
        <f t="shared" si="3"/>
        <v>280.8</v>
      </c>
      <c r="P8" s="78">
        <f t="shared" si="4"/>
        <v>0</v>
      </c>
      <c r="Q8" s="78">
        <f t="shared" si="5"/>
        <v>0</v>
      </c>
      <c r="R8" s="78">
        <f t="shared" si="6"/>
        <v>280.8</v>
      </c>
    </row>
    <row r="9" spans="1:18">
      <c r="A9" s="121">
        <v>5</v>
      </c>
      <c r="B9" s="221">
        <v>45966</v>
      </c>
      <c r="C9" s="222"/>
      <c r="D9" s="122"/>
      <c r="E9" s="123"/>
      <c r="F9" s="123"/>
      <c r="G9" s="123"/>
      <c r="H9" s="78">
        <f t="shared" si="7"/>
        <v>13</v>
      </c>
      <c r="I9" s="78"/>
      <c r="J9" s="90"/>
      <c r="K9" s="78">
        <f t="shared" si="0"/>
        <v>0</v>
      </c>
      <c r="L9" s="78">
        <f t="shared" si="1"/>
        <v>0</v>
      </c>
      <c r="M9" s="78">
        <f t="shared" si="2"/>
        <v>0</v>
      </c>
      <c r="N9" s="78">
        <f t="shared" si="2"/>
        <v>0</v>
      </c>
      <c r="O9" s="78">
        <f t="shared" si="3"/>
        <v>280.8</v>
      </c>
      <c r="P9" s="78">
        <f t="shared" si="4"/>
        <v>0</v>
      </c>
      <c r="Q9" s="78">
        <f t="shared" si="5"/>
        <v>0</v>
      </c>
      <c r="R9" s="90">
        <f t="shared" si="6"/>
        <v>280.8</v>
      </c>
    </row>
    <row r="10" spans="1:18">
      <c r="A10" s="121">
        <v>6</v>
      </c>
      <c r="B10" s="221">
        <v>45967</v>
      </c>
      <c r="C10" s="222"/>
      <c r="D10" s="122"/>
      <c r="E10" s="123"/>
      <c r="F10" s="123"/>
      <c r="G10" s="123"/>
      <c r="H10" s="78">
        <f t="shared" si="7"/>
        <v>13</v>
      </c>
      <c r="I10" s="78"/>
      <c r="J10" s="90"/>
      <c r="K10" s="78">
        <f t="shared" si="0"/>
        <v>0</v>
      </c>
      <c r="L10" s="78">
        <f t="shared" si="1"/>
        <v>0</v>
      </c>
      <c r="M10" s="78">
        <f t="shared" si="2"/>
        <v>0</v>
      </c>
      <c r="N10" s="78">
        <f t="shared" si="2"/>
        <v>0</v>
      </c>
      <c r="O10" s="78">
        <f t="shared" si="3"/>
        <v>280.8</v>
      </c>
      <c r="P10" s="78">
        <f t="shared" si="4"/>
        <v>0</v>
      </c>
      <c r="Q10" s="78">
        <f t="shared" si="5"/>
        <v>0</v>
      </c>
      <c r="R10" s="90">
        <f t="shared" si="6"/>
        <v>280.8</v>
      </c>
    </row>
    <row r="11" spans="1:18">
      <c r="A11" s="121">
        <v>7</v>
      </c>
      <c r="B11" s="221">
        <v>45968</v>
      </c>
      <c r="C11" s="222"/>
      <c r="D11" s="122"/>
      <c r="E11" s="123"/>
      <c r="F11" s="123"/>
      <c r="G11" s="123"/>
      <c r="H11" s="78">
        <f t="shared" si="7"/>
        <v>13</v>
      </c>
      <c r="I11" s="78"/>
      <c r="J11" s="90"/>
      <c r="K11" s="78">
        <f t="shared" si="0"/>
        <v>0</v>
      </c>
      <c r="L11" s="78">
        <f t="shared" si="1"/>
        <v>0</v>
      </c>
      <c r="M11" s="78">
        <f t="shared" si="2"/>
        <v>0</v>
      </c>
      <c r="N11" s="78">
        <f t="shared" si="2"/>
        <v>0</v>
      </c>
      <c r="O11" s="78">
        <f t="shared" si="3"/>
        <v>280.8</v>
      </c>
      <c r="P11" s="78">
        <f t="shared" si="4"/>
        <v>0</v>
      </c>
      <c r="Q11" s="78">
        <f t="shared" si="5"/>
        <v>0</v>
      </c>
      <c r="R11" s="90">
        <f t="shared" si="6"/>
        <v>280.8</v>
      </c>
    </row>
    <row r="12" spans="1:18">
      <c r="A12" s="121">
        <v>8</v>
      </c>
      <c r="B12" s="221">
        <v>45969</v>
      </c>
      <c r="C12" s="222"/>
      <c r="D12" s="122"/>
      <c r="E12" s="123"/>
      <c r="F12" s="123"/>
      <c r="G12" s="123"/>
      <c r="H12" s="78">
        <f t="shared" si="7"/>
        <v>13</v>
      </c>
      <c r="I12" s="78"/>
      <c r="J12" s="90"/>
      <c r="K12" s="78">
        <f t="shared" si="0"/>
        <v>0</v>
      </c>
      <c r="L12" s="78">
        <f t="shared" si="1"/>
        <v>0</v>
      </c>
      <c r="M12" s="78">
        <f t="shared" si="2"/>
        <v>0</v>
      </c>
      <c r="N12" s="78">
        <f t="shared" si="2"/>
        <v>0</v>
      </c>
      <c r="O12" s="78">
        <f t="shared" si="3"/>
        <v>280.8</v>
      </c>
      <c r="P12" s="78">
        <f t="shared" si="4"/>
        <v>0</v>
      </c>
      <c r="Q12" s="78">
        <f t="shared" si="5"/>
        <v>0</v>
      </c>
      <c r="R12" s="90">
        <f t="shared" si="6"/>
        <v>280.8</v>
      </c>
    </row>
    <row r="13" spans="1:18">
      <c r="A13" s="6">
        <v>9</v>
      </c>
      <c r="B13" s="221">
        <v>45970</v>
      </c>
      <c r="C13" s="222"/>
      <c r="D13" s="120"/>
      <c r="E13" s="79"/>
      <c r="F13" s="79"/>
      <c r="G13" s="79"/>
      <c r="H13" s="78">
        <f t="shared" si="7"/>
        <v>13</v>
      </c>
      <c r="I13" s="78"/>
      <c r="J13" s="78"/>
      <c r="K13" s="78">
        <f t="shared" si="0"/>
        <v>0</v>
      </c>
      <c r="L13" s="78">
        <f t="shared" si="1"/>
        <v>0</v>
      </c>
      <c r="M13" s="78">
        <f t="shared" si="2"/>
        <v>0</v>
      </c>
      <c r="N13" s="78">
        <f t="shared" si="2"/>
        <v>0</v>
      </c>
      <c r="O13" s="78">
        <f t="shared" si="3"/>
        <v>280.8</v>
      </c>
      <c r="P13" s="78">
        <f t="shared" si="4"/>
        <v>0</v>
      </c>
      <c r="Q13" s="78">
        <f t="shared" si="5"/>
        <v>0</v>
      </c>
      <c r="R13" s="78">
        <f t="shared" si="6"/>
        <v>280.8</v>
      </c>
    </row>
    <row r="14" spans="1:18">
      <c r="A14" s="6">
        <v>10</v>
      </c>
      <c r="B14" s="221">
        <v>45971</v>
      </c>
      <c r="C14" s="222"/>
      <c r="D14" s="120"/>
      <c r="E14" s="79">
        <v>3</v>
      </c>
      <c r="F14" s="79"/>
      <c r="G14" s="79"/>
      <c r="H14" s="78">
        <f t="shared" si="7"/>
        <v>13</v>
      </c>
      <c r="I14" s="78"/>
      <c r="J14" s="78"/>
      <c r="K14" s="78">
        <f t="shared" si="0"/>
        <v>0</v>
      </c>
      <c r="L14" s="78">
        <f t="shared" si="1"/>
        <v>504</v>
      </c>
      <c r="M14" s="78">
        <f t="shared" si="2"/>
        <v>0</v>
      </c>
      <c r="N14" s="78">
        <f t="shared" si="2"/>
        <v>0</v>
      </c>
      <c r="O14" s="78">
        <f t="shared" si="3"/>
        <v>280.8</v>
      </c>
      <c r="P14" s="78">
        <f t="shared" si="4"/>
        <v>0</v>
      </c>
      <c r="Q14" s="78">
        <f t="shared" si="5"/>
        <v>0</v>
      </c>
      <c r="R14" s="78">
        <f t="shared" si="6"/>
        <v>784.8</v>
      </c>
    </row>
    <row r="15" spans="1:18">
      <c r="A15" s="121">
        <v>11</v>
      </c>
      <c r="B15" s="221">
        <v>45972</v>
      </c>
      <c r="C15" s="222"/>
      <c r="D15" s="122"/>
      <c r="E15" s="123"/>
      <c r="F15" s="123"/>
      <c r="G15" s="79"/>
      <c r="H15" s="78">
        <f t="shared" si="7"/>
        <v>10</v>
      </c>
      <c r="I15" s="78"/>
      <c r="J15" s="90"/>
      <c r="K15" s="78">
        <f t="shared" si="0"/>
        <v>0</v>
      </c>
      <c r="L15" s="78">
        <f t="shared" si="1"/>
        <v>0</v>
      </c>
      <c r="M15" s="78">
        <f t="shared" si="2"/>
        <v>0</v>
      </c>
      <c r="N15" s="78">
        <f t="shared" si="2"/>
        <v>0</v>
      </c>
      <c r="O15" s="78">
        <f t="shared" si="3"/>
        <v>216</v>
      </c>
      <c r="P15" s="78">
        <f t="shared" si="4"/>
        <v>0</v>
      </c>
      <c r="Q15" s="78">
        <f t="shared" si="5"/>
        <v>0</v>
      </c>
      <c r="R15" s="90">
        <f t="shared" si="6"/>
        <v>216</v>
      </c>
    </row>
    <row r="16" spans="1:18">
      <c r="A16" s="121">
        <v>12</v>
      </c>
      <c r="B16" s="221">
        <v>45973</v>
      </c>
      <c r="C16" s="222"/>
      <c r="D16" s="122"/>
      <c r="E16" s="123"/>
      <c r="F16" s="123"/>
      <c r="G16" s="79"/>
      <c r="H16" s="78">
        <f t="shared" si="7"/>
        <v>10</v>
      </c>
      <c r="I16" s="78"/>
      <c r="J16" s="90"/>
      <c r="K16" s="78">
        <f t="shared" si="0"/>
        <v>0</v>
      </c>
      <c r="L16" s="78">
        <f t="shared" si="1"/>
        <v>0</v>
      </c>
      <c r="M16" s="78">
        <f t="shared" si="2"/>
        <v>0</v>
      </c>
      <c r="N16" s="78">
        <f t="shared" si="2"/>
        <v>0</v>
      </c>
      <c r="O16" s="78">
        <f t="shared" si="3"/>
        <v>216</v>
      </c>
      <c r="P16" s="78">
        <f t="shared" si="4"/>
        <v>0</v>
      </c>
      <c r="Q16" s="78">
        <f t="shared" si="5"/>
        <v>0</v>
      </c>
      <c r="R16" s="90">
        <f t="shared" si="6"/>
        <v>216</v>
      </c>
    </row>
    <row r="17" spans="1:18">
      <c r="A17" s="121">
        <v>13</v>
      </c>
      <c r="B17" s="221">
        <v>45974</v>
      </c>
      <c r="C17" s="222"/>
      <c r="D17" s="122"/>
      <c r="E17" s="123"/>
      <c r="F17" s="123"/>
      <c r="G17" s="79"/>
      <c r="H17" s="78">
        <f t="shared" si="7"/>
        <v>10</v>
      </c>
      <c r="I17" s="78"/>
      <c r="J17" s="90"/>
      <c r="K17" s="78">
        <f t="shared" si="0"/>
        <v>0</v>
      </c>
      <c r="L17" s="78">
        <f t="shared" si="1"/>
        <v>0</v>
      </c>
      <c r="M17" s="78">
        <f t="shared" si="2"/>
        <v>0</v>
      </c>
      <c r="N17" s="78">
        <f t="shared" si="2"/>
        <v>0</v>
      </c>
      <c r="O17" s="78">
        <f t="shared" si="3"/>
        <v>216</v>
      </c>
      <c r="P17" s="78">
        <f t="shared" si="4"/>
        <v>0</v>
      </c>
      <c r="Q17" s="78">
        <f t="shared" si="5"/>
        <v>0</v>
      </c>
      <c r="R17" s="90">
        <f t="shared" si="6"/>
        <v>216</v>
      </c>
    </row>
    <row r="18" spans="1:18">
      <c r="A18" s="121">
        <v>14</v>
      </c>
      <c r="B18" s="221">
        <v>45975</v>
      </c>
      <c r="C18" s="222"/>
      <c r="D18" s="122"/>
      <c r="E18" s="123"/>
      <c r="F18" s="123"/>
      <c r="G18" s="79"/>
      <c r="H18" s="78">
        <f t="shared" si="7"/>
        <v>10</v>
      </c>
      <c r="I18" s="78"/>
      <c r="J18" s="90"/>
      <c r="K18" s="78">
        <f t="shared" si="0"/>
        <v>0</v>
      </c>
      <c r="L18" s="78">
        <f t="shared" si="1"/>
        <v>0</v>
      </c>
      <c r="M18" s="78">
        <f t="shared" si="2"/>
        <v>0</v>
      </c>
      <c r="N18" s="78">
        <f t="shared" si="2"/>
        <v>0</v>
      </c>
      <c r="O18" s="78">
        <f t="shared" si="3"/>
        <v>216</v>
      </c>
      <c r="P18" s="78">
        <f t="shared" si="4"/>
        <v>0</v>
      </c>
      <c r="Q18" s="78">
        <f t="shared" si="5"/>
        <v>0</v>
      </c>
      <c r="R18" s="90">
        <f t="shared" si="6"/>
        <v>216</v>
      </c>
    </row>
    <row r="19" spans="1:18">
      <c r="A19" s="121">
        <v>15</v>
      </c>
      <c r="B19" s="221">
        <v>45976</v>
      </c>
      <c r="C19" s="222"/>
      <c r="D19" s="122"/>
      <c r="E19" s="123"/>
      <c r="F19" s="123"/>
      <c r="G19" s="79"/>
      <c r="H19" s="78">
        <f t="shared" si="7"/>
        <v>10</v>
      </c>
      <c r="I19" s="78"/>
      <c r="J19" s="90"/>
      <c r="K19" s="78">
        <f t="shared" si="0"/>
        <v>0</v>
      </c>
      <c r="L19" s="78">
        <f t="shared" si="1"/>
        <v>0</v>
      </c>
      <c r="M19" s="78">
        <f t="shared" si="2"/>
        <v>0</v>
      </c>
      <c r="N19" s="78">
        <f t="shared" si="2"/>
        <v>0</v>
      </c>
      <c r="O19" s="78">
        <f t="shared" si="3"/>
        <v>216</v>
      </c>
      <c r="P19" s="78">
        <f t="shared" si="4"/>
        <v>0</v>
      </c>
      <c r="Q19" s="78">
        <f t="shared" si="5"/>
        <v>0</v>
      </c>
      <c r="R19" s="90">
        <f t="shared" si="6"/>
        <v>216</v>
      </c>
    </row>
    <row r="20" spans="1:18">
      <c r="A20" s="6">
        <v>16</v>
      </c>
      <c r="B20" s="221">
        <v>45977</v>
      </c>
      <c r="C20" s="222"/>
      <c r="D20" s="120"/>
      <c r="E20" s="79"/>
      <c r="F20" s="79"/>
      <c r="G20" s="123"/>
      <c r="H20" s="78">
        <f t="shared" si="7"/>
        <v>10</v>
      </c>
      <c r="I20" s="78"/>
      <c r="J20" s="78"/>
      <c r="K20" s="78">
        <f t="shared" si="0"/>
        <v>0</v>
      </c>
      <c r="L20" s="78">
        <f t="shared" si="1"/>
        <v>0</v>
      </c>
      <c r="M20" s="78">
        <f t="shared" si="2"/>
        <v>0</v>
      </c>
      <c r="N20" s="78">
        <f t="shared" si="2"/>
        <v>0</v>
      </c>
      <c r="O20" s="78">
        <f t="shared" si="3"/>
        <v>216</v>
      </c>
      <c r="P20" s="78">
        <f t="shared" si="4"/>
        <v>0</v>
      </c>
      <c r="Q20" s="78">
        <f t="shared" si="5"/>
        <v>0</v>
      </c>
      <c r="R20" s="78">
        <f t="shared" si="6"/>
        <v>216</v>
      </c>
    </row>
    <row r="21" spans="1:18">
      <c r="A21" s="6">
        <v>17</v>
      </c>
      <c r="B21" s="221">
        <v>45978</v>
      </c>
      <c r="C21" s="222"/>
      <c r="D21" s="120"/>
      <c r="E21" s="79">
        <v>1</v>
      </c>
      <c r="F21" s="79"/>
      <c r="G21" s="123"/>
      <c r="H21" s="78">
        <f t="shared" si="7"/>
        <v>10</v>
      </c>
      <c r="I21" s="78"/>
      <c r="J21" s="78"/>
      <c r="K21" s="78">
        <f t="shared" si="0"/>
        <v>0</v>
      </c>
      <c r="L21" s="78">
        <f t="shared" si="1"/>
        <v>168</v>
      </c>
      <c r="M21" s="78">
        <f t="shared" si="2"/>
        <v>0</v>
      </c>
      <c r="N21" s="78">
        <f t="shared" si="2"/>
        <v>0</v>
      </c>
      <c r="O21" s="78">
        <f t="shared" si="3"/>
        <v>216</v>
      </c>
      <c r="P21" s="78">
        <f t="shared" si="4"/>
        <v>0</v>
      </c>
      <c r="Q21" s="78">
        <f t="shared" si="5"/>
        <v>0</v>
      </c>
      <c r="R21" s="78">
        <f t="shared" si="6"/>
        <v>384</v>
      </c>
    </row>
    <row r="22" spans="1:18">
      <c r="A22" s="121">
        <v>18</v>
      </c>
      <c r="B22" s="221">
        <v>45979</v>
      </c>
      <c r="C22" s="222"/>
      <c r="D22" s="122">
        <v>20</v>
      </c>
      <c r="E22" s="123"/>
      <c r="F22" s="123"/>
      <c r="G22" s="123"/>
      <c r="H22" s="78">
        <f t="shared" si="7"/>
        <v>29</v>
      </c>
      <c r="I22" s="90"/>
      <c r="J22" s="90"/>
      <c r="K22" s="78">
        <f t="shared" si="0"/>
        <v>3360</v>
      </c>
      <c r="L22" s="78">
        <f t="shared" si="1"/>
        <v>0</v>
      </c>
      <c r="M22" s="78">
        <f t="shared" si="2"/>
        <v>0</v>
      </c>
      <c r="N22" s="78">
        <f t="shared" si="2"/>
        <v>0</v>
      </c>
      <c r="O22" s="78">
        <f t="shared" si="3"/>
        <v>626.40000000000009</v>
      </c>
      <c r="P22" s="78">
        <f t="shared" si="4"/>
        <v>0</v>
      </c>
      <c r="Q22" s="78">
        <f t="shared" si="5"/>
        <v>0</v>
      </c>
      <c r="R22" s="90">
        <f t="shared" si="6"/>
        <v>3986.4</v>
      </c>
    </row>
    <row r="23" spans="1:18">
      <c r="A23" s="121">
        <v>19</v>
      </c>
      <c r="B23" s="221">
        <v>45980</v>
      </c>
      <c r="C23" s="222"/>
      <c r="D23" s="122"/>
      <c r="E23" s="123"/>
      <c r="F23" s="123"/>
      <c r="G23" s="123"/>
      <c r="H23" s="78">
        <f t="shared" si="7"/>
        <v>29</v>
      </c>
      <c r="I23" s="90"/>
      <c r="J23" s="90"/>
      <c r="K23" s="78">
        <f t="shared" si="0"/>
        <v>0</v>
      </c>
      <c r="L23" s="78">
        <f t="shared" si="1"/>
        <v>0</v>
      </c>
      <c r="M23" s="78">
        <f t="shared" si="2"/>
        <v>0</v>
      </c>
      <c r="N23" s="78">
        <f t="shared" si="2"/>
        <v>0</v>
      </c>
      <c r="O23" s="78">
        <f t="shared" si="3"/>
        <v>626.40000000000009</v>
      </c>
      <c r="P23" s="78">
        <f t="shared" si="4"/>
        <v>0</v>
      </c>
      <c r="Q23" s="78">
        <f t="shared" si="5"/>
        <v>0</v>
      </c>
      <c r="R23" s="90">
        <f t="shared" si="6"/>
        <v>626.40000000000009</v>
      </c>
    </row>
    <row r="24" spans="1:18">
      <c r="A24" s="121">
        <v>20</v>
      </c>
      <c r="B24" s="221">
        <v>45981</v>
      </c>
      <c r="C24" s="222"/>
      <c r="D24" s="122"/>
      <c r="E24" s="123"/>
      <c r="F24" s="123"/>
      <c r="G24" s="123"/>
      <c r="H24" s="78">
        <f t="shared" si="7"/>
        <v>29</v>
      </c>
      <c r="I24" s="90"/>
      <c r="J24" s="90"/>
      <c r="K24" s="78">
        <f t="shared" si="0"/>
        <v>0</v>
      </c>
      <c r="L24" s="78">
        <f t="shared" si="1"/>
        <v>0</v>
      </c>
      <c r="M24" s="78">
        <f t="shared" si="2"/>
        <v>0</v>
      </c>
      <c r="N24" s="78">
        <f t="shared" si="2"/>
        <v>0</v>
      </c>
      <c r="O24" s="78">
        <f t="shared" si="3"/>
        <v>626.40000000000009</v>
      </c>
      <c r="P24" s="78">
        <f t="shared" si="4"/>
        <v>0</v>
      </c>
      <c r="Q24" s="78">
        <f t="shared" si="5"/>
        <v>0</v>
      </c>
      <c r="R24" s="90">
        <f t="shared" si="6"/>
        <v>626.40000000000009</v>
      </c>
    </row>
    <row r="25" spans="1:18">
      <c r="A25" s="121">
        <v>21</v>
      </c>
      <c r="B25" s="221">
        <v>45982</v>
      </c>
      <c r="C25" s="222"/>
      <c r="D25" s="122"/>
      <c r="E25" s="123"/>
      <c r="F25" s="123"/>
      <c r="G25" s="123"/>
      <c r="H25" s="78">
        <f t="shared" si="7"/>
        <v>29</v>
      </c>
      <c r="I25" s="90"/>
      <c r="J25" s="90"/>
      <c r="K25" s="78">
        <f t="shared" si="0"/>
        <v>0</v>
      </c>
      <c r="L25" s="78">
        <f t="shared" si="1"/>
        <v>0</v>
      </c>
      <c r="M25" s="78">
        <f t="shared" si="2"/>
        <v>0</v>
      </c>
      <c r="N25" s="78">
        <f t="shared" si="2"/>
        <v>0</v>
      </c>
      <c r="O25" s="78">
        <f t="shared" si="3"/>
        <v>626.40000000000009</v>
      </c>
      <c r="P25" s="78">
        <f t="shared" si="4"/>
        <v>0</v>
      </c>
      <c r="Q25" s="78">
        <f t="shared" si="5"/>
        <v>0</v>
      </c>
      <c r="R25" s="90">
        <f t="shared" si="6"/>
        <v>626.40000000000009</v>
      </c>
    </row>
    <row r="26" spans="1:18">
      <c r="A26" s="121">
        <v>22</v>
      </c>
      <c r="B26" s="221">
        <v>45983</v>
      </c>
      <c r="C26" s="222"/>
      <c r="D26" s="122"/>
      <c r="E26" s="123"/>
      <c r="F26" s="123"/>
      <c r="G26" s="123"/>
      <c r="H26" s="78">
        <f t="shared" si="7"/>
        <v>29</v>
      </c>
      <c r="I26" s="78"/>
      <c r="J26" s="90"/>
      <c r="K26" s="78">
        <f t="shared" si="0"/>
        <v>0</v>
      </c>
      <c r="L26" s="78">
        <f t="shared" si="1"/>
        <v>0</v>
      </c>
      <c r="M26" s="78">
        <f t="shared" si="2"/>
        <v>0</v>
      </c>
      <c r="N26" s="78">
        <f t="shared" si="2"/>
        <v>0</v>
      </c>
      <c r="O26" s="78">
        <f t="shared" si="3"/>
        <v>626.40000000000009</v>
      </c>
      <c r="P26" s="78">
        <f t="shared" si="4"/>
        <v>0</v>
      </c>
      <c r="Q26" s="78">
        <f t="shared" si="5"/>
        <v>0</v>
      </c>
      <c r="R26" s="90">
        <f t="shared" si="6"/>
        <v>626.40000000000009</v>
      </c>
    </row>
    <row r="27" spans="1:18">
      <c r="A27" s="6">
        <v>23</v>
      </c>
      <c r="B27" s="221">
        <v>45984</v>
      </c>
      <c r="C27" s="222"/>
      <c r="D27" s="120"/>
      <c r="E27" s="79"/>
      <c r="F27" s="79"/>
      <c r="G27" s="79"/>
      <c r="H27" s="78">
        <f t="shared" si="7"/>
        <v>29</v>
      </c>
      <c r="I27" s="78"/>
      <c r="J27" s="78"/>
      <c r="K27" s="78">
        <f t="shared" si="0"/>
        <v>0</v>
      </c>
      <c r="L27" s="78">
        <f t="shared" si="1"/>
        <v>0</v>
      </c>
      <c r="M27" s="78">
        <f t="shared" si="2"/>
        <v>0</v>
      </c>
      <c r="N27" s="78">
        <f t="shared" si="2"/>
        <v>0</v>
      </c>
      <c r="O27" s="78">
        <f t="shared" si="3"/>
        <v>626.40000000000009</v>
      </c>
      <c r="P27" s="78">
        <f t="shared" si="4"/>
        <v>0</v>
      </c>
      <c r="Q27" s="78">
        <f t="shared" si="5"/>
        <v>0</v>
      </c>
      <c r="R27" s="78">
        <f t="shared" si="6"/>
        <v>626.40000000000009</v>
      </c>
    </row>
    <row r="28" spans="1:18">
      <c r="A28" s="6">
        <v>24</v>
      </c>
      <c r="B28" s="221">
        <v>45985</v>
      </c>
      <c r="C28" s="222"/>
      <c r="D28" s="120"/>
      <c r="E28" s="79"/>
      <c r="F28" s="79"/>
      <c r="G28" s="79"/>
      <c r="H28" s="78">
        <f t="shared" si="7"/>
        <v>29</v>
      </c>
      <c r="I28" s="78"/>
      <c r="J28" s="78"/>
      <c r="K28" s="78">
        <f t="shared" si="0"/>
        <v>0</v>
      </c>
      <c r="L28" s="78">
        <f t="shared" si="1"/>
        <v>0</v>
      </c>
      <c r="M28" s="78">
        <f t="shared" si="2"/>
        <v>0</v>
      </c>
      <c r="N28" s="78">
        <f t="shared" si="2"/>
        <v>0</v>
      </c>
      <c r="O28" s="78">
        <f t="shared" si="3"/>
        <v>626.40000000000009</v>
      </c>
      <c r="P28" s="78">
        <f t="shared" si="4"/>
        <v>0</v>
      </c>
      <c r="Q28" s="78">
        <f t="shared" si="5"/>
        <v>0</v>
      </c>
      <c r="R28" s="78">
        <f t="shared" si="6"/>
        <v>626.40000000000009</v>
      </c>
    </row>
    <row r="29" spans="1:18">
      <c r="A29" s="121">
        <v>25</v>
      </c>
      <c r="B29" s="221">
        <v>45986</v>
      </c>
      <c r="C29" s="222"/>
      <c r="D29" s="122"/>
      <c r="E29" s="123">
        <v>3</v>
      </c>
      <c r="F29" s="123"/>
      <c r="G29" s="123"/>
      <c r="H29" s="78">
        <f t="shared" si="7"/>
        <v>29</v>
      </c>
      <c r="I29" s="78"/>
      <c r="J29" s="90"/>
      <c r="K29" s="78">
        <f t="shared" si="0"/>
        <v>0</v>
      </c>
      <c r="L29" s="78">
        <f t="shared" si="1"/>
        <v>504</v>
      </c>
      <c r="M29" s="78">
        <f>F29*1000</f>
        <v>0</v>
      </c>
      <c r="N29" s="78">
        <f t="shared" si="2"/>
        <v>0</v>
      </c>
      <c r="O29" s="78">
        <f t="shared" si="3"/>
        <v>626.40000000000009</v>
      </c>
      <c r="P29" s="78">
        <f t="shared" si="4"/>
        <v>0</v>
      </c>
      <c r="Q29" s="78">
        <f t="shared" si="5"/>
        <v>0</v>
      </c>
      <c r="R29" s="90">
        <f t="shared" si="6"/>
        <v>1130.4000000000001</v>
      </c>
    </row>
    <row r="30" spans="1:18">
      <c r="A30" s="121">
        <v>26</v>
      </c>
      <c r="B30" s="221">
        <v>45987</v>
      </c>
      <c r="C30" s="222"/>
      <c r="D30" s="122"/>
      <c r="E30" s="123"/>
      <c r="F30" s="123"/>
      <c r="G30" s="123"/>
      <c r="H30" s="78">
        <f t="shared" si="7"/>
        <v>26</v>
      </c>
      <c r="I30" s="78"/>
      <c r="J30" s="90"/>
      <c r="K30" s="78">
        <f>SUM(D30*168)</f>
        <v>0</v>
      </c>
      <c r="L30" s="78">
        <f t="shared" si="1"/>
        <v>0</v>
      </c>
      <c r="M30" s="78">
        <f t="shared" si="2"/>
        <v>0</v>
      </c>
      <c r="N30" s="78">
        <f t="shared" si="2"/>
        <v>0</v>
      </c>
      <c r="O30" s="78">
        <f t="shared" si="3"/>
        <v>561.6</v>
      </c>
      <c r="P30" s="78">
        <f t="shared" si="4"/>
        <v>0</v>
      </c>
      <c r="Q30" s="78">
        <f t="shared" si="5"/>
        <v>0</v>
      </c>
      <c r="R30" s="90">
        <f t="shared" si="6"/>
        <v>561.6</v>
      </c>
    </row>
    <row r="31" spans="1:18">
      <c r="A31" s="121">
        <v>27</v>
      </c>
      <c r="B31" s="221">
        <v>45988</v>
      </c>
      <c r="C31" s="222"/>
      <c r="D31" s="122"/>
      <c r="E31" s="123"/>
      <c r="F31" s="123"/>
      <c r="G31" s="123"/>
      <c r="H31" s="78">
        <f t="shared" si="7"/>
        <v>26</v>
      </c>
      <c r="I31" s="78"/>
      <c r="J31" s="90"/>
      <c r="K31" s="78">
        <f t="shared" ref="K31:L35" si="8">SUM(D31*168)</f>
        <v>0</v>
      </c>
      <c r="L31" s="78">
        <f t="shared" si="1"/>
        <v>0</v>
      </c>
      <c r="M31" s="78">
        <f t="shared" si="2"/>
        <v>0</v>
      </c>
      <c r="N31" s="78">
        <f t="shared" si="2"/>
        <v>0</v>
      </c>
      <c r="O31" s="78">
        <f t="shared" si="3"/>
        <v>561.6</v>
      </c>
      <c r="P31" s="78">
        <f t="shared" si="4"/>
        <v>0</v>
      </c>
      <c r="Q31" s="78">
        <f t="shared" si="5"/>
        <v>0</v>
      </c>
      <c r="R31" s="90">
        <f t="shared" si="6"/>
        <v>561.6</v>
      </c>
    </row>
    <row r="32" spans="1:18">
      <c r="A32" s="121">
        <v>28</v>
      </c>
      <c r="B32" s="221">
        <v>45989</v>
      </c>
      <c r="C32" s="222"/>
      <c r="D32" s="122"/>
      <c r="E32" s="123"/>
      <c r="F32" s="123"/>
      <c r="G32" s="123"/>
      <c r="H32" s="78">
        <f t="shared" si="7"/>
        <v>26</v>
      </c>
      <c r="I32" s="78"/>
      <c r="J32" s="90"/>
      <c r="K32" s="78">
        <f t="shared" si="8"/>
        <v>0</v>
      </c>
      <c r="L32" s="78">
        <f t="shared" si="1"/>
        <v>0</v>
      </c>
      <c r="M32" s="78">
        <f t="shared" si="2"/>
        <v>0</v>
      </c>
      <c r="N32" s="78">
        <f t="shared" si="2"/>
        <v>0</v>
      </c>
      <c r="O32" s="78">
        <f t="shared" si="3"/>
        <v>561.6</v>
      </c>
      <c r="P32" s="78">
        <f t="shared" si="4"/>
        <v>0</v>
      </c>
      <c r="Q32" s="78">
        <f t="shared" si="5"/>
        <v>0</v>
      </c>
      <c r="R32" s="90">
        <f t="shared" si="6"/>
        <v>561.6</v>
      </c>
    </row>
    <row r="33" spans="1:18">
      <c r="A33" s="121">
        <v>29</v>
      </c>
      <c r="B33" s="221">
        <v>45990</v>
      </c>
      <c r="C33" s="222"/>
      <c r="D33" s="122"/>
      <c r="E33" s="123"/>
      <c r="F33" s="123"/>
      <c r="G33" s="123"/>
      <c r="H33" s="78">
        <f t="shared" si="7"/>
        <v>26</v>
      </c>
      <c r="I33" s="78"/>
      <c r="J33" s="90"/>
      <c r="K33" s="78">
        <f t="shared" si="8"/>
        <v>0</v>
      </c>
      <c r="L33" s="78">
        <f t="shared" si="1"/>
        <v>0</v>
      </c>
      <c r="M33" s="78">
        <f t="shared" si="2"/>
        <v>0</v>
      </c>
      <c r="N33" s="78">
        <f t="shared" si="2"/>
        <v>0</v>
      </c>
      <c r="O33" s="78">
        <f t="shared" si="3"/>
        <v>561.6</v>
      </c>
      <c r="P33" s="78">
        <f t="shared" si="4"/>
        <v>0</v>
      </c>
      <c r="Q33" s="78">
        <f t="shared" si="5"/>
        <v>0</v>
      </c>
      <c r="R33" s="90">
        <f t="shared" si="6"/>
        <v>561.6</v>
      </c>
    </row>
    <row r="34" spans="1:18">
      <c r="A34" s="121">
        <v>30</v>
      </c>
      <c r="B34" s="221">
        <v>45991</v>
      </c>
      <c r="C34" s="222"/>
      <c r="D34" s="122"/>
      <c r="E34" s="123"/>
      <c r="F34" s="123"/>
      <c r="G34" s="123"/>
      <c r="H34" s="78">
        <f t="shared" si="7"/>
        <v>26</v>
      </c>
      <c r="I34" s="78"/>
      <c r="J34" s="90"/>
      <c r="K34" s="78">
        <f t="shared" si="8"/>
        <v>0</v>
      </c>
      <c r="L34" s="78">
        <f t="shared" si="1"/>
        <v>0</v>
      </c>
      <c r="M34" s="78">
        <f t="shared" si="2"/>
        <v>0</v>
      </c>
      <c r="N34" s="78">
        <f t="shared" si="2"/>
        <v>0</v>
      </c>
      <c r="O34" s="78">
        <f t="shared" si="3"/>
        <v>561.6</v>
      </c>
      <c r="P34" s="78">
        <f t="shared" si="4"/>
        <v>0</v>
      </c>
      <c r="Q34" s="78">
        <f t="shared" si="5"/>
        <v>0</v>
      </c>
      <c r="R34" s="90">
        <f t="shared" si="6"/>
        <v>561.6</v>
      </c>
    </row>
    <row r="35" spans="1:18" ht="15.75" thickBot="1">
      <c r="A35" s="121">
        <v>31</v>
      </c>
      <c r="B35" s="221"/>
      <c r="C35" s="222"/>
      <c r="D35" s="122"/>
      <c r="E35" s="123"/>
      <c r="F35" s="123"/>
      <c r="G35" s="123"/>
      <c r="H35" s="78"/>
      <c r="I35" s="78"/>
      <c r="J35" s="90"/>
      <c r="K35" s="78">
        <f t="shared" si="8"/>
        <v>0</v>
      </c>
      <c r="L35" s="78">
        <f t="shared" si="8"/>
        <v>0</v>
      </c>
      <c r="M35" s="78">
        <f t="shared" ref="M35:N35" si="9">F35*1000</f>
        <v>0</v>
      </c>
      <c r="N35" s="78">
        <f t="shared" si="9"/>
        <v>0</v>
      </c>
      <c r="O35" s="78">
        <f t="shared" ref="O35" si="10">SUM(H35*21.6)</f>
        <v>0</v>
      </c>
      <c r="P35" s="78">
        <f t="shared" si="4"/>
        <v>0</v>
      </c>
      <c r="Q35" s="78">
        <f t="shared" si="5"/>
        <v>0</v>
      </c>
      <c r="R35" s="90">
        <f t="shared" si="6"/>
        <v>0</v>
      </c>
    </row>
    <row r="36" spans="1:18" ht="15.75" thickBot="1">
      <c r="D36" s="104">
        <f>SUM(D5:D35)</f>
        <v>20</v>
      </c>
      <c r="E36" s="124">
        <f>SUM(E5:E35)</f>
        <v>7</v>
      </c>
      <c r="F36" s="124">
        <f>SUM(F5:F35)</f>
        <v>0</v>
      </c>
      <c r="G36" s="124"/>
      <c r="H36" s="125">
        <f>SUM(H5:H35)</f>
        <v>562</v>
      </c>
      <c r="I36" s="126"/>
      <c r="J36" s="124"/>
      <c r="K36" s="124">
        <f>SUM(K5:K35)</f>
        <v>3360</v>
      </c>
      <c r="L36" s="124">
        <f t="shared" ref="L36:Q36" si="11">SUM(L5:L35)</f>
        <v>1176</v>
      </c>
      <c r="M36" s="124">
        <f t="shared" si="11"/>
        <v>0</v>
      </c>
      <c r="N36" s="124">
        <f t="shared" si="11"/>
        <v>0</v>
      </c>
      <c r="O36" s="124">
        <f t="shared" si="11"/>
        <v>12139.199999999999</v>
      </c>
      <c r="P36" s="124">
        <f t="shared" si="11"/>
        <v>0</v>
      </c>
      <c r="Q36" s="124">
        <f t="shared" si="11"/>
        <v>0</v>
      </c>
      <c r="R36" s="127">
        <f>SUM(R5:R35)</f>
        <v>16675.199999999997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5E11-614F-461B-8029-6AE833D5E642}">
  <dimension ref="A1:R36"/>
  <sheetViews>
    <sheetView topLeftCell="A13" workbookViewId="0">
      <selection activeCell="H30" sqref="H30"/>
    </sheetView>
  </sheetViews>
  <sheetFormatPr defaultRowHeight="15"/>
  <cols>
    <col min="1" max="1" width="6.898437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19">
        <f>R36</f>
        <v>2131.1999999999985</v>
      </c>
    </row>
    <row r="2" spans="1:18" ht="21">
      <c r="B2" s="76" t="s">
        <v>144</v>
      </c>
    </row>
    <row r="3" spans="1:18" ht="28.9" customHeight="1">
      <c r="A3" s="198" t="s">
        <v>0</v>
      </c>
      <c r="B3" s="202" t="s">
        <v>1</v>
      </c>
      <c r="C3" s="203"/>
      <c r="D3" s="198" t="s">
        <v>145</v>
      </c>
      <c r="E3" s="198" t="s">
        <v>146</v>
      </c>
      <c r="F3" s="198" t="s">
        <v>147</v>
      </c>
      <c r="G3" s="198" t="s">
        <v>148</v>
      </c>
      <c r="H3" s="4" t="s">
        <v>4</v>
      </c>
      <c r="I3" s="198" t="s">
        <v>149</v>
      </c>
      <c r="J3" s="198" t="s">
        <v>150</v>
      </c>
      <c r="K3" s="198" t="s">
        <v>11</v>
      </c>
      <c r="L3" s="198" t="s">
        <v>12</v>
      </c>
      <c r="M3" s="198" t="s">
        <v>151</v>
      </c>
      <c r="N3" s="198" t="s">
        <v>152</v>
      </c>
      <c r="O3" s="198" t="s">
        <v>13</v>
      </c>
      <c r="P3" s="198" t="s">
        <v>153</v>
      </c>
      <c r="Q3" s="198" t="s">
        <v>154</v>
      </c>
      <c r="R3" s="198" t="s">
        <v>18</v>
      </c>
    </row>
    <row r="4" spans="1:18" ht="30">
      <c r="A4" s="199"/>
      <c r="B4" s="204"/>
      <c r="C4" s="205"/>
      <c r="D4" s="199"/>
      <c r="E4" s="199"/>
      <c r="F4" s="199"/>
      <c r="G4" s="199"/>
      <c r="H4" s="5" t="s">
        <v>155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</row>
    <row r="5" spans="1:18">
      <c r="A5" s="6">
        <v>1</v>
      </c>
      <c r="B5" s="221">
        <v>45962</v>
      </c>
      <c r="C5" s="222"/>
      <c r="D5" s="120">
        <v>2</v>
      </c>
      <c r="E5" s="79"/>
      <c r="F5" s="79"/>
      <c r="G5" s="79"/>
      <c r="H5" s="78">
        <v>3</v>
      </c>
      <c r="I5" s="78"/>
      <c r="J5" s="78"/>
      <c r="K5" s="78">
        <f t="shared" ref="K5:K29" si="0">SUM(D5*168)</f>
        <v>336</v>
      </c>
      <c r="L5" s="78">
        <f>SUM(E5*168)</f>
        <v>0</v>
      </c>
      <c r="M5" s="78">
        <f>F5*1000</f>
        <v>0</v>
      </c>
      <c r="N5" s="78">
        <f>G5*1000</f>
        <v>0</v>
      </c>
      <c r="O5" s="78">
        <f>SUM(H5*21.6)</f>
        <v>64.800000000000011</v>
      </c>
      <c r="P5" s="78">
        <f>I5*500</f>
        <v>0</v>
      </c>
      <c r="Q5" s="78">
        <f>SUM(J5)*600</f>
        <v>0</v>
      </c>
      <c r="R5" s="78">
        <f>SUM(K5:Q5)</f>
        <v>400.8</v>
      </c>
    </row>
    <row r="6" spans="1:18">
      <c r="A6" s="6">
        <v>2</v>
      </c>
      <c r="B6" s="221">
        <v>45963</v>
      </c>
      <c r="C6" s="222"/>
      <c r="D6" s="120"/>
      <c r="E6" s="79"/>
      <c r="F6" s="79"/>
      <c r="G6" s="79"/>
      <c r="H6" s="78">
        <v>3</v>
      </c>
      <c r="I6" s="78"/>
      <c r="J6" s="78"/>
      <c r="K6" s="78">
        <f t="shared" si="0"/>
        <v>0</v>
      </c>
      <c r="L6" s="78">
        <f t="shared" ref="L6:L34" si="1">SUM(E6*168)</f>
        <v>0</v>
      </c>
      <c r="M6" s="78">
        <f t="shared" ref="M6:N34" si="2">F6*1000</f>
        <v>0</v>
      </c>
      <c r="N6" s="78">
        <f t="shared" si="2"/>
        <v>0</v>
      </c>
      <c r="O6" s="78">
        <f t="shared" ref="O6:O35" si="3">SUM(H6*21.6)</f>
        <v>64.800000000000011</v>
      </c>
      <c r="P6" s="78">
        <f t="shared" ref="P6:P35" si="4">I6*500</f>
        <v>0</v>
      </c>
      <c r="Q6" s="78">
        <f t="shared" ref="Q6:Q35" si="5">SUM(J6)*600</f>
        <v>0</v>
      </c>
      <c r="R6" s="78">
        <f t="shared" ref="R6:R35" si="6">SUM(K6:Q6)</f>
        <v>64.800000000000011</v>
      </c>
    </row>
    <row r="7" spans="1:18">
      <c r="A7" s="6">
        <v>3</v>
      </c>
      <c r="B7" s="221">
        <v>45964</v>
      </c>
      <c r="C7" s="222"/>
      <c r="D7" s="120"/>
      <c r="E7" s="79"/>
      <c r="F7" s="79"/>
      <c r="G7" s="79"/>
      <c r="H7" s="78">
        <v>3</v>
      </c>
      <c r="I7" s="78"/>
      <c r="J7" s="78"/>
      <c r="K7" s="78">
        <f t="shared" si="0"/>
        <v>0</v>
      </c>
      <c r="L7" s="78">
        <f t="shared" si="1"/>
        <v>0</v>
      </c>
      <c r="M7" s="78">
        <f t="shared" si="2"/>
        <v>0</v>
      </c>
      <c r="N7" s="78">
        <f t="shared" si="2"/>
        <v>0</v>
      </c>
      <c r="O7" s="78">
        <f t="shared" si="3"/>
        <v>64.800000000000011</v>
      </c>
      <c r="P7" s="78">
        <f t="shared" si="4"/>
        <v>0</v>
      </c>
      <c r="Q7" s="78">
        <f t="shared" si="5"/>
        <v>0</v>
      </c>
      <c r="R7" s="78">
        <f t="shared" si="6"/>
        <v>64.800000000000011</v>
      </c>
    </row>
    <row r="8" spans="1:18">
      <c r="A8" s="6">
        <v>4</v>
      </c>
      <c r="B8" s="221">
        <v>45965</v>
      </c>
      <c r="C8" s="222"/>
      <c r="D8" s="120"/>
      <c r="E8" s="79"/>
      <c r="F8" s="79"/>
      <c r="G8" s="79"/>
      <c r="H8" s="78">
        <v>3</v>
      </c>
      <c r="I8" s="78"/>
      <c r="J8" s="78"/>
      <c r="K8" s="78">
        <f t="shared" si="0"/>
        <v>0</v>
      </c>
      <c r="L8" s="78">
        <f t="shared" si="1"/>
        <v>0</v>
      </c>
      <c r="M8" s="78">
        <f t="shared" si="2"/>
        <v>0</v>
      </c>
      <c r="N8" s="78">
        <f t="shared" si="2"/>
        <v>0</v>
      </c>
      <c r="O8" s="78">
        <f t="shared" si="3"/>
        <v>64.800000000000011</v>
      </c>
      <c r="P8" s="78">
        <f t="shared" si="4"/>
        <v>0</v>
      </c>
      <c r="Q8" s="78">
        <f t="shared" si="5"/>
        <v>0</v>
      </c>
      <c r="R8" s="78">
        <f t="shared" si="6"/>
        <v>64.800000000000011</v>
      </c>
    </row>
    <row r="9" spans="1:18">
      <c r="A9" s="121">
        <v>5</v>
      </c>
      <c r="B9" s="221">
        <v>45966</v>
      </c>
      <c r="C9" s="222"/>
      <c r="D9" s="122"/>
      <c r="E9" s="123"/>
      <c r="F9" s="123"/>
      <c r="G9" s="123"/>
      <c r="H9" s="78">
        <v>3</v>
      </c>
      <c r="I9" s="78"/>
      <c r="J9" s="90"/>
      <c r="K9" s="78">
        <f t="shared" si="0"/>
        <v>0</v>
      </c>
      <c r="L9" s="78">
        <f t="shared" si="1"/>
        <v>0</v>
      </c>
      <c r="M9" s="78">
        <f t="shared" si="2"/>
        <v>0</v>
      </c>
      <c r="N9" s="78">
        <f t="shared" si="2"/>
        <v>0</v>
      </c>
      <c r="O9" s="78">
        <f t="shared" si="3"/>
        <v>64.800000000000011</v>
      </c>
      <c r="P9" s="78">
        <f t="shared" si="4"/>
        <v>0</v>
      </c>
      <c r="Q9" s="78">
        <f t="shared" si="5"/>
        <v>0</v>
      </c>
      <c r="R9" s="90">
        <f t="shared" si="6"/>
        <v>64.800000000000011</v>
      </c>
    </row>
    <row r="10" spans="1:18">
      <c r="A10" s="121">
        <v>6</v>
      </c>
      <c r="B10" s="221">
        <v>45967</v>
      </c>
      <c r="C10" s="222"/>
      <c r="D10" s="122"/>
      <c r="E10" s="123"/>
      <c r="F10" s="123"/>
      <c r="G10" s="123"/>
      <c r="H10" s="78">
        <v>3</v>
      </c>
      <c r="I10" s="78"/>
      <c r="J10" s="90"/>
      <c r="K10" s="78">
        <f t="shared" si="0"/>
        <v>0</v>
      </c>
      <c r="L10" s="78">
        <f t="shared" si="1"/>
        <v>0</v>
      </c>
      <c r="M10" s="78">
        <f t="shared" si="2"/>
        <v>0</v>
      </c>
      <c r="N10" s="78">
        <f t="shared" si="2"/>
        <v>0</v>
      </c>
      <c r="O10" s="78">
        <f t="shared" si="3"/>
        <v>64.800000000000011</v>
      </c>
      <c r="P10" s="78">
        <f t="shared" si="4"/>
        <v>0</v>
      </c>
      <c r="Q10" s="78">
        <f t="shared" si="5"/>
        <v>0</v>
      </c>
      <c r="R10" s="90">
        <f t="shared" si="6"/>
        <v>64.800000000000011</v>
      </c>
    </row>
    <row r="11" spans="1:18">
      <c r="A11" s="121">
        <v>7</v>
      </c>
      <c r="B11" s="221">
        <v>45968</v>
      </c>
      <c r="C11" s="222"/>
      <c r="D11" s="122"/>
      <c r="E11" s="123"/>
      <c r="F11" s="123"/>
      <c r="G11" s="123"/>
      <c r="H11" s="78">
        <v>3</v>
      </c>
      <c r="I11" s="78"/>
      <c r="J11" s="90"/>
      <c r="K11" s="78">
        <f t="shared" si="0"/>
        <v>0</v>
      </c>
      <c r="L11" s="78">
        <f t="shared" si="1"/>
        <v>0</v>
      </c>
      <c r="M11" s="78">
        <f t="shared" si="2"/>
        <v>0</v>
      </c>
      <c r="N11" s="78">
        <f t="shared" si="2"/>
        <v>0</v>
      </c>
      <c r="O11" s="78">
        <f t="shared" si="3"/>
        <v>64.800000000000011</v>
      </c>
      <c r="P11" s="78">
        <f t="shared" si="4"/>
        <v>0</v>
      </c>
      <c r="Q11" s="78">
        <f t="shared" si="5"/>
        <v>0</v>
      </c>
      <c r="R11" s="90">
        <f t="shared" si="6"/>
        <v>64.800000000000011</v>
      </c>
    </row>
    <row r="12" spans="1:18">
      <c r="A12" s="121">
        <v>8</v>
      </c>
      <c r="B12" s="221">
        <v>45969</v>
      </c>
      <c r="C12" s="222"/>
      <c r="D12" s="122"/>
      <c r="E12" s="123"/>
      <c r="F12" s="123"/>
      <c r="G12" s="123"/>
      <c r="H12" s="78">
        <v>3</v>
      </c>
      <c r="I12" s="78"/>
      <c r="J12" s="90"/>
      <c r="K12" s="78">
        <f t="shared" si="0"/>
        <v>0</v>
      </c>
      <c r="L12" s="78">
        <f t="shared" si="1"/>
        <v>0</v>
      </c>
      <c r="M12" s="78">
        <f t="shared" si="2"/>
        <v>0</v>
      </c>
      <c r="N12" s="78">
        <f t="shared" si="2"/>
        <v>0</v>
      </c>
      <c r="O12" s="78">
        <f t="shared" si="3"/>
        <v>64.800000000000011</v>
      </c>
      <c r="P12" s="78">
        <f t="shared" si="4"/>
        <v>0</v>
      </c>
      <c r="Q12" s="78">
        <f t="shared" si="5"/>
        <v>0</v>
      </c>
      <c r="R12" s="90">
        <f t="shared" si="6"/>
        <v>64.800000000000011</v>
      </c>
    </row>
    <row r="13" spans="1:18">
      <c r="A13" s="6">
        <v>9</v>
      </c>
      <c r="B13" s="221">
        <v>45970</v>
      </c>
      <c r="C13" s="222"/>
      <c r="D13" s="120"/>
      <c r="E13" s="79"/>
      <c r="F13" s="79"/>
      <c r="G13" s="79"/>
      <c r="H13" s="78">
        <v>3</v>
      </c>
      <c r="I13" s="78"/>
      <c r="J13" s="78"/>
      <c r="K13" s="78">
        <f t="shared" si="0"/>
        <v>0</v>
      </c>
      <c r="L13" s="78">
        <f t="shared" si="1"/>
        <v>0</v>
      </c>
      <c r="M13" s="78">
        <f t="shared" si="2"/>
        <v>0</v>
      </c>
      <c r="N13" s="78">
        <f t="shared" si="2"/>
        <v>0</v>
      </c>
      <c r="O13" s="78">
        <f t="shared" si="3"/>
        <v>64.800000000000011</v>
      </c>
      <c r="P13" s="78">
        <f t="shared" si="4"/>
        <v>0</v>
      </c>
      <c r="Q13" s="78">
        <f t="shared" si="5"/>
        <v>0</v>
      </c>
      <c r="R13" s="78">
        <f t="shared" si="6"/>
        <v>64.800000000000011</v>
      </c>
    </row>
    <row r="14" spans="1:18">
      <c r="A14" s="6">
        <v>10</v>
      </c>
      <c r="B14" s="221">
        <v>45971</v>
      </c>
      <c r="C14" s="222"/>
      <c r="D14" s="120"/>
      <c r="E14" s="79">
        <v>2</v>
      </c>
      <c r="F14" s="79"/>
      <c r="G14" s="79"/>
      <c r="H14" s="78">
        <v>3</v>
      </c>
      <c r="I14" s="78"/>
      <c r="J14" s="78"/>
      <c r="K14" s="78">
        <f t="shared" si="0"/>
        <v>0</v>
      </c>
      <c r="L14" s="78">
        <f t="shared" si="1"/>
        <v>336</v>
      </c>
      <c r="M14" s="78">
        <f t="shared" si="2"/>
        <v>0</v>
      </c>
      <c r="N14" s="78">
        <f t="shared" si="2"/>
        <v>0</v>
      </c>
      <c r="O14" s="78">
        <f t="shared" si="3"/>
        <v>64.800000000000011</v>
      </c>
      <c r="P14" s="78">
        <f t="shared" si="4"/>
        <v>0</v>
      </c>
      <c r="Q14" s="78">
        <f t="shared" si="5"/>
        <v>0</v>
      </c>
      <c r="R14" s="78">
        <f t="shared" si="6"/>
        <v>400.8</v>
      </c>
    </row>
    <row r="15" spans="1:18">
      <c r="A15" s="121">
        <v>11</v>
      </c>
      <c r="B15" s="221">
        <v>45972</v>
      </c>
      <c r="C15" s="222"/>
      <c r="D15" s="122"/>
      <c r="E15" s="123"/>
      <c r="F15" s="123"/>
      <c r="G15" s="79"/>
      <c r="H15" s="78">
        <v>1</v>
      </c>
      <c r="I15" s="78"/>
      <c r="J15" s="90"/>
      <c r="K15" s="78">
        <f t="shared" si="0"/>
        <v>0</v>
      </c>
      <c r="L15" s="78">
        <f t="shared" si="1"/>
        <v>0</v>
      </c>
      <c r="M15" s="78">
        <f t="shared" si="2"/>
        <v>0</v>
      </c>
      <c r="N15" s="78">
        <f t="shared" si="2"/>
        <v>0</v>
      </c>
      <c r="O15" s="78">
        <f t="shared" si="3"/>
        <v>21.6</v>
      </c>
      <c r="P15" s="78">
        <f t="shared" si="4"/>
        <v>0</v>
      </c>
      <c r="Q15" s="78">
        <f t="shared" si="5"/>
        <v>0</v>
      </c>
      <c r="R15" s="90">
        <f t="shared" si="6"/>
        <v>21.6</v>
      </c>
    </row>
    <row r="16" spans="1:18">
      <c r="A16" s="121">
        <v>12</v>
      </c>
      <c r="B16" s="221">
        <v>45973</v>
      </c>
      <c r="C16" s="222"/>
      <c r="D16" s="122"/>
      <c r="E16" s="123"/>
      <c r="F16" s="123"/>
      <c r="G16" s="79"/>
      <c r="H16" s="78">
        <v>1</v>
      </c>
      <c r="I16" s="78"/>
      <c r="J16" s="90"/>
      <c r="K16" s="78">
        <f t="shared" si="0"/>
        <v>0</v>
      </c>
      <c r="L16" s="78">
        <f t="shared" si="1"/>
        <v>0</v>
      </c>
      <c r="M16" s="78">
        <f t="shared" si="2"/>
        <v>0</v>
      </c>
      <c r="N16" s="78">
        <f t="shared" si="2"/>
        <v>0</v>
      </c>
      <c r="O16" s="78">
        <f t="shared" si="3"/>
        <v>21.6</v>
      </c>
      <c r="P16" s="78">
        <f t="shared" si="4"/>
        <v>0</v>
      </c>
      <c r="Q16" s="78">
        <f t="shared" si="5"/>
        <v>0</v>
      </c>
      <c r="R16" s="90">
        <f t="shared" si="6"/>
        <v>21.6</v>
      </c>
    </row>
    <row r="17" spans="1:18">
      <c r="A17" s="121">
        <v>13</v>
      </c>
      <c r="B17" s="221">
        <v>45974</v>
      </c>
      <c r="C17" s="222"/>
      <c r="D17" s="122"/>
      <c r="E17" s="123"/>
      <c r="F17" s="123"/>
      <c r="G17" s="79"/>
      <c r="H17" s="78">
        <v>1</v>
      </c>
      <c r="I17" s="78"/>
      <c r="J17" s="90"/>
      <c r="K17" s="78">
        <f t="shared" si="0"/>
        <v>0</v>
      </c>
      <c r="L17" s="78">
        <f t="shared" si="1"/>
        <v>0</v>
      </c>
      <c r="M17" s="78">
        <f t="shared" si="2"/>
        <v>0</v>
      </c>
      <c r="N17" s="78">
        <f t="shared" si="2"/>
        <v>0</v>
      </c>
      <c r="O17" s="78">
        <f t="shared" si="3"/>
        <v>21.6</v>
      </c>
      <c r="P17" s="78">
        <f t="shared" si="4"/>
        <v>0</v>
      </c>
      <c r="Q17" s="78">
        <f t="shared" si="5"/>
        <v>0</v>
      </c>
      <c r="R17" s="90">
        <f t="shared" si="6"/>
        <v>21.6</v>
      </c>
    </row>
    <row r="18" spans="1:18">
      <c r="A18" s="121">
        <v>14</v>
      </c>
      <c r="B18" s="221">
        <v>45975</v>
      </c>
      <c r="C18" s="222"/>
      <c r="D18" s="122"/>
      <c r="E18" s="123"/>
      <c r="F18" s="123"/>
      <c r="G18" s="79"/>
      <c r="H18" s="78">
        <v>1</v>
      </c>
      <c r="I18" s="78"/>
      <c r="J18" s="90"/>
      <c r="K18" s="78">
        <f t="shared" si="0"/>
        <v>0</v>
      </c>
      <c r="L18" s="78">
        <f t="shared" si="1"/>
        <v>0</v>
      </c>
      <c r="M18" s="78">
        <f t="shared" si="2"/>
        <v>0</v>
      </c>
      <c r="N18" s="78">
        <f t="shared" si="2"/>
        <v>0</v>
      </c>
      <c r="O18" s="78">
        <f t="shared" si="3"/>
        <v>21.6</v>
      </c>
      <c r="P18" s="78">
        <f t="shared" si="4"/>
        <v>0</v>
      </c>
      <c r="Q18" s="78">
        <f t="shared" si="5"/>
        <v>0</v>
      </c>
      <c r="R18" s="90">
        <f t="shared" si="6"/>
        <v>21.6</v>
      </c>
    </row>
    <row r="19" spans="1:18">
      <c r="A19" s="121">
        <v>15</v>
      </c>
      <c r="B19" s="221">
        <v>45976</v>
      </c>
      <c r="C19" s="222"/>
      <c r="D19" s="122"/>
      <c r="E19" s="123"/>
      <c r="F19" s="123"/>
      <c r="G19" s="79"/>
      <c r="H19" s="78">
        <v>1</v>
      </c>
      <c r="I19" s="78"/>
      <c r="J19" s="90"/>
      <c r="K19" s="78">
        <f t="shared" si="0"/>
        <v>0</v>
      </c>
      <c r="L19" s="78">
        <f t="shared" si="1"/>
        <v>0</v>
      </c>
      <c r="M19" s="78">
        <f t="shared" si="2"/>
        <v>0</v>
      </c>
      <c r="N19" s="78">
        <f t="shared" si="2"/>
        <v>0</v>
      </c>
      <c r="O19" s="78">
        <f t="shared" si="3"/>
        <v>21.6</v>
      </c>
      <c r="P19" s="78">
        <f t="shared" si="4"/>
        <v>0</v>
      </c>
      <c r="Q19" s="78">
        <f t="shared" si="5"/>
        <v>0</v>
      </c>
      <c r="R19" s="90">
        <f t="shared" si="6"/>
        <v>21.6</v>
      </c>
    </row>
    <row r="20" spans="1:18">
      <c r="A20" s="6">
        <v>16</v>
      </c>
      <c r="B20" s="221">
        <v>45977</v>
      </c>
      <c r="C20" s="222"/>
      <c r="D20" s="120"/>
      <c r="E20" s="79"/>
      <c r="F20" s="79"/>
      <c r="G20" s="123"/>
      <c r="H20" s="78">
        <v>1</v>
      </c>
      <c r="I20" s="78"/>
      <c r="J20" s="78"/>
      <c r="K20" s="78">
        <f t="shared" si="0"/>
        <v>0</v>
      </c>
      <c r="L20" s="78">
        <f t="shared" si="1"/>
        <v>0</v>
      </c>
      <c r="M20" s="78">
        <f t="shared" si="2"/>
        <v>0</v>
      </c>
      <c r="N20" s="78">
        <f t="shared" si="2"/>
        <v>0</v>
      </c>
      <c r="O20" s="78">
        <f t="shared" si="3"/>
        <v>21.6</v>
      </c>
      <c r="P20" s="78">
        <f t="shared" si="4"/>
        <v>0</v>
      </c>
      <c r="Q20" s="78">
        <f t="shared" si="5"/>
        <v>0</v>
      </c>
      <c r="R20" s="78">
        <f t="shared" si="6"/>
        <v>21.6</v>
      </c>
    </row>
    <row r="21" spans="1:18">
      <c r="A21" s="6">
        <v>17</v>
      </c>
      <c r="B21" s="221">
        <v>45978</v>
      </c>
      <c r="C21" s="222"/>
      <c r="D21" s="120"/>
      <c r="E21" s="79"/>
      <c r="F21" s="79"/>
      <c r="G21" s="123"/>
      <c r="H21" s="78">
        <v>1</v>
      </c>
      <c r="I21" s="78"/>
      <c r="J21" s="78"/>
      <c r="K21" s="78">
        <f t="shared" si="0"/>
        <v>0</v>
      </c>
      <c r="L21" s="78">
        <f t="shared" si="1"/>
        <v>0</v>
      </c>
      <c r="M21" s="78">
        <f t="shared" si="2"/>
        <v>0</v>
      </c>
      <c r="N21" s="78">
        <f t="shared" si="2"/>
        <v>0</v>
      </c>
      <c r="O21" s="78">
        <f t="shared" si="3"/>
        <v>21.6</v>
      </c>
      <c r="P21" s="78">
        <f t="shared" si="4"/>
        <v>0</v>
      </c>
      <c r="Q21" s="78">
        <f t="shared" si="5"/>
        <v>0</v>
      </c>
      <c r="R21" s="78">
        <f t="shared" si="6"/>
        <v>21.6</v>
      </c>
    </row>
    <row r="22" spans="1:18">
      <c r="A22" s="121">
        <v>18</v>
      </c>
      <c r="B22" s="221">
        <v>45979</v>
      </c>
      <c r="C22" s="222"/>
      <c r="D22" s="122"/>
      <c r="E22" s="123"/>
      <c r="F22" s="123"/>
      <c r="G22" s="123"/>
      <c r="H22" s="78">
        <v>1</v>
      </c>
      <c r="I22" s="90"/>
      <c r="J22" s="90"/>
      <c r="K22" s="78">
        <f t="shared" si="0"/>
        <v>0</v>
      </c>
      <c r="L22" s="78">
        <f t="shared" si="1"/>
        <v>0</v>
      </c>
      <c r="M22" s="78">
        <f t="shared" si="2"/>
        <v>0</v>
      </c>
      <c r="N22" s="78">
        <f t="shared" si="2"/>
        <v>0</v>
      </c>
      <c r="O22" s="78">
        <f t="shared" si="3"/>
        <v>21.6</v>
      </c>
      <c r="P22" s="78">
        <f t="shared" si="4"/>
        <v>0</v>
      </c>
      <c r="Q22" s="78">
        <f t="shared" si="5"/>
        <v>0</v>
      </c>
      <c r="R22" s="90">
        <f t="shared" si="6"/>
        <v>21.6</v>
      </c>
    </row>
    <row r="23" spans="1:18">
      <c r="A23" s="121">
        <v>19</v>
      </c>
      <c r="B23" s="221">
        <v>45980</v>
      </c>
      <c r="C23" s="222"/>
      <c r="D23" s="122"/>
      <c r="E23" s="123"/>
      <c r="F23" s="123"/>
      <c r="G23" s="123"/>
      <c r="H23" s="78">
        <v>1</v>
      </c>
      <c r="I23" s="90"/>
      <c r="J23" s="90"/>
      <c r="K23" s="78">
        <f t="shared" si="0"/>
        <v>0</v>
      </c>
      <c r="L23" s="78">
        <f t="shared" si="1"/>
        <v>0</v>
      </c>
      <c r="M23" s="78">
        <f t="shared" si="2"/>
        <v>0</v>
      </c>
      <c r="N23" s="78">
        <f t="shared" si="2"/>
        <v>0</v>
      </c>
      <c r="O23" s="78">
        <f t="shared" si="3"/>
        <v>21.6</v>
      </c>
      <c r="P23" s="78">
        <f t="shared" si="4"/>
        <v>0</v>
      </c>
      <c r="Q23" s="78">
        <f t="shared" si="5"/>
        <v>0</v>
      </c>
      <c r="R23" s="90">
        <f t="shared" si="6"/>
        <v>21.6</v>
      </c>
    </row>
    <row r="24" spans="1:18">
      <c r="A24" s="121">
        <v>20</v>
      </c>
      <c r="B24" s="221">
        <v>45981</v>
      </c>
      <c r="C24" s="222"/>
      <c r="D24" s="122"/>
      <c r="E24" s="123"/>
      <c r="F24" s="123"/>
      <c r="G24" s="123"/>
      <c r="H24" s="78">
        <v>1</v>
      </c>
      <c r="I24" s="90"/>
      <c r="J24" s="90"/>
      <c r="K24" s="78">
        <f t="shared" si="0"/>
        <v>0</v>
      </c>
      <c r="L24" s="78">
        <f t="shared" si="1"/>
        <v>0</v>
      </c>
      <c r="M24" s="78">
        <f t="shared" si="2"/>
        <v>0</v>
      </c>
      <c r="N24" s="78">
        <f t="shared" si="2"/>
        <v>0</v>
      </c>
      <c r="O24" s="78">
        <f t="shared" si="3"/>
        <v>21.6</v>
      </c>
      <c r="P24" s="78">
        <f t="shared" si="4"/>
        <v>0</v>
      </c>
      <c r="Q24" s="78">
        <f t="shared" si="5"/>
        <v>0</v>
      </c>
      <c r="R24" s="90">
        <f t="shared" si="6"/>
        <v>21.6</v>
      </c>
    </row>
    <row r="25" spans="1:18">
      <c r="A25" s="121">
        <v>21</v>
      </c>
      <c r="B25" s="221">
        <v>45982</v>
      </c>
      <c r="C25" s="222"/>
      <c r="D25" s="122"/>
      <c r="E25" s="123"/>
      <c r="F25" s="123"/>
      <c r="G25" s="123"/>
      <c r="H25" s="78">
        <v>1</v>
      </c>
      <c r="I25" s="90"/>
      <c r="J25" s="90"/>
      <c r="K25" s="78">
        <f t="shared" si="0"/>
        <v>0</v>
      </c>
      <c r="L25" s="78">
        <f t="shared" si="1"/>
        <v>0</v>
      </c>
      <c r="M25" s="78">
        <f t="shared" si="2"/>
        <v>0</v>
      </c>
      <c r="N25" s="78">
        <f t="shared" si="2"/>
        <v>0</v>
      </c>
      <c r="O25" s="78">
        <f t="shared" si="3"/>
        <v>21.6</v>
      </c>
      <c r="P25" s="78">
        <f t="shared" si="4"/>
        <v>0</v>
      </c>
      <c r="Q25" s="78">
        <f t="shared" si="5"/>
        <v>0</v>
      </c>
      <c r="R25" s="90">
        <f t="shared" si="6"/>
        <v>21.6</v>
      </c>
    </row>
    <row r="26" spans="1:18">
      <c r="A26" s="121">
        <v>22</v>
      </c>
      <c r="B26" s="221">
        <v>45983</v>
      </c>
      <c r="C26" s="222"/>
      <c r="D26" s="122"/>
      <c r="E26" s="123"/>
      <c r="F26" s="123"/>
      <c r="G26" s="123"/>
      <c r="H26" s="78">
        <v>1</v>
      </c>
      <c r="I26" s="78"/>
      <c r="J26" s="90"/>
      <c r="K26" s="78">
        <f t="shared" si="0"/>
        <v>0</v>
      </c>
      <c r="L26" s="78">
        <f t="shared" si="1"/>
        <v>0</v>
      </c>
      <c r="M26" s="78">
        <f t="shared" si="2"/>
        <v>0</v>
      </c>
      <c r="N26" s="78">
        <f t="shared" si="2"/>
        <v>0</v>
      </c>
      <c r="O26" s="78">
        <f t="shared" si="3"/>
        <v>21.6</v>
      </c>
      <c r="P26" s="78">
        <f t="shared" si="4"/>
        <v>0</v>
      </c>
      <c r="Q26" s="78">
        <f t="shared" si="5"/>
        <v>0</v>
      </c>
      <c r="R26" s="90">
        <f t="shared" si="6"/>
        <v>21.6</v>
      </c>
    </row>
    <row r="27" spans="1:18">
      <c r="A27" s="6">
        <v>23</v>
      </c>
      <c r="B27" s="221">
        <v>45984</v>
      </c>
      <c r="C27" s="222"/>
      <c r="D27" s="120"/>
      <c r="E27" s="79"/>
      <c r="F27" s="79"/>
      <c r="G27" s="79"/>
      <c r="H27" s="78">
        <v>1</v>
      </c>
      <c r="I27" s="78"/>
      <c r="J27" s="78"/>
      <c r="K27" s="78">
        <f t="shared" si="0"/>
        <v>0</v>
      </c>
      <c r="L27" s="78">
        <f t="shared" si="1"/>
        <v>0</v>
      </c>
      <c r="M27" s="78">
        <f t="shared" si="2"/>
        <v>0</v>
      </c>
      <c r="N27" s="78">
        <f t="shared" si="2"/>
        <v>0</v>
      </c>
      <c r="O27" s="78">
        <f t="shared" si="3"/>
        <v>21.6</v>
      </c>
      <c r="P27" s="78">
        <f t="shared" si="4"/>
        <v>0</v>
      </c>
      <c r="Q27" s="78">
        <f t="shared" si="5"/>
        <v>0</v>
      </c>
      <c r="R27" s="78">
        <f t="shared" si="6"/>
        <v>21.6</v>
      </c>
    </row>
    <row r="28" spans="1:18">
      <c r="A28" s="6">
        <v>24</v>
      </c>
      <c r="B28" s="221">
        <v>45985</v>
      </c>
      <c r="C28" s="222"/>
      <c r="D28" s="120">
        <v>1</v>
      </c>
      <c r="E28" s="79"/>
      <c r="F28" s="79"/>
      <c r="G28" s="79"/>
      <c r="H28" s="78">
        <v>2</v>
      </c>
      <c r="I28" s="78"/>
      <c r="J28" s="78"/>
      <c r="K28" s="78">
        <f t="shared" si="0"/>
        <v>168</v>
      </c>
      <c r="L28" s="78">
        <f t="shared" si="1"/>
        <v>0</v>
      </c>
      <c r="M28" s="78">
        <f t="shared" si="2"/>
        <v>0</v>
      </c>
      <c r="N28" s="78">
        <f t="shared" si="2"/>
        <v>0</v>
      </c>
      <c r="O28" s="78">
        <f t="shared" si="3"/>
        <v>43.2</v>
      </c>
      <c r="P28" s="78">
        <f t="shared" si="4"/>
        <v>0</v>
      </c>
      <c r="Q28" s="78">
        <f t="shared" si="5"/>
        <v>0</v>
      </c>
      <c r="R28" s="78">
        <f t="shared" si="6"/>
        <v>211.2</v>
      </c>
    </row>
    <row r="29" spans="1:18">
      <c r="A29" s="121">
        <v>25</v>
      </c>
      <c r="B29" s="221">
        <v>45986</v>
      </c>
      <c r="C29" s="222"/>
      <c r="D29" s="122"/>
      <c r="E29" s="123">
        <v>1</v>
      </c>
      <c r="F29" s="123"/>
      <c r="G29" s="123"/>
      <c r="H29" s="78">
        <v>2</v>
      </c>
      <c r="I29" s="78"/>
      <c r="J29" s="90"/>
      <c r="K29" s="78">
        <f t="shared" si="0"/>
        <v>0</v>
      </c>
      <c r="L29" s="78">
        <f t="shared" si="1"/>
        <v>168</v>
      </c>
      <c r="M29" s="78">
        <f>F29*1000</f>
        <v>0</v>
      </c>
      <c r="N29" s="78">
        <f t="shared" si="2"/>
        <v>0</v>
      </c>
      <c r="O29" s="78">
        <f t="shared" si="3"/>
        <v>43.2</v>
      </c>
      <c r="P29" s="78">
        <f t="shared" si="4"/>
        <v>0</v>
      </c>
      <c r="Q29" s="78">
        <f t="shared" si="5"/>
        <v>0</v>
      </c>
      <c r="R29" s="90">
        <f t="shared" si="6"/>
        <v>211.2</v>
      </c>
    </row>
    <row r="30" spans="1:18">
      <c r="A30" s="121">
        <v>26</v>
      </c>
      <c r="B30" s="221">
        <v>45987</v>
      </c>
      <c r="C30" s="222"/>
      <c r="D30" s="122"/>
      <c r="E30" s="123"/>
      <c r="F30" s="123"/>
      <c r="G30" s="123"/>
      <c r="H30" s="78">
        <v>1</v>
      </c>
      <c r="I30" s="78"/>
      <c r="J30" s="90"/>
      <c r="K30" s="78">
        <f>SUM(D30*168)</f>
        <v>0</v>
      </c>
      <c r="L30" s="78">
        <f t="shared" si="1"/>
        <v>0</v>
      </c>
      <c r="M30" s="78">
        <f t="shared" si="2"/>
        <v>0</v>
      </c>
      <c r="N30" s="78">
        <f t="shared" si="2"/>
        <v>0</v>
      </c>
      <c r="O30" s="78">
        <f t="shared" si="3"/>
        <v>21.6</v>
      </c>
      <c r="P30" s="78">
        <f t="shared" si="4"/>
        <v>0</v>
      </c>
      <c r="Q30" s="78">
        <f t="shared" si="5"/>
        <v>0</v>
      </c>
      <c r="R30" s="90">
        <f t="shared" si="6"/>
        <v>21.6</v>
      </c>
    </row>
    <row r="31" spans="1:18">
      <c r="A31" s="121">
        <v>27</v>
      </c>
      <c r="B31" s="221">
        <v>45988</v>
      </c>
      <c r="C31" s="222"/>
      <c r="D31" s="122"/>
      <c r="E31" s="123"/>
      <c r="F31" s="123"/>
      <c r="G31" s="123"/>
      <c r="H31" s="78">
        <v>1</v>
      </c>
      <c r="I31" s="78"/>
      <c r="J31" s="90"/>
      <c r="K31" s="78">
        <f t="shared" ref="K31:L35" si="7">SUM(D31*168)</f>
        <v>0</v>
      </c>
      <c r="L31" s="78">
        <f t="shared" si="1"/>
        <v>0</v>
      </c>
      <c r="M31" s="78">
        <f t="shared" si="2"/>
        <v>0</v>
      </c>
      <c r="N31" s="78">
        <f t="shared" si="2"/>
        <v>0</v>
      </c>
      <c r="O31" s="78">
        <f t="shared" si="3"/>
        <v>21.6</v>
      </c>
      <c r="P31" s="78">
        <f t="shared" si="4"/>
        <v>0</v>
      </c>
      <c r="Q31" s="78">
        <f t="shared" si="5"/>
        <v>0</v>
      </c>
      <c r="R31" s="90">
        <f t="shared" si="6"/>
        <v>21.6</v>
      </c>
    </row>
    <row r="32" spans="1:18">
      <c r="A32" s="121">
        <v>28</v>
      </c>
      <c r="B32" s="221">
        <v>45989</v>
      </c>
      <c r="C32" s="222"/>
      <c r="D32" s="122"/>
      <c r="E32" s="123"/>
      <c r="F32" s="123"/>
      <c r="G32" s="123"/>
      <c r="H32" s="78">
        <v>1</v>
      </c>
      <c r="I32" s="78"/>
      <c r="J32" s="90"/>
      <c r="K32" s="78">
        <f t="shared" si="7"/>
        <v>0</v>
      </c>
      <c r="L32" s="78">
        <f t="shared" si="1"/>
        <v>0</v>
      </c>
      <c r="M32" s="78">
        <f t="shared" si="2"/>
        <v>0</v>
      </c>
      <c r="N32" s="78">
        <f t="shared" si="2"/>
        <v>0</v>
      </c>
      <c r="O32" s="78">
        <f t="shared" si="3"/>
        <v>21.6</v>
      </c>
      <c r="P32" s="78">
        <f t="shared" si="4"/>
        <v>0</v>
      </c>
      <c r="Q32" s="78">
        <f t="shared" si="5"/>
        <v>0</v>
      </c>
      <c r="R32" s="90">
        <f t="shared" si="6"/>
        <v>21.6</v>
      </c>
    </row>
    <row r="33" spans="1:18">
      <c r="A33" s="121">
        <v>29</v>
      </c>
      <c r="B33" s="221">
        <v>45990</v>
      </c>
      <c r="C33" s="222"/>
      <c r="D33" s="122"/>
      <c r="E33" s="123"/>
      <c r="F33" s="123"/>
      <c r="G33" s="123"/>
      <c r="H33" s="78">
        <v>1</v>
      </c>
      <c r="I33" s="78"/>
      <c r="J33" s="90"/>
      <c r="K33" s="78">
        <f t="shared" si="7"/>
        <v>0</v>
      </c>
      <c r="L33" s="78">
        <f t="shared" si="1"/>
        <v>0</v>
      </c>
      <c r="M33" s="78">
        <f t="shared" si="2"/>
        <v>0</v>
      </c>
      <c r="N33" s="78">
        <f t="shared" si="2"/>
        <v>0</v>
      </c>
      <c r="O33" s="78">
        <f t="shared" si="3"/>
        <v>21.6</v>
      </c>
      <c r="P33" s="78">
        <f t="shared" si="4"/>
        <v>0</v>
      </c>
      <c r="Q33" s="78">
        <f t="shared" si="5"/>
        <v>0</v>
      </c>
      <c r="R33" s="90">
        <f t="shared" si="6"/>
        <v>21.6</v>
      </c>
    </row>
    <row r="34" spans="1:18">
      <c r="A34" s="121">
        <v>30</v>
      </c>
      <c r="B34" s="221">
        <v>45991</v>
      </c>
      <c r="C34" s="222"/>
      <c r="D34" s="122"/>
      <c r="E34" s="123"/>
      <c r="F34" s="123"/>
      <c r="G34" s="123"/>
      <c r="H34" s="78">
        <v>1</v>
      </c>
      <c r="I34" s="78"/>
      <c r="J34" s="90"/>
      <c r="K34" s="78">
        <f t="shared" si="7"/>
        <v>0</v>
      </c>
      <c r="L34" s="78">
        <f t="shared" si="1"/>
        <v>0</v>
      </c>
      <c r="M34" s="78">
        <f t="shared" si="2"/>
        <v>0</v>
      </c>
      <c r="N34" s="78">
        <f t="shared" si="2"/>
        <v>0</v>
      </c>
      <c r="O34" s="78">
        <f t="shared" si="3"/>
        <v>21.6</v>
      </c>
      <c r="P34" s="78">
        <f t="shared" si="4"/>
        <v>0</v>
      </c>
      <c r="Q34" s="78">
        <f t="shared" si="5"/>
        <v>0</v>
      </c>
      <c r="R34" s="90">
        <f t="shared" si="6"/>
        <v>21.6</v>
      </c>
    </row>
    <row r="35" spans="1:18" ht="15.75" thickBot="1">
      <c r="A35" s="121"/>
      <c r="B35" s="221"/>
      <c r="C35" s="222"/>
      <c r="D35" s="122"/>
      <c r="E35" s="123"/>
      <c r="F35" s="123"/>
      <c r="G35" s="123"/>
      <c r="H35" s="78"/>
      <c r="I35" s="78"/>
      <c r="J35" s="90"/>
      <c r="K35" s="78">
        <f t="shared" si="7"/>
        <v>0</v>
      </c>
      <c r="L35" s="78">
        <f t="shared" si="7"/>
        <v>0</v>
      </c>
      <c r="M35" s="78">
        <f t="shared" ref="M35:N35" si="8">F35*1000</f>
        <v>0</v>
      </c>
      <c r="N35" s="78">
        <f t="shared" si="8"/>
        <v>0</v>
      </c>
      <c r="O35" s="78">
        <f t="shared" si="3"/>
        <v>0</v>
      </c>
      <c r="P35" s="78">
        <f t="shared" si="4"/>
        <v>0</v>
      </c>
      <c r="Q35" s="78">
        <f t="shared" si="5"/>
        <v>0</v>
      </c>
      <c r="R35" s="90">
        <f t="shared" si="6"/>
        <v>0</v>
      </c>
    </row>
    <row r="36" spans="1:18" ht="15.75" thickBot="1">
      <c r="D36" s="104">
        <f>SUM(D5:D35)</f>
        <v>3</v>
      </c>
      <c r="E36" s="124">
        <f>SUM(E5:E35)</f>
        <v>3</v>
      </c>
      <c r="F36" s="124">
        <f>SUM(F5:F35)</f>
        <v>0</v>
      </c>
      <c r="G36" s="124"/>
      <c r="H36" s="125">
        <f>SUM(H5:H35)</f>
        <v>52</v>
      </c>
      <c r="I36" s="126"/>
      <c r="J36" s="124"/>
      <c r="K36" s="124">
        <f>SUM(K5:K35)</f>
        <v>504</v>
      </c>
      <c r="L36" s="124">
        <f t="shared" ref="L36:Q36" si="9">SUM(L5:L35)</f>
        <v>504</v>
      </c>
      <c r="M36" s="124">
        <f t="shared" si="9"/>
        <v>0</v>
      </c>
      <c r="N36" s="124">
        <f t="shared" si="9"/>
        <v>0</v>
      </c>
      <c r="O36" s="124">
        <f t="shared" si="9"/>
        <v>1123.2</v>
      </c>
      <c r="P36" s="124">
        <f t="shared" si="9"/>
        <v>0</v>
      </c>
      <c r="Q36" s="124">
        <f t="shared" si="9"/>
        <v>0</v>
      </c>
      <c r="R36" s="127">
        <f>SUM(R5:R35)</f>
        <v>2131.1999999999985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00FA-7B82-42D8-8195-6ABF9EF5C748}">
  <dimension ref="A1:S39"/>
  <sheetViews>
    <sheetView zoomScaleNormal="100" workbookViewId="0">
      <selection activeCell="E26" sqref="E26"/>
    </sheetView>
  </sheetViews>
  <sheetFormatPr defaultRowHeight="15"/>
  <cols>
    <col min="1" max="1" width="8.3984375" style="2" bestFit="1" customWidth="1"/>
    <col min="2" max="11" width="8.796875" style="2"/>
    <col min="12" max="12" width="8.19921875" style="2" customWidth="1"/>
    <col min="13" max="13" width="8.796875" style="2"/>
    <col min="14" max="14" width="8.19921875" style="2" customWidth="1"/>
    <col min="15" max="16" width="8.796875" style="2"/>
    <col min="17" max="17" width="8.19921875" style="2" customWidth="1"/>
    <col min="18" max="18" width="7.8984375" style="2" customWidth="1"/>
    <col min="19" max="19" width="10.5" style="2" customWidth="1"/>
    <col min="20" max="16384" width="8.796875" style="2"/>
  </cols>
  <sheetData>
    <row r="1" spans="1:19" ht="15.75">
      <c r="A1" s="128">
        <f>S39</f>
        <v>21823.199999999986</v>
      </c>
      <c r="C1" s="129"/>
      <c r="D1" s="129"/>
      <c r="E1" s="129"/>
      <c r="F1" s="129"/>
      <c r="G1" s="129"/>
      <c r="H1" s="240"/>
      <c r="I1" s="240"/>
      <c r="J1" s="129"/>
      <c r="K1" s="129"/>
      <c r="S1" s="130"/>
    </row>
    <row r="2" spans="1:19" ht="15.75">
      <c r="C2" s="129"/>
      <c r="D2" s="129"/>
      <c r="E2" s="129"/>
      <c r="F2" s="129"/>
      <c r="G2" s="129"/>
      <c r="H2" s="240"/>
      <c r="I2" s="240"/>
      <c r="J2" s="129"/>
      <c r="K2" s="129"/>
      <c r="S2" s="130"/>
    </row>
    <row r="3" spans="1:19" ht="16.5" thickBot="1">
      <c r="C3" s="129"/>
      <c r="D3" s="129"/>
      <c r="E3" s="129"/>
      <c r="F3" s="129"/>
      <c r="G3" s="129"/>
      <c r="H3" s="240"/>
      <c r="I3" s="240"/>
      <c r="J3" s="129"/>
      <c r="K3" s="129"/>
      <c r="S3" s="130"/>
    </row>
    <row r="4" spans="1:19" ht="21.75" thickBot="1">
      <c r="A4" s="241" t="s">
        <v>156</v>
      </c>
      <c r="B4" s="242"/>
      <c r="C4" s="242"/>
      <c r="D4" s="242"/>
      <c r="E4" s="242"/>
      <c r="F4" s="242"/>
      <c r="G4" s="242"/>
      <c r="H4" s="243"/>
      <c r="I4" s="243"/>
      <c r="J4" s="129"/>
      <c r="K4" s="129"/>
      <c r="L4" s="244" t="s">
        <v>157</v>
      </c>
      <c r="M4" s="245"/>
      <c r="N4" s="245"/>
      <c r="O4" s="245"/>
      <c r="P4" s="245"/>
      <c r="Q4" s="245"/>
      <c r="R4" s="245"/>
      <c r="S4" s="246"/>
    </row>
    <row r="5" spans="1:19">
      <c r="A5" s="236" t="s">
        <v>1</v>
      </c>
      <c r="B5" s="237"/>
      <c r="C5" s="229" t="s">
        <v>158</v>
      </c>
      <c r="D5" s="229" t="s">
        <v>159</v>
      </c>
      <c r="E5" s="229" t="s">
        <v>160</v>
      </c>
      <c r="F5" s="229" t="s">
        <v>161</v>
      </c>
      <c r="G5" s="229" t="s">
        <v>162</v>
      </c>
      <c r="H5" s="229"/>
      <c r="I5" s="229"/>
      <c r="J5" s="229" t="s">
        <v>163</v>
      </c>
      <c r="K5" s="131" t="s">
        <v>4</v>
      </c>
      <c r="L5" s="234" t="s">
        <v>164</v>
      </c>
      <c r="M5" s="229" t="s">
        <v>159</v>
      </c>
      <c r="N5" s="229" t="s">
        <v>160</v>
      </c>
      <c r="O5" s="229" t="s">
        <v>161</v>
      </c>
      <c r="P5" s="229" t="s">
        <v>165</v>
      </c>
      <c r="Q5" s="229" t="s">
        <v>8</v>
      </c>
      <c r="R5" s="229" t="s">
        <v>4</v>
      </c>
      <c r="S5" s="231" t="s">
        <v>18</v>
      </c>
    </row>
    <row r="6" spans="1:19" ht="15.75" thickBot="1">
      <c r="A6" s="238"/>
      <c r="B6" s="239"/>
      <c r="C6" s="230"/>
      <c r="D6" s="230"/>
      <c r="E6" s="230"/>
      <c r="F6" s="230"/>
      <c r="G6" s="230"/>
      <c r="H6" s="233"/>
      <c r="I6" s="233"/>
      <c r="J6" s="230"/>
      <c r="K6" s="132">
        <v>34</v>
      </c>
      <c r="L6" s="235"/>
      <c r="M6" s="230"/>
      <c r="N6" s="230"/>
      <c r="O6" s="230"/>
      <c r="P6" s="230"/>
      <c r="Q6" s="230"/>
      <c r="R6" s="230"/>
      <c r="S6" s="232"/>
    </row>
    <row r="7" spans="1:19">
      <c r="A7" s="227">
        <v>45962</v>
      </c>
      <c r="B7" s="228"/>
      <c r="C7" s="133"/>
      <c r="D7" s="133"/>
      <c r="E7" s="134"/>
      <c r="F7" s="134"/>
      <c r="G7" s="135"/>
      <c r="H7" s="135"/>
      <c r="I7" s="134"/>
      <c r="J7" s="134">
        <v>0</v>
      </c>
      <c r="K7" s="136">
        <v>34</v>
      </c>
      <c r="L7" s="137">
        <f t="shared" ref="L7:L37" si="0">C7*168</f>
        <v>0</v>
      </c>
      <c r="M7" s="137">
        <f t="shared" ref="M7:M37" si="1">D7*4</f>
        <v>0</v>
      </c>
      <c r="N7" s="137">
        <f t="shared" ref="N7:N37" si="2">E7*168</f>
        <v>0</v>
      </c>
      <c r="O7" s="137">
        <f t="shared" ref="O7:P37" si="3">F7*4</f>
        <v>0</v>
      </c>
      <c r="P7" s="137">
        <f t="shared" si="3"/>
        <v>0</v>
      </c>
      <c r="Q7" s="137">
        <f>J7*600</f>
        <v>0</v>
      </c>
      <c r="R7" s="137">
        <f>K7*21.6</f>
        <v>734.40000000000009</v>
      </c>
      <c r="S7" s="138">
        <f t="shared" ref="S7:S36" si="4">SUM(L7:R7)</f>
        <v>734.40000000000009</v>
      </c>
    </row>
    <row r="8" spans="1:19">
      <c r="A8" s="227">
        <v>45963</v>
      </c>
      <c r="B8" s="228"/>
      <c r="C8" s="136"/>
      <c r="D8" s="136"/>
      <c r="E8" s="139"/>
      <c r="F8" s="139"/>
      <c r="G8" s="140"/>
      <c r="H8" s="140"/>
      <c r="I8" s="139"/>
      <c r="J8" s="134">
        <v>0</v>
      </c>
      <c r="K8" s="136">
        <f t="shared" ref="K8:K36" si="5">ROUND(K7+C8+H8-E7,0)</f>
        <v>34</v>
      </c>
      <c r="L8" s="137">
        <f t="shared" si="0"/>
        <v>0</v>
      </c>
      <c r="M8" s="137">
        <f t="shared" si="1"/>
        <v>0</v>
      </c>
      <c r="N8" s="137">
        <f t="shared" si="2"/>
        <v>0</v>
      </c>
      <c r="O8" s="137">
        <f t="shared" si="3"/>
        <v>0</v>
      </c>
      <c r="P8" s="137">
        <f t="shared" si="3"/>
        <v>0</v>
      </c>
      <c r="Q8" s="137">
        <f t="shared" ref="Q8:Q37" si="6">J8*600</f>
        <v>0</v>
      </c>
      <c r="R8" s="137">
        <f t="shared" ref="R8:R37" si="7">K8*21.6</f>
        <v>734.40000000000009</v>
      </c>
      <c r="S8" s="141">
        <f t="shared" si="4"/>
        <v>734.40000000000009</v>
      </c>
    </row>
    <row r="9" spans="1:19">
      <c r="A9" s="227">
        <v>45964</v>
      </c>
      <c r="B9" s="228"/>
      <c r="C9" s="136"/>
      <c r="D9" s="136"/>
      <c r="E9" s="139"/>
      <c r="F9" s="139"/>
      <c r="G9" s="140"/>
      <c r="H9" s="140"/>
      <c r="I9" s="139"/>
      <c r="J9" s="134">
        <v>0</v>
      </c>
      <c r="K9" s="136">
        <f t="shared" si="5"/>
        <v>34</v>
      </c>
      <c r="L9" s="137">
        <f t="shared" si="0"/>
        <v>0</v>
      </c>
      <c r="M9" s="137">
        <f t="shared" si="1"/>
        <v>0</v>
      </c>
      <c r="N9" s="137">
        <f t="shared" si="2"/>
        <v>0</v>
      </c>
      <c r="O9" s="137">
        <f t="shared" si="3"/>
        <v>0</v>
      </c>
      <c r="P9" s="137">
        <f t="shared" si="3"/>
        <v>0</v>
      </c>
      <c r="Q9" s="137">
        <f t="shared" si="6"/>
        <v>0</v>
      </c>
      <c r="R9" s="137">
        <f t="shared" si="7"/>
        <v>734.40000000000009</v>
      </c>
      <c r="S9" s="141">
        <f t="shared" si="4"/>
        <v>734.40000000000009</v>
      </c>
    </row>
    <row r="10" spans="1:19">
      <c r="A10" s="227">
        <v>45965</v>
      </c>
      <c r="B10" s="228"/>
      <c r="C10" s="136"/>
      <c r="D10" s="136"/>
      <c r="E10" s="139"/>
      <c r="F10" s="139"/>
      <c r="G10" s="140"/>
      <c r="H10" s="140"/>
      <c r="I10" s="139"/>
      <c r="J10" s="134">
        <v>0</v>
      </c>
      <c r="K10" s="136">
        <f t="shared" si="5"/>
        <v>34</v>
      </c>
      <c r="L10" s="137">
        <f t="shared" si="0"/>
        <v>0</v>
      </c>
      <c r="M10" s="137">
        <f t="shared" si="1"/>
        <v>0</v>
      </c>
      <c r="N10" s="137">
        <f t="shared" si="2"/>
        <v>0</v>
      </c>
      <c r="O10" s="137">
        <f t="shared" si="3"/>
        <v>0</v>
      </c>
      <c r="P10" s="137">
        <f t="shared" si="3"/>
        <v>0</v>
      </c>
      <c r="Q10" s="137">
        <f t="shared" si="6"/>
        <v>0</v>
      </c>
      <c r="R10" s="137">
        <f t="shared" si="7"/>
        <v>734.40000000000009</v>
      </c>
      <c r="S10" s="141">
        <f t="shared" si="4"/>
        <v>734.40000000000009</v>
      </c>
    </row>
    <row r="11" spans="1:19">
      <c r="A11" s="227">
        <v>45966</v>
      </c>
      <c r="B11" s="228"/>
      <c r="C11" s="136"/>
      <c r="D11" s="136"/>
      <c r="E11" s="139"/>
      <c r="F11" s="139"/>
      <c r="G11" s="140"/>
      <c r="H11" s="140"/>
      <c r="I11" s="139"/>
      <c r="J11" s="134">
        <v>0</v>
      </c>
      <c r="K11" s="136">
        <f t="shared" si="5"/>
        <v>34</v>
      </c>
      <c r="L11" s="137">
        <f t="shared" si="0"/>
        <v>0</v>
      </c>
      <c r="M11" s="137">
        <f t="shared" si="1"/>
        <v>0</v>
      </c>
      <c r="N11" s="137">
        <f t="shared" si="2"/>
        <v>0</v>
      </c>
      <c r="O11" s="137">
        <f t="shared" si="3"/>
        <v>0</v>
      </c>
      <c r="P11" s="137">
        <f t="shared" si="3"/>
        <v>0</v>
      </c>
      <c r="Q11" s="137">
        <f t="shared" si="6"/>
        <v>0</v>
      </c>
      <c r="R11" s="137">
        <f t="shared" si="7"/>
        <v>734.40000000000009</v>
      </c>
      <c r="S11" s="141">
        <f t="shared" si="4"/>
        <v>734.40000000000009</v>
      </c>
    </row>
    <row r="12" spans="1:19">
      <c r="A12" s="227">
        <v>45967</v>
      </c>
      <c r="B12" s="228"/>
      <c r="C12" s="136"/>
      <c r="D12" s="136"/>
      <c r="E12" s="139"/>
      <c r="F12" s="139"/>
      <c r="G12" s="140"/>
      <c r="H12" s="140"/>
      <c r="I12" s="139"/>
      <c r="J12" s="134">
        <v>0</v>
      </c>
      <c r="K12" s="136">
        <f t="shared" si="5"/>
        <v>34</v>
      </c>
      <c r="L12" s="137">
        <f t="shared" si="0"/>
        <v>0</v>
      </c>
      <c r="M12" s="137">
        <f t="shared" si="1"/>
        <v>0</v>
      </c>
      <c r="N12" s="137">
        <f t="shared" si="2"/>
        <v>0</v>
      </c>
      <c r="O12" s="137">
        <f t="shared" si="3"/>
        <v>0</v>
      </c>
      <c r="P12" s="137">
        <f t="shared" si="3"/>
        <v>0</v>
      </c>
      <c r="Q12" s="137">
        <f t="shared" si="6"/>
        <v>0</v>
      </c>
      <c r="R12" s="137">
        <f t="shared" si="7"/>
        <v>734.40000000000009</v>
      </c>
      <c r="S12" s="141">
        <f t="shared" si="4"/>
        <v>734.40000000000009</v>
      </c>
    </row>
    <row r="13" spans="1:19">
      <c r="A13" s="227">
        <v>45968</v>
      </c>
      <c r="B13" s="228"/>
      <c r="C13" s="136"/>
      <c r="D13" s="136"/>
      <c r="E13" s="139"/>
      <c r="F13" s="139"/>
      <c r="G13" s="140"/>
      <c r="H13" s="140"/>
      <c r="I13" s="139"/>
      <c r="J13" s="134">
        <v>0</v>
      </c>
      <c r="K13" s="136">
        <f t="shared" si="5"/>
        <v>34</v>
      </c>
      <c r="L13" s="137">
        <f t="shared" si="0"/>
        <v>0</v>
      </c>
      <c r="M13" s="137">
        <f t="shared" si="1"/>
        <v>0</v>
      </c>
      <c r="N13" s="137">
        <f t="shared" si="2"/>
        <v>0</v>
      </c>
      <c r="O13" s="137">
        <f t="shared" si="3"/>
        <v>0</v>
      </c>
      <c r="P13" s="137">
        <f t="shared" si="3"/>
        <v>0</v>
      </c>
      <c r="Q13" s="137">
        <f t="shared" si="6"/>
        <v>0</v>
      </c>
      <c r="R13" s="137">
        <f t="shared" si="7"/>
        <v>734.40000000000009</v>
      </c>
      <c r="S13" s="141">
        <f t="shared" si="4"/>
        <v>734.40000000000009</v>
      </c>
    </row>
    <row r="14" spans="1:19">
      <c r="A14" s="227">
        <v>45969</v>
      </c>
      <c r="B14" s="228"/>
      <c r="C14" s="136"/>
      <c r="D14" s="136"/>
      <c r="E14" s="139"/>
      <c r="F14" s="139"/>
      <c r="G14" s="140"/>
      <c r="H14" s="140"/>
      <c r="I14" s="139"/>
      <c r="J14" s="134">
        <v>0</v>
      </c>
      <c r="K14" s="136">
        <f t="shared" si="5"/>
        <v>34</v>
      </c>
      <c r="L14" s="137">
        <f t="shared" si="0"/>
        <v>0</v>
      </c>
      <c r="M14" s="137">
        <f t="shared" si="1"/>
        <v>0</v>
      </c>
      <c r="N14" s="137">
        <f t="shared" si="2"/>
        <v>0</v>
      </c>
      <c r="O14" s="137">
        <f t="shared" si="3"/>
        <v>0</v>
      </c>
      <c r="P14" s="137">
        <f t="shared" si="3"/>
        <v>0</v>
      </c>
      <c r="Q14" s="137">
        <f t="shared" si="6"/>
        <v>0</v>
      </c>
      <c r="R14" s="137">
        <f t="shared" si="7"/>
        <v>734.40000000000009</v>
      </c>
      <c r="S14" s="141">
        <f t="shared" si="4"/>
        <v>734.40000000000009</v>
      </c>
    </row>
    <row r="15" spans="1:19">
      <c r="A15" s="227">
        <v>45970</v>
      </c>
      <c r="B15" s="228"/>
      <c r="C15" s="136"/>
      <c r="D15" s="136"/>
      <c r="E15" s="139"/>
      <c r="F15" s="139"/>
      <c r="G15" s="140"/>
      <c r="H15" s="140"/>
      <c r="I15" s="139"/>
      <c r="J15" s="134">
        <v>0</v>
      </c>
      <c r="K15" s="136">
        <f t="shared" si="5"/>
        <v>34</v>
      </c>
      <c r="L15" s="137">
        <f t="shared" si="0"/>
        <v>0</v>
      </c>
      <c r="M15" s="137">
        <f t="shared" si="1"/>
        <v>0</v>
      </c>
      <c r="N15" s="137">
        <f t="shared" si="2"/>
        <v>0</v>
      </c>
      <c r="O15" s="137">
        <f t="shared" si="3"/>
        <v>0</v>
      </c>
      <c r="P15" s="137">
        <f t="shared" si="3"/>
        <v>0</v>
      </c>
      <c r="Q15" s="137">
        <f t="shared" si="6"/>
        <v>0</v>
      </c>
      <c r="R15" s="137">
        <f t="shared" si="7"/>
        <v>734.40000000000009</v>
      </c>
      <c r="S15" s="141">
        <f t="shared" si="4"/>
        <v>734.40000000000009</v>
      </c>
    </row>
    <row r="16" spans="1:19">
      <c r="A16" s="227">
        <v>45971</v>
      </c>
      <c r="B16" s="228"/>
      <c r="C16" s="136"/>
      <c r="D16" s="136"/>
      <c r="E16" s="139"/>
      <c r="F16" s="139"/>
      <c r="G16" s="140"/>
      <c r="H16" s="140"/>
      <c r="I16" s="139"/>
      <c r="J16" s="134">
        <v>0</v>
      </c>
      <c r="K16" s="136">
        <f t="shared" si="5"/>
        <v>34</v>
      </c>
      <c r="L16" s="137">
        <f t="shared" si="0"/>
        <v>0</v>
      </c>
      <c r="M16" s="137">
        <f t="shared" si="1"/>
        <v>0</v>
      </c>
      <c r="N16" s="137">
        <f t="shared" si="2"/>
        <v>0</v>
      </c>
      <c r="O16" s="137">
        <f t="shared" si="3"/>
        <v>0</v>
      </c>
      <c r="P16" s="137">
        <f t="shared" si="3"/>
        <v>0</v>
      </c>
      <c r="Q16" s="137">
        <f t="shared" si="6"/>
        <v>0</v>
      </c>
      <c r="R16" s="137">
        <f t="shared" si="7"/>
        <v>734.40000000000009</v>
      </c>
      <c r="S16" s="141">
        <f t="shared" si="4"/>
        <v>734.40000000000009</v>
      </c>
    </row>
    <row r="17" spans="1:19">
      <c r="A17" s="227">
        <v>45972</v>
      </c>
      <c r="B17" s="228"/>
      <c r="C17" s="136"/>
      <c r="D17" s="136"/>
      <c r="E17" s="139"/>
      <c r="F17" s="139"/>
      <c r="G17" s="140"/>
      <c r="H17" s="140"/>
      <c r="I17" s="139"/>
      <c r="J17" s="134">
        <v>0</v>
      </c>
      <c r="K17" s="136">
        <f t="shared" si="5"/>
        <v>34</v>
      </c>
      <c r="L17" s="137">
        <f t="shared" si="0"/>
        <v>0</v>
      </c>
      <c r="M17" s="137">
        <f t="shared" si="1"/>
        <v>0</v>
      </c>
      <c r="N17" s="137">
        <f t="shared" si="2"/>
        <v>0</v>
      </c>
      <c r="O17" s="137">
        <f t="shared" si="3"/>
        <v>0</v>
      </c>
      <c r="P17" s="137">
        <f t="shared" si="3"/>
        <v>0</v>
      </c>
      <c r="Q17" s="137">
        <f t="shared" si="6"/>
        <v>0</v>
      </c>
      <c r="R17" s="137">
        <f t="shared" si="7"/>
        <v>734.40000000000009</v>
      </c>
      <c r="S17" s="141">
        <f t="shared" si="4"/>
        <v>734.40000000000009</v>
      </c>
    </row>
    <row r="18" spans="1:19">
      <c r="A18" s="227">
        <v>45973</v>
      </c>
      <c r="B18" s="228"/>
      <c r="C18" s="142"/>
      <c r="D18" s="142"/>
      <c r="E18" s="143"/>
      <c r="F18" s="143"/>
      <c r="G18" s="144"/>
      <c r="H18" s="144"/>
      <c r="I18" s="143"/>
      <c r="J18" s="134">
        <v>0</v>
      </c>
      <c r="K18" s="136">
        <f t="shared" si="5"/>
        <v>34</v>
      </c>
      <c r="L18" s="137">
        <f t="shared" si="0"/>
        <v>0</v>
      </c>
      <c r="M18" s="137">
        <f t="shared" si="1"/>
        <v>0</v>
      </c>
      <c r="N18" s="137">
        <f t="shared" si="2"/>
        <v>0</v>
      </c>
      <c r="O18" s="137">
        <f t="shared" si="3"/>
        <v>0</v>
      </c>
      <c r="P18" s="137">
        <f t="shared" si="3"/>
        <v>0</v>
      </c>
      <c r="Q18" s="137">
        <f t="shared" si="6"/>
        <v>0</v>
      </c>
      <c r="R18" s="137">
        <f t="shared" si="7"/>
        <v>734.40000000000009</v>
      </c>
      <c r="S18" s="141">
        <f t="shared" si="4"/>
        <v>734.40000000000009</v>
      </c>
    </row>
    <row r="19" spans="1:19">
      <c r="A19" s="227">
        <v>45974</v>
      </c>
      <c r="B19" s="228"/>
      <c r="C19" s="136"/>
      <c r="D19" s="136"/>
      <c r="E19" s="139"/>
      <c r="F19" s="139"/>
      <c r="G19" s="140"/>
      <c r="H19" s="140"/>
      <c r="I19" s="139"/>
      <c r="J19" s="134">
        <v>0</v>
      </c>
      <c r="K19" s="136">
        <f t="shared" si="5"/>
        <v>34</v>
      </c>
      <c r="L19" s="137">
        <f t="shared" si="0"/>
        <v>0</v>
      </c>
      <c r="M19" s="137">
        <f t="shared" si="1"/>
        <v>0</v>
      </c>
      <c r="N19" s="137">
        <f t="shared" si="2"/>
        <v>0</v>
      </c>
      <c r="O19" s="137">
        <f t="shared" si="3"/>
        <v>0</v>
      </c>
      <c r="P19" s="137">
        <f t="shared" si="3"/>
        <v>0</v>
      </c>
      <c r="Q19" s="137">
        <f t="shared" si="6"/>
        <v>0</v>
      </c>
      <c r="R19" s="137">
        <f t="shared" si="7"/>
        <v>734.40000000000009</v>
      </c>
      <c r="S19" s="141">
        <f t="shared" si="4"/>
        <v>734.40000000000009</v>
      </c>
    </row>
    <row r="20" spans="1:19">
      <c r="A20" s="227">
        <v>45975</v>
      </c>
      <c r="B20" s="228"/>
      <c r="C20" s="136"/>
      <c r="D20" s="136"/>
      <c r="E20" s="139"/>
      <c r="F20" s="139"/>
      <c r="G20" s="140"/>
      <c r="H20" s="140"/>
      <c r="I20" s="139"/>
      <c r="J20" s="134">
        <v>0</v>
      </c>
      <c r="K20" s="136">
        <f t="shared" si="5"/>
        <v>34</v>
      </c>
      <c r="L20" s="137">
        <f t="shared" si="0"/>
        <v>0</v>
      </c>
      <c r="M20" s="137">
        <f t="shared" si="1"/>
        <v>0</v>
      </c>
      <c r="N20" s="137">
        <f t="shared" si="2"/>
        <v>0</v>
      </c>
      <c r="O20" s="137">
        <f t="shared" si="3"/>
        <v>0</v>
      </c>
      <c r="P20" s="137">
        <f t="shared" si="3"/>
        <v>0</v>
      </c>
      <c r="Q20" s="137">
        <f t="shared" si="6"/>
        <v>0</v>
      </c>
      <c r="R20" s="137">
        <f t="shared" si="7"/>
        <v>734.40000000000009</v>
      </c>
      <c r="S20" s="141">
        <f t="shared" si="4"/>
        <v>734.40000000000009</v>
      </c>
    </row>
    <row r="21" spans="1:19">
      <c r="A21" s="227">
        <v>45976</v>
      </c>
      <c r="B21" s="228"/>
      <c r="C21" s="136"/>
      <c r="D21" s="136"/>
      <c r="E21" s="139"/>
      <c r="F21" s="139"/>
      <c r="G21" s="140"/>
      <c r="H21" s="140"/>
      <c r="I21" s="139"/>
      <c r="J21" s="134">
        <v>0</v>
      </c>
      <c r="K21" s="136">
        <f t="shared" si="5"/>
        <v>34</v>
      </c>
      <c r="L21" s="137">
        <f t="shared" si="0"/>
        <v>0</v>
      </c>
      <c r="M21" s="137">
        <f t="shared" si="1"/>
        <v>0</v>
      </c>
      <c r="N21" s="137">
        <f t="shared" si="2"/>
        <v>0</v>
      </c>
      <c r="O21" s="137">
        <f t="shared" si="3"/>
        <v>0</v>
      </c>
      <c r="P21" s="137">
        <f t="shared" si="3"/>
        <v>0</v>
      </c>
      <c r="Q21" s="137">
        <f t="shared" si="6"/>
        <v>0</v>
      </c>
      <c r="R21" s="137">
        <f t="shared" si="7"/>
        <v>734.40000000000009</v>
      </c>
      <c r="S21" s="141">
        <f t="shared" si="4"/>
        <v>734.40000000000009</v>
      </c>
    </row>
    <row r="22" spans="1:19">
      <c r="A22" s="227">
        <v>45977</v>
      </c>
      <c r="B22" s="228"/>
      <c r="C22" s="136"/>
      <c r="D22" s="136"/>
      <c r="E22" s="139"/>
      <c r="F22" s="139"/>
      <c r="G22" s="140"/>
      <c r="H22" s="140"/>
      <c r="I22" s="139"/>
      <c r="J22" s="134">
        <v>0</v>
      </c>
      <c r="K22" s="136">
        <f t="shared" si="5"/>
        <v>34</v>
      </c>
      <c r="L22" s="137">
        <f t="shared" si="0"/>
        <v>0</v>
      </c>
      <c r="M22" s="137">
        <f t="shared" si="1"/>
        <v>0</v>
      </c>
      <c r="N22" s="137">
        <f t="shared" si="2"/>
        <v>0</v>
      </c>
      <c r="O22" s="137">
        <f t="shared" si="3"/>
        <v>0</v>
      </c>
      <c r="P22" s="137">
        <f t="shared" si="3"/>
        <v>0</v>
      </c>
      <c r="Q22" s="137">
        <f t="shared" si="6"/>
        <v>0</v>
      </c>
      <c r="R22" s="137">
        <f t="shared" si="7"/>
        <v>734.40000000000009</v>
      </c>
      <c r="S22" s="141">
        <f t="shared" si="4"/>
        <v>734.40000000000009</v>
      </c>
    </row>
    <row r="23" spans="1:19">
      <c r="A23" s="227">
        <v>45978</v>
      </c>
      <c r="B23" s="228"/>
      <c r="C23" s="136"/>
      <c r="D23" s="136"/>
      <c r="E23" s="139"/>
      <c r="F23" s="139"/>
      <c r="G23" s="140"/>
      <c r="H23" s="140"/>
      <c r="I23" s="139"/>
      <c r="J23" s="134">
        <v>0</v>
      </c>
      <c r="K23" s="136">
        <f t="shared" si="5"/>
        <v>34</v>
      </c>
      <c r="L23" s="137">
        <f t="shared" si="0"/>
        <v>0</v>
      </c>
      <c r="M23" s="137">
        <f t="shared" si="1"/>
        <v>0</v>
      </c>
      <c r="N23" s="137">
        <f t="shared" si="2"/>
        <v>0</v>
      </c>
      <c r="O23" s="137">
        <f t="shared" si="3"/>
        <v>0</v>
      </c>
      <c r="P23" s="137">
        <f t="shared" si="3"/>
        <v>0</v>
      </c>
      <c r="Q23" s="137">
        <f t="shared" si="6"/>
        <v>0</v>
      </c>
      <c r="R23" s="137">
        <f t="shared" si="7"/>
        <v>734.40000000000009</v>
      </c>
      <c r="S23" s="141">
        <f t="shared" si="4"/>
        <v>734.40000000000009</v>
      </c>
    </row>
    <row r="24" spans="1:19">
      <c r="A24" s="227">
        <v>45979</v>
      </c>
      <c r="B24" s="228"/>
      <c r="C24" s="136"/>
      <c r="D24" s="136"/>
      <c r="E24" s="139"/>
      <c r="F24" s="139"/>
      <c r="G24" s="140"/>
      <c r="H24" s="140"/>
      <c r="I24" s="139"/>
      <c r="J24" s="134">
        <v>0</v>
      </c>
      <c r="K24" s="136">
        <f t="shared" si="5"/>
        <v>34</v>
      </c>
      <c r="L24" s="137">
        <f t="shared" si="0"/>
        <v>0</v>
      </c>
      <c r="M24" s="137">
        <f t="shared" si="1"/>
        <v>0</v>
      </c>
      <c r="N24" s="137">
        <f t="shared" si="2"/>
        <v>0</v>
      </c>
      <c r="O24" s="137">
        <f t="shared" si="3"/>
        <v>0</v>
      </c>
      <c r="P24" s="137">
        <f t="shared" si="3"/>
        <v>0</v>
      </c>
      <c r="Q24" s="137">
        <f t="shared" si="6"/>
        <v>0</v>
      </c>
      <c r="R24" s="137">
        <f t="shared" si="7"/>
        <v>734.40000000000009</v>
      </c>
      <c r="S24" s="141">
        <f t="shared" si="4"/>
        <v>734.40000000000009</v>
      </c>
    </row>
    <row r="25" spans="1:19">
      <c r="A25" s="227">
        <v>45980</v>
      </c>
      <c r="B25" s="228"/>
      <c r="C25" s="136"/>
      <c r="D25" s="136"/>
      <c r="E25" s="139">
        <v>3</v>
      </c>
      <c r="F25" s="139"/>
      <c r="G25" s="140"/>
      <c r="H25" s="140"/>
      <c r="I25" s="139"/>
      <c r="J25" s="134">
        <v>0</v>
      </c>
      <c r="K25" s="136">
        <f t="shared" si="5"/>
        <v>34</v>
      </c>
      <c r="L25" s="137">
        <f t="shared" si="0"/>
        <v>0</v>
      </c>
      <c r="M25" s="137">
        <f t="shared" si="1"/>
        <v>0</v>
      </c>
      <c r="N25" s="137">
        <f t="shared" si="2"/>
        <v>504</v>
      </c>
      <c r="O25" s="137">
        <f t="shared" si="3"/>
        <v>0</v>
      </c>
      <c r="P25" s="137">
        <f t="shared" si="3"/>
        <v>0</v>
      </c>
      <c r="Q25" s="137">
        <f t="shared" si="6"/>
        <v>0</v>
      </c>
      <c r="R25" s="137">
        <f t="shared" si="7"/>
        <v>734.40000000000009</v>
      </c>
      <c r="S25" s="141">
        <f t="shared" si="4"/>
        <v>1238.4000000000001</v>
      </c>
    </row>
    <row r="26" spans="1:19">
      <c r="A26" s="227">
        <v>45981</v>
      </c>
      <c r="B26" s="228"/>
      <c r="C26" s="136"/>
      <c r="D26" s="136"/>
      <c r="E26" s="139"/>
      <c r="F26" s="139"/>
      <c r="G26" s="140"/>
      <c r="H26" s="140"/>
      <c r="I26" s="139"/>
      <c r="J26" s="134">
        <v>0</v>
      </c>
      <c r="K26" s="136">
        <f t="shared" si="5"/>
        <v>31</v>
      </c>
      <c r="L26" s="137">
        <f t="shared" si="0"/>
        <v>0</v>
      </c>
      <c r="M26" s="137">
        <f t="shared" si="1"/>
        <v>0</v>
      </c>
      <c r="N26" s="137">
        <f t="shared" si="2"/>
        <v>0</v>
      </c>
      <c r="O26" s="137">
        <f t="shared" si="3"/>
        <v>0</v>
      </c>
      <c r="P26" s="137">
        <f t="shared" si="3"/>
        <v>0</v>
      </c>
      <c r="Q26" s="137">
        <f t="shared" si="6"/>
        <v>0</v>
      </c>
      <c r="R26" s="137">
        <f t="shared" si="7"/>
        <v>669.6</v>
      </c>
      <c r="S26" s="141">
        <f t="shared" si="4"/>
        <v>669.6</v>
      </c>
    </row>
    <row r="27" spans="1:19">
      <c r="A27" s="227">
        <v>45982</v>
      </c>
      <c r="B27" s="228"/>
      <c r="C27" s="136"/>
      <c r="D27" s="136"/>
      <c r="E27" s="139"/>
      <c r="F27" s="139"/>
      <c r="G27" s="140"/>
      <c r="H27" s="140"/>
      <c r="I27" s="139"/>
      <c r="J27" s="134">
        <v>0</v>
      </c>
      <c r="K27" s="136">
        <f t="shared" si="5"/>
        <v>31</v>
      </c>
      <c r="L27" s="137">
        <f t="shared" si="0"/>
        <v>0</v>
      </c>
      <c r="M27" s="137">
        <f t="shared" si="1"/>
        <v>0</v>
      </c>
      <c r="N27" s="137">
        <f t="shared" si="2"/>
        <v>0</v>
      </c>
      <c r="O27" s="137">
        <f t="shared" si="3"/>
        <v>0</v>
      </c>
      <c r="P27" s="137">
        <f t="shared" si="3"/>
        <v>0</v>
      </c>
      <c r="Q27" s="137">
        <f t="shared" si="6"/>
        <v>0</v>
      </c>
      <c r="R27" s="137">
        <f t="shared" si="7"/>
        <v>669.6</v>
      </c>
      <c r="S27" s="141">
        <f t="shared" si="4"/>
        <v>669.6</v>
      </c>
    </row>
    <row r="28" spans="1:19">
      <c r="A28" s="227">
        <v>45983</v>
      </c>
      <c r="B28" s="228"/>
      <c r="C28" s="136"/>
      <c r="D28" s="136"/>
      <c r="E28" s="139"/>
      <c r="F28" s="139"/>
      <c r="G28" s="140"/>
      <c r="H28" s="140"/>
      <c r="I28" s="139"/>
      <c r="J28" s="134">
        <v>0</v>
      </c>
      <c r="K28" s="136">
        <f t="shared" si="5"/>
        <v>31</v>
      </c>
      <c r="L28" s="137">
        <f t="shared" si="0"/>
        <v>0</v>
      </c>
      <c r="M28" s="137">
        <f t="shared" si="1"/>
        <v>0</v>
      </c>
      <c r="N28" s="137">
        <f t="shared" si="2"/>
        <v>0</v>
      </c>
      <c r="O28" s="137">
        <f t="shared" si="3"/>
        <v>0</v>
      </c>
      <c r="P28" s="137">
        <f t="shared" si="3"/>
        <v>0</v>
      </c>
      <c r="Q28" s="137">
        <f t="shared" si="6"/>
        <v>0</v>
      </c>
      <c r="R28" s="137">
        <f t="shared" si="7"/>
        <v>669.6</v>
      </c>
      <c r="S28" s="141">
        <f t="shared" si="4"/>
        <v>669.6</v>
      </c>
    </row>
    <row r="29" spans="1:19">
      <c r="A29" s="227">
        <v>45984</v>
      </c>
      <c r="B29" s="228"/>
      <c r="C29" s="145"/>
      <c r="D29" s="145"/>
      <c r="E29" s="145"/>
      <c r="F29" s="145"/>
      <c r="G29" s="145"/>
      <c r="H29" s="145"/>
      <c r="I29" s="145"/>
      <c r="J29" s="134">
        <v>0</v>
      </c>
      <c r="K29" s="136">
        <f t="shared" si="5"/>
        <v>31</v>
      </c>
      <c r="L29" s="137">
        <f t="shared" si="0"/>
        <v>0</v>
      </c>
      <c r="M29" s="137">
        <f t="shared" si="1"/>
        <v>0</v>
      </c>
      <c r="N29" s="137">
        <f t="shared" si="2"/>
        <v>0</v>
      </c>
      <c r="O29" s="137">
        <f t="shared" si="3"/>
        <v>0</v>
      </c>
      <c r="P29" s="137">
        <f t="shared" si="3"/>
        <v>0</v>
      </c>
      <c r="Q29" s="137">
        <f t="shared" si="6"/>
        <v>0</v>
      </c>
      <c r="R29" s="137">
        <f t="shared" si="7"/>
        <v>669.6</v>
      </c>
      <c r="S29" s="141">
        <f t="shared" si="4"/>
        <v>669.6</v>
      </c>
    </row>
    <row r="30" spans="1:19">
      <c r="A30" s="227">
        <v>45985</v>
      </c>
      <c r="B30" s="228"/>
      <c r="C30" s="136"/>
      <c r="D30" s="136"/>
      <c r="E30" s="139"/>
      <c r="F30" s="139"/>
      <c r="G30" s="140"/>
      <c r="H30" s="140"/>
      <c r="I30" s="139"/>
      <c r="J30" s="134">
        <v>0</v>
      </c>
      <c r="K30" s="136">
        <f t="shared" si="5"/>
        <v>31</v>
      </c>
      <c r="L30" s="137">
        <f t="shared" si="0"/>
        <v>0</v>
      </c>
      <c r="M30" s="137">
        <f t="shared" si="1"/>
        <v>0</v>
      </c>
      <c r="N30" s="137">
        <f t="shared" si="2"/>
        <v>0</v>
      </c>
      <c r="O30" s="137">
        <f t="shared" si="3"/>
        <v>0</v>
      </c>
      <c r="P30" s="137">
        <f t="shared" si="3"/>
        <v>0</v>
      </c>
      <c r="Q30" s="137">
        <f t="shared" si="6"/>
        <v>0</v>
      </c>
      <c r="R30" s="137">
        <f t="shared" si="7"/>
        <v>669.6</v>
      </c>
      <c r="S30" s="141">
        <f t="shared" si="4"/>
        <v>669.6</v>
      </c>
    </row>
    <row r="31" spans="1:19">
      <c r="A31" s="227">
        <v>45986</v>
      </c>
      <c r="B31" s="228"/>
      <c r="C31" s="136"/>
      <c r="D31" s="136"/>
      <c r="E31" s="139"/>
      <c r="F31" s="139"/>
      <c r="G31" s="140"/>
      <c r="H31" s="140"/>
      <c r="I31" s="139"/>
      <c r="J31" s="134">
        <v>0</v>
      </c>
      <c r="K31" s="136">
        <f t="shared" si="5"/>
        <v>31</v>
      </c>
      <c r="L31" s="137">
        <f t="shared" si="0"/>
        <v>0</v>
      </c>
      <c r="M31" s="137">
        <f t="shared" si="1"/>
        <v>0</v>
      </c>
      <c r="N31" s="137">
        <f t="shared" si="2"/>
        <v>0</v>
      </c>
      <c r="O31" s="137">
        <f t="shared" si="3"/>
        <v>0</v>
      </c>
      <c r="P31" s="137">
        <f t="shared" si="3"/>
        <v>0</v>
      </c>
      <c r="Q31" s="137">
        <f t="shared" si="6"/>
        <v>0</v>
      </c>
      <c r="R31" s="137">
        <f t="shared" si="7"/>
        <v>669.6</v>
      </c>
      <c r="S31" s="141">
        <f t="shared" si="4"/>
        <v>669.6</v>
      </c>
    </row>
    <row r="32" spans="1:19">
      <c r="A32" s="227">
        <v>45987</v>
      </c>
      <c r="B32" s="228"/>
      <c r="C32" s="136"/>
      <c r="D32" s="136"/>
      <c r="E32" s="139"/>
      <c r="F32" s="139"/>
      <c r="G32" s="140"/>
      <c r="H32" s="140"/>
      <c r="I32" s="139"/>
      <c r="J32" s="134">
        <v>0</v>
      </c>
      <c r="K32" s="136">
        <f t="shared" si="5"/>
        <v>31</v>
      </c>
      <c r="L32" s="137">
        <f t="shared" si="0"/>
        <v>0</v>
      </c>
      <c r="M32" s="137">
        <f t="shared" si="1"/>
        <v>0</v>
      </c>
      <c r="N32" s="137">
        <f t="shared" si="2"/>
        <v>0</v>
      </c>
      <c r="O32" s="137">
        <f t="shared" si="3"/>
        <v>0</v>
      </c>
      <c r="P32" s="137">
        <f t="shared" si="3"/>
        <v>0</v>
      </c>
      <c r="Q32" s="137">
        <f t="shared" si="6"/>
        <v>0</v>
      </c>
      <c r="R32" s="137">
        <f t="shared" si="7"/>
        <v>669.6</v>
      </c>
      <c r="S32" s="141">
        <f t="shared" si="4"/>
        <v>669.6</v>
      </c>
    </row>
    <row r="33" spans="1:19">
      <c r="A33" s="227">
        <v>45988</v>
      </c>
      <c r="B33" s="228"/>
      <c r="C33" s="136"/>
      <c r="D33" s="136"/>
      <c r="E33" s="139"/>
      <c r="F33" s="139"/>
      <c r="G33" s="140"/>
      <c r="H33" s="140"/>
      <c r="I33" s="139"/>
      <c r="J33" s="134">
        <v>0</v>
      </c>
      <c r="K33" s="136">
        <f t="shared" si="5"/>
        <v>31</v>
      </c>
      <c r="L33" s="137">
        <f t="shared" si="0"/>
        <v>0</v>
      </c>
      <c r="M33" s="137">
        <f t="shared" si="1"/>
        <v>0</v>
      </c>
      <c r="N33" s="137">
        <f t="shared" si="2"/>
        <v>0</v>
      </c>
      <c r="O33" s="137">
        <f t="shared" si="3"/>
        <v>0</v>
      </c>
      <c r="P33" s="137">
        <f t="shared" si="3"/>
        <v>0</v>
      </c>
      <c r="Q33" s="137">
        <f t="shared" si="6"/>
        <v>0</v>
      </c>
      <c r="R33" s="137">
        <f t="shared" si="7"/>
        <v>669.6</v>
      </c>
      <c r="S33" s="141">
        <f t="shared" si="4"/>
        <v>669.6</v>
      </c>
    </row>
    <row r="34" spans="1:19">
      <c r="A34" s="227">
        <v>45989</v>
      </c>
      <c r="B34" s="228"/>
      <c r="C34" s="136"/>
      <c r="D34" s="136"/>
      <c r="E34" s="139"/>
      <c r="F34" s="139"/>
      <c r="G34" s="139"/>
      <c r="H34" s="140"/>
      <c r="I34" s="139"/>
      <c r="J34" s="134">
        <v>0</v>
      </c>
      <c r="K34" s="136">
        <f t="shared" si="5"/>
        <v>31</v>
      </c>
      <c r="L34" s="137">
        <f t="shared" si="0"/>
        <v>0</v>
      </c>
      <c r="M34" s="137">
        <f t="shared" si="1"/>
        <v>0</v>
      </c>
      <c r="N34" s="137">
        <f t="shared" si="2"/>
        <v>0</v>
      </c>
      <c r="O34" s="137">
        <f t="shared" si="3"/>
        <v>0</v>
      </c>
      <c r="P34" s="137">
        <f t="shared" si="3"/>
        <v>0</v>
      </c>
      <c r="Q34" s="137">
        <f t="shared" si="6"/>
        <v>0</v>
      </c>
      <c r="R34" s="137">
        <f t="shared" si="7"/>
        <v>669.6</v>
      </c>
      <c r="S34" s="141">
        <f t="shared" si="4"/>
        <v>669.6</v>
      </c>
    </row>
    <row r="35" spans="1:19">
      <c r="A35" s="227">
        <v>45990</v>
      </c>
      <c r="B35" s="228"/>
      <c r="C35" s="136"/>
      <c r="D35" s="136"/>
      <c r="E35" s="139"/>
      <c r="F35" s="139"/>
      <c r="G35" s="139"/>
      <c r="H35" s="140"/>
      <c r="I35" s="139"/>
      <c r="J35" s="134">
        <v>0</v>
      </c>
      <c r="K35" s="136">
        <f t="shared" si="5"/>
        <v>31</v>
      </c>
      <c r="L35" s="137">
        <f t="shared" si="0"/>
        <v>0</v>
      </c>
      <c r="M35" s="137">
        <f t="shared" si="1"/>
        <v>0</v>
      </c>
      <c r="N35" s="137">
        <f t="shared" si="2"/>
        <v>0</v>
      </c>
      <c r="O35" s="137">
        <f t="shared" si="3"/>
        <v>0</v>
      </c>
      <c r="P35" s="137">
        <f t="shared" si="3"/>
        <v>0</v>
      </c>
      <c r="Q35" s="137">
        <f t="shared" si="6"/>
        <v>0</v>
      </c>
      <c r="R35" s="137">
        <f t="shared" si="7"/>
        <v>669.6</v>
      </c>
      <c r="S35" s="141">
        <f t="shared" si="4"/>
        <v>669.6</v>
      </c>
    </row>
    <row r="36" spans="1:19">
      <c r="A36" s="227">
        <v>45991</v>
      </c>
      <c r="B36" s="228"/>
      <c r="C36" s="136"/>
      <c r="D36" s="136"/>
      <c r="E36" s="139"/>
      <c r="F36" s="139"/>
      <c r="G36" s="139"/>
      <c r="H36" s="140"/>
      <c r="I36" s="139"/>
      <c r="J36" s="134">
        <v>0</v>
      </c>
      <c r="K36" s="136">
        <f t="shared" si="5"/>
        <v>31</v>
      </c>
      <c r="L36" s="137">
        <f t="shared" si="0"/>
        <v>0</v>
      </c>
      <c r="M36" s="137">
        <f t="shared" si="1"/>
        <v>0</v>
      </c>
      <c r="N36" s="137">
        <f t="shared" si="2"/>
        <v>0</v>
      </c>
      <c r="O36" s="137">
        <f t="shared" si="3"/>
        <v>0</v>
      </c>
      <c r="P36" s="137">
        <f t="shared" si="3"/>
        <v>0</v>
      </c>
      <c r="Q36" s="137">
        <f t="shared" si="6"/>
        <v>0</v>
      </c>
      <c r="R36" s="137">
        <f t="shared" si="7"/>
        <v>669.6</v>
      </c>
      <c r="S36" s="141">
        <f t="shared" si="4"/>
        <v>669.6</v>
      </c>
    </row>
    <row r="37" spans="1:19" ht="15.75" thickBot="1">
      <c r="A37" s="227"/>
      <c r="B37" s="228"/>
      <c r="C37" s="136"/>
      <c r="D37" s="136"/>
      <c r="E37" s="139"/>
      <c r="F37" s="139"/>
      <c r="G37" s="139"/>
      <c r="H37" s="140"/>
      <c r="I37" s="139"/>
      <c r="J37" s="134">
        <v>0</v>
      </c>
      <c r="K37" s="136"/>
      <c r="L37" s="137">
        <f t="shared" si="0"/>
        <v>0</v>
      </c>
      <c r="M37" s="137">
        <f t="shared" si="1"/>
        <v>0</v>
      </c>
      <c r="N37" s="137">
        <f t="shared" si="2"/>
        <v>0</v>
      </c>
      <c r="O37" s="137">
        <f t="shared" si="3"/>
        <v>0</v>
      </c>
      <c r="P37" s="137">
        <f t="shared" si="3"/>
        <v>0</v>
      </c>
      <c r="Q37" s="137">
        <f t="shared" si="6"/>
        <v>0</v>
      </c>
      <c r="R37" s="137">
        <f t="shared" si="7"/>
        <v>0</v>
      </c>
      <c r="S37" s="141">
        <f t="shared" ref="S37" si="8">SUM(L37:R37)</f>
        <v>0</v>
      </c>
    </row>
    <row r="38" spans="1:19" ht="15.75" thickBot="1">
      <c r="A38" s="225" t="s">
        <v>26</v>
      </c>
      <c r="B38" s="226"/>
      <c r="C38" s="146">
        <f t="shared" ref="C38:K38" si="9">SUM(C7:C37)</f>
        <v>0</v>
      </c>
      <c r="D38" s="146">
        <f t="shared" si="9"/>
        <v>0</v>
      </c>
      <c r="E38" s="146">
        <f t="shared" si="9"/>
        <v>3</v>
      </c>
      <c r="F38" s="146">
        <f t="shared" si="9"/>
        <v>0</v>
      </c>
      <c r="G38" s="146">
        <f t="shared" si="9"/>
        <v>0</v>
      </c>
      <c r="H38" s="146">
        <f t="shared" si="9"/>
        <v>0</v>
      </c>
      <c r="I38" s="146">
        <f t="shared" si="9"/>
        <v>0</v>
      </c>
      <c r="J38" s="146">
        <f t="shared" si="9"/>
        <v>0</v>
      </c>
      <c r="K38" s="146">
        <f t="shared" si="9"/>
        <v>987</v>
      </c>
      <c r="L38" s="147">
        <f>SUM(L7:L37)</f>
        <v>0</v>
      </c>
      <c r="M38" s="147">
        <f t="shared" ref="M38:R38" si="10">SUM(M7:M37)</f>
        <v>0</v>
      </c>
      <c r="N38" s="147">
        <f t="shared" si="10"/>
        <v>504</v>
      </c>
      <c r="O38" s="147">
        <f t="shared" si="10"/>
        <v>0</v>
      </c>
      <c r="P38" s="147">
        <f t="shared" si="10"/>
        <v>0</v>
      </c>
      <c r="Q38" s="147">
        <f t="shared" si="10"/>
        <v>0</v>
      </c>
      <c r="R38" s="148">
        <f t="shared" si="10"/>
        <v>21319.199999999986</v>
      </c>
      <c r="S38" s="149">
        <f>SUM(S7:S37)</f>
        <v>21823.199999999986</v>
      </c>
    </row>
    <row r="39" spans="1:19" ht="15.75">
      <c r="C39" s="129"/>
      <c r="D39" s="129"/>
      <c r="E39" s="129"/>
      <c r="F39" s="129"/>
      <c r="G39" s="129"/>
      <c r="H39" s="129"/>
      <c r="I39" s="129"/>
      <c r="J39" s="129"/>
      <c r="K39" s="129"/>
      <c r="R39" s="150" t="s">
        <v>26</v>
      </c>
      <c r="S39" s="151">
        <f>S38</f>
        <v>21823.199999999986</v>
      </c>
    </row>
  </sheetData>
  <mergeCells count="55">
    <mergeCell ref="L4:S4"/>
    <mergeCell ref="H1:I1"/>
    <mergeCell ref="H2:I2"/>
    <mergeCell ref="H3:I3"/>
    <mergeCell ref="A4:G4"/>
    <mergeCell ref="H4:I4"/>
    <mergeCell ref="M5:M6"/>
    <mergeCell ref="N5:N6"/>
    <mergeCell ref="A5:B6"/>
    <mergeCell ref="C5:C6"/>
    <mergeCell ref="D5:D6"/>
    <mergeCell ref="E5:E6"/>
    <mergeCell ref="F5:F6"/>
    <mergeCell ref="G5:G6"/>
    <mergeCell ref="A7:B7"/>
    <mergeCell ref="H5:H6"/>
    <mergeCell ref="I5:I6"/>
    <mergeCell ref="J5:J6"/>
    <mergeCell ref="L5:L6"/>
    <mergeCell ref="O5:O6"/>
    <mergeCell ref="P5:P6"/>
    <mergeCell ref="Q5:Q6"/>
    <mergeCell ref="R5:R6"/>
    <mergeCell ref="S5:S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6CF7-9FBB-4A94-80BB-6A139FE0C680}">
  <dimension ref="A1:K36"/>
  <sheetViews>
    <sheetView topLeftCell="A19" workbookViewId="0">
      <selection activeCell="G31" sqref="G31:G34"/>
    </sheetView>
  </sheetViews>
  <sheetFormatPr defaultRowHeight="15"/>
  <cols>
    <col min="1" max="4" width="8.796875" style="2"/>
    <col min="5" max="5" width="9" style="2" customWidth="1"/>
    <col min="6" max="10" width="8.796875" style="2"/>
    <col min="11" max="11" width="7.59765625" style="2" customWidth="1"/>
    <col min="12" max="16384" width="8.796875" style="2"/>
  </cols>
  <sheetData>
    <row r="1" spans="1:11">
      <c r="A1" s="152">
        <f>K36</f>
        <v>23948</v>
      </c>
    </row>
    <row r="2" spans="1:11" ht="21">
      <c r="A2" s="201" t="s">
        <v>166</v>
      </c>
      <c r="B2" s="201"/>
      <c r="C2" s="201"/>
      <c r="D2" s="201"/>
      <c r="E2" s="201"/>
      <c r="F2" s="201"/>
      <c r="G2" s="201"/>
      <c r="H2" s="201"/>
    </row>
    <row r="3" spans="1:11" ht="28.9" customHeight="1">
      <c r="A3" s="198" t="s">
        <v>0</v>
      </c>
      <c r="B3" s="202" t="s">
        <v>1</v>
      </c>
      <c r="C3" s="203"/>
      <c r="D3" s="198" t="s">
        <v>145</v>
      </c>
      <c r="E3" s="247" t="s">
        <v>167</v>
      </c>
      <c r="F3" s="248"/>
      <c r="G3" s="4" t="s">
        <v>4</v>
      </c>
      <c r="H3" s="198" t="s">
        <v>11</v>
      </c>
      <c r="I3" s="198" t="s">
        <v>168</v>
      </c>
      <c r="J3" s="198" t="s">
        <v>13</v>
      </c>
      <c r="K3" s="198" t="s">
        <v>18</v>
      </c>
    </row>
    <row r="4" spans="1:11" ht="30">
      <c r="A4" s="199"/>
      <c r="B4" s="204"/>
      <c r="C4" s="205"/>
      <c r="D4" s="199"/>
      <c r="E4" s="153" t="s">
        <v>169</v>
      </c>
      <c r="F4" s="153" t="s">
        <v>170</v>
      </c>
      <c r="G4" s="5" t="s">
        <v>155</v>
      </c>
      <c r="H4" s="199"/>
      <c r="I4" s="199"/>
      <c r="J4" s="199"/>
      <c r="K4" s="199"/>
    </row>
    <row r="5" spans="1:11">
      <c r="A5" s="6">
        <v>1</v>
      </c>
      <c r="B5" s="196">
        <v>45962</v>
      </c>
      <c r="C5" s="197"/>
      <c r="D5" s="120"/>
      <c r="E5" s="78">
        <v>10</v>
      </c>
      <c r="F5" s="78">
        <v>5</v>
      </c>
      <c r="G5" s="154">
        <v>59</v>
      </c>
      <c r="H5" s="78">
        <f t="shared" ref="H5:H35" si="0">SUM(D5*60)</f>
        <v>0</v>
      </c>
      <c r="I5" s="78">
        <f>SUM(E5*25+F5*7)</f>
        <v>285</v>
      </c>
      <c r="J5" s="78">
        <f t="shared" ref="J5:J35" si="1">SUM(G5*15)</f>
        <v>885</v>
      </c>
      <c r="K5" s="78">
        <f t="shared" ref="K5:K35" si="2">SUM(H5:J5)</f>
        <v>1170</v>
      </c>
    </row>
    <row r="6" spans="1:11">
      <c r="A6" s="6">
        <v>2</v>
      </c>
      <c r="B6" s="196">
        <v>45963</v>
      </c>
      <c r="C6" s="197"/>
      <c r="D6" s="120"/>
      <c r="E6" s="78"/>
      <c r="F6" s="78"/>
      <c r="G6" s="154">
        <v>57</v>
      </c>
      <c r="H6" s="78">
        <f t="shared" si="0"/>
        <v>0</v>
      </c>
      <c r="I6" s="78">
        <f>SUM(E6*25+F6*7)</f>
        <v>0</v>
      </c>
      <c r="J6" s="78">
        <f t="shared" si="1"/>
        <v>855</v>
      </c>
      <c r="K6" s="78">
        <f t="shared" si="2"/>
        <v>855</v>
      </c>
    </row>
    <row r="7" spans="1:11">
      <c r="A7" s="6">
        <v>3</v>
      </c>
      <c r="B7" s="196">
        <v>45964</v>
      </c>
      <c r="C7" s="197"/>
      <c r="D7" s="120"/>
      <c r="E7" s="78"/>
      <c r="F7" s="78"/>
      <c r="G7" s="154">
        <v>57</v>
      </c>
      <c r="H7" s="78">
        <f t="shared" si="0"/>
        <v>0</v>
      </c>
      <c r="I7" s="78">
        <f>SUM(E7*25+F7*7)</f>
        <v>0</v>
      </c>
      <c r="J7" s="78">
        <f t="shared" si="1"/>
        <v>855</v>
      </c>
      <c r="K7" s="78">
        <f t="shared" si="2"/>
        <v>855</v>
      </c>
    </row>
    <row r="8" spans="1:11">
      <c r="A8" s="6">
        <v>4</v>
      </c>
      <c r="B8" s="196">
        <v>45965</v>
      </c>
      <c r="C8" s="197"/>
      <c r="D8" s="120"/>
      <c r="E8" s="78"/>
      <c r="F8" s="78"/>
      <c r="G8" s="154">
        <v>57</v>
      </c>
      <c r="H8" s="78">
        <f t="shared" si="0"/>
        <v>0</v>
      </c>
      <c r="I8" s="78">
        <f t="shared" ref="I8:I35" si="3">SUM(E8*25+F8*7)</f>
        <v>0</v>
      </c>
      <c r="J8" s="78">
        <f t="shared" si="1"/>
        <v>855</v>
      </c>
      <c r="K8" s="78">
        <f t="shared" si="2"/>
        <v>855</v>
      </c>
    </row>
    <row r="9" spans="1:11">
      <c r="A9" s="6">
        <v>5</v>
      </c>
      <c r="B9" s="196">
        <v>45966</v>
      </c>
      <c r="C9" s="197"/>
      <c r="D9" s="120"/>
      <c r="E9" s="78"/>
      <c r="F9" s="78"/>
      <c r="G9" s="154">
        <v>57</v>
      </c>
      <c r="H9" s="78">
        <f t="shared" si="0"/>
        <v>0</v>
      </c>
      <c r="I9" s="78">
        <f t="shared" si="3"/>
        <v>0</v>
      </c>
      <c r="J9" s="78">
        <f t="shared" si="1"/>
        <v>855</v>
      </c>
      <c r="K9" s="78">
        <f t="shared" si="2"/>
        <v>855</v>
      </c>
    </row>
    <row r="10" spans="1:11">
      <c r="A10" s="6">
        <v>6</v>
      </c>
      <c r="B10" s="196">
        <v>45967</v>
      </c>
      <c r="C10" s="197"/>
      <c r="D10" s="120"/>
      <c r="E10" s="78">
        <v>35</v>
      </c>
      <c r="F10" s="78"/>
      <c r="G10" s="154">
        <v>57</v>
      </c>
      <c r="H10" s="78">
        <f t="shared" si="0"/>
        <v>0</v>
      </c>
      <c r="I10" s="78">
        <f t="shared" si="3"/>
        <v>875</v>
      </c>
      <c r="J10" s="78">
        <f t="shared" si="1"/>
        <v>855</v>
      </c>
      <c r="K10" s="78">
        <f t="shared" si="2"/>
        <v>1730</v>
      </c>
    </row>
    <row r="11" spans="1:11">
      <c r="A11" s="6">
        <v>7</v>
      </c>
      <c r="B11" s="196">
        <v>45968</v>
      </c>
      <c r="C11" s="197"/>
      <c r="D11" s="120"/>
      <c r="E11" s="78">
        <v>18</v>
      </c>
      <c r="F11" s="78"/>
      <c r="G11" s="154">
        <v>49</v>
      </c>
      <c r="H11" s="78">
        <f t="shared" si="0"/>
        <v>0</v>
      </c>
      <c r="I11" s="78">
        <f t="shared" si="3"/>
        <v>450</v>
      </c>
      <c r="J11" s="78">
        <f t="shared" si="1"/>
        <v>735</v>
      </c>
      <c r="K11" s="78">
        <f t="shared" si="2"/>
        <v>1185</v>
      </c>
    </row>
    <row r="12" spans="1:11">
      <c r="A12" s="6">
        <v>8</v>
      </c>
      <c r="B12" s="196">
        <v>45969</v>
      </c>
      <c r="C12" s="197"/>
      <c r="D12" s="120"/>
      <c r="E12" s="78"/>
      <c r="F12" s="78"/>
      <c r="G12" s="154">
        <v>45</v>
      </c>
      <c r="H12" s="78">
        <f t="shared" si="0"/>
        <v>0</v>
      </c>
      <c r="I12" s="78">
        <f t="shared" si="3"/>
        <v>0</v>
      </c>
      <c r="J12" s="78">
        <f t="shared" si="1"/>
        <v>675</v>
      </c>
      <c r="K12" s="78">
        <f t="shared" si="2"/>
        <v>675</v>
      </c>
    </row>
    <row r="13" spans="1:11">
      <c r="A13" s="6">
        <v>9</v>
      </c>
      <c r="B13" s="196">
        <v>45970</v>
      </c>
      <c r="C13" s="197"/>
      <c r="D13" s="120"/>
      <c r="E13" s="78"/>
      <c r="F13" s="78"/>
      <c r="G13" s="154">
        <v>45</v>
      </c>
      <c r="H13" s="78">
        <f t="shared" si="0"/>
        <v>0</v>
      </c>
      <c r="I13" s="78">
        <f t="shared" si="3"/>
        <v>0</v>
      </c>
      <c r="J13" s="78">
        <f t="shared" si="1"/>
        <v>675</v>
      </c>
      <c r="K13" s="78">
        <f t="shared" si="2"/>
        <v>675</v>
      </c>
    </row>
    <row r="14" spans="1:11">
      <c r="A14" s="6">
        <v>10</v>
      </c>
      <c r="B14" s="196">
        <v>45971</v>
      </c>
      <c r="C14" s="197"/>
      <c r="D14" s="120"/>
      <c r="E14" s="78"/>
      <c r="F14" s="78"/>
      <c r="G14" s="154">
        <v>45</v>
      </c>
      <c r="H14" s="78">
        <f t="shared" si="0"/>
        <v>0</v>
      </c>
      <c r="I14" s="78">
        <f t="shared" si="3"/>
        <v>0</v>
      </c>
      <c r="J14" s="78">
        <f t="shared" si="1"/>
        <v>675</v>
      </c>
      <c r="K14" s="78">
        <f t="shared" si="2"/>
        <v>675</v>
      </c>
    </row>
    <row r="15" spans="1:11">
      <c r="A15" s="6">
        <v>11</v>
      </c>
      <c r="B15" s="196">
        <v>45972</v>
      </c>
      <c r="C15" s="197"/>
      <c r="D15" s="120"/>
      <c r="E15" s="78"/>
      <c r="F15" s="78"/>
      <c r="G15" s="154">
        <v>45</v>
      </c>
      <c r="H15" s="78">
        <f t="shared" si="0"/>
        <v>0</v>
      </c>
      <c r="I15" s="78">
        <f t="shared" si="3"/>
        <v>0</v>
      </c>
      <c r="J15" s="78">
        <f t="shared" si="1"/>
        <v>675</v>
      </c>
      <c r="K15" s="78">
        <f t="shared" si="2"/>
        <v>675</v>
      </c>
    </row>
    <row r="16" spans="1:11">
      <c r="A16" s="6">
        <v>12</v>
      </c>
      <c r="B16" s="196">
        <v>45973</v>
      </c>
      <c r="C16" s="197"/>
      <c r="D16" s="120"/>
      <c r="E16" s="78">
        <v>18</v>
      </c>
      <c r="F16" s="78"/>
      <c r="G16" s="154">
        <v>45</v>
      </c>
      <c r="H16" s="78">
        <f t="shared" si="0"/>
        <v>0</v>
      </c>
      <c r="I16" s="78">
        <f t="shared" si="3"/>
        <v>450</v>
      </c>
      <c r="J16" s="78">
        <f t="shared" si="1"/>
        <v>675</v>
      </c>
      <c r="K16" s="78">
        <f t="shared" si="2"/>
        <v>1125</v>
      </c>
    </row>
    <row r="17" spans="1:11">
      <c r="A17" s="6">
        <v>13</v>
      </c>
      <c r="B17" s="196">
        <v>45974</v>
      </c>
      <c r="C17" s="197"/>
      <c r="D17" s="120"/>
      <c r="E17" s="78"/>
      <c r="F17" s="78"/>
      <c r="G17" s="154">
        <v>42</v>
      </c>
      <c r="H17" s="78">
        <f t="shared" si="0"/>
        <v>0</v>
      </c>
      <c r="I17" s="78">
        <f t="shared" si="3"/>
        <v>0</v>
      </c>
      <c r="J17" s="78">
        <f t="shared" si="1"/>
        <v>630</v>
      </c>
      <c r="K17" s="78">
        <f t="shared" si="2"/>
        <v>630</v>
      </c>
    </row>
    <row r="18" spans="1:11">
      <c r="A18" s="6">
        <v>14</v>
      </c>
      <c r="B18" s="196">
        <v>45975</v>
      </c>
      <c r="C18" s="197"/>
      <c r="D18" s="120"/>
      <c r="E18" s="78">
        <v>36</v>
      </c>
      <c r="F18" s="78">
        <v>9</v>
      </c>
      <c r="G18" s="154">
        <v>42</v>
      </c>
      <c r="H18" s="78">
        <f t="shared" si="0"/>
        <v>0</v>
      </c>
      <c r="I18" s="78">
        <f t="shared" si="3"/>
        <v>963</v>
      </c>
      <c r="J18" s="78">
        <f t="shared" si="1"/>
        <v>630</v>
      </c>
      <c r="K18" s="78">
        <f t="shared" si="2"/>
        <v>1593</v>
      </c>
    </row>
    <row r="19" spans="1:11">
      <c r="A19" s="6">
        <v>15</v>
      </c>
      <c r="B19" s="196">
        <v>45976</v>
      </c>
      <c r="C19" s="197"/>
      <c r="D19" s="120"/>
      <c r="E19" s="78"/>
      <c r="F19" s="78"/>
      <c r="G19" s="154">
        <v>33</v>
      </c>
      <c r="H19" s="78">
        <f t="shared" si="0"/>
        <v>0</v>
      </c>
      <c r="I19" s="78">
        <f t="shared" si="3"/>
        <v>0</v>
      </c>
      <c r="J19" s="78">
        <f t="shared" si="1"/>
        <v>495</v>
      </c>
      <c r="K19" s="78">
        <f t="shared" si="2"/>
        <v>495</v>
      </c>
    </row>
    <row r="20" spans="1:11">
      <c r="A20" s="6">
        <v>16</v>
      </c>
      <c r="B20" s="196">
        <v>45977</v>
      </c>
      <c r="C20" s="197"/>
      <c r="D20" s="120"/>
      <c r="E20" s="78"/>
      <c r="F20" s="78"/>
      <c r="G20" s="154">
        <v>33</v>
      </c>
      <c r="H20" s="78">
        <f t="shared" si="0"/>
        <v>0</v>
      </c>
      <c r="I20" s="78">
        <f t="shared" si="3"/>
        <v>0</v>
      </c>
      <c r="J20" s="78">
        <f t="shared" si="1"/>
        <v>495</v>
      </c>
      <c r="K20" s="78">
        <f t="shared" si="2"/>
        <v>495</v>
      </c>
    </row>
    <row r="21" spans="1:11">
      <c r="A21" s="6">
        <v>17</v>
      </c>
      <c r="B21" s="196">
        <v>45978</v>
      </c>
      <c r="C21" s="197"/>
      <c r="D21" s="120"/>
      <c r="E21" s="78"/>
      <c r="F21" s="78"/>
      <c r="G21" s="154">
        <v>33</v>
      </c>
      <c r="H21" s="78">
        <f t="shared" si="0"/>
        <v>0</v>
      </c>
      <c r="I21" s="78">
        <f t="shared" si="3"/>
        <v>0</v>
      </c>
      <c r="J21" s="78">
        <f t="shared" si="1"/>
        <v>495</v>
      </c>
      <c r="K21" s="78">
        <f t="shared" si="2"/>
        <v>495</v>
      </c>
    </row>
    <row r="22" spans="1:11">
      <c r="A22" s="6">
        <v>18</v>
      </c>
      <c r="B22" s="196">
        <v>45979</v>
      </c>
      <c r="C22" s="197"/>
      <c r="D22" s="120"/>
      <c r="E22" s="78"/>
      <c r="F22" s="78"/>
      <c r="G22" s="154">
        <v>33</v>
      </c>
      <c r="H22" s="78">
        <f t="shared" si="0"/>
        <v>0</v>
      </c>
      <c r="I22" s="78">
        <f t="shared" si="3"/>
        <v>0</v>
      </c>
      <c r="J22" s="78">
        <f t="shared" si="1"/>
        <v>495</v>
      </c>
      <c r="K22" s="78">
        <f t="shared" si="2"/>
        <v>495</v>
      </c>
    </row>
    <row r="23" spans="1:11">
      <c r="A23" s="6">
        <v>19</v>
      </c>
      <c r="B23" s="196">
        <v>45980</v>
      </c>
      <c r="C23" s="197"/>
      <c r="D23" s="120"/>
      <c r="E23" s="78"/>
      <c r="F23" s="78"/>
      <c r="G23" s="154">
        <v>33</v>
      </c>
      <c r="H23" s="78">
        <f t="shared" si="0"/>
        <v>0</v>
      </c>
      <c r="I23" s="78">
        <f t="shared" si="3"/>
        <v>0</v>
      </c>
      <c r="J23" s="78">
        <f t="shared" si="1"/>
        <v>495</v>
      </c>
      <c r="K23" s="78">
        <f t="shared" si="2"/>
        <v>495</v>
      </c>
    </row>
    <row r="24" spans="1:11">
      <c r="A24" s="6">
        <v>20</v>
      </c>
      <c r="B24" s="196">
        <v>45981</v>
      </c>
      <c r="C24" s="197"/>
      <c r="D24" s="120"/>
      <c r="E24" s="78"/>
      <c r="F24" s="78"/>
      <c r="G24" s="154">
        <v>33</v>
      </c>
      <c r="H24" s="78">
        <f t="shared" si="0"/>
        <v>0</v>
      </c>
      <c r="I24" s="78">
        <f t="shared" si="3"/>
        <v>0</v>
      </c>
      <c r="J24" s="78">
        <f t="shared" si="1"/>
        <v>495</v>
      </c>
      <c r="K24" s="78">
        <f t="shared" si="2"/>
        <v>495</v>
      </c>
    </row>
    <row r="25" spans="1:11">
      <c r="A25" s="6">
        <v>21</v>
      </c>
      <c r="B25" s="196">
        <v>45982</v>
      </c>
      <c r="C25" s="197"/>
      <c r="D25" s="120"/>
      <c r="E25" s="78">
        <v>9</v>
      </c>
      <c r="F25" s="78"/>
      <c r="G25" s="154">
        <v>33</v>
      </c>
      <c r="H25" s="78">
        <f t="shared" si="0"/>
        <v>0</v>
      </c>
      <c r="I25" s="78">
        <f t="shared" si="3"/>
        <v>225</v>
      </c>
      <c r="J25" s="78">
        <f t="shared" si="1"/>
        <v>495</v>
      </c>
      <c r="K25" s="78">
        <f t="shared" si="2"/>
        <v>720</v>
      </c>
    </row>
    <row r="26" spans="1:11">
      <c r="A26" s="6">
        <v>22</v>
      </c>
      <c r="B26" s="196">
        <v>45983</v>
      </c>
      <c r="C26" s="197"/>
      <c r="D26" s="120"/>
      <c r="E26" s="78"/>
      <c r="F26" s="78"/>
      <c r="G26" s="154">
        <v>31</v>
      </c>
      <c r="H26" s="78">
        <f t="shared" si="0"/>
        <v>0</v>
      </c>
      <c r="I26" s="78">
        <f t="shared" si="3"/>
        <v>0</v>
      </c>
      <c r="J26" s="78">
        <f t="shared" si="1"/>
        <v>465</v>
      </c>
      <c r="K26" s="78">
        <f t="shared" si="2"/>
        <v>465</v>
      </c>
    </row>
    <row r="27" spans="1:11">
      <c r="A27" s="6">
        <v>23</v>
      </c>
      <c r="B27" s="196">
        <v>45984</v>
      </c>
      <c r="C27" s="197"/>
      <c r="D27" s="120"/>
      <c r="E27" s="78"/>
      <c r="F27" s="78"/>
      <c r="G27" s="154">
        <v>31</v>
      </c>
      <c r="H27" s="78">
        <f t="shared" si="0"/>
        <v>0</v>
      </c>
      <c r="I27" s="78">
        <f t="shared" si="3"/>
        <v>0</v>
      </c>
      <c r="J27" s="78">
        <f t="shared" si="1"/>
        <v>465</v>
      </c>
      <c r="K27" s="78">
        <f t="shared" si="2"/>
        <v>465</v>
      </c>
    </row>
    <row r="28" spans="1:11">
      <c r="A28" s="6">
        <v>24</v>
      </c>
      <c r="B28" s="196">
        <v>45985</v>
      </c>
      <c r="C28" s="197"/>
      <c r="D28" s="120"/>
      <c r="E28" s="78"/>
      <c r="F28" s="78"/>
      <c r="G28" s="154">
        <v>31</v>
      </c>
      <c r="H28" s="78">
        <f t="shared" si="0"/>
        <v>0</v>
      </c>
      <c r="I28" s="78">
        <f t="shared" si="3"/>
        <v>0</v>
      </c>
      <c r="J28" s="78">
        <f t="shared" si="1"/>
        <v>465</v>
      </c>
      <c r="K28" s="78">
        <f t="shared" si="2"/>
        <v>465</v>
      </c>
    </row>
    <row r="29" spans="1:11">
      <c r="A29" s="6">
        <v>25</v>
      </c>
      <c r="B29" s="196">
        <v>45986</v>
      </c>
      <c r="C29" s="197"/>
      <c r="D29" s="120"/>
      <c r="E29" s="78"/>
      <c r="F29" s="78"/>
      <c r="G29" s="154">
        <v>31</v>
      </c>
      <c r="H29" s="78">
        <f t="shared" si="0"/>
        <v>0</v>
      </c>
      <c r="I29" s="78">
        <f t="shared" si="3"/>
        <v>0</v>
      </c>
      <c r="J29" s="78">
        <f t="shared" si="1"/>
        <v>465</v>
      </c>
      <c r="K29" s="78">
        <f t="shared" si="2"/>
        <v>465</v>
      </c>
    </row>
    <row r="30" spans="1:11">
      <c r="A30" s="6">
        <v>26</v>
      </c>
      <c r="B30" s="196">
        <v>45987</v>
      </c>
      <c r="C30" s="197"/>
      <c r="D30" s="120">
        <v>18</v>
      </c>
      <c r="E30" s="78">
        <v>6</v>
      </c>
      <c r="F30" s="78"/>
      <c r="G30" s="154">
        <v>49</v>
      </c>
      <c r="H30" s="78">
        <f t="shared" si="0"/>
        <v>1080</v>
      </c>
      <c r="I30" s="78">
        <f t="shared" si="3"/>
        <v>150</v>
      </c>
      <c r="J30" s="78">
        <f t="shared" si="1"/>
        <v>735</v>
      </c>
      <c r="K30" s="78">
        <f t="shared" si="2"/>
        <v>1965</v>
      </c>
    </row>
    <row r="31" spans="1:11">
      <c r="A31" s="6">
        <v>27</v>
      </c>
      <c r="B31" s="196">
        <v>45988</v>
      </c>
      <c r="C31" s="197"/>
      <c r="D31" s="120"/>
      <c r="E31" s="78"/>
      <c r="F31" s="78"/>
      <c r="G31" s="154">
        <v>48</v>
      </c>
      <c r="H31" s="78">
        <f t="shared" si="0"/>
        <v>0</v>
      </c>
      <c r="I31" s="78">
        <f t="shared" si="3"/>
        <v>0</v>
      </c>
      <c r="J31" s="78">
        <f t="shared" si="1"/>
        <v>720</v>
      </c>
      <c r="K31" s="78">
        <f t="shared" si="2"/>
        <v>720</v>
      </c>
    </row>
    <row r="32" spans="1:11">
      <c r="A32" s="6">
        <v>28</v>
      </c>
      <c r="B32" s="196">
        <v>45989</v>
      </c>
      <c r="C32" s="197"/>
      <c r="D32" s="120"/>
      <c r="E32" s="78"/>
      <c r="F32" s="78"/>
      <c r="G32" s="154">
        <v>48</v>
      </c>
      <c r="H32" s="78">
        <f t="shared" si="0"/>
        <v>0</v>
      </c>
      <c r="I32" s="78">
        <f t="shared" si="3"/>
        <v>0</v>
      </c>
      <c r="J32" s="78">
        <f t="shared" si="1"/>
        <v>720</v>
      </c>
      <c r="K32" s="78">
        <f t="shared" si="2"/>
        <v>720</v>
      </c>
    </row>
    <row r="33" spans="1:11">
      <c r="A33" s="6">
        <v>29</v>
      </c>
      <c r="B33" s="196">
        <v>45990</v>
      </c>
      <c r="C33" s="197"/>
      <c r="D33" s="120"/>
      <c r="E33" s="78"/>
      <c r="F33" s="78"/>
      <c r="G33" s="154">
        <v>48</v>
      </c>
      <c r="H33" s="78">
        <f t="shared" si="0"/>
        <v>0</v>
      </c>
      <c r="I33" s="78">
        <f t="shared" si="3"/>
        <v>0</v>
      </c>
      <c r="J33" s="78">
        <f t="shared" si="1"/>
        <v>720</v>
      </c>
      <c r="K33" s="78">
        <f t="shared" si="2"/>
        <v>720</v>
      </c>
    </row>
    <row r="34" spans="1:11">
      <c r="A34" s="6">
        <v>30</v>
      </c>
      <c r="B34" s="196">
        <v>45991</v>
      </c>
      <c r="C34" s="197"/>
      <c r="D34" s="120"/>
      <c r="E34" s="78"/>
      <c r="F34" s="78"/>
      <c r="G34" s="154">
        <v>48</v>
      </c>
      <c r="H34" s="78">
        <f t="shared" si="0"/>
        <v>0</v>
      </c>
      <c r="I34" s="78">
        <f t="shared" si="3"/>
        <v>0</v>
      </c>
      <c r="J34" s="78">
        <f t="shared" si="1"/>
        <v>720</v>
      </c>
      <c r="K34" s="78">
        <f t="shared" si="2"/>
        <v>720</v>
      </c>
    </row>
    <row r="35" spans="1:11">
      <c r="A35" s="6"/>
      <c r="B35" s="196"/>
      <c r="C35" s="197"/>
      <c r="D35" s="120"/>
      <c r="E35" s="78"/>
      <c r="F35" s="78"/>
      <c r="G35" s="154"/>
      <c r="H35" s="78">
        <f t="shared" si="0"/>
        <v>0</v>
      </c>
      <c r="I35" s="78">
        <f t="shared" si="3"/>
        <v>0</v>
      </c>
      <c r="J35" s="78">
        <f t="shared" si="1"/>
        <v>0</v>
      </c>
      <c r="K35" s="78">
        <f t="shared" si="2"/>
        <v>0</v>
      </c>
    </row>
    <row r="36" spans="1:11">
      <c r="D36" s="78"/>
      <c r="E36" s="78"/>
      <c r="F36" s="78"/>
      <c r="G36" s="78">
        <f>SUM(G5:G35)</f>
        <v>1298</v>
      </c>
      <c r="H36" s="78">
        <f>SUM(H5:H35)</f>
        <v>1080</v>
      </c>
      <c r="I36" s="78">
        <f>SUM(I5:I35)</f>
        <v>3398</v>
      </c>
      <c r="J36" s="78">
        <f>SUM(J5:J35)</f>
        <v>19470</v>
      </c>
      <c r="K36" s="155">
        <f>SUM(K5:K35)</f>
        <v>23948</v>
      </c>
    </row>
  </sheetData>
  <mergeCells count="40">
    <mergeCell ref="A2:H2"/>
    <mergeCell ref="A3:A4"/>
    <mergeCell ref="B3:C4"/>
    <mergeCell ref="D3:D4"/>
    <mergeCell ref="E3:F3"/>
    <mergeCell ref="H3:H4"/>
    <mergeCell ref="B13:C13"/>
    <mergeCell ref="I3:I4"/>
    <mergeCell ref="J3:J4"/>
    <mergeCell ref="K3:K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F73-6091-4DB1-B039-04E247CBB6F8}">
  <sheetPr>
    <pageSetUpPr fitToPage="1"/>
  </sheetPr>
  <dimension ref="A1:AE1000"/>
  <sheetViews>
    <sheetView workbookViewId="0">
      <pane ySplit="6" topLeftCell="A25" activePane="bottomLeft" state="frozen"/>
      <selection activeCell="K5" sqref="K5:K6"/>
      <selection pane="bottomLeft" activeCell="P37" sqref="P37"/>
    </sheetView>
  </sheetViews>
  <sheetFormatPr defaultColWidth="10.09765625" defaultRowHeight="15" customHeight="1"/>
  <cols>
    <col min="1" max="1" width="9" style="157" customWidth="1"/>
    <col min="2" max="2" width="5.296875" style="157" customWidth="1"/>
    <col min="3" max="3" width="7" style="157" customWidth="1"/>
    <col min="4" max="4" width="6.59765625" style="157" customWidth="1"/>
    <col min="5" max="5" width="6.296875" style="157" customWidth="1"/>
    <col min="6" max="6" width="4.69921875" style="157" customWidth="1"/>
    <col min="7" max="7" width="5.8984375" style="157" customWidth="1"/>
    <col min="8" max="8" width="5.19921875" style="157" customWidth="1"/>
    <col min="9" max="9" width="4.09765625" style="157" customWidth="1"/>
    <col min="10" max="10" width="6.5" style="157" customWidth="1"/>
    <col min="11" max="11" width="5.296875" style="157" customWidth="1"/>
    <col min="12" max="12" width="5.5" style="157" customWidth="1"/>
    <col min="13" max="13" width="6.5" style="157" customWidth="1"/>
    <col min="14" max="14" width="7.19921875" style="157" customWidth="1"/>
    <col min="15" max="15" width="6.69921875" style="157" customWidth="1"/>
    <col min="16" max="16" width="6.8984375" style="157" customWidth="1"/>
    <col min="17" max="17" width="12.3984375" style="157" bestFit="1" customWidth="1"/>
    <col min="18" max="18" width="10.8984375" style="157" bestFit="1" customWidth="1"/>
    <col min="19" max="19" width="11" style="157" bestFit="1" customWidth="1"/>
    <col min="20" max="20" width="10.3984375" style="157" bestFit="1" customWidth="1"/>
    <col min="21" max="21" width="9.19921875" style="157" bestFit="1" customWidth="1"/>
    <col min="22" max="22" width="7" style="157" customWidth="1"/>
    <col min="23" max="23" width="8.296875" style="157" bestFit="1" customWidth="1"/>
    <col min="24" max="24" width="11.19921875" style="157" bestFit="1" customWidth="1"/>
    <col min="25" max="25" width="8.69921875" style="157" bestFit="1" customWidth="1"/>
    <col min="26" max="26" width="9.19921875" style="157" bestFit="1" customWidth="1"/>
    <col min="27" max="27" width="13.296875" style="157" bestFit="1" customWidth="1"/>
    <col min="28" max="28" width="10.796875" style="157" bestFit="1" customWidth="1"/>
    <col min="29" max="29" width="11.59765625" style="157" bestFit="1" customWidth="1"/>
    <col min="30" max="30" width="9.19921875" style="157" bestFit="1" customWidth="1"/>
    <col min="31" max="31" width="13.09765625" style="157" customWidth="1"/>
    <col min="32" max="16384" width="10.09765625" style="157"/>
  </cols>
  <sheetData>
    <row r="1" spans="1:31" ht="15.75">
      <c r="A1" s="156">
        <f>AE41</f>
        <v>7920</v>
      </c>
      <c r="C1" s="158"/>
      <c r="D1" s="158"/>
      <c r="E1" s="158"/>
      <c r="F1" s="158"/>
      <c r="G1" s="158"/>
      <c r="H1" s="261"/>
      <c r="I1" s="261"/>
      <c r="J1" s="261"/>
      <c r="K1" s="261"/>
      <c r="L1" s="261"/>
      <c r="M1" s="158"/>
      <c r="N1" s="158"/>
      <c r="O1" s="158"/>
      <c r="P1" s="158"/>
      <c r="AE1" s="159"/>
    </row>
    <row r="2" spans="1:31" ht="18.75" customHeight="1">
      <c r="C2" s="158"/>
      <c r="D2" s="158"/>
      <c r="E2" s="158"/>
      <c r="F2" s="158"/>
      <c r="G2" s="158"/>
      <c r="H2" s="261"/>
      <c r="I2" s="261"/>
      <c r="J2" s="261"/>
      <c r="K2" s="261"/>
      <c r="L2" s="261"/>
      <c r="M2" s="158"/>
      <c r="N2" s="158"/>
      <c r="O2" s="158"/>
      <c r="P2" s="158"/>
      <c r="AE2" s="159"/>
    </row>
    <row r="3" spans="1:31" ht="18.75" customHeight="1" thickBot="1">
      <c r="C3" s="158"/>
      <c r="D3" s="158"/>
      <c r="E3" s="158"/>
      <c r="F3" s="158"/>
      <c r="G3" s="158"/>
      <c r="H3" s="261"/>
      <c r="I3" s="261"/>
      <c r="J3" s="261"/>
      <c r="K3" s="261"/>
      <c r="L3" s="261"/>
      <c r="M3" s="158"/>
      <c r="N3" s="158"/>
      <c r="O3" s="158"/>
      <c r="P3" s="158"/>
      <c r="AE3" s="159"/>
    </row>
    <row r="4" spans="1:31" ht="23.25" customHeight="1" thickBot="1">
      <c r="A4" s="259" t="s">
        <v>171</v>
      </c>
      <c r="B4" s="260"/>
      <c r="C4" s="260"/>
      <c r="D4" s="260"/>
      <c r="E4" s="260"/>
      <c r="F4" s="260"/>
      <c r="G4" s="260"/>
      <c r="H4" s="261"/>
      <c r="I4" s="261"/>
      <c r="J4" s="261"/>
      <c r="K4" s="261"/>
      <c r="L4" s="261"/>
      <c r="M4" s="158"/>
      <c r="N4" s="158"/>
      <c r="O4" s="158"/>
      <c r="P4" s="158"/>
      <c r="Q4" s="262" t="s">
        <v>157</v>
      </c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4"/>
    </row>
    <row r="5" spans="1:31" ht="28.5" customHeight="1">
      <c r="A5" s="265" t="s">
        <v>1</v>
      </c>
      <c r="B5" s="266"/>
      <c r="C5" s="253" t="s">
        <v>158</v>
      </c>
      <c r="D5" s="253" t="s">
        <v>159</v>
      </c>
      <c r="E5" s="253" t="s">
        <v>160</v>
      </c>
      <c r="F5" s="253" t="s">
        <v>161</v>
      </c>
      <c r="G5" s="253" t="s">
        <v>162</v>
      </c>
      <c r="H5" s="253" t="s">
        <v>172</v>
      </c>
      <c r="I5" s="253" t="s">
        <v>173</v>
      </c>
      <c r="J5" s="253" t="s">
        <v>174</v>
      </c>
      <c r="K5" s="253" t="s">
        <v>175</v>
      </c>
      <c r="L5" s="253" t="s">
        <v>176</v>
      </c>
      <c r="M5" s="253" t="s">
        <v>177</v>
      </c>
      <c r="N5" s="253" t="s">
        <v>178</v>
      </c>
      <c r="O5" s="253" t="s">
        <v>163</v>
      </c>
      <c r="P5" s="160" t="s">
        <v>4</v>
      </c>
      <c r="Q5" s="257" t="s">
        <v>164</v>
      </c>
      <c r="R5" s="253" t="s">
        <v>159</v>
      </c>
      <c r="S5" s="253" t="s">
        <v>160</v>
      </c>
      <c r="T5" s="253" t="s">
        <v>161</v>
      </c>
      <c r="U5" s="253" t="s">
        <v>165</v>
      </c>
      <c r="V5" s="253" t="s">
        <v>179</v>
      </c>
      <c r="W5" s="253" t="s">
        <v>180</v>
      </c>
      <c r="X5" s="253" t="s">
        <v>174</v>
      </c>
      <c r="Y5" s="253" t="s">
        <v>175</v>
      </c>
      <c r="Z5" s="253" t="s">
        <v>177</v>
      </c>
      <c r="AA5" s="253" t="s">
        <v>181</v>
      </c>
      <c r="AB5" s="253" t="s">
        <v>178</v>
      </c>
      <c r="AC5" s="253" t="s">
        <v>8</v>
      </c>
      <c r="AD5" s="253" t="s">
        <v>4</v>
      </c>
      <c r="AE5" s="255" t="s">
        <v>18</v>
      </c>
    </row>
    <row r="6" spans="1:31" ht="47.25" customHeight="1" thickBot="1">
      <c r="A6" s="267"/>
      <c r="B6" s="268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161">
        <v>8</v>
      </c>
      <c r="Q6" s="258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6"/>
    </row>
    <row r="7" spans="1:31" ht="14.25" customHeight="1">
      <c r="A7" s="251">
        <v>45962</v>
      </c>
      <c r="B7" s="252"/>
      <c r="C7" s="162"/>
      <c r="D7" s="162"/>
      <c r="E7" s="163"/>
      <c r="F7" s="163"/>
      <c r="G7" s="164"/>
      <c r="H7" s="164"/>
      <c r="I7" s="163"/>
      <c r="J7" s="164"/>
      <c r="K7" s="163">
        <f t="shared" ref="K7:K36" si="0">J7</f>
        <v>0</v>
      </c>
      <c r="L7" s="164"/>
      <c r="M7" s="164"/>
      <c r="N7" s="164"/>
      <c r="O7" s="163">
        <f>E7</f>
        <v>0</v>
      </c>
      <c r="P7" s="162">
        <f>ROUND(P6+C7+H7-E7,0)</f>
        <v>8</v>
      </c>
      <c r="Q7" s="165">
        <f>C7*225</f>
        <v>0</v>
      </c>
      <c r="R7" s="165">
        <f>D7*15.6</f>
        <v>0</v>
      </c>
      <c r="S7" s="165">
        <f>E7*225</f>
        <v>0</v>
      </c>
      <c r="T7" s="165">
        <f>F7*15.6</f>
        <v>0</v>
      </c>
      <c r="U7" s="165">
        <f>G7*19</f>
        <v>0</v>
      </c>
      <c r="V7" s="165">
        <f>H7*675</f>
        <v>0</v>
      </c>
      <c r="W7" s="165">
        <f>I7*430</f>
        <v>0</v>
      </c>
      <c r="X7" s="165">
        <f>J7*3.3</f>
        <v>0</v>
      </c>
      <c r="Y7" s="165">
        <f>K7*1.9</f>
        <v>0</v>
      </c>
      <c r="Z7" s="165">
        <f>M7*21.6</f>
        <v>0</v>
      </c>
      <c r="AA7" s="165">
        <f>L7*11.5</f>
        <v>0</v>
      </c>
      <c r="AB7" s="165">
        <f>N7*24</f>
        <v>0</v>
      </c>
      <c r="AC7" s="165">
        <f>O7*243</f>
        <v>0</v>
      </c>
      <c r="AD7" s="165">
        <f>P7*33</f>
        <v>264</v>
      </c>
      <c r="AE7" s="166">
        <f>SUM(Q7:AD7)</f>
        <v>264</v>
      </c>
    </row>
    <row r="8" spans="1:31" ht="14.25" customHeight="1">
      <c r="A8" s="251">
        <v>45963</v>
      </c>
      <c r="B8" s="252"/>
      <c r="C8" s="167"/>
      <c r="D8" s="167"/>
      <c r="E8" s="168"/>
      <c r="F8" s="168"/>
      <c r="G8" s="169"/>
      <c r="H8" s="169"/>
      <c r="I8" s="168"/>
      <c r="J8" s="169"/>
      <c r="K8" s="168">
        <f t="shared" si="0"/>
        <v>0</v>
      </c>
      <c r="L8" s="169"/>
      <c r="M8" s="169"/>
      <c r="N8" s="169"/>
      <c r="O8" s="168">
        <f t="shared" ref="O8:O37" si="1">E8</f>
        <v>0</v>
      </c>
      <c r="P8" s="167">
        <f t="shared" ref="P8:P36" si="2">ROUND(P7+C8+H8-E8,0)</f>
        <v>8</v>
      </c>
      <c r="Q8" s="165">
        <f t="shared" ref="Q8:Q37" si="3">C8*225</f>
        <v>0</v>
      </c>
      <c r="R8" s="165">
        <f t="shared" ref="R8:R37" si="4">D8*15.6</f>
        <v>0</v>
      </c>
      <c r="S8" s="165">
        <f t="shared" ref="S8:S37" si="5">E8*225</f>
        <v>0</v>
      </c>
      <c r="T8" s="165">
        <f t="shared" ref="T8:T37" si="6">F8*15.6</f>
        <v>0</v>
      </c>
      <c r="U8" s="165">
        <f t="shared" ref="U8:U37" si="7">G8*19</f>
        <v>0</v>
      </c>
      <c r="V8" s="165">
        <f t="shared" ref="V8:V37" si="8">H8*675</f>
        <v>0</v>
      </c>
      <c r="W8" s="165">
        <f t="shared" ref="W8:W37" si="9">I8*430</f>
        <v>0</v>
      </c>
      <c r="X8" s="165">
        <f t="shared" ref="X8:X37" si="10">J8*3.3</f>
        <v>0</v>
      </c>
      <c r="Y8" s="165">
        <f t="shared" ref="Y8:Y37" si="11">K8*1.9</f>
        <v>0</v>
      </c>
      <c r="Z8" s="165">
        <f t="shared" ref="Z8:Z37" si="12">M8*21.6</f>
        <v>0</v>
      </c>
      <c r="AA8" s="165">
        <f t="shared" ref="AA8:AA37" si="13">L8*11.5</f>
        <v>0</v>
      </c>
      <c r="AB8" s="165">
        <f t="shared" ref="AB8:AB37" si="14">N8*24</f>
        <v>0</v>
      </c>
      <c r="AC8" s="165">
        <f t="shared" ref="AC8:AC37" si="15">O8*243</f>
        <v>0</v>
      </c>
      <c r="AD8" s="165">
        <f t="shared" ref="AD8:AD37" si="16">P8*33</f>
        <v>264</v>
      </c>
      <c r="AE8" s="170">
        <f t="shared" ref="AE8:AE36" si="17">SUM(Q8:AD8)</f>
        <v>264</v>
      </c>
    </row>
    <row r="9" spans="1:31" ht="14.25" customHeight="1">
      <c r="A9" s="251">
        <v>45964</v>
      </c>
      <c r="B9" s="252"/>
      <c r="C9" s="167"/>
      <c r="D9" s="167"/>
      <c r="E9" s="168"/>
      <c r="F9" s="168"/>
      <c r="G9" s="169"/>
      <c r="H9" s="169"/>
      <c r="I9" s="168"/>
      <c r="J9" s="169"/>
      <c r="K9" s="168">
        <f t="shared" si="0"/>
        <v>0</v>
      </c>
      <c r="L9" s="169"/>
      <c r="M9" s="169"/>
      <c r="N9" s="169"/>
      <c r="O9" s="168">
        <f t="shared" si="1"/>
        <v>0</v>
      </c>
      <c r="P9" s="167">
        <f t="shared" si="2"/>
        <v>8</v>
      </c>
      <c r="Q9" s="165">
        <f t="shared" si="3"/>
        <v>0</v>
      </c>
      <c r="R9" s="165">
        <f t="shared" si="4"/>
        <v>0</v>
      </c>
      <c r="S9" s="165">
        <f t="shared" si="5"/>
        <v>0</v>
      </c>
      <c r="T9" s="165">
        <f t="shared" si="6"/>
        <v>0</v>
      </c>
      <c r="U9" s="165">
        <f t="shared" si="7"/>
        <v>0</v>
      </c>
      <c r="V9" s="165">
        <f t="shared" si="8"/>
        <v>0</v>
      </c>
      <c r="W9" s="165">
        <f t="shared" si="9"/>
        <v>0</v>
      </c>
      <c r="X9" s="165">
        <f t="shared" si="10"/>
        <v>0</v>
      </c>
      <c r="Y9" s="165">
        <f t="shared" si="11"/>
        <v>0</v>
      </c>
      <c r="Z9" s="165">
        <f t="shared" si="12"/>
        <v>0</v>
      </c>
      <c r="AA9" s="165">
        <f t="shared" si="13"/>
        <v>0</v>
      </c>
      <c r="AB9" s="165">
        <f t="shared" si="14"/>
        <v>0</v>
      </c>
      <c r="AC9" s="165">
        <f t="shared" si="15"/>
        <v>0</v>
      </c>
      <c r="AD9" s="165">
        <f t="shared" si="16"/>
        <v>264</v>
      </c>
      <c r="AE9" s="170">
        <f t="shared" si="17"/>
        <v>264</v>
      </c>
    </row>
    <row r="10" spans="1:31" ht="14.25" customHeight="1">
      <c r="A10" s="251">
        <v>45965</v>
      </c>
      <c r="B10" s="252"/>
      <c r="C10" s="167"/>
      <c r="D10" s="167"/>
      <c r="E10" s="168"/>
      <c r="F10" s="168"/>
      <c r="G10" s="169"/>
      <c r="H10" s="169"/>
      <c r="I10" s="168"/>
      <c r="J10" s="169"/>
      <c r="K10" s="168">
        <f t="shared" si="0"/>
        <v>0</v>
      </c>
      <c r="L10" s="169"/>
      <c r="M10" s="169"/>
      <c r="N10" s="169"/>
      <c r="O10" s="168">
        <f t="shared" si="1"/>
        <v>0</v>
      </c>
      <c r="P10" s="167">
        <f t="shared" si="2"/>
        <v>8</v>
      </c>
      <c r="Q10" s="165">
        <f t="shared" si="3"/>
        <v>0</v>
      </c>
      <c r="R10" s="165">
        <f t="shared" si="4"/>
        <v>0</v>
      </c>
      <c r="S10" s="165">
        <f t="shared" si="5"/>
        <v>0</v>
      </c>
      <c r="T10" s="165">
        <f t="shared" si="6"/>
        <v>0</v>
      </c>
      <c r="U10" s="165">
        <f t="shared" si="7"/>
        <v>0</v>
      </c>
      <c r="V10" s="165">
        <f t="shared" si="8"/>
        <v>0</v>
      </c>
      <c r="W10" s="165">
        <f t="shared" si="9"/>
        <v>0</v>
      </c>
      <c r="X10" s="165">
        <f t="shared" si="10"/>
        <v>0</v>
      </c>
      <c r="Y10" s="165">
        <f t="shared" si="11"/>
        <v>0</v>
      </c>
      <c r="Z10" s="165">
        <f t="shared" si="12"/>
        <v>0</v>
      </c>
      <c r="AA10" s="165">
        <f t="shared" si="13"/>
        <v>0</v>
      </c>
      <c r="AB10" s="165">
        <f t="shared" si="14"/>
        <v>0</v>
      </c>
      <c r="AC10" s="165">
        <f t="shared" si="15"/>
        <v>0</v>
      </c>
      <c r="AD10" s="165">
        <f t="shared" si="16"/>
        <v>264</v>
      </c>
      <c r="AE10" s="170">
        <f t="shared" si="17"/>
        <v>264</v>
      </c>
    </row>
    <row r="11" spans="1:31" ht="14.25" customHeight="1">
      <c r="A11" s="251">
        <v>45966</v>
      </c>
      <c r="B11" s="252"/>
      <c r="C11" s="167"/>
      <c r="D11" s="167"/>
      <c r="E11" s="168"/>
      <c r="F11" s="168"/>
      <c r="G11" s="169"/>
      <c r="H11" s="169"/>
      <c r="I11" s="168"/>
      <c r="J11" s="169"/>
      <c r="K11" s="168">
        <f t="shared" si="0"/>
        <v>0</v>
      </c>
      <c r="L11" s="169"/>
      <c r="M11" s="169"/>
      <c r="N11" s="169"/>
      <c r="O11" s="168">
        <f t="shared" si="1"/>
        <v>0</v>
      </c>
      <c r="P11" s="167">
        <f t="shared" si="2"/>
        <v>8</v>
      </c>
      <c r="Q11" s="165">
        <f t="shared" si="3"/>
        <v>0</v>
      </c>
      <c r="R11" s="165">
        <f t="shared" si="4"/>
        <v>0</v>
      </c>
      <c r="S11" s="165">
        <f t="shared" si="5"/>
        <v>0</v>
      </c>
      <c r="T11" s="165">
        <f t="shared" si="6"/>
        <v>0</v>
      </c>
      <c r="U11" s="165">
        <f t="shared" si="7"/>
        <v>0</v>
      </c>
      <c r="V11" s="165">
        <f t="shared" si="8"/>
        <v>0</v>
      </c>
      <c r="W11" s="165">
        <f t="shared" si="9"/>
        <v>0</v>
      </c>
      <c r="X11" s="165">
        <f t="shared" si="10"/>
        <v>0</v>
      </c>
      <c r="Y11" s="165">
        <f t="shared" si="11"/>
        <v>0</v>
      </c>
      <c r="Z11" s="165">
        <f t="shared" si="12"/>
        <v>0</v>
      </c>
      <c r="AA11" s="165">
        <f t="shared" si="13"/>
        <v>0</v>
      </c>
      <c r="AB11" s="165">
        <f t="shared" si="14"/>
        <v>0</v>
      </c>
      <c r="AC11" s="165">
        <f t="shared" si="15"/>
        <v>0</v>
      </c>
      <c r="AD11" s="165">
        <f t="shared" si="16"/>
        <v>264</v>
      </c>
      <c r="AE11" s="170">
        <f t="shared" si="17"/>
        <v>264</v>
      </c>
    </row>
    <row r="12" spans="1:31" ht="14.25" customHeight="1">
      <c r="A12" s="251">
        <v>45967</v>
      </c>
      <c r="B12" s="252"/>
      <c r="C12" s="167"/>
      <c r="D12" s="167"/>
      <c r="E12" s="168"/>
      <c r="F12" s="168"/>
      <c r="G12" s="169"/>
      <c r="H12" s="169"/>
      <c r="I12" s="168"/>
      <c r="J12" s="169"/>
      <c r="K12" s="168">
        <f t="shared" si="0"/>
        <v>0</v>
      </c>
      <c r="L12" s="169"/>
      <c r="M12" s="169"/>
      <c r="N12" s="169"/>
      <c r="O12" s="168">
        <f t="shared" si="1"/>
        <v>0</v>
      </c>
      <c r="P12" s="167">
        <f t="shared" si="2"/>
        <v>8</v>
      </c>
      <c r="Q12" s="165">
        <f t="shared" si="3"/>
        <v>0</v>
      </c>
      <c r="R12" s="165">
        <f t="shared" si="4"/>
        <v>0</v>
      </c>
      <c r="S12" s="165">
        <f t="shared" si="5"/>
        <v>0</v>
      </c>
      <c r="T12" s="165">
        <f t="shared" si="6"/>
        <v>0</v>
      </c>
      <c r="U12" s="165">
        <f t="shared" si="7"/>
        <v>0</v>
      </c>
      <c r="V12" s="165">
        <f t="shared" si="8"/>
        <v>0</v>
      </c>
      <c r="W12" s="165">
        <f t="shared" si="9"/>
        <v>0</v>
      </c>
      <c r="X12" s="165">
        <f t="shared" si="10"/>
        <v>0</v>
      </c>
      <c r="Y12" s="165">
        <f t="shared" si="11"/>
        <v>0</v>
      </c>
      <c r="Z12" s="165">
        <f t="shared" si="12"/>
        <v>0</v>
      </c>
      <c r="AA12" s="165">
        <f t="shared" si="13"/>
        <v>0</v>
      </c>
      <c r="AB12" s="165">
        <f t="shared" si="14"/>
        <v>0</v>
      </c>
      <c r="AC12" s="165">
        <f t="shared" si="15"/>
        <v>0</v>
      </c>
      <c r="AD12" s="165">
        <f t="shared" si="16"/>
        <v>264</v>
      </c>
      <c r="AE12" s="170">
        <f t="shared" si="17"/>
        <v>264</v>
      </c>
    </row>
    <row r="13" spans="1:31" ht="15" customHeight="1">
      <c r="A13" s="251">
        <v>45968</v>
      </c>
      <c r="B13" s="252"/>
      <c r="C13" s="167"/>
      <c r="D13" s="167"/>
      <c r="E13" s="168"/>
      <c r="F13" s="168"/>
      <c r="G13" s="169"/>
      <c r="H13" s="169"/>
      <c r="I13" s="168"/>
      <c r="J13" s="169"/>
      <c r="K13" s="168">
        <f t="shared" si="0"/>
        <v>0</v>
      </c>
      <c r="L13" s="169"/>
      <c r="M13" s="169"/>
      <c r="N13" s="169"/>
      <c r="O13" s="168">
        <f t="shared" si="1"/>
        <v>0</v>
      </c>
      <c r="P13" s="167">
        <f t="shared" si="2"/>
        <v>8</v>
      </c>
      <c r="Q13" s="165">
        <f t="shared" si="3"/>
        <v>0</v>
      </c>
      <c r="R13" s="165">
        <f t="shared" si="4"/>
        <v>0</v>
      </c>
      <c r="S13" s="165">
        <f t="shared" si="5"/>
        <v>0</v>
      </c>
      <c r="T13" s="165">
        <f t="shared" si="6"/>
        <v>0</v>
      </c>
      <c r="U13" s="165">
        <f t="shared" si="7"/>
        <v>0</v>
      </c>
      <c r="V13" s="165">
        <f t="shared" si="8"/>
        <v>0</v>
      </c>
      <c r="W13" s="165">
        <f t="shared" si="9"/>
        <v>0</v>
      </c>
      <c r="X13" s="165">
        <f t="shared" si="10"/>
        <v>0</v>
      </c>
      <c r="Y13" s="165">
        <f t="shared" si="11"/>
        <v>0</v>
      </c>
      <c r="Z13" s="165">
        <f t="shared" si="12"/>
        <v>0</v>
      </c>
      <c r="AA13" s="165">
        <f t="shared" si="13"/>
        <v>0</v>
      </c>
      <c r="AB13" s="165">
        <f t="shared" si="14"/>
        <v>0</v>
      </c>
      <c r="AC13" s="165">
        <f t="shared" si="15"/>
        <v>0</v>
      </c>
      <c r="AD13" s="165">
        <f t="shared" si="16"/>
        <v>264</v>
      </c>
      <c r="AE13" s="170">
        <f t="shared" si="17"/>
        <v>264</v>
      </c>
    </row>
    <row r="14" spans="1:31" ht="14.25" customHeight="1">
      <c r="A14" s="251">
        <v>45969</v>
      </c>
      <c r="B14" s="252"/>
      <c r="C14" s="167"/>
      <c r="D14" s="167"/>
      <c r="E14" s="168"/>
      <c r="F14" s="168"/>
      <c r="G14" s="169"/>
      <c r="H14" s="169"/>
      <c r="I14" s="168"/>
      <c r="J14" s="169"/>
      <c r="K14" s="168">
        <f t="shared" si="0"/>
        <v>0</v>
      </c>
      <c r="L14" s="169"/>
      <c r="M14" s="169"/>
      <c r="N14" s="169"/>
      <c r="O14" s="168">
        <f t="shared" si="1"/>
        <v>0</v>
      </c>
      <c r="P14" s="167">
        <f t="shared" si="2"/>
        <v>8</v>
      </c>
      <c r="Q14" s="165">
        <f t="shared" si="3"/>
        <v>0</v>
      </c>
      <c r="R14" s="165">
        <f t="shared" si="4"/>
        <v>0</v>
      </c>
      <c r="S14" s="165">
        <f t="shared" si="5"/>
        <v>0</v>
      </c>
      <c r="T14" s="165">
        <f t="shared" si="6"/>
        <v>0</v>
      </c>
      <c r="U14" s="165">
        <f t="shared" si="7"/>
        <v>0</v>
      </c>
      <c r="V14" s="165">
        <f t="shared" si="8"/>
        <v>0</v>
      </c>
      <c r="W14" s="165">
        <f t="shared" si="9"/>
        <v>0</v>
      </c>
      <c r="X14" s="165">
        <f t="shared" si="10"/>
        <v>0</v>
      </c>
      <c r="Y14" s="165">
        <f t="shared" si="11"/>
        <v>0</v>
      </c>
      <c r="Z14" s="165">
        <f t="shared" si="12"/>
        <v>0</v>
      </c>
      <c r="AA14" s="165">
        <f t="shared" si="13"/>
        <v>0</v>
      </c>
      <c r="AB14" s="165">
        <f t="shared" si="14"/>
        <v>0</v>
      </c>
      <c r="AC14" s="165">
        <f t="shared" si="15"/>
        <v>0</v>
      </c>
      <c r="AD14" s="165">
        <f t="shared" si="16"/>
        <v>264</v>
      </c>
      <c r="AE14" s="170">
        <f t="shared" si="17"/>
        <v>264</v>
      </c>
    </row>
    <row r="15" spans="1:31" ht="14.25" customHeight="1">
      <c r="A15" s="251">
        <v>45970</v>
      </c>
      <c r="B15" s="252"/>
      <c r="C15" s="167"/>
      <c r="D15" s="167"/>
      <c r="E15" s="168"/>
      <c r="F15" s="168"/>
      <c r="G15" s="169"/>
      <c r="H15" s="169"/>
      <c r="I15" s="168"/>
      <c r="J15" s="169"/>
      <c r="K15" s="168">
        <f t="shared" si="0"/>
        <v>0</v>
      </c>
      <c r="L15" s="169"/>
      <c r="M15" s="169"/>
      <c r="N15" s="169"/>
      <c r="O15" s="168">
        <f t="shared" si="1"/>
        <v>0</v>
      </c>
      <c r="P15" s="167">
        <f t="shared" si="2"/>
        <v>8</v>
      </c>
      <c r="Q15" s="165">
        <f t="shared" si="3"/>
        <v>0</v>
      </c>
      <c r="R15" s="165">
        <f t="shared" si="4"/>
        <v>0</v>
      </c>
      <c r="S15" s="165">
        <f t="shared" si="5"/>
        <v>0</v>
      </c>
      <c r="T15" s="165">
        <f t="shared" si="6"/>
        <v>0</v>
      </c>
      <c r="U15" s="165">
        <f t="shared" si="7"/>
        <v>0</v>
      </c>
      <c r="V15" s="165">
        <f t="shared" si="8"/>
        <v>0</v>
      </c>
      <c r="W15" s="165">
        <f t="shared" si="9"/>
        <v>0</v>
      </c>
      <c r="X15" s="165">
        <f t="shared" si="10"/>
        <v>0</v>
      </c>
      <c r="Y15" s="165">
        <f t="shared" si="11"/>
        <v>0</v>
      </c>
      <c r="Z15" s="165">
        <f t="shared" si="12"/>
        <v>0</v>
      </c>
      <c r="AA15" s="165">
        <f t="shared" si="13"/>
        <v>0</v>
      </c>
      <c r="AB15" s="165">
        <f t="shared" si="14"/>
        <v>0</v>
      </c>
      <c r="AC15" s="165">
        <f t="shared" si="15"/>
        <v>0</v>
      </c>
      <c r="AD15" s="165">
        <f t="shared" si="16"/>
        <v>264</v>
      </c>
      <c r="AE15" s="170">
        <f t="shared" si="17"/>
        <v>264</v>
      </c>
    </row>
    <row r="16" spans="1:31" ht="14.25" customHeight="1">
      <c r="A16" s="251">
        <v>45971</v>
      </c>
      <c r="B16" s="252"/>
      <c r="C16" s="167"/>
      <c r="D16" s="167"/>
      <c r="E16" s="168"/>
      <c r="F16" s="168"/>
      <c r="G16" s="169"/>
      <c r="H16" s="169"/>
      <c r="I16" s="168"/>
      <c r="J16" s="169"/>
      <c r="K16" s="168">
        <f t="shared" si="0"/>
        <v>0</v>
      </c>
      <c r="L16" s="169"/>
      <c r="M16" s="169"/>
      <c r="N16" s="169"/>
      <c r="O16" s="168">
        <f t="shared" si="1"/>
        <v>0</v>
      </c>
      <c r="P16" s="167">
        <f t="shared" si="2"/>
        <v>8</v>
      </c>
      <c r="Q16" s="165">
        <f t="shared" si="3"/>
        <v>0</v>
      </c>
      <c r="R16" s="165">
        <f t="shared" si="4"/>
        <v>0</v>
      </c>
      <c r="S16" s="165">
        <f t="shared" si="5"/>
        <v>0</v>
      </c>
      <c r="T16" s="165">
        <f t="shared" si="6"/>
        <v>0</v>
      </c>
      <c r="U16" s="165">
        <f t="shared" si="7"/>
        <v>0</v>
      </c>
      <c r="V16" s="165">
        <f t="shared" si="8"/>
        <v>0</v>
      </c>
      <c r="W16" s="165">
        <f t="shared" si="9"/>
        <v>0</v>
      </c>
      <c r="X16" s="165">
        <f t="shared" si="10"/>
        <v>0</v>
      </c>
      <c r="Y16" s="165">
        <f t="shared" si="11"/>
        <v>0</v>
      </c>
      <c r="Z16" s="165">
        <f t="shared" si="12"/>
        <v>0</v>
      </c>
      <c r="AA16" s="165">
        <f t="shared" si="13"/>
        <v>0</v>
      </c>
      <c r="AB16" s="165">
        <f t="shared" si="14"/>
        <v>0</v>
      </c>
      <c r="AC16" s="165">
        <f t="shared" si="15"/>
        <v>0</v>
      </c>
      <c r="AD16" s="165">
        <f t="shared" si="16"/>
        <v>264</v>
      </c>
      <c r="AE16" s="170">
        <f t="shared" si="17"/>
        <v>264</v>
      </c>
    </row>
    <row r="17" spans="1:31" ht="14.25" customHeight="1">
      <c r="A17" s="251">
        <v>45972</v>
      </c>
      <c r="B17" s="252"/>
      <c r="C17" s="167"/>
      <c r="D17" s="167"/>
      <c r="E17" s="168"/>
      <c r="F17" s="168"/>
      <c r="G17" s="169"/>
      <c r="H17" s="169"/>
      <c r="I17" s="168"/>
      <c r="J17" s="169"/>
      <c r="K17" s="168">
        <f t="shared" si="0"/>
        <v>0</v>
      </c>
      <c r="L17" s="169"/>
      <c r="M17" s="169"/>
      <c r="N17" s="169"/>
      <c r="O17" s="168">
        <f t="shared" si="1"/>
        <v>0</v>
      </c>
      <c r="P17" s="167">
        <f t="shared" si="2"/>
        <v>8</v>
      </c>
      <c r="Q17" s="165">
        <f t="shared" si="3"/>
        <v>0</v>
      </c>
      <c r="R17" s="165">
        <f t="shared" si="4"/>
        <v>0</v>
      </c>
      <c r="S17" s="165">
        <f t="shared" si="5"/>
        <v>0</v>
      </c>
      <c r="T17" s="165">
        <f t="shared" si="6"/>
        <v>0</v>
      </c>
      <c r="U17" s="165">
        <f t="shared" si="7"/>
        <v>0</v>
      </c>
      <c r="V17" s="165">
        <f t="shared" si="8"/>
        <v>0</v>
      </c>
      <c r="W17" s="165">
        <f t="shared" si="9"/>
        <v>0</v>
      </c>
      <c r="X17" s="165">
        <f t="shared" si="10"/>
        <v>0</v>
      </c>
      <c r="Y17" s="165">
        <f t="shared" si="11"/>
        <v>0</v>
      </c>
      <c r="Z17" s="165">
        <f t="shared" si="12"/>
        <v>0</v>
      </c>
      <c r="AA17" s="165">
        <f t="shared" si="13"/>
        <v>0</v>
      </c>
      <c r="AB17" s="165">
        <f t="shared" si="14"/>
        <v>0</v>
      </c>
      <c r="AC17" s="165">
        <f t="shared" si="15"/>
        <v>0</v>
      </c>
      <c r="AD17" s="165">
        <f t="shared" si="16"/>
        <v>264</v>
      </c>
      <c r="AE17" s="170">
        <f t="shared" si="17"/>
        <v>264</v>
      </c>
    </row>
    <row r="18" spans="1:31" ht="14.25" customHeight="1">
      <c r="A18" s="251">
        <v>45973</v>
      </c>
      <c r="B18" s="252"/>
      <c r="C18" s="171"/>
      <c r="D18" s="171"/>
      <c r="E18" s="172"/>
      <c r="F18" s="172"/>
      <c r="G18" s="173"/>
      <c r="H18" s="173"/>
      <c r="I18" s="172"/>
      <c r="J18" s="173"/>
      <c r="K18" s="168">
        <f t="shared" si="0"/>
        <v>0</v>
      </c>
      <c r="L18" s="173"/>
      <c r="M18" s="173"/>
      <c r="N18" s="169"/>
      <c r="O18" s="168">
        <f t="shared" si="1"/>
        <v>0</v>
      </c>
      <c r="P18" s="167">
        <f t="shared" si="2"/>
        <v>8</v>
      </c>
      <c r="Q18" s="165">
        <f t="shared" si="3"/>
        <v>0</v>
      </c>
      <c r="R18" s="165">
        <f t="shared" si="4"/>
        <v>0</v>
      </c>
      <c r="S18" s="165">
        <f t="shared" si="5"/>
        <v>0</v>
      </c>
      <c r="T18" s="165">
        <f t="shared" si="6"/>
        <v>0</v>
      </c>
      <c r="U18" s="165">
        <f t="shared" si="7"/>
        <v>0</v>
      </c>
      <c r="V18" s="165">
        <f t="shared" si="8"/>
        <v>0</v>
      </c>
      <c r="W18" s="165">
        <f t="shared" si="9"/>
        <v>0</v>
      </c>
      <c r="X18" s="165">
        <f t="shared" si="10"/>
        <v>0</v>
      </c>
      <c r="Y18" s="165">
        <f t="shared" si="11"/>
        <v>0</v>
      </c>
      <c r="Z18" s="165">
        <f t="shared" si="12"/>
        <v>0</v>
      </c>
      <c r="AA18" s="165">
        <f t="shared" si="13"/>
        <v>0</v>
      </c>
      <c r="AB18" s="165">
        <f t="shared" si="14"/>
        <v>0</v>
      </c>
      <c r="AC18" s="165">
        <f t="shared" si="15"/>
        <v>0</v>
      </c>
      <c r="AD18" s="165">
        <f t="shared" si="16"/>
        <v>264</v>
      </c>
      <c r="AE18" s="170">
        <f t="shared" si="17"/>
        <v>264</v>
      </c>
    </row>
    <row r="19" spans="1:31" ht="14.25" customHeight="1">
      <c r="A19" s="251">
        <v>45974</v>
      </c>
      <c r="B19" s="252"/>
      <c r="C19" s="167"/>
      <c r="D19" s="167"/>
      <c r="E19" s="168"/>
      <c r="F19" s="168"/>
      <c r="G19" s="169"/>
      <c r="H19" s="169"/>
      <c r="I19" s="168"/>
      <c r="J19" s="169"/>
      <c r="K19" s="168">
        <f t="shared" si="0"/>
        <v>0</v>
      </c>
      <c r="L19" s="169"/>
      <c r="M19" s="169"/>
      <c r="N19" s="169"/>
      <c r="O19" s="168">
        <f t="shared" si="1"/>
        <v>0</v>
      </c>
      <c r="P19" s="167">
        <f t="shared" si="2"/>
        <v>8</v>
      </c>
      <c r="Q19" s="165">
        <f t="shared" si="3"/>
        <v>0</v>
      </c>
      <c r="R19" s="165">
        <f t="shared" si="4"/>
        <v>0</v>
      </c>
      <c r="S19" s="165">
        <f t="shared" si="5"/>
        <v>0</v>
      </c>
      <c r="T19" s="165">
        <f t="shared" si="6"/>
        <v>0</v>
      </c>
      <c r="U19" s="165">
        <f t="shared" si="7"/>
        <v>0</v>
      </c>
      <c r="V19" s="165">
        <f t="shared" si="8"/>
        <v>0</v>
      </c>
      <c r="W19" s="165">
        <f t="shared" si="9"/>
        <v>0</v>
      </c>
      <c r="X19" s="165">
        <f t="shared" si="10"/>
        <v>0</v>
      </c>
      <c r="Y19" s="165">
        <f t="shared" si="11"/>
        <v>0</v>
      </c>
      <c r="Z19" s="165">
        <f t="shared" si="12"/>
        <v>0</v>
      </c>
      <c r="AA19" s="165">
        <f t="shared" si="13"/>
        <v>0</v>
      </c>
      <c r="AB19" s="165">
        <f t="shared" si="14"/>
        <v>0</v>
      </c>
      <c r="AC19" s="165">
        <f t="shared" si="15"/>
        <v>0</v>
      </c>
      <c r="AD19" s="165">
        <f t="shared" si="16"/>
        <v>264</v>
      </c>
      <c r="AE19" s="170">
        <f t="shared" si="17"/>
        <v>264</v>
      </c>
    </row>
    <row r="20" spans="1:31" ht="14.25" customHeight="1">
      <c r="A20" s="251">
        <v>45975</v>
      </c>
      <c r="B20" s="252"/>
      <c r="C20" s="167"/>
      <c r="D20" s="167"/>
      <c r="E20" s="168"/>
      <c r="F20" s="168"/>
      <c r="G20" s="169"/>
      <c r="H20" s="169"/>
      <c r="I20" s="168"/>
      <c r="J20" s="169"/>
      <c r="K20" s="168">
        <f t="shared" si="0"/>
        <v>0</v>
      </c>
      <c r="L20" s="169"/>
      <c r="M20" s="169"/>
      <c r="N20" s="169"/>
      <c r="O20" s="168">
        <f t="shared" si="1"/>
        <v>0</v>
      </c>
      <c r="P20" s="167">
        <f t="shared" si="2"/>
        <v>8</v>
      </c>
      <c r="Q20" s="165">
        <f t="shared" si="3"/>
        <v>0</v>
      </c>
      <c r="R20" s="165">
        <f t="shared" si="4"/>
        <v>0</v>
      </c>
      <c r="S20" s="165">
        <f t="shared" si="5"/>
        <v>0</v>
      </c>
      <c r="T20" s="165">
        <f t="shared" si="6"/>
        <v>0</v>
      </c>
      <c r="U20" s="165">
        <f t="shared" si="7"/>
        <v>0</v>
      </c>
      <c r="V20" s="165">
        <f t="shared" si="8"/>
        <v>0</v>
      </c>
      <c r="W20" s="165">
        <f t="shared" si="9"/>
        <v>0</v>
      </c>
      <c r="X20" s="165">
        <f t="shared" si="10"/>
        <v>0</v>
      </c>
      <c r="Y20" s="165">
        <f t="shared" si="11"/>
        <v>0</v>
      </c>
      <c r="Z20" s="165">
        <f t="shared" si="12"/>
        <v>0</v>
      </c>
      <c r="AA20" s="165">
        <f t="shared" si="13"/>
        <v>0</v>
      </c>
      <c r="AB20" s="165">
        <f t="shared" si="14"/>
        <v>0</v>
      </c>
      <c r="AC20" s="165">
        <f t="shared" si="15"/>
        <v>0</v>
      </c>
      <c r="AD20" s="165">
        <f t="shared" si="16"/>
        <v>264</v>
      </c>
      <c r="AE20" s="170">
        <f t="shared" si="17"/>
        <v>264</v>
      </c>
    </row>
    <row r="21" spans="1:31" ht="14.25" customHeight="1">
      <c r="A21" s="251">
        <v>45976</v>
      </c>
      <c r="B21" s="252"/>
      <c r="C21" s="167"/>
      <c r="D21" s="167"/>
      <c r="E21" s="168"/>
      <c r="F21" s="168"/>
      <c r="G21" s="169"/>
      <c r="H21" s="169"/>
      <c r="I21" s="168"/>
      <c r="J21" s="169"/>
      <c r="K21" s="168">
        <f t="shared" si="0"/>
        <v>0</v>
      </c>
      <c r="L21" s="169"/>
      <c r="M21" s="169"/>
      <c r="N21" s="169"/>
      <c r="O21" s="168">
        <f t="shared" si="1"/>
        <v>0</v>
      </c>
      <c r="P21" s="167">
        <f t="shared" si="2"/>
        <v>8</v>
      </c>
      <c r="Q21" s="165">
        <f t="shared" si="3"/>
        <v>0</v>
      </c>
      <c r="R21" s="165">
        <f t="shared" si="4"/>
        <v>0</v>
      </c>
      <c r="S21" s="165">
        <f t="shared" si="5"/>
        <v>0</v>
      </c>
      <c r="T21" s="165">
        <f t="shared" si="6"/>
        <v>0</v>
      </c>
      <c r="U21" s="165">
        <f t="shared" si="7"/>
        <v>0</v>
      </c>
      <c r="V21" s="165">
        <f t="shared" si="8"/>
        <v>0</v>
      </c>
      <c r="W21" s="165">
        <f t="shared" si="9"/>
        <v>0</v>
      </c>
      <c r="X21" s="165">
        <f t="shared" si="10"/>
        <v>0</v>
      </c>
      <c r="Y21" s="165">
        <f t="shared" si="11"/>
        <v>0</v>
      </c>
      <c r="Z21" s="165">
        <f t="shared" si="12"/>
        <v>0</v>
      </c>
      <c r="AA21" s="165">
        <f t="shared" si="13"/>
        <v>0</v>
      </c>
      <c r="AB21" s="165">
        <f t="shared" si="14"/>
        <v>0</v>
      </c>
      <c r="AC21" s="165">
        <f t="shared" si="15"/>
        <v>0</v>
      </c>
      <c r="AD21" s="165">
        <f t="shared" si="16"/>
        <v>264</v>
      </c>
      <c r="AE21" s="170">
        <f t="shared" si="17"/>
        <v>264</v>
      </c>
    </row>
    <row r="22" spans="1:31" ht="14.25" customHeight="1">
      <c r="A22" s="251">
        <v>45977</v>
      </c>
      <c r="B22" s="252"/>
      <c r="C22" s="167"/>
      <c r="D22" s="167"/>
      <c r="E22" s="168"/>
      <c r="F22" s="168"/>
      <c r="G22" s="169"/>
      <c r="H22" s="169"/>
      <c r="I22" s="168"/>
      <c r="J22" s="169"/>
      <c r="K22" s="168">
        <f t="shared" si="0"/>
        <v>0</v>
      </c>
      <c r="L22" s="169"/>
      <c r="M22" s="169"/>
      <c r="N22" s="169"/>
      <c r="O22" s="168">
        <f t="shared" si="1"/>
        <v>0</v>
      </c>
      <c r="P22" s="167">
        <f t="shared" si="2"/>
        <v>8</v>
      </c>
      <c r="Q22" s="165">
        <f t="shared" si="3"/>
        <v>0</v>
      </c>
      <c r="R22" s="165">
        <f t="shared" si="4"/>
        <v>0</v>
      </c>
      <c r="S22" s="165">
        <f t="shared" si="5"/>
        <v>0</v>
      </c>
      <c r="T22" s="165">
        <f t="shared" si="6"/>
        <v>0</v>
      </c>
      <c r="U22" s="165">
        <f t="shared" si="7"/>
        <v>0</v>
      </c>
      <c r="V22" s="165">
        <f t="shared" si="8"/>
        <v>0</v>
      </c>
      <c r="W22" s="165">
        <f t="shared" si="9"/>
        <v>0</v>
      </c>
      <c r="X22" s="165">
        <f t="shared" si="10"/>
        <v>0</v>
      </c>
      <c r="Y22" s="165">
        <f t="shared" si="11"/>
        <v>0</v>
      </c>
      <c r="Z22" s="165">
        <f t="shared" si="12"/>
        <v>0</v>
      </c>
      <c r="AA22" s="165">
        <f t="shared" si="13"/>
        <v>0</v>
      </c>
      <c r="AB22" s="165">
        <f t="shared" si="14"/>
        <v>0</v>
      </c>
      <c r="AC22" s="165">
        <f t="shared" si="15"/>
        <v>0</v>
      </c>
      <c r="AD22" s="165">
        <f t="shared" si="16"/>
        <v>264</v>
      </c>
      <c r="AE22" s="170">
        <f t="shared" si="17"/>
        <v>264</v>
      </c>
    </row>
    <row r="23" spans="1:31" ht="14.25" customHeight="1">
      <c r="A23" s="251">
        <v>45978</v>
      </c>
      <c r="B23" s="252"/>
      <c r="C23" s="167"/>
      <c r="D23" s="167"/>
      <c r="E23" s="168"/>
      <c r="F23" s="168"/>
      <c r="G23" s="169"/>
      <c r="H23" s="169"/>
      <c r="I23" s="168"/>
      <c r="J23" s="169"/>
      <c r="K23" s="168">
        <f t="shared" si="0"/>
        <v>0</v>
      </c>
      <c r="L23" s="169"/>
      <c r="M23" s="169"/>
      <c r="N23" s="169"/>
      <c r="O23" s="168">
        <f t="shared" si="1"/>
        <v>0</v>
      </c>
      <c r="P23" s="167">
        <f t="shared" si="2"/>
        <v>8</v>
      </c>
      <c r="Q23" s="165">
        <f t="shared" si="3"/>
        <v>0</v>
      </c>
      <c r="R23" s="165">
        <f t="shared" si="4"/>
        <v>0</v>
      </c>
      <c r="S23" s="165">
        <f t="shared" si="5"/>
        <v>0</v>
      </c>
      <c r="T23" s="165">
        <f t="shared" si="6"/>
        <v>0</v>
      </c>
      <c r="U23" s="165">
        <f t="shared" si="7"/>
        <v>0</v>
      </c>
      <c r="V23" s="165">
        <f t="shared" si="8"/>
        <v>0</v>
      </c>
      <c r="W23" s="165">
        <f t="shared" si="9"/>
        <v>0</v>
      </c>
      <c r="X23" s="165">
        <f t="shared" si="10"/>
        <v>0</v>
      </c>
      <c r="Y23" s="165">
        <f t="shared" si="11"/>
        <v>0</v>
      </c>
      <c r="Z23" s="165">
        <f t="shared" si="12"/>
        <v>0</v>
      </c>
      <c r="AA23" s="165">
        <f t="shared" si="13"/>
        <v>0</v>
      </c>
      <c r="AB23" s="165">
        <f t="shared" si="14"/>
        <v>0</v>
      </c>
      <c r="AC23" s="165">
        <f t="shared" si="15"/>
        <v>0</v>
      </c>
      <c r="AD23" s="165">
        <f t="shared" si="16"/>
        <v>264</v>
      </c>
      <c r="AE23" s="170">
        <f t="shared" si="17"/>
        <v>264</v>
      </c>
    </row>
    <row r="24" spans="1:31" ht="14.25" customHeight="1">
      <c r="A24" s="251">
        <v>45979</v>
      </c>
      <c r="B24" s="252"/>
      <c r="C24" s="167"/>
      <c r="D24" s="167"/>
      <c r="E24" s="168"/>
      <c r="F24" s="168"/>
      <c r="G24" s="169"/>
      <c r="H24" s="169"/>
      <c r="I24" s="168"/>
      <c r="J24" s="169"/>
      <c r="K24" s="168">
        <f t="shared" si="0"/>
        <v>0</v>
      </c>
      <c r="L24" s="169"/>
      <c r="M24" s="169"/>
      <c r="N24" s="169"/>
      <c r="O24" s="168">
        <f t="shared" si="1"/>
        <v>0</v>
      </c>
      <c r="P24" s="167">
        <f t="shared" si="2"/>
        <v>8</v>
      </c>
      <c r="Q24" s="165">
        <f t="shared" si="3"/>
        <v>0</v>
      </c>
      <c r="R24" s="165">
        <f t="shared" si="4"/>
        <v>0</v>
      </c>
      <c r="S24" s="165">
        <f t="shared" si="5"/>
        <v>0</v>
      </c>
      <c r="T24" s="165">
        <f t="shared" si="6"/>
        <v>0</v>
      </c>
      <c r="U24" s="165">
        <f t="shared" si="7"/>
        <v>0</v>
      </c>
      <c r="V24" s="165">
        <f t="shared" si="8"/>
        <v>0</v>
      </c>
      <c r="W24" s="165">
        <f t="shared" si="9"/>
        <v>0</v>
      </c>
      <c r="X24" s="165">
        <f t="shared" si="10"/>
        <v>0</v>
      </c>
      <c r="Y24" s="165">
        <f t="shared" si="11"/>
        <v>0</v>
      </c>
      <c r="Z24" s="165">
        <f t="shared" si="12"/>
        <v>0</v>
      </c>
      <c r="AA24" s="165">
        <f t="shared" si="13"/>
        <v>0</v>
      </c>
      <c r="AB24" s="165">
        <f t="shared" si="14"/>
        <v>0</v>
      </c>
      <c r="AC24" s="165">
        <f t="shared" si="15"/>
        <v>0</v>
      </c>
      <c r="AD24" s="165">
        <f t="shared" si="16"/>
        <v>264</v>
      </c>
      <c r="AE24" s="170">
        <f t="shared" si="17"/>
        <v>264</v>
      </c>
    </row>
    <row r="25" spans="1:31" ht="14.25" customHeight="1">
      <c r="A25" s="251">
        <v>45980</v>
      </c>
      <c r="B25" s="252"/>
      <c r="C25" s="167"/>
      <c r="D25" s="167"/>
      <c r="E25" s="168"/>
      <c r="F25" s="168"/>
      <c r="G25" s="169"/>
      <c r="H25" s="169"/>
      <c r="I25" s="168"/>
      <c r="J25" s="169"/>
      <c r="K25" s="168">
        <f t="shared" si="0"/>
        <v>0</v>
      </c>
      <c r="L25" s="169"/>
      <c r="M25" s="169"/>
      <c r="N25" s="169"/>
      <c r="O25" s="168">
        <f t="shared" si="1"/>
        <v>0</v>
      </c>
      <c r="P25" s="167">
        <f t="shared" si="2"/>
        <v>8</v>
      </c>
      <c r="Q25" s="165">
        <f t="shared" si="3"/>
        <v>0</v>
      </c>
      <c r="R25" s="165">
        <f t="shared" si="4"/>
        <v>0</v>
      </c>
      <c r="S25" s="165">
        <f t="shared" si="5"/>
        <v>0</v>
      </c>
      <c r="T25" s="165">
        <f t="shared" si="6"/>
        <v>0</v>
      </c>
      <c r="U25" s="165">
        <f t="shared" si="7"/>
        <v>0</v>
      </c>
      <c r="V25" s="165">
        <f t="shared" si="8"/>
        <v>0</v>
      </c>
      <c r="W25" s="165">
        <f t="shared" si="9"/>
        <v>0</v>
      </c>
      <c r="X25" s="165">
        <f t="shared" si="10"/>
        <v>0</v>
      </c>
      <c r="Y25" s="165">
        <f t="shared" si="11"/>
        <v>0</v>
      </c>
      <c r="Z25" s="165">
        <f t="shared" si="12"/>
        <v>0</v>
      </c>
      <c r="AA25" s="165">
        <f t="shared" si="13"/>
        <v>0</v>
      </c>
      <c r="AB25" s="165">
        <f t="shared" si="14"/>
        <v>0</v>
      </c>
      <c r="AC25" s="165">
        <f t="shared" si="15"/>
        <v>0</v>
      </c>
      <c r="AD25" s="165">
        <f t="shared" si="16"/>
        <v>264</v>
      </c>
      <c r="AE25" s="170">
        <f t="shared" si="17"/>
        <v>264</v>
      </c>
    </row>
    <row r="26" spans="1:31" ht="14.25" customHeight="1">
      <c r="A26" s="251">
        <v>45981</v>
      </c>
      <c r="B26" s="252"/>
      <c r="C26" s="167"/>
      <c r="D26" s="167"/>
      <c r="E26" s="168"/>
      <c r="F26" s="168"/>
      <c r="G26" s="169"/>
      <c r="H26" s="169"/>
      <c r="I26" s="168"/>
      <c r="J26" s="169"/>
      <c r="K26" s="168">
        <f t="shared" si="0"/>
        <v>0</v>
      </c>
      <c r="L26" s="169"/>
      <c r="M26" s="169"/>
      <c r="N26" s="169"/>
      <c r="O26" s="168">
        <f t="shared" si="1"/>
        <v>0</v>
      </c>
      <c r="P26" s="167">
        <f t="shared" si="2"/>
        <v>8</v>
      </c>
      <c r="Q26" s="165">
        <f t="shared" si="3"/>
        <v>0</v>
      </c>
      <c r="R26" s="165">
        <f t="shared" si="4"/>
        <v>0</v>
      </c>
      <c r="S26" s="165">
        <f t="shared" si="5"/>
        <v>0</v>
      </c>
      <c r="T26" s="165">
        <f t="shared" si="6"/>
        <v>0</v>
      </c>
      <c r="U26" s="165">
        <f t="shared" si="7"/>
        <v>0</v>
      </c>
      <c r="V26" s="165">
        <f t="shared" si="8"/>
        <v>0</v>
      </c>
      <c r="W26" s="165">
        <f t="shared" si="9"/>
        <v>0</v>
      </c>
      <c r="X26" s="165">
        <f t="shared" si="10"/>
        <v>0</v>
      </c>
      <c r="Y26" s="165">
        <f t="shared" si="11"/>
        <v>0</v>
      </c>
      <c r="Z26" s="165">
        <f t="shared" si="12"/>
        <v>0</v>
      </c>
      <c r="AA26" s="165">
        <f t="shared" si="13"/>
        <v>0</v>
      </c>
      <c r="AB26" s="165">
        <f t="shared" si="14"/>
        <v>0</v>
      </c>
      <c r="AC26" s="165">
        <f t="shared" si="15"/>
        <v>0</v>
      </c>
      <c r="AD26" s="165">
        <f t="shared" si="16"/>
        <v>264</v>
      </c>
      <c r="AE26" s="170">
        <f t="shared" si="17"/>
        <v>264</v>
      </c>
    </row>
    <row r="27" spans="1:31" ht="14.25" customHeight="1">
      <c r="A27" s="251">
        <v>45982</v>
      </c>
      <c r="B27" s="252"/>
      <c r="C27" s="167"/>
      <c r="D27" s="167"/>
      <c r="E27" s="168"/>
      <c r="F27" s="168"/>
      <c r="G27" s="169"/>
      <c r="H27" s="169"/>
      <c r="I27" s="168"/>
      <c r="J27" s="169"/>
      <c r="K27" s="168">
        <f t="shared" si="0"/>
        <v>0</v>
      </c>
      <c r="L27" s="169"/>
      <c r="M27" s="169"/>
      <c r="N27" s="169"/>
      <c r="O27" s="168">
        <f t="shared" si="1"/>
        <v>0</v>
      </c>
      <c r="P27" s="167">
        <f t="shared" si="2"/>
        <v>8</v>
      </c>
      <c r="Q27" s="165">
        <f t="shared" si="3"/>
        <v>0</v>
      </c>
      <c r="R27" s="165">
        <f t="shared" si="4"/>
        <v>0</v>
      </c>
      <c r="S27" s="165">
        <f t="shared" si="5"/>
        <v>0</v>
      </c>
      <c r="T27" s="165">
        <f t="shared" si="6"/>
        <v>0</v>
      </c>
      <c r="U27" s="165">
        <f t="shared" si="7"/>
        <v>0</v>
      </c>
      <c r="V27" s="165">
        <f t="shared" si="8"/>
        <v>0</v>
      </c>
      <c r="W27" s="165">
        <f t="shared" si="9"/>
        <v>0</v>
      </c>
      <c r="X27" s="165">
        <f t="shared" si="10"/>
        <v>0</v>
      </c>
      <c r="Y27" s="165">
        <f t="shared" si="11"/>
        <v>0</v>
      </c>
      <c r="Z27" s="165">
        <f t="shared" si="12"/>
        <v>0</v>
      </c>
      <c r="AA27" s="165">
        <f t="shared" si="13"/>
        <v>0</v>
      </c>
      <c r="AB27" s="165">
        <f t="shared" si="14"/>
        <v>0</v>
      </c>
      <c r="AC27" s="165">
        <f t="shared" si="15"/>
        <v>0</v>
      </c>
      <c r="AD27" s="165">
        <f t="shared" si="16"/>
        <v>264</v>
      </c>
      <c r="AE27" s="170">
        <f t="shared" si="17"/>
        <v>264</v>
      </c>
    </row>
    <row r="28" spans="1:31" ht="14.25" customHeight="1">
      <c r="A28" s="251">
        <v>45983</v>
      </c>
      <c r="B28" s="252"/>
      <c r="C28" s="167"/>
      <c r="D28" s="167"/>
      <c r="E28" s="168"/>
      <c r="F28" s="168"/>
      <c r="G28" s="169"/>
      <c r="H28" s="169"/>
      <c r="I28" s="168"/>
      <c r="J28" s="169"/>
      <c r="K28" s="168">
        <f t="shared" si="0"/>
        <v>0</v>
      </c>
      <c r="L28" s="169"/>
      <c r="M28" s="169"/>
      <c r="N28" s="169"/>
      <c r="O28" s="168">
        <f t="shared" si="1"/>
        <v>0</v>
      </c>
      <c r="P28" s="167">
        <f t="shared" si="2"/>
        <v>8</v>
      </c>
      <c r="Q28" s="165">
        <f t="shared" si="3"/>
        <v>0</v>
      </c>
      <c r="R28" s="165">
        <f t="shared" si="4"/>
        <v>0</v>
      </c>
      <c r="S28" s="165">
        <f t="shared" si="5"/>
        <v>0</v>
      </c>
      <c r="T28" s="165">
        <f t="shared" si="6"/>
        <v>0</v>
      </c>
      <c r="U28" s="165">
        <f t="shared" si="7"/>
        <v>0</v>
      </c>
      <c r="V28" s="165">
        <f t="shared" si="8"/>
        <v>0</v>
      </c>
      <c r="W28" s="165">
        <f t="shared" si="9"/>
        <v>0</v>
      </c>
      <c r="X28" s="165">
        <f t="shared" si="10"/>
        <v>0</v>
      </c>
      <c r="Y28" s="165">
        <f t="shared" si="11"/>
        <v>0</v>
      </c>
      <c r="Z28" s="165">
        <f t="shared" si="12"/>
        <v>0</v>
      </c>
      <c r="AA28" s="165">
        <f t="shared" si="13"/>
        <v>0</v>
      </c>
      <c r="AB28" s="165">
        <f t="shared" si="14"/>
        <v>0</v>
      </c>
      <c r="AC28" s="165">
        <f t="shared" si="15"/>
        <v>0</v>
      </c>
      <c r="AD28" s="165">
        <f t="shared" si="16"/>
        <v>264</v>
      </c>
      <c r="AE28" s="170">
        <f t="shared" si="17"/>
        <v>264</v>
      </c>
    </row>
    <row r="29" spans="1:31" ht="14.25" customHeight="1">
      <c r="A29" s="251">
        <v>45984</v>
      </c>
      <c r="B29" s="252"/>
      <c r="C29" s="174"/>
      <c r="D29" s="174"/>
      <c r="E29" s="174"/>
      <c r="F29" s="174"/>
      <c r="G29" s="174"/>
      <c r="H29" s="174"/>
      <c r="I29" s="174"/>
      <c r="J29" s="169"/>
      <c r="K29" s="168">
        <f t="shared" si="0"/>
        <v>0</v>
      </c>
      <c r="L29" s="169"/>
      <c r="M29" s="169"/>
      <c r="N29" s="169"/>
      <c r="O29" s="168">
        <f t="shared" si="1"/>
        <v>0</v>
      </c>
      <c r="P29" s="167">
        <f t="shared" si="2"/>
        <v>8</v>
      </c>
      <c r="Q29" s="165">
        <f t="shared" si="3"/>
        <v>0</v>
      </c>
      <c r="R29" s="165">
        <f t="shared" si="4"/>
        <v>0</v>
      </c>
      <c r="S29" s="165">
        <f t="shared" si="5"/>
        <v>0</v>
      </c>
      <c r="T29" s="165">
        <f t="shared" si="6"/>
        <v>0</v>
      </c>
      <c r="U29" s="165">
        <f t="shared" si="7"/>
        <v>0</v>
      </c>
      <c r="V29" s="165">
        <f t="shared" si="8"/>
        <v>0</v>
      </c>
      <c r="W29" s="165">
        <f t="shared" si="9"/>
        <v>0</v>
      </c>
      <c r="X29" s="165">
        <f t="shared" si="10"/>
        <v>0</v>
      </c>
      <c r="Y29" s="165">
        <f t="shared" si="11"/>
        <v>0</v>
      </c>
      <c r="Z29" s="165">
        <f t="shared" si="12"/>
        <v>0</v>
      </c>
      <c r="AA29" s="165">
        <f t="shared" si="13"/>
        <v>0</v>
      </c>
      <c r="AB29" s="165">
        <f t="shared" si="14"/>
        <v>0</v>
      </c>
      <c r="AC29" s="165">
        <f t="shared" si="15"/>
        <v>0</v>
      </c>
      <c r="AD29" s="165">
        <f t="shared" si="16"/>
        <v>264</v>
      </c>
      <c r="AE29" s="170">
        <f t="shared" si="17"/>
        <v>264</v>
      </c>
    </row>
    <row r="30" spans="1:31" ht="14.25" customHeight="1">
      <c r="A30" s="251">
        <v>45985</v>
      </c>
      <c r="B30" s="252"/>
      <c r="C30" s="167"/>
      <c r="D30" s="167"/>
      <c r="E30" s="168"/>
      <c r="F30" s="168"/>
      <c r="G30" s="169"/>
      <c r="H30" s="169"/>
      <c r="I30" s="168"/>
      <c r="J30" s="169"/>
      <c r="K30" s="168">
        <f t="shared" si="0"/>
        <v>0</v>
      </c>
      <c r="L30" s="169"/>
      <c r="M30" s="169"/>
      <c r="N30" s="169"/>
      <c r="O30" s="168">
        <f t="shared" si="1"/>
        <v>0</v>
      </c>
      <c r="P30" s="167">
        <f t="shared" si="2"/>
        <v>8</v>
      </c>
      <c r="Q30" s="165">
        <f t="shared" si="3"/>
        <v>0</v>
      </c>
      <c r="R30" s="165">
        <f t="shared" si="4"/>
        <v>0</v>
      </c>
      <c r="S30" s="165">
        <f t="shared" si="5"/>
        <v>0</v>
      </c>
      <c r="T30" s="165">
        <f t="shared" si="6"/>
        <v>0</v>
      </c>
      <c r="U30" s="165">
        <f t="shared" si="7"/>
        <v>0</v>
      </c>
      <c r="V30" s="165">
        <f t="shared" si="8"/>
        <v>0</v>
      </c>
      <c r="W30" s="165">
        <f t="shared" si="9"/>
        <v>0</v>
      </c>
      <c r="X30" s="165">
        <f t="shared" si="10"/>
        <v>0</v>
      </c>
      <c r="Y30" s="165">
        <f t="shared" si="11"/>
        <v>0</v>
      </c>
      <c r="Z30" s="165">
        <f t="shared" si="12"/>
        <v>0</v>
      </c>
      <c r="AA30" s="165">
        <f t="shared" si="13"/>
        <v>0</v>
      </c>
      <c r="AB30" s="165">
        <f t="shared" si="14"/>
        <v>0</v>
      </c>
      <c r="AC30" s="165">
        <f t="shared" si="15"/>
        <v>0</v>
      </c>
      <c r="AD30" s="165">
        <f t="shared" si="16"/>
        <v>264</v>
      </c>
      <c r="AE30" s="170">
        <f t="shared" si="17"/>
        <v>264</v>
      </c>
    </row>
    <row r="31" spans="1:31" ht="14.25" customHeight="1">
      <c r="A31" s="251">
        <v>45986</v>
      </c>
      <c r="B31" s="252"/>
      <c r="C31" s="167"/>
      <c r="D31" s="167"/>
      <c r="E31" s="168"/>
      <c r="F31" s="168"/>
      <c r="G31" s="169"/>
      <c r="H31" s="169"/>
      <c r="I31" s="168"/>
      <c r="J31" s="169"/>
      <c r="K31" s="168">
        <f t="shared" si="0"/>
        <v>0</v>
      </c>
      <c r="L31" s="169"/>
      <c r="M31" s="169"/>
      <c r="N31" s="169"/>
      <c r="O31" s="168">
        <f t="shared" si="1"/>
        <v>0</v>
      </c>
      <c r="P31" s="167">
        <f t="shared" si="2"/>
        <v>8</v>
      </c>
      <c r="Q31" s="165">
        <f t="shared" si="3"/>
        <v>0</v>
      </c>
      <c r="R31" s="165">
        <f t="shared" si="4"/>
        <v>0</v>
      </c>
      <c r="S31" s="165">
        <f t="shared" si="5"/>
        <v>0</v>
      </c>
      <c r="T31" s="165">
        <f t="shared" si="6"/>
        <v>0</v>
      </c>
      <c r="U31" s="165">
        <f t="shared" si="7"/>
        <v>0</v>
      </c>
      <c r="V31" s="165">
        <f t="shared" si="8"/>
        <v>0</v>
      </c>
      <c r="W31" s="165">
        <f t="shared" si="9"/>
        <v>0</v>
      </c>
      <c r="X31" s="165">
        <f t="shared" si="10"/>
        <v>0</v>
      </c>
      <c r="Y31" s="165">
        <f t="shared" si="11"/>
        <v>0</v>
      </c>
      <c r="Z31" s="165">
        <f t="shared" si="12"/>
        <v>0</v>
      </c>
      <c r="AA31" s="165">
        <f t="shared" si="13"/>
        <v>0</v>
      </c>
      <c r="AB31" s="165">
        <f t="shared" si="14"/>
        <v>0</v>
      </c>
      <c r="AC31" s="165">
        <f t="shared" si="15"/>
        <v>0</v>
      </c>
      <c r="AD31" s="165">
        <f t="shared" si="16"/>
        <v>264</v>
      </c>
      <c r="AE31" s="170">
        <f t="shared" si="17"/>
        <v>264</v>
      </c>
    </row>
    <row r="32" spans="1:31" ht="14.25" customHeight="1">
      <c r="A32" s="251">
        <v>45987</v>
      </c>
      <c r="B32" s="252"/>
      <c r="C32" s="167"/>
      <c r="D32" s="167"/>
      <c r="E32" s="168"/>
      <c r="F32" s="168"/>
      <c r="G32" s="169"/>
      <c r="H32" s="169"/>
      <c r="I32" s="168"/>
      <c r="J32" s="169"/>
      <c r="K32" s="168">
        <f t="shared" si="0"/>
        <v>0</v>
      </c>
      <c r="L32" s="169"/>
      <c r="M32" s="169"/>
      <c r="N32" s="169"/>
      <c r="O32" s="168">
        <f t="shared" si="1"/>
        <v>0</v>
      </c>
      <c r="P32" s="167">
        <f t="shared" si="2"/>
        <v>8</v>
      </c>
      <c r="Q32" s="165">
        <f t="shared" si="3"/>
        <v>0</v>
      </c>
      <c r="R32" s="165">
        <f t="shared" si="4"/>
        <v>0</v>
      </c>
      <c r="S32" s="165">
        <f t="shared" si="5"/>
        <v>0</v>
      </c>
      <c r="T32" s="165">
        <f t="shared" si="6"/>
        <v>0</v>
      </c>
      <c r="U32" s="165">
        <f t="shared" si="7"/>
        <v>0</v>
      </c>
      <c r="V32" s="165">
        <f t="shared" si="8"/>
        <v>0</v>
      </c>
      <c r="W32" s="165">
        <f t="shared" si="9"/>
        <v>0</v>
      </c>
      <c r="X32" s="165">
        <f t="shared" si="10"/>
        <v>0</v>
      </c>
      <c r="Y32" s="165">
        <f t="shared" si="11"/>
        <v>0</v>
      </c>
      <c r="Z32" s="165">
        <f t="shared" si="12"/>
        <v>0</v>
      </c>
      <c r="AA32" s="165">
        <f t="shared" si="13"/>
        <v>0</v>
      </c>
      <c r="AB32" s="165">
        <f t="shared" si="14"/>
        <v>0</v>
      </c>
      <c r="AC32" s="165">
        <f t="shared" si="15"/>
        <v>0</v>
      </c>
      <c r="AD32" s="165">
        <f t="shared" si="16"/>
        <v>264</v>
      </c>
      <c r="AE32" s="170">
        <f t="shared" si="17"/>
        <v>264</v>
      </c>
    </row>
    <row r="33" spans="1:31" ht="14.25" customHeight="1">
      <c r="A33" s="251">
        <v>45988</v>
      </c>
      <c r="B33" s="252"/>
      <c r="C33" s="167"/>
      <c r="D33" s="167"/>
      <c r="E33" s="168"/>
      <c r="F33" s="168"/>
      <c r="G33" s="169"/>
      <c r="H33" s="169"/>
      <c r="I33" s="168"/>
      <c r="J33" s="169"/>
      <c r="K33" s="168">
        <f t="shared" si="0"/>
        <v>0</v>
      </c>
      <c r="L33" s="169"/>
      <c r="M33" s="169"/>
      <c r="N33" s="169"/>
      <c r="O33" s="168">
        <f t="shared" si="1"/>
        <v>0</v>
      </c>
      <c r="P33" s="167">
        <f t="shared" si="2"/>
        <v>8</v>
      </c>
      <c r="Q33" s="165">
        <f t="shared" si="3"/>
        <v>0</v>
      </c>
      <c r="R33" s="165">
        <f t="shared" si="4"/>
        <v>0</v>
      </c>
      <c r="S33" s="165">
        <f t="shared" si="5"/>
        <v>0</v>
      </c>
      <c r="T33" s="165">
        <f t="shared" si="6"/>
        <v>0</v>
      </c>
      <c r="U33" s="165">
        <f t="shared" si="7"/>
        <v>0</v>
      </c>
      <c r="V33" s="165">
        <f t="shared" si="8"/>
        <v>0</v>
      </c>
      <c r="W33" s="165">
        <f t="shared" si="9"/>
        <v>0</v>
      </c>
      <c r="X33" s="165">
        <f t="shared" si="10"/>
        <v>0</v>
      </c>
      <c r="Y33" s="165">
        <f t="shared" si="11"/>
        <v>0</v>
      </c>
      <c r="Z33" s="165">
        <f t="shared" si="12"/>
        <v>0</v>
      </c>
      <c r="AA33" s="165">
        <f t="shared" si="13"/>
        <v>0</v>
      </c>
      <c r="AB33" s="165">
        <f t="shared" si="14"/>
        <v>0</v>
      </c>
      <c r="AC33" s="165">
        <f t="shared" si="15"/>
        <v>0</v>
      </c>
      <c r="AD33" s="165">
        <f t="shared" si="16"/>
        <v>264</v>
      </c>
      <c r="AE33" s="170">
        <f t="shared" si="17"/>
        <v>264</v>
      </c>
    </row>
    <row r="34" spans="1:31" ht="14.25" customHeight="1">
      <c r="A34" s="251">
        <v>45989</v>
      </c>
      <c r="B34" s="252"/>
      <c r="C34" s="167"/>
      <c r="D34" s="167"/>
      <c r="E34" s="168"/>
      <c r="F34" s="168"/>
      <c r="G34" s="168"/>
      <c r="H34" s="169"/>
      <c r="I34" s="168"/>
      <c r="J34" s="169"/>
      <c r="K34" s="168">
        <f t="shared" si="0"/>
        <v>0</v>
      </c>
      <c r="L34" s="168"/>
      <c r="M34" s="168"/>
      <c r="N34" s="168"/>
      <c r="O34" s="168">
        <f t="shared" si="1"/>
        <v>0</v>
      </c>
      <c r="P34" s="167">
        <f t="shared" si="2"/>
        <v>8</v>
      </c>
      <c r="Q34" s="165">
        <f t="shared" si="3"/>
        <v>0</v>
      </c>
      <c r="R34" s="165">
        <f t="shared" si="4"/>
        <v>0</v>
      </c>
      <c r="S34" s="165">
        <f t="shared" si="5"/>
        <v>0</v>
      </c>
      <c r="T34" s="165">
        <f t="shared" si="6"/>
        <v>0</v>
      </c>
      <c r="U34" s="165">
        <f t="shared" si="7"/>
        <v>0</v>
      </c>
      <c r="V34" s="165">
        <f t="shared" si="8"/>
        <v>0</v>
      </c>
      <c r="W34" s="165">
        <f t="shared" si="9"/>
        <v>0</v>
      </c>
      <c r="X34" s="165">
        <f t="shared" si="10"/>
        <v>0</v>
      </c>
      <c r="Y34" s="165">
        <f t="shared" si="11"/>
        <v>0</v>
      </c>
      <c r="Z34" s="165">
        <f t="shared" si="12"/>
        <v>0</v>
      </c>
      <c r="AA34" s="165">
        <f t="shared" si="13"/>
        <v>0</v>
      </c>
      <c r="AB34" s="165">
        <f t="shared" si="14"/>
        <v>0</v>
      </c>
      <c r="AC34" s="165">
        <f t="shared" si="15"/>
        <v>0</v>
      </c>
      <c r="AD34" s="165">
        <f t="shared" si="16"/>
        <v>264</v>
      </c>
      <c r="AE34" s="170">
        <f t="shared" si="17"/>
        <v>264</v>
      </c>
    </row>
    <row r="35" spans="1:31" ht="14.25" customHeight="1">
      <c r="A35" s="251">
        <v>45990</v>
      </c>
      <c r="B35" s="252"/>
      <c r="C35" s="167"/>
      <c r="D35" s="167"/>
      <c r="E35" s="168"/>
      <c r="F35" s="168"/>
      <c r="G35" s="168"/>
      <c r="H35" s="169"/>
      <c r="I35" s="168"/>
      <c r="J35" s="169"/>
      <c r="K35" s="168">
        <f t="shared" si="0"/>
        <v>0</v>
      </c>
      <c r="L35" s="168"/>
      <c r="M35" s="168"/>
      <c r="N35" s="168"/>
      <c r="O35" s="168">
        <f t="shared" si="1"/>
        <v>0</v>
      </c>
      <c r="P35" s="167">
        <f t="shared" si="2"/>
        <v>8</v>
      </c>
      <c r="Q35" s="165">
        <f t="shared" si="3"/>
        <v>0</v>
      </c>
      <c r="R35" s="165">
        <f t="shared" si="4"/>
        <v>0</v>
      </c>
      <c r="S35" s="165">
        <f t="shared" si="5"/>
        <v>0</v>
      </c>
      <c r="T35" s="165">
        <f t="shared" si="6"/>
        <v>0</v>
      </c>
      <c r="U35" s="165">
        <f t="shared" si="7"/>
        <v>0</v>
      </c>
      <c r="V35" s="165">
        <f t="shared" si="8"/>
        <v>0</v>
      </c>
      <c r="W35" s="165">
        <f t="shared" si="9"/>
        <v>0</v>
      </c>
      <c r="X35" s="165">
        <f t="shared" si="10"/>
        <v>0</v>
      </c>
      <c r="Y35" s="165">
        <f t="shared" si="11"/>
        <v>0</v>
      </c>
      <c r="Z35" s="165">
        <f t="shared" si="12"/>
        <v>0</v>
      </c>
      <c r="AA35" s="165">
        <f t="shared" si="13"/>
        <v>0</v>
      </c>
      <c r="AB35" s="165">
        <f t="shared" si="14"/>
        <v>0</v>
      </c>
      <c r="AC35" s="165">
        <f t="shared" si="15"/>
        <v>0</v>
      </c>
      <c r="AD35" s="165">
        <f t="shared" si="16"/>
        <v>264</v>
      </c>
      <c r="AE35" s="170">
        <f t="shared" si="17"/>
        <v>264</v>
      </c>
    </row>
    <row r="36" spans="1:31" ht="14.25" customHeight="1">
      <c r="A36" s="251">
        <v>45991</v>
      </c>
      <c r="B36" s="252"/>
      <c r="C36" s="167"/>
      <c r="D36" s="167"/>
      <c r="E36" s="168"/>
      <c r="F36" s="168"/>
      <c r="G36" s="168"/>
      <c r="H36" s="169"/>
      <c r="I36" s="168"/>
      <c r="J36" s="169"/>
      <c r="K36" s="168">
        <f t="shared" si="0"/>
        <v>0</v>
      </c>
      <c r="L36" s="168"/>
      <c r="M36" s="168"/>
      <c r="N36" s="168"/>
      <c r="O36" s="168">
        <f t="shared" si="1"/>
        <v>0</v>
      </c>
      <c r="P36" s="167">
        <f t="shared" si="2"/>
        <v>8</v>
      </c>
      <c r="Q36" s="165">
        <f t="shared" si="3"/>
        <v>0</v>
      </c>
      <c r="R36" s="165">
        <f t="shared" si="4"/>
        <v>0</v>
      </c>
      <c r="S36" s="165">
        <f t="shared" si="5"/>
        <v>0</v>
      </c>
      <c r="T36" s="165">
        <f t="shared" si="6"/>
        <v>0</v>
      </c>
      <c r="U36" s="165">
        <f t="shared" si="7"/>
        <v>0</v>
      </c>
      <c r="V36" s="165">
        <f t="shared" si="8"/>
        <v>0</v>
      </c>
      <c r="W36" s="165">
        <f t="shared" si="9"/>
        <v>0</v>
      </c>
      <c r="X36" s="165">
        <f t="shared" si="10"/>
        <v>0</v>
      </c>
      <c r="Y36" s="165">
        <f t="shared" si="11"/>
        <v>0</v>
      </c>
      <c r="Z36" s="165">
        <f t="shared" si="12"/>
        <v>0</v>
      </c>
      <c r="AA36" s="165">
        <f t="shared" si="13"/>
        <v>0</v>
      </c>
      <c r="AB36" s="165">
        <f t="shared" si="14"/>
        <v>0</v>
      </c>
      <c r="AC36" s="165">
        <f t="shared" si="15"/>
        <v>0</v>
      </c>
      <c r="AD36" s="165">
        <f t="shared" si="16"/>
        <v>264</v>
      </c>
      <c r="AE36" s="170">
        <f t="shared" si="17"/>
        <v>264</v>
      </c>
    </row>
    <row r="37" spans="1:31" ht="14.25" customHeight="1" thickBot="1">
      <c r="A37" s="251"/>
      <c r="B37" s="252"/>
      <c r="C37" s="167"/>
      <c r="D37" s="167"/>
      <c r="E37" s="168"/>
      <c r="F37" s="168"/>
      <c r="G37" s="168"/>
      <c r="H37" s="169"/>
      <c r="I37" s="168"/>
      <c r="J37" s="169"/>
      <c r="K37" s="168"/>
      <c r="L37" s="168"/>
      <c r="M37" s="168"/>
      <c r="N37" s="168"/>
      <c r="O37" s="168">
        <f t="shared" si="1"/>
        <v>0</v>
      </c>
      <c r="P37" s="167"/>
      <c r="Q37" s="165">
        <f t="shared" si="3"/>
        <v>0</v>
      </c>
      <c r="R37" s="165">
        <f t="shared" si="4"/>
        <v>0</v>
      </c>
      <c r="S37" s="165">
        <f t="shared" si="5"/>
        <v>0</v>
      </c>
      <c r="T37" s="165">
        <f t="shared" si="6"/>
        <v>0</v>
      </c>
      <c r="U37" s="165">
        <f t="shared" si="7"/>
        <v>0</v>
      </c>
      <c r="V37" s="165">
        <f t="shared" si="8"/>
        <v>0</v>
      </c>
      <c r="W37" s="165">
        <f t="shared" si="9"/>
        <v>0</v>
      </c>
      <c r="X37" s="165">
        <f t="shared" si="10"/>
        <v>0</v>
      </c>
      <c r="Y37" s="165">
        <f t="shared" si="11"/>
        <v>0</v>
      </c>
      <c r="Z37" s="165">
        <f t="shared" si="12"/>
        <v>0</v>
      </c>
      <c r="AA37" s="165">
        <f t="shared" si="13"/>
        <v>0</v>
      </c>
      <c r="AB37" s="165">
        <f t="shared" si="14"/>
        <v>0</v>
      </c>
      <c r="AC37" s="165">
        <f t="shared" si="15"/>
        <v>0</v>
      </c>
      <c r="AD37" s="165">
        <f t="shared" si="16"/>
        <v>0</v>
      </c>
      <c r="AE37" s="170">
        <f t="shared" ref="AE37" si="18">SUM(Q37:AD37)</f>
        <v>0</v>
      </c>
    </row>
    <row r="38" spans="1:31" ht="14.25" customHeight="1" thickBot="1">
      <c r="A38" s="249" t="s">
        <v>26</v>
      </c>
      <c r="B38" s="250"/>
      <c r="C38" s="175">
        <f t="shared" ref="C38:P38" si="19">SUM(C7:C37)</f>
        <v>0</v>
      </c>
      <c r="D38" s="175">
        <f t="shared" si="19"/>
        <v>0</v>
      </c>
      <c r="E38" s="175">
        <f t="shared" si="19"/>
        <v>0</v>
      </c>
      <c r="F38" s="175">
        <f t="shared" si="19"/>
        <v>0</v>
      </c>
      <c r="G38" s="175">
        <f t="shared" si="19"/>
        <v>0</v>
      </c>
      <c r="H38" s="175">
        <f t="shared" si="19"/>
        <v>0</v>
      </c>
      <c r="I38" s="175">
        <f t="shared" si="19"/>
        <v>0</v>
      </c>
      <c r="J38" s="175">
        <f t="shared" si="19"/>
        <v>0</v>
      </c>
      <c r="K38" s="175">
        <f t="shared" si="19"/>
        <v>0</v>
      </c>
      <c r="L38" s="175">
        <f t="shared" si="19"/>
        <v>0</v>
      </c>
      <c r="M38" s="175">
        <f t="shared" si="19"/>
        <v>0</v>
      </c>
      <c r="N38" s="175">
        <f t="shared" si="19"/>
        <v>0</v>
      </c>
      <c r="O38" s="175">
        <f t="shared" si="19"/>
        <v>0</v>
      </c>
      <c r="P38" s="175">
        <f t="shared" si="19"/>
        <v>240</v>
      </c>
      <c r="Q38" s="176">
        <f>SUM(Q7:Q37)</f>
        <v>0</v>
      </c>
      <c r="R38" s="176">
        <f t="shared" ref="R38:AD38" si="20">SUM(R7:R37)</f>
        <v>0</v>
      </c>
      <c r="S38" s="176">
        <f t="shared" si="20"/>
        <v>0</v>
      </c>
      <c r="T38" s="176">
        <f t="shared" si="20"/>
        <v>0</v>
      </c>
      <c r="U38" s="176">
        <f t="shared" si="20"/>
        <v>0</v>
      </c>
      <c r="V38" s="176">
        <f t="shared" si="20"/>
        <v>0</v>
      </c>
      <c r="W38" s="176">
        <f t="shared" si="20"/>
        <v>0</v>
      </c>
      <c r="X38" s="176">
        <f t="shared" si="20"/>
        <v>0</v>
      </c>
      <c r="Y38" s="176">
        <f t="shared" si="20"/>
        <v>0</v>
      </c>
      <c r="Z38" s="176">
        <f t="shared" si="20"/>
        <v>0</v>
      </c>
      <c r="AA38" s="176">
        <f t="shared" si="20"/>
        <v>0</v>
      </c>
      <c r="AB38" s="176">
        <f t="shared" si="20"/>
        <v>0</v>
      </c>
      <c r="AC38" s="176">
        <f t="shared" si="20"/>
        <v>0</v>
      </c>
      <c r="AD38" s="176">
        <f t="shared" si="20"/>
        <v>7920</v>
      </c>
      <c r="AE38" s="177">
        <f>SUM(AE7:AE37)</f>
        <v>7920</v>
      </c>
    </row>
    <row r="39" spans="1:31" ht="14.25" customHeight="1"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AE39" s="178">
        <v>0</v>
      </c>
    </row>
    <row r="40" spans="1:31" ht="14.25" customHeight="1" thickBot="1"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AD40" s="179"/>
      <c r="AE40" s="180">
        <f>-(K3*14+K3*24+K3*2*2.7)</f>
        <v>0</v>
      </c>
    </row>
    <row r="41" spans="1:31" ht="14.25" customHeight="1"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AE41" s="181">
        <f>AE38+AE39+AE40</f>
        <v>7920</v>
      </c>
    </row>
    <row r="42" spans="1:31" ht="14.25" customHeight="1"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AE42" s="159"/>
    </row>
    <row r="43" spans="1:31" ht="14.25" customHeight="1"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AE43" s="159"/>
    </row>
    <row r="44" spans="1:31" ht="14.25" customHeight="1"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AE44" s="159"/>
    </row>
    <row r="45" spans="1:31" ht="14.25" customHeight="1"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AE45" s="159"/>
    </row>
    <row r="46" spans="1:31" ht="14.25" customHeight="1"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AE46" s="159"/>
    </row>
    <row r="47" spans="1:31" ht="14.25" customHeight="1"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AE47" s="159"/>
    </row>
    <row r="48" spans="1:31" ht="14.25" customHeight="1"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AE48" s="159"/>
    </row>
    <row r="49" spans="3:31" ht="14.25" customHeight="1"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AE49" s="159"/>
    </row>
    <row r="50" spans="3:31" ht="14.25" customHeight="1"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AE50" s="159"/>
    </row>
    <row r="51" spans="3:31" ht="14.25" customHeight="1"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AE51" s="159"/>
    </row>
    <row r="52" spans="3:31" ht="14.25" customHeight="1"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AE52" s="159"/>
    </row>
    <row r="53" spans="3:31" ht="14.25" customHeight="1"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AE53" s="159"/>
    </row>
    <row r="54" spans="3:31" ht="14.25" customHeight="1"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AE54" s="159"/>
    </row>
    <row r="55" spans="3:31" ht="14.25" customHeight="1"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AE55" s="159"/>
    </row>
    <row r="56" spans="3:31" ht="14.25" customHeight="1"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AE56" s="159"/>
    </row>
    <row r="57" spans="3:31" ht="14.25" customHeight="1"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AE57" s="159"/>
    </row>
    <row r="58" spans="3:31" ht="14.25" customHeight="1"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AE58" s="159"/>
    </row>
    <row r="59" spans="3:31" ht="14.25" customHeight="1"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AE59" s="159"/>
    </row>
    <row r="60" spans="3:31" ht="14.25" customHeight="1"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AE60" s="159"/>
    </row>
    <row r="61" spans="3:31" ht="14.25" customHeight="1"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AE61" s="159"/>
    </row>
    <row r="62" spans="3:31" ht="14.25" customHeight="1"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AE62" s="159"/>
    </row>
    <row r="63" spans="3:31" ht="14.25" customHeight="1"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AE63" s="159"/>
    </row>
    <row r="64" spans="3:31" ht="14.25" customHeight="1"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AE64" s="159"/>
    </row>
    <row r="65" spans="3:31" ht="14.25" customHeight="1"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AE65" s="159"/>
    </row>
    <row r="66" spans="3:31" ht="14.25" customHeight="1"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AE66" s="159"/>
    </row>
    <row r="67" spans="3:31" ht="14.25" customHeight="1"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AE67" s="159"/>
    </row>
    <row r="68" spans="3:31" ht="14.25" customHeight="1"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AE68" s="159"/>
    </row>
    <row r="69" spans="3:31" ht="14.25" customHeight="1"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AE69" s="159"/>
    </row>
    <row r="70" spans="3:31" ht="14.25" customHeight="1"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AE70" s="159"/>
    </row>
    <row r="71" spans="3:31" ht="14.25" customHeight="1"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AE71" s="159"/>
    </row>
    <row r="72" spans="3:31" ht="14.25" customHeight="1"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AE72" s="159"/>
    </row>
    <row r="73" spans="3:31" ht="14.25" customHeight="1"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AE73" s="159"/>
    </row>
    <row r="74" spans="3:31" ht="14.25" customHeight="1"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AE74" s="159"/>
    </row>
    <row r="75" spans="3:31" ht="14.25" customHeight="1"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AE75" s="159"/>
    </row>
    <row r="76" spans="3:31" ht="14.25" customHeight="1"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AE76" s="159"/>
    </row>
    <row r="77" spans="3:31" ht="14.25" customHeight="1"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AE77" s="159"/>
    </row>
    <row r="78" spans="3:31" ht="14.25" customHeight="1"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AE78" s="159"/>
    </row>
    <row r="79" spans="3:31" ht="14.25" customHeight="1"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AE79" s="159"/>
    </row>
    <row r="80" spans="3:31" ht="14.25" customHeight="1"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AE80" s="159"/>
    </row>
    <row r="81" spans="3:31" ht="14.25" customHeight="1"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AE81" s="159"/>
    </row>
    <row r="82" spans="3:31" ht="14.25" customHeight="1"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AE82" s="159"/>
    </row>
    <row r="83" spans="3:31" ht="14.25" customHeight="1"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AE83" s="159"/>
    </row>
    <row r="84" spans="3:31" ht="14.25" customHeight="1"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AE84" s="159"/>
    </row>
    <row r="85" spans="3:31" ht="14.25" customHeight="1"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AE85" s="159"/>
    </row>
    <row r="86" spans="3:31" ht="14.25" customHeight="1"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AE86" s="159"/>
    </row>
    <row r="87" spans="3:31" ht="14.25" customHeight="1"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AE87" s="159"/>
    </row>
    <row r="88" spans="3:31" ht="14.25" customHeight="1"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AE88" s="159"/>
    </row>
    <row r="89" spans="3:31" ht="14.25" customHeight="1"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AE89" s="159"/>
    </row>
    <row r="90" spans="3:31" ht="14.25" customHeight="1"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AE90" s="159"/>
    </row>
    <row r="91" spans="3:31" ht="14.25" customHeight="1"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AE91" s="159"/>
    </row>
    <row r="92" spans="3:31" ht="14.25" customHeight="1"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AE92" s="159"/>
    </row>
    <row r="93" spans="3:31" ht="14.25" customHeight="1"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AE93" s="159"/>
    </row>
    <row r="94" spans="3:31" ht="14.25" customHeight="1"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AE94" s="159"/>
    </row>
    <row r="95" spans="3:31" ht="14.25" customHeight="1"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AE95" s="159"/>
    </row>
    <row r="96" spans="3:31" ht="14.25" customHeight="1"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AE96" s="159"/>
    </row>
    <row r="97" spans="3:31" ht="14.25" customHeight="1"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AE97" s="159"/>
    </row>
    <row r="98" spans="3:31" ht="14.25" customHeight="1"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AE98" s="159"/>
    </row>
    <row r="99" spans="3:31" ht="14.25" customHeight="1"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AE99" s="159"/>
    </row>
    <row r="100" spans="3:31" ht="14.25" customHeight="1"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AE100" s="159"/>
    </row>
    <row r="101" spans="3:31" ht="14.25" customHeight="1"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AE101" s="159"/>
    </row>
    <row r="102" spans="3:31" ht="14.25" customHeight="1"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AE102" s="159"/>
    </row>
    <row r="103" spans="3:31" ht="14.25" customHeight="1"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AE103" s="159"/>
    </row>
    <row r="104" spans="3:31" ht="14.25" customHeight="1"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AE104" s="159"/>
    </row>
    <row r="105" spans="3:31" ht="14.25" customHeight="1"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AE105" s="159"/>
    </row>
    <row r="106" spans="3:31" ht="14.25" customHeight="1"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AE106" s="159"/>
    </row>
    <row r="107" spans="3:31" ht="14.25" customHeight="1"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AE107" s="159"/>
    </row>
    <row r="108" spans="3:31" ht="14.25" customHeight="1"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AE108" s="159"/>
    </row>
    <row r="109" spans="3:31" ht="14.25" customHeight="1"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AE109" s="159"/>
    </row>
    <row r="110" spans="3:31" ht="14.25" customHeight="1"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AE110" s="159"/>
    </row>
    <row r="111" spans="3:31" ht="14.25" customHeight="1"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AE111" s="159"/>
    </row>
    <row r="112" spans="3:31" ht="14.25" customHeight="1"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AE112" s="159"/>
    </row>
    <row r="113" spans="3:31" ht="14.25" customHeight="1"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AE113" s="159"/>
    </row>
    <row r="114" spans="3:31" ht="14.25" customHeight="1"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AE114" s="159"/>
    </row>
    <row r="115" spans="3:31" ht="14.25" customHeight="1"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AE115" s="159"/>
    </row>
    <row r="116" spans="3:31" ht="14.25" customHeight="1"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AE116" s="159"/>
    </row>
    <row r="117" spans="3:31" ht="14.25" customHeight="1"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AE117" s="159"/>
    </row>
    <row r="118" spans="3:31" ht="14.25" customHeight="1"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AE118" s="159"/>
    </row>
    <row r="119" spans="3:31" ht="14.25" customHeight="1"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AE119" s="159"/>
    </row>
    <row r="120" spans="3:31" ht="14.25" customHeight="1"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AE120" s="159"/>
    </row>
    <row r="121" spans="3:31" ht="14.25" customHeight="1"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AE121" s="159"/>
    </row>
    <row r="122" spans="3:31" ht="14.25" customHeight="1"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AE122" s="159"/>
    </row>
    <row r="123" spans="3:31" ht="14.25" customHeight="1"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AE123" s="159"/>
    </row>
    <row r="124" spans="3:31" ht="14.25" customHeight="1"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AE124" s="159"/>
    </row>
    <row r="125" spans="3:31" ht="14.25" customHeight="1"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AE125" s="159"/>
    </row>
    <row r="126" spans="3:31" ht="14.25" customHeight="1"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AE126" s="159"/>
    </row>
    <row r="127" spans="3:31" ht="14.25" customHeight="1"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AE127" s="159"/>
    </row>
    <row r="128" spans="3:31" ht="14.25" customHeight="1"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AE128" s="159"/>
    </row>
    <row r="129" spans="3:31" ht="14.25" customHeight="1"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AE129" s="159"/>
    </row>
    <row r="130" spans="3:31" ht="14.25" customHeight="1"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AE130" s="159"/>
    </row>
    <row r="131" spans="3:31" ht="14.25" customHeight="1"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AE131" s="159"/>
    </row>
    <row r="132" spans="3:31" ht="14.25" customHeight="1"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AE132" s="159"/>
    </row>
    <row r="133" spans="3:31" ht="14.25" customHeight="1"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AE133" s="159"/>
    </row>
    <row r="134" spans="3:31" ht="14.25" customHeight="1"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AE134" s="159"/>
    </row>
    <row r="135" spans="3:31" ht="14.25" customHeight="1"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AE135" s="159"/>
    </row>
    <row r="136" spans="3:31" ht="14.25" customHeight="1"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AE136" s="159"/>
    </row>
    <row r="137" spans="3:31" ht="14.25" customHeight="1"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AE137" s="159"/>
    </row>
    <row r="138" spans="3:31" ht="14.25" customHeight="1"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AE138" s="159"/>
    </row>
    <row r="139" spans="3:31" ht="14.25" customHeight="1"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AE139" s="159"/>
    </row>
    <row r="140" spans="3:31" ht="14.25" customHeight="1"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AE140" s="159"/>
    </row>
    <row r="141" spans="3:31" ht="14.25" customHeight="1"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AE141" s="159"/>
    </row>
    <row r="142" spans="3:31" ht="14.25" customHeight="1"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AE142" s="159"/>
    </row>
    <row r="143" spans="3:31" ht="14.25" customHeight="1"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AE143" s="159"/>
    </row>
    <row r="144" spans="3:31" ht="14.25" customHeight="1"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AE144" s="159"/>
    </row>
    <row r="145" spans="3:31" ht="14.25" customHeight="1"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AE145" s="159"/>
    </row>
    <row r="146" spans="3:31" ht="14.25" customHeight="1"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AE146" s="159"/>
    </row>
    <row r="147" spans="3:31" ht="14.25" customHeight="1"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AE147" s="159"/>
    </row>
    <row r="148" spans="3:31" ht="14.25" customHeight="1"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AE148" s="159"/>
    </row>
    <row r="149" spans="3:31" ht="14.25" customHeight="1"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AE149" s="159"/>
    </row>
    <row r="150" spans="3:31" ht="14.25" customHeight="1"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AE150" s="159"/>
    </row>
    <row r="151" spans="3:31" ht="14.25" customHeight="1"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AE151" s="159"/>
    </row>
    <row r="152" spans="3:31" ht="14.25" customHeight="1"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AE152" s="159"/>
    </row>
    <row r="153" spans="3:31" ht="14.25" customHeight="1"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AE153" s="159"/>
    </row>
    <row r="154" spans="3:31" ht="14.25" customHeight="1"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AE154" s="159"/>
    </row>
    <row r="155" spans="3:31" ht="14.25" customHeight="1"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AE155" s="159"/>
    </row>
    <row r="156" spans="3:31" ht="14.25" customHeight="1"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AE156" s="159"/>
    </row>
    <row r="157" spans="3:31" ht="14.25" customHeight="1"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AE157" s="159"/>
    </row>
    <row r="158" spans="3:31" ht="14.25" customHeight="1"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AE158" s="159"/>
    </row>
    <row r="159" spans="3:31" ht="14.25" customHeight="1"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AE159" s="159"/>
    </row>
    <row r="160" spans="3:31" ht="14.25" customHeight="1"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AE160" s="159"/>
    </row>
    <row r="161" spans="3:31" ht="14.25" customHeight="1"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AE161" s="159"/>
    </row>
    <row r="162" spans="3:31" ht="14.25" customHeight="1"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AE162" s="159"/>
    </row>
    <row r="163" spans="3:31" ht="14.25" customHeight="1"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AE163" s="159"/>
    </row>
    <row r="164" spans="3:31" ht="14.25" customHeight="1"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AE164" s="159"/>
    </row>
    <row r="165" spans="3:31" ht="14.25" customHeight="1"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AE165" s="159"/>
    </row>
    <row r="166" spans="3:31" ht="14.25" customHeight="1"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AE166" s="159"/>
    </row>
    <row r="167" spans="3:31" ht="14.25" customHeight="1"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AE167" s="159"/>
    </row>
    <row r="168" spans="3:31" ht="14.25" customHeight="1"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AE168" s="159"/>
    </row>
    <row r="169" spans="3:31" ht="14.25" customHeight="1"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AE169" s="159"/>
    </row>
    <row r="170" spans="3:31" ht="14.25" customHeight="1"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AE170" s="159"/>
    </row>
    <row r="171" spans="3:31" ht="14.25" customHeight="1"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AE171" s="159"/>
    </row>
    <row r="172" spans="3:31" ht="14.25" customHeight="1"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AE172" s="159"/>
    </row>
    <row r="173" spans="3:31" ht="14.25" customHeight="1"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AE173" s="159"/>
    </row>
    <row r="174" spans="3:31" ht="14.25" customHeight="1"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AE174" s="159"/>
    </row>
    <row r="175" spans="3:31" ht="14.25" customHeight="1"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AE175" s="159"/>
    </row>
    <row r="176" spans="3:31" ht="14.25" customHeight="1"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AE176" s="159"/>
    </row>
    <row r="177" spans="3:31" ht="14.25" customHeight="1"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AE177" s="159"/>
    </row>
    <row r="178" spans="3:31" ht="14.25" customHeight="1"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AE178" s="159"/>
    </row>
    <row r="179" spans="3:31" ht="14.25" customHeight="1"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AE179" s="159"/>
    </row>
    <row r="180" spans="3:31" ht="14.25" customHeight="1"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AE180" s="159"/>
    </row>
    <row r="181" spans="3:31" ht="14.25" customHeight="1"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AE181" s="159"/>
    </row>
    <row r="182" spans="3:31" ht="14.25" customHeight="1"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AE182" s="159"/>
    </row>
    <row r="183" spans="3:31" ht="14.25" customHeight="1"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AE183" s="159"/>
    </row>
    <row r="184" spans="3:31" ht="14.25" customHeight="1"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AE184" s="159"/>
    </row>
    <row r="185" spans="3:31" ht="14.25" customHeight="1"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AE185" s="159"/>
    </row>
    <row r="186" spans="3:31" ht="14.25" customHeight="1"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AE186" s="159"/>
    </row>
    <row r="187" spans="3:31" ht="14.25" customHeight="1"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AE187" s="159"/>
    </row>
    <row r="188" spans="3:31" ht="14.25" customHeight="1"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AE188" s="159"/>
    </row>
    <row r="189" spans="3:31" ht="14.25" customHeight="1"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AE189" s="159"/>
    </row>
    <row r="190" spans="3:31" ht="14.25" customHeight="1"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AE190" s="159"/>
    </row>
    <row r="191" spans="3:31" ht="14.25" customHeight="1"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AE191" s="159"/>
    </row>
    <row r="192" spans="3:31" ht="14.25" customHeight="1"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AE192" s="159"/>
    </row>
    <row r="193" spans="3:31" ht="14.25" customHeight="1"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AE193" s="159"/>
    </row>
    <row r="194" spans="3:31" ht="14.25" customHeight="1"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AE194" s="159"/>
    </row>
    <row r="195" spans="3:31" ht="14.25" customHeight="1"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AE195" s="159"/>
    </row>
    <row r="196" spans="3:31" ht="14.25" customHeight="1"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AE196" s="159"/>
    </row>
    <row r="197" spans="3:31" ht="14.25" customHeight="1"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AE197" s="159"/>
    </row>
    <row r="198" spans="3:31" ht="14.25" customHeight="1"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AE198" s="159"/>
    </row>
    <row r="199" spans="3:31" ht="14.25" customHeight="1"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AE199" s="159"/>
    </row>
    <row r="200" spans="3:31" ht="14.25" customHeight="1"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AE200" s="159"/>
    </row>
    <row r="201" spans="3:31" ht="14.25" customHeight="1"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AE201" s="159"/>
    </row>
    <row r="202" spans="3:31" ht="14.25" customHeight="1"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AE202" s="159"/>
    </row>
    <row r="203" spans="3:31" ht="14.25" customHeight="1"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AE203" s="159"/>
    </row>
    <row r="204" spans="3:31" ht="14.25" customHeight="1"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AE204" s="159"/>
    </row>
    <row r="205" spans="3:31" ht="14.25" customHeight="1"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AE205" s="159"/>
    </row>
    <row r="206" spans="3:31" ht="14.25" customHeight="1"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AE206" s="159"/>
    </row>
    <row r="207" spans="3:31" ht="14.25" customHeight="1"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AE207" s="159"/>
    </row>
    <row r="208" spans="3:31" ht="14.25" customHeight="1"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AE208" s="159"/>
    </row>
    <row r="209" spans="3:31" ht="14.25" customHeight="1"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AE209" s="159"/>
    </row>
    <row r="210" spans="3:31" ht="14.25" customHeight="1"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AE210" s="159"/>
    </row>
    <row r="211" spans="3:31" ht="14.25" customHeight="1"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AE211" s="159"/>
    </row>
    <row r="212" spans="3:31" ht="14.25" customHeight="1"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AE212" s="159"/>
    </row>
    <row r="213" spans="3:31" ht="14.25" customHeight="1"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AE213" s="159"/>
    </row>
    <row r="214" spans="3:31" ht="14.25" customHeight="1"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AE214" s="159"/>
    </row>
    <row r="215" spans="3:31" ht="14.25" customHeight="1"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AE215" s="159"/>
    </row>
    <row r="216" spans="3:31" ht="14.25" customHeight="1"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AE216" s="159"/>
    </row>
    <row r="217" spans="3:31" ht="14.25" customHeight="1"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AE217" s="159"/>
    </row>
    <row r="218" spans="3:31" ht="14.25" customHeight="1"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AE218" s="159"/>
    </row>
    <row r="219" spans="3:31" ht="14.25" customHeight="1"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AE219" s="159"/>
    </row>
    <row r="220" spans="3:31" ht="14.25" customHeight="1"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AE220" s="159"/>
    </row>
    <row r="221" spans="3:31" ht="14.25" customHeight="1"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AE221" s="159"/>
    </row>
    <row r="222" spans="3:31" ht="14.25" customHeight="1"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AE222" s="159"/>
    </row>
    <row r="223" spans="3:31" ht="14.25" customHeight="1"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AE223" s="159"/>
    </row>
    <row r="224" spans="3:31" ht="14.25" customHeight="1"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AE224" s="159"/>
    </row>
    <row r="225" spans="3:31" ht="14.25" customHeight="1"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AE225" s="159"/>
    </row>
    <row r="226" spans="3:31" ht="14.25" customHeight="1"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AE226" s="159"/>
    </row>
    <row r="227" spans="3:31" ht="14.25" customHeight="1"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AE227" s="159"/>
    </row>
    <row r="228" spans="3:31" ht="14.25" customHeight="1"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AE228" s="159"/>
    </row>
    <row r="229" spans="3:31" ht="14.25" customHeight="1"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AE229" s="159"/>
    </row>
    <row r="230" spans="3:31" ht="14.25" customHeight="1"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AE230" s="159"/>
    </row>
    <row r="231" spans="3:31" ht="14.25" customHeight="1"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AE231" s="159"/>
    </row>
    <row r="232" spans="3:31" ht="14.25" customHeight="1"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AE232" s="159"/>
    </row>
    <row r="233" spans="3:31" ht="14.25" customHeight="1"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AE233" s="159"/>
    </row>
    <row r="234" spans="3:31" ht="14.25" customHeight="1"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AE234" s="159"/>
    </row>
    <row r="235" spans="3:31" ht="14.25" customHeight="1"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AE235" s="159"/>
    </row>
    <row r="236" spans="3:31" ht="14.25" customHeight="1"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AE236" s="159"/>
    </row>
    <row r="237" spans="3:31" ht="14.25" customHeight="1"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AE237" s="159"/>
    </row>
    <row r="238" spans="3:31" ht="14.25" customHeight="1"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AE238" s="159"/>
    </row>
    <row r="239" spans="3:31" ht="14.25" customHeight="1"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AE239" s="159"/>
    </row>
    <row r="240" spans="3:31" ht="14.25" customHeight="1"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AE240" s="159"/>
    </row>
    <row r="241" spans="3:31" ht="14.25" customHeight="1"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AE241" s="159"/>
    </row>
    <row r="242" spans="3:31" ht="15.75" customHeight="1"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AE242" s="159"/>
    </row>
    <row r="243" spans="3:31" ht="15.75" customHeight="1"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AE243" s="159"/>
    </row>
    <row r="244" spans="3:31" ht="15.75" customHeight="1"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AE244" s="159"/>
    </row>
    <row r="245" spans="3:31" ht="15.75" customHeight="1"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AE245" s="159"/>
    </row>
    <row r="246" spans="3:31" ht="15.75" customHeight="1"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AE246" s="159"/>
    </row>
    <row r="247" spans="3:31" ht="15.75" customHeight="1"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AE247" s="159"/>
    </row>
    <row r="248" spans="3:31" ht="15.75" customHeight="1"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AE248" s="159"/>
    </row>
    <row r="249" spans="3:31" ht="15.75" customHeight="1"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AE249" s="159"/>
    </row>
    <row r="250" spans="3:31" ht="15.75" customHeight="1"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AE250" s="159"/>
    </row>
    <row r="251" spans="3:31" ht="15.75" customHeight="1"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AE251" s="159"/>
    </row>
    <row r="252" spans="3:31" ht="15.75" customHeight="1"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AE252" s="159"/>
    </row>
    <row r="253" spans="3:31" ht="15.75" customHeight="1"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AE253" s="159"/>
    </row>
    <row r="254" spans="3:31" ht="15.75" customHeight="1"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AE254" s="159"/>
    </row>
    <row r="255" spans="3:31" ht="15.75" customHeight="1"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AE255" s="159"/>
    </row>
    <row r="256" spans="3:31" ht="15.75" customHeight="1"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AE256" s="159"/>
    </row>
    <row r="257" spans="3:31" ht="15.75" customHeight="1"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AE257" s="159"/>
    </row>
    <row r="258" spans="3:31" ht="15.75" customHeight="1"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AE258" s="159"/>
    </row>
    <row r="259" spans="3:31" ht="15.75" customHeight="1"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AE259" s="159"/>
    </row>
    <row r="260" spans="3:31" ht="15.75" customHeight="1"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AE260" s="159"/>
    </row>
    <row r="261" spans="3:31" ht="15.75" customHeight="1"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AE261" s="159"/>
    </row>
    <row r="262" spans="3:31" ht="15.75" customHeight="1"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AE262" s="159"/>
    </row>
    <row r="263" spans="3:31" ht="15.75" customHeight="1"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AE263" s="159"/>
    </row>
    <row r="264" spans="3:31" ht="15.75" customHeight="1"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AE264" s="159"/>
    </row>
    <row r="265" spans="3:31" ht="15.75" customHeight="1"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AE265" s="159"/>
    </row>
    <row r="266" spans="3:31" ht="15.75" customHeight="1"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AE266" s="159"/>
    </row>
    <row r="267" spans="3:31" ht="15.75" customHeight="1"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AE267" s="159"/>
    </row>
    <row r="268" spans="3:31" ht="15.75" customHeight="1"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AE268" s="159"/>
    </row>
    <row r="269" spans="3:31" ht="15.75" customHeight="1"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AE269" s="159"/>
    </row>
    <row r="270" spans="3:31" ht="15.75" customHeight="1"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AE270" s="159"/>
    </row>
    <row r="271" spans="3:31" ht="15.75" customHeight="1"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AE271" s="159"/>
    </row>
    <row r="272" spans="3:31" ht="15.75" customHeight="1"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AE272" s="159"/>
    </row>
    <row r="273" spans="3:31" ht="15.75" customHeight="1"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AE273" s="159"/>
    </row>
    <row r="274" spans="3:31" ht="15.75" customHeight="1"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AE274" s="159"/>
    </row>
    <row r="275" spans="3:31" ht="15.75" customHeight="1"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AE275" s="159"/>
    </row>
    <row r="276" spans="3:31" ht="15.75" customHeight="1"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AE276" s="159"/>
    </row>
    <row r="277" spans="3:31" ht="15.75" customHeight="1"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AE277" s="159"/>
    </row>
    <row r="278" spans="3:31" ht="15.75" customHeight="1"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AE278" s="159"/>
    </row>
    <row r="279" spans="3:31" ht="15.75" customHeight="1"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AE279" s="159"/>
    </row>
    <row r="280" spans="3:31" ht="15.75" customHeight="1"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AE280" s="159"/>
    </row>
    <row r="281" spans="3:31" ht="15.75" customHeight="1"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AE281" s="159"/>
    </row>
    <row r="282" spans="3:31" ht="15.75" customHeight="1"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AE282" s="159"/>
    </row>
    <row r="283" spans="3:31" ht="15.75" customHeight="1"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AE283" s="159"/>
    </row>
    <row r="284" spans="3:31" ht="15.75" customHeight="1"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AE284" s="159"/>
    </row>
    <row r="285" spans="3:31" ht="15.75" customHeight="1"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AE285" s="159"/>
    </row>
    <row r="286" spans="3:31" ht="15.75" customHeight="1"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AE286" s="159"/>
    </row>
    <row r="287" spans="3:31" ht="15.75" customHeight="1"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AE287" s="159"/>
    </row>
    <row r="288" spans="3:31" ht="15.75" customHeight="1"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AE288" s="159"/>
    </row>
    <row r="289" spans="3:31" ht="15.75" customHeight="1"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AE289" s="159"/>
    </row>
    <row r="290" spans="3:31" ht="15.75" customHeight="1"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AE290" s="159"/>
    </row>
    <row r="291" spans="3:31" ht="15.75" customHeight="1"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AE291" s="159"/>
    </row>
    <row r="292" spans="3:31" ht="15.75" customHeight="1"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AE292" s="159"/>
    </row>
    <row r="293" spans="3:31" ht="15.75" customHeight="1"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AE293" s="159"/>
    </row>
    <row r="294" spans="3:31" ht="15.75" customHeight="1"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AE294" s="159"/>
    </row>
    <row r="295" spans="3:31" ht="15.75" customHeight="1"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AE295" s="159"/>
    </row>
    <row r="296" spans="3:31" ht="15.75" customHeight="1"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AE296" s="159"/>
    </row>
    <row r="297" spans="3:31" ht="15.75" customHeight="1"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AE297" s="159"/>
    </row>
    <row r="298" spans="3:31" ht="15.75" customHeight="1"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AE298" s="159"/>
    </row>
    <row r="299" spans="3:31" ht="15.75" customHeight="1"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AE299" s="159"/>
    </row>
    <row r="300" spans="3:31" ht="15.75" customHeight="1"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AE300" s="159"/>
    </row>
    <row r="301" spans="3:31" ht="15.75" customHeight="1"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AE301" s="159"/>
    </row>
    <row r="302" spans="3:31" ht="15.75" customHeight="1"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AE302" s="159"/>
    </row>
    <row r="303" spans="3:31" ht="15.75" customHeight="1"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AE303" s="159"/>
    </row>
    <row r="304" spans="3:31" ht="15.75" customHeight="1"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AE304" s="159"/>
    </row>
    <row r="305" spans="3:31" ht="15.75" customHeight="1"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AE305" s="159"/>
    </row>
    <row r="306" spans="3:31" ht="15.75" customHeight="1"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AE306" s="159"/>
    </row>
    <row r="307" spans="3:31" ht="15.75" customHeight="1"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AE307" s="159"/>
    </row>
    <row r="308" spans="3:31" ht="15.75" customHeight="1"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AE308" s="159"/>
    </row>
    <row r="309" spans="3:31" ht="15.75" customHeight="1"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AE309" s="159"/>
    </row>
    <row r="310" spans="3:31" ht="15.75" customHeight="1"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AE310" s="159"/>
    </row>
    <row r="311" spans="3:31" ht="15.75" customHeight="1"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AE311" s="159"/>
    </row>
    <row r="312" spans="3:31" ht="15.75" customHeight="1"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AE312" s="159"/>
    </row>
    <row r="313" spans="3:31" ht="15.75" customHeight="1"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AE313" s="159"/>
    </row>
    <row r="314" spans="3:31" ht="15.75" customHeight="1"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AE314" s="159"/>
    </row>
    <row r="315" spans="3:31" ht="15.75" customHeight="1"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AE315" s="159"/>
    </row>
    <row r="316" spans="3:31" ht="15.75" customHeight="1"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AE316" s="159"/>
    </row>
    <row r="317" spans="3:31" ht="15.75" customHeight="1"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AE317" s="159"/>
    </row>
    <row r="318" spans="3:31" ht="15.75" customHeight="1"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AE318" s="159"/>
    </row>
    <row r="319" spans="3:31" ht="15.75" customHeight="1"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AE319" s="159"/>
    </row>
    <row r="320" spans="3:31" ht="15.75" customHeight="1"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AE320" s="159"/>
    </row>
    <row r="321" spans="3:31" ht="15.75" customHeight="1"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AE321" s="159"/>
    </row>
    <row r="322" spans="3:31" ht="15.75" customHeight="1"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AE322" s="159"/>
    </row>
    <row r="323" spans="3:31" ht="15.75" customHeight="1"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AE323" s="159"/>
    </row>
    <row r="324" spans="3:31" ht="15.75" customHeight="1"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AE324" s="159"/>
    </row>
    <row r="325" spans="3:31" ht="15.75" customHeight="1"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AE325" s="159"/>
    </row>
    <row r="326" spans="3:31" ht="15.75" customHeight="1"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AE326" s="159"/>
    </row>
    <row r="327" spans="3:31" ht="15.75" customHeight="1"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AE327" s="159"/>
    </row>
    <row r="328" spans="3:31" ht="15.75" customHeight="1"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AE328" s="159"/>
    </row>
    <row r="329" spans="3:31" ht="15.75" customHeight="1"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AE329" s="159"/>
    </row>
    <row r="330" spans="3:31" ht="15.75" customHeight="1"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AE330" s="159"/>
    </row>
    <row r="331" spans="3:31" ht="15.75" customHeight="1"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AE331" s="159"/>
    </row>
    <row r="332" spans="3:31" ht="15.75" customHeight="1"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AE332" s="159"/>
    </row>
    <row r="333" spans="3:31" ht="15.75" customHeight="1"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AE333" s="159"/>
    </row>
    <row r="334" spans="3:31" ht="15.75" customHeight="1"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AE334" s="159"/>
    </row>
    <row r="335" spans="3:31" ht="15.75" customHeight="1"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AE335" s="159"/>
    </row>
    <row r="336" spans="3:31" ht="15.75" customHeight="1"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AE336" s="159"/>
    </row>
    <row r="337" spans="3:31" ht="15.75" customHeight="1"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AE337" s="159"/>
    </row>
    <row r="338" spans="3:31" ht="15.75" customHeight="1"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AE338" s="159"/>
    </row>
    <row r="339" spans="3:31" ht="15.75" customHeight="1"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AE339" s="159"/>
    </row>
    <row r="340" spans="3:31" ht="15.75" customHeight="1"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AE340" s="159"/>
    </row>
    <row r="341" spans="3:31" ht="15.75" customHeight="1"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AE341" s="159"/>
    </row>
    <row r="342" spans="3:31" ht="15.75" customHeight="1"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AE342" s="159"/>
    </row>
    <row r="343" spans="3:31" ht="15.75" customHeight="1"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AE343" s="159"/>
    </row>
    <row r="344" spans="3:31" ht="15.75" customHeight="1"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AE344" s="159"/>
    </row>
    <row r="345" spans="3:31" ht="15.75" customHeight="1"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AE345" s="159"/>
    </row>
    <row r="346" spans="3:31" ht="15.75" customHeight="1"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AE346" s="159"/>
    </row>
    <row r="347" spans="3:31" ht="15.75" customHeight="1"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AE347" s="159"/>
    </row>
    <row r="348" spans="3:31" ht="15.75" customHeight="1"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AE348" s="159"/>
    </row>
    <row r="349" spans="3:31" ht="15.75" customHeight="1"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AE349" s="159"/>
    </row>
    <row r="350" spans="3:31" ht="15.75" customHeight="1"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AE350" s="159"/>
    </row>
    <row r="351" spans="3:31" ht="15.75" customHeight="1"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AE351" s="159"/>
    </row>
    <row r="352" spans="3:31" ht="15.75" customHeight="1"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AE352" s="159"/>
    </row>
    <row r="353" spans="3:31" ht="15.75" customHeight="1"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AE353" s="159"/>
    </row>
    <row r="354" spans="3:31" ht="15.75" customHeight="1"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AE354" s="159"/>
    </row>
    <row r="355" spans="3:31" ht="15.75" customHeight="1"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AE355" s="159"/>
    </row>
    <row r="356" spans="3:31" ht="15.75" customHeight="1"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AE356" s="159"/>
    </row>
    <row r="357" spans="3:31" ht="15.75" customHeight="1"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AE357" s="159"/>
    </row>
    <row r="358" spans="3:31" ht="15.75" customHeight="1"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AE358" s="159"/>
    </row>
    <row r="359" spans="3:31" ht="15.75" customHeight="1"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AE359" s="159"/>
    </row>
    <row r="360" spans="3:31" ht="15.75" customHeight="1"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AE360" s="159"/>
    </row>
    <row r="361" spans="3:31" ht="15.75" customHeight="1"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AE361" s="159"/>
    </row>
    <row r="362" spans="3:31" ht="15.75" customHeight="1"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AE362" s="159"/>
    </row>
    <row r="363" spans="3:31" ht="15.75" customHeight="1"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AE363" s="159"/>
    </row>
    <row r="364" spans="3:31" ht="15.75" customHeight="1"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AE364" s="159"/>
    </row>
    <row r="365" spans="3:31" ht="15.75" customHeight="1"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AE365" s="159"/>
    </row>
    <row r="366" spans="3:31" ht="15.75" customHeight="1"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AE366" s="159"/>
    </row>
    <row r="367" spans="3:31" ht="15.75" customHeight="1"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AE367" s="159"/>
    </row>
    <row r="368" spans="3:31" ht="15.75" customHeight="1"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AE368" s="159"/>
    </row>
    <row r="369" spans="3:31" ht="15.75" customHeight="1"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AE369" s="159"/>
    </row>
    <row r="370" spans="3:31" ht="15.75" customHeight="1"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AE370" s="159"/>
    </row>
    <row r="371" spans="3:31" ht="15.75" customHeight="1"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AE371" s="159"/>
    </row>
    <row r="372" spans="3:31" ht="15.75" customHeight="1"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AE372" s="159"/>
    </row>
    <row r="373" spans="3:31" ht="15.75" customHeight="1"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AE373" s="159"/>
    </row>
    <row r="374" spans="3:31" ht="15.75" customHeight="1"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AE374" s="159"/>
    </row>
    <row r="375" spans="3:31" ht="15.75" customHeight="1"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AE375" s="159"/>
    </row>
    <row r="376" spans="3:31" ht="15.75" customHeight="1"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AE376" s="159"/>
    </row>
    <row r="377" spans="3:31" ht="15.75" customHeight="1"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AE377" s="159"/>
    </row>
    <row r="378" spans="3:31" ht="15.75" customHeight="1"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AE378" s="159"/>
    </row>
    <row r="379" spans="3:31" ht="15.75" customHeight="1"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AE379" s="159"/>
    </row>
    <row r="380" spans="3:31" ht="15.75" customHeight="1"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AE380" s="159"/>
    </row>
    <row r="381" spans="3:31" ht="15.75" customHeight="1"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AE381" s="159"/>
    </row>
    <row r="382" spans="3:31" ht="15.75" customHeight="1"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AE382" s="159"/>
    </row>
    <row r="383" spans="3:31" ht="15.75" customHeight="1"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AE383" s="159"/>
    </row>
    <row r="384" spans="3:31" ht="15.75" customHeight="1"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AE384" s="159"/>
    </row>
    <row r="385" spans="3:31" ht="15.75" customHeight="1"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AE385" s="159"/>
    </row>
    <row r="386" spans="3:31" ht="15.75" customHeight="1"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AE386" s="159"/>
    </row>
    <row r="387" spans="3:31" ht="15.75" customHeight="1"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AE387" s="159"/>
    </row>
    <row r="388" spans="3:31" ht="15.75" customHeight="1"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AE388" s="159"/>
    </row>
    <row r="389" spans="3:31" ht="15.75" customHeight="1"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AE389" s="159"/>
    </row>
    <row r="390" spans="3:31" ht="15.75" customHeight="1"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AE390" s="159"/>
    </row>
    <row r="391" spans="3:31" ht="15.75" customHeight="1"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AE391" s="159"/>
    </row>
    <row r="392" spans="3:31" ht="15.75" customHeight="1"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AE392" s="159"/>
    </row>
    <row r="393" spans="3:31" ht="15.75" customHeight="1"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AE393" s="159"/>
    </row>
    <row r="394" spans="3:31" ht="15.75" customHeight="1"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AE394" s="159"/>
    </row>
    <row r="395" spans="3:31" ht="15.75" customHeight="1"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AE395" s="159"/>
    </row>
    <row r="396" spans="3:31" ht="15.75" customHeight="1"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AE396" s="159"/>
    </row>
    <row r="397" spans="3:31" ht="15.75" customHeight="1"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AE397" s="159"/>
    </row>
    <row r="398" spans="3:31" ht="15.75" customHeight="1"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AE398" s="159"/>
    </row>
    <row r="399" spans="3:31" ht="15.75" customHeight="1"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AE399" s="159"/>
    </row>
    <row r="400" spans="3:31" ht="15.75" customHeight="1"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AE400" s="159"/>
    </row>
    <row r="401" spans="3:31" ht="15.75" customHeight="1"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AE401" s="159"/>
    </row>
    <row r="402" spans="3:31" ht="15.75" customHeight="1"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AE402" s="159"/>
    </row>
    <row r="403" spans="3:31" ht="15.75" customHeight="1"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AE403" s="159"/>
    </row>
    <row r="404" spans="3:31" ht="15.75" customHeight="1"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AE404" s="159"/>
    </row>
    <row r="405" spans="3:31" ht="15.75" customHeight="1"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AE405" s="159"/>
    </row>
    <row r="406" spans="3:31" ht="15.75" customHeight="1"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AE406" s="159"/>
    </row>
    <row r="407" spans="3:31" ht="15.75" customHeight="1"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AE407" s="159"/>
    </row>
    <row r="408" spans="3:31" ht="15.75" customHeight="1"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AE408" s="159"/>
    </row>
    <row r="409" spans="3:31" ht="15.75" customHeight="1"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AE409" s="159"/>
    </row>
    <row r="410" spans="3:31" ht="15.75" customHeight="1"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AE410" s="159"/>
    </row>
    <row r="411" spans="3:31" ht="15.75" customHeight="1"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AE411" s="159"/>
    </row>
    <row r="412" spans="3:31" ht="15.75" customHeight="1"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AE412" s="159"/>
    </row>
    <row r="413" spans="3:31" ht="15.75" customHeight="1"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AE413" s="159"/>
    </row>
    <row r="414" spans="3:31" ht="15.75" customHeight="1"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AE414" s="159"/>
    </row>
    <row r="415" spans="3:31" ht="15.75" customHeight="1"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AE415" s="159"/>
    </row>
    <row r="416" spans="3:31" ht="15.75" customHeight="1"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AE416" s="159"/>
    </row>
    <row r="417" spans="3:31" ht="15.75" customHeight="1"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AE417" s="159"/>
    </row>
    <row r="418" spans="3:31" ht="15.75" customHeight="1"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AE418" s="159"/>
    </row>
    <row r="419" spans="3:31" ht="15.75" customHeight="1"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AE419" s="159"/>
    </row>
    <row r="420" spans="3:31" ht="15.75" customHeight="1"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AE420" s="159"/>
    </row>
    <row r="421" spans="3:31" ht="15.75" customHeight="1"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AE421" s="159"/>
    </row>
    <row r="422" spans="3:31" ht="15.75" customHeight="1"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AE422" s="159"/>
    </row>
    <row r="423" spans="3:31" ht="15.75" customHeight="1"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AE423" s="159"/>
    </row>
    <row r="424" spans="3:31" ht="15.75" customHeight="1"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AE424" s="159"/>
    </row>
    <row r="425" spans="3:31" ht="15.75" customHeight="1"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AE425" s="159"/>
    </row>
    <row r="426" spans="3:31" ht="15.75" customHeight="1"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AE426" s="159"/>
    </row>
    <row r="427" spans="3:31" ht="15.75" customHeight="1"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AE427" s="159"/>
    </row>
    <row r="428" spans="3:31" ht="15.75" customHeight="1"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AE428" s="159"/>
    </row>
    <row r="429" spans="3:31" ht="15.75" customHeight="1"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AE429" s="159"/>
    </row>
    <row r="430" spans="3:31" ht="15.75" customHeight="1"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AE430" s="159"/>
    </row>
    <row r="431" spans="3:31" ht="15.75" customHeight="1"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AE431" s="159"/>
    </row>
    <row r="432" spans="3:31" ht="15.75" customHeight="1"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AE432" s="159"/>
    </row>
    <row r="433" spans="3:31" ht="15.75" customHeight="1"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AE433" s="159"/>
    </row>
    <row r="434" spans="3:31" ht="15.75" customHeight="1"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AE434" s="159"/>
    </row>
    <row r="435" spans="3:31" ht="15.75" customHeight="1"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AE435" s="159"/>
    </row>
    <row r="436" spans="3:31" ht="15.75" customHeight="1"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AE436" s="159"/>
    </row>
    <row r="437" spans="3:31" ht="15.75" customHeight="1"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AE437" s="159"/>
    </row>
    <row r="438" spans="3:31" ht="15.75" customHeight="1"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AE438" s="159"/>
    </row>
    <row r="439" spans="3:31" ht="15.75" customHeight="1"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AE439" s="159"/>
    </row>
    <row r="440" spans="3:31" ht="15.75" customHeight="1"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AE440" s="159"/>
    </row>
    <row r="441" spans="3:31" ht="15.75" customHeight="1"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AE441" s="159"/>
    </row>
    <row r="442" spans="3:31" ht="15.75" customHeight="1"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AE442" s="159"/>
    </row>
    <row r="443" spans="3:31" ht="15.75" customHeight="1"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AE443" s="159"/>
    </row>
    <row r="444" spans="3:31" ht="15.75" customHeight="1"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AE444" s="159"/>
    </row>
    <row r="445" spans="3:31" ht="15.75" customHeight="1"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AE445" s="159"/>
    </row>
    <row r="446" spans="3:31" ht="15.75" customHeight="1"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AE446" s="159"/>
    </row>
    <row r="447" spans="3:31" ht="15.75" customHeight="1"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AE447" s="159"/>
    </row>
    <row r="448" spans="3:31" ht="15.75" customHeight="1"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AE448" s="159"/>
    </row>
    <row r="449" spans="3:31" ht="15.75" customHeight="1"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AE449" s="159"/>
    </row>
    <row r="450" spans="3:31" ht="15.75" customHeight="1"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AE450" s="159"/>
    </row>
    <row r="451" spans="3:31" ht="15.75" customHeight="1"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AE451" s="159"/>
    </row>
    <row r="452" spans="3:31" ht="15.75" customHeight="1"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AE452" s="159"/>
    </row>
    <row r="453" spans="3:31" ht="15.75" customHeight="1"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AE453" s="159"/>
    </row>
    <row r="454" spans="3:31" ht="15.75" customHeight="1"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AE454" s="159"/>
    </row>
    <row r="455" spans="3:31" ht="15.75" customHeight="1"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AE455" s="159"/>
    </row>
    <row r="456" spans="3:31" ht="15.75" customHeight="1"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AE456" s="159"/>
    </row>
    <row r="457" spans="3:31" ht="15.75" customHeight="1"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AE457" s="159"/>
    </row>
    <row r="458" spans="3:31" ht="15.75" customHeight="1"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AE458" s="159"/>
    </row>
    <row r="459" spans="3:31" ht="15.75" customHeight="1"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AE459" s="159"/>
    </row>
    <row r="460" spans="3:31" ht="15.75" customHeight="1"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AE460" s="159"/>
    </row>
    <row r="461" spans="3:31" ht="15.75" customHeight="1"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AE461" s="159"/>
    </row>
    <row r="462" spans="3:31" ht="15.75" customHeight="1"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AE462" s="159"/>
    </row>
    <row r="463" spans="3:31" ht="15.75" customHeight="1"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AE463" s="159"/>
    </row>
    <row r="464" spans="3:31" ht="15.75" customHeight="1"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AE464" s="159"/>
    </row>
    <row r="465" spans="3:31" ht="15.75" customHeight="1"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AE465" s="159"/>
    </row>
    <row r="466" spans="3:31" ht="15.75" customHeight="1"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AE466" s="159"/>
    </row>
    <row r="467" spans="3:31" ht="15.75" customHeight="1"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AE467" s="159"/>
    </row>
    <row r="468" spans="3:31" ht="15.75" customHeight="1"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AE468" s="159"/>
    </row>
    <row r="469" spans="3:31" ht="15.75" customHeight="1"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AE469" s="159"/>
    </row>
    <row r="470" spans="3:31" ht="15.75" customHeight="1"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AE470" s="159"/>
    </row>
    <row r="471" spans="3:31" ht="15.75" customHeight="1"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AE471" s="159"/>
    </row>
    <row r="472" spans="3:31" ht="15.75" customHeight="1"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AE472" s="159"/>
    </row>
    <row r="473" spans="3:31" ht="15.75" customHeight="1"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AE473" s="159"/>
    </row>
    <row r="474" spans="3:31" ht="15.75" customHeight="1"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AE474" s="159"/>
    </row>
    <row r="475" spans="3:31" ht="15.75" customHeight="1"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AE475" s="159"/>
    </row>
    <row r="476" spans="3:31" ht="15.75" customHeight="1"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AE476" s="159"/>
    </row>
    <row r="477" spans="3:31" ht="15.75" customHeight="1"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AE477" s="159"/>
    </row>
    <row r="478" spans="3:31" ht="15.75" customHeight="1"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AE478" s="159"/>
    </row>
    <row r="479" spans="3:31" ht="15.75" customHeight="1"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AE479" s="159"/>
    </row>
    <row r="480" spans="3:31" ht="15.75" customHeight="1"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AE480" s="159"/>
    </row>
    <row r="481" spans="3:31" ht="15.75" customHeight="1"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AE481" s="159"/>
    </row>
    <row r="482" spans="3:31" ht="15.75" customHeight="1"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AE482" s="159"/>
    </row>
    <row r="483" spans="3:31" ht="15.75" customHeight="1"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AE483" s="159"/>
    </row>
    <row r="484" spans="3:31" ht="15.75" customHeight="1"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AE484" s="159"/>
    </row>
    <row r="485" spans="3:31" ht="15.75" customHeight="1"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AE485" s="159"/>
    </row>
    <row r="486" spans="3:31" ht="15.75" customHeight="1"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AE486" s="159"/>
    </row>
    <row r="487" spans="3:31" ht="15.75" customHeight="1"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AE487" s="159"/>
    </row>
    <row r="488" spans="3:31" ht="15.75" customHeight="1"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AE488" s="159"/>
    </row>
    <row r="489" spans="3:31" ht="15.75" customHeight="1"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AE489" s="159"/>
    </row>
    <row r="490" spans="3:31" ht="15.75" customHeight="1"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AE490" s="159"/>
    </row>
    <row r="491" spans="3:31" ht="15.75" customHeight="1"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AE491" s="159"/>
    </row>
    <row r="492" spans="3:31" ht="15.75" customHeight="1"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AE492" s="159"/>
    </row>
    <row r="493" spans="3:31" ht="15.75" customHeight="1"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AE493" s="159"/>
    </row>
    <row r="494" spans="3:31" ht="15.75" customHeight="1"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AE494" s="159"/>
    </row>
    <row r="495" spans="3:31" ht="15.75" customHeight="1"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AE495" s="159"/>
    </row>
    <row r="496" spans="3:31" ht="15.75" customHeight="1"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AE496" s="159"/>
    </row>
    <row r="497" spans="3:31" ht="15.75" customHeight="1"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AE497" s="159"/>
    </row>
    <row r="498" spans="3:31" ht="15.75" customHeight="1"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AE498" s="159"/>
    </row>
    <row r="499" spans="3:31" ht="15.75" customHeight="1"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AE499" s="159"/>
    </row>
    <row r="500" spans="3:31" ht="15.75" customHeight="1"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AE500" s="159"/>
    </row>
    <row r="501" spans="3:31" ht="15.75" customHeight="1"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AE501" s="159"/>
    </row>
    <row r="502" spans="3:31" ht="15.75" customHeight="1"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AE502" s="159"/>
    </row>
    <row r="503" spans="3:31" ht="15.75" customHeight="1"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AE503" s="159"/>
    </row>
    <row r="504" spans="3:31" ht="15.75" customHeight="1"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AE504" s="159"/>
    </row>
    <row r="505" spans="3:31" ht="15.75" customHeight="1"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AE505" s="159"/>
    </row>
    <row r="506" spans="3:31" ht="15.75" customHeight="1"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AE506" s="159"/>
    </row>
    <row r="507" spans="3:31" ht="15.75" customHeight="1"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AE507" s="159"/>
    </row>
    <row r="508" spans="3:31" ht="15.75" customHeight="1"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AE508" s="159"/>
    </row>
    <row r="509" spans="3:31" ht="15.75" customHeight="1"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AE509" s="159"/>
    </row>
    <row r="510" spans="3:31" ht="15.75" customHeight="1"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AE510" s="159"/>
    </row>
    <row r="511" spans="3:31" ht="15.75" customHeight="1"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AE511" s="159"/>
    </row>
    <row r="512" spans="3:31" ht="15.75" customHeight="1"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AE512" s="159"/>
    </row>
    <row r="513" spans="3:31" ht="15.75" customHeight="1"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AE513" s="159"/>
    </row>
    <row r="514" spans="3:31" ht="15.75" customHeight="1"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AE514" s="159"/>
    </row>
    <row r="515" spans="3:31" ht="15.75" customHeight="1"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AE515" s="159"/>
    </row>
    <row r="516" spans="3:31" ht="15.75" customHeight="1"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AE516" s="159"/>
    </row>
    <row r="517" spans="3:31" ht="15.75" customHeight="1"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AE517" s="159"/>
    </row>
    <row r="518" spans="3:31" ht="15.75" customHeight="1"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AE518" s="159"/>
    </row>
    <row r="519" spans="3:31" ht="15.75" customHeight="1"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AE519" s="159"/>
    </row>
    <row r="520" spans="3:31" ht="15.75" customHeight="1"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AE520" s="159"/>
    </row>
    <row r="521" spans="3:31" ht="15.75" customHeight="1"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AE521" s="159"/>
    </row>
    <row r="522" spans="3:31" ht="15.75" customHeight="1"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AE522" s="159"/>
    </row>
    <row r="523" spans="3:31" ht="15.75" customHeight="1"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AE523" s="159"/>
    </row>
    <row r="524" spans="3:31" ht="15.75" customHeight="1"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AE524" s="159"/>
    </row>
    <row r="525" spans="3:31" ht="15.75" customHeight="1"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AE525" s="159"/>
    </row>
    <row r="526" spans="3:31" ht="15.75" customHeight="1"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AE526" s="159"/>
    </row>
    <row r="527" spans="3:31" ht="15.75" customHeight="1"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AE527" s="159"/>
    </row>
    <row r="528" spans="3:31" ht="15.75" customHeight="1"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AE528" s="159"/>
    </row>
    <row r="529" spans="3:31" ht="15.75" customHeight="1"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AE529" s="159"/>
    </row>
    <row r="530" spans="3:31" ht="15.75" customHeight="1"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AE530" s="159"/>
    </row>
    <row r="531" spans="3:31" ht="15.75" customHeight="1"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AE531" s="159"/>
    </row>
    <row r="532" spans="3:31" ht="15.75" customHeight="1"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AE532" s="159"/>
    </row>
    <row r="533" spans="3:31" ht="15.75" customHeight="1"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AE533" s="159"/>
    </row>
    <row r="534" spans="3:31" ht="15.75" customHeight="1"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AE534" s="159"/>
    </row>
    <row r="535" spans="3:31" ht="15.75" customHeight="1"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AE535" s="159"/>
    </row>
    <row r="536" spans="3:31" ht="15.75" customHeight="1"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AE536" s="159"/>
    </row>
    <row r="537" spans="3:31" ht="15.75" customHeight="1"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AE537" s="159"/>
    </row>
    <row r="538" spans="3:31" ht="15.75" customHeight="1"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AE538" s="159"/>
    </row>
    <row r="539" spans="3:31" ht="15.75" customHeight="1"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AE539" s="159"/>
    </row>
    <row r="540" spans="3:31" ht="15.75" customHeight="1"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AE540" s="159"/>
    </row>
    <row r="541" spans="3:31" ht="15.75" customHeight="1"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AE541" s="159"/>
    </row>
    <row r="542" spans="3:31" ht="15.75" customHeight="1"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AE542" s="159"/>
    </row>
    <row r="543" spans="3:31" ht="15.75" customHeight="1"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AE543" s="159"/>
    </row>
    <row r="544" spans="3:31" ht="15.75" customHeight="1"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AE544" s="159"/>
    </row>
    <row r="545" spans="3:31" ht="15.75" customHeight="1"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AE545" s="159"/>
    </row>
    <row r="546" spans="3:31" ht="15.75" customHeight="1"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AE546" s="159"/>
    </row>
    <row r="547" spans="3:31" ht="15.75" customHeight="1"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AE547" s="159"/>
    </row>
    <row r="548" spans="3:31" ht="15.75" customHeight="1"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AE548" s="159"/>
    </row>
    <row r="549" spans="3:31" ht="15.75" customHeight="1"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AE549" s="159"/>
    </row>
    <row r="550" spans="3:31" ht="15.75" customHeight="1"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AE550" s="159"/>
    </row>
    <row r="551" spans="3:31" ht="15.75" customHeight="1"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AE551" s="159"/>
    </row>
    <row r="552" spans="3:31" ht="15.75" customHeight="1"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AE552" s="159"/>
    </row>
    <row r="553" spans="3:31" ht="15.75" customHeight="1"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AE553" s="159"/>
    </row>
    <row r="554" spans="3:31" ht="15.75" customHeight="1"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AE554" s="159"/>
    </row>
    <row r="555" spans="3:31" ht="15.75" customHeight="1"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AE555" s="159"/>
    </row>
    <row r="556" spans="3:31" ht="15.75" customHeight="1"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AE556" s="159"/>
    </row>
    <row r="557" spans="3:31" ht="15.75" customHeight="1"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AE557" s="159"/>
    </row>
    <row r="558" spans="3:31" ht="15.75" customHeight="1"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AE558" s="159"/>
    </row>
    <row r="559" spans="3:31" ht="15.75" customHeight="1"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AE559" s="159"/>
    </row>
    <row r="560" spans="3:31" ht="15.75" customHeight="1"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AE560" s="159"/>
    </row>
    <row r="561" spans="3:31" ht="15.75" customHeight="1"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AE561" s="159"/>
    </row>
    <row r="562" spans="3:31" ht="15.75" customHeight="1"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AE562" s="159"/>
    </row>
    <row r="563" spans="3:31" ht="15.75" customHeight="1"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AE563" s="159"/>
    </row>
    <row r="564" spans="3:31" ht="15.75" customHeight="1"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AE564" s="159"/>
    </row>
    <row r="565" spans="3:31" ht="15.75" customHeight="1"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AE565" s="159"/>
    </row>
    <row r="566" spans="3:31" ht="15.75" customHeight="1"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AE566" s="159"/>
    </row>
    <row r="567" spans="3:31" ht="15.75" customHeight="1"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AE567" s="159"/>
    </row>
    <row r="568" spans="3:31" ht="15.75" customHeight="1"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AE568" s="159"/>
    </row>
    <row r="569" spans="3:31" ht="15.75" customHeight="1"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AE569" s="159"/>
    </row>
    <row r="570" spans="3:31" ht="15.75" customHeight="1"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AE570" s="159"/>
    </row>
    <row r="571" spans="3:31" ht="15.75" customHeight="1"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AE571" s="159"/>
    </row>
    <row r="572" spans="3:31" ht="15.75" customHeight="1"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AE572" s="159"/>
    </row>
    <row r="573" spans="3:31" ht="15.75" customHeight="1"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AE573" s="159"/>
    </row>
    <row r="574" spans="3:31" ht="15.75" customHeight="1"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AE574" s="159"/>
    </row>
    <row r="575" spans="3:31" ht="15.75" customHeight="1"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AE575" s="159"/>
    </row>
    <row r="576" spans="3:31" ht="15.75" customHeight="1"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AE576" s="159"/>
    </row>
    <row r="577" spans="3:31" ht="15.75" customHeight="1"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AE577" s="159"/>
    </row>
    <row r="578" spans="3:31" ht="15.75" customHeight="1"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AE578" s="159"/>
    </row>
    <row r="579" spans="3:31" ht="15.75" customHeight="1"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AE579" s="159"/>
    </row>
    <row r="580" spans="3:31" ht="15.75" customHeight="1"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AE580" s="159"/>
    </row>
    <row r="581" spans="3:31" ht="15.75" customHeight="1"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AE581" s="159"/>
    </row>
    <row r="582" spans="3:31" ht="15.75" customHeight="1"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AE582" s="159"/>
    </row>
    <row r="583" spans="3:31" ht="15.75" customHeight="1"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AE583" s="159"/>
    </row>
    <row r="584" spans="3:31" ht="15.75" customHeight="1"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AE584" s="159"/>
    </row>
    <row r="585" spans="3:31" ht="15.75" customHeight="1"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AE585" s="159"/>
    </row>
    <row r="586" spans="3:31" ht="15.75" customHeight="1"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AE586" s="159"/>
    </row>
    <row r="587" spans="3:31" ht="15.75" customHeight="1"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AE587" s="159"/>
    </row>
    <row r="588" spans="3:31" ht="15.75" customHeight="1"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AE588" s="159"/>
    </row>
    <row r="589" spans="3:31" ht="15.75" customHeight="1"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AE589" s="159"/>
    </row>
    <row r="590" spans="3:31" ht="15.75" customHeight="1"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AE590" s="159"/>
    </row>
    <row r="591" spans="3:31" ht="15.75" customHeight="1"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AE591" s="159"/>
    </row>
    <row r="592" spans="3:31" ht="15.75" customHeight="1"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AE592" s="159"/>
    </row>
    <row r="593" spans="3:31" ht="15.75" customHeight="1"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AE593" s="159"/>
    </row>
    <row r="594" spans="3:31" ht="15.75" customHeight="1"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AE594" s="159"/>
    </row>
    <row r="595" spans="3:31" ht="15.75" customHeight="1"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AE595" s="159"/>
    </row>
    <row r="596" spans="3:31" ht="15.75" customHeight="1"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AE596" s="159"/>
    </row>
    <row r="597" spans="3:31" ht="15.75" customHeight="1"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AE597" s="159"/>
    </row>
    <row r="598" spans="3:31" ht="15.75" customHeight="1"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AE598" s="159"/>
    </row>
    <row r="599" spans="3:31" ht="15.75" customHeight="1"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AE599" s="159"/>
    </row>
    <row r="600" spans="3:31" ht="15.75" customHeight="1"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AE600" s="159"/>
    </row>
    <row r="601" spans="3:31" ht="15.75" customHeight="1"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AE601" s="159"/>
    </row>
    <row r="602" spans="3:31" ht="15.75" customHeight="1"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AE602" s="159"/>
    </row>
    <row r="603" spans="3:31" ht="15.75" customHeight="1"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AE603" s="159"/>
    </row>
    <row r="604" spans="3:31" ht="15.75" customHeight="1"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AE604" s="159"/>
    </row>
    <row r="605" spans="3:31" ht="15.75" customHeight="1"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AE605" s="159"/>
    </row>
    <row r="606" spans="3:31" ht="15.75" customHeight="1"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AE606" s="159"/>
    </row>
    <row r="607" spans="3:31" ht="15.75" customHeight="1"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AE607" s="159"/>
    </row>
    <row r="608" spans="3:31" ht="15.75" customHeight="1"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AE608" s="159"/>
    </row>
    <row r="609" spans="3:31" ht="15.75" customHeight="1"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AE609" s="159"/>
    </row>
    <row r="610" spans="3:31" ht="15.75" customHeight="1"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AE610" s="159"/>
    </row>
    <row r="611" spans="3:31" ht="15.75" customHeight="1"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AE611" s="159"/>
    </row>
    <row r="612" spans="3:31" ht="15.75" customHeight="1"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AE612" s="159"/>
    </row>
    <row r="613" spans="3:31" ht="15.75" customHeight="1"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AE613" s="159"/>
    </row>
    <row r="614" spans="3:31" ht="15.75" customHeight="1"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AE614" s="159"/>
    </row>
    <row r="615" spans="3:31" ht="15.75" customHeight="1"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AE615" s="159"/>
    </row>
    <row r="616" spans="3:31" ht="15.75" customHeight="1"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AE616" s="159"/>
    </row>
    <row r="617" spans="3:31" ht="15.75" customHeight="1"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AE617" s="159"/>
    </row>
    <row r="618" spans="3:31" ht="15.75" customHeight="1"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AE618" s="159"/>
    </row>
    <row r="619" spans="3:31" ht="15.75" customHeight="1"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AE619" s="159"/>
    </row>
    <row r="620" spans="3:31" ht="15.75" customHeight="1"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AE620" s="159"/>
    </row>
    <row r="621" spans="3:31" ht="15.75" customHeight="1"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AE621" s="159"/>
    </row>
    <row r="622" spans="3:31" ht="15.75" customHeight="1"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AE622" s="159"/>
    </row>
    <row r="623" spans="3:31" ht="15.75" customHeight="1"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AE623" s="159"/>
    </row>
    <row r="624" spans="3:31" ht="15.75" customHeight="1"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AE624" s="159"/>
    </row>
    <row r="625" spans="3:31" ht="15.75" customHeight="1"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AE625" s="159"/>
    </row>
    <row r="626" spans="3:31" ht="15.75" customHeight="1"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AE626" s="159"/>
    </row>
    <row r="627" spans="3:31" ht="15.75" customHeight="1"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AE627" s="159"/>
    </row>
    <row r="628" spans="3:31" ht="15.75" customHeight="1"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AE628" s="159"/>
    </row>
    <row r="629" spans="3:31" ht="15.75" customHeight="1"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AE629" s="159"/>
    </row>
    <row r="630" spans="3:31" ht="15.75" customHeight="1"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AE630" s="159"/>
    </row>
    <row r="631" spans="3:31" ht="15.75" customHeight="1"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AE631" s="159"/>
    </row>
    <row r="632" spans="3:31" ht="15.75" customHeight="1"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AE632" s="159"/>
    </row>
    <row r="633" spans="3:31" ht="15.75" customHeight="1"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AE633" s="159"/>
    </row>
    <row r="634" spans="3:31" ht="15.75" customHeight="1"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AE634" s="159"/>
    </row>
    <row r="635" spans="3:31" ht="15.75" customHeight="1"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AE635" s="159"/>
    </row>
    <row r="636" spans="3:31" ht="15.75" customHeight="1"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AE636" s="159"/>
    </row>
    <row r="637" spans="3:31" ht="15.75" customHeight="1"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AE637" s="159"/>
    </row>
    <row r="638" spans="3:31" ht="15.75" customHeight="1"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AE638" s="159"/>
    </row>
    <row r="639" spans="3:31" ht="15.75" customHeight="1"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AE639" s="159"/>
    </row>
    <row r="640" spans="3:31" ht="15.75" customHeight="1"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AE640" s="159"/>
    </row>
    <row r="641" spans="3:31" ht="15.75" customHeight="1"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AE641" s="159"/>
    </row>
    <row r="642" spans="3:31" ht="15.75" customHeight="1"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AE642" s="159"/>
    </row>
    <row r="643" spans="3:31" ht="15.75" customHeight="1"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AE643" s="159"/>
    </row>
    <row r="644" spans="3:31" ht="15.75" customHeight="1"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AE644" s="159"/>
    </row>
    <row r="645" spans="3:31" ht="15.75" customHeight="1"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AE645" s="159"/>
    </row>
    <row r="646" spans="3:31" ht="15.75" customHeight="1"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AE646" s="159"/>
    </row>
    <row r="647" spans="3:31" ht="15.75" customHeight="1"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AE647" s="159"/>
    </row>
    <row r="648" spans="3:31" ht="15.75" customHeight="1"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AE648" s="159"/>
    </row>
    <row r="649" spans="3:31" ht="15.75" customHeight="1"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AE649" s="159"/>
    </row>
    <row r="650" spans="3:31" ht="15.75" customHeight="1"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AE650" s="159"/>
    </row>
    <row r="651" spans="3:31" ht="15.75" customHeight="1"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AE651" s="159"/>
    </row>
    <row r="652" spans="3:31" ht="15.75" customHeight="1"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AE652" s="159"/>
    </row>
    <row r="653" spans="3:31" ht="15.75" customHeight="1"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AE653" s="159"/>
    </row>
    <row r="654" spans="3:31" ht="15.75" customHeight="1"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AE654" s="159"/>
    </row>
    <row r="655" spans="3:31" ht="15.75" customHeight="1"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AE655" s="159"/>
    </row>
    <row r="656" spans="3:31" ht="15.75" customHeight="1"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AE656" s="159"/>
    </row>
    <row r="657" spans="3:31" ht="15.75" customHeight="1"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AE657" s="159"/>
    </row>
    <row r="658" spans="3:31" ht="15.75" customHeight="1"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AE658" s="159"/>
    </row>
    <row r="659" spans="3:31" ht="15.75" customHeight="1"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AE659" s="159"/>
    </row>
    <row r="660" spans="3:31" ht="15.75" customHeight="1"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AE660" s="159"/>
    </row>
    <row r="661" spans="3:31" ht="15.75" customHeight="1"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AE661" s="159"/>
    </row>
    <row r="662" spans="3:31" ht="15.75" customHeight="1"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AE662" s="159"/>
    </row>
    <row r="663" spans="3:31" ht="15.75" customHeight="1"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AE663" s="159"/>
    </row>
    <row r="664" spans="3:31" ht="15.75" customHeight="1"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AE664" s="159"/>
    </row>
    <row r="665" spans="3:31" ht="15.75" customHeight="1"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AE665" s="159"/>
    </row>
    <row r="666" spans="3:31" ht="15.75" customHeight="1"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AE666" s="159"/>
    </row>
    <row r="667" spans="3:31" ht="15.75" customHeight="1"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AE667" s="159"/>
    </row>
    <row r="668" spans="3:31" ht="15.75" customHeight="1"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AE668" s="159"/>
    </row>
    <row r="669" spans="3:31" ht="15.75" customHeight="1"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AE669" s="159"/>
    </row>
    <row r="670" spans="3:31" ht="15.75" customHeight="1"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AE670" s="159"/>
    </row>
    <row r="671" spans="3:31" ht="15.75" customHeight="1"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AE671" s="159"/>
    </row>
    <row r="672" spans="3:31" ht="15.75" customHeight="1"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AE672" s="159"/>
    </row>
    <row r="673" spans="3:31" ht="15.75" customHeight="1"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AE673" s="159"/>
    </row>
    <row r="674" spans="3:31" ht="15.75" customHeight="1"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AE674" s="159"/>
    </row>
    <row r="675" spans="3:31" ht="15.75" customHeight="1"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AE675" s="159"/>
    </row>
    <row r="676" spans="3:31" ht="15.75" customHeight="1"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AE676" s="159"/>
    </row>
    <row r="677" spans="3:31" ht="15.75" customHeight="1"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AE677" s="159"/>
    </row>
    <row r="678" spans="3:31" ht="15.75" customHeight="1"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AE678" s="159"/>
    </row>
    <row r="679" spans="3:31" ht="15.75" customHeight="1"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AE679" s="159"/>
    </row>
    <row r="680" spans="3:31" ht="15.75" customHeight="1"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AE680" s="159"/>
    </row>
    <row r="681" spans="3:31" ht="15.75" customHeight="1"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AE681" s="159"/>
    </row>
    <row r="682" spans="3:31" ht="15.75" customHeight="1"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AE682" s="159"/>
    </row>
    <row r="683" spans="3:31" ht="15.75" customHeight="1"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AE683" s="159"/>
    </row>
    <row r="684" spans="3:31" ht="15.75" customHeight="1"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AE684" s="159"/>
    </row>
    <row r="685" spans="3:31" ht="15.75" customHeight="1"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AE685" s="159"/>
    </row>
    <row r="686" spans="3:31" ht="15.75" customHeight="1"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AE686" s="159"/>
    </row>
    <row r="687" spans="3:31" ht="15.75" customHeight="1"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AE687" s="159"/>
    </row>
    <row r="688" spans="3:31" ht="15.75" customHeight="1"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AE688" s="159"/>
    </row>
    <row r="689" spans="3:31" ht="15.75" customHeight="1"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AE689" s="159"/>
    </row>
    <row r="690" spans="3:31" ht="15.75" customHeight="1"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AE690" s="159"/>
    </row>
    <row r="691" spans="3:31" ht="15.75" customHeight="1"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AE691" s="159"/>
    </row>
    <row r="692" spans="3:31" ht="15.75" customHeight="1"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AE692" s="159"/>
    </row>
    <row r="693" spans="3:31" ht="15.75" customHeight="1"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AE693" s="159"/>
    </row>
    <row r="694" spans="3:31" ht="15.75" customHeight="1"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AE694" s="159"/>
    </row>
    <row r="695" spans="3:31" ht="15.75" customHeight="1"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AE695" s="159"/>
    </row>
    <row r="696" spans="3:31" ht="15.75" customHeight="1"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AE696" s="159"/>
    </row>
    <row r="697" spans="3:31" ht="15.75" customHeight="1"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AE697" s="159"/>
    </row>
    <row r="698" spans="3:31" ht="15.75" customHeight="1"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AE698" s="159"/>
    </row>
    <row r="699" spans="3:31" ht="15.75" customHeight="1"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AE699" s="159"/>
    </row>
    <row r="700" spans="3:31" ht="15.75" customHeight="1"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AE700" s="159"/>
    </row>
    <row r="701" spans="3:31" ht="15.75" customHeight="1"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AE701" s="159"/>
    </row>
    <row r="702" spans="3:31" ht="15.75" customHeight="1"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AE702" s="159"/>
    </row>
    <row r="703" spans="3:31" ht="15.75" customHeight="1"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AE703" s="159"/>
    </row>
    <row r="704" spans="3:31" ht="15.75" customHeight="1"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AE704" s="159"/>
    </row>
    <row r="705" spans="3:31" ht="15.75" customHeight="1"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AE705" s="159"/>
    </row>
    <row r="706" spans="3:31" ht="15.75" customHeight="1"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AE706" s="159"/>
    </row>
    <row r="707" spans="3:31" ht="15.75" customHeight="1"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AE707" s="159"/>
    </row>
    <row r="708" spans="3:31" ht="15.75" customHeight="1"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AE708" s="159"/>
    </row>
    <row r="709" spans="3:31" ht="15.75" customHeight="1"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AE709" s="159"/>
    </row>
    <row r="710" spans="3:31" ht="15.75" customHeight="1"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AE710" s="159"/>
    </row>
    <row r="711" spans="3:31" ht="15.75" customHeight="1"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AE711" s="159"/>
    </row>
    <row r="712" spans="3:31" ht="15.75" customHeight="1"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AE712" s="159"/>
    </row>
    <row r="713" spans="3:31" ht="15.75" customHeight="1"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AE713" s="159"/>
    </row>
    <row r="714" spans="3:31" ht="15.75" customHeight="1"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AE714" s="159"/>
    </row>
    <row r="715" spans="3:31" ht="15.75" customHeight="1"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AE715" s="159"/>
    </row>
    <row r="716" spans="3:31" ht="15.75" customHeight="1"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AE716" s="159"/>
    </row>
    <row r="717" spans="3:31" ht="15.75" customHeight="1"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AE717" s="159"/>
    </row>
    <row r="718" spans="3:31" ht="15.75" customHeight="1"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AE718" s="159"/>
    </row>
    <row r="719" spans="3:31" ht="15.75" customHeight="1"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AE719" s="159"/>
    </row>
    <row r="720" spans="3:31" ht="15.75" customHeight="1"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AE720" s="159"/>
    </row>
    <row r="721" spans="3:31" ht="15.75" customHeight="1"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AE721" s="159"/>
    </row>
    <row r="722" spans="3:31" ht="15.75" customHeight="1"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AE722" s="159"/>
    </row>
    <row r="723" spans="3:31" ht="15.75" customHeight="1"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AE723" s="159"/>
    </row>
    <row r="724" spans="3:31" ht="15.75" customHeight="1"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AE724" s="159"/>
    </row>
    <row r="725" spans="3:31" ht="15.75" customHeight="1"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AE725" s="159"/>
    </row>
    <row r="726" spans="3:31" ht="15.75" customHeight="1"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AE726" s="159"/>
    </row>
    <row r="727" spans="3:31" ht="15.75" customHeight="1"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AE727" s="159"/>
    </row>
    <row r="728" spans="3:31" ht="15.75" customHeight="1"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AE728" s="159"/>
    </row>
    <row r="729" spans="3:31" ht="15.75" customHeight="1"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AE729" s="159"/>
    </row>
    <row r="730" spans="3:31" ht="15.75" customHeight="1"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AE730" s="159"/>
    </row>
    <row r="731" spans="3:31" ht="15.75" customHeight="1"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AE731" s="159"/>
    </row>
    <row r="732" spans="3:31" ht="15.75" customHeight="1"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AE732" s="159"/>
    </row>
    <row r="733" spans="3:31" ht="15.75" customHeight="1"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AE733" s="159"/>
    </row>
    <row r="734" spans="3:31" ht="15.75" customHeight="1"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AE734" s="159"/>
    </row>
    <row r="735" spans="3:31" ht="15.75" customHeight="1"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AE735" s="159"/>
    </row>
    <row r="736" spans="3:31" ht="15.75" customHeight="1"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AE736" s="159"/>
    </row>
    <row r="737" spans="3:31" ht="15.75" customHeight="1"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AE737" s="159"/>
    </row>
    <row r="738" spans="3:31" ht="15.75" customHeight="1"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AE738" s="159"/>
    </row>
    <row r="739" spans="3:31" ht="15.75" customHeight="1"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AE739" s="159"/>
    </row>
    <row r="740" spans="3:31" ht="15.75" customHeight="1"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AE740" s="159"/>
    </row>
    <row r="741" spans="3:31" ht="15.75" customHeight="1"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AE741" s="159"/>
    </row>
    <row r="742" spans="3:31" ht="15.75" customHeight="1"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AE742" s="159"/>
    </row>
    <row r="743" spans="3:31" ht="15.75" customHeight="1"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AE743" s="159"/>
    </row>
    <row r="744" spans="3:31" ht="15.75" customHeight="1"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AE744" s="159"/>
    </row>
    <row r="745" spans="3:31" ht="15.75" customHeight="1"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AE745" s="159"/>
    </row>
    <row r="746" spans="3:31" ht="15.75" customHeight="1"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AE746" s="159"/>
    </row>
    <row r="747" spans="3:31" ht="15.75" customHeight="1"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AE747" s="159"/>
    </row>
    <row r="748" spans="3:31" ht="15.75" customHeight="1"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AE748" s="159"/>
    </row>
    <row r="749" spans="3:31" ht="15.75" customHeight="1"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AE749" s="159"/>
    </row>
    <row r="750" spans="3:31" ht="15.75" customHeight="1"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AE750" s="159"/>
    </row>
    <row r="751" spans="3:31" ht="15.75" customHeight="1"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AE751" s="159"/>
    </row>
    <row r="752" spans="3:31" ht="15.75" customHeight="1"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AE752" s="159"/>
    </row>
    <row r="753" spans="3:31" ht="15.75" customHeight="1"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AE753" s="159"/>
    </row>
    <row r="754" spans="3:31" ht="15.75" customHeight="1"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AE754" s="159"/>
    </row>
    <row r="755" spans="3:31" ht="15.75" customHeight="1"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AE755" s="159"/>
    </row>
    <row r="756" spans="3:31" ht="15.75" customHeight="1"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AE756" s="159"/>
    </row>
    <row r="757" spans="3:31" ht="15.75" customHeight="1"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AE757" s="159"/>
    </row>
    <row r="758" spans="3:31" ht="15.75" customHeight="1"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AE758" s="159"/>
    </row>
    <row r="759" spans="3:31" ht="15.75" customHeight="1"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AE759" s="159"/>
    </row>
    <row r="760" spans="3:31" ht="15.75" customHeight="1"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AE760" s="159"/>
    </row>
    <row r="761" spans="3:31" ht="15.75" customHeight="1"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AE761" s="159"/>
    </row>
    <row r="762" spans="3:31" ht="15.75" customHeight="1"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AE762" s="159"/>
    </row>
    <row r="763" spans="3:31" ht="15.75" customHeight="1"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AE763" s="159"/>
    </row>
    <row r="764" spans="3:31" ht="15.75" customHeight="1"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AE764" s="159"/>
    </row>
    <row r="765" spans="3:31" ht="15.75" customHeight="1"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AE765" s="159"/>
    </row>
    <row r="766" spans="3:31" ht="15.75" customHeight="1"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AE766" s="159"/>
    </row>
    <row r="767" spans="3:31" ht="15.75" customHeight="1"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AE767" s="159"/>
    </row>
    <row r="768" spans="3:31" ht="15.75" customHeight="1"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AE768" s="159"/>
    </row>
    <row r="769" spans="3:31" ht="15.75" customHeight="1"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AE769" s="159"/>
    </row>
    <row r="770" spans="3:31" ht="15.75" customHeight="1"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AE770" s="159"/>
    </row>
    <row r="771" spans="3:31" ht="15.75" customHeight="1"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AE771" s="159"/>
    </row>
    <row r="772" spans="3:31" ht="15.75" customHeight="1"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AE772" s="159"/>
    </row>
    <row r="773" spans="3:31" ht="15.75" customHeight="1"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AE773" s="159"/>
    </row>
    <row r="774" spans="3:31" ht="15.75" customHeight="1"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AE774" s="159"/>
    </row>
    <row r="775" spans="3:31" ht="15.75" customHeight="1"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AE775" s="159"/>
    </row>
    <row r="776" spans="3:31" ht="15.75" customHeight="1"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AE776" s="159"/>
    </row>
    <row r="777" spans="3:31" ht="15.75" customHeight="1"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AE777" s="159"/>
    </row>
    <row r="778" spans="3:31" ht="15.75" customHeight="1"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AE778" s="159"/>
    </row>
    <row r="779" spans="3:31" ht="15.75" customHeight="1"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AE779" s="159"/>
    </row>
    <row r="780" spans="3:31" ht="15.75" customHeight="1"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AE780" s="159"/>
    </row>
    <row r="781" spans="3:31" ht="15.75" customHeight="1"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AE781" s="159"/>
    </row>
    <row r="782" spans="3:31" ht="15.75" customHeight="1"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AE782" s="159"/>
    </row>
    <row r="783" spans="3:31" ht="15.75" customHeight="1"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AE783" s="159"/>
    </row>
    <row r="784" spans="3:31" ht="15.75" customHeight="1"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AE784" s="159"/>
    </row>
    <row r="785" spans="3:31" ht="15.75" customHeight="1"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AE785" s="159"/>
    </row>
    <row r="786" spans="3:31" ht="15.75" customHeight="1"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AE786" s="159"/>
    </row>
    <row r="787" spans="3:31" ht="15.75" customHeight="1"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AE787" s="159"/>
    </row>
    <row r="788" spans="3:31" ht="15.75" customHeight="1"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AE788" s="159"/>
    </row>
    <row r="789" spans="3:31" ht="15.75" customHeight="1"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AE789" s="159"/>
    </row>
    <row r="790" spans="3:31" ht="15.75" customHeight="1"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AE790" s="159"/>
    </row>
    <row r="791" spans="3:31" ht="15.75" customHeight="1"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AE791" s="159"/>
    </row>
    <row r="792" spans="3:31" ht="15.75" customHeight="1"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AE792" s="159"/>
    </row>
    <row r="793" spans="3:31" ht="15.75" customHeight="1"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AE793" s="159"/>
    </row>
    <row r="794" spans="3:31" ht="15.75" customHeight="1"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AE794" s="159"/>
    </row>
    <row r="795" spans="3:31" ht="15.75" customHeight="1"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AE795" s="159"/>
    </row>
    <row r="796" spans="3:31" ht="15.75" customHeight="1"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AE796" s="159"/>
    </row>
    <row r="797" spans="3:31" ht="15.75" customHeight="1"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AE797" s="159"/>
    </row>
    <row r="798" spans="3:31" ht="15.75" customHeight="1"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AE798" s="159"/>
    </row>
    <row r="799" spans="3:31" ht="15.75" customHeight="1"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AE799" s="159"/>
    </row>
    <row r="800" spans="3:31" ht="15.75" customHeight="1"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AE800" s="159"/>
    </row>
    <row r="801" spans="3:31" ht="15.75" customHeight="1"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AE801" s="159"/>
    </row>
    <row r="802" spans="3:31" ht="15.75" customHeight="1"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AE802" s="159"/>
    </row>
    <row r="803" spans="3:31" ht="15.75" customHeight="1"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AE803" s="159"/>
    </row>
    <row r="804" spans="3:31" ht="15.75" customHeight="1"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AE804" s="159"/>
    </row>
    <row r="805" spans="3:31" ht="15.75" customHeight="1"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AE805" s="159"/>
    </row>
    <row r="806" spans="3:31" ht="15.75" customHeight="1"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AE806" s="159"/>
    </row>
    <row r="807" spans="3:31" ht="15.75" customHeight="1"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AE807" s="159"/>
    </row>
    <row r="808" spans="3:31" ht="15.75" customHeight="1"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AE808" s="159"/>
    </row>
    <row r="809" spans="3:31" ht="15.75" customHeight="1"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AE809" s="159"/>
    </row>
    <row r="810" spans="3:31" ht="15.75" customHeight="1"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AE810" s="159"/>
    </row>
    <row r="811" spans="3:31" ht="15.75" customHeight="1"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AE811" s="159"/>
    </row>
    <row r="812" spans="3:31" ht="15.75" customHeight="1"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AE812" s="159"/>
    </row>
    <row r="813" spans="3:31" ht="15.75" customHeight="1"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AE813" s="159"/>
    </row>
    <row r="814" spans="3:31" ht="15.75" customHeight="1"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AE814" s="159"/>
    </row>
    <row r="815" spans="3:31" ht="15.75" customHeight="1"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AE815" s="159"/>
    </row>
    <row r="816" spans="3:31" ht="15.75" customHeight="1"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AE816" s="159"/>
    </row>
    <row r="817" spans="3:31" ht="15.75" customHeight="1"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AE817" s="159"/>
    </row>
    <row r="818" spans="3:31" ht="15.75" customHeight="1"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AE818" s="159"/>
    </row>
    <row r="819" spans="3:31" ht="15.75" customHeight="1"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AE819" s="159"/>
    </row>
    <row r="820" spans="3:31" ht="15.75" customHeight="1"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AE820" s="159"/>
    </row>
    <row r="821" spans="3:31" ht="15.75" customHeight="1"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AE821" s="159"/>
    </row>
    <row r="822" spans="3:31" ht="15.75" customHeight="1"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AE822" s="159"/>
    </row>
    <row r="823" spans="3:31" ht="15.75" customHeight="1"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AE823" s="159"/>
    </row>
    <row r="824" spans="3:31" ht="15.75" customHeight="1"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AE824" s="159"/>
    </row>
    <row r="825" spans="3:31" ht="15.75" customHeight="1"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AE825" s="159"/>
    </row>
    <row r="826" spans="3:31" ht="15.75" customHeight="1"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AE826" s="159"/>
    </row>
    <row r="827" spans="3:31" ht="15.75" customHeight="1"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AE827" s="159"/>
    </row>
    <row r="828" spans="3:31" ht="15.75" customHeight="1"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AE828" s="159"/>
    </row>
    <row r="829" spans="3:31" ht="15.75" customHeight="1"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AE829" s="159"/>
    </row>
    <row r="830" spans="3:31" ht="15.75" customHeight="1"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AE830" s="159"/>
    </row>
    <row r="831" spans="3:31" ht="15.75" customHeight="1"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AE831" s="159"/>
    </row>
    <row r="832" spans="3:31" ht="15.75" customHeight="1"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AE832" s="159"/>
    </row>
    <row r="833" spans="3:31" ht="15.75" customHeight="1"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AE833" s="159"/>
    </row>
    <row r="834" spans="3:31" ht="15.75" customHeight="1"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AE834" s="159"/>
    </row>
    <row r="835" spans="3:31" ht="15.75" customHeight="1"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AE835" s="159"/>
    </row>
    <row r="836" spans="3:31" ht="15.75" customHeight="1"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AE836" s="159"/>
    </row>
    <row r="837" spans="3:31" ht="15.75" customHeight="1"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AE837" s="159"/>
    </row>
    <row r="838" spans="3:31" ht="15.75" customHeight="1"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AE838" s="159"/>
    </row>
    <row r="839" spans="3:31" ht="15.75" customHeight="1"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AE839" s="159"/>
    </row>
    <row r="840" spans="3:31" ht="15.75" customHeight="1"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AE840" s="159"/>
    </row>
    <row r="841" spans="3:31" ht="15.75" customHeight="1"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AE841" s="159"/>
    </row>
    <row r="842" spans="3:31" ht="15.75" customHeight="1"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AE842" s="159"/>
    </row>
    <row r="843" spans="3:31" ht="15.75" customHeight="1"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AE843" s="159"/>
    </row>
    <row r="844" spans="3:31" ht="15.75" customHeight="1"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AE844" s="159"/>
    </row>
    <row r="845" spans="3:31" ht="15.75" customHeight="1"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AE845" s="159"/>
    </row>
    <row r="846" spans="3:31" ht="15.75" customHeight="1"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AE846" s="159"/>
    </row>
    <row r="847" spans="3:31" ht="15.75" customHeight="1"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AE847" s="159"/>
    </row>
    <row r="848" spans="3:31" ht="15.75" customHeight="1"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AE848" s="159"/>
    </row>
    <row r="849" spans="3:31" ht="15.75" customHeight="1"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AE849" s="159"/>
    </row>
    <row r="850" spans="3:31" ht="15.75" customHeight="1"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AE850" s="159"/>
    </row>
    <row r="851" spans="3:31" ht="15.75" customHeight="1"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AE851" s="159"/>
    </row>
    <row r="852" spans="3:31" ht="15.75" customHeight="1"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AE852" s="159"/>
    </row>
    <row r="853" spans="3:31" ht="15.75" customHeight="1"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AE853" s="159"/>
    </row>
    <row r="854" spans="3:31" ht="15.75" customHeight="1"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AE854" s="159"/>
    </row>
    <row r="855" spans="3:31" ht="15.75" customHeight="1"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AE855" s="159"/>
    </row>
    <row r="856" spans="3:31" ht="15.75" customHeight="1"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AE856" s="159"/>
    </row>
    <row r="857" spans="3:31" ht="15.75" customHeight="1"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AE857" s="159"/>
    </row>
    <row r="858" spans="3:31" ht="15.75" customHeight="1"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AE858" s="159"/>
    </row>
    <row r="859" spans="3:31" ht="15.75" customHeight="1"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AE859" s="159"/>
    </row>
    <row r="860" spans="3:31" ht="15.75" customHeight="1"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AE860" s="159"/>
    </row>
    <row r="861" spans="3:31" ht="15.75" customHeight="1"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AE861" s="159"/>
    </row>
    <row r="862" spans="3:31" ht="15.75" customHeight="1"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AE862" s="159"/>
    </row>
    <row r="863" spans="3:31" ht="15.75" customHeight="1"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AE863" s="159"/>
    </row>
    <row r="864" spans="3:31" ht="15.75" customHeight="1"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AE864" s="159"/>
    </row>
    <row r="865" spans="3:31" ht="15.75" customHeight="1"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AE865" s="159"/>
    </row>
    <row r="866" spans="3:31" ht="15.75" customHeight="1"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AE866" s="159"/>
    </row>
    <row r="867" spans="3:31" ht="15.75" customHeight="1"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AE867" s="159"/>
    </row>
    <row r="868" spans="3:31" ht="15.75" customHeight="1"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AE868" s="159"/>
    </row>
    <row r="869" spans="3:31" ht="15.75" customHeight="1"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AE869" s="159"/>
    </row>
    <row r="870" spans="3:31" ht="15.75" customHeight="1"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AE870" s="159"/>
    </row>
    <row r="871" spans="3:31" ht="15.75" customHeight="1"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AE871" s="159"/>
    </row>
    <row r="872" spans="3:31" ht="15.75" customHeight="1"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AE872" s="159"/>
    </row>
    <row r="873" spans="3:31" ht="15.75" customHeight="1"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AE873" s="159"/>
    </row>
    <row r="874" spans="3:31" ht="15.75" customHeight="1"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AE874" s="159"/>
    </row>
    <row r="875" spans="3:31" ht="15.75" customHeight="1"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AE875" s="159"/>
    </row>
    <row r="876" spans="3:31" ht="15.75" customHeight="1"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AE876" s="159"/>
    </row>
    <row r="877" spans="3:31" ht="15.75" customHeight="1"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AE877" s="159"/>
    </row>
    <row r="878" spans="3:31" ht="15.75" customHeight="1"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AE878" s="159"/>
    </row>
    <row r="879" spans="3:31" ht="15.75" customHeight="1"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AE879" s="159"/>
    </row>
    <row r="880" spans="3:31" ht="15.75" customHeight="1"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AE880" s="159"/>
    </row>
    <row r="881" spans="3:31" ht="15.75" customHeight="1"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AE881" s="159"/>
    </row>
    <row r="882" spans="3:31" ht="15.75" customHeight="1"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AE882" s="159"/>
    </row>
    <row r="883" spans="3:31" ht="15.75" customHeight="1"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AE883" s="159"/>
    </row>
    <row r="884" spans="3:31" ht="15.75" customHeight="1"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AE884" s="159"/>
    </row>
    <row r="885" spans="3:31" ht="15.75" customHeight="1"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AE885" s="159"/>
    </row>
    <row r="886" spans="3:31" ht="15.75" customHeight="1"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AE886" s="159"/>
    </row>
    <row r="887" spans="3:31" ht="15.75" customHeight="1"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AE887" s="159"/>
    </row>
    <row r="888" spans="3:31" ht="15.75" customHeight="1"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AE888" s="159"/>
    </row>
    <row r="889" spans="3:31" ht="15.75" customHeight="1"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AE889" s="159"/>
    </row>
    <row r="890" spans="3:31" ht="15.75" customHeight="1"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AE890" s="159"/>
    </row>
    <row r="891" spans="3:31" ht="15.75" customHeight="1"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AE891" s="159"/>
    </row>
    <row r="892" spans="3:31" ht="15.75" customHeight="1"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AE892" s="159"/>
    </row>
    <row r="893" spans="3:31" ht="15.75" customHeight="1"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AE893" s="159"/>
    </row>
    <row r="894" spans="3:31" ht="15.75" customHeight="1"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AE894" s="159"/>
    </row>
    <row r="895" spans="3:31" ht="15.75" customHeight="1"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AE895" s="159"/>
    </row>
    <row r="896" spans="3:31" ht="15.75" customHeight="1"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AE896" s="159"/>
    </row>
    <row r="897" spans="3:31" ht="15.75" customHeight="1"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AE897" s="159"/>
    </row>
    <row r="898" spans="3:31" ht="15.75" customHeight="1"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AE898" s="159"/>
    </row>
    <row r="899" spans="3:31" ht="15.75" customHeight="1"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AE899" s="159"/>
    </row>
    <row r="900" spans="3:31" ht="15.75" customHeight="1"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AE900" s="159"/>
    </row>
    <row r="901" spans="3:31" ht="15.75" customHeight="1"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AE901" s="159"/>
    </row>
    <row r="902" spans="3:31" ht="15.75" customHeight="1"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AE902" s="159"/>
    </row>
    <row r="903" spans="3:31" ht="15.75" customHeight="1"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AE903" s="159"/>
    </row>
    <row r="904" spans="3:31" ht="15.75" customHeight="1"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AE904" s="159"/>
    </row>
    <row r="905" spans="3:31" ht="15.75" customHeight="1"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AE905" s="159"/>
    </row>
    <row r="906" spans="3:31" ht="15.75" customHeight="1"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AE906" s="159"/>
    </row>
    <row r="907" spans="3:31" ht="15.75" customHeight="1"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AE907" s="159"/>
    </row>
    <row r="908" spans="3:31" ht="15.75" customHeight="1"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AE908" s="159"/>
    </row>
    <row r="909" spans="3:31" ht="15.75" customHeight="1"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AE909" s="159"/>
    </row>
    <row r="910" spans="3:31" ht="15.75" customHeight="1"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AE910" s="159"/>
    </row>
    <row r="911" spans="3:31" ht="15.75" customHeight="1"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AE911" s="159"/>
    </row>
    <row r="912" spans="3:31" ht="15.75" customHeight="1"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AE912" s="159"/>
    </row>
    <row r="913" spans="3:31" ht="15.75" customHeight="1"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AE913" s="159"/>
    </row>
    <row r="914" spans="3:31" ht="15.75" customHeight="1"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AE914" s="159"/>
    </row>
    <row r="915" spans="3:31" ht="15.75" customHeight="1"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AE915" s="159"/>
    </row>
    <row r="916" spans="3:31" ht="15.75" customHeight="1"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AE916" s="159"/>
    </row>
    <row r="917" spans="3:31" ht="15.75" customHeight="1"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AE917" s="159"/>
    </row>
    <row r="918" spans="3:31" ht="15.75" customHeight="1"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AE918" s="159"/>
    </row>
    <row r="919" spans="3:31" ht="15.75" customHeight="1"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AE919" s="159"/>
    </row>
    <row r="920" spans="3:31" ht="15.75" customHeight="1"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AE920" s="159"/>
    </row>
    <row r="921" spans="3:31" ht="15.75" customHeight="1"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AE921" s="159"/>
    </row>
    <row r="922" spans="3:31" ht="15.75" customHeight="1"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AE922" s="159"/>
    </row>
    <row r="923" spans="3:31" ht="15.75" customHeight="1"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AE923" s="159"/>
    </row>
    <row r="924" spans="3:31" ht="15.75" customHeight="1"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AE924" s="159"/>
    </row>
    <row r="925" spans="3:31" ht="15.75" customHeight="1"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AE925" s="159"/>
    </row>
    <row r="926" spans="3:31" ht="15.75" customHeight="1"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AE926" s="159"/>
    </row>
    <row r="927" spans="3:31" ht="15.75" customHeight="1"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AE927" s="159"/>
    </row>
    <row r="928" spans="3:31" ht="15.75" customHeight="1"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AE928" s="159"/>
    </row>
    <row r="929" spans="3:31" ht="15.75" customHeight="1"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AE929" s="159"/>
    </row>
    <row r="930" spans="3:31" ht="15.75" customHeight="1"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AE930" s="159"/>
    </row>
    <row r="931" spans="3:31" ht="15.75" customHeight="1"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AE931" s="159"/>
    </row>
    <row r="932" spans="3:31" ht="15.75" customHeight="1"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AE932" s="159"/>
    </row>
    <row r="933" spans="3:31" ht="15.75" customHeight="1"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AE933" s="159"/>
    </row>
    <row r="934" spans="3:31" ht="15.75" customHeight="1"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AE934" s="159"/>
    </row>
    <row r="935" spans="3:31" ht="15.75" customHeight="1"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AE935" s="159"/>
    </row>
    <row r="936" spans="3:31" ht="15.75" customHeight="1"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AE936" s="159"/>
    </row>
    <row r="937" spans="3:31" ht="15.75" customHeight="1"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AE937" s="159"/>
    </row>
    <row r="938" spans="3:31" ht="15.75" customHeight="1"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AE938" s="159"/>
    </row>
    <row r="939" spans="3:31" ht="15.75" customHeight="1"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AE939" s="159"/>
    </row>
    <row r="940" spans="3:31" ht="15.75" customHeight="1"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AE940" s="159"/>
    </row>
    <row r="941" spans="3:31" ht="15.75" customHeight="1"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AE941" s="159"/>
    </row>
    <row r="942" spans="3:31" ht="15.75" customHeight="1"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AE942" s="159"/>
    </row>
    <row r="943" spans="3:31" ht="15.75" customHeight="1"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AE943" s="159"/>
    </row>
    <row r="944" spans="3:31" ht="15.75" customHeight="1"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AE944" s="159"/>
    </row>
    <row r="945" spans="3:31" ht="15.75" customHeight="1"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AE945" s="159"/>
    </row>
    <row r="946" spans="3:31" ht="15.75" customHeight="1"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AE946" s="159"/>
    </row>
    <row r="947" spans="3:31" ht="15.75" customHeight="1"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AE947" s="159"/>
    </row>
    <row r="948" spans="3:31" ht="15.75" customHeight="1"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AE948" s="159"/>
    </row>
    <row r="949" spans="3:31" ht="15.75" customHeight="1"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AE949" s="159"/>
    </row>
    <row r="950" spans="3:31" ht="15.75" customHeight="1"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AE950" s="159"/>
    </row>
    <row r="951" spans="3:31" ht="15.75" customHeight="1"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AE951" s="159"/>
    </row>
    <row r="952" spans="3:31" ht="15.75" customHeight="1"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AE952" s="159"/>
    </row>
    <row r="953" spans="3:31" ht="15.75" customHeight="1"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AE953" s="159"/>
    </row>
    <row r="954" spans="3:31" ht="15.75" customHeight="1"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AE954" s="159"/>
    </row>
    <row r="955" spans="3:31" ht="15.75" customHeight="1"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AE955" s="159"/>
    </row>
    <row r="956" spans="3:31" ht="15.75" customHeight="1"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AE956" s="159"/>
    </row>
    <row r="957" spans="3:31" ht="15.75" customHeight="1"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AE957" s="159"/>
    </row>
    <row r="958" spans="3:31" ht="15.75" customHeight="1"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AE958" s="159"/>
    </row>
    <row r="959" spans="3:31" ht="15.75" customHeight="1"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AE959" s="159"/>
    </row>
    <row r="960" spans="3:31" ht="15.75" customHeight="1"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AE960" s="159"/>
    </row>
    <row r="961" spans="3:31" ht="15.75" customHeight="1"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AE961" s="159"/>
    </row>
    <row r="962" spans="3:31" ht="15.75" customHeight="1"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AE962" s="159"/>
    </row>
    <row r="963" spans="3:31" ht="15.75" customHeight="1"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AE963" s="159"/>
    </row>
    <row r="964" spans="3:31" ht="15.75" customHeight="1"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AE964" s="159"/>
    </row>
    <row r="965" spans="3:31" ht="15.75" customHeight="1"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AE965" s="159"/>
    </row>
    <row r="966" spans="3:31" ht="15.75" customHeight="1"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AE966" s="159"/>
    </row>
    <row r="967" spans="3:31" ht="15.75" customHeight="1"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AE967" s="159"/>
    </row>
    <row r="968" spans="3:31" ht="15.75" customHeight="1"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AE968" s="159"/>
    </row>
    <row r="969" spans="3:31" ht="15.75" customHeight="1"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AE969" s="159"/>
    </row>
    <row r="970" spans="3:31" ht="15.75" customHeight="1"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AE970" s="159"/>
    </row>
    <row r="971" spans="3:31" ht="15.75" customHeight="1"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AE971" s="159"/>
    </row>
    <row r="972" spans="3:31" ht="15.75" customHeight="1"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AE972" s="159"/>
    </row>
    <row r="973" spans="3:31" ht="15.75" customHeight="1"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AE973" s="159"/>
    </row>
    <row r="974" spans="3:31" ht="15.75" customHeight="1"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AE974" s="159"/>
    </row>
    <row r="975" spans="3:31" ht="15.75" customHeight="1"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AE975" s="159"/>
    </row>
    <row r="976" spans="3:31" ht="15.75" customHeight="1"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AE976" s="159"/>
    </row>
    <row r="977" spans="3:31" ht="15.75" customHeight="1"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AE977" s="159"/>
    </row>
    <row r="978" spans="3:31" ht="15.75" customHeight="1"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AE978" s="159"/>
    </row>
    <row r="979" spans="3:31" ht="15.75" customHeight="1"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AE979" s="159"/>
    </row>
    <row r="980" spans="3:31" ht="15.75" customHeight="1"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AE980" s="159"/>
    </row>
    <row r="981" spans="3:31" ht="15.75" customHeight="1"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AE981" s="159"/>
    </row>
    <row r="982" spans="3:31" ht="15.75" customHeight="1"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AE982" s="159"/>
    </row>
    <row r="983" spans="3:31" ht="15.75" customHeight="1"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AE983" s="159"/>
    </row>
    <row r="984" spans="3:31" ht="15.75" customHeight="1"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AE984" s="159"/>
    </row>
    <row r="985" spans="3:31" ht="15.75" customHeight="1"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AE985" s="159"/>
    </row>
    <row r="986" spans="3:31" ht="15.75" customHeight="1"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AE986" s="159"/>
    </row>
    <row r="987" spans="3:31" ht="15.75" customHeight="1"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AE987" s="159"/>
    </row>
    <row r="988" spans="3:31" ht="15.75" customHeight="1"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AE988" s="159"/>
    </row>
    <row r="989" spans="3:31" ht="15.75" customHeight="1"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AE989" s="159"/>
    </row>
    <row r="990" spans="3:31" ht="15.75" customHeight="1"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AE990" s="159"/>
    </row>
    <row r="991" spans="3:31" ht="15.75" customHeight="1"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AE991" s="159"/>
    </row>
    <row r="992" spans="3:31" ht="15.75" customHeight="1"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AE992" s="159"/>
    </row>
    <row r="993" spans="3:31" ht="15.75" customHeight="1"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AE993" s="159"/>
    </row>
    <row r="994" spans="3:31" ht="15.75" customHeight="1"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AE994" s="159"/>
    </row>
    <row r="995" spans="3:31" ht="15.75" customHeight="1"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AE995" s="159"/>
    </row>
    <row r="996" spans="3:31" ht="15.75" customHeight="1"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AE996" s="159"/>
    </row>
    <row r="997" spans="3:31" ht="15.75" customHeight="1"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AE997" s="159"/>
    </row>
    <row r="998" spans="3:31" ht="15.75" customHeight="1"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AE998" s="159"/>
    </row>
    <row r="999" spans="3:31" ht="15.75" customHeight="1"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AE999" s="159"/>
    </row>
    <row r="1000" spans="3:31" ht="15.75" customHeight="1"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AE1000" s="159"/>
    </row>
  </sheetData>
  <mergeCells count="71">
    <mergeCell ref="H1:J1"/>
    <mergeCell ref="K1:L1"/>
    <mergeCell ref="H2:J2"/>
    <mergeCell ref="K2:L2"/>
    <mergeCell ref="H3:J3"/>
    <mergeCell ref="K3:L3"/>
    <mergeCell ref="A4:G4"/>
    <mergeCell ref="H4:J4"/>
    <mergeCell ref="K4:L4"/>
    <mergeCell ref="Q4:AE4"/>
    <mergeCell ref="A5:B6"/>
    <mergeCell ref="C5:C6"/>
    <mergeCell ref="D5:D6"/>
    <mergeCell ref="E5:E6"/>
    <mergeCell ref="F5:F6"/>
    <mergeCell ref="G5:G6"/>
    <mergeCell ref="Y5:Y6"/>
    <mergeCell ref="Z5:Z6"/>
    <mergeCell ref="N5:N6"/>
    <mergeCell ref="O5:O6"/>
    <mergeCell ref="Q5:Q6"/>
    <mergeCell ref="R5:R6"/>
    <mergeCell ref="S5:S6"/>
    <mergeCell ref="T5:T6"/>
    <mergeCell ref="A7:B7"/>
    <mergeCell ref="U5:U6"/>
    <mergeCell ref="V5:V6"/>
    <mergeCell ref="W5:W6"/>
    <mergeCell ref="X5:X6"/>
    <mergeCell ref="H5:H6"/>
    <mergeCell ref="I5:I6"/>
    <mergeCell ref="J5:J6"/>
    <mergeCell ref="K5:K6"/>
    <mergeCell ref="L5:L6"/>
    <mergeCell ref="M5:M6"/>
    <mergeCell ref="AA5:AA6"/>
    <mergeCell ref="AB5:AB6"/>
    <mergeCell ref="AC5:AC6"/>
    <mergeCell ref="AD5:AD6"/>
    <mergeCell ref="AE5:AE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ageMargins left="0.7" right="0.7" top="0.75" bottom="0.75" header="0" footer="0"/>
  <pageSetup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4F51-E0B0-4466-85AC-C2EDE6225C83}">
  <dimension ref="A1:J35"/>
  <sheetViews>
    <sheetView workbookViewId="0">
      <selection activeCell="N21" sqref="N21"/>
    </sheetView>
  </sheetViews>
  <sheetFormatPr defaultRowHeight="15"/>
  <cols>
    <col min="1" max="16384" width="8.796875" style="2"/>
  </cols>
  <sheetData>
    <row r="1" spans="1:10" ht="21">
      <c r="A1" s="152">
        <f>J35</f>
        <v>8640</v>
      </c>
      <c r="B1" s="201" t="s">
        <v>182</v>
      </c>
      <c r="C1" s="201"/>
      <c r="D1" s="201"/>
      <c r="E1" s="201"/>
      <c r="F1" s="201"/>
      <c r="G1" s="201"/>
      <c r="H1" s="201"/>
    </row>
    <row r="2" spans="1:10" ht="28.9" customHeight="1">
      <c r="A2" s="198" t="s">
        <v>0</v>
      </c>
      <c r="B2" s="202" t="s">
        <v>1</v>
      </c>
      <c r="C2" s="203"/>
      <c r="D2" s="198" t="s">
        <v>145</v>
      </c>
      <c r="E2" s="198" t="s">
        <v>146</v>
      </c>
      <c r="F2" s="4" t="s">
        <v>4</v>
      </c>
      <c r="G2" s="198" t="s">
        <v>11</v>
      </c>
      <c r="H2" s="198" t="s">
        <v>12</v>
      </c>
      <c r="I2" s="198" t="s">
        <v>13</v>
      </c>
      <c r="J2" s="198" t="s">
        <v>18</v>
      </c>
    </row>
    <row r="3" spans="1:10" ht="30">
      <c r="A3" s="199"/>
      <c r="B3" s="204"/>
      <c r="C3" s="205"/>
      <c r="D3" s="199"/>
      <c r="E3" s="199"/>
      <c r="F3" s="5" t="s">
        <v>155</v>
      </c>
      <c r="G3" s="199"/>
      <c r="H3" s="199"/>
      <c r="I3" s="199"/>
      <c r="J3" s="199"/>
    </row>
    <row r="4" spans="1:10">
      <c r="A4" s="6">
        <v>1</v>
      </c>
      <c r="B4" s="196">
        <v>45962</v>
      </c>
      <c r="C4" s="197"/>
      <c r="D4" s="120"/>
      <c r="E4" s="79"/>
      <c r="F4" s="182">
        <v>24</v>
      </c>
      <c r="G4" s="78">
        <f>SUM(D4*120)</f>
        <v>0</v>
      </c>
      <c r="H4" s="78">
        <f>SUM(E4*120)</f>
        <v>0</v>
      </c>
      <c r="I4" s="78">
        <f>SUM(F4*12)</f>
        <v>288</v>
      </c>
      <c r="J4" s="78">
        <f>SUM(G4:I4)</f>
        <v>288</v>
      </c>
    </row>
    <row r="5" spans="1:10">
      <c r="A5" s="6">
        <v>2</v>
      </c>
      <c r="B5" s="196">
        <v>45963</v>
      </c>
      <c r="C5" s="197"/>
      <c r="D5" s="120"/>
      <c r="E5" s="79"/>
      <c r="F5" s="182">
        <v>24</v>
      </c>
      <c r="G5" s="78">
        <f t="shared" ref="G5:G33" si="0">SUM(D5*120)</f>
        <v>0</v>
      </c>
      <c r="H5" s="78">
        <f t="shared" ref="H5:H33" si="1">SUM(E5*120)</f>
        <v>0</v>
      </c>
      <c r="I5" s="78">
        <f t="shared" ref="I5:I33" si="2">SUM(F5*12)</f>
        <v>288</v>
      </c>
      <c r="J5" s="78">
        <f t="shared" ref="J5:J34" si="3">SUM(G5:I5)</f>
        <v>288</v>
      </c>
    </row>
    <row r="6" spans="1:10">
      <c r="A6" s="6">
        <v>3</v>
      </c>
      <c r="B6" s="196">
        <v>45964</v>
      </c>
      <c r="C6" s="197"/>
      <c r="D6" s="120"/>
      <c r="E6" s="79"/>
      <c r="F6" s="182">
        <v>24</v>
      </c>
      <c r="G6" s="78">
        <f t="shared" si="0"/>
        <v>0</v>
      </c>
      <c r="H6" s="78">
        <f t="shared" si="1"/>
        <v>0</v>
      </c>
      <c r="I6" s="78">
        <f t="shared" si="2"/>
        <v>288</v>
      </c>
      <c r="J6" s="78">
        <f t="shared" si="3"/>
        <v>288</v>
      </c>
    </row>
    <row r="7" spans="1:10">
      <c r="A7" s="6">
        <v>4</v>
      </c>
      <c r="B7" s="196">
        <v>45965</v>
      </c>
      <c r="C7" s="197"/>
      <c r="D7" s="120"/>
      <c r="E7" s="79"/>
      <c r="F7" s="182">
        <v>24</v>
      </c>
      <c r="G7" s="78">
        <f t="shared" si="0"/>
        <v>0</v>
      </c>
      <c r="H7" s="78">
        <f t="shared" si="1"/>
        <v>0</v>
      </c>
      <c r="I7" s="78">
        <f t="shared" si="2"/>
        <v>288</v>
      </c>
      <c r="J7" s="78">
        <f t="shared" si="3"/>
        <v>288</v>
      </c>
    </row>
    <row r="8" spans="1:10">
      <c r="A8" s="6">
        <v>5</v>
      </c>
      <c r="B8" s="196">
        <v>45966</v>
      </c>
      <c r="C8" s="197"/>
      <c r="D8" s="120"/>
      <c r="E8" s="79"/>
      <c r="F8" s="182">
        <v>24</v>
      </c>
      <c r="G8" s="78">
        <f t="shared" si="0"/>
        <v>0</v>
      </c>
      <c r="H8" s="78">
        <f t="shared" si="1"/>
        <v>0</v>
      </c>
      <c r="I8" s="78">
        <f t="shared" si="2"/>
        <v>288</v>
      </c>
      <c r="J8" s="78">
        <f t="shared" si="3"/>
        <v>288</v>
      </c>
    </row>
    <row r="9" spans="1:10">
      <c r="A9" s="6">
        <v>6</v>
      </c>
      <c r="B9" s="196">
        <v>45967</v>
      </c>
      <c r="C9" s="197"/>
      <c r="D9" s="120"/>
      <c r="E9" s="79"/>
      <c r="F9" s="182">
        <v>24</v>
      </c>
      <c r="G9" s="78">
        <f t="shared" si="0"/>
        <v>0</v>
      </c>
      <c r="H9" s="78">
        <f t="shared" si="1"/>
        <v>0</v>
      </c>
      <c r="I9" s="78">
        <f t="shared" si="2"/>
        <v>288</v>
      </c>
      <c r="J9" s="78">
        <f t="shared" si="3"/>
        <v>288</v>
      </c>
    </row>
    <row r="10" spans="1:10">
      <c r="A10" s="6">
        <v>7</v>
      </c>
      <c r="B10" s="196">
        <v>45968</v>
      </c>
      <c r="C10" s="197"/>
      <c r="D10" s="120"/>
      <c r="E10" s="79"/>
      <c r="F10" s="182">
        <v>24</v>
      </c>
      <c r="G10" s="78">
        <f t="shared" si="0"/>
        <v>0</v>
      </c>
      <c r="H10" s="78">
        <f t="shared" si="1"/>
        <v>0</v>
      </c>
      <c r="I10" s="78">
        <f t="shared" si="2"/>
        <v>288</v>
      </c>
      <c r="J10" s="78">
        <f t="shared" si="3"/>
        <v>288</v>
      </c>
    </row>
    <row r="11" spans="1:10">
      <c r="A11" s="6">
        <v>8</v>
      </c>
      <c r="B11" s="196">
        <v>45969</v>
      </c>
      <c r="C11" s="197"/>
      <c r="D11" s="120"/>
      <c r="E11" s="79"/>
      <c r="F11" s="182">
        <v>24</v>
      </c>
      <c r="G11" s="78">
        <f t="shared" si="0"/>
        <v>0</v>
      </c>
      <c r="H11" s="78">
        <f t="shared" si="1"/>
        <v>0</v>
      </c>
      <c r="I11" s="78">
        <f t="shared" si="2"/>
        <v>288</v>
      </c>
      <c r="J11" s="78">
        <f t="shared" si="3"/>
        <v>288</v>
      </c>
    </row>
    <row r="12" spans="1:10">
      <c r="A12" s="6">
        <v>9</v>
      </c>
      <c r="B12" s="196">
        <v>45970</v>
      </c>
      <c r="C12" s="197"/>
      <c r="D12" s="120"/>
      <c r="E12" s="79"/>
      <c r="F12" s="182">
        <v>24</v>
      </c>
      <c r="G12" s="78">
        <f t="shared" si="0"/>
        <v>0</v>
      </c>
      <c r="H12" s="78">
        <f t="shared" si="1"/>
        <v>0</v>
      </c>
      <c r="I12" s="78">
        <f t="shared" si="2"/>
        <v>288</v>
      </c>
      <c r="J12" s="78">
        <f t="shared" si="3"/>
        <v>288</v>
      </c>
    </row>
    <row r="13" spans="1:10">
      <c r="A13" s="6">
        <v>10</v>
      </c>
      <c r="B13" s="196">
        <v>45971</v>
      </c>
      <c r="C13" s="197"/>
      <c r="D13" s="120"/>
      <c r="E13" s="79"/>
      <c r="F13" s="182">
        <v>24</v>
      </c>
      <c r="G13" s="78">
        <f t="shared" si="0"/>
        <v>0</v>
      </c>
      <c r="H13" s="78">
        <f t="shared" si="1"/>
        <v>0</v>
      </c>
      <c r="I13" s="78">
        <f t="shared" si="2"/>
        <v>288</v>
      </c>
      <c r="J13" s="78">
        <f t="shared" si="3"/>
        <v>288</v>
      </c>
    </row>
    <row r="14" spans="1:10">
      <c r="A14" s="6">
        <v>11</v>
      </c>
      <c r="B14" s="196">
        <v>45972</v>
      </c>
      <c r="C14" s="197"/>
      <c r="D14" s="120"/>
      <c r="E14" s="79"/>
      <c r="F14" s="182">
        <v>24</v>
      </c>
      <c r="G14" s="78">
        <f t="shared" si="0"/>
        <v>0</v>
      </c>
      <c r="H14" s="78">
        <f t="shared" si="1"/>
        <v>0</v>
      </c>
      <c r="I14" s="78">
        <f t="shared" si="2"/>
        <v>288</v>
      </c>
      <c r="J14" s="78">
        <f t="shared" si="3"/>
        <v>288</v>
      </c>
    </row>
    <row r="15" spans="1:10">
      <c r="A15" s="6">
        <v>12</v>
      </c>
      <c r="B15" s="196">
        <v>45973</v>
      </c>
      <c r="C15" s="197"/>
      <c r="D15" s="120"/>
      <c r="E15" s="79"/>
      <c r="F15" s="182">
        <v>24</v>
      </c>
      <c r="G15" s="78">
        <f t="shared" si="0"/>
        <v>0</v>
      </c>
      <c r="H15" s="78">
        <f t="shared" si="1"/>
        <v>0</v>
      </c>
      <c r="I15" s="78">
        <f t="shared" si="2"/>
        <v>288</v>
      </c>
      <c r="J15" s="78">
        <f t="shared" si="3"/>
        <v>288</v>
      </c>
    </row>
    <row r="16" spans="1:10">
      <c r="A16" s="6">
        <v>13</v>
      </c>
      <c r="B16" s="196">
        <v>45974</v>
      </c>
      <c r="C16" s="197"/>
      <c r="D16" s="120"/>
      <c r="E16" s="79"/>
      <c r="F16" s="182">
        <v>24</v>
      </c>
      <c r="G16" s="78">
        <f t="shared" si="0"/>
        <v>0</v>
      </c>
      <c r="H16" s="78">
        <f t="shared" si="1"/>
        <v>0</v>
      </c>
      <c r="I16" s="78">
        <f t="shared" si="2"/>
        <v>288</v>
      </c>
      <c r="J16" s="78">
        <f t="shared" si="3"/>
        <v>288</v>
      </c>
    </row>
    <row r="17" spans="1:10">
      <c r="A17" s="6">
        <v>14</v>
      </c>
      <c r="B17" s="196">
        <v>45975</v>
      </c>
      <c r="C17" s="197"/>
      <c r="D17" s="120"/>
      <c r="E17" s="79"/>
      <c r="F17" s="182">
        <v>24</v>
      </c>
      <c r="G17" s="78">
        <f t="shared" si="0"/>
        <v>0</v>
      </c>
      <c r="H17" s="78">
        <f t="shared" si="1"/>
        <v>0</v>
      </c>
      <c r="I17" s="78">
        <f t="shared" si="2"/>
        <v>288</v>
      </c>
      <c r="J17" s="78">
        <f t="shared" si="3"/>
        <v>288</v>
      </c>
    </row>
    <row r="18" spans="1:10">
      <c r="A18" s="6">
        <v>15</v>
      </c>
      <c r="B18" s="196">
        <v>45976</v>
      </c>
      <c r="C18" s="197"/>
      <c r="D18" s="120"/>
      <c r="E18" s="79"/>
      <c r="F18" s="182">
        <v>24</v>
      </c>
      <c r="G18" s="78">
        <f t="shared" si="0"/>
        <v>0</v>
      </c>
      <c r="H18" s="78">
        <f t="shared" si="1"/>
        <v>0</v>
      </c>
      <c r="I18" s="78">
        <f t="shared" si="2"/>
        <v>288</v>
      </c>
      <c r="J18" s="78">
        <f t="shared" si="3"/>
        <v>288</v>
      </c>
    </row>
    <row r="19" spans="1:10">
      <c r="A19" s="6">
        <v>16</v>
      </c>
      <c r="B19" s="196">
        <v>45977</v>
      </c>
      <c r="C19" s="197"/>
      <c r="D19" s="120"/>
      <c r="E19" s="79"/>
      <c r="F19" s="182">
        <v>24</v>
      </c>
      <c r="G19" s="78">
        <f t="shared" si="0"/>
        <v>0</v>
      </c>
      <c r="H19" s="78">
        <f t="shared" si="1"/>
        <v>0</v>
      </c>
      <c r="I19" s="78">
        <f t="shared" si="2"/>
        <v>288</v>
      </c>
      <c r="J19" s="78">
        <f t="shared" si="3"/>
        <v>288</v>
      </c>
    </row>
    <row r="20" spans="1:10">
      <c r="A20" s="6">
        <v>17</v>
      </c>
      <c r="B20" s="196">
        <v>45978</v>
      </c>
      <c r="C20" s="197"/>
      <c r="D20" s="120"/>
      <c r="E20" s="79"/>
      <c r="F20" s="182">
        <v>24</v>
      </c>
      <c r="G20" s="78">
        <f t="shared" si="0"/>
        <v>0</v>
      </c>
      <c r="H20" s="78">
        <f t="shared" si="1"/>
        <v>0</v>
      </c>
      <c r="I20" s="78">
        <f t="shared" si="2"/>
        <v>288</v>
      </c>
      <c r="J20" s="78">
        <f t="shared" si="3"/>
        <v>288</v>
      </c>
    </row>
    <row r="21" spans="1:10">
      <c r="A21" s="6">
        <v>18</v>
      </c>
      <c r="B21" s="196">
        <v>45979</v>
      </c>
      <c r="C21" s="197"/>
      <c r="D21" s="120"/>
      <c r="E21" s="79"/>
      <c r="F21" s="182">
        <v>24</v>
      </c>
      <c r="G21" s="78">
        <f t="shared" si="0"/>
        <v>0</v>
      </c>
      <c r="H21" s="78">
        <f t="shared" si="1"/>
        <v>0</v>
      </c>
      <c r="I21" s="78">
        <f t="shared" si="2"/>
        <v>288</v>
      </c>
      <c r="J21" s="78">
        <f t="shared" si="3"/>
        <v>288</v>
      </c>
    </row>
    <row r="22" spans="1:10">
      <c r="A22" s="6">
        <v>19</v>
      </c>
      <c r="B22" s="196">
        <v>45980</v>
      </c>
      <c r="C22" s="197"/>
      <c r="D22" s="120"/>
      <c r="E22" s="79"/>
      <c r="F22" s="182">
        <v>24</v>
      </c>
      <c r="G22" s="78">
        <f t="shared" si="0"/>
        <v>0</v>
      </c>
      <c r="H22" s="78">
        <f t="shared" si="1"/>
        <v>0</v>
      </c>
      <c r="I22" s="78">
        <f t="shared" si="2"/>
        <v>288</v>
      </c>
      <c r="J22" s="78">
        <f t="shared" si="3"/>
        <v>288</v>
      </c>
    </row>
    <row r="23" spans="1:10">
      <c r="A23" s="6">
        <v>20</v>
      </c>
      <c r="B23" s="196">
        <v>45981</v>
      </c>
      <c r="C23" s="197"/>
      <c r="D23" s="120"/>
      <c r="E23" s="79"/>
      <c r="F23" s="182">
        <v>24</v>
      </c>
      <c r="G23" s="78">
        <f t="shared" si="0"/>
        <v>0</v>
      </c>
      <c r="H23" s="78">
        <f t="shared" si="1"/>
        <v>0</v>
      </c>
      <c r="I23" s="78">
        <f t="shared" si="2"/>
        <v>288</v>
      </c>
      <c r="J23" s="78">
        <f t="shared" si="3"/>
        <v>288</v>
      </c>
    </row>
    <row r="24" spans="1:10">
      <c r="A24" s="6">
        <v>21</v>
      </c>
      <c r="B24" s="196">
        <v>45982</v>
      </c>
      <c r="C24" s="197"/>
      <c r="D24" s="120"/>
      <c r="E24" s="79"/>
      <c r="F24" s="182">
        <v>24</v>
      </c>
      <c r="G24" s="78">
        <f t="shared" si="0"/>
        <v>0</v>
      </c>
      <c r="H24" s="78">
        <f t="shared" si="1"/>
        <v>0</v>
      </c>
      <c r="I24" s="78">
        <f t="shared" si="2"/>
        <v>288</v>
      </c>
      <c r="J24" s="78">
        <f t="shared" si="3"/>
        <v>288</v>
      </c>
    </row>
    <row r="25" spans="1:10">
      <c r="A25" s="6">
        <v>22</v>
      </c>
      <c r="B25" s="196">
        <v>45983</v>
      </c>
      <c r="C25" s="197"/>
      <c r="D25" s="120"/>
      <c r="E25" s="79"/>
      <c r="F25" s="182">
        <v>24</v>
      </c>
      <c r="G25" s="78">
        <f t="shared" si="0"/>
        <v>0</v>
      </c>
      <c r="H25" s="78">
        <f t="shared" si="1"/>
        <v>0</v>
      </c>
      <c r="I25" s="78">
        <f t="shared" si="2"/>
        <v>288</v>
      </c>
      <c r="J25" s="78">
        <f t="shared" si="3"/>
        <v>288</v>
      </c>
    </row>
    <row r="26" spans="1:10">
      <c r="A26" s="6">
        <v>23</v>
      </c>
      <c r="B26" s="196">
        <v>45984</v>
      </c>
      <c r="C26" s="197"/>
      <c r="D26" s="120"/>
      <c r="E26" s="79"/>
      <c r="F26" s="182">
        <v>24</v>
      </c>
      <c r="G26" s="78">
        <f t="shared" si="0"/>
        <v>0</v>
      </c>
      <c r="H26" s="78">
        <f t="shared" si="1"/>
        <v>0</v>
      </c>
      <c r="I26" s="78">
        <f t="shared" si="2"/>
        <v>288</v>
      </c>
      <c r="J26" s="78">
        <f t="shared" si="3"/>
        <v>288</v>
      </c>
    </row>
    <row r="27" spans="1:10">
      <c r="A27" s="6">
        <v>24</v>
      </c>
      <c r="B27" s="196">
        <v>45985</v>
      </c>
      <c r="C27" s="197"/>
      <c r="D27" s="120"/>
      <c r="E27" s="79"/>
      <c r="F27" s="182">
        <v>24</v>
      </c>
      <c r="G27" s="78">
        <f t="shared" si="0"/>
        <v>0</v>
      </c>
      <c r="H27" s="78">
        <f t="shared" si="1"/>
        <v>0</v>
      </c>
      <c r="I27" s="78">
        <f t="shared" si="2"/>
        <v>288</v>
      </c>
      <c r="J27" s="78">
        <f t="shared" si="3"/>
        <v>288</v>
      </c>
    </row>
    <row r="28" spans="1:10">
      <c r="A28" s="6">
        <v>25</v>
      </c>
      <c r="B28" s="196">
        <v>45986</v>
      </c>
      <c r="C28" s="197"/>
      <c r="D28" s="120"/>
      <c r="E28" s="79"/>
      <c r="F28" s="182">
        <v>24</v>
      </c>
      <c r="G28" s="78">
        <f t="shared" si="0"/>
        <v>0</v>
      </c>
      <c r="H28" s="78">
        <f t="shared" si="1"/>
        <v>0</v>
      </c>
      <c r="I28" s="78">
        <f t="shared" si="2"/>
        <v>288</v>
      </c>
      <c r="J28" s="78">
        <f t="shared" si="3"/>
        <v>288</v>
      </c>
    </row>
    <row r="29" spans="1:10">
      <c r="A29" s="6">
        <v>26</v>
      </c>
      <c r="B29" s="196">
        <v>45987</v>
      </c>
      <c r="C29" s="197"/>
      <c r="D29" s="120"/>
      <c r="E29" s="79"/>
      <c r="F29" s="182">
        <v>24</v>
      </c>
      <c r="G29" s="78">
        <f t="shared" si="0"/>
        <v>0</v>
      </c>
      <c r="H29" s="78">
        <f t="shared" si="1"/>
        <v>0</v>
      </c>
      <c r="I29" s="78">
        <f t="shared" si="2"/>
        <v>288</v>
      </c>
      <c r="J29" s="78">
        <f t="shared" si="3"/>
        <v>288</v>
      </c>
    </row>
    <row r="30" spans="1:10">
      <c r="A30" s="6">
        <v>27</v>
      </c>
      <c r="B30" s="196">
        <v>45988</v>
      </c>
      <c r="C30" s="197"/>
      <c r="D30" s="120"/>
      <c r="E30" s="79"/>
      <c r="F30" s="182">
        <v>24</v>
      </c>
      <c r="G30" s="78">
        <f t="shared" si="0"/>
        <v>0</v>
      </c>
      <c r="H30" s="78">
        <f t="shared" si="1"/>
        <v>0</v>
      </c>
      <c r="I30" s="78">
        <f t="shared" si="2"/>
        <v>288</v>
      </c>
      <c r="J30" s="78">
        <f t="shared" si="3"/>
        <v>288</v>
      </c>
    </row>
    <row r="31" spans="1:10">
      <c r="A31" s="6">
        <v>28</v>
      </c>
      <c r="B31" s="196">
        <v>45989</v>
      </c>
      <c r="C31" s="197"/>
      <c r="D31" s="120"/>
      <c r="E31" s="79"/>
      <c r="F31" s="182">
        <v>24</v>
      </c>
      <c r="G31" s="78">
        <f t="shared" si="0"/>
        <v>0</v>
      </c>
      <c r="H31" s="78">
        <f t="shared" si="1"/>
        <v>0</v>
      </c>
      <c r="I31" s="78">
        <f t="shared" si="2"/>
        <v>288</v>
      </c>
      <c r="J31" s="78">
        <f t="shared" si="3"/>
        <v>288</v>
      </c>
    </row>
    <row r="32" spans="1:10">
      <c r="A32" s="6">
        <v>29</v>
      </c>
      <c r="B32" s="196">
        <v>45990</v>
      </c>
      <c r="C32" s="197"/>
      <c r="D32" s="120"/>
      <c r="E32" s="79"/>
      <c r="F32" s="182">
        <v>24</v>
      </c>
      <c r="G32" s="78">
        <f t="shared" si="0"/>
        <v>0</v>
      </c>
      <c r="H32" s="78">
        <f t="shared" si="1"/>
        <v>0</v>
      </c>
      <c r="I32" s="78">
        <f t="shared" si="2"/>
        <v>288</v>
      </c>
      <c r="J32" s="78">
        <f t="shared" si="3"/>
        <v>288</v>
      </c>
    </row>
    <row r="33" spans="1:10">
      <c r="A33" s="6">
        <v>30</v>
      </c>
      <c r="B33" s="196">
        <v>45991</v>
      </c>
      <c r="C33" s="197"/>
      <c r="D33" s="120"/>
      <c r="E33" s="79"/>
      <c r="F33" s="182">
        <v>24</v>
      </c>
      <c r="G33" s="78">
        <f t="shared" si="0"/>
        <v>0</v>
      </c>
      <c r="H33" s="78">
        <f t="shared" si="1"/>
        <v>0</v>
      </c>
      <c r="I33" s="78">
        <f t="shared" si="2"/>
        <v>288</v>
      </c>
      <c r="J33" s="78">
        <f t="shared" si="3"/>
        <v>288</v>
      </c>
    </row>
    <row r="34" spans="1:10">
      <c r="A34" s="6">
        <v>31</v>
      </c>
      <c r="B34" s="196"/>
      <c r="C34" s="197"/>
      <c r="D34" s="120"/>
      <c r="E34" s="79"/>
      <c r="F34" s="182"/>
      <c r="G34" s="78">
        <f t="shared" ref="G34" si="4">SUM(D34*120)</f>
        <v>0</v>
      </c>
      <c r="H34" s="78">
        <f t="shared" ref="H34" si="5">SUM(E34*120)</f>
        <v>0</v>
      </c>
      <c r="I34" s="78">
        <f t="shared" ref="I34" si="6">SUM(F34*12)</f>
        <v>0</v>
      </c>
      <c r="J34" s="78">
        <f t="shared" si="3"/>
        <v>0</v>
      </c>
    </row>
    <row r="35" spans="1:10">
      <c r="D35" s="78"/>
      <c r="E35" s="78"/>
      <c r="F35" s="78"/>
      <c r="G35" s="78">
        <f>SUM(G4:G34)</f>
        <v>0</v>
      </c>
      <c r="H35" s="78">
        <f>SUM(H4:H34)</f>
        <v>0</v>
      </c>
      <c r="I35" s="78">
        <f>SUM(I4:I34)</f>
        <v>8640</v>
      </c>
      <c r="J35" s="155">
        <f>SUM(J4:J34)</f>
        <v>8640</v>
      </c>
    </row>
  </sheetData>
  <mergeCells count="40">
    <mergeCell ref="B1:H1"/>
    <mergeCell ref="A2:A3"/>
    <mergeCell ref="B2:C3"/>
    <mergeCell ref="D2:D3"/>
    <mergeCell ref="E2:E3"/>
    <mergeCell ref="G2:G3"/>
    <mergeCell ref="H2:H3"/>
    <mergeCell ref="B13:C13"/>
    <mergeCell ref="I2:I3"/>
    <mergeCell ref="J2:J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F7C6-9C4C-453F-9644-4FC2B466CEA2}">
  <dimension ref="A2:F21"/>
  <sheetViews>
    <sheetView workbookViewId="0">
      <selection activeCell="A7" sqref="A7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6" t="s">
        <v>183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3" s="21"/>
      <c r="C3" s="21"/>
    </row>
    <row r="4" spans="1:6" ht="15" customHeight="1">
      <c r="A4" s="21" t="s">
        <v>184</v>
      </c>
      <c r="B4" s="21"/>
      <c r="C4" s="21"/>
    </row>
    <row r="5" spans="1:6">
      <c r="A5" s="2" t="s">
        <v>112</v>
      </c>
    </row>
    <row r="6" spans="1:6">
      <c r="A6" s="2" t="s">
        <v>185</v>
      </c>
    </row>
    <row r="8" spans="1:6">
      <c r="A8" s="78" t="s">
        <v>0</v>
      </c>
      <c r="B8" s="78" t="s">
        <v>77</v>
      </c>
      <c r="C8" s="78" t="s">
        <v>78</v>
      </c>
      <c r="D8" s="78" t="s">
        <v>79</v>
      </c>
      <c r="E8" s="78" t="s">
        <v>80</v>
      </c>
      <c r="F8" s="78" t="s">
        <v>81</v>
      </c>
    </row>
    <row r="9" spans="1:6" ht="15.75">
      <c r="A9" s="79">
        <v>1</v>
      </c>
      <c r="B9" s="113" t="s">
        <v>186</v>
      </c>
      <c r="C9" s="79" t="s">
        <v>187</v>
      </c>
      <c r="D9" s="183">
        <v>844.25</v>
      </c>
      <c r="E9" s="184">
        <v>950</v>
      </c>
      <c r="F9" s="184">
        <f>D9*E9</f>
        <v>802037.5</v>
      </c>
    </row>
    <row r="10" spans="1:6" ht="15.75">
      <c r="A10" s="79">
        <v>2</v>
      </c>
      <c r="B10" s="112" t="s">
        <v>8</v>
      </c>
      <c r="C10" s="79" t="s">
        <v>187</v>
      </c>
      <c r="D10" s="183">
        <f>D9</f>
        <v>844.25</v>
      </c>
      <c r="E10" s="184">
        <v>120</v>
      </c>
      <c r="F10" s="184">
        <f t="shared" ref="F10:F11" si="0">D10*E10</f>
        <v>101310</v>
      </c>
    </row>
    <row r="11" spans="1:6" ht="15.75">
      <c r="A11" s="79">
        <v>3</v>
      </c>
      <c r="B11" s="112" t="s">
        <v>188</v>
      </c>
      <c r="C11" s="79" t="s">
        <v>189</v>
      </c>
      <c r="D11" s="183">
        <v>614</v>
      </c>
      <c r="E11" s="184">
        <v>830</v>
      </c>
      <c r="F11" s="184">
        <f t="shared" si="0"/>
        <v>509620</v>
      </c>
    </row>
    <row r="12" spans="1:6" ht="15.75">
      <c r="A12" s="2" t="s">
        <v>82</v>
      </c>
      <c r="F12" s="184">
        <f>SUM(F9:F11)</f>
        <v>1412967.5</v>
      </c>
    </row>
    <row r="13" spans="1:6" ht="15.75">
      <c r="A13" s="2" t="s">
        <v>83</v>
      </c>
      <c r="F13" s="184">
        <f>F12</f>
        <v>1412967.5</v>
      </c>
    </row>
    <row r="14" spans="1:6" ht="15.75">
      <c r="A14" s="2" t="s">
        <v>84</v>
      </c>
      <c r="F14" s="184">
        <f>F13*1.2</f>
        <v>1695561</v>
      </c>
    </row>
    <row r="15" spans="1:6">
      <c r="A15" s="2" t="s">
        <v>85</v>
      </c>
    </row>
    <row r="16" spans="1:6">
      <c r="A16" s="2" t="s">
        <v>86</v>
      </c>
    </row>
    <row r="19" spans="1:4" ht="15" customHeight="1">
      <c r="A19" s="2" t="s">
        <v>88</v>
      </c>
      <c r="D19" s="2" t="s">
        <v>136</v>
      </c>
    </row>
    <row r="21" spans="1:4">
      <c r="A21" s="2" t="s">
        <v>123</v>
      </c>
      <c r="D21" s="2" t="s">
        <v>92</v>
      </c>
    </row>
  </sheetData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AA3B-FD97-4BF5-868F-FDDA5DBEFE18}">
  <sheetPr>
    <pageSetUpPr fitToPage="1"/>
  </sheetPr>
  <dimension ref="A3:G22"/>
  <sheetViews>
    <sheetView workbookViewId="0">
      <selection activeCell="A5" sqref="A5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190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125</v>
      </c>
      <c r="B5" s="21"/>
      <c r="C5" s="21"/>
    </row>
    <row r="6" spans="1:7">
      <c r="A6" s="2" t="s">
        <v>112</v>
      </c>
    </row>
    <row r="7" spans="1:7">
      <c r="A7" s="2" t="s">
        <v>191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5</v>
      </c>
      <c r="E10" s="85">
        <v>2000</v>
      </c>
      <c r="F10" s="85">
        <f>SUM(D10*E10)</f>
        <v>10000</v>
      </c>
      <c r="G10" s="85">
        <f>F10*1.2</f>
        <v>12000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10000</v>
      </c>
      <c r="G12" s="85">
        <f>SUM(G10:G11)</f>
        <v>12000</v>
      </c>
    </row>
    <row r="13" spans="1:7">
      <c r="A13" s="21" t="s">
        <v>132</v>
      </c>
      <c r="B13" s="21" t="s">
        <v>192</v>
      </c>
      <c r="C13" s="21"/>
      <c r="D13" s="21"/>
    </row>
    <row r="14" spans="1:7">
      <c r="A14" s="21" t="s">
        <v>134</v>
      </c>
      <c r="B14" s="21" t="str">
        <f>B13</f>
        <v>десять тысяч рублей ноль копеек</v>
      </c>
      <c r="C14" s="21"/>
      <c r="D14" s="21"/>
    </row>
    <row r="15" spans="1:7">
      <c r="A15" s="21" t="s">
        <v>84</v>
      </c>
      <c r="B15" s="21" t="s">
        <v>193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scale="9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66A9-AE8B-4FB4-9A1C-0A2B09394E5F}">
  <sheetPr>
    <pageSetUpPr fitToPage="1"/>
  </sheetPr>
  <dimension ref="A3:G22"/>
  <sheetViews>
    <sheetView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194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125</v>
      </c>
      <c r="B5" s="21"/>
      <c r="C5" s="21"/>
    </row>
    <row r="6" spans="1:7">
      <c r="A6" s="2" t="s">
        <v>112</v>
      </c>
    </row>
    <row r="7" spans="1:7">
      <c r="A7" s="2" t="s">
        <v>126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5</v>
      </c>
      <c r="E10" s="85">
        <v>2000</v>
      </c>
      <c r="F10" s="85">
        <f>SUM(D10*E10)</f>
        <v>10000</v>
      </c>
      <c r="G10" s="85">
        <f>F10*1.2</f>
        <v>12000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10000</v>
      </c>
      <c r="G12" s="85">
        <f>SUM(G10:G11)</f>
        <v>12000</v>
      </c>
    </row>
    <row r="13" spans="1:7">
      <c r="A13" s="21" t="s">
        <v>132</v>
      </c>
      <c r="B13" s="21" t="s">
        <v>195</v>
      </c>
      <c r="C13" s="21"/>
      <c r="D13" s="21"/>
    </row>
    <row r="14" spans="1:7">
      <c r="A14" s="21" t="s">
        <v>134</v>
      </c>
      <c r="B14" s="21" t="str">
        <f>B13</f>
        <v>десять тысячь рублей ноль копеек</v>
      </c>
      <c r="C14" s="21"/>
      <c r="D14" s="21"/>
    </row>
    <row r="15" spans="1:7">
      <c r="A15" s="21" t="s">
        <v>84</v>
      </c>
      <c r="B15" s="21" t="s">
        <v>196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scale="9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8F9B-6BC8-4E57-A8C8-B40243CA86CB}">
  <dimension ref="A2:F21"/>
  <sheetViews>
    <sheetView workbookViewId="0">
      <selection activeCell="D12" sqref="D12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2.09765625" style="2" customWidth="1"/>
    <col min="7" max="16384" width="8.796875" style="2"/>
  </cols>
  <sheetData>
    <row r="2" spans="1:6" ht="21">
      <c r="A2" s="76" t="str">
        <f ca="1">IF(DAY(TODAY())&gt;27,"Акт  №    от  " &amp; TEXT(TODAY(),"ДД ММММ ГГГГ"),"Акт  №    от  " &amp; TEXT(TODAY()-DAY(TODAY()),"ДД ММММ ГГГГ"))</f>
        <v>Акт  №    от  30 Ноябрь 2025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3" s="21"/>
      <c r="C3" s="21"/>
    </row>
    <row r="4" spans="1:6" ht="15" customHeight="1">
      <c r="A4" s="21" t="s">
        <v>138</v>
      </c>
      <c r="B4" s="21"/>
      <c r="C4" s="21"/>
    </row>
    <row r="5" spans="1:6">
      <c r="A5" s="2" t="s">
        <v>112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Ноябрь 2025 г. По 30 Ноябрь 2025  г. ХРАНИТЕЛЬ оказал ПОКЛАЖЕДАТЕЛЮ следующие услуги (работы):</v>
      </c>
    </row>
    <row r="8" spans="1:6">
      <c r="A8" s="78" t="s">
        <v>0</v>
      </c>
      <c r="B8" s="78" t="s">
        <v>77</v>
      </c>
      <c r="C8" s="78" t="s">
        <v>78</v>
      </c>
      <c r="D8" s="78" t="s">
        <v>79</v>
      </c>
      <c r="E8" s="78" t="s">
        <v>80</v>
      </c>
      <c r="F8" s="78" t="s">
        <v>81</v>
      </c>
    </row>
    <row r="9" spans="1:6" ht="15.75">
      <c r="A9" s="79">
        <v>1</v>
      </c>
      <c r="B9" s="112" t="s">
        <v>186</v>
      </c>
      <c r="C9" s="79" t="s">
        <v>187</v>
      </c>
      <c r="D9" s="183">
        <v>1626.25</v>
      </c>
      <c r="E9" s="184">
        <v>1000</v>
      </c>
      <c r="F9" s="184">
        <f t="shared" ref="F9:F11" si="0">SUM(D9*E9)</f>
        <v>1626250</v>
      </c>
    </row>
    <row r="10" spans="1:6" ht="15.75">
      <c r="A10" s="79">
        <v>2</v>
      </c>
      <c r="B10" s="112" t="s">
        <v>8</v>
      </c>
      <c r="C10" s="79" t="s">
        <v>187</v>
      </c>
      <c r="D10" s="183">
        <v>1626.25</v>
      </c>
      <c r="E10" s="184">
        <v>200</v>
      </c>
      <c r="F10" s="184">
        <f t="shared" si="0"/>
        <v>325250</v>
      </c>
    </row>
    <row r="11" spans="1:6" ht="15.75">
      <c r="A11" s="79">
        <v>3</v>
      </c>
      <c r="B11" s="185" t="s">
        <v>188</v>
      </c>
      <c r="C11" s="79" t="s">
        <v>189</v>
      </c>
      <c r="D11" s="186">
        <v>1223</v>
      </c>
      <c r="E11" s="184">
        <v>830</v>
      </c>
      <c r="F11" s="184">
        <f t="shared" si="0"/>
        <v>1015090</v>
      </c>
    </row>
    <row r="12" spans="1:6" ht="15.75">
      <c r="A12" s="2" t="s">
        <v>82</v>
      </c>
      <c r="F12" s="184">
        <f>SUM(F9:F11)</f>
        <v>2966590</v>
      </c>
    </row>
    <row r="13" spans="1:6" ht="15.75">
      <c r="A13" s="2" t="s">
        <v>83</v>
      </c>
      <c r="F13" s="184">
        <f>SUM(F12)</f>
        <v>2966590</v>
      </c>
    </row>
    <row r="14" spans="1:6" ht="15.75">
      <c r="A14" s="2" t="s">
        <v>84</v>
      </c>
      <c r="F14" s="184">
        <f>SUM(F13)*1.2</f>
        <v>3559908</v>
      </c>
    </row>
    <row r="15" spans="1:6">
      <c r="A15" s="2" t="s">
        <v>85</v>
      </c>
    </row>
    <row r="16" spans="1:6">
      <c r="A16" s="2" t="s">
        <v>86</v>
      </c>
    </row>
    <row r="19" spans="1:4" ht="15" customHeight="1">
      <c r="A19" s="2" t="s">
        <v>88</v>
      </c>
      <c r="D19" s="2" t="s">
        <v>136</v>
      </c>
    </row>
    <row r="21" spans="1:4">
      <c r="A21" s="2" t="s">
        <v>123</v>
      </c>
      <c r="D21" s="2" t="s">
        <v>92</v>
      </c>
    </row>
  </sheetData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AA75-8A7B-4CFF-8F6D-E48A7A4C3778}">
  <dimension ref="A2:F21"/>
  <sheetViews>
    <sheetView workbookViewId="0">
      <selection activeCell="D11" sqref="D11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2.09765625" style="2" customWidth="1"/>
    <col min="7" max="16384" width="8.796875" style="2"/>
  </cols>
  <sheetData>
    <row r="2" spans="1:6" ht="21">
      <c r="A2" s="76" t="str">
        <f ca="1">IF(DAY(TODAY())&gt;27,"Акт  №    от  " &amp; TEXT(TODAY(),"ДД ММММ ГГГГ"),"Акт  №    от  " &amp; TEXT(TODAY()-DAY(TODAY()),"ДД ММММ ГГГГ"))</f>
        <v>Акт  №    от  30 Ноябрь 2025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3" s="21"/>
      <c r="C3" s="21"/>
    </row>
    <row r="4" spans="1:6" ht="15" customHeight="1">
      <c r="A4" s="21" t="s">
        <v>138</v>
      </c>
      <c r="B4" s="21"/>
      <c r="C4" s="21"/>
    </row>
    <row r="5" spans="1:6">
      <c r="A5" s="2" t="s">
        <v>112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Ноябрь 2025 г. По 30 Ноябрь 2025  г. ХРАНИТЕЛЬ оказал ПОКЛАЖЕДАТЕЛЮ следующие услуги (работы):</v>
      </c>
    </row>
    <row r="8" spans="1:6">
      <c r="A8" s="78" t="s">
        <v>0</v>
      </c>
      <c r="B8" s="78" t="s">
        <v>77</v>
      </c>
      <c r="C8" s="78" t="s">
        <v>78</v>
      </c>
      <c r="D8" s="78" t="s">
        <v>79</v>
      </c>
      <c r="E8" s="78" t="s">
        <v>80</v>
      </c>
      <c r="F8" s="78" t="s">
        <v>81</v>
      </c>
    </row>
    <row r="9" spans="1:6" ht="15.75">
      <c r="A9" s="79">
        <v>1</v>
      </c>
      <c r="B9" s="112" t="s">
        <v>186</v>
      </c>
      <c r="C9" s="79" t="s">
        <v>187</v>
      </c>
      <c r="D9" s="183">
        <v>515.625</v>
      </c>
      <c r="E9" s="184">
        <v>1000</v>
      </c>
      <c r="F9" s="184">
        <f t="shared" ref="F9:F11" si="0">SUM(D9*E9)</f>
        <v>515625</v>
      </c>
    </row>
    <row r="10" spans="1:6" ht="15.75">
      <c r="A10" s="79">
        <v>2</v>
      </c>
      <c r="B10" s="112" t="s">
        <v>8</v>
      </c>
      <c r="C10" s="79" t="s">
        <v>187</v>
      </c>
      <c r="D10" s="183">
        <f>D9</f>
        <v>515.625</v>
      </c>
      <c r="E10" s="184">
        <v>200</v>
      </c>
      <c r="F10" s="184">
        <f t="shared" si="0"/>
        <v>103125</v>
      </c>
    </row>
    <row r="11" spans="1:6" ht="15.75">
      <c r="A11" s="79">
        <v>3</v>
      </c>
      <c r="B11" s="185" t="s">
        <v>188</v>
      </c>
      <c r="C11" s="79" t="s">
        <v>189</v>
      </c>
      <c r="D11" s="186">
        <v>375</v>
      </c>
      <c r="E11" s="184">
        <v>830</v>
      </c>
      <c r="F11" s="184">
        <f t="shared" si="0"/>
        <v>311250</v>
      </c>
    </row>
    <row r="12" spans="1:6" ht="15.75">
      <c r="A12" s="2" t="s">
        <v>82</v>
      </c>
      <c r="F12" s="184">
        <f>SUM(F9:F11)</f>
        <v>930000</v>
      </c>
    </row>
    <row r="13" spans="1:6" ht="15.75">
      <c r="A13" s="2" t="s">
        <v>83</v>
      </c>
      <c r="F13" s="184">
        <f>SUM(F12)</f>
        <v>930000</v>
      </c>
    </row>
    <row r="14" spans="1:6" ht="15.75">
      <c r="A14" s="2" t="s">
        <v>84</v>
      </c>
      <c r="F14" s="184">
        <f>SUM(F13)*1.2</f>
        <v>1116000</v>
      </c>
    </row>
    <row r="15" spans="1:6">
      <c r="A15" s="2" t="s">
        <v>85</v>
      </c>
    </row>
    <row r="16" spans="1:6">
      <c r="A16" s="2" t="s">
        <v>86</v>
      </c>
    </row>
    <row r="19" spans="1:4" ht="15" customHeight="1">
      <c r="A19" s="2" t="s">
        <v>88</v>
      </c>
      <c r="D19" s="2" t="s">
        <v>136</v>
      </c>
    </row>
    <row r="21" spans="1:4">
      <c r="A21" s="2" t="s">
        <v>123</v>
      </c>
      <c r="D21" s="2" t="s">
        <v>92</v>
      </c>
    </row>
  </sheetData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2787-15A0-4B33-8A7F-BA4647E297F8}">
  <dimension ref="A2:F21"/>
  <sheetViews>
    <sheetView workbookViewId="0">
      <selection activeCell="A7" sqref="A7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6" t="s">
        <v>183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3" s="21"/>
      <c r="C3" s="21"/>
    </row>
    <row r="4" spans="1:6" ht="15" customHeight="1">
      <c r="A4" s="21" t="s">
        <v>184</v>
      </c>
      <c r="B4" s="21"/>
      <c r="C4" s="21"/>
    </row>
    <row r="5" spans="1:6">
      <c r="A5" s="2" t="s">
        <v>112</v>
      </c>
    </row>
    <row r="6" spans="1:6">
      <c r="A6" s="2" t="s">
        <v>185</v>
      </c>
    </row>
    <row r="8" spans="1:6">
      <c r="A8" s="78" t="s">
        <v>0</v>
      </c>
      <c r="B8" s="78" t="s">
        <v>77</v>
      </c>
      <c r="C8" s="78" t="s">
        <v>78</v>
      </c>
      <c r="D8" s="78" t="s">
        <v>79</v>
      </c>
      <c r="E8" s="78" t="s">
        <v>80</v>
      </c>
      <c r="F8" s="78" t="s">
        <v>81</v>
      </c>
    </row>
    <row r="9" spans="1:6" ht="15.75">
      <c r="A9" s="79">
        <v>1</v>
      </c>
      <c r="B9" s="113" t="s">
        <v>186</v>
      </c>
      <c r="C9" s="79" t="s">
        <v>187</v>
      </c>
      <c r="D9" s="183">
        <v>84.625</v>
      </c>
      <c r="E9" s="184">
        <v>950</v>
      </c>
      <c r="F9" s="184">
        <f>D9*E9</f>
        <v>80393.75</v>
      </c>
    </row>
    <row r="10" spans="1:6" ht="15.75">
      <c r="A10" s="79">
        <v>2</v>
      </c>
      <c r="B10" s="112" t="s">
        <v>8</v>
      </c>
      <c r="C10" s="79" t="s">
        <v>187</v>
      </c>
      <c r="D10" s="183">
        <f>D9</f>
        <v>84.625</v>
      </c>
      <c r="E10" s="184">
        <v>120</v>
      </c>
      <c r="F10" s="184">
        <f t="shared" ref="F10:F11" si="0">D10*E10</f>
        <v>10155</v>
      </c>
    </row>
    <row r="11" spans="1:6" ht="15.75">
      <c r="A11" s="79">
        <v>3</v>
      </c>
      <c r="B11" s="112" t="s">
        <v>188</v>
      </c>
      <c r="C11" s="79" t="s">
        <v>189</v>
      </c>
      <c r="D11" s="183">
        <v>65</v>
      </c>
      <c r="E11" s="184">
        <v>830</v>
      </c>
      <c r="F11" s="184">
        <f t="shared" si="0"/>
        <v>53950</v>
      </c>
    </row>
    <row r="12" spans="1:6" ht="15.75">
      <c r="A12" s="2" t="s">
        <v>82</v>
      </c>
      <c r="F12" s="184">
        <f>SUM(F9:F11)</f>
        <v>144498.75</v>
      </c>
    </row>
    <row r="13" spans="1:6" ht="15.75">
      <c r="A13" s="2" t="s">
        <v>83</v>
      </c>
      <c r="F13" s="184">
        <f>F12</f>
        <v>144498.75</v>
      </c>
    </row>
    <row r="14" spans="1:6" ht="15.75">
      <c r="A14" s="2" t="s">
        <v>84</v>
      </c>
      <c r="F14" s="184">
        <f>F13*1.2</f>
        <v>173398.5</v>
      </c>
    </row>
    <row r="15" spans="1:6">
      <c r="A15" s="2" t="s">
        <v>85</v>
      </c>
    </row>
    <row r="16" spans="1:6">
      <c r="A16" s="2" t="s">
        <v>86</v>
      </c>
    </row>
    <row r="19" spans="1:4" ht="15" customHeight="1">
      <c r="A19" s="2" t="s">
        <v>88</v>
      </c>
      <c r="D19" s="2" t="s">
        <v>136</v>
      </c>
    </row>
    <row r="21" spans="1:4">
      <c r="A21" s="2" t="s">
        <v>123</v>
      </c>
      <c r="D21" s="2" t="s">
        <v>92</v>
      </c>
    </row>
  </sheetData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7337-570F-450D-B962-4B868887366C}">
  <sheetPr>
    <pageSetUpPr fitToPage="1"/>
  </sheetPr>
  <dimension ref="A3:G22"/>
  <sheetViews>
    <sheetView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6" t="s">
        <v>197</v>
      </c>
    </row>
    <row r="4" spans="1:7">
      <c r="A4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4" s="21"/>
      <c r="C4" s="21"/>
    </row>
    <row r="5" spans="1:7">
      <c r="A5" s="21" t="s">
        <v>125</v>
      </c>
      <c r="B5" s="21"/>
      <c r="C5" s="21"/>
    </row>
    <row r="6" spans="1:7">
      <c r="A6" s="2" t="s">
        <v>112</v>
      </c>
    </row>
    <row r="7" spans="1:7">
      <c r="A7" s="2" t="s">
        <v>126</v>
      </c>
    </row>
    <row r="9" spans="1:7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127</v>
      </c>
      <c r="G9" s="78" t="s">
        <v>128</v>
      </c>
    </row>
    <row r="10" spans="1:7" ht="15.75">
      <c r="A10" s="79">
        <v>1</v>
      </c>
      <c r="B10" s="78" t="s">
        <v>129</v>
      </c>
      <c r="C10" s="79" t="s">
        <v>130</v>
      </c>
      <c r="D10" s="6">
        <v>43</v>
      </c>
      <c r="E10" s="85">
        <v>2000</v>
      </c>
      <c r="F10" s="85">
        <f>SUM(D10*E10)</f>
        <v>86000</v>
      </c>
      <c r="G10" s="85">
        <f>F10*1.2</f>
        <v>103200</v>
      </c>
    </row>
    <row r="11" spans="1:7" ht="15.75">
      <c r="A11" s="79">
        <v>2</v>
      </c>
      <c r="B11" s="78" t="s">
        <v>131</v>
      </c>
      <c r="C11" s="79" t="s">
        <v>130</v>
      </c>
      <c r="D11" s="6"/>
      <c r="E11" s="85"/>
      <c r="F11" s="85">
        <f>SUM(D11*E11)</f>
        <v>0</v>
      </c>
      <c r="G11" s="85">
        <f>F11*1.2</f>
        <v>0</v>
      </c>
    </row>
    <row r="12" spans="1:7" ht="15.75">
      <c r="A12" s="116"/>
      <c r="C12" s="116"/>
      <c r="D12" s="117"/>
      <c r="E12" s="75"/>
      <c r="F12" s="85">
        <f>SUM(F10:F11)</f>
        <v>86000</v>
      </c>
      <c r="G12" s="85">
        <f>SUM(G10:G11)</f>
        <v>103200</v>
      </c>
    </row>
    <row r="13" spans="1:7">
      <c r="A13" s="21" t="s">
        <v>132</v>
      </c>
      <c r="B13" s="21" t="s">
        <v>198</v>
      </c>
      <c r="C13" s="21"/>
      <c r="D13" s="21"/>
    </row>
    <row r="14" spans="1:7">
      <c r="A14" s="21" t="s">
        <v>134</v>
      </c>
      <c r="B14" s="21" t="str">
        <f>B13</f>
        <v>восемьдесят шесть тысяч рублей ноль копеек</v>
      </c>
      <c r="C14" s="21"/>
      <c r="D14" s="21"/>
    </row>
    <row r="15" spans="1:7">
      <c r="A15" s="21" t="s">
        <v>84</v>
      </c>
      <c r="B15" s="21" t="s">
        <v>199</v>
      </c>
      <c r="F15" s="118"/>
      <c r="G15" s="118"/>
    </row>
    <row r="16" spans="1:7">
      <c r="A16" s="2" t="s">
        <v>85</v>
      </c>
    </row>
    <row r="17" spans="1:4">
      <c r="A17" s="2" t="s">
        <v>86</v>
      </c>
    </row>
    <row r="20" spans="1:4">
      <c r="A20" s="2" t="s">
        <v>88</v>
      </c>
      <c r="D20" s="2" t="s">
        <v>136</v>
      </c>
    </row>
    <row r="22" spans="1:4">
      <c r="A22" s="2" t="s">
        <v>123</v>
      </c>
      <c r="D22" s="2" t="s">
        <v>92</v>
      </c>
    </row>
  </sheetData>
  <pageMargins left="0.7" right="0.7" top="0.75" bottom="0.75" header="0.3" footer="0.3"/>
  <pageSetup paperSize="9" scale="98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D38-01F1-4959-A9A3-00F786EEF904}">
  <dimension ref="A2:F21"/>
  <sheetViews>
    <sheetView workbookViewId="0">
      <selection activeCell="D10" sqref="D10"/>
    </sheetView>
  </sheetViews>
  <sheetFormatPr defaultRowHeight="15"/>
  <cols>
    <col min="1" max="1" width="6.3984375" style="2" customWidth="1"/>
    <col min="2" max="2" width="23.1992187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6" t="s">
        <v>183</v>
      </c>
    </row>
    <row r="3" spans="1:6">
      <c r="A3" s="21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Ноябрь 2025</v>
      </c>
      <c r="B3" s="21"/>
      <c r="C3" s="21"/>
    </row>
    <row r="4" spans="1:6" ht="15" customHeight="1">
      <c r="A4" s="21" t="s">
        <v>184</v>
      </c>
      <c r="B4" s="21"/>
      <c r="C4" s="21"/>
    </row>
    <row r="5" spans="1:6">
      <c r="A5" s="2" t="s">
        <v>112</v>
      </c>
    </row>
    <row r="6" spans="1:6">
      <c r="A6" s="2" t="s">
        <v>185</v>
      </c>
    </row>
    <row r="8" spans="1:6">
      <c r="A8" s="78" t="s">
        <v>0</v>
      </c>
      <c r="B8" s="78" t="s">
        <v>77</v>
      </c>
      <c r="C8" s="78" t="s">
        <v>78</v>
      </c>
      <c r="D8" s="78" t="s">
        <v>79</v>
      </c>
      <c r="E8" s="78" t="s">
        <v>80</v>
      </c>
      <c r="F8" s="78" t="s">
        <v>81</v>
      </c>
    </row>
    <row r="9" spans="1:6" ht="15.75">
      <c r="A9" s="79">
        <v>1</v>
      </c>
      <c r="B9" s="113" t="s">
        <v>200</v>
      </c>
      <c r="C9" s="79" t="s">
        <v>187</v>
      </c>
      <c r="D9" s="183">
        <v>54.18</v>
      </c>
      <c r="E9" s="184">
        <v>4000</v>
      </c>
      <c r="F9" s="184">
        <f>D9*E9</f>
        <v>216720</v>
      </c>
    </row>
    <row r="10" spans="1:6" ht="15.75">
      <c r="A10" s="79"/>
      <c r="B10" s="112"/>
      <c r="C10" s="79"/>
      <c r="D10" s="183"/>
      <c r="E10" s="184"/>
      <c r="F10" s="184"/>
    </row>
    <row r="11" spans="1:6" ht="15.75">
      <c r="A11" s="79"/>
      <c r="B11" s="112"/>
      <c r="C11" s="79"/>
      <c r="D11" s="183"/>
      <c r="E11" s="184"/>
      <c r="F11" s="184"/>
    </row>
    <row r="12" spans="1:6" ht="15.75">
      <c r="A12" s="2" t="s">
        <v>82</v>
      </c>
      <c r="F12" s="184">
        <f>SUM(F9:F11)</f>
        <v>216720</v>
      </c>
    </row>
    <row r="13" spans="1:6" ht="15.75">
      <c r="A13" s="2" t="s">
        <v>83</v>
      </c>
      <c r="F13" s="184">
        <f>F12</f>
        <v>216720</v>
      </c>
    </row>
    <row r="14" spans="1:6" ht="15.75">
      <c r="A14" s="2" t="s">
        <v>84</v>
      </c>
      <c r="F14" s="184">
        <f>F13*1.2</f>
        <v>260064</v>
      </c>
    </row>
    <row r="15" spans="1:6">
      <c r="A15" s="2" t="s">
        <v>85</v>
      </c>
    </row>
    <row r="16" spans="1:6">
      <c r="A16" s="2" t="s">
        <v>86</v>
      </c>
    </row>
    <row r="19" spans="1:4" ht="15" customHeight="1">
      <c r="A19" s="2" t="s">
        <v>88</v>
      </c>
      <c r="D19" s="2" t="s">
        <v>136</v>
      </c>
    </row>
    <row r="21" spans="1:4">
      <c r="A21" s="2" t="s">
        <v>123</v>
      </c>
      <c r="D21" s="2" t="s">
        <v>92</v>
      </c>
    </row>
  </sheetData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26E3-BE43-4FE6-BEA4-4927F347561B}">
  <sheetPr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201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198" t="s">
        <v>0</v>
      </c>
      <c r="B3" s="202" t="s">
        <v>1</v>
      </c>
      <c r="C3" s="203"/>
      <c r="D3" s="198" t="s">
        <v>145</v>
      </c>
      <c r="E3" s="198" t="s">
        <v>146</v>
      </c>
      <c r="F3" s="4" t="s">
        <v>4</v>
      </c>
      <c r="G3" s="198" t="s">
        <v>202</v>
      </c>
      <c r="H3" s="198" t="s">
        <v>203</v>
      </c>
      <c r="I3" s="198" t="s">
        <v>7</v>
      </c>
      <c r="J3" s="198" t="s">
        <v>8</v>
      </c>
      <c r="K3" s="198" t="s">
        <v>204</v>
      </c>
      <c r="L3" s="198" t="s">
        <v>205</v>
      </c>
      <c r="M3" s="198" t="s">
        <v>11</v>
      </c>
      <c r="N3" s="198" t="s">
        <v>12</v>
      </c>
      <c r="O3" s="198" t="s">
        <v>13</v>
      </c>
      <c r="P3" s="198" t="s">
        <v>14</v>
      </c>
      <c r="Q3" s="198" t="s">
        <v>15</v>
      </c>
      <c r="R3" s="198" t="s">
        <v>16</v>
      </c>
      <c r="S3" s="198" t="s">
        <v>17</v>
      </c>
      <c r="T3" s="198" t="s">
        <v>18</v>
      </c>
    </row>
    <row r="4" spans="1:20" ht="30">
      <c r="A4" s="199"/>
      <c r="B4" s="204"/>
      <c r="C4" s="205"/>
      <c r="D4" s="199"/>
      <c r="E4" s="199"/>
      <c r="F4" s="5" t="s">
        <v>155</v>
      </c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6">
        <v>1</v>
      </c>
      <c r="B5" s="196" t="s">
        <v>206</v>
      </c>
      <c r="C5" s="197"/>
      <c r="D5" s="187">
        <v>0</v>
      </c>
      <c r="E5" s="187">
        <v>0</v>
      </c>
      <c r="F5" s="188">
        <v>176</v>
      </c>
      <c r="G5" s="189">
        <v>0</v>
      </c>
      <c r="H5" s="189">
        <v>0</v>
      </c>
      <c r="I5" s="11">
        <v>0</v>
      </c>
      <c r="J5" s="11">
        <v>0</v>
      </c>
      <c r="K5" s="11">
        <v>0</v>
      </c>
      <c r="L5" s="190">
        <v>0</v>
      </c>
      <c r="M5" s="190">
        <v>0</v>
      </c>
      <c r="N5" s="190">
        <v>0</v>
      </c>
      <c r="O5" s="190">
        <v>3509.44</v>
      </c>
      <c r="P5" s="190">
        <v>0</v>
      </c>
      <c r="Q5" s="190">
        <v>0</v>
      </c>
      <c r="R5" s="190">
        <v>0</v>
      </c>
      <c r="S5" s="190">
        <v>0</v>
      </c>
      <c r="T5" s="190">
        <v>3509.44</v>
      </c>
    </row>
    <row r="6" spans="1:20">
      <c r="A6" s="13">
        <v>2</v>
      </c>
      <c r="B6" s="196" t="s">
        <v>207</v>
      </c>
      <c r="C6" s="197"/>
      <c r="D6" s="187">
        <v>0</v>
      </c>
      <c r="E6" s="187">
        <v>0</v>
      </c>
      <c r="F6" s="188">
        <v>176</v>
      </c>
      <c r="G6" s="189">
        <v>0</v>
      </c>
      <c r="H6" s="189">
        <v>0</v>
      </c>
      <c r="I6" s="11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3509.44</v>
      </c>
      <c r="P6" s="190">
        <v>0</v>
      </c>
      <c r="Q6" s="190">
        <v>0</v>
      </c>
      <c r="R6" s="190">
        <v>0</v>
      </c>
      <c r="S6" s="190">
        <v>0</v>
      </c>
      <c r="T6" s="190">
        <v>3509.44</v>
      </c>
    </row>
    <row r="7" spans="1:20">
      <c r="A7" s="13">
        <v>3</v>
      </c>
      <c r="B7" s="196" t="s">
        <v>208</v>
      </c>
      <c r="C7" s="197"/>
      <c r="D7" s="187">
        <v>0</v>
      </c>
      <c r="E7" s="187">
        <v>0</v>
      </c>
      <c r="F7" s="188">
        <v>176</v>
      </c>
      <c r="G7" s="189">
        <v>0</v>
      </c>
      <c r="H7" s="189">
        <v>0</v>
      </c>
      <c r="I7" s="11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3509.44</v>
      </c>
      <c r="P7" s="190">
        <v>0</v>
      </c>
      <c r="Q7" s="190">
        <v>0</v>
      </c>
      <c r="R7" s="190">
        <v>0</v>
      </c>
      <c r="S7" s="190">
        <v>0</v>
      </c>
      <c r="T7" s="190">
        <v>3509.44</v>
      </c>
    </row>
    <row r="8" spans="1:20">
      <c r="A8" s="13">
        <v>4</v>
      </c>
      <c r="B8" s="196" t="s">
        <v>209</v>
      </c>
      <c r="C8" s="197"/>
      <c r="D8" s="187">
        <v>0</v>
      </c>
      <c r="E8" s="187">
        <v>0</v>
      </c>
      <c r="F8" s="188">
        <v>176</v>
      </c>
      <c r="G8" s="189">
        <v>0</v>
      </c>
      <c r="H8" s="189">
        <v>0</v>
      </c>
      <c r="I8" s="11">
        <v>0</v>
      </c>
      <c r="J8" s="11">
        <v>0</v>
      </c>
      <c r="K8" s="11">
        <v>0</v>
      </c>
      <c r="L8" s="190">
        <v>0</v>
      </c>
      <c r="M8" s="190">
        <v>0</v>
      </c>
      <c r="N8" s="190">
        <v>0</v>
      </c>
      <c r="O8" s="190">
        <v>3509.44</v>
      </c>
      <c r="P8" s="190">
        <v>0</v>
      </c>
      <c r="Q8" s="190">
        <v>0</v>
      </c>
      <c r="R8" s="190">
        <v>0</v>
      </c>
      <c r="S8" s="190">
        <v>0</v>
      </c>
      <c r="T8" s="190">
        <v>3509.44</v>
      </c>
    </row>
    <row r="9" spans="1:20">
      <c r="A9" s="13">
        <v>5</v>
      </c>
      <c r="B9" s="196" t="s">
        <v>210</v>
      </c>
      <c r="C9" s="197"/>
      <c r="D9" s="187">
        <v>0</v>
      </c>
      <c r="E9" s="187">
        <v>0</v>
      </c>
      <c r="F9" s="188">
        <v>176</v>
      </c>
      <c r="G9" s="189">
        <v>0</v>
      </c>
      <c r="H9" s="189">
        <v>0</v>
      </c>
      <c r="I9" s="11">
        <v>0</v>
      </c>
      <c r="J9" s="11">
        <v>0</v>
      </c>
      <c r="K9" s="11">
        <v>0</v>
      </c>
      <c r="L9" s="190">
        <v>0</v>
      </c>
      <c r="M9" s="190">
        <v>0</v>
      </c>
      <c r="N9" s="190">
        <v>0</v>
      </c>
      <c r="O9" s="190">
        <v>3509.44</v>
      </c>
      <c r="P9" s="190">
        <v>0</v>
      </c>
      <c r="Q9" s="190">
        <v>0</v>
      </c>
      <c r="R9" s="190">
        <v>0</v>
      </c>
      <c r="S9" s="190">
        <v>0</v>
      </c>
      <c r="T9" s="190">
        <v>3509.44</v>
      </c>
    </row>
    <row r="10" spans="1:20">
      <c r="A10" s="13">
        <v>6</v>
      </c>
      <c r="B10" s="196" t="s">
        <v>211</v>
      </c>
      <c r="C10" s="197"/>
      <c r="D10" s="187">
        <v>0</v>
      </c>
      <c r="E10" s="187">
        <v>0</v>
      </c>
      <c r="F10" s="188">
        <v>176</v>
      </c>
      <c r="G10" s="189">
        <v>0</v>
      </c>
      <c r="H10" s="189">
        <v>0</v>
      </c>
      <c r="I10" s="11">
        <v>0</v>
      </c>
      <c r="J10" s="11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3509.44</v>
      </c>
      <c r="P10" s="190">
        <v>0</v>
      </c>
      <c r="Q10" s="190">
        <v>0</v>
      </c>
      <c r="R10" s="190">
        <v>0</v>
      </c>
      <c r="S10" s="190">
        <v>0</v>
      </c>
      <c r="T10" s="190">
        <v>3509.44</v>
      </c>
    </row>
    <row r="11" spans="1:20">
      <c r="A11" s="13">
        <v>7</v>
      </c>
      <c r="B11" s="196" t="s">
        <v>212</v>
      </c>
      <c r="C11" s="197"/>
      <c r="D11" s="187">
        <v>0</v>
      </c>
      <c r="E11" s="187">
        <v>0</v>
      </c>
      <c r="F11" s="188">
        <v>176</v>
      </c>
      <c r="G11" s="189">
        <v>0</v>
      </c>
      <c r="H11" s="189">
        <v>0</v>
      </c>
      <c r="I11" s="11">
        <v>0</v>
      </c>
      <c r="J11" s="11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3509.44</v>
      </c>
      <c r="P11" s="190">
        <v>0</v>
      </c>
      <c r="Q11" s="190">
        <v>0</v>
      </c>
      <c r="R11" s="190">
        <v>0</v>
      </c>
      <c r="S11" s="190">
        <v>0</v>
      </c>
      <c r="T11" s="190">
        <v>3509.44</v>
      </c>
    </row>
    <row r="12" spans="1:20">
      <c r="A12" s="13">
        <v>8</v>
      </c>
      <c r="B12" s="196" t="s">
        <v>213</v>
      </c>
      <c r="C12" s="197"/>
      <c r="D12" s="187">
        <v>0</v>
      </c>
      <c r="E12" s="187">
        <v>0</v>
      </c>
      <c r="F12" s="188">
        <v>176</v>
      </c>
      <c r="G12" s="189">
        <v>0</v>
      </c>
      <c r="H12" s="189">
        <v>0</v>
      </c>
      <c r="I12" s="11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3509.44</v>
      </c>
      <c r="P12" s="190">
        <v>0</v>
      </c>
      <c r="Q12" s="190">
        <v>0</v>
      </c>
      <c r="R12" s="190">
        <v>0</v>
      </c>
      <c r="S12" s="190">
        <v>0</v>
      </c>
      <c r="T12" s="190">
        <v>3509.44</v>
      </c>
    </row>
    <row r="13" spans="1:20">
      <c r="A13" s="13">
        <v>9</v>
      </c>
      <c r="B13" s="196" t="s">
        <v>214</v>
      </c>
      <c r="C13" s="197"/>
      <c r="D13" s="187">
        <v>0</v>
      </c>
      <c r="E13" s="187">
        <v>0</v>
      </c>
      <c r="F13" s="188">
        <v>176</v>
      </c>
      <c r="G13" s="189">
        <v>0</v>
      </c>
      <c r="H13" s="189">
        <v>0</v>
      </c>
      <c r="I13" s="11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3509.44</v>
      </c>
      <c r="P13" s="190">
        <v>0</v>
      </c>
      <c r="Q13" s="190">
        <v>0</v>
      </c>
      <c r="R13" s="190">
        <v>0</v>
      </c>
      <c r="S13" s="190">
        <v>0</v>
      </c>
      <c r="T13" s="190">
        <v>3509.44</v>
      </c>
    </row>
    <row r="14" spans="1:20">
      <c r="A14" s="13">
        <v>10</v>
      </c>
      <c r="B14" s="196" t="s">
        <v>215</v>
      </c>
      <c r="C14" s="197"/>
      <c r="D14" s="187">
        <v>0</v>
      </c>
      <c r="E14" s="187">
        <v>0</v>
      </c>
      <c r="F14" s="188">
        <v>176</v>
      </c>
      <c r="G14" s="189">
        <v>0</v>
      </c>
      <c r="H14" s="189">
        <v>0</v>
      </c>
      <c r="I14" s="11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0</v>
      </c>
      <c r="O14" s="190">
        <v>3509.44</v>
      </c>
      <c r="P14" s="190">
        <v>0</v>
      </c>
      <c r="Q14" s="190">
        <v>0</v>
      </c>
      <c r="R14" s="190">
        <v>0</v>
      </c>
      <c r="S14" s="190">
        <v>0</v>
      </c>
      <c r="T14" s="190">
        <v>3509.44</v>
      </c>
    </row>
    <row r="15" spans="1:20">
      <c r="A15" s="13">
        <v>11</v>
      </c>
      <c r="B15" s="196" t="s">
        <v>216</v>
      </c>
      <c r="C15" s="197"/>
      <c r="D15" s="187">
        <v>0</v>
      </c>
      <c r="E15" s="187">
        <v>32</v>
      </c>
      <c r="F15" s="188">
        <v>144</v>
      </c>
      <c r="G15" s="189">
        <v>0</v>
      </c>
      <c r="H15" s="189">
        <v>0</v>
      </c>
      <c r="I15" s="11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4840</v>
      </c>
      <c r="O15" s="190">
        <v>2871.36</v>
      </c>
      <c r="P15" s="190">
        <v>0</v>
      </c>
      <c r="Q15" s="190">
        <v>0</v>
      </c>
      <c r="R15" s="190">
        <v>0</v>
      </c>
      <c r="S15" s="190">
        <v>0</v>
      </c>
      <c r="T15" s="190">
        <v>7711.36</v>
      </c>
    </row>
    <row r="16" spans="1:20">
      <c r="A16" s="13">
        <v>12</v>
      </c>
      <c r="B16" s="196" t="s">
        <v>217</v>
      </c>
      <c r="C16" s="197"/>
      <c r="D16" s="187">
        <v>0</v>
      </c>
      <c r="E16" s="187">
        <v>32</v>
      </c>
      <c r="F16" s="188">
        <v>112</v>
      </c>
      <c r="G16" s="189">
        <v>0</v>
      </c>
      <c r="H16" s="189">
        <v>0</v>
      </c>
      <c r="I16" s="11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4840</v>
      </c>
      <c r="O16" s="190">
        <v>2233.2800000000002</v>
      </c>
      <c r="P16" s="190">
        <v>0</v>
      </c>
      <c r="Q16" s="190">
        <v>0</v>
      </c>
      <c r="R16" s="190">
        <v>0</v>
      </c>
      <c r="S16" s="190">
        <v>0</v>
      </c>
      <c r="T16" s="190">
        <v>7073.28</v>
      </c>
    </row>
    <row r="17" spans="1:20">
      <c r="A17" s="13">
        <v>13</v>
      </c>
      <c r="B17" s="196" t="s">
        <v>218</v>
      </c>
      <c r="C17" s="197"/>
      <c r="D17" s="187">
        <v>0</v>
      </c>
      <c r="E17" s="187">
        <v>32</v>
      </c>
      <c r="F17" s="188">
        <v>80</v>
      </c>
      <c r="G17" s="189">
        <v>0</v>
      </c>
      <c r="H17" s="189">
        <v>0</v>
      </c>
      <c r="I17" s="11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4840</v>
      </c>
      <c r="O17" s="190">
        <v>1595.2</v>
      </c>
      <c r="P17" s="190">
        <v>0</v>
      </c>
      <c r="Q17" s="190">
        <v>0</v>
      </c>
      <c r="R17" s="190">
        <v>0</v>
      </c>
      <c r="S17" s="190">
        <v>0</v>
      </c>
      <c r="T17" s="190">
        <v>6435.2</v>
      </c>
    </row>
    <row r="18" spans="1:20">
      <c r="A18" s="13">
        <v>14</v>
      </c>
      <c r="B18" s="196" t="s">
        <v>219</v>
      </c>
      <c r="C18" s="197"/>
      <c r="D18" s="187">
        <v>0</v>
      </c>
      <c r="E18" s="187">
        <v>0</v>
      </c>
      <c r="F18" s="188">
        <v>80</v>
      </c>
      <c r="G18" s="189">
        <v>0</v>
      </c>
      <c r="H18" s="189">
        <v>0</v>
      </c>
      <c r="I18" s="11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1595.2</v>
      </c>
      <c r="P18" s="190">
        <v>0</v>
      </c>
      <c r="Q18" s="190">
        <v>0</v>
      </c>
      <c r="R18" s="190">
        <v>0</v>
      </c>
      <c r="S18" s="190">
        <v>0</v>
      </c>
      <c r="T18" s="190">
        <v>1595.2</v>
      </c>
    </row>
    <row r="19" spans="1:20">
      <c r="A19" s="13">
        <v>15</v>
      </c>
      <c r="B19" s="196" t="s">
        <v>220</v>
      </c>
      <c r="C19" s="197"/>
      <c r="D19" s="187">
        <v>0</v>
      </c>
      <c r="E19" s="187">
        <v>0</v>
      </c>
      <c r="F19" s="188">
        <v>80</v>
      </c>
      <c r="G19" s="189">
        <v>0</v>
      </c>
      <c r="H19" s="189">
        <v>0</v>
      </c>
      <c r="I19" s="11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1595.2</v>
      </c>
      <c r="P19" s="190">
        <v>0</v>
      </c>
      <c r="Q19" s="190">
        <v>0</v>
      </c>
      <c r="R19" s="190">
        <v>0</v>
      </c>
      <c r="S19" s="190">
        <v>0</v>
      </c>
      <c r="T19" s="190">
        <v>1595.2</v>
      </c>
    </row>
    <row r="20" spans="1:20">
      <c r="A20" s="13">
        <v>16</v>
      </c>
      <c r="B20" s="196" t="s">
        <v>221</v>
      </c>
      <c r="C20" s="197"/>
      <c r="D20" s="187">
        <v>0</v>
      </c>
      <c r="E20" s="187">
        <v>0</v>
      </c>
      <c r="F20" s="188">
        <v>80</v>
      </c>
      <c r="G20" s="189">
        <v>0</v>
      </c>
      <c r="H20" s="189">
        <v>0</v>
      </c>
      <c r="I20" s="11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1595.2</v>
      </c>
      <c r="P20" s="190">
        <v>0</v>
      </c>
      <c r="Q20" s="190">
        <v>0</v>
      </c>
      <c r="R20" s="190">
        <v>0</v>
      </c>
      <c r="S20" s="190">
        <v>0</v>
      </c>
      <c r="T20" s="190">
        <v>1595.2</v>
      </c>
    </row>
    <row r="21" spans="1:20">
      <c r="A21" s="13">
        <v>17</v>
      </c>
      <c r="B21" s="196" t="s">
        <v>222</v>
      </c>
      <c r="C21" s="197"/>
      <c r="D21" s="187">
        <v>0</v>
      </c>
      <c r="E21" s="187">
        <v>0</v>
      </c>
      <c r="F21" s="188">
        <v>80</v>
      </c>
      <c r="G21" s="189">
        <v>0</v>
      </c>
      <c r="H21" s="189">
        <v>0</v>
      </c>
      <c r="I21" s="11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1595.2</v>
      </c>
      <c r="P21" s="190">
        <v>0</v>
      </c>
      <c r="Q21" s="190">
        <v>0</v>
      </c>
      <c r="R21" s="190">
        <v>0</v>
      </c>
      <c r="S21" s="190">
        <v>0</v>
      </c>
      <c r="T21" s="190">
        <v>1595.2</v>
      </c>
    </row>
    <row r="22" spans="1:20">
      <c r="A22" s="13">
        <v>18</v>
      </c>
      <c r="B22" s="196" t="s">
        <v>223</v>
      </c>
      <c r="C22" s="197"/>
      <c r="D22" s="187">
        <v>0</v>
      </c>
      <c r="E22" s="187">
        <v>0</v>
      </c>
      <c r="F22" s="188">
        <v>80</v>
      </c>
      <c r="G22" s="189">
        <v>0</v>
      </c>
      <c r="H22" s="189">
        <v>0</v>
      </c>
      <c r="I22" s="11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1595.2</v>
      </c>
      <c r="P22" s="190">
        <v>0</v>
      </c>
      <c r="Q22" s="190">
        <v>0</v>
      </c>
      <c r="R22" s="190">
        <v>0</v>
      </c>
      <c r="S22" s="190">
        <v>0</v>
      </c>
      <c r="T22" s="190">
        <v>1595.2</v>
      </c>
    </row>
    <row r="23" spans="1:20">
      <c r="A23" s="13">
        <v>19</v>
      </c>
      <c r="B23" s="196" t="s">
        <v>224</v>
      </c>
      <c r="C23" s="197"/>
      <c r="D23" s="187">
        <v>0</v>
      </c>
      <c r="E23" s="187">
        <v>16</v>
      </c>
      <c r="F23" s="188">
        <v>64</v>
      </c>
      <c r="G23" s="189">
        <v>0</v>
      </c>
      <c r="H23" s="189">
        <v>0</v>
      </c>
      <c r="I23" s="11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2420</v>
      </c>
      <c r="O23" s="190">
        <v>1276.1600000000001</v>
      </c>
      <c r="P23" s="190">
        <v>0</v>
      </c>
      <c r="Q23" s="190">
        <v>0</v>
      </c>
      <c r="R23" s="190">
        <v>0</v>
      </c>
      <c r="S23" s="190">
        <v>0</v>
      </c>
      <c r="T23" s="190">
        <v>3696.16</v>
      </c>
    </row>
    <row r="24" spans="1:20">
      <c r="A24" s="13">
        <v>20</v>
      </c>
      <c r="B24" s="196" t="s">
        <v>225</v>
      </c>
      <c r="C24" s="197"/>
      <c r="D24" s="187">
        <v>0</v>
      </c>
      <c r="E24" s="187">
        <v>16</v>
      </c>
      <c r="F24" s="188">
        <v>48</v>
      </c>
      <c r="G24" s="189">
        <v>0</v>
      </c>
      <c r="H24" s="189">
        <v>0</v>
      </c>
      <c r="I24" s="11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2420</v>
      </c>
      <c r="O24" s="190">
        <v>957.12</v>
      </c>
      <c r="P24" s="190">
        <v>0</v>
      </c>
      <c r="Q24" s="190">
        <v>0</v>
      </c>
      <c r="R24" s="190">
        <v>0</v>
      </c>
      <c r="S24" s="190">
        <v>0</v>
      </c>
      <c r="T24" s="190">
        <v>3377.12</v>
      </c>
    </row>
    <row r="25" spans="1:20">
      <c r="A25" s="13">
        <v>21</v>
      </c>
      <c r="B25" s="196" t="s">
        <v>226</v>
      </c>
      <c r="C25" s="197"/>
      <c r="D25" s="187">
        <v>0</v>
      </c>
      <c r="E25" s="187">
        <v>0</v>
      </c>
      <c r="F25" s="188">
        <v>48</v>
      </c>
      <c r="G25" s="189">
        <v>0</v>
      </c>
      <c r="H25" s="189">
        <v>0</v>
      </c>
      <c r="I25" s="11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957.12</v>
      </c>
      <c r="P25" s="190">
        <v>0</v>
      </c>
      <c r="Q25" s="190">
        <v>0</v>
      </c>
      <c r="R25" s="190">
        <v>0</v>
      </c>
      <c r="S25" s="190">
        <v>0</v>
      </c>
      <c r="T25" s="190">
        <v>957.12</v>
      </c>
    </row>
    <row r="26" spans="1:20">
      <c r="A26" s="13">
        <v>22</v>
      </c>
      <c r="B26" s="196" t="s">
        <v>227</v>
      </c>
      <c r="C26" s="197"/>
      <c r="D26" s="187">
        <v>0</v>
      </c>
      <c r="E26" s="187">
        <v>0</v>
      </c>
      <c r="F26" s="188">
        <v>48</v>
      </c>
      <c r="G26" s="189">
        <v>0</v>
      </c>
      <c r="H26" s="189">
        <v>0</v>
      </c>
      <c r="I26" s="11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957.12</v>
      </c>
      <c r="P26" s="190">
        <v>0</v>
      </c>
      <c r="Q26" s="190">
        <v>0</v>
      </c>
      <c r="R26" s="190">
        <v>0</v>
      </c>
      <c r="S26" s="190">
        <v>0</v>
      </c>
      <c r="T26" s="190">
        <v>957.12</v>
      </c>
    </row>
    <row r="27" spans="1:20">
      <c r="A27" s="13">
        <v>23</v>
      </c>
      <c r="B27" s="196" t="s">
        <v>228</v>
      </c>
      <c r="C27" s="197"/>
      <c r="D27" s="187">
        <v>0</v>
      </c>
      <c r="E27" s="187">
        <v>0</v>
      </c>
      <c r="F27" s="188">
        <v>48</v>
      </c>
      <c r="G27" s="189">
        <v>0</v>
      </c>
      <c r="H27" s="189">
        <v>0</v>
      </c>
      <c r="I27" s="11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957.12</v>
      </c>
      <c r="P27" s="190">
        <v>0</v>
      </c>
      <c r="Q27" s="190">
        <v>0</v>
      </c>
      <c r="R27" s="190">
        <v>0</v>
      </c>
      <c r="S27" s="190">
        <v>0</v>
      </c>
      <c r="T27" s="190">
        <v>957.12</v>
      </c>
    </row>
    <row r="28" spans="1:20">
      <c r="A28" s="13">
        <v>24</v>
      </c>
      <c r="B28" s="196" t="s">
        <v>229</v>
      </c>
      <c r="C28" s="197"/>
      <c r="D28" s="187">
        <v>0</v>
      </c>
      <c r="E28" s="187">
        <v>16</v>
      </c>
      <c r="F28" s="188">
        <v>32</v>
      </c>
      <c r="G28" s="189">
        <v>0</v>
      </c>
      <c r="H28" s="189">
        <v>0</v>
      </c>
      <c r="I28" s="11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2420</v>
      </c>
      <c r="O28" s="190">
        <v>638.08000000000004</v>
      </c>
      <c r="P28" s="190">
        <v>0</v>
      </c>
      <c r="Q28" s="190">
        <v>0</v>
      </c>
      <c r="R28" s="190">
        <v>0</v>
      </c>
      <c r="S28" s="190">
        <v>0</v>
      </c>
      <c r="T28" s="190">
        <v>3058.08</v>
      </c>
    </row>
    <row r="29" spans="1:20">
      <c r="A29" s="13">
        <v>25</v>
      </c>
      <c r="B29" s="196" t="s">
        <v>230</v>
      </c>
      <c r="C29" s="197"/>
      <c r="D29" s="187">
        <v>0</v>
      </c>
      <c r="E29" s="187">
        <v>0</v>
      </c>
      <c r="F29" s="188">
        <v>32</v>
      </c>
      <c r="G29" s="189">
        <v>0</v>
      </c>
      <c r="H29" s="189">
        <v>0</v>
      </c>
      <c r="I29" s="11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638.08000000000004</v>
      </c>
      <c r="P29" s="190">
        <v>0</v>
      </c>
      <c r="Q29" s="190">
        <v>0</v>
      </c>
      <c r="R29" s="190">
        <v>0</v>
      </c>
      <c r="S29" s="190">
        <v>0</v>
      </c>
      <c r="T29" s="190">
        <v>638.08000000000004</v>
      </c>
    </row>
    <row r="30" spans="1:20">
      <c r="A30" s="13">
        <v>26</v>
      </c>
      <c r="B30" s="196" t="s">
        <v>231</v>
      </c>
      <c r="C30" s="197"/>
      <c r="D30" s="187">
        <v>0</v>
      </c>
      <c r="E30" s="187">
        <v>16</v>
      </c>
      <c r="F30" s="188">
        <v>16</v>
      </c>
      <c r="G30" s="189">
        <v>0</v>
      </c>
      <c r="H30" s="189">
        <v>0</v>
      </c>
      <c r="I30" s="11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2420</v>
      </c>
      <c r="O30" s="190">
        <v>319.04000000000002</v>
      </c>
      <c r="P30" s="190">
        <v>0</v>
      </c>
      <c r="Q30" s="190">
        <v>0</v>
      </c>
      <c r="R30" s="190">
        <v>0</v>
      </c>
      <c r="S30" s="190">
        <v>0</v>
      </c>
      <c r="T30" s="190">
        <v>2739.04</v>
      </c>
    </row>
    <row r="31" spans="1:20">
      <c r="A31" s="13">
        <v>27</v>
      </c>
      <c r="B31" s="196" t="s">
        <v>232</v>
      </c>
      <c r="C31" s="197"/>
      <c r="D31" s="187">
        <v>0</v>
      </c>
      <c r="E31" s="187">
        <v>0</v>
      </c>
      <c r="F31" s="188">
        <v>16</v>
      </c>
      <c r="G31" s="189">
        <v>0</v>
      </c>
      <c r="H31" s="189">
        <v>0</v>
      </c>
      <c r="I31" s="11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319.04000000000002</v>
      </c>
      <c r="P31" s="190">
        <v>0</v>
      </c>
      <c r="Q31" s="190">
        <v>0</v>
      </c>
      <c r="R31" s="190">
        <v>0</v>
      </c>
      <c r="S31" s="190">
        <v>0</v>
      </c>
      <c r="T31" s="190">
        <v>319.04000000000002</v>
      </c>
    </row>
    <row r="32" spans="1:20">
      <c r="A32" s="13">
        <v>28</v>
      </c>
      <c r="B32" s="196" t="s">
        <v>233</v>
      </c>
      <c r="C32" s="197"/>
      <c r="D32" s="187">
        <v>0</v>
      </c>
      <c r="E32" s="187">
        <v>0</v>
      </c>
      <c r="F32" s="188">
        <v>16</v>
      </c>
      <c r="G32" s="189">
        <v>0</v>
      </c>
      <c r="H32" s="189">
        <v>0</v>
      </c>
      <c r="I32" s="11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319.04000000000002</v>
      </c>
      <c r="P32" s="190">
        <v>0</v>
      </c>
      <c r="Q32" s="190">
        <v>0</v>
      </c>
      <c r="R32" s="190">
        <v>0</v>
      </c>
      <c r="S32" s="190">
        <v>0</v>
      </c>
      <c r="T32" s="190">
        <v>319.04000000000002</v>
      </c>
    </row>
    <row r="33" spans="1:20">
      <c r="A33" s="13">
        <v>29</v>
      </c>
      <c r="B33" s="196" t="s">
        <v>234</v>
      </c>
      <c r="C33" s="197"/>
      <c r="D33" s="187">
        <v>0</v>
      </c>
      <c r="E33" s="187">
        <v>0</v>
      </c>
      <c r="F33" s="188">
        <v>16</v>
      </c>
      <c r="G33" s="189">
        <v>0</v>
      </c>
      <c r="H33" s="189">
        <v>0</v>
      </c>
      <c r="I33" s="11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319.04000000000002</v>
      </c>
      <c r="P33" s="190">
        <v>0</v>
      </c>
      <c r="Q33" s="190">
        <v>0</v>
      </c>
      <c r="R33" s="190">
        <v>0</v>
      </c>
      <c r="S33" s="190">
        <v>0</v>
      </c>
      <c r="T33" s="190">
        <v>319.04000000000002</v>
      </c>
    </row>
    <row r="34" spans="1:20">
      <c r="A34" s="13">
        <v>30</v>
      </c>
      <c r="B34" s="196" t="s">
        <v>235</v>
      </c>
      <c r="C34" s="197"/>
      <c r="D34" s="187">
        <v>0</v>
      </c>
      <c r="E34" s="187">
        <v>0</v>
      </c>
      <c r="F34" s="188">
        <v>16</v>
      </c>
      <c r="G34" s="189">
        <v>0</v>
      </c>
      <c r="H34" s="189">
        <v>0</v>
      </c>
      <c r="I34" s="11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319.04000000000002</v>
      </c>
      <c r="P34" s="190">
        <v>0</v>
      </c>
      <c r="Q34" s="190">
        <v>0</v>
      </c>
      <c r="R34" s="190">
        <v>0</v>
      </c>
      <c r="S34" s="190">
        <v>0</v>
      </c>
      <c r="T34" s="190">
        <v>319.04000000000002</v>
      </c>
    </row>
    <row r="35" spans="1:20">
      <c r="A35" s="13">
        <v>31</v>
      </c>
      <c r="B35" s="196"/>
      <c r="C35" s="197"/>
      <c r="D35" s="187">
        <v>0</v>
      </c>
      <c r="E35" s="187">
        <v>0</v>
      </c>
      <c r="F35" s="188">
        <v>0</v>
      </c>
      <c r="G35" s="189">
        <v>0</v>
      </c>
      <c r="H35" s="189">
        <v>0</v>
      </c>
      <c r="I35" s="11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9">
        <v>0</v>
      </c>
      <c r="E36" s="19">
        <v>160</v>
      </c>
      <c r="F36" s="19">
        <v>2896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1">
        <v>0</v>
      </c>
      <c r="M36" s="191">
        <v>0</v>
      </c>
      <c r="N36" s="191">
        <v>24200</v>
      </c>
      <c r="O36" s="191">
        <v>57746.239999999998</v>
      </c>
      <c r="P36" s="191">
        <v>0</v>
      </c>
      <c r="Q36" s="191">
        <v>0</v>
      </c>
      <c r="R36" s="191">
        <v>0</v>
      </c>
      <c r="S36" s="191">
        <v>0</v>
      </c>
      <c r="T36" s="191">
        <v>81946.240000000005</v>
      </c>
    </row>
    <row r="37" spans="1:20">
      <c r="R37" s="21"/>
      <c r="S37" s="21"/>
      <c r="T37" s="192">
        <v>98335.49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7FFB-CF0F-4EAD-8E40-43EF93E29805}">
  <sheetPr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236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145</v>
      </c>
      <c r="E3" s="269" t="s">
        <v>146</v>
      </c>
      <c r="F3" s="193" t="s">
        <v>4</v>
      </c>
      <c r="G3" s="269" t="s">
        <v>202</v>
      </c>
      <c r="H3" s="269" t="s">
        <v>203</v>
      </c>
      <c r="I3" s="269" t="s">
        <v>7</v>
      </c>
      <c r="J3" s="269" t="s">
        <v>8</v>
      </c>
      <c r="K3" s="269" t="s">
        <v>204</v>
      </c>
      <c r="L3" s="269" t="s">
        <v>205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 ht="30">
      <c r="A4" s="199"/>
      <c r="B4" s="204"/>
      <c r="C4" s="205"/>
      <c r="D4" s="199"/>
      <c r="E4" s="199"/>
      <c r="F4" s="5" t="s">
        <v>155</v>
      </c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87">
        <v>35</v>
      </c>
      <c r="E5" s="187">
        <v>48</v>
      </c>
      <c r="F5" s="188">
        <v>4554</v>
      </c>
      <c r="G5" s="189">
        <v>2366</v>
      </c>
      <c r="H5" s="189">
        <v>542</v>
      </c>
      <c r="I5" s="11">
        <v>0</v>
      </c>
      <c r="J5" s="11">
        <v>0</v>
      </c>
      <c r="K5" s="11">
        <v>0</v>
      </c>
      <c r="L5" s="190">
        <v>0</v>
      </c>
      <c r="M5" s="190">
        <v>5293.75</v>
      </c>
      <c r="N5" s="190">
        <v>7260</v>
      </c>
      <c r="O5" s="190">
        <v>90806.76</v>
      </c>
      <c r="P5" s="190">
        <v>47178.04</v>
      </c>
      <c r="Q5" s="190">
        <v>81977.5</v>
      </c>
      <c r="R5" s="190">
        <v>0</v>
      </c>
      <c r="S5" s="190">
        <v>0</v>
      </c>
      <c r="T5" s="190">
        <v>232516.05</v>
      </c>
    </row>
    <row r="6" spans="1:20">
      <c r="A6" s="13">
        <v>2</v>
      </c>
      <c r="B6" s="196" t="s">
        <v>207</v>
      </c>
      <c r="C6" s="197"/>
      <c r="D6" s="187">
        <v>76</v>
      </c>
      <c r="E6" s="187">
        <v>0</v>
      </c>
      <c r="F6" s="188">
        <v>4630</v>
      </c>
      <c r="G6" s="189">
        <v>2290</v>
      </c>
      <c r="H6" s="189">
        <v>549</v>
      </c>
      <c r="I6" s="11">
        <v>0</v>
      </c>
      <c r="J6" s="11">
        <v>0</v>
      </c>
      <c r="K6" s="11">
        <v>0</v>
      </c>
      <c r="L6" s="190">
        <v>0</v>
      </c>
      <c r="M6" s="190">
        <v>11495</v>
      </c>
      <c r="N6" s="190">
        <v>0</v>
      </c>
      <c r="O6" s="190">
        <v>92322.2</v>
      </c>
      <c r="P6" s="190">
        <v>45662.6</v>
      </c>
      <c r="Q6" s="190">
        <v>83036.25</v>
      </c>
      <c r="R6" s="190">
        <v>0</v>
      </c>
      <c r="S6" s="190">
        <v>0</v>
      </c>
      <c r="T6" s="190">
        <v>232516.05</v>
      </c>
    </row>
    <row r="7" spans="1:20">
      <c r="A7" s="13">
        <v>3</v>
      </c>
      <c r="B7" s="196" t="s">
        <v>208</v>
      </c>
      <c r="C7" s="197"/>
      <c r="D7" s="187">
        <v>34</v>
      </c>
      <c r="E7" s="187">
        <v>0</v>
      </c>
      <c r="F7" s="188">
        <v>4664</v>
      </c>
      <c r="G7" s="189">
        <v>2256</v>
      </c>
      <c r="H7" s="189">
        <v>591</v>
      </c>
      <c r="I7" s="11">
        <v>0</v>
      </c>
      <c r="J7" s="11">
        <v>0</v>
      </c>
      <c r="K7" s="11">
        <v>0</v>
      </c>
      <c r="L7" s="190">
        <v>0</v>
      </c>
      <c r="M7" s="190">
        <v>5142.5</v>
      </c>
      <c r="N7" s="190">
        <v>0</v>
      </c>
      <c r="O7" s="190">
        <v>93000.16</v>
      </c>
      <c r="P7" s="190">
        <v>44984.639999999999</v>
      </c>
      <c r="Q7" s="190">
        <v>89388.75</v>
      </c>
      <c r="R7" s="190">
        <v>0</v>
      </c>
      <c r="S7" s="190">
        <v>0</v>
      </c>
      <c r="T7" s="190">
        <v>232516.05</v>
      </c>
    </row>
    <row r="8" spans="1:20">
      <c r="A8" s="13">
        <v>4</v>
      </c>
      <c r="B8" s="196" t="s">
        <v>209</v>
      </c>
      <c r="C8" s="197"/>
      <c r="D8" s="187">
        <v>15</v>
      </c>
      <c r="E8" s="187">
        <v>19</v>
      </c>
      <c r="F8" s="188">
        <v>4660</v>
      </c>
      <c r="G8" s="189">
        <v>2260</v>
      </c>
      <c r="H8" s="189">
        <v>591</v>
      </c>
      <c r="I8" s="11">
        <v>0</v>
      </c>
      <c r="J8" s="11">
        <v>0</v>
      </c>
      <c r="K8" s="11">
        <v>0</v>
      </c>
      <c r="L8" s="190">
        <v>0</v>
      </c>
      <c r="M8" s="190">
        <v>2268.75</v>
      </c>
      <c r="N8" s="190">
        <v>2873.75</v>
      </c>
      <c r="O8" s="190">
        <v>92920.4</v>
      </c>
      <c r="P8" s="190">
        <v>45064.4</v>
      </c>
      <c r="Q8" s="190">
        <v>89388.75</v>
      </c>
      <c r="R8" s="190">
        <v>0</v>
      </c>
      <c r="S8" s="190">
        <v>0</v>
      </c>
      <c r="T8" s="190">
        <v>232516.05</v>
      </c>
    </row>
    <row r="9" spans="1:20">
      <c r="A9" s="13">
        <v>5</v>
      </c>
      <c r="B9" s="196" t="s">
        <v>210</v>
      </c>
      <c r="C9" s="197"/>
      <c r="D9" s="187">
        <v>195</v>
      </c>
      <c r="E9" s="187">
        <v>19</v>
      </c>
      <c r="F9" s="188">
        <v>4836</v>
      </c>
      <c r="G9" s="189">
        <v>2084</v>
      </c>
      <c r="H9" s="189">
        <v>411</v>
      </c>
      <c r="I9" s="11">
        <v>0</v>
      </c>
      <c r="J9" s="11">
        <v>0</v>
      </c>
      <c r="K9" s="11">
        <v>0</v>
      </c>
      <c r="L9" s="190">
        <v>0</v>
      </c>
      <c r="M9" s="190">
        <v>29493.75</v>
      </c>
      <c r="N9" s="190">
        <v>2873.75</v>
      </c>
      <c r="O9" s="190">
        <v>96429.84</v>
      </c>
      <c r="P9" s="190">
        <v>41554.959999999999</v>
      </c>
      <c r="Q9" s="190">
        <v>62163.75</v>
      </c>
      <c r="R9" s="190">
        <v>0</v>
      </c>
      <c r="S9" s="190">
        <v>0</v>
      </c>
      <c r="T9" s="190">
        <v>232516.05</v>
      </c>
    </row>
    <row r="10" spans="1:20">
      <c r="A10" s="13">
        <v>6</v>
      </c>
      <c r="B10" s="196" t="s">
        <v>211</v>
      </c>
      <c r="C10" s="197"/>
      <c r="D10" s="187">
        <v>182</v>
      </c>
      <c r="E10" s="187">
        <v>54</v>
      </c>
      <c r="F10" s="188">
        <v>4964</v>
      </c>
      <c r="G10" s="189">
        <v>1956</v>
      </c>
      <c r="H10" s="189">
        <v>389</v>
      </c>
      <c r="I10" s="11">
        <v>0</v>
      </c>
      <c r="J10" s="11">
        <v>0</v>
      </c>
      <c r="K10" s="11">
        <v>0</v>
      </c>
      <c r="L10" s="190">
        <v>0</v>
      </c>
      <c r="M10" s="190">
        <v>27527.5</v>
      </c>
      <c r="N10" s="190">
        <v>8167.5</v>
      </c>
      <c r="O10" s="190">
        <v>98982.16</v>
      </c>
      <c r="P10" s="190">
        <v>39002.639999999999</v>
      </c>
      <c r="Q10" s="190">
        <v>58836.25</v>
      </c>
      <c r="R10" s="190">
        <v>0</v>
      </c>
      <c r="S10" s="190">
        <v>0</v>
      </c>
      <c r="T10" s="190">
        <v>232516.05</v>
      </c>
    </row>
    <row r="11" spans="1:20">
      <c r="A11" s="13">
        <v>7</v>
      </c>
      <c r="B11" s="196" t="s">
        <v>212</v>
      </c>
      <c r="C11" s="197"/>
      <c r="D11" s="187">
        <v>125</v>
      </c>
      <c r="E11" s="187">
        <v>69</v>
      </c>
      <c r="F11" s="188">
        <v>5020</v>
      </c>
      <c r="G11" s="189">
        <v>1900</v>
      </c>
      <c r="H11" s="189">
        <v>431</v>
      </c>
      <c r="I11" s="11">
        <v>0</v>
      </c>
      <c r="J11" s="11">
        <v>0</v>
      </c>
      <c r="K11" s="11">
        <v>0</v>
      </c>
      <c r="L11" s="190">
        <v>0</v>
      </c>
      <c r="M11" s="190">
        <v>18906.25</v>
      </c>
      <c r="N11" s="190">
        <v>10436.25</v>
      </c>
      <c r="O11" s="190">
        <v>100098.8</v>
      </c>
      <c r="P11" s="190">
        <v>37886</v>
      </c>
      <c r="Q11" s="190">
        <v>65188.75</v>
      </c>
      <c r="R11" s="190">
        <v>0</v>
      </c>
      <c r="S11" s="190">
        <v>0</v>
      </c>
      <c r="T11" s="190">
        <v>232516.05</v>
      </c>
    </row>
    <row r="12" spans="1:20">
      <c r="A12" s="13">
        <v>8</v>
      </c>
      <c r="B12" s="196" t="s">
        <v>213</v>
      </c>
      <c r="C12" s="197"/>
      <c r="D12" s="187">
        <v>0</v>
      </c>
      <c r="E12" s="187">
        <v>0</v>
      </c>
      <c r="F12" s="188">
        <v>5020</v>
      </c>
      <c r="G12" s="189">
        <v>1900</v>
      </c>
      <c r="H12" s="189">
        <v>625</v>
      </c>
      <c r="I12" s="11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100098.8</v>
      </c>
      <c r="P12" s="190">
        <v>37886</v>
      </c>
      <c r="Q12" s="190">
        <v>94531.25</v>
      </c>
      <c r="R12" s="190">
        <v>0</v>
      </c>
      <c r="S12" s="190">
        <v>0</v>
      </c>
      <c r="T12" s="190">
        <v>232516.05</v>
      </c>
    </row>
    <row r="13" spans="1:20">
      <c r="A13" s="13">
        <v>9</v>
      </c>
      <c r="B13" s="196" t="s">
        <v>214</v>
      </c>
      <c r="C13" s="197"/>
      <c r="D13" s="187">
        <v>0</v>
      </c>
      <c r="E13" s="187">
        <v>0</v>
      </c>
      <c r="F13" s="188">
        <v>5020</v>
      </c>
      <c r="G13" s="189">
        <v>1900</v>
      </c>
      <c r="H13" s="189">
        <v>625</v>
      </c>
      <c r="I13" s="11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100098.8</v>
      </c>
      <c r="P13" s="190">
        <v>37886</v>
      </c>
      <c r="Q13" s="190">
        <v>94531.25</v>
      </c>
      <c r="R13" s="190">
        <v>0</v>
      </c>
      <c r="S13" s="190">
        <v>0</v>
      </c>
      <c r="T13" s="190">
        <v>232516.05</v>
      </c>
    </row>
    <row r="14" spans="1:20">
      <c r="A14" s="13">
        <v>10</v>
      </c>
      <c r="B14" s="196" t="s">
        <v>215</v>
      </c>
      <c r="C14" s="197"/>
      <c r="D14" s="187">
        <v>124</v>
      </c>
      <c r="E14" s="187">
        <v>83</v>
      </c>
      <c r="F14" s="188">
        <v>5061</v>
      </c>
      <c r="G14" s="189">
        <v>1859</v>
      </c>
      <c r="H14" s="189">
        <v>418</v>
      </c>
      <c r="I14" s="11">
        <v>0</v>
      </c>
      <c r="J14" s="11">
        <v>0</v>
      </c>
      <c r="K14" s="11">
        <v>0</v>
      </c>
      <c r="L14" s="190">
        <v>0</v>
      </c>
      <c r="M14" s="190">
        <v>18755</v>
      </c>
      <c r="N14" s="190">
        <v>12553.75</v>
      </c>
      <c r="O14" s="190">
        <v>100916.34</v>
      </c>
      <c r="P14" s="190">
        <v>37068.46</v>
      </c>
      <c r="Q14" s="190">
        <v>63222.5</v>
      </c>
      <c r="R14" s="190">
        <v>0</v>
      </c>
      <c r="S14" s="190">
        <v>0</v>
      </c>
      <c r="T14" s="190">
        <v>232516.05</v>
      </c>
    </row>
    <row r="15" spans="1:20">
      <c r="A15" s="13">
        <v>11</v>
      </c>
      <c r="B15" s="196" t="s">
        <v>216</v>
      </c>
      <c r="C15" s="197"/>
      <c r="D15" s="187">
        <v>46</v>
      </c>
      <c r="E15" s="187">
        <v>75</v>
      </c>
      <c r="F15" s="188">
        <v>5032</v>
      </c>
      <c r="G15" s="189">
        <v>1888</v>
      </c>
      <c r="H15" s="189">
        <v>504</v>
      </c>
      <c r="I15" s="11">
        <v>0</v>
      </c>
      <c r="J15" s="11">
        <v>0</v>
      </c>
      <c r="K15" s="11">
        <v>0</v>
      </c>
      <c r="L15" s="190">
        <v>0</v>
      </c>
      <c r="M15" s="190">
        <v>6957.5</v>
      </c>
      <c r="N15" s="190">
        <v>11343.75</v>
      </c>
      <c r="O15" s="190">
        <v>100338.08</v>
      </c>
      <c r="P15" s="190">
        <v>37646.720000000001</v>
      </c>
      <c r="Q15" s="190">
        <v>76230</v>
      </c>
      <c r="R15" s="190">
        <v>0</v>
      </c>
      <c r="S15" s="190">
        <v>0</v>
      </c>
      <c r="T15" s="190">
        <v>232516.05</v>
      </c>
    </row>
    <row r="16" spans="1:20">
      <c r="A16" s="13">
        <v>12</v>
      </c>
      <c r="B16" s="196" t="s">
        <v>217</v>
      </c>
      <c r="C16" s="197"/>
      <c r="D16" s="187">
        <v>60</v>
      </c>
      <c r="E16" s="187">
        <v>7</v>
      </c>
      <c r="F16" s="188">
        <v>5085</v>
      </c>
      <c r="G16" s="189">
        <v>1835</v>
      </c>
      <c r="H16" s="189">
        <v>558</v>
      </c>
      <c r="I16" s="11">
        <v>0</v>
      </c>
      <c r="J16" s="11">
        <v>0</v>
      </c>
      <c r="K16" s="11">
        <v>0</v>
      </c>
      <c r="L16" s="190">
        <v>0</v>
      </c>
      <c r="M16" s="190">
        <v>9075</v>
      </c>
      <c r="N16" s="190">
        <v>1058.75</v>
      </c>
      <c r="O16" s="190">
        <v>101394.9</v>
      </c>
      <c r="P16" s="190">
        <v>36589.9</v>
      </c>
      <c r="Q16" s="190">
        <v>84397.5</v>
      </c>
      <c r="R16" s="190">
        <v>0</v>
      </c>
      <c r="S16" s="190">
        <v>0</v>
      </c>
      <c r="T16" s="190">
        <v>232516.05</v>
      </c>
    </row>
    <row r="17" spans="1:20">
      <c r="A17" s="13">
        <v>13</v>
      </c>
      <c r="B17" s="196" t="s">
        <v>218</v>
      </c>
      <c r="C17" s="197"/>
      <c r="D17" s="187">
        <v>61</v>
      </c>
      <c r="E17" s="187">
        <v>63</v>
      </c>
      <c r="F17" s="188">
        <v>5083</v>
      </c>
      <c r="G17" s="189">
        <v>1837</v>
      </c>
      <c r="H17" s="189">
        <v>501</v>
      </c>
      <c r="I17" s="11">
        <v>0</v>
      </c>
      <c r="J17" s="11">
        <v>0</v>
      </c>
      <c r="K17" s="11">
        <v>0</v>
      </c>
      <c r="L17" s="190">
        <v>0</v>
      </c>
      <c r="M17" s="190">
        <v>9226.25</v>
      </c>
      <c r="N17" s="190">
        <v>9528.75</v>
      </c>
      <c r="O17" s="190">
        <v>101355.02</v>
      </c>
      <c r="P17" s="190">
        <v>36629.78</v>
      </c>
      <c r="Q17" s="190">
        <v>75776.25</v>
      </c>
      <c r="R17" s="190">
        <v>0</v>
      </c>
      <c r="S17" s="190">
        <v>0</v>
      </c>
      <c r="T17" s="190">
        <v>232516.05</v>
      </c>
    </row>
    <row r="18" spans="1:20">
      <c r="A18" s="13">
        <v>14</v>
      </c>
      <c r="B18" s="196" t="s">
        <v>219</v>
      </c>
      <c r="C18" s="197"/>
      <c r="D18" s="187">
        <v>34</v>
      </c>
      <c r="E18" s="187">
        <v>0</v>
      </c>
      <c r="F18" s="188">
        <v>5117</v>
      </c>
      <c r="G18" s="189">
        <v>1803</v>
      </c>
      <c r="H18" s="189">
        <v>591</v>
      </c>
      <c r="I18" s="11">
        <v>0</v>
      </c>
      <c r="J18" s="11">
        <v>0</v>
      </c>
      <c r="K18" s="11">
        <v>0</v>
      </c>
      <c r="L18" s="190">
        <v>0</v>
      </c>
      <c r="M18" s="190">
        <v>5142.5</v>
      </c>
      <c r="N18" s="190">
        <v>0</v>
      </c>
      <c r="O18" s="190">
        <v>102032.98</v>
      </c>
      <c r="P18" s="190">
        <v>35951.82</v>
      </c>
      <c r="Q18" s="190">
        <v>89388.75</v>
      </c>
      <c r="R18" s="190">
        <v>0</v>
      </c>
      <c r="S18" s="190">
        <v>0</v>
      </c>
      <c r="T18" s="190">
        <v>232516.05</v>
      </c>
    </row>
    <row r="19" spans="1:20">
      <c r="A19" s="13">
        <v>15</v>
      </c>
      <c r="B19" s="196" t="s">
        <v>220</v>
      </c>
      <c r="C19" s="197"/>
      <c r="D19" s="187">
        <v>97</v>
      </c>
      <c r="E19" s="187">
        <v>0</v>
      </c>
      <c r="F19" s="188">
        <v>5214</v>
      </c>
      <c r="G19" s="189">
        <v>1706</v>
      </c>
      <c r="H19" s="189">
        <v>528</v>
      </c>
      <c r="I19" s="11">
        <v>0</v>
      </c>
      <c r="J19" s="11">
        <v>0</v>
      </c>
      <c r="K19" s="11">
        <v>0</v>
      </c>
      <c r="L19" s="190">
        <v>0</v>
      </c>
      <c r="M19" s="190">
        <v>14671.25</v>
      </c>
      <c r="N19" s="190">
        <v>0</v>
      </c>
      <c r="O19" s="190">
        <v>103967.16</v>
      </c>
      <c r="P19" s="190">
        <v>34017.64</v>
      </c>
      <c r="Q19" s="190">
        <v>79860</v>
      </c>
      <c r="R19" s="190">
        <v>0</v>
      </c>
      <c r="S19" s="190">
        <v>0</v>
      </c>
      <c r="T19" s="190">
        <v>232516.05</v>
      </c>
    </row>
    <row r="20" spans="1:20">
      <c r="A20" s="13">
        <v>16</v>
      </c>
      <c r="B20" s="196" t="s">
        <v>221</v>
      </c>
      <c r="C20" s="197"/>
      <c r="D20" s="187">
        <v>32</v>
      </c>
      <c r="E20" s="187">
        <v>57</v>
      </c>
      <c r="F20" s="188">
        <v>5189</v>
      </c>
      <c r="G20" s="189">
        <v>1731</v>
      </c>
      <c r="H20" s="189">
        <v>536</v>
      </c>
      <c r="I20" s="11">
        <v>0</v>
      </c>
      <c r="J20" s="11">
        <v>0</v>
      </c>
      <c r="K20" s="11">
        <v>0</v>
      </c>
      <c r="L20" s="190">
        <v>0</v>
      </c>
      <c r="M20" s="190">
        <v>4840</v>
      </c>
      <c r="N20" s="190">
        <v>8621.25</v>
      </c>
      <c r="O20" s="190">
        <v>103468.66</v>
      </c>
      <c r="P20" s="190">
        <v>34516.14</v>
      </c>
      <c r="Q20" s="190">
        <v>81070</v>
      </c>
      <c r="R20" s="190">
        <v>0</v>
      </c>
      <c r="S20" s="190">
        <v>0</v>
      </c>
      <c r="T20" s="190">
        <v>232516.05</v>
      </c>
    </row>
    <row r="21" spans="1:20">
      <c r="A21" s="13">
        <v>17</v>
      </c>
      <c r="B21" s="196" t="s">
        <v>222</v>
      </c>
      <c r="C21" s="197"/>
      <c r="D21" s="187">
        <v>0</v>
      </c>
      <c r="E21" s="187">
        <v>112</v>
      </c>
      <c r="F21" s="188">
        <v>5077</v>
      </c>
      <c r="G21" s="189">
        <v>1843</v>
      </c>
      <c r="H21" s="189">
        <v>513</v>
      </c>
      <c r="I21" s="11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16940</v>
      </c>
      <c r="O21" s="190">
        <v>101235.38</v>
      </c>
      <c r="P21" s="190">
        <v>36749.42</v>
      </c>
      <c r="Q21" s="190">
        <v>77591.25</v>
      </c>
      <c r="R21" s="190">
        <v>0</v>
      </c>
      <c r="S21" s="190">
        <v>0</v>
      </c>
      <c r="T21" s="190">
        <v>232516.05</v>
      </c>
    </row>
    <row r="22" spans="1:20">
      <c r="A22" s="13">
        <v>18</v>
      </c>
      <c r="B22" s="196" t="s">
        <v>223</v>
      </c>
      <c r="C22" s="197"/>
      <c r="D22" s="187">
        <v>0</v>
      </c>
      <c r="E22" s="187">
        <v>221</v>
      </c>
      <c r="F22" s="188">
        <v>4856</v>
      </c>
      <c r="G22" s="189">
        <v>2064</v>
      </c>
      <c r="H22" s="189">
        <v>404</v>
      </c>
      <c r="I22" s="11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33426.25</v>
      </c>
      <c r="O22" s="190">
        <v>96828.64</v>
      </c>
      <c r="P22" s="190">
        <v>41156.160000000003</v>
      </c>
      <c r="Q22" s="190">
        <v>61105</v>
      </c>
      <c r="R22" s="190">
        <v>0</v>
      </c>
      <c r="S22" s="190">
        <v>0</v>
      </c>
      <c r="T22" s="190">
        <v>232516.05</v>
      </c>
    </row>
    <row r="23" spans="1:20">
      <c r="A23" s="13">
        <v>19</v>
      </c>
      <c r="B23" s="196" t="s">
        <v>224</v>
      </c>
      <c r="C23" s="197"/>
      <c r="D23" s="187">
        <v>15</v>
      </c>
      <c r="E23" s="187">
        <v>96</v>
      </c>
      <c r="F23" s="188">
        <v>4775</v>
      </c>
      <c r="G23" s="189">
        <v>2145</v>
      </c>
      <c r="H23" s="189">
        <v>514</v>
      </c>
      <c r="I23" s="11">
        <v>0</v>
      </c>
      <c r="J23" s="11">
        <v>0</v>
      </c>
      <c r="K23" s="11">
        <v>0</v>
      </c>
      <c r="L23" s="190">
        <v>0</v>
      </c>
      <c r="M23" s="190">
        <v>2268.75</v>
      </c>
      <c r="N23" s="190">
        <v>14520</v>
      </c>
      <c r="O23" s="190">
        <v>95213.5</v>
      </c>
      <c r="P23" s="190">
        <v>42771.3</v>
      </c>
      <c r="Q23" s="190">
        <v>77742.5</v>
      </c>
      <c r="R23" s="190">
        <v>0</v>
      </c>
      <c r="S23" s="190">
        <v>0</v>
      </c>
      <c r="T23" s="190">
        <v>232516.05</v>
      </c>
    </row>
    <row r="24" spans="1:20">
      <c r="A24" s="13">
        <v>20</v>
      </c>
      <c r="B24" s="196" t="s">
        <v>225</v>
      </c>
      <c r="C24" s="197"/>
      <c r="D24" s="187">
        <v>0</v>
      </c>
      <c r="E24" s="187">
        <v>78</v>
      </c>
      <c r="F24" s="188">
        <v>4697</v>
      </c>
      <c r="G24" s="189">
        <v>2223</v>
      </c>
      <c r="H24" s="189">
        <v>547</v>
      </c>
      <c r="I24" s="11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11797.5</v>
      </c>
      <c r="O24" s="190">
        <v>93658.18</v>
      </c>
      <c r="P24" s="190">
        <v>44326.62</v>
      </c>
      <c r="Q24" s="190">
        <v>82733.75</v>
      </c>
      <c r="R24" s="190">
        <v>0</v>
      </c>
      <c r="S24" s="190">
        <v>0</v>
      </c>
      <c r="T24" s="190">
        <v>232516.05</v>
      </c>
    </row>
    <row r="25" spans="1:20">
      <c r="A25" s="13">
        <v>21</v>
      </c>
      <c r="B25" s="196" t="s">
        <v>226</v>
      </c>
      <c r="C25" s="197"/>
      <c r="D25" s="187">
        <v>120</v>
      </c>
      <c r="E25" s="187">
        <v>18</v>
      </c>
      <c r="F25" s="188">
        <v>4799</v>
      </c>
      <c r="G25" s="189">
        <v>2121</v>
      </c>
      <c r="H25" s="189">
        <v>487</v>
      </c>
      <c r="I25" s="11">
        <v>0</v>
      </c>
      <c r="J25" s="11">
        <v>0</v>
      </c>
      <c r="K25" s="11">
        <v>0</v>
      </c>
      <c r="L25" s="190">
        <v>0</v>
      </c>
      <c r="M25" s="190">
        <v>18150</v>
      </c>
      <c r="N25" s="190">
        <v>2722.5</v>
      </c>
      <c r="O25" s="190">
        <v>95692.06</v>
      </c>
      <c r="P25" s="190">
        <v>42292.74</v>
      </c>
      <c r="Q25" s="190">
        <v>73658.75</v>
      </c>
      <c r="R25" s="190">
        <v>0</v>
      </c>
      <c r="S25" s="190">
        <v>0</v>
      </c>
      <c r="T25" s="190">
        <v>232516.05</v>
      </c>
    </row>
    <row r="26" spans="1:20">
      <c r="A26" s="13">
        <v>22</v>
      </c>
      <c r="B26" s="196" t="s">
        <v>227</v>
      </c>
      <c r="C26" s="197"/>
      <c r="D26" s="187">
        <v>15</v>
      </c>
      <c r="E26" s="187">
        <v>86</v>
      </c>
      <c r="F26" s="188">
        <v>4728</v>
      </c>
      <c r="G26" s="189">
        <v>2192</v>
      </c>
      <c r="H26" s="189">
        <v>524</v>
      </c>
      <c r="I26" s="11">
        <v>0</v>
      </c>
      <c r="J26" s="11">
        <v>0</v>
      </c>
      <c r="K26" s="11">
        <v>0</v>
      </c>
      <c r="L26" s="190">
        <v>0</v>
      </c>
      <c r="M26" s="190">
        <v>2268.75</v>
      </c>
      <c r="N26" s="190">
        <v>13007.5</v>
      </c>
      <c r="O26" s="190">
        <v>94276.32</v>
      </c>
      <c r="P26" s="190">
        <v>43708.480000000003</v>
      </c>
      <c r="Q26" s="190">
        <v>79255</v>
      </c>
      <c r="R26" s="190">
        <v>0</v>
      </c>
      <c r="S26" s="190">
        <v>0</v>
      </c>
      <c r="T26" s="190">
        <v>232516.05</v>
      </c>
    </row>
    <row r="27" spans="1:20">
      <c r="A27" s="13">
        <v>23</v>
      </c>
      <c r="B27" s="196" t="s">
        <v>228</v>
      </c>
      <c r="C27" s="197"/>
      <c r="D27" s="187">
        <v>46</v>
      </c>
      <c r="E27" s="187">
        <v>19</v>
      </c>
      <c r="F27" s="188">
        <v>4755</v>
      </c>
      <c r="G27" s="189">
        <v>2165</v>
      </c>
      <c r="H27" s="189">
        <v>560</v>
      </c>
      <c r="I27" s="11">
        <v>0</v>
      </c>
      <c r="J27" s="11">
        <v>0</v>
      </c>
      <c r="K27" s="11">
        <v>0</v>
      </c>
      <c r="L27" s="190">
        <v>0</v>
      </c>
      <c r="M27" s="190">
        <v>6957.5</v>
      </c>
      <c r="N27" s="190">
        <v>2873.75</v>
      </c>
      <c r="O27" s="190">
        <v>94814.7</v>
      </c>
      <c r="P27" s="190">
        <v>43170.1</v>
      </c>
      <c r="Q27" s="190">
        <v>84700</v>
      </c>
      <c r="R27" s="190">
        <v>0</v>
      </c>
      <c r="S27" s="190">
        <v>0</v>
      </c>
      <c r="T27" s="190">
        <v>232516.05</v>
      </c>
    </row>
    <row r="28" spans="1:20">
      <c r="A28" s="13">
        <v>24</v>
      </c>
      <c r="B28" s="196" t="s">
        <v>229</v>
      </c>
      <c r="C28" s="197"/>
      <c r="D28" s="187">
        <v>0</v>
      </c>
      <c r="E28" s="187">
        <v>38</v>
      </c>
      <c r="F28" s="188">
        <v>4717</v>
      </c>
      <c r="G28" s="189">
        <v>2203</v>
      </c>
      <c r="H28" s="189">
        <v>587</v>
      </c>
      <c r="I28" s="11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5747.5</v>
      </c>
      <c r="O28" s="190">
        <v>94056.98</v>
      </c>
      <c r="P28" s="190">
        <v>43927.82</v>
      </c>
      <c r="Q28" s="190">
        <v>88783.75</v>
      </c>
      <c r="R28" s="190">
        <v>0</v>
      </c>
      <c r="S28" s="190">
        <v>0</v>
      </c>
      <c r="T28" s="190">
        <v>232516.05</v>
      </c>
    </row>
    <row r="29" spans="1:20">
      <c r="A29" s="13">
        <v>25</v>
      </c>
      <c r="B29" s="196" t="s">
        <v>230</v>
      </c>
      <c r="C29" s="197"/>
      <c r="D29" s="187">
        <v>0</v>
      </c>
      <c r="E29" s="187">
        <v>66</v>
      </c>
      <c r="F29" s="188">
        <v>4651</v>
      </c>
      <c r="G29" s="189">
        <v>2269</v>
      </c>
      <c r="H29" s="189">
        <v>559</v>
      </c>
      <c r="I29" s="11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9982.5</v>
      </c>
      <c r="O29" s="190">
        <v>92740.94</v>
      </c>
      <c r="P29" s="190">
        <v>45243.86</v>
      </c>
      <c r="Q29" s="190">
        <v>84548.75</v>
      </c>
      <c r="R29" s="190">
        <v>0</v>
      </c>
      <c r="S29" s="190">
        <v>0</v>
      </c>
      <c r="T29" s="190">
        <v>232516.05</v>
      </c>
    </row>
    <row r="30" spans="1:20">
      <c r="A30" s="13">
        <v>26</v>
      </c>
      <c r="B30" s="196" t="s">
        <v>231</v>
      </c>
      <c r="C30" s="197"/>
      <c r="D30" s="187">
        <v>45</v>
      </c>
      <c r="E30" s="187">
        <v>117</v>
      </c>
      <c r="F30" s="188">
        <v>4579</v>
      </c>
      <c r="G30" s="189">
        <v>2341</v>
      </c>
      <c r="H30" s="189">
        <v>463</v>
      </c>
      <c r="I30" s="11">
        <v>0</v>
      </c>
      <c r="J30" s="11">
        <v>0</v>
      </c>
      <c r="K30" s="11">
        <v>0</v>
      </c>
      <c r="L30" s="190">
        <v>0</v>
      </c>
      <c r="M30" s="190">
        <v>6806.25</v>
      </c>
      <c r="N30" s="190">
        <v>17696.25</v>
      </c>
      <c r="O30" s="190">
        <v>91305.26</v>
      </c>
      <c r="P30" s="190">
        <v>46679.54</v>
      </c>
      <c r="Q30" s="190">
        <v>70028.75</v>
      </c>
      <c r="R30" s="190">
        <v>0</v>
      </c>
      <c r="S30" s="190">
        <v>0</v>
      </c>
      <c r="T30" s="190">
        <v>232516.05</v>
      </c>
    </row>
    <row r="31" spans="1:20">
      <c r="A31" s="13">
        <v>27</v>
      </c>
      <c r="B31" s="196" t="s">
        <v>232</v>
      </c>
      <c r="C31" s="197"/>
      <c r="D31" s="187">
        <v>47</v>
      </c>
      <c r="E31" s="187">
        <v>39</v>
      </c>
      <c r="F31" s="188">
        <v>4587</v>
      </c>
      <c r="G31" s="189">
        <v>2333</v>
      </c>
      <c r="H31" s="189">
        <v>539</v>
      </c>
      <c r="I31" s="11">
        <v>0</v>
      </c>
      <c r="J31" s="11">
        <v>0</v>
      </c>
      <c r="K31" s="11">
        <v>0</v>
      </c>
      <c r="L31" s="190">
        <v>0</v>
      </c>
      <c r="M31" s="190">
        <v>7108.75</v>
      </c>
      <c r="N31" s="190">
        <v>5898.75</v>
      </c>
      <c r="O31" s="190">
        <v>91464.78</v>
      </c>
      <c r="P31" s="190">
        <v>46520.02</v>
      </c>
      <c r="Q31" s="190">
        <v>81523.75</v>
      </c>
      <c r="R31" s="190">
        <v>0</v>
      </c>
      <c r="S31" s="190">
        <v>0</v>
      </c>
      <c r="T31" s="190">
        <v>232516.05</v>
      </c>
    </row>
    <row r="32" spans="1:20">
      <c r="A32" s="13">
        <v>28</v>
      </c>
      <c r="B32" s="196" t="s">
        <v>233</v>
      </c>
      <c r="C32" s="197"/>
      <c r="D32" s="187">
        <v>45</v>
      </c>
      <c r="E32" s="187">
        <v>120</v>
      </c>
      <c r="F32" s="188">
        <v>4512</v>
      </c>
      <c r="G32" s="189">
        <v>2408</v>
      </c>
      <c r="H32" s="189">
        <v>460</v>
      </c>
      <c r="I32" s="11">
        <v>0</v>
      </c>
      <c r="J32" s="11">
        <v>0</v>
      </c>
      <c r="K32" s="11">
        <v>0</v>
      </c>
      <c r="L32" s="190">
        <v>0</v>
      </c>
      <c r="M32" s="190">
        <v>6806.25</v>
      </c>
      <c r="N32" s="190">
        <v>18150</v>
      </c>
      <c r="O32" s="190">
        <v>89969.279999999999</v>
      </c>
      <c r="P32" s="190">
        <v>48015.519999999997</v>
      </c>
      <c r="Q32" s="190">
        <v>69575</v>
      </c>
      <c r="R32" s="190">
        <v>0</v>
      </c>
      <c r="S32" s="190">
        <v>0</v>
      </c>
      <c r="T32" s="190">
        <v>232516.05</v>
      </c>
    </row>
    <row r="33" spans="1:20">
      <c r="A33" s="13">
        <v>29</v>
      </c>
      <c r="B33" s="196" t="s">
        <v>234</v>
      </c>
      <c r="C33" s="197"/>
      <c r="D33" s="187">
        <v>30</v>
      </c>
      <c r="E33" s="187">
        <v>173</v>
      </c>
      <c r="F33" s="188">
        <v>4369</v>
      </c>
      <c r="G33" s="189">
        <v>2551</v>
      </c>
      <c r="H33" s="189">
        <v>422</v>
      </c>
      <c r="I33" s="11">
        <v>0</v>
      </c>
      <c r="J33" s="11">
        <v>0</v>
      </c>
      <c r="K33" s="11">
        <v>0</v>
      </c>
      <c r="L33" s="190">
        <v>0</v>
      </c>
      <c r="M33" s="190">
        <v>4537.5</v>
      </c>
      <c r="N33" s="190">
        <v>26166.25</v>
      </c>
      <c r="O33" s="190">
        <v>87117.86</v>
      </c>
      <c r="P33" s="190">
        <v>50866.94</v>
      </c>
      <c r="Q33" s="190">
        <v>63827.5</v>
      </c>
      <c r="R33" s="190">
        <v>0</v>
      </c>
      <c r="S33" s="190">
        <v>0</v>
      </c>
      <c r="T33" s="190">
        <v>232516.05</v>
      </c>
    </row>
    <row r="34" spans="1:20">
      <c r="A34" s="13">
        <v>30</v>
      </c>
      <c r="B34" s="196" t="s">
        <v>235</v>
      </c>
      <c r="C34" s="197"/>
      <c r="D34" s="187">
        <v>15</v>
      </c>
      <c r="E34" s="187">
        <v>198</v>
      </c>
      <c r="F34" s="188">
        <v>4186</v>
      </c>
      <c r="G34" s="189">
        <v>2734</v>
      </c>
      <c r="H34" s="189">
        <v>412</v>
      </c>
      <c r="I34" s="11">
        <v>0</v>
      </c>
      <c r="J34" s="11">
        <v>0</v>
      </c>
      <c r="K34" s="11">
        <v>0</v>
      </c>
      <c r="L34" s="190">
        <v>0</v>
      </c>
      <c r="M34" s="190">
        <v>2268.75</v>
      </c>
      <c r="N34" s="190">
        <v>29947.5</v>
      </c>
      <c r="O34" s="190">
        <v>83468.84</v>
      </c>
      <c r="P34" s="190">
        <v>54515.96</v>
      </c>
      <c r="Q34" s="190">
        <v>62315</v>
      </c>
      <c r="R34" s="190">
        <v>0</v>
      </c>
      <c r="S34" s="190">
        <v>0</v>
      </c>
      <c r="T34" s="190">
        <v>232516.05</v>
      </c>
    </row>
    <row r="35" spans="1:20">
      <c r="A35" s="13">
        <v>31</v>
      </c>
      <c r="B35" s="196"/>
      <c r="C35" s="197"/>
      <c r="D35" s="187">
        <v>0</v>
      </c>
      <c r="E35" s="187">
        <v>0</v>
      </c>
      <c r="F35" s="188">
        <v>0</v>
      </c>
      <c r="G35" s="189">
        <v>0</v>
      </c>
      <c r="H35" s="189">
        <v>0</v>
      </c>
      <c r="I35" s="11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9">
        <v>1494</v>
      </c>
      <c r="E36" s="19">
        <v>1875</v>
      </c>
      <c r="F36" s="19">
        <v>144437</v>
      </c>
      <c r="G36" s="19">
        <v>63163</v>
      </c>
      <c r="H36" s="19">
        <v>15381</v>
      </c>
      <c r="I36" s="19">
        <v>0</v>
      </c>
      <c r="J36" s="19">
        <v>0</v>
      </c>
      <c r="K36" s="19">
        <v>0</v>
      </c>
      <c r="L36" s="191">
        <v>0</v>
      </c>
      <c r="M36" s="191">
        <v>225967.5</v>
      </c>
      <c r="N36" s="191">
        <v>283593.75</v>
      </c>
      <c r="O36" s="191">
        <v>2880073.78</v>
      </c>
      <c r="P36" s="191">
        <v>1259470.22</v>
      </c>
      <c r="Q36" s="191">
        <v>2326376.25</v>
      </c>
      <c r="R36" s="191">
        <v>0</v>
      </c>
      <c r="S36" s="191">
        <v>0</v>
      </c>
      <c r="T36" s="191">
        <v>6975481.5</v>
      </c>
    </row>
    <row r="37" spans="1:20">
      <c r="R37" s="21"/>
      <c r="S37" s="21"/>
      <c r="T37" s="192">
        <v>8370577.7999999998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F1CA-16AB-40A1-B7E3-B7DEFE342CE5}">
  <sheetPr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237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145</v>
      </c>
      <c r="E3" s="269" t="s">
        <v>146</v>
      </c>
      <c r="F3" s="193" t="s">
        <v>4</v>
      </c>
      <c r="G3" s="269" t="s">
        <v>202</v>
      </c>
      <c r="H3" s="269" t="s">
        <v>203</v>
      </c>
      <c r="I3" s="269" t="s">
        <v>7</v>
      </c>
      <c r="J3" s="269" t="s">
        <v>8</v>
      </c>
      <c r="K3" s="269" t="s">
        <v>204</v>
      </c>
      <c r="L3" s="269" t="s">
        <v>205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 ht="30">
      <c r="A4" s="199"/>
      <c r="B4" s="204"/>
      <c r="C4" s="205"/>
      <c r="D4" s="199"/>
      <c r="E4" s="199"/>
      <c r="F4" s="5" t="s">
        <v>155</v>
      </c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87">
        <v>0</v>
      </c>
      <c r="E5" s="187">
        <v>64</v>
      </c>
      <c r="F5" s="188">
        <v>49</v>
      </c>
      <c r="G5" s="189">
        <v>0</v>
      </c>
      <c r="H5" s="189">
        <v>0</v>
      </c>
      <c r="I5" s="11">
        <v>0</v>
      </c>
      <c r="J5" s="11">
        <v>0</v>
      </c>
      <c r="K5" s="11">
        <v>0</v>
      </c>
      <c r="L5" s="190">
        <v>0</v>
      </c>
      <c r="M5" s="190">
        <v>0</v>
      </c>
      <c r="N5" s="190">
        <v>9680</v>
      </c>
      <c r="O5" s="190">
        <v>977.06</v>
      </c>
      <c r="P5" s="190">
        <v>0</v>
      </c>
      <c r="Q5" s="190">
        <v>0</v>
      </c>
      <c r="R5" s="190">
        <v>0</v>
      </c>
      <c r="S5" s="190">
        <v>0</v>
      </c>
      <c r="T5" s="190">
        <v>10657.06</v>
      </c>
    </row>
    <row r="6" spans="1:20">
      <c r="A6" s="13">
        <v>2</v>
      </c>
      <c r="B6" s="196" t="s">
        <v>207</v>
      </c>
      <c r="C6" s="197"/>
      <c r="D6" s="187">
        <v>0</v>
      </c>
      <c r="E6" s="187">
        <v>0</v>
      </c>
      <c r="F6" s="188">
        <v>49</v>
      </c>
      <c r="G6" s="189">
        <v>0</v>
      </c>
      <c r="H6" s="189">
        <v>0</v>
      </c>
      <c r="I6" s="11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977.06</v>
      </c>
      <c r="P6" s="190">
        <v>0</v>
      </c>
      <c r="Q6" s="190">
        <v>0</v>
      </c>
      <c r="R6" s="190">
        <v>0</v>
      </c>
      <c r="S6" s="190">
        <v>0</v>
      </c>
      <c r="T6" s="190">
        <v>977.06</v>
      </c>
    </row>
    <row r="7" spans="1:20">
      <c r="A7" s="13">
        <v>3</v>
      </c>
      <c r="B7" s="196" t="s">
        <v>208</v>
      </c>
      <c r="C7" s="197"/>
      <c r="D7" s="187">
        <v>16</v>
      </c>
      <c r="E7" s="187">
        <v>32</v>
      </c>
      <c r="F7" s="188">
        <v>33</v>
      </c>
      <c r="G7" s="189">
        <v>0</v>
      </c>
      <c r="H7" s="189">
        <v>0</v>
      </c>
      <c r="I7" s="11">
        <v>0</v>
      </c>
      <c r="J7" s="11">
        <v>0</v>
      </c>
      <c r="K7" s="11">
        <v>0</v>
      </c>
      <c r="L7" s="190">
        <v>0</v>
      </c>
      <c r="M7" s="190">
        <v>2420</v>
      </c>
      <c r="N7" s="190">
        <v>4840</v>
      </c>
      <c r="O7" s="190">
        <v>658.02</v>
      </c>
      <c r="P7" s="190">
        <v>0</v>
      </c>
      <c r="Q7" s="190">
        <v>0</v>
      </c>
      <c r="R7" s="190">
        <v>0</v>
      </c>
      <c r="S7" s="190">
        <v>0</v>
      </c>
      <c r="T7" s="190">
        <v>7918.02</v>
      </c>
    </row>
    <row r="8" spans="1:20">
      <c r="A8" s="13">
        <v>4</v>
      </c>
      <c r="B8" s="196" t="s">
        <v>209</v>
      </c>
      <c r="C8" s="197"/>
      <c r="D8" s="187">
        <v>96</v>
      </c>
      <c r="E8" s="187">
        <v>0</v>
      </c>
      <c r="F8" s="188">
        <v>129</v>
      </c>
      <c r="G8" s="189">
        <v>0</v>
      </c>
      <c r="H8" s="189">
        <v>0</v>
      </c>
      <c r="I8" s="11">
        <v>0</v>
      </c>
      <c r="J8" s="11">
        <v>0</v>
      </c>
      <c r="K8" s="11">
        <v>0</v>
      </c>
      <c r="L8" s="190">
        <v>0</v>
      </c>
      <c r="M8" s="190">
        <v>14520</v>
      </c>
      <c r="N8" s="190">
        <v>0</v>
      </c>
      <c r="O8" s="190">
        <v>2572.2600000000002</v>
      </c>
      <c r="P8" s="190">
        <v>0</v>
      </c>
      <c r="Q8" s="190">
        <v>0</v>
      </c>
      <c r="R8" s="190">
        <v>0</v>
      </c>
      <c r="S8" s="190">
        <v>0</v>
      </c>
      <c r="T8" s="190">
        <v>17092.259999999998</v>
      </c>
    </row>
    <row r="9" spans="1:20">
      <c r="A9" s="13">
        <v>5</v>
      </c>
      <c r="B9" s="196" t="s">
        <v>210</v>
      </c>
      <c r="C9" s="197"/>
      <c r="D9" s="187">
        <v>48</v>
      </c>
      <c r="E9" s="187">
        <v>16</v>
      </c>
      <c r="F9" s="188">
        <v>161</v>
      </c>
      <c r="G9" s="189">
        <v>0</v>
      </c>
      <c r="H9" s="189">
        <v>0</v>
      </c>
      <c r="I9" s="11">
        <v>0</v>
      </c>
      <c r="J9" s="11">
        <v>0</v>
      </c>
      <c r="K9" s="11">
        <v>0</v>
      </c>
      <c r="L9" s="190">
        <v>0</v>
      </c>
      <c r="M9" s="190">
        <v>7260</v>
      </c>
      <c r="N9" s="190">
        <v>2420</v>
      </c>
      <c r="O9" s="190">
        <v>3210.34</v>
      </c>
      <c r="P9" s="190">
        <v>0</v>
      </c>
      <c r="Q9" s="190">
        <v>0</v>
      </c>
      <c r="R9" s="190">
        <v>0</v>
      </c>
      <c r="S9" s="190">
        <v>0</v>
      </c>
      <c r="T9" s="190">
        <v>12890.34</v>
      </c>
    </row>
    <row r="10" spans="1:20">
      <c r="A10" s="13">
        <v>6</v>
      </c>
      <c r="B10" s="196" t="s">
        <v>211</v>
      </c>
      <c r="C10" s="197"/>
      <c r="D10" s="187">
        <v>64</v>
      </c>
      <c r="E10" s="187">
        <v>16</v>
      </c>
      <c r="F10" s="188">
        <v>209</v>
      </c>
      <c r="G10" s="189">
        <v>0</v>
      </c>
      <c r="H10" s="189">
        <v>0</v>
      </c>
      <c r="I10" s="11">
        <v>0</v>
      </c>
      <c r="J10" s="11">
        <v>0</v>
      </c>
      <c r="K10" s="11">
        <v>0</v>
      </c>
      <c r="L10" s="190">
        <v>0</v>
      </c>
      <c r="M10" s="190">
        <v>9680</v>
      </c>
      <c r="N10" s="190">
        <v>2420</v>
      </c>
      <c r="O10" s="190">
        <v>4167.46</v>
      </c>
      <c r="P10" s="190">
        <v>0</v>
      </c>
      <c r="Q10" s="190">
        <v>0</v>
      </c>
      <c r="R10" s="190">
        <v>0</v>
      </c>
      <c r="S10" s="190">
        <v>0</v>
      </c>
      <c r="T10" s="190">
        <v>16267.46</v>
      </c>
    </row>
    <row r="11" spans="1:20">
      <c r="A11" s="13">
        <v>7</v>
      </c>
      <c r="B11" s="196" t="s">
        <v>212</v>
      </c>
      <c r="C11" s="197"/>
      <c r="D11" s="187">
        <v>16</v>
      </c>
      <c r="E11" s="187">
        <v>0</v>
      </c>
      <c r="F11" s="188">
        <v>225</v>
      </c>
      <c r="G11" s="189">
        <v>0</v>
      </c>
      <c r="H11" s="189">
        <v>0</v>
      </c>
      <c r="I11" s="11">
        <v>0</v>
      </c>
      <c r="J11" s="11">
        <v>0</v>
      </c>
      <c r="K11" s="11">
        <v>0</v>
      </c>
      <c r="L11" s="190">
        <v>0</v>
      </c>
      <c r="M11" s="190">
        <v>2420</v>
      </c>
      <c r="N11" s="190">
        <v>0</v>
      </c>
      <c r="O11" s="190">
        <v>4486.5</v>
      </c>
      <c r="P11" s="190">
        <v>0</v>
      </c>
      <c r="Q11" s="190">
        <v>0</v>
      </c>
      <c r="R11" s="190">
        <v>0</v>
      </c>
      <c r="S11" s="190">
        <v>0</v>
      </c>
      <c r="T11" s="190">
        <v>6906.5</v>
      </c>
    </row>
    <row r="12" spans="1:20">
      <c r="A12" s="13">
        <v>8</v>
      </c>
      <c r="B12" s="196" t="s">
        <v>213</v>
      </c>
      <c r="C12" s="197"/>
      <c r="D12" s="187">
        <v>0</v>
      </c>
      <c r="E12" s="187">
        <v>0</v>
      </c>
      <c r="F12" s="188">
        <v>225</v>
      </c>
      <c r="G12" s="189">
        <v>0</v>
      </c>
      <c r="H12" s="189">
        <v>0</v>
      </c>
      <c r="I12" s="11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4486.5</v>
      </c>
      <c r="P12" s="190">
        <v>0</v>
      </c>
      <c r="Q12" s="190">
        <v>0</v>
      </c>
      <c r="R12" s="190">
        <v>0</v>
      </c>
      <c r="S12" s="190">
        <v>0</v>
      </c>
      <c r="T12" s="190">
        <v>4486.5</v>
      </c>
    </row>
    <row r="13" spans="1:20">
      <c r="A13" s="13">
        <v>9</v>
      </c>
      <c r="B13" s="196" t="s">
        <v>214</v>
      </c>
      <c r="C13" s="197"/>
      <c r="D13" s="187">
        <v>0</v>
      </c>
      <c r="E13" s="187">
        <v>0</v>
      </c>
      <c r="F13" s="188">
        <v>225</v>
      </c>
      <c r="G13" s="189">
        <v>0</v>
      </c>
      <c r="H13" s="189">
        <v>0</v>
      </c>
      <c r="I13" s="11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4486.5</v>
      </c>
      <c r="P13" s="190">
        <v>0</v>
      </c>
      <c r="Q13" s="190">
        <v>0</v>
      </c>
      <c r="R13" s="190">
        <v>0</v>
      </c>
      <c r="S13" s="190">
        <v>0</v>
      </c>
      <c r="T13" s="190">
        <v>4486.5</v>
      </c>
    </row>
    <row r="14" spans="1:20">
      <c r="A14" s="13">
        <v>10</v>
      </c>
      <c r="B14" s="196" t="s">
        <v>215</v>
      </c>
      <c r="C14" s="197"/>
      <c r="D14" s="187">
        <v>128</v>
      </c>
      <c r="E14" s="187">
        <v>0</v>
      </c>
      <c r="F14" s="188">
        <v>353</v>
      </c>
      <c r="G14" s="189">
        <v>0</v>
      </c>
      <c r="H14" s="189">
        <v>0</v>
      </c>
      <c r="I14" s="11">
        <v>0</v>
      </c>
      <c r="J14" s="11">
        <v>0</v>
      </c>
      <c r="K14" s="11">
        <v>0</v>
      </c>
      <c r="L14" s="190">
        <v>0</v>
      </c>
      <c r="M14" s="190">
        <v>19360</v>
      </c>
      <c r="N14" s="190">
        <v>0</v>
      </c>
      <c r="O14" s="190">
        <v>7038.82</v>
      </c>
      <c r="P14" s="190">
        <v>0</v>
      </c>
      <c r="Q14" s="190">
        <v>0</v>
      </c>
      <c r="R14" s="190">
        <v>0</v>
      </c>
      <c r="S14" s="190">
        <v>0</v>
      </c>
      <c r="T14" s="190">
        <v>26398.82</v>
      </c>
    </row>
    <row r="15" spans="1:20">
      <c r="A15" s="13">
        <v>11</v>
      </c>
      <c r="B15" s="196" t="s">
        <v>216</v>
      </c>
      <c r="C15" s="197"/>
      <c r="D15" s="187">
        <v>32</v>
      </c>
      <c r="E15" s="187">
        <v>0</v>
      </c>
      <c r="F15" s="188">
        <v>385</v>
      </c>
      <c r="G15" s="189">
        <v>0</v>
      </c>
      <c r="H15" s="189">
        <v>0</v>
      </c>
      <c r="I15" s="11">
        <v>0</v>
      </c>
      <c r="J15" s="11">
        <v>0</v>
      </c>
      <c r="K15" s="11">
        <v>0</v>
      </c>
      <c r="L15" s="190">
        <v>0</v>
      </c>
      <c r="M15" s="190">
        <v>4840</v>
      </c>
      <c r="N15" s="190">
        <v>0</v>
      </c>
      <c r="O15" s="190">
        <v>7676.9</v>
      </c>
      <c r="P15" s="190">
        <v>0</v>
      </c>
      <c r="Q15" s="190">
        <v>0</v>
      </c>
      <c r="R15" s="190">
        <v>0</v>
      </c>
      <c r="S15" s="190">
        <v>0</v>
      </c>
      <c r="T15" s="190">
        <v>12516.9</v>
      </c>
    </row>
    <row r="16" spans="1:20">
      <c r="A16" s="13">
        <v>12</v>
      </c>
      <c r="B16" s="196" t="s">
        <v>217</v>
      </c>
      <c r="C16" s="197"/>
      <c r="D16" s="187">
        <v>0</v>
      </c>
      <c r="E16" s="187">
        <v>0</v>
      </c>
      <c r="F16" s="188">
        <v>385</v>
      </c>
      <c r="G16" s="189">
        <v>0</v>
      </c>
      <c r="H16" s="189">
        <v>0</v>
      </c>
      <c r="I16" s="11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7676.9</v>
      </c>
      <c r="P16" s="190">
        <v>0</v>
      </c>
      <c r="Q16" s="190">
        <v>0</v>
      </c>
      <c r="R16" s="190">
        <v>0</v>
      </c>
      <c r="S16" s="190">
        <v>0</v>
      </c>
      <c r="T16" s="190">
        <v>7676.9</v>
      </c>
    </row>
    <row r="17" spans="1:20">
      <c r="A17" s="13">
        <v>13</v>
      </c>
      <c r="B17" s="196" t="s">
        <v>218</v>
      </c>
      <c r="C17" s="197"/>
      <c r="D17" s="187">
        <v>0</v>
      </c>
      <c r="E17" s="187">
        <v>0</v>
      </c>
      <c r="F17" s="188">
        <v>385</v>
      </c>
      <c r="G17" s="189">
        <v>0</v>
      </c>
      <c r="H17" s="189">
        <v>0</v>
      </c>
      <c r="I17" s="11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7676.9</v>
      </c>
      <c r="P17" s="190">
        <v>0</v>
      </c>
      <c r="Q17" s="190">
        <v>0</v>
      </c>
      <c r="R17" s="190">
        <v>0</v>
      </c>
      <c r="S17" s="190">
        <v>0</v>
      </c>
      <c r="T17" s="190">
        <v>7676.9</v>
      </c>
    </row>
    <row r="18" spans="1:20">
      <c r="A18" s="13">
        <v>14</v>
      </c>
      <c r="B18" s="196" t="s">
        <v>219</v>
      </c>
      <c r="C18" s="197"/>
      <c r="D18" s="187">
        <v>0</v>
      </c>
      <c r="E18" s="187">
        <v>0</v>
      </c>
      <c r="F18" s="188">
        <v>385</v>
      </c>
      <c r="G18" s="189">
        <v>0</v>
      </c>
      <c r="H18" s="189">
        <v>0</v>
      </c>
      <c r="I18" s="11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7676.9</v>
      </c>
      <c r="P18" s="190">
        <v>0</v>
      </c>
      <c r="Q18" s="190">
        <v>0</v>
      </c>
      <c r="R18" s="190">
        <v>0</v>
      </c>
      <c r="S18" s="190">
        <v>0</v>
      </c>
      <c r="T18" s="190">
        <v>7676.9</v>
      </c>
    </row>
    <row r="19" spans="1:20">
      <c r="A19" s="13">
        <v>15</v>
      </c>
      <c r="B19" s="196" t="s">
        <v>220</v>
      </c>
      <c r="C19" s="197"/>
      <c r="D19" s="187">
        <v>0</v>
      </c>
      <c r="E19" s="187">
        <v>0</v>
      </c>
      <c r="F19" s="188">
        <v>385</v>
      </c>
      <c r="G19" s="189">
        <v>0</v>
      </c>
      <c r="H19" s="189">
        <v>0</v>
      </c>
      <c r="I19" s="11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7676.9</v>
      </c>
      <c r="P19" s="190">
        <v>0</v>
      </c>
      <c r="Q19" s="190">
        <v>0</v>
      </c>
      <c r="R19" s="190">
        <v>0</v>
      </c>
      <c r="S19" s="190">
        <v>0</v>
      </c>
      <c r="T19" s="190">
        <v>7676.9</v>
      </c>
    </row>
    <row r="20" spans="1:20">
      <c r="A20" s="13">
        <v>16</v>
      </c>
      <c r="B20" s="196" t="s">
        <v>221</v>
      </c>
      <c r="C20" s="197"/>
      <c r="D20" s="187">
        <v>32</v>
      </c>
      <c r="E20" s="187">
        <v>0</v>
      </c>
      <c r="F20" s="188">
        <v>417</v>
      </c>
      <c r="G20" s="189">
        <v>0</v>
      </c>
      <c r="H20" s="189">
        <v>0</v>
      </c>
      <c r="I20" s="11">
        <v>0</v>
      </c>
      <c r="J20" s="11">
        <v>0</v>
      </c>
      <c r="K20" s="11">
        <v>0</v>
      </c>
      <c r="L20" s="190">
        <v>0</v>
      </c>
      <c r="M20" s="190">
        <v>4840</v>
      </c>
      <c r="N20" s="190">
        <v>0</v>
      </c>
      <c r="O20" s="190">
        <v>8314.98</v>
      </c>
      <c r="P20" s="190">
        <v>0</v>
      </c>
      <c r="Q20" s="190">
        <v>0</v>
      </c>
      <c r="R20" s="190">
        <v>0</v>
      </c>
      <c r="S20" s="190">
        <v>0</v>
      </c>
      <c r="T20" s="190">
        <v>13154.98</v>
      </c>
    </row>
    <row r="21" spans="1:20">
      <c r="A21" s="13">
        <v>17</v>
      </c>
      <c r="B21" s="196" t="s">
        <v>222</v>
      </c>
      <c r="C21" s="197"/>
      <c r="D21" s="187">
        <v>16</v>
      </c>
      <c r="E21" s="187">
        <v>0</v>
      </c>
      <c r="F21" s="188">
        <v>433</v>
      </c>
      <c r="G21" s="189">
        <v>0</v>
      </c>
      <c r="H21" s="189">
        <v>0</v>
      </c>
      <c r="I21" s="11">
        <v>0</v>
      </c>
      <c r="J21" s="11">
        <v>0</v>
      </c>
      <c r="K21" s="11">
        <v>0</v>
      </c>
      <c r="L21" s="190">
        <v>0</v>
      </c>
      <c r="M21" s="190">
        <v>2420</v>
      </c>
      <c r="N21" s="190">
        <v>0</v>
      </c>
      <c r="O21" s="190">
        <v>8634.02</v>
      </c>
      <c r="P21" s="190">
        <v>0</v>
      </c>
      <c r="Q21" s="190">
        <v>0</v>
      </c>
      <c r="R21" s="190">
        <v>0</v>
      </c>
      <c r="S21" s="190">
        <v>0</v>
      </c>
      <c r="T21" s="190">
        <v>11054.02</v>
      </c>
    </row>
    <row r="22" spans="1:20">
      <c r="A22" s="13">
        <v>18</v>
      </c>
      <c r="B22" s="196" t="s">
        <v>223</v>
      </c>
      <c r="C22" s="197"/>
      <c r="D22" s="187">
        <v>32</v>
      </c>
      <c r="E22" s="187">
        <v>0</v>
      </c>
      <c r="F22" s="188">
        <v>465</v>
      </c>
      <c r="G22" s="189">
        <v>0</v>
      </c>
      <c r="H22" s="189">
        <v>0</v>
      </c>
      <c r="I22" s="11">
        <v>0</v>
      </c>
      <c r="J22" s="11">
        <v>0</v>
      </c>
      <c r="K22" s="11">
        <v>0</v>
      </c>
      <c r="L22" s="190">
        <v>0</v>
      </c>
      <c r="M22" s="190">
        <v>4840</v>
      </c>
      <c r="N22" s="190">
        <v>0</v>
      </c>
      <c r="O22" s="190">
        <v>9272.1</v>
      </c>
      <c r="P22" s="190">
        <v>0</v>
      </c>
      <c r="Q22" s="190">
        <v>0</v>
      </c>
      <c r="R22" s="190">
        <v>0</v>
      </c>
      <c r="S22" s="190">
        <v>0</v>
      </c>
      <c r="T22" s="190">
        <v>14112.1</v>
      </c>
    </row>
    <row r="23" spans="1:20">
      <c r="A23" s="13">
        <v>19</v>
      </c>
      <c r="B23" s="196" t="s">
        <v>224</v>
      </c>
      <c r="C23" s="197"/>
      <c r="D23" s="187">
        <v>0</v>
      </c>
      <c r="E23" s="187">
        <v>0</v>
      </c>
      <c r="F23" s="188">
        <v>465</v>
      </c>
      <c r="G23" s="189">
        <v>0</v>
      </c>
      <c r="H23" s="189">
        <v>0</v>
      </c>
      <c r="I23" s="11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9272.1</v>
      </c>
      <c r="P23" s="190">
        <v>0</v>
      </c>
      <c r="Q23" s="190">
        <v>0</v>
      </c>
      <c r="R23" s="190">
        <v>0</v>
      </c>
      <c r="S23" s="190">
        <v>0</v>
      </c>
      <c r="T23" s="190">
        <v>9272.1</v>
      </c>
    </row>
    <row r="24" spans="1:20">
      <c r="A24" s="13">
        <v>20</v>
      </c>
      <c r="B24" s="196" t="s">
        <v>225</v>
      </c>
      <c r="C24" s="197"/>
      <c r="D24" s="187">
        <v>80</v>
      </c>
      <c r="E24" s="187">
        <v>0</v>
      </c>
      <c r="F24" s="188">
        <v>545</v>
      </c>
      <c r="G24" s="189">
        <v>0</v>
      </c>
      <c r="H24" s="189">
        <v>0</v>
      </c>
      <c r="I24" s="11">
        <v>0</v>
      </c>
      <c r="J24" s="11">
        <v>0</v>
      </c>
      <c r="K24" s="11">
        <v>0</v>
      </c>
      <c r="L24" s="190">
        <v>0</v>
      </c>
      <c r="M24" s="190">
        <v>12100</v>
      </c>
      <c r="N24" s="190">
        <v>0</v>
      </c>
      <c r="O24" s="190">
        <v>10867.3</v>
      </c>
      <c r="P24" s="190">
        <v>0</v>
      </c>
      <c r="Q24" s="190">
        <v>0</v>
      </c>
      <c r="R24" s="190">
        <v>0</v>
      </c>
      <c r="S24" s="190">
        <v>0</v>
      </c>
      <c r="T24" s="190">
        <v>22967.3</v>
      </c>
    </row>
    <row r="25" spans="1:20">
      <c r="A25" s="13">
        <v>21</v>
      </c>
      <c r="B25" s="196" t="s">
        <v>226</v>
      </c>
      <c r="C25" s="197"/>
      <c r="D25" s="187">
        <v>32</v>
      </c>
      <c r="E25" s="187">
        <v>16</v>
      </c>
      <c r="F25" s="188">
        <v>561</v>
      </c>
      <c r="G25" s="189">
        <v>0</v>
      </c>
      <c r="H25" s="189">
        <v>0</v>
      </c>
      <c r="I25" s="11">
        <v>0</v>
      </c>
      <c r="J25" s="11">
        <v>0</v>
      </c>
      <c r="K25" s="11">
        <v>0</v>
      </c>
      <c r="L25" s="190">
        <v>0</v>
      </c>
      <c r="M25" s="190">
        <v>4840</v>
      </c>
      <c r="N25" s="190">
        <v>2420</v>
      </c>
      <c r="O25" s="190">
        <v>11186.34</v>
      </c>
      <c r="P25" s="190">
        <v>0</v>
      </c>
      <c r="Q25" s="190">
        <v>0</v>
      </c>
      <c r="R25" s="190">
        <v>0</v>
      </c>
      <c r="S25" s="190">
        <v>0</v>
      </c>
      <c r="T25" s="190">
        <v>18446.34</v>
      </c>
    </row>
    <row r="26" spans="1:20">
      <c r="A26" s="13">
        <v>22</v>
      </c>
      <c r="B26" s="196" t="s">
        <v>227</v>
      </c>
      <c r="C26" s="197"/>
      <c r="D26" s="187">
        <v>0</v>
      </c>
      <c r="E26" s="187">
        <v>16</v>
      </c>
      <c r="F26" s="188">
        <v>545</v>
      </c>
      <c r="G26" s="189">
        <v>0</v>
      </c>
      <c r="H26" s="189">
        <v>0</v>
      </c>
      <c r="I26" s="11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2420</v>
      </c>
      <c r="O26" s="190">
        <v>10867.3</v>
      </c>
      <c r="P26" s="190">
        <v>0</v>
      </c>
      <c r="Q26" s="190">
        <v>0</v>
      </c>
      <c r="R26" s="190">
        <v>0</v>
      </c>
      <c r="S26" s="190">
        <v>0</v>
      </c>
      <c r="T26" s="190">
        <v>13287.3</v>
      </c>
    </row>
    <row r="27" spans="1:20">
      <c r="A27" s="13">
        <v>23</v>
      </c>
      <c r="B27" s="196" t="s">
        <v>228</v>
      </c>
      <c r="C27" s="197"/>
      <c r="D27" s="187">
        <v>0</v>
      </c>
      <c r="E27" s="187">
        <v>0</v>
      </c>
      <c r="F27" s="188">
        <v>545</v>
      </c>
      <c r="G27" s="189">
        <v>0</v>
      </c>
      <c r="H27" s="189">
        <v>0</v>
      </c>
      <c r="I27" s="11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10867.3</v>
      </c>
      <c r="P27" s="190">
        <v>0</v>
      </c>
      <c r="Q27" s="190">
        <v>0</v>
      </c>
      <c r="R27" s="190">
        <v>0</v>
      </c>
      <c r="S27" s="190">
        <v>0</v>
      </c>
      <c r="T27" s="190">
        <v>10867.3</v>
      </c>
    </row>
    <row r="28" spans="1:20">
      <c r="A28" s="13">
        <v>24</v>
      </c>
      <c r="B28" s="196" t="s">
        <v>229</v>
      </c>
      <c r="C28" s="197"/>
      <c r="D28" s="187">
        <v>0</v>
      </c>
      <c r="E28" s="187">
        <v>48</v>
      </c>
      <c r="F28" s="188">
        <v>497</v>
      </c>
      <c r="G28" s="189">
        <v>0</v>
      </c>
      <c r="H28" s="189">
        <v>0</v>
      </c>
      <c r="I28" s="11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7260</v>
      </c>
      <c r="O28" s="190">
        <v>9910.18</v>
      </c>
      <c r="P28" s="190">
        <v>0</v>
      </c>
      <c r="Q28" s="190">
        <v>0</v>
      </c>
      <c r="R28" s="190">
        <v>0</v>
      </c>
      <c r="S28" s="190">
        <v>0</v>
      </c>
      <c r="T28" s="190">
        <v>17170.18</v>
      </c>
    </row>
    <row r="29" spans="1:20">
      <c r="A29" s="13">
        <v>25</v>
      </c>
      <c r="B29" s="196" t="s">
        <v>230</v>
      </c>
      <c r="C29" s="197"/>
      <c r="D29" s="187">
        <v>0</v>
      </c>
      <c r="E29" s="187">
        <v>64</v>
      </c>
      <c r="F29" s="188">
        <v>433</v>
      </c>
      <c r="G29" s="189">
        <v>0</v>
      </c>
      <c r="H29" s="189">
        <v>0</v>
      </c>
      <c r="I29" s="11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9680</v>
      </c>
      <c r="O29" s="190">
        <v>8634.02</v>
      </c>
      <c r="P29" s="190">
        <v>0</v>
      </c>
      <c r="Q29" s="190">
        <v>0</v>
      </c>
      <c r="R29" s="190">
        <v>0</v>
      </c>
      <c r="S29" s="190">
        <v>0</v>
      </c>
      <c r="T29" s="190">
        <v>18314.02</v>
      </c>
    </row>
    <row r="30" spans="1:20">
      <c r="A30" s="13">
        <v>26</v>
      </c>
      <c r="B30" s="196" t="s">
        <v>231</v>
      </c>
      <c r="C30" s="197"/>
      <c r="D30" s="187">
        <v>0</v>
      </c>
      <c r="E30" s="187">
        <v>16</v>
      </c>
      <c r="F30" s="188">
        <v>417</v>
      </c>
      <c r="G30" s="189">
        <v>0</v>
      </c>
      <c r="H30" s="189">
        <v>0</v>
      </c>
      <c r="I30" s="11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2420</v>
      </c>
      <c r="O30" s="190">
        <v>8314.98</v>
      </c>
      <c r="P30" s="190">
        <v>0</v>
      </c>
      <c r="Q30" s="190">
        <v>0</v>
      </c>
      <c r="R30" s="190">
        <v>0</v>
      </c>
      <c r="S30" s="190">
        <v>0</v>
      </c>
      <c r="T30" s="190">
        <v>10734.98</v>
      </c>
    </row>
    <row r="31" spans="1:20">
      <c r="A31" s="13">
        <v>27</v>
      </c>
      <c r="B31" s="196" t="s">
        <v>232</v>
      </c>
      <c r="C31" s="197"/>
      <c r="D31" s="187">
        <v>0</v>
      </c>
      <c r="E31" s="187">
        <v>0</v>
      </c>
      <c r="F31" s="188">
        <v>417</v>
      </c>
      <c r="G31" s="189">
        <v>0</v>
      </c>
      <c r="H31" s="189">
        <v>0</v>
      </c>
      <c r="I31" s="11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8314.98</v>
      </c>
      <c r="P31" s="190">
        <v>0</v>
      </c>
      <c r="Q31" s="190">
        <v>0</v>
      </c>
      <c r="R31" s="190">
        <v>0</v>
      </c>
      <c r="S31" s="190">
        <v>0</v>
      </c>
      <c r="T31" s="190">
        <v>8314.98</v>
      </c>
    </row>
    <row r="32" spans="1:20">
      <c r="A32" s="13">
        <v>28</v>
      </c>
      <c r="B32" s="196" t="s">
        <v>233</v>
      </c>
      <c r="C32" s="197"/>
      <c r="D32" s="187">
        <v>0</v>
      </c>
      <c r="E32" s="187">
        <v>0</v>
      </c>
      <c r="F32" s="188">
        <v>417</v>
      </c>
      <c r="G32" s="189">
        <v>0</v>
      </c>
      <c r="H32" s="189">
        <v>0</v>
      </c>
      <c r="I32" s="11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8314.98</v>
      </c>
      <c r="P32" s="190">
        <v>0</v>
      </c>
      <c r="Q32" s="190">
        <v>0</v>
      </c>
      <c r="R32" s="190">
        <v>0</v>
      </c>
      <c r="S32" s="190">
        <v>0</v>
      </c>
      <c r="T32" s="190">
        <v>8314.98</v>
      </c>
    </row>
    <row r="33" spans="1:20">
      <c r="A33" s="13">
        <v>29</v>
      </c>
      <c r="B33" s="196" t="s">
        <v>234</v>
      </c>
      <c r="C33" s="197"/>
      <c r="D33" s="187">
        <v>0</v>
      </c>
      <c r="E33" s="187">
        <v>0</v>
      </c>
      <c r="F33" s="188">
        <v>417</v>
      </c>
      <c r="G33" s="189">
        <v>0</v>
      </c>
      <c r="H33" s="189">
        <v>0</v>
      </c>
      <c r="I33" s="11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8314.98</v>
      </c>
      <c r="P33" s="190">
        <v>0</v>
      </c>
      <c r="Q33" s="190">
        <v>0</v>
      </c>
      <c r="R33" s="190">
        <v>0</v>
      </c>
      <c r="S33" s="190">
        <v>0</v>
      </c>
      <c r="T33" s="190">
        <v>8314.98</v>
      </c>
    </row>
    <row r="34" spans="1:20">
      <c r="A34" s="13">
        <v>30</v>
      </c>
      <c r="B34" s="196" t="s">
        <v>235</v>
      </c>
      <c r="C34" s="197"/>
      <c r="D34" s="187">
        <v>0</v>
      </c>
      <c r="E34" s="187">
        <v>0</v>
      </c>
      <c r="F34" s="188">
        <v>417</v>
      </c>
      <c r="G34" s="189">
        <v>0</v>
      </c>
      <c r="H34" s="189">
        <v>0</v>
      </c>
      <c r="I34" s="11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8314.98</v>
      </c>
      <c r="P34" s="190">
        <v>0</v>
      </c>
      <c r="Q34" s="190">
        <v>0</v>
      </c>
      <c r="R34" s="190">
        <v>0</v>
      </c>
      <c r="S34" s="190">
        <v>0</v>
      </c>
      <c r="T34" s="190">
        <v>8314.98</v>
      </c>
    </row>
    <row r="35" spans="1:20">
      <c r="A35" s="13">
        <v>31</v>
      </c>
      <c r="B35" s="196"/>
      <c r="C35" s="197"/>
      <c r="D35" s="187">
        <v>0</v>
      </c>
      <c r="E35" s="187">
        <v>0</v>
      </c>
      <c r="F35" s="188">
        <v>0</v>
      </c>
      <c r="G35" s="189">
        <v>0</v>
      </c>
      <c r="H35" s="189">
        <v>0</v>
      </c>
      <c r="I35" s="11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9">
        <v>592</v>
      </c>
      <c r="E36" s="19">
        <v>288</v>
      </c>
      <c r="F36" s="19">
        <v>10574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1">
        <v>0</v>
      </c>
      <c r="M36" s="191">
        <v>89540</v>
      </c>
      <c r="N36" s="191">
        <v>43560</v>
      </c>
      <c r="O36" s="191">
        <v>210845.56</v>
      </c>
      <c r="P36" s="191">
        <v>0</v>
      </c>
      <c r="Q36" s="191">
        <v>0</v>
      </c>
      <c r="R36" s="191">
        <v>0</v>
      </c>
      <c r="S36" s="191">
        <v>0</v>
      </c>
      <c r="T36" s="191">
        <v>343945.56</v>
      </c>
    </row>
    <row r="37" spans="1:20">
      <c r="R37" s="21"/>
      <c r="S37" s="21"/>
      <c r="T37" s="192">
        <v>412734.67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4135-78C1-4730-9508-FA299431507E}">
  <sheetPr>
    <pageSetUpPr fitToPage="1"/>
  </sheetPr>
  <dimension ref="A1:T37"/>
  <sheetViews>
    <sheetView workbookViewId="0">
      <selection activeCell="O5" sqref="O5:O35"/>
    </sheetView>
  </sheetViews>
  <sheetFormatPr defaultRowHeight="15"/>
  <cols>
    <col min="1" max="3" width="8.796875" style="2"/>
    <col min="4" max="4" width="7.09765625" style="2" customWidth="1"/>
    <col min="5" max="5" width="8.19921875" style="2" customWidth="1"/>
    <col min="6" max="6" width="9.59765625" style="2" customWidth="1"/>
    <col min="7" max="7" width="7.3984375" style="2" bestFit="1" customWidth="1"/>
    <col min="8" max="8" width="6.59765625" style="2" bestFit="1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238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239</v>
      </c>
      <c r="H3" s="269" t="s">
        <v>240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34</v>
      </c>
      <c r="G5" s="195"/>
      <c r="H5" s="195"/>
      <c r="I5" s="10"/>
      <c r="J5" s="10"/>
      <c r="K5" s="11"/>
      <c r="L5" s="190">
        <v>0</v>
      </c>
      <c r="M5" s="190">
        <v>0</v>
      </c>
      <c r="N5" s="190">
        <v>0</v>
      </c>
      <c r="O5" s="190">
        <v>612</v>
      </c>
      <c r="P5" s="190">
        <v>0</v>
      </c>
      <c r="Q5" s="190">
        <v>0</v>
      </c>
      <c r="R5" s="190">
        <v>0</v>
      </c>
      <c r="S5" s="190">
        <v>0</v>
      </c>
      <c r="T5" s="190">
        <v>612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34</v>
      </c>
      <c r="G6" s="195"/>
      <c r="H6" s="195"/>
      <c r="I6" s="10"/>
      <c r="J6" s="10"/>
      <c r="K6" s="11"/>
      <c r="L6" s="190">
        <v>0</v>
      </c>
      <c r="M6" s="190">
        <v>0</v>
      </c>
      <c r="N6" s="190">
        <v>0</v>
      </c>
      <c r="O6" s="190">
        <v>612</v>
      </c>
      <c r="P6" s="190">
        <v>0</v>
      </c>
      <c r="Q6" s="190">
        <v>0</v>
      </c>
      <c r="R6" s="190">
        <v>0</v>
      </c>
      <c r="S6" s="190">
        <v>0</v>
      </c>
      <c r="T6" s="190">
        <v>612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34</v>
      </c>
      <c r="G7" s="195"/>
      <c r="H7" s="195"/>
      <c r="I7" s="10"/>
      <c r="J7" s="10"/>
      <c r="K7" s="11"/>
      <c r="L7" s="190">
        <v>0</v>
      </c>
      <c r="M7" s="190">
        <v>0</v>
      </c>
      <c r="N7" s="190">
        <v>0</v>
      </c>
      <c r="O7" s="190">
        <v>612</v>
      </c>
      <c r="P7" s="190">
        <v>0</v>
      </c>
      <c r="Q7" s="190">
        <v>0</v>
      </c>
      <c r="R7" s="190">
        <v>0</v>
      </c>
      <c r="S7" s="190">
        <v>0</v>
      </c>
      <c r="T7" s="190">
        <v>612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34</v>
      </c>
      <c r="G8" s="195"/>
      <c r="H8" s="195"/>
      <c r="I8" s="10"/>
      <c r="J8" s="10"/>
      <c r="K8" s="11"/>
      <c r="L8" s="190">
        <v>0</v>
      </c>
      <c r="M8" s="190">
        <v>0</v>
      </c>
      <c r="N8" s="190">
        <v>0</v>
      </c>
      <c r="O8" s="190">
        <v>612</v>
      </c>
      <c r="P8" s="190">
        <v>0</v>
      </c>
      <c r="Q8" s="190">
        <v>0</v>
      </c>
      <c r="R8" s="190">
        <v>0</v>
      </c>
      <c r="S8" s="190">
        <v>0</v>
      </c>
      <c r="T8" s="190">
        <v>612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34</v>
      </c>
      <c r="G9" s="195"/>
      <c r="H9" s="195"/>
      <c r="I9" s="10"/>
      <c r="J9" s="10"/>
      <c r="K9" s="11"/>
      <c r="L9" s="190">
        <v>0</v>
      </c>
      <c r="M9" s="190">
        <v>0</v>
      </c>
      <c r="N9" s="190">
        <v>0</v>
      </c>
      <c r="O9" s="190">
        <v>612</v>
      </c>
      <c r="P9" s="190">
        <v>0</v>
      </c>
      <c r="Q9" s="190">
        <v>0</v>
      </c>
      <c r="R9" s="190">
        <v>0</v>
      </c>
      <c r="S9" s="190">
        <v>0</v>
      </c>
      <c r="T9" s="190">
        <v>612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34</v>
      </c>
      <c r="G10" s="195"/>
      <c r="H10" s="195"/>
      <c r="I10" s="10"/>
      <c r="J10" s="10"/>
      <c r="K10" s="11"/>
      <c r="L10" s="190">
        <v>0</v>
      </c>
      <c r="M10" s="190">
        <v>0</v>
      </c>
      <c r="N10" s="190">
        <v>0</v>
      </c>
      <c r="O10" s="190">
        <v>612</v>
      </c>
      <c r="P10" s="190">
        <v>0</v>
      </c>
      <c r="Q10" s="190">
        <v>0</v>
      </c>
      <c r="R10" s="190">
        <v>0</v>
      </c>
      <c r="S10" s="190">
        <v>0</v>
      </c>
      <c r="T10" s="190">
        <v>612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34</v>
      </c>
      <c r="G11" s="195"/>
      <c r="H11" s="195"/>
      <c r="I11" s="10"/>
      <c r="J11" s="10"/>
      <c r="K11" s="11"/>
      <c r="L11" s="190">
        <v>0</v>
      </c>
      <c r="M11" s="190">
        <v>0</v>
      </c>
      <c r="N11" s="190">
        <v>0</v>
      </c>
      <c r="O11" s="190">
        <v>612</v>
      </c>
      <c r="P11" s="190">
        <v>0</v>
      </c>
      <c r="Q11" s="190">
        <v>0</v>
      </c>
      <c r="R11" s="190">
        <v>0</v>
      </c>
      <c r="S11" s="190">
        <v>0</v>
      </c>
      <c r="T11" s="190">
        <v>612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34</v>
      </c>
      <c r="G12" s="195"/>
      <c r="H12" s="195"/>
      <c r="I12" s="10"/>
      <c r="J12" s="10"/>
      <c r="K12" s="11"/>
      <c r="L12" s="190">
        <v>0</v>
      </c>
      <c r="M12" s="190">
        <v>0</v>
      </c>
      <c r="N12" s="190">
        <v>0</v>
      </c>
      <c r="O12" s="190">
        <v>612</v>
      </c>
      <c r="P12" s="190">
        <v>0</v>
      </c>
      <c r="Q12" s="190">
        <v>0</v>
      </c>
      <c r="R12" s="190">
        <v>0</v>
      </c>
      <c r="S12" s="190">
        <v>0</v>
      </c>
      <c r="T12" s="190">
        <v>612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34</v>
      </c>
      <c r="G13" s="195"/>
      <c r="H13" s="195"/>
      <c r="I13" s="10"/>
      <c r="J13" s="10"/>
      <c r="K13" s="11"/>
      <c r="L13" s="190">
        <v>0</v>
      </c>
      <c r="M13" s="190">
        <v>0</v>
      </c>
      <c r="N13" s="190">
        <v>0</v>
      </c>
      <c r="O13" s="190">
        <v>612</v>
      </c>
      <c r="P13" s="190">
        <v>0</v>
      </c>
      <c r="Q13" s="190">
        <v>0</v>
      </c>
      <c r="R13" s="190">
        <v>0</v>
      </c>
      <c r="S13" s="190">
        <v>0</v>
      </c>
      <c r="T13" s="190">
        <v>612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34</v>
      </c>
      <c r="G14" s="195"/>
      <c r="H14" s="195"/>
      <c r="I14" s="10"/>
      <c r="J14" s="10"/>
      <c r="K14" s="11"/>
      <c r="L14" s="190">
        <v>0</v>
      </c>
      <c r="M14" s="190">
        <v>0</v>
      </c>
      <c r="N14" s="190">
        <v>0</v>
      </c>
      <c r="O14" s="190">
        <v>612</v>
      </c>
      <c r="P14" s="190">
        <v>0</v>
      </c>
      <c r="Q14" s="190">
        <v>0</v>
      </c>
      <c r="R14" s="190">
        <v>0</v>
      </c>
      <c r="S14" s="190">
        <v>0</v>
      </c>
      <c r="T14" s="190">
        <v>612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34</v>
      </c>
      <c r="G15" s="195"/>
      <c r="H15" s="195"/>
      <c r="I15" s="10"/>
      <c r="J15" s="10"/>
      <c r="K15" s="11"/>
      <c r="L15" s="190">
        <v>0</v>
      </c>
      <c r="M15" s="190">
        <v>0</v>
      </c>
      <c r="N15" s="190">
        <v>0</v>
      </c>
      <c r="O15" s="190">
        <v>612</v>
      </c>
      <c r="P15" s="190">
        <v>0</v>
      </c>
      <c r="Q15" s="190">
        <v>0</v>
      </c>
      <c r="R15" s="190">
        <v>0</v>
      </c>
      <c r="S15" s="190">
        <v>0</v>
      </c>
      <c r="T15" s="190">
        <v>612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34</v>
      </c>
      <c r="G16" s="195"/>
      <c r="H16" s="195"/>
      <c r="I16" s="10"/>
      <c r="J16" s="10"/>
      <c r="K16" s="16"/>
      <c r="L16" s="190">
        <v>0</v>
      </c>
      <c r="M16" s="190">
        <v>0</v>
      </c>
      <c r="N16" s="190">
        <v>0</v>
      </c>
      <c r="O16" s="190">
        <v>612</v>
      </c>
      <c r="P16" s="190">
        <v>0</v>
      </c>
      <c r="Q16" s="190">
        <v>0</v>
      </c>
      <c r="R16" s="190">
        <v>0</v>
      </c>
      <c r="S16" s="190">
        <v>0</v>
      </c>
      <c r="T16" s="190">
        <v>612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34</v>
      </c>
      <c r="G17" s="195"/>
      <c r="H17" s="195"/>
      <c r="I17" s="10"/>
      <c r="J17" s="10"/>
      <c r="K17" s="11"/>
      <c r="L17" s="190">
        <v>0</v>
      </c>
      <c r="M17" s="190">
        <v>0</v>
      </c>
      <c r="N17" s="190">
        <v>0</v>
      </c>
      <c r="O17" s="190">
        <v>612</v>
      </c>
      <c r="P17" s="190">
        <v>0</v>
      </c>
      <c r="Q17" s="190">
        <v>0</v>
      </c>
      <c r="R17" s="190">
        <v>0</v>
      </c>
      <c r="S17" s="190">
        <v>0</v>
      </c>
      <c r="T17" s="190">
        <v>612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34</v>
      </c>
      <c r="G18" s="195"/>
      <c r="H18" s="195"/>
      <c r="I18" s="10"/>
      <c r="J18" s="10"/>
      <c r="K18" s="11"/>
      <c r="L18" s="190">
        <v>0</v>
      </c>
      <c r="M18" s="190">
        <v>0</v>
      </c>
      <c r="N18" s="190">
        <v>0</v>
      </c>
      <c r="O18" s="190">
        <v>612</v>
      </c>
      <c r="P18" s="190">
        <v>0</v>
      </c>
      <c r="Q18" s="190">
        <v>0</v>
      </c>
      <c r="R18" s="190">
        <v>0</v>
      </c>
      <c r="S18" s="190">
        <v>0</v>
      </c>
      <c r="T18" s="190">
        <v>612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34</v>
      </c>
      <c r="G19" s="195"/>
      <c r="H19" s="195"/>
      <c r="I19" s="10"/>
      <c r="J19" s="10"/>
      <c r="K19" s="11"/>
      <c r="L19" s="190">
        <v>0</v>
      </c>
      <c r="M19" s="190">
        <v>0</v>
      </c>
      <c r="N19" s="190">
        <v>0</v>
      </c>
      <c r="O19" s="190">
        <v>612</v>
      </c>
      <c r="P19" s="190">
        <v>0</v>
      </c>
      <c r="Q19" s="190">
        <v>0</v>
      </c>
      <c r="R19" s="190">
        <v>0</v>
      </c>
      <c r="S19" s="190">
        <v>0</v>
      </c>
      <c r="T19" s="190">
        <v>612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34</v>
      </c>
      <c r="G20" s="195"/>
      <c r="H20" s="195"/>
      <c r="I20" s="10"/>
      <c r="J20" s="10"/>
      <c r="K20" s="11"/>
      <c r="L20" s="190">
        <v>0</v>
      </c>
      <c r="M20" s="190">
        <v>0</v>
      </c>
      <c r="N20" s="190">
        <v>0</v>
      </c>
      <c r="O20" s="190">
        <v>612</v>
      </c>
      <c r="P20" s="190">
        <v>0</v>
      </c>
      <c r="Q20" s="190">
        <v>0</v>
      </c>
      <c r="R20" s="190">
        <v>0</v>
      </c>
      <c r="S20" s="190">
        <v>0</v>
      </c>
      <c r="T20" s="190">
        <v>612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34</v>
      </c>
      <c r="G21" s="195"/>
      <c r="H21" s="195"/>
      <c r="I21" s="10"/>
      <c r="J21" s="10"/>
      <c r="K21" s="11"/>
      <c r="L21" s="190">
        <v>0</v>
      </c>
      <c r="M21" s="190">
        <v>0</v>
      </c>
      <c r="N21" s="190">
        <v>0</v>
      </c>
      <c r="O21" s="190">
        <v>612</v>
      </c>
      <c r="P21" s="190">
        <v>0</v>
      </c>
      <c r="Q21" s="190">
        <v>0</v>
      </c>
      <c r="R21" s="190">
        <v>0</v>
      </c>
      <c r="S21" s="190">
        <v>0</v>
      </c>
      <c r="T21" s="190">
        <v>612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34</v>
      </c>
      <c r="G22" s="195"/>
      <c r="H22" s="195"/>
      <c r="I22" s="10"/>
      <c r="J22" s="10"/>
      <c r="K22" s="11"/>
      <c r="L22" s="190">
        <v>0</v>
      </c>
      <c r="M22" s="190">
        <v>0</v>
      </c>
      <c r="N22" s="190">
        <v>0</v>
      </c>
      <c r="O22" s="190">
        <v>612</v>
      </c>
      <c r="P22" s="190">
        <v>0</v>
      </c>
      <c r="Q22" s="190">
        <v>0</v>
      </c>
      <c r="R22" s="190">
        <v>0</v>
      </c>
      <c r="S22" s="190">
        <v>0</v>
      </c>
      <c r="T22" s="190">
        <v>612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34</v>
      </c>
      <c r="G23" s="195"/>
      <c r="H23" s="195"/>
      <c r="I23" s="10"/>
      <c r="J23" s="10"/>
      <c r="K23" s="11"/>
      <c r="L23" s="190">
        <v>0</v>
      </c>
      <c r="M23" s="190">
        <v>0</v>
      </c>
      <c r="N23" s="190">
        <v>0</v>
      </c>
      <c r="O23" s="190">
        <v>612</v>
      </c>
      <c r="P23" s="190">
        <v>0</v>
      </c>
      <c r="Q23" s="190">
        <v>0</v>
      </c>
      <c r="R23" s="190">
        <v>0</v>
      </c>
      <c r="S23" s="190">
        <v>0</v>
      </c>
      <c r="T23" s="190">
        <v>612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34</v>
      </c>
      <c r="G24" s="195"/>
      <c r="H24" s="195"/>
      <c r="I24" s="10"/>
      <c r="J24" s="10"/>
      <c r="K24" s="11"/>
      <c r="L24" s="190">
        <v>0</v>
      </c>
      <c r="M24" s="190">
        <v>0</v>
      </c>
      <c r="N24" s="190">
        <v>0</v>
      </c>
      <c r="O24" s="190">
        <v>612</v>
      </c>
      <c r="P24" s="190">
        <v>0</v>
      </c>
      <c r="Q24" s="190">
        <v>0</v>
      </c>
      <c r="R24" s="190">
        <v>0</v>
      </c>
      <c r="S24" s="190">
        <v>0</v>
      </c>
      <c r="T24" s="190">
        <v>612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34</v>
      </c>
      <c r="G25" s="195"/>
      <c r="H25" s="195"/>
      <c r="I25" s="10"/>
      <c r="J25" s="10"/>
      <c r="K25" s="11"/>
      <c r="L25" s="190">
        <v>0</v>
      </c>
      <c r="M25" s="190">
        <v>0</v>
      </c>
      <c r="N25" s="190">
        <v>0</v>
      </c>
      <c r="O25" s="190">
        <v>612</v>
      </c>
      <c r="P25" s="190">
        <v>0</v>
      </c>
      <c r="Q25" s="190">
        <v>0</v>
      </c>
      <c r="R25" s="190">
        <v>0</v>
      </c>
      <c r="S25" s="190">
        <v>0</v>
      </c>
      <c r="T25" s="190">
        <v>612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34</v>
      </c>
      <c r="G26" s="195"/>
      <c r="H26" s="195"/>
      <c r="I26" s="10"/>
      <c r="J26" s="10"/>
      <c r="K26" s="11"/>
      <c r="L26" s="190">
        <v>0</v>
      </c>
      <c r="M26" s="190">
        <v>0</v>
      </c>
      <c r="N26" s="190">
        <v>0</v>
      </c>
      <c r="O26" s="190">
        <v>612</v>
      </c>
      <c r="P26" s="190">
        <v>0</v>
      </c>
      <c r="Q26" s="190">
        <v>0</v>
      </c>
      <c r="R26" s="190">
        <v>0</v>
      </c>
      <c r="S26" s="190">
        <v>0</v>
      </c>
      <c r="T26" s="190">
        <v>612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34</v>
      </c>
      <c r="G27" s="195"/>
      <c r="H27" s="195"/>
      <c r="I27" s="10"/>
      <c r="J27" s="10"/>
      <c r="K27" s="11"/>
      <c r="L27" s="190">
        <v>0</v>
      </c>
      <c r="M27" s="190">
        <v>0</v>
      </c>
      <c r="N27" s="190">
        <v>0</v>
      </c>
      <c r="O27" s="190">
        <v>612</v>
      </c>
      <c r="P27" s="190">
        <v>0</v>
      </c>
      <c r="Q27" s="190">
        <v>0</v>
      </c>
      <c r="R27" s="190">
        <v>0</v>
      </c>
      <c r="S27" s="190">
        <v>0</v>
      </c>
      <c r="T27" s="190">
        <v>612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34</v>
      </c>
      <c r="G28" s="195"/>
      <c r="H28" s="195"/>
      <c r="I28" s="10"/>
      <c r="J28" s="10"/>
      <c r="K28" s="11"/>
      <c r="L28" s="190">
        <v>0</v>
      </c>
      <c r="M28" s="190">
        <v>0</v>
      </c>
      <c r="N28" s="190">
        <v>0</v>
      </c>
      <c r="O28" s="190">
        <v>612</v>
      </c>
      <c r="P28" s="190">
        <v>0</v>
      </c>
      <c r="Q28" s="190">
        <v>0</v>
      </c>
      <c r="R28" s="190">
        <v>0</v>
      </c>
      <c r="S28" s="190">
        <v>0</v>
      </c>
      <c r="T28" s="190">
        <v>612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34</v>
      </c>
      <c r="G29" s="195"/>
      <c r="H29" s="195"/>
      <c r="I29" s="10"/>
      <c r="J29" s="10"/>
      <c r="K29" s="11"/>
      <c r="L29" s="190">
        <v>0</v>
      </c>
      <c r="M29" s="190">
        <v>0</v>
      </c>
      <c r="N29" s="190">
        <v>0</v>
      </c>
      <c r="O29" s="190">
        <v>612</v>
      </c>
      <c r="P29" s="190">
        <v>0</v>
      </c>
      <c r="Q29" s="190">
        <v>0</v>
      </c>
      <c r="R29" s="190">
        <v>0</v>
      </c>
      <c r="S29" s="190">
        <v>0</v>
      </c>
      <c r="T29" s="190">
        <v>612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34</v>
      </c>
      <c r="G30" s="195"/>
      <c r="H30" s="195"/>
      <c r="I30" s="10"/>
      <c r="J30" s="10"/>
      <c r="K30" s="11"/>
      <c r="L30" s="190">
        <v>0</v>
      </c>
      <c r="M30" s="190">
        <v>0</v>
      </c>
      <c r="N30" s="190">
        <v>0</v>
      </c>
      <c r="O30" s="190">
        <v>612</v>
      </c>
      <c r="P30" s="190">
        <v>0</v>
      </c>
      <c r="Q30" s="190">
        <v>0</v>
      </c>
      <c r="R30" s="190">
        <v>0</v>
      </c>
      <c r="S30" s="190">
        <v>0</v>
      </c>
      <c r="T30" s="190">
        <v>612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34</v>
      </c>
      <c r="G31" s="195"/>
      <c r="H31" s="195"/>
      <c r="I31" s="10"/>
      <c r="J31" s="10"/>
      <c r="K31" s="11"/>
      <c r="L31" s="190">
        <v>0</v>
      </c>
      <c r="M31" s="190">
        <v>0</v>
      </c>
      <c r="N31" s="190">
        <v>0</v>
      </c>
      <c r="O31" s="190">
        <v>612</v>
      </c>
      <c r="P31" s="190">
        <v>0</v>
      </c>
      <c r="Q31" s="190">
        <v>0</v>
      </c>
      <c r="R31" s="190">
        <v>0</v>
      </c>
      <c r="S31" s="190">
        <v>0</v>
      </c>
      <c r="T31" s="190">
        <v>612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34</v>
      </c>
      <c r="G32" s="195"/>
      <c r="H32" s="195"/>
      <c r="I32" s="10"/>
      <c r="J32" s="10"/>
      <c r="K32" s="11"/>
      <c r="L32" s="190">
        <v>0</v>
      </c>
      <c r="M32" s="190">
        <v>0</v>
      </c>
      <c r="N32" s="190">
        <v>0</v>
      </c>
      <c r="O32" s="190">
        <v>612</v>
      </c>
      <c r="P32" s="190">
        <v>0</v>
      </c>
      <c r="Q32" s="190">
        <v>0</v>
      </c>
      <c r="R32" s="190">
        <v>0</v>
      </c>
      <c r="S32" s="190">
        <v>0</v>
      </c>
      <c r="T32" s="190">
        <v>612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34</v>
      </c>
      <c r="G33" s="195"/>
      <c r="H33" s="195"/>
      <c r="I33" s="10"/>
      <c r="J33" s="10"/>
      <c r="K33" s="11"/>
      <c r="L33" s="190">
        <v>0</v>
      </c>
      <c r="M33" s="190">
        <v>0</v>
      </c>
      <c r="N33" s="190">
        <v>0</v>
      </c>
      <c r="O33" s="190">
        <v>612</v>
      </c>
      <c r="P33" s="190">
        <v>0</v>
      </c>
      <c r="Q33" s="190">
        <v>0</v>
      </c>
      <c r="R33" s="190">
        <v>0</v>
      </c>
      <c r="S33" s="190">
        <v>0</v>
      </c>
      <c r="T33" s="190">
        <v>612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34</v>
      </c>
      <c r="G34" s="195"/>
      <c r="H34" s="195"/>
      <c r="I34" s="10"/>
      <c r="J34" s="10"/>
      <c r="K34" s="11"/>
      <c r="L34" s="190">
        <v>0</v>
      </c>
      <c r="M34" s="190">
        <v>0</v>
      </c>
      <c r="N34" s="190">
        <v>0</v>
      </c>
      <c r="O34" s="190">
        <v>612</v>
      </c>
      <c r="P34" s="190">
        <v>0</v>
      </c>
      <c r="Q34" s="190">
        <v>0</v>
      </c>
      <c r="R34" s="190">
        <v>0</v>
      </c>
      <c r="S34" s="190">
        <v>0</v>
      </c>
      <c r="T34" s="190">
        <v>612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/>
      <c r="H35" s="195"/>
      <c r="I35" s="10"/>
      <c r="J35" s="10"/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</v>
      </c>
      <c r="F36" s="18">
        <v>1020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1">
        <v>0</v>
      </c>
      <c r="M36" s="191">
        <v>0</v>
      </c>
      <c r="N36" s="191">
        <v>0</v>
      </c>
      <c r="O36" s="191">
        <v>18360</v>
      </c>
      <c r="P36" s="191">
        <v>0</v>
      </c>
      <c r="Q36" s="191">
        <v>0</v>
      </c>
      <c r="R36" s="191">
        <v>0</v>
      </c>
      <c r="S36" s="191">
        <v>0</v>
      </c>
      <c r="T36" s="191">
        <v>18360</v>
      </c>
    </row>
    <row r="37" spans="1:20">
      <c r="R37" s="21"/>
      <c r="S37" s="21"/>
      <c r="T37" s="192">
        <v>22032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1333-FA6B-4134-89E8-ECC03FE5CF6C}">
  <sheetPr>
    <pageSetUpPr fitToPage="1"/>
  </sheetPr>
  <dimension ref="A1:T37"/>
  <sheetViews>
    <sheetView topLeftCell="A10" workbookViewId="0">
      <selection activeCell="K36" sqref="K36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241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242</v>
      </c>
      <c r="H3" s="269" t="s">
        <v>243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21.725000000000001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90">
        <v>0</v>
      </c>
      <c r="M5" s="190">
        <v>0</v>
      </c>
      <c r="N5" s="190">
        <v>0</v>
      </c>
      <c r="O5" s="190">
        <v>349.12</v>
      </c>
      <c r="P5" s="190">
        <v>0</v>
      </c>
      <c r="Q5" s="190">
        <v>0</v>
      </c>
      <c r="R5" s="190">
        <v>0</v>
      </c>
      <c r="S5" s="190">
        <v>0</v>
      </c>
      <c r="T5" s="190">
        <v>349.12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21.725000000000001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349.12</v>
      </c>
      <c r="P6" s="190">
        <v>0</v>
      </c>
      <c r="Q6" s="190">
        <v>0</v>
      </c>
      <c r="R6" s="190">
        <v>0</v>
      </c>
      <c r="S6" s="190">
        <v>0</v>
      </c>
      <c r="T6" s="190">
        <v>349.12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21.725000000000001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349.12</v>
      </c>
      <c r="P7" s="190">
        <v>0</v>
      </c>
      <c r="Q7" s="190">
        <v>0</v>
      </c>
      <c r="R7" s="190">
        <v>0</v>
      </c>
      <c r="S7" s="190">
        <v>0</v>
      </c>
      <c r="T7" s="190">
        <v>349.12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21.725000000000001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90">
        <v>0</v>
      </c>
      <c r="M8" s="190">
        <v>0</v>
      </c>
      <c r="N8" s="190">
        <v>0</v>
      </c>
      <c r="O8" s="190">
        <v>349.12</v>
      </c>
      <c r="P8" s="190">
        <v>0</v>
      </c>
      <c r="Q8" s="190">
        <v>0</v>
      </c>
      <c r="R8" s="190">
        <v>0</v>
      </c>
      <c r="S8" s="190">
        <v>0</v>
      </c>
      <c r="T8" s="190">
        <v>349.12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21.725000000000001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90">
        <v>0</v>
      </c>
      <c r="M9" s="190">
        <v>0</v>
      </c>
      <c r="N9" s="190">
        <v>0</v>
      </c>
      <c r="O9" s="190">
        <v>349.12</v>
      </c>
      <c r="P9" s="190">
        <v>0</v>
      </c>
      <c r="Q9" s="190">
        <v>0</v>
      </c>
      <c r="R9" s="190">
        <v>0</v>
      </c>
      <c r="S9" s="190">
        <v>0</v>
      </c>
      <c r="T9" s="190">
        <v>349.12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21.725000000000001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349.12</v>
      </c>
      <c r="P10" s="190">
        <v>0</v>
      </c>
      <c r="Q10" s="190">
        <v>0</v>
      </c>
      <c r="R10" s="190">
        <v>0</v>
      </c>
      <c r="S10" s="190">
        <v>0</v>
      </c>
      <c r="T10" s="190">
        <v>349.12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21.725000000000001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349.12</v>
      </c>
      <c r="P11" s="190">
        <v>0</v>
      </c>
      <c r="Q11" s="190">
        <v>0</v>
      </c>
      <c r="R11" s="190">
        <v>0</v>
      </c>
      <c r="S11" s="190">
        <v>0</v>
      </c>
      <c r="T11" s="190">
        <v>349.12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21.725000000000001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349.12</v>
      </c>
      <c r="P12" s="190">
        <v>0</v>
      </c>
      <c r="Q12" s="190">
        <v>0</v>
      </c>
      <c r="R12" s="190">
        <v>0</v>
      </c>
      <c r="S12" s="190">
        <v>0</v>
      </c>
      <c r="T12" s="190">
        <v>349.12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21.725000000000001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349.12</v>
      </c>
      <c r="P13" s="190">
        <v>0</v>
      </c>
      <c r="Q13" s="190">
        <v>0</v>
      </c>
      <c r="R13" s="190">
        <v>0</v>
      </c>
      <c r="S13" s="190">
        <v>0</v>
      </c>
      <c r="T13" s="190">
        <v>349.12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21.725000000000001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0</v>
      </c>
      <c r="O14" s="190">
        <v>349.12</v>
      </c>
      <c r="P14" s="190">
        <v>0</v>
      </c>
      <c r="Q14" s="190">
        <v>0</v>
      </c>
      <c r="R14" s="190">
        <v>0</v>
      </c>
      <c r="S14" s="190">
        <v>0</v>
      </c>
      <c r="T14" s="190">
        <v>349.12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21.725000000000001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0</v>
      </c>
      <c r="O15" s="190">
        <v>349.12</v>
      </c>
      <c r="P15" s="190">
        <v>0</v>
      </c>
      <c r="Q15" s="190">
        <v>0</v>
      </c>
      <c r="R15" s="190">
        <v>0</v>
      </c>
      <c r="S15" s="190">
        <v>0</v>
      </c>
      <c r="T15" s="190">
        <v>349.12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21.725000000000001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349.12</v>
      </c>
      <c r="P16" s="190">
        <v>0</v>
      </c>
      <c r="Q16" s="190">
        <v>0</v>
      </c>
      <c r="R16" s="190">
        <v>0</v>
      </c>
      <c r="S16" s="190">
        <v>0</v>
      </c>
      <c r="T16" s="190">
        <v>349.12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21.725000000000001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349.12</v>
      </c>
      <c r="P17" s="190">
        <v>0</v>
      </c>
      <c r="Q17" s="190">
        <v>0</v>
      </c>
      <c r="R17" s="190">
        <v>0</v>
      </c>
      <c r="S17" s="190">
        <v>0</v>
      </c>
      <c r="T17" s="190">
        <v>349.12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21.725000000000001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349.12</v>
      </c>
      <c r="P18" s="190">
        <v>0</v>
      </c>
      <c r="Q18" s="190">
        <v>0</v>
      </c>
      <c r="R18" s="190">
        <v>0</v>
      </c>
      <c r="S18" s="190">
        <v>0</v>
      </c>
      <c r="T18" s="190">
        <v>349.12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21.725000000000001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349.12</v>
      </c>
      <c r="P19" s="190">
        <v>0</v>
      </c>
      <c r="Q19" s="190">
        <v>0</v>
      </c>
      <c r="R19" s="190">
        <v>0</v>
      </c>
      <c r="S19" s="190">
        <v>0</v>
      </c>
      <c r="T19" s="190">
        <v>349.12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21.725000000000001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349.12</v>
      </c>
      <c r="P20" s="190">
        <v>0</v>
      </c>
      <c r="Q20" s="190">
        <v>0</v>
      </c>
      <c r="R20" s="190">
        <v>0</v>
      </c>
      <c r="S20" s="190">
        <v>0</v>
      </c>
      <c r="T20" s="190">
        <v>349.12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21.725000000000001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349.12</v>
      </c>
      <c r="P21" s="190">
        <v>0</v>
      </c>
      <c r="Q21" s="190">
        <v>0</v>
      </c>
      <c r="R21" s="190">
        <v>0</v>
      </c>
      <c r="S21" s="190">
        <v>0</v>
      </c>
      <c r="T21" s="190">
        <v>349.12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21.725000000000001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349.12</v>
      </c>
      <c r="P22" s="190">
        <v>0</v>
      </c>
      <c r="Q22" s="190">
        <v>0</v>
      </c>
      <c r="R22" s="190">
        <v>0</v>
      </c>
      <c r="S22" s="190">
        <v>0</v>
      </c>
      <c r="T22" s="190">
        <v>349.12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21.725000000000001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349.12</v>
      </c>
      <c r="P23" s="190">
        <v>0</v>
      </c>
      <c r="Q23" s="190">
        <v>0</v>
      </c>
      <c r="R23" s="190">
        <v>0</v>
      </c>
      <c r="S23" s="190">
        <v>0</v>
      </c>
      <c r="T23" s="190">
        <v>349.12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21.725000000000001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349.12</v>
      </c>
      <c r="P24" s="190">
        <v>0</v>
      </c>
      <c r="Q24" s="190">
        <v>0</v>
      </c>
      <c r="R24" s="190">
        <v>0</v>
      </c>
      <c r="S24" s="190">
        <v>0</v>
      </c>
      <c r="T24" s="190">
        <v>349.12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21.725000000000001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349.12</v>
      </c>
      <c r="P25" s="190">
        <v>0</v>
      </c>
      <c r="Q25" s="190">
        <v>0</v>
      </c>
      <c r="R25" s="190">
        <v>0</v>
      </c>
      <c r="S25" s="190">
        <v>0</v>
      </c>
      <c r="T25" s="190">
        <v>349.12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21.725000000000001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349.12</v>
      </c>
      <c r="P26" s="190">
        <v>0</v>
      </c>
      <c r="Q26" s="190">
        <v>0</v>
      </c>
      <c r="R26" s="190">
        <v>0</v>
      </c>
      <c r="S26" s="190">
        <v>0</v>
      </c>
      <c r="T26" s="190">
        <v>349.12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21.725000000000001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349.12</v>
      </c>
      <c r="P27" s="190">
        <v>0</v>
      </c>
      <c r="Q27" s="190">
        <v>0</v>
      </c>
      <c r="R27" s="190">
        <v>0</v>
      </c>
      <c r="S27" s="190">
        <v>0</v>
      </c>
      <c r="T27" s="190">
        <v>349.12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21.725000000000001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0</v>
      </c>
      <c r="O28" s="190">
        <v>349.12</v>
      </c>
      <c r="P28" s="190">
        <v>0</v>
      </c>
      <c r="Q28" s="190">
        <v>0</v>
      </c>
      <c r="R28" s="190">
        <v>0</v>
      </c>
      <c r="S28" s="190">
        <v>0</v>
      </c>
      <c r="T28" s="190">
        <v>349.12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21.725000000000001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349.12</v>
      </c>
      <c r="P29" s="190">
        <v>0</v>
      </c>
      <c r="Q29" s="190">
        <v>0</v>
      </c>
      <c r="R29" s="190">
        <v>0</v>
      </c>
      <c r="S29" s="190">
        <v>0</v>
      </c>
      <c r="T29" s="190">
        <v>349.12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21.725000000000001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0</v>
      </c>
      <c r="O30" s="190">
        <v>349.12</v>
      </c>
      <c r="P30" s="190">
        <v>0</v>
      </c>
      <c r="Q30" s="190">
        <v>0</v>
      </c>
      <c r="R30" s="190">
        <v>0</v>
      </c>
      <c r="S30" s="190">
        <v>0</v>
      </c>
      <c r="T30" s="190">
        <v>349.12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21.725000000000001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349.12</v>
      </c>
      <c r="P31" s="190">
        <v>0</v>
      </c>
      <c r="Q31" s="190">
        <v>0</v>
      </c>
      <c r="R31" s="190">
        <v>0</v>
      </c>
      <c r="S31" s="190">
        <v>0</v>
      </c>
      <c r="T31" s="190">
        <v>349.12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21.725000000000001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349.12</v>
      </c>
      <c r="P32" s="190">
        <v>0</v>
      </c>
      <c r="Q32" s="190">
        <v>0</v>
      </c>
      <c r="R32" s="190">
        <v>0</v>
      </c>
      <c r="S32" s="190">
        <v>0</v>
      </c>
      <c r="T32" s="190">
        <v>349.12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21.725000000000001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349.12</v>
      </c>
      <c r="P33" s="190">
        <v>0</v>
      </c>
      <c r="Q33" s="190">
        <v>0</v>
      </c>
      <c r="R33" s="190">
        <v>0</v>
      </c>
      <c r="S33" s="190">
        <v>0</v>
      </c>
      <c r="T33" s="190">
        <v>349.12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21.725000000000001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349.12</v>
      </c>
      <c r="P34" s="190">
        <v>0</v>
      </c>
      <c r="Q34" s="190">
        <v>0</v>
      </c>
      <c r="R34" s="190">
        <v>0</v>
      </c>
      <c r="S34" s="190">
        <v>0</v>
      </c>
      <c r="T34" s="190">
        <v>349.12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</v>
      </c>
      <c r="F36" s="18">
        <v>651.75000000000034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1">
        <v>0</v>
      </c>
      <c r="M36" s="191">
        <v>0</v>
      </c>
      <c r="N36" s="191">
        <v>0</v>
      </c>
      <c r="O36" s="191">
        <v>10473.620000000001</v>
      </c>
      <c r="P36" s="191">
        <v>0</v>
      </c>
      <c r="Q36" s="191">
        <v>0</v>
      </c>
      <c r="R36" s="191">
        <v>0</v>
      </c>
      <c r="S36" s="191">
        <v>0</v>
      </c>
      <c r="T36" s="191">
        <v>10473.620000000001</v>
      </c>
    </row>
    <row r="37" spans="1:20">
      <c r="R37" s="21"/>
      <c r="S37" s="21"/>
      <c r="T37" s="192">
        <v>12568.35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BD57-941D-4537-BDC6-4B19EA091108}">
  <sheetPr>
    <pageSetUpPr fitToPage="1"/>
  </sheetPr>
  <dimension ref="A1:T37"/>
  <sheetViews>
    <sheetView workbookViewId="0">
      <selection activeCell="K5" sqref="K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245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242</v>
      </c>
      <c r="H3" s="269" t="s">
        <v>243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112</v>
      </c>
      <c r="E5" s="194">
        <v>176</v>
      </c>
      <c r="F5" s="194">
        <v>9594.0759999999991</v>
      </c>
      <c r="G5" s="195">
        <v>905.92400000000089</v>
      </c>
      <c r="H5" s="195">
        <v>712</v>
      </c>
      <c r="I5" s="10">
        <v>0</v>
      </c>
      <c r="J5" s="11">
        <v>0</v>
      </c>
      <c r="K5" s="11">
        <v>0</v>
      </c>
      <c r="L5" s="190">
        <v>0</v>
      </c>
      <c r="M5" s="190">
        <v>10640</v>
      </c>
      <c r="N5" s="190">
        <v>16720</v>
      </c>
      <c r="O5" s="190">
        <v>154176.79999999999</v>
      </c>
      <c r="P5" s="190">
        <v>14558.2</v>
      </c>
      <c r="Q5" s="190">
        <v>67640</v>
      </c>
      <c r="R5" s="190">
        <v>0</v>
      </c>
      <c r="S5" s="190">
        <v>0</v>
      </c>
      <c r="T5" s="190">
        <v>263735</v>
      </c>
    </row>
    <row r="6" spans="1:20">
      <c r="A6" s="13">
        <v>2</v>
      </c>
      <c r="B6" s="196" t="s">
        <v>207</v>
      </c>
      <c r="C6" s="197"/>
      <c r="D6" s="194">
        <v>355.5</v>
      </c>
      <c r="E6" s="194">
        <v>112</v>
      </c>
      <c r="F6" s="194">
        <v>9837.5759999999991</v>
      </c>
      <c r="G6" s="195">
        <v>662.42400000000089</v>
      </c>
      <c r="H6" s="195">
        <v>532.5</v>
      </c>
      <c r="I6" s="10">
        <v>3</v>
      </c>
      <c r="J6" s="11">
        <v>3</v>
      </c>
      <c r="K6" s="11">
        <v>0</v>
      </c>
      <c r="L6" s="190">
        <v>0</v>
      </c>
      <c r="M6" s="190">
        <v>33772.5</v>
      </c>
      <c r="N6" s="190">
        <v>10640</v>
      </c>
      <c r="O6" s="190">
        <v>158089.85</v>
      </c>
      <c r="P6" s="190">
        <v>10645.15</v>
      </c>
      <c r="Q6" s="190">
        <v>50587.5</v>
      </c>
      <c r="R6" s="190">
        <v>3000</v>
      </c>
      <c r="S6" s="190">
        <v>600</v>
      </c>
      <c r="T6" s="190">
        <v>267335</v>
      </c>
    </row>
    <row r="7" spans="1:20">
      <c r="A7" s="13">
        <v>3</v>
      </c>
      <c r="B7" s="196" t="s">
        <v>208</v>
      </c>
      <c r="C7" s="197"/>
      <c r="D7" s="194">
        <v>491.5</v>
      </c>
      <c r="E7" s="194">
        <v>44.5</v>
      </c>
      <c r="F7" s="194">
        <v>10284.575999999999</v>
      </c>
      <c r="G7" s="195">
        <v>215.42400000000089</v>
      </c>
      <c r="H7" s="195">
        <v>464</v>
      </c>
      <c r="I7" s="10">
        <v>0</v>
      </c>
      <c r="J7" s="11">
        <v>0</v>
      </c>
      <c r="K7" s="11">
        <v>0</v>
      </c>
      <c r="L7" s="190">
        <v>0</v>
      </c>
      <c r="M7" s="190">
        <v>46692.5</v>
      </c>
      <c r="N7" s="190">
        <v>4227.5</v>
      </c>
      <c r="O7" s="190">
        <v>165273.14000000001</v>
      </c>
      <c r="P7" s="190">
        <v>3461.86</v>
      </c>
      <c r="Q7" s="190">
        <v>44080</v>
      </c>
      <c r="R7" s="190">
        <v>0</v>
      </c>
      <c r="S7" s="190">
        <v>0</v>
      </c>
      <c r="T7" s="190">
        <v>263735</v>
      </c>
    </row>
    <row r="8" spans="1:20">
      <c r="A8" s="13">
        <v>4</v>
      </c>
      <c r="B8" s="196" t="s">
        <v>209</v>
      </c>
      <c r="C8" s="197"/>
      <c r="D8" s="194">
        <v>400</v>
      </c>
      <c r="E8" s="194">
        <v>67.5</v>
      </c>
      <c r="F8" s="194">
        <v>10617.075999999999</v>
      </c>
      <c r="G8" s="195">
        <v>0</v>
      </c>
      <c r="H8" s="195">
        <v>532.5</v>
      </c>
      <c r="I8" s="10">
        <v>2.9503000000000004</v>
      </c>
      <c r="J8" s="11">
        <v>4.2249999999999996</v>
      </c>
      <c r="K8" s="11">
        <v>4.3999999999999997E-2</v>
      </c>
      <c r="L8" s="190">
        <v>6.6</v>
      </c>
      <c r="M8" s="190">
        <v>38000</v>
      </c>
      <c r="N8" s="190">
        <v>6412.5</v>
      </c>
      <c r="O8" s="190">
        <v>170616.41</v>
      </c>
      <c r="P8" s="190">
        <v>0</v>
      </c>
      <c r="Q8" s="190">
        <v>50587.5</v>
      </c>
      <c r="R8" s="190">
        <v>2950.3</v>
      </c>
      <c r="S8" s="190">
        <v>845</v>
      </c>
      <c r="T8" s="190">
        <v>269418.31</v>
      </c>
    </row>
    <row r="9" spans="1:20">
      <c r="A9" s="13">
        <v>5</v>
      </c>
      <c r="B9" s="196" t="s">
        <v>210</v>
      </c>
      <c r="C9" s="197"/>
      <c r="D9" s="194">
        <v>851.99400000000003</v>
      </c>
      <c r="E9" s="194">
        <v>134</v>
      </c>
      <c r="F9" s="194">
        <v>11335.07</v>
      </c>
      <c r="G9" s="195">
        <v>0</v>
      </c>
      <c r="H9" s="195">
        <v>14.005999999999972</v>
      </c>
      <c r="I9" s="10">
        <v>0</v>
      </c>
      <c r="J9" s="11">
        <v>0</v>
      </c>
      <c r="K9" s="11">
        <v>0</v>
      </c>
      <c r="L9" s="190">
        <v>0</v>
      </c>
      <c r="M9" s="190">
        <v>80939.429999999993</v>
      </c>
      <c r="N9" s="190">
        <v>12730</v>
      </c>
      <c r="O9" s="190">
        <v>182154.57</v>
      </c>
      <c r="P9" s="190">
        <v>0</v>
      </c>
      <c r="Q9" s="190">
        <v>1330.57</v>
      </c>
      <c r="R9" s="190">
        <v>0</v>
      </c>
      <c r="S9" s="190">
        <v>0</v>
      </c>
      <c r="T9" s="190">
        <v>277154.57</v>
      </c>
    </row>
    <row r="10" spans="1:20">
      <c r="A10" s="13">
        <v>6</v>
      </c>
      <c r="B10" s="196" t="s">
        <v>211</v>
      </c>
      <c r="C10" s="197"/>
      <c r="D10" s="194">
        <v>696</v>
      </c>
      <c r="E10" s="194">
        <v>94.125</v>
      </c>
      <c r="F10" s="194">
        <v>11936.945</v>
      </c>
      <c r="G10" s="195">
        <v>0</v>
      </c>
      <c r="H10" s="195">
        <v>209.875</v>
      </c>
      <c r="I10" s="10">
        <v>0</v>
      </c>
      <c r="J10" s="11">
        <v>0</v>
      </c>
      <c r="K10" s="11">
        <v>0</v>
      </c>
      <c r="L10" s="190">
        <v>0</v>
      </c>
      <c r="M10" s="190">
        <v>66120</v>
      </c>
      <c r="N10" s="190">
        <v>8941.8799999999992</v>
      </c>
      <c r="O10" s="190">
        <v>191826.71</v>
      </c>
      <c r="P10" s="190">
        <v>0</v>
      </c>
      <c r="Q10" s="190">
        <v>19938.13</v>
      </c>
      <c r="R10" s="190">
        <v>0</v>
      </c>
      <c r="S10" s="190">
        <v>0</v>
      </c>
      <c r="T10" s="190">
        <v>286826.71000000002</v>
      </c>
    </row>
    <row r="11" spans="1:20">
      <c r="A11" s="13">
        <v>7</v>
      </c>
      <c r="B11" s="196" t="s">
        <v>212</v>
      </c>
      <c r="C11" s="197"/>
      <c r="D11" s="194">
        <v>540</v>
      </c>
      <c r="E11" s="194">
        <v>297.875</v>
      </c>
      <c r="F11" s="194">
        <v>12179.07</v>
      </c>
      <c r="G11" s="195">
        <v>0</v>
      </c>
      <c r="H11" s="195">
        <v>162.125</v>
      </c>
      <c r="I11" s="10">
        <v>0</v>
      </c>
      <c r="J11" s="11">
        <v>0</v>
      </c>
      <c r="K11" s="11">
        <v>0</v>
      </c>
      <c r="L11" s="190">
        <v>0</v>
      </c>
      <c r="M11" s="190">
        <v>51300</v>
      </c>
      <c r="N11" s="190">
        <v>28298.13</v>
      </c>
      <c r="O11" s="190">
        <v>195717.65</v>
      </c>
      <c r="P11" s="190">
        <v>0</v>
      </c>
      <c r="Q11" s="190">
        <v>15401.88</v>
      </c>
      <c r="R11" s="190">
        <v>0</v>
      </c>
      <c r="S11" s="190">
        <v>0</v>
      </c>
      <c r="T11" s="190">
        <v>290717.65000000002</v>
      </c>
    </row>
    <row r="12" spans="1:20">
      <c r="A12" s="13">
        <v>8</v>
      </c>
      <c r="B12" s="196" t="s">
        <v>213</v>
      </c>
      <c r="C12" s="197"/>
      <c r="D12" s="194">
        <v>22.5</v>
      </c>
      <c r="E12" s="194">
        <v>67.5</v>
      </c>
      <c r="F12" s="194">
        <v>12134.07</v>
      </c>
      <c r="G12" s="195">
        <v>0</v>
      </c>
      <c r="H12" s="195">
        <v>910</v>
      </c>
      <c r="I12" s="10">
        <v>0</v>
      </c>
      <c r="J12" s="11">
        <v>0</v>
      </c>
      <c r="K12" s="11">
        <v>0</v>
      </c>
      <c r="L12" s="190">
        <v>0</v>
      </c>
      <c r="M12" s="190">
        <v>2137.5</v>
      </c>
      <c r="N12" s="190">
        <v>6412.5</v>
      </c>
      <c r="O12" s="190">
        <v>194994.5</v>
      </c>
      <c r="P12" s="190">
        <v>0</v>
      </c>
      <c r="Q12" s="190">
        <v>86450</v>
      </c>
      <c r="R12" s="190">
        <v>0</v>
      </c>
      <c r="S12" s="190">
        <v>0</v>
      </c>
      <c r="T12" s="190">
        <v>289994.5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112</v>
      </c>
      <c r="F13" s="194">
        <v>12022.07</v>
      </c>
      <c r="G13" s="195">
        <v>0</v>
      </c>
      <c r="H13" s="195">
        <v>888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10640</v>
      </c>
      <c r="O13" s="190">
        <v>193194.66</v>
      </c>
      <c r="P13" s="190">
        <v>0</v>
      </c>
      <c r="Q13" s="190">
        <v>84360</v>
      </c>
      <c r="R13" s="190">
        <v>0</v>
      </c>
      <c r="S13" s="190">
        <v>0</v>
      </c>
      <c r="T13" s="190">
        <v>288194.65999999997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280.5</v>
      </c>
      <c r="F14" s="194">
        <v>11741.57</v>
      </c>
      <c r="G14" s="195">
        <v>0</v>
      </c>
      <c r="H14" s="195">
        <v>719.5</v>
      </c>
      <c r="I14" s="10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26647.5</v>
      </c>
      <c r="O14" s="190">
        <v>188687.03</v>
      </c>
      <c r="P14" s="190">
        <v>0</v>
      </c>
      <c r="Q14" s="190">
        <v>68352.5</v>
      </c>
      <c r="R14" s="190">
        <v>0</v>
      </c>
      <c r="S14" s="190">
        <v>0</v>
      </c>
      <c r="T14" s="190">
        <v>283687.03000000003</v>
      </c>
    </row>
    <row r="15" spans="1:20">
      <c r="A15" s="13">
        <v>11</v>
      </c>
      <c r="B15" s="196" t="s">
        <v>216</v>
      </c>
      <c r="C15" s="197"/>
      <c r="D15" s="194">
        <v>286</v>
      </c>
      <c r="E15" s="194">
        <v>242</v>
      </c>
      <c r="F15" s="194">
        <v>11785.57</v>
      </c>
      <c r="G15" s="195">
        <v>0</v>
      </c>
      <c r="H15" s="195">
        <v>472</v>
      </c>
      <c r="I15" s="10">
        <v>0</v>
      </c>
      <c r="J15" s="11">
        <v>0</v>
      </c>
      <c r="K15" s="11">
        <v>0</v>
      </c>
      <c r="L15" s="190">
        <v>0</v>
      </c>
      <c r="M15" s="190">
        <v>27170</v>
      </c>
      <c r="N15" s="190">
        <v>22990</v>
      </c>
      <c r="O15" s="190">
        <v>189394.11</v>
      </c>
      <c r="P15" s="190">
        <v>0</v>
      </c>
      <c r="Q15" s="190">
        <v>44840</v>
      </c>
      <c r="R15" s="190">
        <v>0</v>
      </c>
      <c r="S15" s="190">
        <v>0</v>
      </c>
      <c r="T15" s="190">
        <v>284394.11</v>
      </c>
    </row>
    <row r="16" spans="1:20">
      <c r="A16" s="13">
        <v>12</v>
      </c>
      <c r="B16" s="196" t="s">
        <v>217</v>
      </c>
      <c r="C16" s="197"/>
      <c r="D16" s="194">
        <v>297.39699999999999</v>
      </c>
      <c r="E16" s="194">
        <v>266.375</v>
      </c>
      <c r="F16" s="194">
        <v>11816.592000000001</v>
      </c>
      <c r="G16" s="195">
        <v>0</v>
      </c>
      <c r="H16" s="195">
        <v>436.22800000000001</v>
      </c>
      <c r="I16" s="10">
        <v>2.75</v>
      </c>
      <c r="J16" s="11">
        <v>2.75</v>
      </c>
      <c r="K16" s="11">
        <v>0</v>
      </c>
      <c r="L16" s="190">
        <v>0</v>
      </c>
      <c r="M16" s="190">
        <v>28252.720000000001</v>
      </c>
      <c r="N16" s="190">
        <v>25305.63</v>
      </c>
      <c r="O16" s="190">
        <v>189892.63</v>
      </c>
      <c r="P16" s="190">
        <v>0</v>
      </c>
      <c r="Q16" s="190">
        <v>41441.660000000003</v>
      </c>
      <c r="R16" s="190">
        <v>2750</v>
      </c>
      <c r="S16" s="190">
        <v>550</v>
      </c>
      <c r="T16" s="190">
        <v>288192.63</v>
      </c>
    </row>
    <row r="17" spans="1:20">
      <c r="A17" s="13">
        <v>13</v>
      </c>
      <c r="B17" s="196" t="s">
        <v>218</v>
      </c>
      <c r="C17" s="197"/>
      <c r="D17" s="194">
        <v>246.5</v>
      </c>
      <c r="E17" s="194">
        <v>253.25</v>
      </c>
      <c r="F17" s="194">
        <v>11809.842000000001</v>
      </c>
      <c r="G17" s="195">
        <v>0</v>
      </c>
      <c r="H17" s="195">
        <v>500.25</v>
      </c>
      <c r="I17" s="10">
        <v>0</v>
      </c>
      <c r="J17" s="11">
        <v>0</v>
      </c>
      <c r="K17" s="11">
        <v>0</v>
      </c>
      <c r="L17" s="190">
        <v>0</v>
      </c>
      <c r="M17" s="190">
        <v>23417.5</v>
      </c>
      <c r="N17" s="190">
        <v>24058.75</v>
      </c>
      <c r="O17" s="190">
        <v>189784.16</v>
      </c>
      <c r="P17" s="190">
        <v>0</v>
      </c>
      <c r="Q17" s="190">
        <v>47523.75</v>
      </c>
      <c r="R17" s="190">
        <v>0</v>
      </c>
      <c r="S17" s="190">
        <v>0</v>
      </c>
      <c r="T17" s="190">
        <v>284784.15999999997</v>
      </c>
    </row>
    <row r="18" spans="1:20">
      <c r="A18" s="13">
        <v>14</v>
      </c>
      <c r="B18" s="196" t="s">
        <v>219</v>
      </c>
      <c r="C18" s="197"/>
      <c r="D18" s="194">
        <v>315</v>
      </c>
      <c r="E18" s="194">
        <v>118.5</v>
      </c>
      <c r="F18" s="194">
        <v>12006.342000000001</v>
      </c>
      <c r="G18" s="195">
        <v>0</v>
      </c>
      <c r="H18" s="195">
        <v>566.5</v>
      </c>
      <c r="I18" s="10">
        <v>0</v>
      </c>
      <c r="J18" s="11">
        <v>0</v>
      </c>
      <c r="K18" s="11">
        <v>0</v>
      </c>
      <c r="L18" s="190">
        <v>0</v>
      </c>
      <c r="M18" s="190">
        <v>29925</v>
      </c>
      <c r="N18" s="190">
        <v>11257.5</v>
      </c>
      <c r="O18" s="190">
        <v>192941.92</v>
      </c>
      <c r="P18" s="190">
        <v>0</v>
      </c>
      <c r="Q18" s="190">
        <v>53817.5</v>
      </c>
      <c r="R18" s="190">
        <v>0</v>
      </c>
      <c r="S18" s="190">
        <v>0</v>
      </c>
      <c r="T18" s="190">
        <v>287941.92</v>
      </c>
    </row>
    <row r="19" spans="1:20">
      <c r="A19" s="13">
        <v>15</v>
      </c>
      <c r="B19" s="196" t="s">
        <v>220</v>
      </c>
      <c r="C19" s="197"/>
      <c r="D19" s="194">
        <v>44.5</v>
      </c>
      <c r="E19" s="194">
        <v>89.375</v>
      </c>
      <c r="F19" s="194">
        <v>11961.467000000001</v>
      </c>
      <c r="G19" s="195">
        <v>0</v>
      </c>
      <c r="H19" s="195">
        <v>866.125</v>
      </c>
      <c r="I19" s="10">
        <v>0</v>
      </c>
      <c r="J19" s="11">
        <v>0</v>
      </c>
      <c r="K19" s="11">
        <v>0</v>
      </c>
      <c r="L19" s="190">
        <v>0</v>
      </c>
      <c r="M19" s="190">
        <v>4227.5</v>
      </c>
      <c r="N19" s="190">
        <v>8490.6299999999992</v>
      </c>
      <c r="O19" s="190">
        <v>192220.77</v>
      </c>
      <c r="P19" s="190">
        <v>0</v>
      </c>
      <c r="Q19" s="190">
        <v>82281.88</v>
      </c>
      <c r="R19" s="190">
        <v>0</v>
      </c>
      <c r="S19" s="190">
        <v>0</v>
      </c>
      <c r="T19" s="190">
        <v>287220.77</v>
      </c>
    </row>
    <row r="20" spans="1:20">
      <c r="A20" s="13">
        <v>16</v>
      </c>
      <c r="B20" s="196" t="s">
        <v>221</v>
      </c>
      <c r="C20" s="197"/>
      <c r="D20" s="194">
        <v>289.125</v>
      </c>
      <c r="E20" s="194">
        <v>0</v>
      </c>
      <c r="F20" s="194">
        <v>12250.592000000001</v>
      </c>
      <c r="G20" s="195">
        <v>0</v>
      </c>
      <c r="H20" s="195">
        <v>710.875</v>
      </c>
      <c r="I20" s="10">
        <v>0</v>
      </c>
      <c r="J20" s="11">
        <v>0</v>
      </c>
      <c r="K20" s="11">
        <v>0</v>
      </c>
      <c r="L20" s="190">
        <v>0</v>
      </c>
      <c r="M20" s="190">
        <v>27466.880000000001</v>
      </c>
      <c r="N20" s="190">
        <v>0</v>
      </c>
      <c r="O20" s="190">
        <v>196867.01</v>
      </c>
      <c r="P20" s="190">
        <v>0</v>
      </c>
      <c r="Q20" s="190">
        <v>67533.13</v>
      </c>
      <c r="R20" s="190">
        <v>0</v>
      </c>
      <c r="S20" s="190">
        <v>0</v>
      </c>
      <c r="T20" s="190">
        <v>291867.01</v>
      </c>
    </row>
    <row r="21" spans="1:20">
      <c r="A21" s="13">
        <v>17</v>
      </c>
      <c r="B21" s="196" t="s">
        <v>222</v>
      </c>
      <c r="C21" s="197"/>
      <c r="D21" s="194">
        <v>156.49799999999999</v>
      </c>
      <c r="E21" s="194">
        <v>48.625</v>
      </c>
      <c r="F21" s="194">
        <v>12358.465</v>
      </c>
      <c r="G21" s="195">
        <v>0</v>
      </c>
      <c r="H21" s="195">
        <v>794.87699999999995</v>
      </c>
      <c r="I21" s="10">
        <v>1.35</v>
      </c>
      <c r="J21" s="11">
        <v>1.35</v>
      </c>
      <c r="K21" s="11">
        <v>2.3E-2</v>
      </c>
      <c r="L21" s="190">
        <v>3.45</v>
      </c>
      <c r="M21" s="190">
        <v>14867.31</v>
      </c>
      <c r="N21" s="190">
        <v>4619.38</v>
      </c>
      <c r="O21" s="190">
        <v>198600.53</v>
      </c>
      <c r="P21" s="190">
        <v>0</v>
      </c>
      <c r="Q21" s="190">
        <v>75513.320000000007</v>
      </c>
      <c r="R21" s="190">
        <v>1350</v>
      </c>
      <c r="S21" s="190">
        <v>270</v>
      </c>
      <c r="T21" s="190">
        <v>295223.98</v>
      </c>
    </row>
    <row r="22" spans="1:20">
      <c r="A22" s="13">
        <v>18</v>
      </c>
      <c r="B22" s="196" t="s">
        <v>223</v>
      </c>
      <c r="C22" s="197"/>
      <c r="D22" s="194">
        <v>112.5</v>
      </c>
      <c r="E22" s="194">
        <v>76.75</v>
      </c>
      <c r="F22" s="194">
        <v>12394.215</v>
      </c>
      <c r="G22" s="195">
        <v>0</v>
      </c>
      <c r="H22" s="195">
        <v>810.75</v>
      </c>
      <c r="I22" s="10">
        <v>0</v>
      </c>
      <c r="J22" s="11">
        <v>0</v>
      </c>
      <c r="K22" s="11">
        <v>0</v>
      </c>
      <c r="L22" s="190">
        <v>0</v>
      </c>
      <c r="M22" s="190">
        <v>10687.5</v>
      </c>
      <c r="N22" s="190">
        <v>7291.25</v>
      </c>
      <c r="O22" s="190">
        <v>199175.04000000001</v>
      </c>
      <c r="P22" s="190">
        <v>0</v>
      </c>
      <c r="Q22" s="190">
        <v>77021.25</v>
      </c>
      <c r="R22" s="190">
        <v>0</v>
      </c>
      <c r="S22" s="190">
        <v>0</v>
      </c>
      <c r="T22" s="190">
        <v>294175.03999999998</v>
      </c>
    </row>
    <row r="23" spans="1:20">
      <c r="A23" s="13">
        <v>19</v>
      </c>
      <c r="B23" s="196" t="s">
        <v>224</v>
      </c>
      <c r="C23" s="197"/>
      <c r="D23" s="194">
        <v>22</v>
      </c>
      <c r="E23" s="194">
        <v>72.875</v>
      </c>
      <c r="F23" s="194">
        <v>12343.34</v>
      </c>
      <c r="G23" s="195">
        <v>0</v>
      </c>
      <c r="H23" s="195">
        <v>905.125</v>
      </c>
      <c r="I23" s="10">
        <v>0</v>
      </c>
      <c r="J23" s="11">
        <v>0</v>
      </c>
      <c r="K23" s="11">
        <v>0</v>
      </c>
      <c r="L23" s="190">
        <v>0</v>
      </c>
      <c r="M23" s="190">
        <v>2090</v>
      </c>
      <c r="N23" s="190">
        <v>6923.13</v>
      </c>
      <c r="O23" s="190">
        <v>198357.47</v>
      </c>
      <c r="P23" s="190">
        <v>0</v>
      </c>
      <c r="Q23" s="190">
        <v>85986.880000000005</v>
      </c>
      <c r="R23" s="190">
        <v>0</v>
      </c>
      <c r="S23" s="190">
        <v>0</v>
      </c>
      <c r="T23" s="190">
        <v>293357.46999999997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266.375</v>
      </c>
      <c r="F24" s="194">
        <v>12076.965</v>
      </c>
      <c r="G24" s="195">
        <v>0</v>
      </c>
      <c r="H24" s="195">
        <v>733.625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25305.63</v>
      </c>
      <c r="O24" s="190">
        <v>194076.83</v>
      </c>
      <c r="P24" s="190">
        <v>0</v>
      </c>
      <c r="Q24" s="190">
        <v>69694.38</v>
      </c>
      <c r="R24" s="190">
        <v>0</v>
      </c>
      <c r="S24" s="190">
        <v>0</v>
      </c>
      <c r="T24" s="190">
        <v>289076.83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244.3</v>
      </c>
      <c r="F25" s="194">
        <v>11832.665000000001</v>
      </c>
      <c r="G25" s="195">
        <v>0</v>
      </c>
      <c r="H25" s="195">
        <v>755.7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23208.5</v>
      </c>
      <c r="O25" s="190">
        <v>190150.93</v>
      </c>
      <c r="P25" s="190">
        <v>0</v>
      </c>
      <c r="Q25" s="190">
        <v>71791.5</v>
      </c>
      <c r="R25" s="190">
        <v>0</v>
      </c>
      <c r="S25" s="190">
        <v>0</v>
      </c>
      <c r="T25" s="190">
        <v>285150.93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623.5</v>
      </c>
      <c r="F26" s="194">
        <v>11209.165000000001</v>
      </c>
      <c r="G26" s="195">
        <v>0</v>
      </c>
      <c r="H26" s="195">
        <v>376.5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59232.5</v>
      </c>
      <c r="O26" s="190">
        <v>180131.28</v>
      </c>
      <c r="P26" s="190">
        <v>0</v>
      </c>
      <c r="Q26" s="190">
        <v>35767.5</v>
      </c>
      <c r="R26" s="190">
        <v>0</v>
      </c>
      <c r="S26" s="190">
        <v>0</v>
      </c>
      <c r="T26" s="190">
        <v>275131.28000000003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607.5</v>
      </c>
      <c r="F27" s="194">
        <v>10601.665000000001</v>
      </c>
      <c r="G27" s="195">
        <v>0</v>
      </c>
      <c r="H27" s="195">
        <v>392.5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57712.5</v>
      </c>
      <c r="O27" s="190">
        <v>170368.76</v>
      </c>
      <c r="P27" s="190">
        <v>0</v>
      </c>
      <c r="Q27" s="190">
        <v>37287.5</v>
      </c>
      <c r="R27" s="190">
        <v>0</v>
      </c>
      <c r="S27" s="190">
        <v>0</v>
      </c>
      <c r="T27" s="190">
        <v>265368.76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110.9</v>
      </c>
      <c r="F28" s="194">
        <v>10490.764999999999</v>
      </c>
      <c r="G28" s="195">
        <v>9.2350000000005821</v>
      </c>
      <c r="H28" s="195">
        <v>889.1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10535.5</v>
      </c>
      <c r="O28" s="190">
        <v>168586.59</v>
      </c>
      <c r="P28" s="190">
        <v>148.41</v>
      </c>
      <c r="Q28" s="190">
        <v>84464.5</v>
      </c>
      <c r="R28" s="190">
        <v>0</v>
      </c>
      <c r="S28" s="190">
        <v>0</v>
      </c>
      <c r="T28" s="190">
        <v>263735</v>
      </c>
    </row>
    <row r="29" spans="1:20">
      <c r="A29" s="13">
        <v>25</v>
      </c>
      <c r="B29" s="196" t="s">
        <v>230</v>
      </c>
      <c r="C29" s="197"/>
      <c r="D29" s="194">
        <v>45</v>
      </c>
      <c r="E29" s="194">
        <v>22.1</v>
      </c>
      <c r="F29" s="194">
        <v>10513.665000000001</v>
      </c>
      <c r="G29" s="195">
        <v>0</v>
      </c>
      <c r="H29" s="195">
        <v>932.9</v>
      </c>
      <c r="I29" s="10">
        <v>0</v>
      </c>
      <c r="J29" s="11">
        <v>0</v>
      </c>
      <c r="K29" s="11">
        <v>0</v>
      </c>
      <c r="L29" s="190">
        <v>0</v>
      </c>
      <c r="M29" s="190">
        <v>4275</v>
      </c>
      <c r="N29" s="190">
        <v>2099.5</v>
      </c>
      <c r="O29" s="190">
        <v>168954.6</v>
      </c>
      <c r="P29" s="190">
        <v>0</v>
      </c>
      <c r="Q29" s="190">
        <v>88625.5</v>
      </c>
      <c r="R29" s="190">
        <v>0</v>
      </c>
      <c r="S29" s="190">
        <v>0</v>
      </c>
      <c r="T29" s="190">
        <v>263954.59999999998</v>
      </c>
    </row>
    <row r="30" spans="1:20">
      <c r="A30" s="13">
        <v>26</v>
      </c>
      <c r="B30" s="196" t="s">
        <v>231</v>
      </c>
      <c r="C30" s="197"/>
      <c r="D30" s="194">
        <v>112.5</v>
      </c>
      <c r="E30" s="194">
        <v>266</v>
      </c>
      <c r="F30" s="194">
        <v>10360.165000000001</v>
      </c>
      <c r="G30" s="195">
        <v>139.83499999999913</v>
      </c>
      <c r="H30" s="195">
        <v>621.5</v>
      </c>
      <c r="I30" s="10">
        <v>0</v>
      </c>
      <c r="J30" s="11">
        <v>0</v>
      </c>
      <c r="K30" s="11">
        <v>0</v>
      </c>
      <c r="L30" s="190">
        <v>0</v>
      </c>
      <c r="M30" s="190">
        <v>10687.5</v>
      </c>
      <c r="N30" s="190">
        <v>25270</v>
      </c>
      <c r="O30" s="190">
        <v>166487.85</v>
      </c>
      <c r="P30" s="190">
        <v>2247.15</v>
      </c>
      <c r="Q30" s="190">
        <v>59042.5</v>
      </c>
      <c r="R30" s="190">
        <v>0</v>
      </c>
      <c r="S30" s="190">
        <v>0</v>
      </c>
      <c r="T30" s="190">
        <v>263735</v>
      </c>
    </row>
    <row r="31" spans="1:20">
      <c r="A31" s="13">
        <v>27</v>
      </c>
      <c r="B31" s="196" t="s">
        <v>232</v>
      </c>
      <c r="C31" s="197"/>
      <c r="D31" s="194">
        <v>237.59700000000001</v>
      </c>
      <c r="E31" s="194">
        <v>114.825</v>
      </c>
      <c r="F31" s="194">
        <v>10482.937</v>
      </c>
      <c r="G31" s="195">
        <v>17.063000000000102</v>
      </c>
      <c r="H31" s="195">
        <v>647.57799999999997</v>
      </c>
      <c r="I31" s="10">
        <v>12.397</v>
      </c>
      <c r="J31" s="11">
        <v>12</v>
      </c>
      <c r="K31" s="11">
        <v>0.39700000000000002</v>
      </c>
      <c r="L31" s="190">
        <v>59.55</v>
      </c>
      <c r="M31" s="190">
        <v>22571.72</v>
      </c>
      <c r="N31" s="190">
        <v>10908.38</v>
      </c>
      <c r="O31" s="190">
        <v>168460.79999999999</v>
      </c>
      <c r="P31" s="190">
        <v>274.2</v>
      </c>
      <c r="Q31" s="190">
        <v>61519.91</v>
      </c>
      <c r="R31" s="190">
        <v>12397</v>
      </c>
      <c r="S31" s="190">
        <v>2400</v>
      </c>
      <c r="T31" s="190">
        <v>278591.55</v>
      </c>
    </row>
    <row r="32" spans="1:20">
      <c r="A32" s="13">
        <v>28</v>
      </c>
      <c r="B32" s="196" t="s">
        <v>233</v>
      </c>
      <c r="C32" s="197"/>
      <c r="D32" s="194">
        <v>89.998000000000005</v>
      </c>
      <c r="E32" s="194">
        <v>275.72500000000002</v>
      </c>
      <c r="F32" s="194">
        <v>10297.209999999999</v>
      </c>
      <c r="G32" s="195">
        <v>202.79000000000087</v>
      </c>
      <c r="H32" s="195">
        <v>634.27699999999993</v>
      </c>
      <c r="I32" s="10">
        <v>1.4750000000000001</v>
      </c>
      <c r="J32" s="11">
        <v>1.4750000000000001</v>
      </c>
      <c r="K32" s="11">
        <v>2.3E-2</v>
      </c>
      <c r="L32" s="190">
        <v>3.45</v>
      </c>
      <c r="M32" s="190">
        <v>8549.81</v>
      </c>
      <c r="N32" s="190">
        <v>26193.88</v>
      </c>
      <c r="O32" s="190">
        <v>165476.16</v>
      </c>
      <c r="P32" s="190">
        <v>3258.84</v>
      </c>
      <c r="Q32" s="190">
        <v>60256.32</v>
      </c>
      <c r="R32" s="190">
        <v>1475</v>
      </c>
      <c r="S32" s="190">
        <v>295</v>
      </c>
      <c r="T32" s="190">
        <v>265508.45</v>
      </c>
    </row>
    <row r="33" spans="1:20">
      <c r="A33" s="13">
        <v>29</v>
      </c>
      <c r="B33" s="196" t="s">
        <v>234</v>
      </c>
      <c r="C33" s="197"/>
      <c r="D33" s="194">
        <v>224.989</v>
      </c>
      <c r="E33" s="194">
        <v>237</v>
      </c>
      <c r="F33" s="194">
        <v>10285.199000000001</v>
      </c>
      <c r="G33" s="195">
        <v>214.80099999999948</v>
      </c>
      <c r="H33" s="195">
        <v>538.01099999999997</v>
      </c>
      <c r="I33" s="10">
        <v>4.5</v>
      </c>
      <c r="J33" s="11">
        <v>4.5</v>
      </c>
      <c r="K33" s="11">
        <v>0.114</v>
      </c>
      <c r="L33" s="190">
        <v>17.100000000000001</v>
      </c>
      <c r="M33" s="190">
        <v>21373.96</v>
      </c>
      <c r="N33" s="190">
        <v>22515</v>
      </c>
      <c r="O33" s="190">
        <v>165283.15</v>
      </c>
      <c r="P33" s="190">
        <v>3451.85</v>
      </c>
      <c r="Q33" s="190">
        <v>51111.05</v>
      </c>
      <c r="R33" s="190">
        <v>4500</v>
      </c>
      <c r="S33" s="190">
        <v>900</v>
      </c>
      <c r="T33" s="190">
        <v>269152.09999999998</v>
      </c>
    </row>
    <row r="34" spans="1:20">
      <c r="A34" s="13">
        <v>30</v>
      </c>
      <c r="B34" s="196" t="s">
        <v>235</v>
      </c>
      <c r="C34" s="197"/>
      <c r="D34" s="194">
        <v>247.5</v>
      </c>
      <c r="E34" s="194">
        <v>270</v>
      </c>
      <c r="F34" s="194">
        <v>10262.699000000001</v>
      </c>
      <c r="G34" s="195">
        <v>237.30099999999948</v>
      </c>
      <c r="H34" s="195">
        <v>482.5</v>
      </c>
      <c r="I34" s="10">
        <v>0</v>
      </c>
      <c r="J34" s="11">
        <v>0</v>
      </c>
      <c r="K34" s="11">
        <v>0</v>
      </c>
      <c r="L34" s="190">
        <v>0</v>
      </c>
      <c r="M34" s="190">
        <v>23512.5</v>
      </c>
      <c r="N34" s="190">
        <v>25650</v>
      </c>
      <c r="O34" s="190">
        <v>164921.57</v>
      </c>
      <c r="P34" s="190">
        <v>3813.43</v>
      </c>
      <c r="Q34" s="190">
        <v>45837.5</v>
      </c>
      <c r="R34" s="190">
        <v>0</v>
      </c>
      <c r="S34" s="190">
        <v>0</v>
      </c>
      <c r="T34" s="190">
        <v>263735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6196.5979999999981</v>
      </c>
      <c r="E36" s="18">
        <v>5591.9750000000004</v>
      </c>
      <c r="F36" s="18">
        <v>338821.62400000007</v>
      </c>
      <c r="G36" s="18">
        <v>2604.7970000000023</v>
      </c>
      <c r="H36" s="18">
        <v>18211.427</v>
      </c>
      <c r="I36" s="18">
        <v>28.4223</v>
      </c>
      <c r="J36" s="18">
        <v>29.3</v>
      </c>
      <c r="K36" s="18">
        <v>0.60100000000000009</v>
      </c>
      <c r="L36" s="191">
        <v>90.15</v>
      </c>
      <c r="M36" s="191">
        <v>588676.81000000006</v>
      </c>
      <c r="N36" s="191">
        <v>531237.63</v>
      </c>
      <c r="O36" s="191">
        <v>5444863.5</v>
      </c>
      <c r="P36" s="191">
        <v>41859.089999999997</v>
      </c>
      <c r="Q36" s="191">
        <v>1730085.57</v>
      </c>
      <c r="R36" s="191">
        <v>28422.3</v>
      </c>
      <c r="S36" s="191">
        <v>5860</v>
      </c>
      <c r="T36" s="191">
        <v>8371095.04</v>
      </c>
    </row>
    <row r="37" spans="1:20">
      <c r="R37" s="21"/>
      <c r="S37" s="21"/>
      <c r="T37" s="192">
        <v>10045314.039999999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6AB3-30F8-4F7E-8F56-CA423D461564}">
  <sheetPr>
    <pageSetUpPr fitToPage="1"/>
  </sheetPr>
  <dimension ref="A1:T37"/>
  <sheetViews>
    <sheetView topLeftCell="A10" workbookViewId="0">
      <selection activeCell="K36" sqref="K36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246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242</v>
      </c>
      <c r="H3" s="269" t="s">
        <v>243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344.72500000000002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90">
        <v>0</v>
      </c>
      <c r="M5" s="190">
        <v>0</v>
      </c>
      <c r="N5" s="190">
        <v>0</v>
      </c>
      <c r="O5" s="190">
        <v>5539.73</v>
      </c>
      <c r="P5" s="190">
        <v>0</v>
      </c>
      <c r="Q5" s="190">
        <v>0</v>
      </c>
      <c r="R5" s="190">
        <v>0</v>
      </c>
      <c r="S5" s="190">
        <v>0</v>
      </c>
      <c r="T5" s="190">
        <v>5539.73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344.72500000000002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5539.73</v>
      </c>
      <c r="P6" s="190">
        <v>0</v>
      </c>
      <c r="Q6" s="190">
        <v>0</v>
      </c>
      <c r="R6" s="190">
        <v>0</v>
      </c>
      <c r="S6" s="190">
        <v>0</v>
      </c>
      <c r="T6" s="190">
        <v>5539.73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344.72500000000002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5539.73</v>
      </c>
      <c r="P7" s="190">
        <v>0</v>
      </c>
      <c r="Q7" s="190">
        <v>0</v>
      </c>
      <c r="R7" s="190">
        <v>0</v>
      </c>
      <c r="S7" s="190">
        <v>0</v>
      </c>
      <c r="T7" s="190">
        <v>5539.73</v>
      </c>
    </row>
    <row r="8" spans="1:20">
      <c r="A8" s="13">
        <v>4</v>
      </c>
      <c r="B8" s="196" t="s">
        <v>209</v>
      </c>
      <c r="C8" s="197"/>
      <c r="D8" s="194">
        <v>44</v>
      </c>
      <c r="E8" s="194">
        <v>0</v>
      </c>
      <c r="F8" s="194">
        <v>388.72500000000002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90">
        <v>0</v>
      </c>
      <c r="M8" s="190">
        <v>4180</v>
      </c>
      <c r="N8" s="190">
        <v>0</v>
      </c>
      <c r="O8" s="190">
        <v>6246.81</v>
      </c>
      <c r="P8" s="190">
        <v>0</v>
      </c>
      <c r="Q8" s="190">
        <v>0</v>
      </c>
      <c r="R8" s="190">
        <v>0</v>
      </c>
      <c r="S8" s="190">
        <v>0</v>
      </c>
      <c r="T8" s="190">
        <v>10426.81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388.72500000000002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90">
        <v>0</v>
      </c>
      <c r="M9" s="190">
        <v>0</v>
      </c>
      <c r="N9" s="190">
        <v>0</v>
      </c>
      <c r="O9" s="190">
        <v>6246.81</v>
      </c>
      <c r="P9" s="190">
        <v>0</v>
      </c>
      <c r="Q9" s="190">
        <v>0</v>
      </c>
      <c r="R9" s="190">
        <v>0</v>
      </c>
      <c r="S9" s="190">
        <v>0</v>
      </c>
      <c r="T9" s="190">
        <v>6246.81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388.72500000000002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6246.81</v>
      </c>
      <c r="P10" s="190">
        <v>0</v>
      </c>
      <c r="Q10" s="190">
        <v>0</v>
      </c>
      <c r="R10" s="190">
        <v>0</v>
      </c>
      <c r="S10" s="190">
        <v>0</v>
      </c>
      <c r="T10" s="190">
        <v>6246.81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388.72500000000002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6246.81</v>
      </c>
      <c r="P11" s="190">
        <v>0</v>
      </c>
      <c r="Q11" s="190">
        <v>0</v>
      </c>
      <c r="R11" s="190">
        <v>0</v>
      </c>
      <c r="S11" s="190">
        <v>0</v>
      </c>
      <c r="T11" s="190">
        <v>6246.81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388.72500000000002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6246.81</v>
      </c>
      <c r="P12" s="190">
        <v>0</v>
      </c>
      <c r="Q12" s="190">
        <v>0</v>
      </c>
      <c r="R12" s="190">
        <v>0</v>
      </c>
      <c r="S12" s="190">
        <v>0</v>
      </c>
      <c r="T12" s="190">
        <v>6246.81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388.72500000000002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6246.81</v>
      </c>
      <c r="P13" s="190">
        <v>0</v>
      </c>
      <c r="Q13" s="190">
        <v>0</v>
      </c>
      <c r="R13" s="190">
        <v>0</v>
      </c>
      <c r="S13" s="190">
        <v>0</v>
      </c>
      <c r="T13" s="190">
        <v>6246.81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388.72500000000002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0</v>
      </c>
      <c r="O14" s="190">
        <v>6246.81</v>
      </c>
      <c r="P14" s="190">
        <v>0</v>
      </c>
      <c r="Q14" s="190">
        <v>0</v>
      </c>
      <c r="R14" s="190">
        <v>0</v>
      </c>
      <c r="S14" s="190">
        <v>0</v>
      </c>
      <c r="T14" s="190">
        <v>6246.81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22</v>
      </c>
      <c r="F15" s="194">
        <v>366.72500000000002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2090</v>
      </c>
      <c r="O15" s="190">
        <v>5893.27</v>
      </c>
      <c r="P15" s="190">
        <v>0</v>
      </c>
      <c r="Q15" s="190">
        <v>0</v>
      </c>
      <c r="R15" s="190">
        <v>0</v>
      </c>
      <c r="S15" s="190">
        <v>0</v>
      </c>
      <c r="T15" s="190">
        <v>7983.27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366.72500000000002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5893.27</v>
      </c>
      <c r="P16" s="190">
        <v>0</v>
      </c>
      <c r="Q16" s="190">
        <v>0</v>
      </c>
      <c r="R16" s="190">
        <v>0</v>
      </c>
      <c r="S16" s="190">
        <v>0</v>
      </c>
      <c r="T16" s="190">
        <v>5893.27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366.72500000000002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5893.27</v>
      </c>
      <c r="P17" s="190">
        <v>0</v>
      </c>
      <c r="Q17" s="190">
        <v>0</v>
      </c>
      <c r="R17" s="190">
        <v>0</v>
      </c>
      <c r="S17" s="190">
        <v>0</v>
      </c>
      <c r="T17" s="190">
        <v>5893.27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366.72500000000002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5893.27</v>
      </c>
      <c r="P18" s="190">
        <v>0</v>
      </c>
      <c r="Q18" s="190">
        <v>0</v>
      </c>
      <c r="R18" s="190">
        <v>0</v>
      </c>
      <c r="S18" s="190">
        <v>0</v>
      </c>
      <c r="T18" s="190">
        <v>5893.27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366.72500000000002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5893.27</v>
      </c>
      <c r="P19" s="190">
        <v>0</v>
      </c>
      <c r="Q19" s="190">
        <v>0</v>
      </c>
      <c r="R19" s="190">
        <v>0</v>
      </c>
      <c r="S19" s="190">
        <v>0</v>
      </c>
      <c r="T19" s="190">
        <v>5893.27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366.72500000000002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5893.27</v>
      </c>
      <c r="P20" s="190">
        <v>0</v>
      </c>
      <c r="Q20" s="190">
        <v>0</v>
      </c>
      <c r="R20" s="190">
        <v>0</v>
      </c>
      <c r="S20" s="190">
        <v>0</v>
      </c>
      <c r="T20" s="190">
        <v>5893.27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366.72500000000002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5893.27</v>
      </c>
      <c r="P21" s="190">
        <v>0</v>
      </c>
      <c r="Q21" s="190">
        <v>0</v>
      </c>
      <c r="R21" s="190">
        <v>0</v>
      </c>
      <c r="S21" s="190">
        <v>0</v>
      </c>
      <c r="T21" s="190">
        <v>5893.27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366.72500000000002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5893.27</v>
      </c>
      <c r="P22" s="190">
        <v>0</v>
      </c>
      <c r="Q22" s="190">
        <v>0</v>
      </c>
      <c r="R22" s="190">
        <v>0</v>
      </c>
      <c r="S22" s="190">
        <v>0</v>
      </c>
      <c r="T22" s="190">
        <v>5893.27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366.72500000000002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5893.27</v>
      </c>
      <c r="P23" s="190">
        <v>0</v>
      </c>
      <c r="Q23" s="190">
        <v>0</v>
      </c>
      <c r="R23" s="190">
        <v>0</v>
      </c>
      <c r="S23" s="190">
        <v>0</v>
      </c>
      <c r="T23" s="190">
        <v>5893.27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366.72500000000002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5893.27</v>
      </c>
      <c r="P24" s="190">
        <v>0</v>
      </c>
      <c r="Q24" s="190">
        <v>0</v>
      </c>
      <c r="R24" s="190">
        <v>0</v>
      </c>
      <c r="S24" s="190">
        <v>0</v>
      </c>
      <c r="T24" s="190">
        <v>5893.27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366.72500000000002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5893.27</v>
      </c>
      <c r="P25" s="190">
        <v>0</v>
      </c>
      <c r="Q25" s="190">
        <v>0</v>
      </c>
      <c r="R25" s="190">
        <v>0</v>
      </c>
      <c r="S25" s="190">
        <v>0</v>
      </c>
      <c r="T25" s="190">
        <v>5893.27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22</v>
      </c>
      <c r="F26" s="194">
        <v>344.72500000000002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2090</v>
      </c>
      <c r="O26" s="190">
        <v>5539.73</v>
      </c>
      <c r="P26" s="190">
        <v>0</v>
      </c>
      <c r="Q26" s="190">
        <v>0</v>
      </c>
      <c r="R26" s="190">
        <v>0</v>
      </c>
      <c r="S26" s="190">
        <v>0</v>
      </c>
      <c r="T26" s="190">
        <v>7629.73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344.72500000000002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5539.73</v>
      </c>
      <c r="P27" s="190">
        <v>0</v>
      </c>
      <c r="Q27" s="190">
        <v>0</v>
      </c>
      <c r="R27" s="190">
        <v>0</v>
      </c>
      <c r="S27" s="190">
        <v>0</v>
      </c>
      <c r="T27" s="190">
        <v>5539.73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22</v>
      </c>
      <c r="F28" s="194">
        <v>322.72500000000002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2090</v>
      </c>
      <c r="O28" s="190">
        <v>5186.1899999999996</v>
      </c>
      <c r="P28" s="190">
        <v>0</v>
      </c>
      <c r="Q28" s="190">
        <v>0</v>
      </c>
      <c r="R28" s="190">
        <v>0</v>
      </c>
      <c r="S28" s="190">
        <v>0</v>
      </c>
      <c r="T28" s="190">
        <v>7276.19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322.72500000000002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5186.1899999999996</v>
      </c>
      <c r="P29" s="190">
        <v>0</v>
      </c>
      <c r="Q29" s="190">
        <v>0</v>
      </c>
      <c r="R29" s="190">
        <v>0</v>
      </c>
      <c r="S29" s="190">
        <v>0</v>
      </c>
      <c r="T29" s="190">
        <v>5186.1899999999996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322.72500000000002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0</v>
      </c>
      <c r="O30" s="190">
        <v>5186.1899999999996</v>
      </c>
      <c r="P30" s="190">
        <v>0</v>
      </c>
      <c r="Q30" s="190">
        <v>0</v>
      </c>
      <c r="R30" s="190">
        <v>0</v>
      </c>
      <c r="S30" s="190">
        <v>0</v>
      </c>
      <c r="T30" s="190">
        <v>5186.1899999999996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322.72500000000002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5186.1899999999996</v>
      </c>
      <c r="P31" s="190">
        <v>0</v>
      </c>
      <c r="Q31" s="190">
        <v>0</v>
      </c>
      <c r="R31" s="190">
        <v>0</v>
      </c>
      <c r="S31" s="190">
        <v>0</v>
      </c>
      <c r="T31" s="190">
        <v>5186.1899999999996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322.72500000000002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5186.1899999999996</v>
      </c>
      <c r="P32" s="190">
        <v>0</v>
      </c>
      <c r="Q32" s="190">
        <v>0</v>
      </c>
      <c r="R32" s="190">
        <v>0</v>
      </c>
      <c r="S32" s="190">
        <v>0</v>
      </c>
      <c r="T32" s="190">
        <v>5186.1899999999996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322.72500000000002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5186.1899999999996</v>
      </c>
      <c r="P33" s="190">
        <v>0</v>
      </c>
      <c r="Q33" s="190">
        <v>0</v>
      </c>
      <c r="R33" s="190">
        <v>0</v>
      </c>
      <c r="S33" s="190">
        <v>0</v>
      </c>
      <c r="T33" s="190">
        <v>5186.1899999999996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322.72500000000002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5186.1899999999996</v>
      </c>
      <c r="P34" s="190">
        <v>0</v>
      </c>
      <c r="Q34" s="190">
        <v>0</v>
      </c>
      <c r="R34" s="190">
        <v>0</v>
      </c>
      <c r="S34" s="190">
        <v>0</v>
      </c>
      <c r="T34" s="190">
        <v>5186.1899999999996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44</v>
      </c>
      <c r="E36" s="18">
        <v>66</v>
      </c>
      <c r="F36" s="18">
        <v>10737.750000000005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1">
        <v>0</v>
      </c>
      <c r="M36" s="191">
        <v>4180</v>
      </c>
      <c r="N36" s="191">
        <v>6270</v>
      </c>
      <c r="O36" s="191">
        <v>172555.64</v>
      </c>
      <c r="P36" s="191">
        <v>0</v>
      </c>
      <c r="Q36" s="191">
        <v>0</v>
      </c>
      <c r="R36" s="191">
        <v>0</v>
      </c>
      <c r="S36" s="191">
        <v>0</v>
      </c>
      <c r="T36" s="191">
        <v>183005.64</v>
      </c>
    </row>
    <row r="37" spans="1:20">
      <c r="R37" s="21"/>
      <c r="S37" s="21"/>
      <c r="T37" s="192">
        <v>219606.77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4994-8AEB-40F4-849C-C5F53181C9B9}">
  <sheetPr>
    <pageSetUpPr fitToPage="1"/>
  </sheetPr>
  <dimension ref="A1:T37"/>
  <sheetViews>
    <sheetView workbookViewId="0">
      <selection activeCell="Q5" sqref="Q5:Q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247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248</v>
      </c>
      <c r="H3" s="269" t="s">
        <v>249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177</v>
      </c>
      <c r="E5" s="194">
        <v>88.5</v>
      </c>
      <c r="F5" s="194">
        <v>10911.069</v>
      </c>
      <c r="G5" s="195">
        <v>0</v>
      </c>
      <c r="H5" s="195">
        <v>434.5</v>
      </c>
      <c r="I5" s="10">
        <v>0</v>
      </c>
      <c r="J5" s="10">
        <v>0</v>
      </c>
      <c r="K5" s="11"/>
      <c r="L5" s="190">
        <v>0</v>
      </c>
      <c r="M5" s="190">
        <v>19218.66</v>
      </c>
      <c r="N5" s="190">
        <v>9609.33</v>
      </c>
      <c r="O5" s="190">
        <v>111292.9</v>
      </c>
      <c r="P5" s="190">
        <v>0</v>
      </c>
      <c r="Q5" s="190">
        <v>47178.01</v>
      </c>
      <c r="R5" s="190">
        <v>0</v>
      </c>
      <c r="S5" s="190">
        <v>0</v>
      </c>
      <c r="T5" s="190">
        <v>187298.9</v>
      </c>
    </row>
    <row r="6" spans="1:20">
      <c r="A6" s="13">
        <v>2</v>
      </c>
      <c r="B6" s="196" t="s">
        <v>207</v>
      </c>
      <c r="C6" s="197"/>
      <c r="D6" s="194">
        <v>327.75</v>
      </c>
      <c r="E6" s="194">
        <v>312.875</v>
      </c>
      <c r="F6" s="194">
        <v>10925.944</v>
      </c>
      <c r="G6" s="195">
        <v>0</v>
      </c>
      <c r="H6" s="195">
        <v>59.375</v>
      </c>
      <c r="I6" s="10">
        <v>0</v>
      </c>
      <c r="J6" s="10">
        <v>0</v>
      </c>
      <c r="K6" s="11"/>
      <c r="L6" s="190">
        <v>0</v>
      </c>
      <c r="M6" s="190">
        <v>35587.1</v>
      </c>
      <c r="N6" s="190">
        <v>33971.97</v>
      </c>
      <c r="O6" s="190">
        <v>111444.63</v>
      </c>
      <c r="P6" s="190">
        <v>0</v>
      </c>
      <c r="Q6" s="190">
        <v>6446.94</v>
      </c>
      <c r="R6" s="190">
        <v>0</v>
      </c>
      <c r="S6" s="190">
        <v>0</v>
      </c>
      <c r="T6" s="190">
        <v>187450.63</v>
      </c>
    </row>
    <row r="7" spans="1:20">
      <c r="A7" s="13">
        <v>3</v>
      </c>
      <c r="B7" s="196" t="s">
        <v>208</v>
      </c>
      <c r="C7" s="197"/>
      <c r="D7" s="194">
        <v>266.5</v>
      </c>
      <c r="E7" s="194">
        <v>199.375</v>
      </c>
      <c r="F7" s="194">
        <v>10993.069</v>
      </c>
      <c r="G7" s="195">
        <v>0</v>
      </c>
      <c r="H7" s="195">
        <v>234.125</v>
      </c>
      <c r="I7" s="10">
        <v>0</v>
      </c>
      <c r="J7" s="10">
        <v>0</v>
      </c>
      <c r="K7" s="11"/>
      <c r="L7" s="190">
        <v>0</v>
      </c>
      <c r="M7" s="190">
        <v>28936.57</v>
      </c>
      <c r="N7" s="190">
        <v>21648.14</v>
      </c>
      <c r="O7" s="190">
        <v>112129.3</v>
      </c>
      <c r="P7" s="190">
        <v>0</v>
      </c>
      <c r="Q7" s="190">
        <v>25421.29</v>
      </c>
      <c r="R7" s="190">
        <v>0</v>
      </c>
      <c r="S7" s="190">
        <v>0</v>
      </c>
      <c r="T7" s="190">
        <v>188135.3</v>
      </c>
    </row>
    <row r="8" spans="1:20">
      <c r="A8" s="13">
        <v>4</v>
      </c>
      <c r="B8" s="196" t="s">
        <v>209</v>
      </c>
      <c r="C8" s="197"/>
      <c r="D8" s="194">
        <v>155.5</v>
      </c>
      <c r="E8" s="194">
        <v>44.5</v>
      </c>
      <c r="F8" s="194">
        <v>11104.069</v>
      </c>
      <c r="G8" s="195">
        <v>0</v>
      </c>
      <c r="H8" s="195">
        <v>500</v>
      </c>
      <c r="I8" s="10">
        <v>0</v>
      </c>
      <c r="J8" s="10">
        <v>0</v>
      </c>
      <c r="K8" s="11"/>
      <c r="L8" s="190">
        <v>0</v>
      </c>
      <c r="M8" s="190">
        <v>16884.189999999999</v>
      </c>
      <c r="N8" s="190">
        <v>4831.8100000000004</v>
      </c>
      <c r="O8" s="190">
        <v>113261.5</v>
      </c>
      <c r="P8" s="190">
        <v>0</v>
      </c>
      <c r="Q8" s="190">
        <v>54290</v>
      </c>
      <c r="R8" s="190">
        <v>0</v>
      </c>
      <c r="S8" s="190">
        <v>0</v>
      </c>
      <c r="T8" s="190">
        <v>189267.5</v>
      </c>
    </row>
    <row r="9" spans="1:20">
      <c r="A9" s="13">
        <v>5</v>
      </c>
      <c r="B9" s="196" t="s">
        <v>210</v>
      </c>
      <c r="C9" s="197"/>
      <c r="D9" s="194">
        <v>155.5</v>
      </c>
      <c r="E9" s="194">
        <v>156.125</v>
      </c>
      <c r="F9" s="194">
        <v>11103.444</v>
      </c>
      <c r="G9" s="195">
        <v>0</v>
      </c>
      <c r="H9" s="195">
        <v>388.375</v>
      </c>
      <c r="I9" s="10">
        <v>0</v>
      </c>
      <c r="J9" s="10">
        <v>0</v>
      </c>
      <c r="K9" s="11"/>
      <c r="L9" s="190">
        <v>0</v>
      </c>
      <c r="M9" s="190">
        <v>16884.189999999999</v>
      </c>
      <c r="N9" s="190">
        <v>16952.05</v>
      </c>
      <c r="O9" s="190">
        <v>113255.13</v>
      </c>
      <c r="P9" s="190">
        <v>0</v>
      </c>
      <c r="Q9" s="190">
        <v>42169.760000000002</v>
      </c>
      <c r="R9" s="190">
        <v>0</v>
      </c>
      <c r="S9" s="190">
        <v>0</v>
      </c>
      <c r="T9" s="190">
        <v>189261.13</v>
      </c>
    </row>
    <row r="10" spans="1:20">
      <c r="A10" s="13">
        <v>6</v>
      </c>
      <c r="B10" s="196" t="s">
        <v>211</v>
      </c>
      <c r="C10" s="197"/>
      <c r="D10" s="194">
        <v>335.5</v>
      </c>
      <c r="E10" s="194">
        <v>201.5</v>
      </c>
      <c r="F10" s="194">
        <v>11237.444</v>
      </c>
      <c r="G10" s="195">
        <v>0</v>
      </c>
      <c r="H10" s="195">
        <v>163</v>
      </c>
      <c r="I10" s="10">
        <v>0</v>
      </c>
      <c r="J10" s="10">
        <v>0</v>
      </c>
      <c r="K10" s="11"/>
      <c r="L10" s="190">
        <v>0</v>
      </c>
      <c r="M10" s="190">
        <v>36428.589999999997</v>
      </c>
      <c r="N10" s="190">
        <v>21878.87</v>
      </c>
      <c r="O10" s="190">
        <v>114621.93</v>
      </c>
      <c r="P10" s="190">
        <v>0</v>
      </c>
      <c r="Q10" s="190">
        <v>17698.54</v>
      </c>
      <c r="R10" s="190">
        <v>0</v>
      </c>
      <c r="S10" s="190">
        <v>0</v>
      </c>
      <c r="T10" s="190">
        <v>190627.93</v>
      </c>
    </row>
    <row r="11" spans="1:20">
      <c r="A11" s="13">
        <v>7</v>
      </c>
      <c r="B11" s="196" t="s">
        <v>212</v>
      </c>
      <c r="C11" s="197"/>
      <c r="D11" s="194">
        <v>247.5</v>
      </c>
      <c r="E11" s="194">
        <v>175.125</v>
      </c>
      <c r="F11" s="194">
        <v>11309.819</v>
      </c>
      <c r="G11" s="195">
        <v>0</v>
      </c>
      <c r="H11" s="195">
        <v>277.375</v>
      </c>
      <c r="I11" s="10">
        <v>0</v>
      </c>
      <c r="J11" s="10">
        <v>0</v>
      </c>
      <c r="K11" s="11"/>
      <c r="L11" s="190">
        <v>0</v>
      </c>
      <c r="M11" s="190">
        <v>26873.55</v>
      </c>
      <c r="N11" s="190">
        <v>19015.07</v>
      </c>
      <c r="O11" s="190">
        <v>115360.15</v>
      </c>
      <c r="P11" s="190">
        <v>0</v>
      </c>
      <c r="Q11" s="190">
        <v>30117.38</v>
      </c>
      <c r="R11" s="190">
        <v>0</v>
      </c>
      <c r="S11" s="190">
        <v>0</v>
      </c>
      <c r="T11" s="190">
        <v>191366.15</v>
      </c>
    </row>
    <row r="12" spans="1:20">
      <c r="A12" s="13">
        <v>8</v>
      </c>
      <c r="B12" s="196" t="s">
        <v>213</v>
      </c>
      <c r="C12" s="197"/>
      <c r="D12" s="194">
        <v>177</v>
      </c>
      <c r="E12" s="194">
        <v>108.375</v>
      </c>
      <c r="F12" s="194">
        <v>11378.444</v>
      </c>
      <c r="G12" s="195">
        <v>0</v>
      </c>
      <c r="H12" s="195">
        <v>414.625</v>
      </c>
      <c r="I12" s="10">
        <v>0</v>
      </c>
      <c r="J12" s="10">
        <v>0</v>
      </c>
      <c r="K12" s="11"/>
      <c r="L12" s="190">
        <v>0</v>
      </c>
      <c r="M12" s="190">
        <v>19218.66</v>
      </c>
      <c r="N12" s="190">
        <v>11767.36</v>
      </c>
      <c r="O12" s="190">
        <v>116060.13</v>
      </c>
      <c r="P12" s="190">
        <v>0</v>
      </c>
      <c r="Q12" s="190">
        <v>45019.98</v>
      </c>
      <c r="R12" s="190">
        <v>0</v>
      </c>
      <c r="S12" s="190">
        <v>0</v>
      </c>
      <c r="T12" s="190">
        <v>192066.13</v>
      </c>
    </row>
    <row r="13" spans="1:20">
      <c r="A13" s="13">
        <v>9</v>
      </c>
      <c r="B13" s="196" t="s">
        <v>214</v>
      </c>
      <c r="C13" s="197"/>
      <c r="D13" s="194">
        <v>442</v>
      </c>
      <c r="E13" s="194">
        <v>22.5</v>
      </c>
      <c r="F13" s="194">
        <v>11797.944</v>
      </c>
      <c r="G13" s="195">
        <v>0</v>
      </c>
      <c r="H13" s="195">
        <v>235.5</v>
      </c>
      <c r="I13" s="10">
        <v>0</v>
      </c>
      <c r="J13" s="10">
        <v>0</v>
      </c>
      <c r="K13" s="11"/>
      <c r="L13" s="190">
        <v>0</v>
      </c>
      <c r="M13" s="190">
        <v>47992.36</v>
      </c>
      <c r="N13" s="190">
        <v>2443.0500000000002</v>
      </c>
      <c r="O13" s="190">
        <v>120339.03</v>
      </c>
      <c r="P13" s="190">
        <v>0</v>
      </c>
      <c r="Q13" s="190">
        <v>25570.59</v>
      </c>
      <c r="R13" s="190">
        <v>0</v>
      </c>
      <c r="S13" s="190">
        <v>0</v>
      </c>
      <c r="T13" s="190">
        <v>196345.03</v>
      </c>
    </row>
    <row r="14" spans="1:20">
      <c r="A14" s="13">
        <v>10</v>
      </c>
      <c r="B14" s="196" t="s">
        <v>215</v>
      </c>
      <c r="C14" s="197"/>
      <c r="D14" s="194">
        <v>199.5</v>
      </c>
      <c r="E14" s="194">
        <v>81.974999999999994</v>
      </c>
      <c r="F14" s="194">
        <v>11915.468999999999</v>
      </c>
      <c r="G14" s="195">
        <v>0</v>
      </c>
      <c r="H14" s="195">
        <v>418.52499999999998</v>
      </c>
      <c r="I14" s="10">
        <v>0</v>
      </c>
      <c r="J14" s="10">
        <v>0</v>
      </c>
      <c r="K14" s="11"/>
      <c r="L14" s="190">
        <v>0</v>
      </c>
      <c r="M14" s="190">
        <v>21661.71</v>
      </c>
      <c r="N14" s="190">
        <v>8900.85</v>
      </c>
      <c r="O14" s="190">
        <v>121537.78</v>
      </c>
      <c r="P14" s="190">
        <v>0</v>
      </c>
      <c r="Q14" s="190">
        <v>45443.44</v>
      </c>
      <c r="R14" s="190">
        <v>0</v>
      </c>
      <c r="S14" s="190">
        <v>0</v>
      </c>
      <c r="T14" s="190">
        <v>197543.78</v>
      </c>
    </row>
    <row r="15" spans="1:20">
      <c r="A15" s="13">
        <v>11</v>
      </c>
      <c r="B15" s="196" t="s">
        <v>216</v>
      </c>
      <c r="C15" s="197"/>
      <c r="D15" s="194">
        <v>155.5</v>
      </c>
      <c r="E15" s="194">
        <v>65.375</v>
      </c>
      <c r="F15" s="194">
        <v>12005.593999999999</v>
      </c>
      <c r="G15" s="195">
        <v>0</v>
      </c>
      <c r="H15" s="195">
        <v>479.125</v>
      </c>
      <c r="I15" s="10">
        <v>0</v>
      </c>
      <c r="J15" s="10">
        <v>0</v>
      </c>
      <c r="K15" s="11"/>
      <c r="L15" s="190">
        <v>0</v>
      </c>
      <c r="M15" s="190">
        <v>16884.189999999999</v>
      </c>
      <c r="N15" s="190">
        <v>7098.42</v>
      </c>
      <c r="O15" s="190">
        <v>122457.06</v>
      </c>
      <c r="P15" s="190">
        <v>0</v>
      </c>
      <c r="Q15" s="190">
        <v>52023.39</v>
      </c>
      <c r="R15" s="190">
        <v>0</v>
      </c>
      <c r="S15" s="190">
        <v>0</v>
      </c>
      <c r="T15" s="190">
        <v>198463.06</v>
      </c>
    </row>
    <row r="16" spans="1:20">
      <c r="A16" s="13">
        <v>12</v>
      </c>
      <c r="B16" s="196" t="s">
        <v>217</v>
      </c>
      <c r="C16" s="197"/>
      <c r="D16" s="194">
        <v>44.5</v>
      </c>
      <c r="E16" s="194">
        <v>109.5</v>
      </c>
      <c r="F16" s="194">
        <v>11940.593999999999</v>
      </c>
      <c r="G16" s="195">
        <v>0</v>
      </c>
      <c r="H16" s="195">
        <v>546</v>
      </c>
      <c r="I16" s="10">
        <v>0</v>
      </c>
      <c r="J16" s="10">
        <v>0</v>
      </c>
      <c r="K16" s="16"/>
      <c r="L16" s="190">
        <v>0</v>
      </c>
      <c r="M16" s="190">
        <v>4831.8100000000004</v>
      </c>
      <c r="N16" s="190">
        <v>11889.51</v>
      </c>
      <c r="O16" s="190">
        <v>121794.06</v>
      </c>
      <c r="P16" s="190">
        <v>0</v>
      </c>
      <c r="Q16" s="190">
        <v>59284.68</v>
      </c>
      <c r="R16" s="190">
        <v>0</v>
      </c>
      <c r="S16" s="190">
        <v>0</v>
      </c>
      <c r="T16" s="190">
        <v>197800.06</v>
      </c>
    </row>
    <row r="17" spans="1:20">
      <c r="A17" s="13">
        <v>13</v>
      </c>
      <c r="B17" s="196" t="s">
        <v>218</v>
      </c>
      <c r="C17" s="197"/>
      <c r="D17" s="194">
        <v>111.5</v>
      </c>
      <c r="E17" s="194">
        <v>22</v>
      </c>
      <c r="F17" s="194">
        <v>12030.093999999999</v>
      </c>
      <c r="G17" s="195">
        <v>0</v>
      </c>
      <c r="H17" s="195">
        <v>566.5</v>
      </c>
      <c r="I17" s="10">
        <v>22.5</v>
      </c>
      <c r="J17" s="10">
        <v>22.5</v>
      </c>
      <c r="K17" s="11"/>
      <c r="L17" s="190">
        <v>0</v>
      </c>
      <c r="M17" s="190">
        <v>12106.67</v>
      </c>
      <c r="N17" s="190">
        <v>2388.7600000000002</v>
      </c>
      <c r="O17" s="190">
        <v>122706.96</v>
      </c>
      <c r="P17" s="190">
        <v>0</v>
      </c>
      <c r="Q17" s="190">
        <v>61510.57</v>
      </c>
      <c r="R17" s="190">
        <v>21375</v>
      </c>
      <c r="S17" s="190">
        <v>2700</v>
      </c>
      <c r="T17" s="190">
        <v>222787.96</v>
      </c>
    </row>
    <row r="18" spans="1:20">
      <c r="A18" s="13">
        <v>14</v>
      </c>
      <c r="B18" s="196" t="s">
        <v>219</v>
      </c>
      <c r="C18" s="197"/>
      <c r="D18" s="194">
        <v>174</v>
      </c>
      <c r="E18" s="194">
        <v>26.2</v>
      </c>
      <c r="F18" s="194">
        <v>12177.894</v>
      </c>
      <c r="G18" s="195">
        <v>0</v>
      </c>
      <c r="H18" s="195">
        <v>499.79999999999995</v>
      </c>
      <c r="I18" s="10">
        <v>0</v>
      </c>
      <c r="J18" s="10">
        <v>0</v>
      </c>
      <c r="K18" s="11"/>
      <c r="L18" s="190">
        <v>0</v>
      </c>
      <c r="M18" s="190">
        <v>18892.919999999998</v>
      </c>
      <c r="N18" s="190">
        <v>2844.8</v>
      </c>
      <c r="O18" s="190">
        <v>124214.52</v>
      </c>
      <c r="P18" s="190">
        <v>0</v>
      </c>
      <c r="Q18" s="190">
        <v>54268.28</v>
      </c>
      <c r="R18" s="190">
        <v>0</v>
      </c>
      <c r="S18" s="190">
        <v>0</v>
      </c>
      <c r="T18" s="190">
        <v>200220.52</v>
      </c>
    </row>
    <row r="19" spans="1:20">
      <c r="A19" s="13">
        <v>15</v>
      </c>
      <c r="B19" s="196" t="s">
        <v>220</v>
      </c>
      <c r="C19" s="197"/>
      <c r="D19" s="194">
        <v>198</v>
      </c>
      <c r="E19" s="194">
        <v>43.875</v>
      </c>
      <c r="F19" s="194">
        <v>12332.019</v>
      </c>
      <c r="G19" s="195">
        <v>0</v>
      </c>
      <c r="H19" s="195">
        <v>458.125</v>
      </c>
      <c r="I19" s="10">
        <v>0</v>
      </c>
      <c r="J19" s="10">
        <v>0</v>
      </c>
      <c r="K19" s="11"/>
      <c r="L19" s="190">
        <v>0</v>
      </c>
      <c r="M19" s="190">
        <v>21498.84</v>
      </c>
      <c r="N19" s="190">
        <v>4763.95</v>
      </c>
      <c r="O19" s="190">
        <v>125786.59</v>
      </c>
      <c r="P19" s="190">
        <v>0</v>
      </c>
      <c r="Q19" s="190">
        <v>49743.21</v>
      </c>
      <c r="R19" s="190">
        <v>0</v>
      </c>
      <c r="S19" s="190">
        <v>0</v>
      </c>
      <c r="T19" s="190">
        <v>201792.59</v>
      </c>
    </row>
    <row r="20" spans="1:20">
      <c r="A20" s="13">
        <v>16</v>
      </c>
      <c r="B20" s="196" t="s">
        <v>221</v>
      </c>
      <c r="C20" s="197"/>
      <c r="D20" s="194">
        <v>242</v>
      </c>
      <c r="E20" s="194">
        <v>22</v>
      </c>
      <c r="F20" s="194">
        <v>12552.019</v>
      </c>
      <c r="G20" s="195">
        <v>0</v>
      </c>
      <c r="H20" s="195">
        <v>436</v>
      </c>
      <c r="I20" s="10">
        <v>0</v>
      </c>
      <c r="J20" s="10">
        <v>0</v>
      </c>
      <c r="K20" s="11"/>
      <c r="L20" s="190">
        <v>0</v>
      </c>
      <c r="M20" s="190">
        <v>26276.36</v>
      </c>
      <c r="N20" s="190">
        <v>2388.7600000000002</v>
      </c>
      <c r="O20" s="190">
        <v>128030.59</v>
      </c>
      <c r="P20" s="190">
        <v>0</v>
      </c>
      <c r="Q20" s="190">
        <v>47340.88</v>
      </c>
      <c r="R20" s="190">
        <v>0</v>
      </c>
      <c r="S20" s="190">
        <v>0</v>
      </c>
      <c r="T20" s="190">
        <v>204036.59</v>
      </c>
    </row>
    <row r="21" spans="1:20">
      <c r="A21" s="13">
        <v>17</v>
      </c>
      <c r="B21" s="196" t="s">
        <v>222</v>
      </c>
      <c r="C21" s="197"/>
      <c r="D21" s="194">
        <v>241.375</v>
      </c>
      <c r="E21" s="194">
        <v>180.375</v>
      </c>
      <c r="F21" s="194">
        <v>12613.019</v>
      </c>
      <c r="G21" s="195">
        <v>0</v>
      </c>
      <c r="H21" s="195">
        <v>278.25</v>
      </c>
      <c r="I21" s="10">
        <v>0</v>
      </c>
      <c r="J21" s="10">
        <v>0</v>
      </c>
      <c r="K21" s="11"/>
      <c r="L21" s="190">
        <v>0</v>
      </c>
      <c r="M21" s="190">
        <v>26208.5</v>
      </c>
      <c r="N21" s="190">
        <v>19585.12</v>
      </c>
      <c r="O21" s="190">
        <v>128652.79</v>
      </c>
      <c r="P21" s="190">
        <v>0</v>
      </c>
      <c r="Q21" s="190">
        <v>30212.39</v>
      </c>
      <c r="R21" s="190">
        <v>0</v>
      </c>
      <c r="S21" s="190">
        <v>0</v>
      </c>
      <c r="T21" s="190">
        <v>204658.79</v>
      </c>
    </row>
    <row r="22" spans="1:20">
      <c r="A22" s="13">
        <v>18</v>
      </c>
      <c r="B22" s="196" t="s">
        <v>223</v>
      </c>
      <c r="C22" s="197"/>
      <c r="D22" s="194">
        <v>249.03</v>
      </c>
      <c r="E22" s="194">
        <v>135.625</v>
      </c>
      <c r="F22" s="194">
        <v>12726.424000000001</v>
      </c>
      <c r="G22" s="195">
        <v>0</v>
      </c>
      <c r="H22" s="195">
        <v>315.34500000000003</v>
      </c>
      <c r="I22" s="10">
        <v>0</v>
      </c>
      <c r="J22" s="10">
        <v>0</v>
      </c>
      <c r="K22" s="11"/>
      <c r="L22" s="190">
        <v>0</v>
      </c>
      <c r="M22" s="190">
        <v>27039.68</v>
      </c>
      <c r="N22" s="190">
        <v>14726.16</v>
      </c>
      <c r="O22" s="190">
        <v>129809.52</v>
      </c>
      <c r="P22" s="190">
        <v>0</v>
      </c>
      <c r="Q22" s="190">
        <v>34240.160000000003</v>
      </c>
      <c r="R22" s="190">
        <v>0</v>
      </c>
      <c r="S22" s="190">
        <v>0</v>
      </c>
      <c r="T22" s="190">
        <v>205815.52</v>
      </c>
    </row>
    <row r="23" spans="1:20">
      <c r="A23" s="13">
        <v>19</v>
      </c>
      <c r="B23" s="196" t="s">
        <v>224</v>
      </c>
      <c r="C23" s="197"/>
      <c r="D23" s="194">
        <v>104.75</v>
      </c>
      <c r="E23" s="194">
        <v>175.32499999999999</v>
      </c>
      <c r="F23" s="194">
        <v>12655.849</v>
      </c>
      <c r="G23" s="195">
        <v>0</v>
      </c>
      <c r="H23" s="195">
        <v>419.92499999999995</v>
      </c>
      <c r="I23" s="10">
        <v>0</v>
      </c>
      <c r="J23" s="10">
        <v>0</v>
      </c>
      <c r="K23" s="11"/>
      <c r="L23" s="190">
        <v>0</v>
      </c>
      <c r="M23" s="190">
        <v>11373.76</v>
      </c>
      <c r="N23" s="190">
        <v>19036.79</v>
      </c>
      <c r="O23" s="190">
        <v>129089.66</v>
      </c>
      <c r="P23" s="190">
        <v>0</v>
      </c>
      <c r="Q23" s="190">
        <v>45595.46</v>
      </c>
      <c r="R23" s="190">
        <v>0</v>
      </c>
      <c r="S23" s="190">
        <v>0</v>
      </c>
      <c r="T23" s="190">
        <v>205095.66</v>
      </c>
    </row>
    <row r="24" spans="1:20">
      <c r="A24" s="13">
        <v>20</v>
      </c>
      <c r="B24" s="196" t="s">
        <v>225</v>
      </c>
      <c r="C24" s="197"/>
      <c r="D24" s="194">
        <v>106.875</v>
      </c>
      <c r="E24" s="194">
        <v>108.125</v>
      </c>
      <c r="F24" s="194">
        <v>12654.599</v>
      </c>
      <c r="G24" s="195">
        <v>0</v>
      </c>
      <c r="H24" s="195">
        <v>485</v>
      </c>
      <c r="I24" s="10">
        <v>0</v>
      </c>
      <c r="J24" s="10">
        <v>0</v>
      </c>
      <c r="K24" s="11"/>
      <c r="L24" s="190">
        <v>0</v>
      </c>
      <c r="M24" s="190">
        <v>11604.49</v>
      </c>
      <c r="N24" s="190">
        <v>11740.21</v>
      </c>
      <c r="O24" s="190">
        <v>129076.91</v>
      </c>
      <c r="P24" s="190">
        <v>0</v>
      </c>
      <c r="Q24" s="190">
        <v>52661.3</v>
      </c>
      <c r="R24" s="190">
        <v>0</v>
      </c>
      <c r="S24" s="190">
        <v>0</v>
      </c>
      <c r="T24" s="190">
        <v>205082.91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92.9</v>
      </c>
      <c r="F25" s="194">
        <v>12561.699000000001</v>
      </c>
      <c r="G25" s="195">
        <v>0</v>
      </c>
      <c r="H25" s="195">
        <v>607.1</v>
      </c>
      <c r="I25" s="10">
        <v>0</v>
      </c>
      <c r="J25" s="10">
        <v>0</v>
      </c>
      <c r="K25" s="11"/>
      <c r="L25" s="190">
        <v>0</v>
      </c>
      <c r="M25" s="190">
        <v>0</v>
      </c>
      <c r="N25" s="190">
        <v>10087.08</v>
      </c>
      <c r="O25" s="190">
        <v>128129.33</v>
      </c>
      <c r="P25" s="190">
        <v>0</v>
      </c>
      <c r="Q25" s="190">
        <v>65918.92</v>
      </c>
      <c r="R25" s="190">
        <v>0</v>
      </c>
      <c r="S25" s="190">
        <v>0</v>
      </c>
      <c r="T25" s="190">
        <v>204135.33</v>
      </c>
    </row>
    <row r="26" spans="1:20">
      <c r="A26" s="13">
        <v>22</v>
      </c>
      <c r="B26" s="196" t="s">
        <v>227</v>
      </c>
      <c r="C26" s="197"/>
      <c r="D26" s="194">
        <v>21.995000000000001</v>
      </c>
      <c r="E26" s="194">
        <v>176.875</v>
      </c>
      <c r="F26" s="194">
        <v>12406.819</v>
      </c>
      <c r="G26" s="195">
        <v>0</v>
      </c>
      <c r="H26" s="195">
        <v>501.13</v>
      </c>
      <c r="I26" s="10">
        <v>15.12</v>
      </c>
      <c r="J26" s="10">
        <v>15.12</v>
      </c>
      <c r="K26" s="11"/>
      <c r="L26" s="190">
        <v>0</v>
      </c>
      <c r="M26" s="190">
        <v>2388.2199999999998</v>
      </c>
      <c r="N26" s="190">
        <v>19205.09</v>
      </c>
      <c r="O26" s="190">
        <v>126549.55</v>
      </c>
      <c r="P26" s="190">
        <v>0</v>
      </c>
      <c r="Q26" s="190">
        <v>54412.7</v>
      </c>
      <c r="R26" s="190">
        <v>14364</v>
      </c>
      <c r="S26" s="190">
        <v>1814.4</v>
      </c>
      <c r="T26" s="190">
        <v>218733.95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155</v>
      </c>
      <c r="F27" s="194">
        <v>12251.819</v>
      </c>
      <c r="G27" s="195">
        <v>0</v>
      </c>
      <c r="H27" s="195">
        <v>545</v>
      </c>
      <c r="I27" s="10">
        <v>0</v>
      </c>
      <c r="J27" s="10">
        <v>0</v>
      </c>
      <c r="K27" s="11"/>
      <c r="L27" s="190">
        <v>0</v>
      </c>
      <c r="M27" s="190">
        <v>0</v>
      </c>
      <c r="N27" s="190">
        <v>16829.900000000001</v>
      </c>
      <c r="O27" s="190">
        <v>124968.55</v>
      </c>
      <c r="P27" s="190">
        <v>0</v>
      </c>
      <c r="Q27" s="190">
        <v>59176.1</v>
      </c>
      <c r="R27" s="190">
        <v>0</v>
      </c>
      <c r="S27" s="190">
        <v>0</v>
      </c>
      <c r="T27" s="190">
        <v>200974.55</v>
      </c>
    </row>
    <row r="28" spans="1:20">
      <c r="A28" s="13">
        <v>24</v>
      </c>
      <c r="B28" s="196" t="s">
        <v>229</v>
      </c>
      <c r="C28" s="197"/>
      <c r="D28" s="194">
        <v>66</v>
      </c>
      <c r="E28" s="194">
        <v>88</v>
      </c>
      <c r="F28" s="194">
        <v>12229.819</v>
      </c>
      <c r="G28" s="195">
        <v>0</v>
      </c>
      <c r="H28" s="195">
        <v>546</v>
      </c>
      <c r="I28" s="10">
        <v>1.375</v>
      </c>
      <c r="J28" s="10">
        <v>1.375</v>
      </c>
      <c r="K28" s="11"/>
      <c r="L28" s="190">
        <v>0</v>
      </c>
      <c r="M28" s="190">
        <v>7166.28</v>
      </c>
      <c r="N28" s="190">
        <v>9555.0400000000009</v>
      </c>
      <c r="O28" s="190">
        <v>124744.15</v>
      </c>
      <c r="P28" s="190">
        <v>0</v>
      </c>
      <c r="Q28" s="190">
        <v>59284.68</v>
      </c>
      <c r="R28" s="190">
        <v>1306.25</v>
      </c>
      <c r="S28" s="190">
        <v>165</v>
      </c>
      <c r="T28" s="190">
        <v>202221.4</v>
      </c>
    </row>
    <row r="29" spans="1:20">
      <c r="A29" s="13">
        <v>25</v>
      </c>
      <c r="B29" s="196" t="s">
        <v>230</v>
      </c>
      <c r="C29" s="197"/>
      <c r="D29" s="194">
        <v>66</v>
      </c>
      <c r="E29" s="194">
        <v>227.25</v>
      </c>
      <c r="F29" s="194">
        <v>12068.569</v>
      </c>
      <c r="G29" s="195">
        <v>0</v>
      </c>
      <c r="H29" s="195">
        <v>406.75</v>
      </c>
      <c r="I29" s="10">
        <v>0</v>
      </c>
      <c r="J29" s="10">
        <v>0</v>
      </c>
      <c r="K29" s="11"/>
      <c r="L29" s="190">
        <v>0</v>
      </c>
      <c r="M29" s="190">
        <v>7166.28</v>
      </c>
      <c r="N29" s="190">
        <v>24674.81</v>
      </c>
      <c r="O29" s="190">
        <v>123099.4</v>
      </c>
      <c r="P29" s="190">
        <v>0</v>
      </c>
      <c r="Q29" s="190">
        <v>44164.92</v>
      </c>
      <c r="R29" s="190">
        <v>0</v>
      </c>
      <c r="S29" s="190">
        <v>0</v>
      </c>
      <c r="T29" s="190">
        <v>199105.4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135.875</v>
      </c>
      <c r="F30" s="194">
        <v>11932.694</v>
      </c>
      <c r="G30" s="195">
        <v>0</v>
      </c>
      <c r="H30" s="195">
        <v>564.125</v>
      </c>
      <c r="I30" s="10">
        <v>0</v>
      </c>
      <c r="J30" s="10">
        <v>0</v>
      </c>
      <c r="K30" s="11"/>
      <c r="L30" s="190">
        <v>0</v>
      </c>
      <c r="M30" s="190">
        <v>0</v>
      </c>
      <c r="N30" s="190">
        <v>14753.31</v>
      </c>
      <c r="O30" s="190">
        <v>121713.48</v>
      </c>
      <c r="P30" s="190">
        <v>0</v>
      </c>
      <c r="Q30" s="190">
        <v>61252.69</v>
      </c>
      <c r="R30" s="190">
        <v>0</v>
      </c>
      <c r="S30" s="190">
        <v>0</v>
      </c>
      <c r="T30" s="190">
        <v>197719.48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283.625</v>
      </c>
      <c r="F31" s="194">
        <v>11649.069</v>
      </c>
      <c r="G31" s="195">
        <v>0</v>
      </c>
      <c r="H31" s="195">
        <v>416.375</v>
      </c>
      <c r="I31" s="10">
        <v>0</v>
      </c>
      <c r="J31" s="10">
        <v>0</v>
      </c>
      <c r="K31" s="11"/>
      <c r="L31" s="190">
        <v>0</v>
      </c>
      <c r="M31" s="190">
        <v>0</v>
      </c>
      <c r="N31" s="190">
        <v>30796</v>
      </c>
      <c r="O31" s="190">
        <v>118820.5</v>
      </c>
      <c r="P31" s="190">
        <v>0</v>
      </c>
      <c r="Q31" s="190">
        <v>45210</v>
      </c>
      <c r="R31" s="190">
        <v>0</v>
      </c>
      <c r="S31" s="190">
        <v>0</v>
      </c>
      <c r="T31" s="190">
        <v>194826.5</v>
      </c>
    </row>
    <row r="32" spans="1:20">
      <c r="A32" s="13">
        <v>28</v>
      </c>
      <c r="B32" s="196" t="s">
        <v>233</v>
      </c>
      <c r="C32" s="197"/>
      <c r="D32" s="194">
        <v>87.375</v>
      </c>
      <c r="E32" s="194">
        <v>355.625</v>
      </c>
      <c r="F32" s="194">
        <v>11380.819</v>
      </c>
      <c r="G32" s="195">
        <v>0</v>
      </c>
      <c r="H32" s="195">
        <v>257</v>
      </c>
      <c r="I32" s="10">
        <v>0</v>
      </c>
      <c r="J32" s="10">
        <v>0</v>
      </c>
      <c r="K32" s="11"/>
      <c r="L32" s="190">
        <v>0</v>
      </c>
      <c r="M32" s="190">
        <v>9487.18</v>
      </c>
      <c r="N32" s="190">
        <v>38613.760000000002</v>
      </c>
      <c r="O32" s="190">
        <v>116084.35</v>
      </c>
      <c r="P32" s="190">
        <v>0</v>
      </c>
      <c r="Q32" s="190">
        <v>27905.06</v>
      </c>
      <c r="R32" s="190">
        <v>0</v>
      </c>
      <c r="S32" s="190">
        <v>0</v>
      </c>
      <c r="T32" s="190">
        <v>192090.35</v>
      </c>
    </row>
    <row r="33" spans="1:20">
      <c r="A33" s="13">
        <v>29</v>
      </c>
      <c r="B33" s="196" t="s">
        <v>234</v>
      </c>
      <c r="C33" s="197"/>
      <c r="D33" s="194">
        <v>22.5</v>
      </c>
      <c r="E33" s="194">
        <v>222</v>
      </c>
      <c r="F33" s="194">
        <v>11181.319</v>
      </c>
      <c r="G33" s="195">
        <v>0</v>
      </c>
      <c r="H33" s="195">
        <v>455.5</v>
      </c>
      <c r="I33" s="10">
        <v>0</v>
      </c>
      <c r="J33" s="10">
        <v>0</v>
      </c>
      <c r="K33" s="11"/>
      <c r="L33" s="190">
        <v>0</v>
      </c>
      <c r="M33" s="190">
        <v>2443.0500000000002</v>
      </c>
      <c r="N33" s="190">
        <v>24104.76</v>
      </c>
      <c r="O33" s="190">
        <v>114049.45</v>
      </c>
      <c r="P33" s="190">
        <v>0</v>
      </c>
      <c r="Q33" s="190">
        <v>49458.19</v>
      </c>
      <c r="R33" s="190">
        <v>0</v>
      </c>
      <c r="S33" s="190">
        <v>0</v>
      </c>
      <c r="T33" s="190">
        <v>190055.45</v>
      </c>
    </row>
    <row r="34" spans="1:20">
      <c r="A34" s="13">
        <v>30</v>
      </c>
      <c r="B34" s="196" t="s">
        <v>235</v>
      </c>
      <c r="C34" s="197"/>
      <c r="D34" s="194">
        <v>22</v>
      </c>
      <c r="E34" s="194">
        <v>66</v>
      </c>
      <c r="F34" s="194">
        <v>11137.319</v>
      </c>
      <c r="G34" s="195">
        <v>0</v>
      </c>
      <c r="H34" s="195">
        <v>612</v>
      </c>
      <c r="I34" s="10">
        <v>0</v>
      </c>
      <c r="J34" s="10">
        <v>0</v>
      </c>
      <c r="K34" s="11"/>
      <c r="L34" s="190">
        <v>0</v>
      </c>
      <c r="M34" s="190">
        <v>2388.7600000000002</v>
      </c>
      <c r="N34" s="190">
        <v>7166.28</v>
      </c>
      <c r="O34" s="190">
        <v>113600.65</v>
      </c>
      <c r="P34" s="190">
        <v>0</v>
      </c>
      <c r="Q34" s="190">
        <v>66450.960000000006</v>
      </c>
      <c r="R34" s="190">
        <v>0</v>
      </c>
      <c r="S34" s="190">
        <v>0</v>
      </c>
      <c r="T34" s="190">
        <v>189606.65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4397.1500000000005</v>
      </c>
      <c r="E36" s="18">
        <v>4082.4</v>
      </c>
      <c r="F36" s="18">
        <v>355164.76500000013</v>
      </c>
      <c r="G36" s="18">
        <v>0</v>
      </c>
      <c r="H36" s="18">
        <v>12520.449999999999</v>
      </c>
      <c r="I36" s="18">
        <v>38.994999999999997</v>
      </c>
      <c r="J36" s="18">
        <v>38.994999999999997</v>
      </c>
      <c r="K36" s="19">
        <v>0</v>
      </c>
      <c r="L36" s="191">
        <v>0</v>
      </c>
      <c r="M36" s="191">
        <v>477442.55</v>
      </c>
      <c r="N36" s="191">
        <v>443266.99</v>
      </c>
      <c r="O36" s="191">
        <v>3622680.6</v>
      </c>
      <c r="P36" s="191">
        <v>0</v>
      </c>
      <c r="Q36" s="191">
        <v>1359470.46</v>
      </c>
      <c r="R36" s="191">
        <v>37045.25</v>
      </c>
      <c r="S36" s="191">
        <v>4679.3999999999996</v>
      </c>
      <c r="T36" s="191">
        <v>5944585.25</v>
      </c>
    </row>
    <row r="37" spans="1:20">
      <c r="R37" s="21"/>
      <c r="S37" s="21"/>
      <c r="T37" s="192">
        <v>7133502.2999999998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CB9-2E0F-41E5-80F7-9E4DD05B0C50}">
  <sheetPr>
    <pageSetUpPr fitToPage="1"/>
  </sheetPr>
  <dimension ref="A1:T37"/>
  <sheetViews>
    <sheetView workbookViewId="0">
      <selection activeCell="Q5" sqref="Q5:Q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250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248</v>
      </c>
      <c r="H3" s="269" t="s">
        <v>251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22</v>
      </c>
      <c r="F5" s="194">
        <v>258.75</v>
      </c>
      <c r="G5" s="195">
        <v>0</v>
      </c>
      <c r="H5" s="195">
        <v>0</v>
      </c>
      <c r="I5" s="10">
        <v>0</v>
      </c>
      <c r="J5" s="10">
        <v>0</v>
      </c>
      <c r="K5" s="11"/>
      <c r="L5" s="190">
        <v>0</v>
      </c>
      <c r="M5" s="190">
        <v>0</v>
      </c>
      <c r="N5" s="190">
        <v>2388.7600000000002</v>
      </c>
      <c r="O5" s="190">
        <v>2639.25</v>
      </c>
      <c r="P5" s="190">
        <v>0</v>
      </c>
      <c r="Q5" s="190">
        <v>0</v>
      </c>
      <c r="R5" s="190">
        <v>0</v>
      </c>
      <c r="S5" s="190">
        <v>0</v>
      </c>
      <c r="T5" s="190">
        <v>5028.01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258.75</v>
      </c>
      <c r="G6" s="195">
        <v>0</v>
      </c>
      <c r="H6" s="195">
        <v>0</v>
      </c>
      <c r="I6" s="10">
        <v>0</v>
      </c>
      <c r="J6" s="10">
        <v>0</v>
      </c>
      <c r="K6" s="11"/>
      <c r="L6" s="190">
        <v>0</v>
      </c>
      <c r="M6" s="190">
        <v>0</v>
      </c>
      <c r="N6" s="190">
        <v>0</v>
      </c>
      <c r="O6" s="190">
        <v>2639.25</v>
      </c>
      <c r="P6" s="190">
        <v>0</v>
      </c>
      <c r="Q6" s="190">
        <v>0</v>
      </c>
      <c r="R6" s="190">
        <v>0</v>
      </c>
      <c r="S6" s="190">
        <v>0</v>
      </c>
      <c r="T6" s="190">
        <v>2639.25</v>
      </c>
    </row>
    <row r="7" spans="1:20">
      <c r="A7" s="13">
        <v>3</v>
      </c>
      <c r="B7" s="196" t="s">
        <v>208</v>
      </c>
      <c r="C7" s="197"/>
      <c r="D7" s="194">
        <v>154</v>
      </c>
      <c r="E7" s="194">
        <v>22</v>
      </c>
      <c r="F7" s="194">
        <v>390.75</v>
      </c>
      <c r="G7" s="195">
        <v>0</v>
      </c>
      <c r="H7" s="195">
        <v>0</v>
      </c>
      <c r="I7" s="10">
        <v>0</v>
      </c>
      <c r="J7" s="10">
        <v>0</v>
      </c>
      <c r="K7" s="11"/>
      <c r="L7" s="190">
        <v>0</v>
      </c>
      <c r="M7" s="190">
        <v>16721.32</v>
      </c>
      <c r="N7" s="190">
        <v>2388.7600000000002</v>
      </c>
      <c r="O7" s="190">
        <v>3985.65</v>
      </c>
      <c r="P7" s="190">
        <v>0</v>
      </c>
      <c r="Q7" s="190">
        <v>0</v>
      </c>
      <c r="R7" s="190">
        <v>0</v>
      </c>
      <c r="S7" s="190">
        <v>0</v>
      </c>
      <c r="T7" s="190">
        <v>23095.73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390.75</v>
      </c>
      <c r="G8" s="195">
        <v>0</v>
      </c>
      <c r="H8" s="195">
        <v>0</v>
      </c>
      <c r="I8" s="10">
        <v>0</v>
      </c>
      <c r="J8" s="10">
        <v>0</v>
      </c>
      <c r="K8" s="11"/>
      <c r="L8" s="190">
        <v>0</v>
      </c>
      <c r="M8" s="190">
        <v>0</v>
      </c>
      <c r="N8" s="190">
        <v>0</v>
      </c>
      <c r="O8" s="190">
        <v>3985.65</v>
      </c>
      <c r="P8" s="190">
        <v>0</v>
      </c>
      <c r="Q8" s="190">
        <v>0</v>
      </c>
      <c r="R8" s="190">
        <v>0</v>
      </c>
      <c r="S8" s="190">
        <v>0</v>
      </c>
      <c r="T8" s="190">
        <v>3985.65</v>
      </c>
    </row>
    <row r="9" spans="1:20">
      <c r="A9" s="13">
        <v>5</v>
      </c>
      <c r="B9" s="196" t="s">
        <v>210</v>
      </c>
      <c r="C9" s="197"/>
      <c r="D9" s="194">
        <v>110</v>
      </c>
      <c r="E9" s="194">
        <v>0</v>
      </c>
      <c r="F9" s="194">
        <v>500.75</v>
      </c>
      <c r="G9" s="195">
        <v>0</v>
      </c>
      <c r="H9" s="195">
        <v>0</v>
      </c>
      <c r="I9" s="10">
        <v>0</v>
      </c>
      <c r="J9" s="10">
        <v>0</v>
      </c>
      <c r="K9" s="11"/>
      <c r="L9" s="190">
        <v>0</v>
      </c>
      <c r="M9" s="190">
        <v>11943.8</v>
      </c>
      <c r="N9" s="190">
        <v>0</v>
      </c>
      <c r="O9" s="190">
        <v>5107.6499999999996</v>
      </c>
      <c r="P9" s="190">
        <v>0</v>
      </c>
      <c r="Q9" s="190">
        <v>0</v>
      </c>
      <c r="R9" s="190">
        <v>0</v>
      </c>
      <c r="S9" s="190">
        <v>0</v>
      </c>
      <c r="T9" s="190">
        <v>17051.45</v>
      </c>
    </row>
    <row r="10" spans="1:20">
      <c r="A10" s="13">
        <v>6</v>
      </c>
      <c r="B10" s="196" t="s">
        <v>211</v>
      </c>
      <c r="C10" s="197"/>
      <c r="D10" s="194">
        <v>22</v>
      </c>
      <c r="E10" s="194">
        <v>22</v>
      </c>
      <c r="F10" s="194">
        <v>500.75</v>
      </c>
      <c r="G10" s="195">
        <v>0</v>
      </c>
      <c r="H10" s="195">
        <v>0</v>
      </c>
      <c r="I10" s="10">
        <v>0</v>
      </c>
      <c r="J10" s="10">
        <v>0</v>
      </c>
      <c r="K10" s="11"/>
      <c r="L10" s="190">
        <v>0</v>
      </c>
      <c r="M10" s="190">
        <v>2388.7600000000002</v>
      </c>
      <c r="N10" s="190">
        <v>2388.7600000000002</v>
      </c>
      <c r="O10" s="190">
        <v>5107.6499999999996</v>
      </c>
      <c r="P10" s="190">
        <v>0</v>
      </c>
      <c r="Q10" s="190">
        <v>0</v>
      </c>
      <c r="R10" s="190">
        <v>0</v>
      </c>
      <c r="S10" s="190">
        <v>0</v>
      </c>
      <c r="T10" s="190">
        <v>9885.17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22</v>
      </c>
      <c r="F11" s="194">
        <v>478.75</v>
      </c>
      <c r="G11" s="195">
        <v>0</v>
      </c>
      <c r="H11" s="195">
        <v>0</v>
      </c>
      <c r="I11" s="10">
        <v>0</v>
      </c>
      <c r="J11" s="10">
        <v>0</v>
      </c>
      <c r="K11" s="11"/>
      <c r="L11" s="190">
        <v>0</v>
      </c>
      <c r="M11" s="190">
        <v>0</v>
      </c>
      <c r="N11" s="190">
        <v>2388.7600000000002</v>
      </c>
      <c r="O11" s="190">
        <v>4883.25</v>
      </c>
      <c r="P11" s="190">
        <v>0</v>
      </c>
      <c r="Q11" s="190">
        <v>0</v>
      </c>
      <c r="R11" s="190">
        <v>0</v>
      </c>
      <c r="S11" s="190">
        <v>0</v>
      </c>
      <c r="T11" s="190">
        <v>7272.01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478.75</v>
      </c>
      <c r="G12" s="195">
        <v>0</v>
      </c>
      <c r="H12" s="195">
        <v>0</v>
      </c>
      <c r="I12" s="10">
        <v>0</v>
      </c>
      <c r="J12" s="10">
        <v>0</v>
      </c>
      <c r="K12" s="11"/>
      <c r="L12" s="190">
        <v>0</v>
      </c>
      <c r="M12" s="190">
        <v>0</v>
      </c>
      <c r="N12" s="190">
        <v>0</v>
      </c>
      <c r="O12" s="190">
        <v>4883.25</v>
      </c>
      <c r="P12" s="190">
        <v>0</v>
      </c>
      <c r="Q12" s="190">
        <v>0</v>
      </c>
      <c r="R12" s="190">
        <v>0</v>
      </c>
      <c r="S12" s="190">
        <v>0</v>
      </c>
      <c r="T12" s="190">
        <v>4883.25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478.75</v>
      </c>
      <c r="G13" s="195">
        <v>0</v>
      </c>
      <c r="H13" s="195">
        <v>0</v>
      </c>
      <c r="I13" s="10">
        <v>0</v>
      </c>
      <c r="J13" s="10">
        <v>0</v>
      </c>
      <c r="K13" s="11"/>
      <c r="L13" s="190">
        <v>0</v>
      </c>
      <c r="M13" s="190">
        <v>0</v>
      </c>
      <c r="N13" s="190">
        <v>0</v>
      </c>
      <c r="O13" s="190">
        <v>4883.25</v>
      </c>
      <c r="P13" s="190">
        <v>0</v>
      </c>
      <c r="Q13" s="190">
        <v>0</v>
      </c>
      <c r="R13" s="190">
        <v>0</v>
      </c>
      <c r="S13" s="190">
        <v>0</v>
      </c>
      <c r="T13" s="190">
        <v>4883.25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478.75</v>
      </c>
      <c r="G14" s="195">
        <v>0</v>
      </c>
      <c r="H14" s="195">
        <v>0</v>
      </c>
      <c r="I14" s="10">
        <v>0</v>
      </c>
      <c r="J14" s="10">
        <v>0</v>
      </c>
      <c r="K14" s="11"/>
      <c r="L14" s="190">
        <v>0</v>
      </c>
      <c r="M14" s="190">
        <v>0</v>
      </c>
      <c r="N14" s="190">
        <v>0</v>
      </c>
      <c r="O14" s="190">
        <v>4883.25</v>
      </c>
      <c r="P14" s="190">
        <v>0</v>
      </c>
      <c r="Q14" s="190">
        <v>0</v>
      </c>
      <c r="R14" s="190">
        <v>0</v>
      </c>
      <c r="S14" s="190">
        <v>0</v>
      </c>
      <c r="T14" s="190">
        <v>4883.25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478.75</v>
      </c>
      <c r="G15" s="195">
        <v>0</v>
      </c>
      <c r="H15" s="195">
        <v>0</v>
      </c>
      <c r="I15" s="10">
        <v>0</v>
      </c>
      <c r="J15" s="10">
        <v>0</v>
      </c>
      <c r="K15" s="11"/>
      <c r="L15" s="190">
        <v>0</v>
      </c>
      <c r="M15" s="190">
        <v>0</v>
      </c>
      <c r="N15" s="190">
        <v>0</v>
      </c>
      <c r="O15" s="190">
        <v>4883.25</v>
      </c>
      <c r="P15" s="190">
        <v>0</v>
      </c>
      <c r="Q15" s="190">
        <v>0</v>
      </c>
      <c r="R15" s="190">
        <v>0</v>
      </c>
      <c r="S15" s="190">
        <v>0</v>
      </c>
      <c r="T15" s="190">
        <v>4883.25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43.25</v>
      </c>
      <c r="F16" s="194">
        <v>435.5</v>
      </c>
      <c r="G16" s="195">
        <v>0</v>
      </c>
      <c r="H16" s="195">
        <v>0</v>
      </c>
      <c r="I16" s="10">
        <v>0</v>
      </c>
      <c r="J16" s="10">
        <v>0</v>
      </c>
      <c r="K16" s="16"/>
      <c r="L16" s="190">
        <v>0</v>
      </c>
      <c r="M16" s="190">
        <v>0</v>
      </c>
      <c r="N16" s="190">
        <v>4696.09</v>
      </c>
      <c r="O16" s="190">
        <v>4442.1000000000004</v>
      </c>
      <c r="P16" s="190">
        <v>0</v>
      </c>
      <c r="Q16" s="190">
        <v>0</v>
      </c>
      <c r="R16" s="190">
        <v>0</v>
      </c>
      <c r="S16" s="190">
        <v>0</v>
      </c>
      <c r="T16" s="190">
        <v>9138.19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22</v>
      </c>
      <c r="F17" s="194">
        <v>413.5</v>
      </c>
      <c r="G17" s="195">
        <v>0</v>
      </c>
      <c r="H17" s="195">
        <v>0</v>
      </c>
      <c r="I17" s="10">
        <v>0</v>
      </c>
      <c r="J17" s="10">
        <v>0</v>
      </c>
      <c r="K17" s="11"/>
      <c r="L17" s="190">
        <v>0</v>
      </c>
      <c r="M17" s="190">
        <v>0</v>
      </c>
      <c r="N17" s="190">
        <v>2388.7600000000002</v>
      </c>
      <c r="O17" s="190">
        <v>4217.7</v>
      </c>
      <c r="P17" s="190">
        <v>0</v>
      </c>
      <c r="Q17" s="190">
        <v>0</v>
      </c>
      <c r="R17" s="190">
        <v>0</v>
      </c>
      <c r="S17" s="190">
        <v>0</v>
      </c>
      <c r="T17" s="190">
        <v>6606.46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44</v>
      </c>
      <c r="F18" s="194">
        <v>369.5</v>
      </c>
      <c r="G18" s="195">
        <v>0</v>
      </c>
      <c r="H18" s="195">
        <v>0</v>
      </c>
      <c r="I18" s="10">
        <v>0</v>
      </c>
      <c r="J18" s="10">
        <v>0</v>
      </c>
      <c r="K18" s="11"/>
      <c r="L18" s="190">
        <v>0</v>
      </c>
      <c r="M18" s="190">
        <v>0</v>
      </c>
      <c r="N18" s="190">
        <v>4777.5200000000004</v>
      </c>
      <c r="O18" s="190">
        <v>3768.9</v>
      </c>
      <c r="P18" s="190">
        <v>0</v>
      </c>
      <c r="Q18" s="190">
        <v>0</v>
      </c>
      <c r="R18" s="190">
        <v>0</v>
      </c>
      <c r="S18" s="190">
        <v>0</v>
      </c>
      <c r="T18" s="190">
        <v>8546.42</v>
      </c>
    </row>
    <row r="19" spans="1:20">
      <c r="A19" s="13">
        <v>15</v>
      </c>
      <c r="B19" s="196" t="s">
        <v>220</v>
      </c>
      <c r="C19" s="197"/>
      <c r="D19" s="194">
        <v>22</v>
      </c>
      <c r="E19" s="194">
        <v>22</v>
      </c>
      <c r="F19" s="194">
        <v>369.5</v>
      </c>
      <c r="G19" s="195">
        <v>0</v>
      </c>
      <c r="H19" s="195">
        <v>0</v>
      </c>
      <c r="I19" s="10">
        <v>0</v>
      </c>
      <c r="J19" s="10">
        <v>0</v>
      </c>
      <c r="K19" s="11"/>
      <c r="L19" s="190">
        <v>0</v>
      </c>
      <c r="M19" s="190">
        <v>2388.7600000000002</v>
      </c>
      <c r="N19" s="190">
        <v>2388.7600000000002</v>
      </c>
      <c r="O19" s="190">
        <v>3768.9</v>
      </c>
      <c r="P19" s="190">
        <v>0</v>
      </c>
      <c r="Q19" s="190">
        <v>0</v>
      </c>
      <c r="R19" s="190">
        <v>0</v>
      </c>
      <c r="S19" s="190">
        <v>0</v>
      </c>
      <c r="T19" s="190">
        <v>8546.42</v>
      </c>
    </row>
    <row r="20" spans="1:20">
      <c r="A20" s="13">
        <v>16</v>
      </c>
      <c r="B20" s="196" t="s">
        <v>221</v>
      </c>
      <c r="C20" s="197"/>
      <c r="D20" s="194">
        <v>130.5</v>
      </c>
      <c r="E20" s="194">
        <v>22</v>
      </c>
      <c r="F20" s="194">
        <v>478</v>
      </c>
      <c r="G20" s="195">
        <v>0</v>
      </c>
      <c r="H20" s="195">
        <v>0</v>
      </c>
      <c r="I20" s="10">
        <v>0</v>
      </c>
      <c r="J20" s="10">
        <v>0</v>
      </c>
      <c r="K20" s="11"/>
      <c r="L20" s="190">
        <v>0</v>
      </c>
      <c r="M20" s="190">
        <v>14169.69</v>
      </c>
      <c r="N20" s="190">
        <v>2388.7600000000002</v>
      </c>
      <c r="O20" s="190">
        <v>4875.6000000000004</v>
      </c>
      <c r="P20" s="190">
        <v>0</v>
      </c>
      <c r="Q20" s="190">
        <v>0</v>
      </c>
      <c r="R20" s="190">
        <v>0</v>
      </c>
      <c r="S20" s="190">
        <v>0</v>
      </c>
      <c r="T20" s="190">
        <v>21434.05</v>
      </c>
    </row>
    <row r="21" spans="1:20">
      <c r="A21" s="13">
        <v>17</v>
      </c>
      <c r="B21" s="196" t="s">
        <v>222</v>
      </c>
      <c r="C21" s="197"/>
      <c r="D21" s="194">
        <v>66</v>
      </c>
      <c r="E21" s="194">
        <v>21.25</v>
      </c>
      <c r="F21" s="194">
        <v>522.75</v>
      </c>
      <c r="G21" s="195">
        <v>0</v>
      </c>
      <c r="H21" s="195">
        <v>0</v>
      </c>
      <c r="I21" s="10">
        <v>0</v>
      </c>
      <c r="J21" s="10">
        <v>0</v>
      </c>
      <c r="K21" s="11"/>
      <c r="L21" s="190">
        <v>0</v>
      </c>
      <c r="M21" s="190">
        <v>7166.28</v>
      </c>
      <c r="N21" s="190">
        <v>2307.33</v>
      </c>
      <c r="O21" s="190">
        <v>5332.05</v>
      </c>
      <c r="P21" s="190">
        <v>0</v>
      </c>
      <c r="Q21" s="190">
        <v>0</v>
      </c>
      <c r="R21" s="190">
        <v>0</v>
      </c>
      <c r="S21" s="190">
        <v>0</v>
      </c>
      <c r="T21" s="190">
        <v>14805.66</v>
      </c>
    </row>
    <row r="22" spans="1:20">
      <c r="A22" s="13">
        <v>18</v>
      </c>
      <c r="B22" s="196" t="s">
        <v>223</v>
      </c>
      <c r="C22" s="197"/>
      <c r="D22" s="194">
        <v>21.25</v>
      </c>
      <c r="E22" s="194">
        <v>0</v>
      </c>
      <c r="F22" s="194">
        <v>544</v>
      </c>
      <c r="G22" s="195">
        <v>0</v>
      </c>
      <c r="H22" s="195">
        <v>0</v>
      </c>
      <c r="I22" s="10">
        <v>0</v>
      </c>
      <c r="J22" s="10">
        <v>0</v>
      </c>
      <c r="K22" s="11"/>
      <c r="L22" s="190">
        <v>0</v>
      </c>
      <c r="M22" s="190">
        <v>2307.33</v>
      </c>
      <c r="N22" s="190">
        <v>0</v>
      </c>
      <c r="O22" s="190">
        <v>5548.8</v>
      </c>
      <c r="P22" s="190">
        <v>0</v>
      </c>
      <c r="Q22" s="190">
        <v>0</v>
      </c>
      <c r="R22" s="190">
        <v>0</v>
      </c>
      <c r="S22" s="190">
        <v>0</v>
      </c>
      <c r="T22" s="190">
        <v>7856.13</v>
      </c>
    </row>
    <row r="23" spans="1:20">
      <c r="A23" s="13">
        <v>19</v>
      </c>
      <c r="B23" s="196" t="s">
        <v>224</v>
      </c>
      <c r="C23" s="197"/>
      <c r="D23" s="194">
        <v>63.75</v>
      </c>
      <c r="E23" s="194">
        <v>22</v>
      </c>
      <c r="F23" s="194">
        <v>585.75</v>
      </c>
      <c r="G23" s="195">
        <v>0</v>
      </c>
      <c r="H23" s="195">
        <v>0</v>
      </c>
      <c r="I23" s="10">
        <v>0</v>
      </c>
      <c r="J23" s="10">
        <v>0</v>
      </c>
      <c r="K23" s="11"/>
      <c r="L23" s="190">
        <v>0</v>
      </c>
      <c r="M23" s="190">
        <v>6921.98</v>
      </c>
      <c r="N23" s="190">
        <v>2388.7600000000002</v>
      </c>
      <c r="O23" s="190">
        <v>5974.65</v>
      </c>
      <c r="P23" s="190">
        <v>0</v>
      </c>
      <c r="Q23" s="190">
        <v>0</v>
      </c>
      <c r="R23" s="190">
        <v>0</v>
      </c>
      <c r="S23" s="190">
        <v>0</v>
      </c>
      <c r="T23" s="190">
        <v>15285.39</v>
      </c>
    </row>
    <row r="24" spans="1:20">
      <c r="A24" s="13">
        <v>20</v>
      </c>
      <c r="B24" s="196" t="s">
        <v>225</v>
      </c>
      <c r="C24" s="197"/>
      <c r="D24" s="194">
        <v>21.25</v>
      </c>
      <c r="E24" s="194">
        <v>44</v>
      </c>
      <c r="F24" s="194">
        <v>563</v>
      </c>
      <c r="G24" s="195">
        <v>0</v>
      </c>
      <c r="H24" s="195">
        <v>0</v>
      </c>
      <c r="I24" s="10">
        <v>0</v>
      </c>
      <c r="J24" s="10">
        <v>0</v>
      </c>
      <c r="K24" s="11"/>
      <c r="L24" s="190">
        <v>0</v>
      </c>
      <c r="M24" s="190">
        <v>2307.33</v>
      </c>
      <c r="N24" s="190">
        <v>4777.5200000000004</v>
      </c>
      <c r="O24" s="190">
        <v>5742.6</v>
      </c>
      <c r="P24" s="190">
        <v>0</v>
      </c>
      <c r="Q24" s="190">
        <v>0</v>
      </c>
      <c r="R24" s="190">
        <v>0</v>
      </c>
      <c r="S24" s="190">
        <v>0</v>
      </c>
      <c r="T24" s="190">
        <v>12827.45</v>
      </c>
    </row>
    <row r="25" spans="1:20">
      <c r="A25" s="13">
        <v>21</v>
      </c>
      <c r="B25" s="196" t="s">
        <v>226</v>
      </c>
      <c r="C25" s="197"/>
      <c r="D25" s="194">
        <v>21.25</v>
      </c>
      <c r="E25" s="194">
        <v>22</v>
      </c>
      <c r="F25" s="194">
        <v>562.25</v>
      </c>
      <c r="G25" s="195">
        <v>0</v>
      </c>
      <c r="H25" s="195">
        <v>0</v>
      </c>
      <c r="I25" s="10">
        <v>0</v>
      </c>
      <c r="J25" s="10">
        <v>0</v>
      </c>
      <c r="K25" s="11"/>
      <c r="L25" s="190">
        <v>0</v>
      </c>
      <c r="M25" s="190">
        <v>2307.33</v>
      </c>
      <c r="N25" s="190">
        <v>2388.7600000000002</v>
      </c>
      <c r="O25" s="190">
        <v>5734.95</v>
      </c>
      <c r="P25" s="190">
        <v>0</v>
      </c>
      <c r="Q25" s="190">
        <v>0</v>
      </c>
      <c r="R25" s="190">
        <v>0</v>
      </c>
      <c r="S25" s="190">
        <v>0</v>
      </c>
      <c r="T25" s="190">
        <v>10431.040000000001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44</v>
      </c>
      <c r="F26" s="194">
        <v>518.25</v>
      </c>
      <c r="G26" s="195">
        <v>0</v>
      </c>
      <c r="H26" s="195">
        <v>0</v>
      </c>
      <c r="I26" s="10">
        <v>0</v>
      </c>
      <c r="J26" s="10">
        <v>0</v>
      </c>
      <c r="K26" s="11"/>
      <c r="L26" s="190">
        <v>0</v>
      </c>
      <c r="M26" s="190">
        <v>0</v>
      </c>
      <c r="N26" s="190">
        <v>4777.5200000000004</v>
      </c>
      <c r="O26" s="190">
        <v>5286.15</v>
      </c>
      <c r="P26" s="190">
        <v>0</v>
      </c>
      <c r="Q26" s="190">
        <v>0</v>
      </c>
      <c r="R26" s="190">
        <v>0</v>
      </c>
      <c r="S26" s="190">
        <v>0</v>
      </c>
      <c r="T26" s="190">
        <v>10063.67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22</v>
      </c>
      <c r="F27" s="194">
        <v>496.25</v>
      </c>
      <c r="G27" s="195">
        <v>0</v>
      </c>
      <c r="H27" s="195">
        <v>0</v>
      </c>
      <c r="I27" s="10">
        <v>0</v>
      </c>
      <c r="J27" s="10">
        <v>0</v>
      </c>
      <c r="K27" s="11"/>
      <c r="L27" s="190">
        <v>0</v>
      </c>
      <c r="M27" s="190">
        <v>0</v>
      </c>
      <c r="N27" s="190">
        <v>2388.7600000000002</v>
      </c>
      <c r="O27" s="190">
        <v>5061.75</v>
      </c>
      <c r="P27" s="190">
        <v>0</v>
      </c>
      <c r="Q27" s="190">
        <v>0</v>
      </c>
      <c r="R27" s="190">
        <v>0</v>
      </c>
      <c r="S27" s="190">
        <v>0</v>
      </c>
      <c r="T27" s="190">
        <v>7450.51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44</v>
      </c>
      <c r="F28" s="194">
        <v>452.25</v>
      </c>
      <c r="G28" s="195">
        <v>0</v>
      </c>
      <c r="H28" s="195">
        <v>0</v>
      </c>
      <c r="I28" s="10">
        <v>0</v>
      </c>
      <c r="J28" s="10">
        <v>0</v>
      </c>
      <c r="K28" s="11"/>
      <c r="L28" s="190">
        <v>0</v>
      </c>
      <c r="M28" s="190">
        <v>0</v>
      </c>
      <c r="N28" s="190">
        <v>4777.5200000000004</v>
      </c>
      <c r="O28" s="190">
        <v>4612.95</v>
      </c>
      <c r="P28" s="190">
        <v>0</v>
      </c>
      <c r="Q28" s="190">
        <v>0</v>
      </c>
      <c r="R28" s="190">
        <v>0</v>
      </c>
      <c r="S28" s="190">
        <v>0</v>
      </c>
      <c r="T28" s="190">
        <v>9390.4699999999993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44</v>
      </c>
      <c r="F29" s="194">
        <v>408.25</v>
      </c>
      <c r="G29" s="195">
        <v>0</v>
      </c>
      <c r="H29" s="195">
        <v>0</v>
      </c>
      <c r="I29" s="10">
        <v>0</v>
      </c>
      <c r="J29" s="10">
        <v>0</v>
      </c>
      <c r="K29" s="11"/>
      <c r="L29" s="190">
        <v>0</v>
      </c>
      <c r="M29" s="190">
        <v>0</v>
      </c>
      <c r="N29" s="190">
        <v>4777.5200000000004</v>
      </c>
      <c r="O29" s="190">
        <v>4164.1499999999996</v>
      </c>
      <c r="P29" s="190">
        <v>0</v>
      </c>
      <c r="Q29" s="190">
        <v>0</v>
      </c>
      <c r="R29" s="190">
        <v>0</v>
      </c>
      <c r="S29" s="190">
        <v>0</v>
      </c>
      <c r="T29" s="190">
        <v>8941.67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22</v>
      </c>
      <c r="F30" s="194">
        <v>386.25</v>
      </c>
      <c r="G30" s="195">
        <v>0</v>
      </c>
      <c r="H30" s="195">
        <v>0</v>
      </c>
      <c r="I30" s="10">
        <v>0</v>
      </c>
      <c r="J30" s="10">
        <v>0</v>
      </c>
      <c r="K30" s="11"/>
      <c r="L30" s="190">
        <v>0</v>
      </c>
      <c r="M30" s="190">
        <v>0</v>
      </c>
      <c r="N30" s="190">
        <v>2388.7600000000002</v>
      </c>
      <c r="O30" s="190">
        <v>3939.75</v>
      </c>
      <c r="P30" s="190">
        <v>0</v>
      </c>
      <c r="Q30" s="190">
        <v>0</v>
      </c>
      <c r="R30" s="190">
        <v>0</v>
      </c>
      <c r="S30" s="190">
        <v>0</v>
      </c>
      <c r="T30" s="190">
        <v>6328.51</v>
      </c>
    </row>
    <row r="31" spans="1:20">
      <c r="A31" s="13">
        <v>27</v>
      </c>
      <c r="B31" s="196" t="s">
        <v>232</v>
      </c>
      <c r="C31" s="197"/>
      <c r="D31" s="194">
        <v>44</v>
      </c>
      <c r="E31" s="194">
        <v>0</v>
      </c>
      <c r="F31" s="194">
        <v>430.25</v>
      </c>
      <c r="G31" s="195">
        <v>0</v>
      </c>
      <c r="H31" s="195">
        <v>0</v>
      </c>
      <c r="I31" s="10">
        <v>0</v>
      </c>
      <c r="J31" s="10">
        <v>0</v>
      </c>
      <c r="K31" s="11"/>
      <c r="L31" s="190">
        <v>0</v>
      </c>
      <c r="M31" s="190">
        <v>4777.5200000000004</v>
      </c>
      <c r="N31" s="190">
        <v>0</v>
      </c>
      <c r="O31" s="190">
        <v>4388.55</v>
      </c>
      <c r="P31" s="190">
        <v>0</v>
      </c>
      <c r="Q31" s="190">
        <v>0</v>
      </c>
      <c r="R31" s="190">
        <v>0</v>
      </c>
      <c r="S31" s="190">
        <v>0</v>
      </c>
      <c r="T31" s="190">
        <v>9166.07</v>
      </c>
    </row>
    <row r="32" spans="1:20">
      <c r="A32" s="13">
        <v>28</v>
      </c>
      <c r="B32" s="196" t="s">
        <v>233</v>
      </c>
      <c r="C32" s="197"/>
      <c r="D32" s="194">
        <v>44</v>
      </c>
      <c r="E32" s="194">
        <v>22</v>
      </c>
      <c r="F32" s="194">
        <v>452.25</v>
      </c>
      <c r="G32" s="195">
        <v>0</v>
      </c>
      <c r="H32" s="195">
        <v>0</v>
      </c>
      <c r="I32" s="10">
        <v>0</v>
      </c>
      <c r="J32" s="10">
        <v>0</v>
      </c>
      <c r="K32" s="11"/>
      <c r="L32" s="190">
        <v>0</v>
      </c>
      <c r="M32" s="190">
        <v>4777.5200000000004</v>
      </c>
      <c r="N32" s="190">
        <v>2388.7600000000002</v>
      </c>
      <c r="O32" s="190">
        <v>4612.95</v>
      </c>
      <c r="P32" s="190">
        <v>0</v>
      </c>
      <c r="Q32" s="190">
        <v>0</v>
      </c>
      <c r="R32" s="190">
        <v>0</v>
      </c>
      <c r="S32" s="190">
        <v>0</v>
      </c>
      <c r="T32" s="190">
        <v>11779.23</v>
      </c>
    </row>
    <row r="33" spans="1:20">
      <c r="A33" s="13">
        <v>29</v>
      </c>
      <c r="B33" s="196" t="s">
        <v>234</v>
      </c>
      <c r="C33" s="197"/>
      <c r="D33" s="194">
        <v>66</v>
      </c>
      <c r="E33" s="194">
        <v>66</v>
      </c>
      <c r="F33" s="194">
        <v>452.25</v>
      </c>
      <c r="G33" s="195">
        <v>0</v>
      </c>
      <c r="H33" s="195">
        <v>0</v>
      </c>
      <c r="I33" s="10">
        <v>0</v>
      </c>
      <c r="J33" s="10">
        <v>0</v>
      </c>
      <c r="K33" s="11"/>
      <c r="L33" s="190">
        <v>0</v>
      </c>
      <c r="M33" s="190">
        <v>7166.28</v>
      </c>
      <c r="N33" s="190">
        <v>7166.28</v>
      </c>
      <c r="O33" s="190">
        <v>4612.95</v>
      </c>
      <c r="P33" s="190">
        <v>0</v>
      </c>
      <c r="Q33" s="190">
        <v>0</v>
      </c>
      <c r="R33" s="190">
        <v>0</v>
      </c>
      <c r="S33" s="190">
        <v>0</v>
      </c>
      <c r="T33" s="190">
        <v>18945.509999999998</v>
      </c>
    </row>
    <row r="34" spans="1:20">
      <c r="A34" s="13">
        <v>30</v>
      </c>
      <c r="B34" s="196" t="s">
        <v>235</v>
      </c>
      <c r="C34" s="197"/>
      <c r="D34" s="194">
        <v>44</v>
      </c>
      <c r="E34" s="194">
        <v>44</v>
      </c>
      <c r="F34" s="194">
        <v>452.25</v>
      </c>
      <c r="G34" s="195">
        <v>0</v>
      </c>
      <c r="H34" s="195">
        <v>0</v>
      </c>
      <c r="I34" s="10">
        <v>0</v>
      </c>
      <c r="J34" s="10">
        <v>0</v>
      </c>
      <c r="K34" s="11"/>
      <c r="L34" s="190">
        <v>0</v>
      </c>
      <c r="M34" s="190">
        <v>4777.5200000000004</v>
      </c>
      <c r="N34" s="190">
        <v>4777.5200000000004</v>
      </c>
      <c r="O34" s="190">
        <v>4612.95</v>
      </c>
      <c r="P34" s="190">
        <v>0</v>
      </c>
      <c r="Q34" s="190">
        <v>0</v>
      </c>
      <c r="R34" s="190">
        <v>0</v>
      </c>
      <c r="S34" s="190">
        <v>0</v>
      </c>
      <c r="T34" s="190">
        <v>14167.99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830</v>
      </c>
      <c r="E36" s="18">
        <v>658.5</v>
      </c>
      <c r="F36" s="18">
        <v>13586.25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1">
        <v>0</v>
      </c>
      <c r="M36" s="191">
        <v>90121.4</v>
      </c>
      <c r="N36" s="191">
        <v>71499.929999999993</v>
      </c>
      <c r="O36" s="191">
        <v>138579.75</v>
      </c>
      <c r="P36" s="191">
        <v>0</v>
      </c>
      <c r="Q36" s="191">
        <v>0</v>
      </c>
      <c r="R36" s="191">
        <v>0</v>
      </c>
      <c r="S36" s="191">
        <v>0</v>
      </c>
      <c r="T36" s="191">
        <v>300201.08</v>
      </c>
    </row>
    <row r="37" spans="1:20">
      <c r="R37" s="21"/>
      <c r="S37" s="21"/>
      <c r="T37" s="192">
        <v>360241.3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9F35-FB2B-4FEE-BAA0-1DC8EE52D6FD}">
  <sheetPr>
    <pageSetUpPr fitToPage="1"/>
  </sheetPr>
  <dimension ref="A1:T37"/>
  <sheetViews>
    <sheetView workbookViewId="0">
      <selection activeCell="G5" sqref="G5:H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252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253</v>
      </c>
      <c r="H3" s="269" t="s">
        <v>254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132</v>
      </c>
      <c r="E5" s="194">
        <v>65.375</v>
      </c>
      <c r="F5" s="194">
        <v>8291.857</v>
      </c>
      <c r="G5" s="195">
        <v>3708.143</v>
      </c>
      <c r="H5" s="195">
        <v>802.625</v>
      </c>
      <c r="I5" s="10">
        <v>0</v>
      </c>
      <c r="J5" s="11">
        <v>0</v>
      </c>
      <c r="K5" s="11"/>
      <c r="L5" s="190">
        <v>0</v>
      </c>
      <c r="M5" s="190">
        <v>15840</v>
      </c>
      <c r="N5" s="190">
        <v>7845</v>
      </c>
      <c r="O5" s="190">
        <v>290215</v>
      </c>
      <c r="P5" s="190">
        <v>129785.01</v>
      </c>
      <c r="Q5" s="190">
        <v>96315</v>
      </c>
      <c r="R5" s="190">
        <v>0</v>
      </c>
      <c r="S5" s="190">
        <v>0</v>
      </c>
      <c r="T5" s="190">
        <v>540000</v>
      </c>
    </row>
    <row r="6" spans="1:20">
      <c r="A6" s="13">
        <v>2</v>
      </c>
      <c r="B6" s="196" t="s">
        <v>207</v>
      </c>
      <c r="C6" s="197"/>
      <c r="D6" s="194">
        <v>330</v>
      </c>
      <c r="E6" s="194">
        <v>132</v>
      </c>
      <c r="F6" s="194">
        <v>8489.857</v>
      </c>
      <c r="G6" s="195">
        <v>3510.143</v>
      </c>
      <c r="H6" s="195">
        <v>538</v>
      </c>
      <c r="I6" s="10">
        <v>0</v>
      </c>
      <c r="J6" s="11">
        <v>0</v>
      </c>
      <c r="K6" s="11"/>
      <c r="L6" s="190">
        <v>0</v>
      </c>
      <c r="M6" s="190">
        <v>39600</v>
      </c>
      <c r="N6" s="190">
        <v>15840</v>
      </c>
      <c r="O6" s="190">
        <v>297145</v>
      </c>
      <c r="P6" s="190">
        <v>122855.01</v>
      </c>
      <c r="Q6" s="190">
        <v>64560</v>
      </c>
      <c r="R6" s="190">
        <v>0</v>
      </c>
      <c r="S6" s="190">
        <v>0</v>
      </c>
      <c r="T6" s="190">
        <v>540000</v>
      </c>
    </row>
    <row r="7" spans="1:20">
      <c r="A7" s="13">
        <v>3</v>
      </c>
      <c r="B7" s="196" t="s">
        <v>208</v>
      </c>
      <c r="C7" s="197"/>
      <c r="D7" s="194">
        <v>396</v>
      </c>
      <c r="E7" s="194">
        <v>88</v>
      </c>
      <c r="F7" s="194">
        <v>8797.857</v>
      </c>
      <c r="G7" s="195">
        <v>3202.143</v>
      </c>
      <c r="H7" s="195">
        <v>516</v>
      </c>
      <c r="I7" s="10">
        <v>0</v>
      </c>
      <c r="J7" s="11">
        <v>0</v>
      </c>
      <c r="K7" s="11"/>
      <c r="L7" s="190">
        <v>0</v>
      </c>
      <c r="M7" s="190">
        <v>47520</v>
      </c>
      <c r="N7" s="190">
        <v>10560</v>
      </c>
      <c r="O7" s="190">
        <v>307925</v>
      </c>
      <c r="P7" s="190">
        <v>112075.01</v>
      </c>
      <c r="Q7" s="190">
        <v>61920</v>
      </c>
      <c r="R7" s="190">
        <v>0</v>
      </c>
      <c r="S7" s="190">
        <v>0</v>
      </c>
      <c r="T7" s="190">
        <v>540000</v>
      </c>
    </row>
    <row r="8" spans="1:20">
      <c r="A8" s="13">
        <v>4</v>
      </c>
      <c r="B8" s="196" t="s">
        <v>209</v>
      </c>
      <c r="C8" s="197"/>
      <c r="D8" s="194">
        <v>264</v>
      </c>
      <c r="E8" s="194">
        <v>22</v>
      </c>
      <c r="F8" s="194">
        <v>9039.857</v>
      </c>
      <c r="G8" s="195">
        <v>2960.143</v>
      </c>
      <c r="H8" s="195">
        <v>714</v>
      </c>
      <c r="I8" s="10">
        <v>0</v>
      </c>
      <c r="J8" s="11">
        <v>0</v>
      </c>
      <c r="K8" s="11"/>
      <c r="L8" s="190">
        <v>0</v>
      </c>
      <c r="M8" s="190">
        <v>31680</v>
      </c>
      <c r="N8" s="190">
        <v>2640</v>
      </c>
      <c r="O8" s="190">
        <v>316395</v>
      </c>
      <c r="P8" s="190">
        <v>103605.01</v>
      </c>
      <c r="Q8" s="190">
        <v>85680</v>
      </c>
      <c r="R8" s="190">
        <v>0</v>
      </c>
      <c r="S8" s="190">
        <v>0</v>
      </c>
      <c r="T8" s="190">
        <v>540000</v>
      </c>
    </row>
    <row r="9" spans="1:20">
      <c r="A9" s="13">
        <v>5</v>
      </c>
      <c r="B9" s="196" t="s">
        <v>210</v>
      </c>
      <c r="C9" s="197"/>
      <c r="D9" s="194">
        <v>198</v>
      </c>
      <c r="E9" s="194">
        <v>87.474999999999994</v>
      </c>
      <c r="F9" s="194">
        <v>9150.3819999999996</v>
      </c>
      <c r="G9" s="195">
        <v>2849.6180000000004</v>
      </c>
      <c r="H9" s="195">
        <v>714.52499999999998</v>
      </c>
      <c r="I9" s="10">
        <v>0</v>
      </c>
      <c r="J9" s="11">
        <v>0</v>
      </c>
      <c r="K9" s="11"/>
      <c r="L9" s="190">
        <v>0</v>
      </c>
      <c r="M9" s="190">
        <v>23760</v>
      </c>
      <c r="N9" s="190">
        <v>10497</v>
      </c>
      <c r="O9" s="190">
        <v>320263.37</v>
      </c>
      <c r="P9" s="190">
        <v>99736.63</v>
      </c>
      <c r="Q9" s="190">
        <v>85743</v>
      </c>
      <c r="R9" s="190">
        <v>0</v>
      </c>
      <c r="S9" s="190">
        <v>0</v>
      </c>
      <c r="T9" s="190">
        <v>540000</v>
      </c>
    </row>
    <row r="10" spans="1:20">
      <c r="A10" s="13">
        <v>6</v>
      </c>
      <c r="B10" s="196" t="s">
        <v>211</v>
      </c>
      <c r="C10" s="197"/>
      <c r="D10" s="194">
        <v>176</v>
      </c>
      <c r="E10" s="194">
        <v>22</v>
      </c>
      <c r="F10" s="194">
        <v>9304.3819999999996</v>
      </c>
      <c r="G10" s="195">
        <v>2695.6180000000004</v>
      </c>
      <c r="H10" s="195">
        <v>802</v>
      </c>
      <c r="I10" s="10">
        <v>0</v>
      </c>
      <c r="J10" s="11">
        <v>0</v>
      </c>
      <c r="K10" s="11"/>
      <c r="L10" s="190">
        <v>0</v>
      </c>
      <c r="M10" s="190">
        <v>21120</v>
      </c>
      <c r="N10" s="190">
        <v>2640</v>
      </c>
      <c r="O10" s="190">
        <v>325653.37</v>
      </c>
      <c r="P10" s="190">
        <v>94346.63</v>
      </c>
      <c r="Q10" s="190">
        <v>96240</v>
      </c>
      <c r="R10" s="190">
        <v>0</v>
      </c>
      <c r="S10" s="190">
        <v>0</v>
      </c>
      <c r="T10" s="190">
        <v>540000</v>
      </c>
    </row>
    <row r="11" spans="1:20">
      <c r="A11" s="13">
        <v>7</v>
      </c>
      <c r="B11" s="196" t="s">
        <v>212</v>
      </c>
      <c r="C11" s="197"/>
      <c r="D11" s="194">
        <v>286</v>
      </c>
      <c r="E11" s="194">
        <v>68.75</v>
      </c>
      <c r="F11" s="194">
        <v>9521.6319999999996</v>
      </c>
      <c r="G11" s="195">
        <v>2478.3680000000004</v>
      </c>
      <c r="H11" s="195">
        <v>645.25</v>
      </c>
      <c r="I11" s="10">
        <v>0</v>
      </c>
      <c r="J11" s="11">
        <v>0</v>
      </c>
      <c r="K11" s="11"/>
      <c r="L11" s="190">
        <v>0</v>
      </c>
      <c r="M11" s="190">
        <v>34320</v>
      </c>
      <c r="N11" s="190">
        <v>8250</v>
      </c>
      <c r="O11" s="190">
        <v>333257.12</v>
      </c>
      <c r="P11" s="190">
        <v>86742.88</v>
      </c>
      <c r="Q11" s="190">
        <v>77430</v>
      </c>
      <c r="R11" s="190">
        <v>0</v>
      </c>
      <c r="S11" s="190">
        <v>0</v>
      </c>
      <c r="T11" s="190">
        <v>540000</v>
      </c>
    </row>
    <row r="12" spans="1:20">
      <c r="A12" s="13">
        <v>8</v>
      </c>
      <c r="B12" s="196" t="s">
        <v>213</v>
      </c>
      <c r="C12" s="197"/>
      <c r="D12" s="194">
        <v>88</v>
      </c>
      <c r="E12" s="194">
        <v>220</v>
      </c>
      <c r="F12" s="194">
        <v>9389.6319999999996</v>
      </c>
      <c r="G12" s="195">
        <v>2610.3680000000004</v>
      </c>
      <c r="H12" s="195">
        <v>692</v>
      </c>
      <c r="I12" s="10">
        <v>0</v>
      </c>
      <c r="J12" s="11">
        <v>0</v>
      </c>
      <c r="K12" s="11"/>
      <c r="L12" s="190">
        <v>0</v>
      </c>
      <c r="M12" s="190">
        <v>10560</v>
      </c>
      <c r="N12" s="190">
        <v>26400</v>
      </c>
      <c r="O12" s="190">
        <v>328637.12</v>
      </c>
      <c r="P12" s="190">
        <v>91362.880000000005</v>
      </c>
      <c r="Q12" s="190">
        <v>83040</v>
      </c>
      <c r="R12" s="190">
        <v>0</v>
      </c>
      <c r="S12" s="190">
        <v>0</v>
      </c>
      <c r="T12" s="190">
        <v>540000</v>
      </c>
    </row>
    <row r="13" spans="1:20">
      <c r="A13" s="13">
        <v>9</v>
      </c>
      <c r="B13" s="196" t="s">
        <v>214</v>
      </c>
      <c r="C13" s="197"/>
      <c r="D13" s="194">
        <v>66</v>
      </c>
      <c r="E13" s="194">
        <v>110</v>
      </c>
      <c r="F13" s="194">
        <v>9345.6319999999996</v>
      </c>
      <c r="G13" s="195">
        <v>2654.3680000000004</v>
      </c>
      <c r="H13" s="195">
        <v>824</v>
      </c>
      <c r="I13" s="10">
        <v>0</v>
      </c>
      <c r="J13" s="11">
        <v>0</v>
      </c>
      <c r="K13" s="11"/>
      <c r="L13" s="190">
        <v>0</v>
      </c>
      <c r="M13" s="190">
        <v>7920</v>
      </c>
      <c r="N13" s="190">
        <v>13200</v>
      </c>
      <c r="O13" s="190">
        <v>327097.12</v>
      </c>
      <c r="P13" s="190">
        <v>92902.88</v>
      </c>
      <c r="Q13" s="190">
        <v>98880</v>
      </c>
      <c r="R13" s="190">
        <v>0</v>
      </c>
      <c r="S13" s="190">
        <v>0</v>
      </c>
      <c r="T13" s="190">
        <v>540000</v>
      </c>
    </row>
    <row r="14" spans="1:20">
      <c r="A14" s="13">
        <v>10</v>
      </c>
      <c r="B14" s="196" t="s">
        <v>215</v>
      </c>
      <c r="C14" s="197"/>
      <c r="D14" s="194">
        <v>330</v>
      </c>
      <c r="E14" s="194">
        <v>94.875</v>
      </c>
      <c r="F14" s="194">
        <v>9580.7569999999996</v>
      </c>
      <c r="G14" s="195">
        <v>2419.2430000000004</v>
      </c>
      <c r="H14" s="195">
        <v>575.125</v>
      </c>
      <c r="I14" s="10">
        <v>0</v>
      </c>
      <c r="J14" s="11">
        <v>0</v>
      </c>
      <c r="K14" s="11"/>
      <c r="L14" s="190">
        <v>0</v>
      </c>
      <c r="M14" s="190">
        <v>39600</v>
      </c>
      <c r="N14" s="190">
        <v>11385</v>
      </c>
      <c r="O14" s="190">
        <v>335326.5</v>
      </c>
      <c r="P14" s="190">
        <v>84673.51</v>
      </c>
      <c r="Q14" s="190">
        <v>69015</v>
      </c>
      <c r="R14" s="190">
        <v>0</v>
      </c>
      <c r="S14" s="190">
        <v>0</v>
      </c>
      <c r="T14" s="190">
        <v>540000</v>
      </c>
    </row>
    <row r="15" spans="1:20">
      <c r="A15" s="13">
        <v>11</v>
      </c>
      <c r="B15" s="196" t="s">
        <v>216</v>
      </c>
      <c r="C15" s="197"/>
      <c r="D15" s="194">
        <v>286</v>
      </c>
      <c r="E15" s="194">
        <v>119.625</v>
      </c>
      <c r="F15" s="194">
        <v>9747.1319999999996</v>
      </c>
      <c r="G15" s="195">
        <v>2252.8680000000004</v>
      </c>
      <c r="H15" s="195">
        <v>594.375</v>
      </c>
      <c r="I15" s="10">
        <v>0</v>
      </c>
      <c r="J15" s="11">
        <v>0</v>
      </c>
      <c r="K15" s="11"/>
      <c r="L15" s="190">
        <v>0</v>
      </c>
      <c r="M15" s="190">
        <v>34320</v>
      </c>
      <c r="N15" s="190">
        <v>14355</v>
      </c>
      <c r="O15" s="190">
        <v>341149.62</v>
      </c>
      <c r="P15" s="190">
        <v>78850.38</v>
      </c>
      <c r="Q15" s="190">
        <v>71325</v>
      </c>
      <c r="R15" s="190">
        <v>0</v>
      </c>
      <c r="S15" s="190">
        <v>0</v>
      </c>
      <c r="T15" s="190">
        <v>540000</v>
      </c>
    </row>
    <row r="16" spans="1:20">
      <c r="A16" s="13">
        <v>12</v>
      </c>
      <c r="B16" s="196" t="s">
        <v>217</v>
      </c>
      <c r="C16" s="197"/>
      <c r="D16" s="194">
        <v>242</v>
      </c>
      <c r="E16" s="194">
        <v>92.125</v>
      </c>
      <c r="F16" s="194">
        <v>9897.0069999999996</v>
      </c>
      <c r="G16" s="195">
        <v>2102.9930000000004</v>
      </c>
      <c r="H16" s="195">
        <v>665.875</v>
      </c>
      <c r="I16" s="10">
        <v>0</v>
      </c>
      <c r="J16" s="11">
        <v>0</v>
      </c>
      <c r="K16" s="16"/>
      <c r="L16" s="190">
        <v>0</v>
      </c>
      <c r="M16" s="190">
        <v>29040</v>
      </c>
      <c r="N16" s="190">
        <v>11055</v>
      </c>
      <c r="O16" s="190">
        <v>346395.25</v>
      </c>
      <c r="P16" s="190">
        <v>73604.759999999995</v>
      </c>
      <c r="Q16" s="190">
        <v>79905</v>
      </c>
      <c r="R16" s="190">
        <v>0</v>
      </c>
      <c r="S16" s="190">
        <v>0</v>
      </c>
      <c r="T16" s="190">
        <v>540000</v>
      </c>
    </row>
    <row r="17" spans="1:20">
      <c r="A17" s="13">
        <v>13</v>
      </c>
      <c r="B17" s="196" t="s">
        <v>218</v>
      </c>
      <c r="C17" s="197"/>
      <c r="D17" s="194">
        <v>242</v>
      </c>
      <c r="E17" s="194">
        <v>92.125</v>
      </c>
      <c r="F17" s="194">
        <v>10046.882</v>
      </c>
      <c r="G17" s="195">
        <v>1953.1180000000004</v>
      </c>
      <c r="H17" s="195">
        <v>665.875</v>
      </c>
      <c r="I17" s="10">
        <v>0</v>
      </c>
      <c r="J17" s="11">
        <v>0</v>
      </c>
      <c r="K17" s="11"/>
      <c r="L17" s="190">
        <v>0</v>
      </c>
      <c r="M17" s="190">
        <v>29040</v>
      </c>
      <c r="N17" s="190">
        <v>11055</v>
      </c>
      <c r="O17" s="190">
        <v>351640.87</v>
      </c>
      <c r="P17" s="190">
        <v>68359.13</v>
      </c>
      <c r="Q17" s="190">
        <v>79905</v>
      </c>
      <c r="R17" s="190">
        <v>0</v>
      </c>
      <c r="S17" s="190">
        <v>0</v>
      </c>
      <c r="T17" s="190">
        <v>540000</v>
      </c>
    </row>
    <row r="18" spans="1:20">
      <c r="A18" s="13">
        <v>14</v>
      </c>
      <c r="B18" s="196" t="s">
        <v>219</v>
      </c>
      <c r="C18" s="197"/>
      <c r="D18" s="194">
        <v>440</v>
      </c>
      <c r="E18" s="194">
        <v>132.07499999999999</v>
      </c>
      <c r="F18" s="194">
        <v>10354.807000000001</v>
      </c>
      <c r="G18" s="195">
        <v>1645.1929999999993</v>
      </c>
      <c r="H18" s="195">
        <v>427.92499999999995</v>
      </c>
      <c r="I18" s="10">
        <v>0</v>
      </c>
      <c r="J18" s="11">
        <v>0</v>
      </c>
      <c r="K18" s="11"/>
      <c r="L18" s="190">
        <v>0</v>
      </c>
      <c r="M18" s="190">
        <v>52800</v>
      </c>
      <c r="N18" s="190">
        <v>15849</v>
      </c>
      <c r="O18" s="190">
        <v>362418.25</v>
      </c>
      <c r="P18" s="190">
        <v>57581.760000000002</v>
      </c>
      <c r="Q18" s="190">
        <v>51351</v>
      </c>
      <c r="R18" s="190">
        <v>0</v>
      </c>
      <c r="S18" s="190">
        <v>0</v>
      </c>
      <c r="T18" s="190">
        <v>540000</v>
      </c>
    </row>
    <row r="19" spans="1:20">
      <c r="A19" s="13">
        <v>15</v>
      </c>
      <c r="B19" s="196" t="s">
        <v>220</v>
      </c>
      <c r="C19" s="197"/>
      <c r="D19" s="194">
        <v>220</v>
      </c>
      <c r="E19" s="194">
        <v>89.375</v>
      </c>
      <c r="F19" s="194">
        <v>10485.432000000001</v>
      </c>
      <c r="G19" s="195">
        <v>1514.5679999999993</v>
      </c>
      <c r="H19" s="195">
        <v>690.625</v>
      </c>
      <c r="I19" s="10">
        <v>0</v>
      </c>
      <c r="J19" s="11">
        <v>0</v>
      </c>
      <c r="K19" s="11"/>
      <c r="L19" s="190">
        <v>0</v>
      </c>
      <c r="M19" s="190">
        <v>26400</v>
      </c>
      <c r="N19" s="190">
        <v>10725</v>
      </c>
      <c r="O19" s="190">
        <v>366990.12</v>
      </c>
      <c r="P19" s="190">
        <v>53009.88</v>
      </c>
      <c r="Q19" s="190">
        <v>82875</v>
      </c>
      <c r="R19" s="190">
        <v>0</v>
      </c>
      <c r="S19" s="190">
        <v>0</v>
      </c>
      <c r="T19" s="190">
        <v>540000</v>
      </c>
    </row>
    <row r="20" spans="1:20">
      <c r="A20" s="13">
        <v>16</v>
      </c>
      <c r="B20" s="196" t="s">
        <v>221</v>
      </c>
      <c r="C20" s="197"/>
      <c r="D20" s="194">
        <v>198</v>
      </c>
      <c r="E20" s="194">
        <v>66</v>
      </c>
      <c r="F20" s="194">
        <v>10617.432000000001</v>
      </c>
      <c r="G20" s="195">
        <v>1382.5679999999993</v>
      </c>
      <c r="H20" s="195">
        <v>736</v>
      </c>
      <c r="I20" s="10">
        <v>0</v>
      </c>
      <c r="J20" s="11">
        <v>0</v>
      </c>
      <c r="K20" s="11"/>
      <c r="L20" s="190">
        <v>0</v>
      </c>
      <c r="M20" s="190">
        <v>23760</v>
      </c>
      <c r="N20" s="190">
        <v>7920</v>
      </c>
      <c r="O20" s="190">
        <v>371610.12</v>
      </c>
      <c r="P20" s="190">
        <v>48389.88</v>
      </c>
      <c r="Q20" s="190">
        <v>88320</v>
      </c>
      <c r="R20" s="190">
        <v>0</v>
      </c>
      <c r="S20" s="190">
        <v>0</v>
      </c>
      <c r="T20" s="190">
        <v>540000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166.375</v>
      </c>
      <c r="F21" s="194">
        <v>10451.057000000001</v>
      </c>
      <c r="G21" s="195">
        <v>1548.9429999999993</v>
      </c>
      <c r="H21" s="195">
        <v>833.625</v>
      </c>
      <c r="I21" s="10">
        <v>0</v>
      </c>
      <c r="J21" s="11">
        <v>0</v>
      </c>
      <c r="K21" s="11"/>
      <c r="L21" s="190">
        <v>0</v>
      </c>
      <c r="M21" s="190">
        <v>0</v>
      </c>
      <c r="N21" s="190">
        <v>19965</v>
      </c>
      <c r="O21" s="190">
        <v>365787</v>
      </c>
      <c r="P21" s="190">
        <v>54213.01</v>
      </c>
      <c r="Q21" s="190">
        <v>100035</v>
      </c>
      <c r="R21" s="190">
        <v>0</v>
      </c>
      <c r="S21" s="190">
        <v>0</v>
      </c>
      <c r="T21" s="190">
        <v>540000</v>
      </c>
    </row>
    <row r="22" spans="1:20">
      <c r="A22" s="13">
        <v>18</v>
      </c>
      <c r="B22" s="196" t="s">
        <v>223</v>
      </c>
      <c r="C22" s="197"/>
      <c r="D22" s="194">
        <v>154</v>
      </c>
      <c r="E22" s="194">
        <v>242.05</v>
      </c>
      <c r="F22" s="194">
        <v>10363.007</v>
      </c>
      <c r="G22" s="195">
        <v>1636.9930000000004</v>
      </c>
      <c r="H22" s="195">
        <v>603.95000000000005</v>
      </c>
      <c r="I22" s="10">
        <v>0</v>
      </c>
      <c r="J22" s="11">
        <v>0</v>
      </c>
      <c r="K22" s="11"/>
      <c r="L22" s="190">
        <v>0</v>
      </c>
      <c r="M22" s="190">
        <v>18480</v>
      </c>
      <c r="N22" s="190">
        <v>29046</v>
      </c>
      <c r="O22" s="190">
        <v>362705.25</v>
      </c>
      <c r="P22" s="190">
        <v>57294.76</v>
      </c>
      <c r="Q22" s="190">
        <v>72474</v>
      </c>
      <c r="R22" s="190">
        <v>0</v>
      </c>
      <c r="S22" s="190">
        <v>0</v>
      </c>
      <c r="T22" s="190">
        <v>540000</v>
      </c>
    </row>
    <row r="23" spans="1:20">
      <c r="A23" s="13">
        <v>19</v>
      </c>
      <c r="B23" s="196" t="s">
        <v>224</v>
      </c>
      <c r="C23" s="197"/>
      <c r="D23" s="194">
        <v>572</v>
      </c>
      <c r="E23" s="194">
        <v>132</v>
      </c>
      <c r="F23" s="194">
        <v>10803.007</v>
      </c>
      <c r="G23" s="195">
        <v>1196.9930000000004</v>
      </c>
      <c r="H23" s="195">
        <v>296</v>
      </c>
      <c r="I23" s="10">
        <v>0</v>
      </c>
      <c r="J23" s="11">
        <v>0</v>
      </c>
      <c r="K23" s="11"/>
      <c r="L23" s="190">
        <v>0</v>
      </c>
      <c r="M23" s="190">
        <v>68640</v>
      </c>
      <c r="N23" s="190">
        <v>15840</v>
      </c>
      <c r="O23" s="190">
        <v>378105.25</v>
      </c>
      <c r="P23" s="190">
        <v>41894.76</v>
      </c>
      <c r="Q23" s="190">
        <v>35520</v>
      </c>
      <c r="R23" s="190">
        <v>0</v>
      </c>
      <c r="S23" s="190">
        <v>0</v>
      </c>
      <c r="T23" s="190">
        <v>540000</v>
      </c>
    </row>
    <row r="24" spans="1:20">
      <c r="A24" s="13">
        <v>20</v>
      </c>
      <c r="B24" s="196" t="s">
        <v>225</v>
      </c>
      <c r="C24" s="197"/>
      <c r="D24" s="194">
        <v>550</v>
      </c>
      <c r="E24" s="194">
        <v>176</v>
      </c>
      <c r="F24" s="194">
        <v>11177.007</v>
      </c>
      <c r="G24" s="195">
        <v>822.99300000000039</v>
      </c>
      <c r="H24" s="195">
        <v>274</v>
      </c>
      <c r="I24" s="10">
        <v>0</v>
      </c>
      <c r="J24" s="11">
        <v>0</v>
      </c>
      <c r="K24" s="11"/>
      <c r="L24" s="190">
        <v>0</v>
      </c>
      <c r="M24" s="190">
        <v>66000</v>
      </c>
      <c r="N24" s="190">
        <v>21120</v>
      </c>
      <c r="O24" s="190">
        <v>391195.25</v>
      </c>
      <c r="P24" s="190">
        <v>28804.76</v>
      </c>
      <c r="Q24" s="190">
        <v>32880</v>
      </c>
      <c r="R24" s="190">
        <v>0</v>
      </c>
      <c r="S24" s="190">
        <v>0</v>
      </c>
      <c r="T24" s="190">
        <v>540000</v>
      </c>
    </row>
    <row r="25" spans="1:20">
      <c r="A25" s="13">
        <v>21</v>
      </c>
      <c r="B25" s="196" t="s">
        <v>226</v>
      </c>
      <c r="C25" s="197"/>
      <c r="D25" s="194">
        <v>22</v>
      </c>
      <c r="E25" s="194">
        <v>199.375</v>
      </c>
      <c r="F25" s="194">
        <v>10999.632</v>
      </c>
      <c r="G25" s="195">
        <v>1000.3680000000004</v>
      </c>
      <c r="H25" s="195">
        <v>778.625</v>
      </c>
      <c r="I25" s="10">
        <v>0</v>
      </c>
      <c r="J25" s="11">
        <v>0</v>
      </c>
      <c r="K25" s="11"/>
      <c r="L25" s="190">
        <v>0</v>
      </c>
      <c r="M25" s="190">
        <v>2640</v>
      </c>
      <c r="N25" s="190">
        <v>23925</v>
      </c>
      <c r="O25" s="190">
        <v>384987.12</v>
      </c>
      <c r="P25" s="190">
        <v>35012.879999999997</v>
      </c>
      <c r="Q25" s="190">
        <v>93435</v>
      </c>
      <c r="R25" s="190">
        <v>0</v>
      </c>
      <c r="S25" s="190">
        <v>0</v>
      </c>
      <c r="T25" s="190">
        <v>540000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10999.632</v>
      </c>
      <c r="G26" s="195">
        <v>1000.3680000000004</v>
      </c>
      <c r="H26" s="195">
        <v>1000</v>
      </c>
      <c r="I26" s="10">
        <v>0</v>
      </c>
      <c r="J26" s="11">
        <v>0</v>
      </c>
      <c r="K26" s="11"/>
      <c r="L26" s="190">
        <v>0</v>
      </c>
      <c r="M26" s="190">
        <v>0</v>
      </c>
      <c r="N26" s="190">
        <v>0</v>
      </c>
      <c r="O26" s="190">
        <v>384987.12</v>
      </c>
      <c r="P26" s="190">
        <v>35012.879999999997</v>
      </c>
      <c r="Q26" s="190">
        <v>120000</v>
      </c>
      <c r="R26" s="190">
        <v>0</v>
      </c>
      <c r="S26" s="190">
        <v>0</v>
      </c>
      <c r="T26" s="190">
        <v>540000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10999.632</v>
      </c>
      <c r="G27" s="195">
        <v>1000.3680000000004</v>
      </c>
      <c r="H27" s="195">
        <v>1000</v>
      </c>
      <c r="I27" s="10">
        <v>0</v>
      </c>
      <c r="J27" s="11">
        <v>0</v>
      </c>
      <c r="K27" s="11"/>
      <c r="L27" s="190">
        <v>0</v>
      </c>
      <c r="M27" s="190">
        <v>0</v>
      </c>
      <c r="N27" s="190">
        <v>0</v>
      </c>
      <c r="O27" s="190">
        <v>384987.12</v>
      </c>
      <c r="P27" s="190">
        <v>35012.879999999997</v>
      </c>
      <c r="Q27" s="190">
        <v>120000</v>
      </c>
      <c r="R27" s="190">
        <v>0</v>
      </c>
      <c r="S27" s="190">
        <v>0</v>
      </c>
      <c r="T27" s="190">
        <v>540000</v>
      </c>
    </row>
    <row r="28" spans="1:20">
      <c r="A28" s="13">
        <v>24</v>
      </c>
      <c r="B28" s="196" t="s">
        <v>229</v>
      </c>
      <c r="C28" s="197"/>
      <c r="D28" s="194">
        <v>242</v>
      </c>
      <c r="E28" s="194">
        <v>467.42500000000001</v>
      </c>
      <c r="F28" s="194">
        <v>10774.207</v>
      </c>
      <c r="G28" s="195">
        <v>1225.7929999999997</v>
      </c>
      <c r="H28" s="195">
        <v>290.57500000000005</v>
      </c>
      <c r="I28" s="10">
        <v>0</v>
      </c>
      <c r="J28" s="11">
        <v>0</v>
      </c>
      <c r="K28" s="11"/>
      <c r="L28" s="190">
        <v>0</v>
      </c>
      <c r="M28" s="190">
        <v>29040</v>
      </c>
      <c r="N28" s="190">
        <v>56091</v>
      </c>
      <c r="O28" s="190">
        <v>377097.25</v>
      </c>
      <c r="P28" s="190">
        <v>42902.76</v>
      </c>
      <c r="Q28" s="190">
        <v>34869</v>
      </c>
      <c r="R28" s="190">
        <v>0</v>
      </c>
      <c r="S28" s="190">
        <v>0</v>
      </c>
      <c r="T28" s="190">
        <v>540000</v>
      </c>
    </row>
    <row r="29" spans="1:20">
      <c r="A29" s="13">
        <v>25</v>
      </c>
      <c r="B29" s="196" t="s">
        <v>230</v>
      </c>
      <c r="C29" s="197"/>
      <c r="D29" s="194">
        <v>374</v>
      </c>
      <c r="E29" s="194">
        <v>478.5</v>
      </c>
      <c r="F29" s="194">
        <v>10669.707</v>
      </c>
      <c r="G29" s="195">
        <v>1330.2929999999997</v>
      </c>
      <c r="H29" s="195">
        <v>147.5</v>
      </c>
      <c r="I29" s="10">
        <v>0</v>
      </c>
      <c r="J29" s="11">
        <v>0</v>
      </c>
      <c r="K29" s="11"/>
      <c r="L29" s="190">
        <v>0</v>
      </c>
      <c r="M29" s="190">
        <v>44880</v>
      </c>
      <c r="N29" s="190">
        <v>57420</v>
      </c>
      <c r="O29" s="190">
        <v>373439.75</v>
      </c>
      <c r="P29" s="190">
        <v>46560.26</v>
      </c>
      <c r="Q29" s="190">
        <v>17700</v>
      </c>
      <c r="R29" s="190">
        <v>0</v>
      </c>
      <c r="S29" s="190">
        <v>0</v>
      </c>
      <c r="T29" s="190">
        <v>540000</v>
      </c>
    </row>
    <row r="30" spans="1:20">
      <c r="A30" s="13">
        <v>26</v>
      </c>
      <c r="B30" s="196" t="s">
        <v>231</v>
      </c>
      <c r="C30" s="197"/>
      <c r="D30" s="194">
        <v>484</v>
      </c>
      <c r="E30" s="194">
        <v>341</v>
      </c>
      <c r="F30" s="194">
        <v>10812.707</v>
      </c>
      <c r="G30" s="195">
        <v>1187.2929999999997</v>
      </c>
      <c r="H30" s="195">
        <v>175</v>
      </c>
      <c r="I30" s="10">
        <v>0</v>
      </c>
      <c r="J30" s="11">
        <v>0</v>
      </c>
      <c r="K30" s="11"/>
      <c r="L30" s="190">
        <v>0</v>
      </c>
      <c r="M30" s="190">
        <v>58080</v>
      </c>
      <c r="N30" s="190">
        <v>40920</v>
      </c>
      <c r="O30" s="190">
        <v>378444.75</v>
      </c>
      <c r="P30" s="190">
        <v>41555.26</v>
      </c>
      <c r="Q30" s="190">
        <v>21000</v>
      </c>
      <c r="R30" s="190">
        <v>0</v>
      </c>
      <c r="S30" s="190">
        <v>0</v>
      </c>
      <c r="T30" s="190">
        <v>540000</v>
      </c>
    </row>
    <row r="31" spans="1:20">
      <c r="A31" s="13">
        <v>27</v>
      </c>
      <c r="B31" s="196" t="s">
        <v>232</v>
      </c>
      <c r="C31" s="197"/>
      <c r="D31" s="194">
        <v>308</v>
      </c>
      <c r="E31" s="194">
        <v>257.125</v>
      </c>
      <c r="F31" s="194">
        <v>10863.582</v>
      </c>
      <c r="G31" s="195">
        <v>1136.4179999999997</v>
      </c>
      <c r="H31" s="195">
        <v>434.875</v>
      </c>
      <c r="I31" s="10">
        <v>0</v>
      </c>
      <c r="J31" s="11">
        <v>0</v>
      </c>
      <c r="K31" s="11"/>
      <c r="L31" s="190">
        <v>0</v>
      </c>
      <c r="M31" s="190">
        <v>36960</v>
      </c>
      <c r="N31" s="190">
        <v>30855</v>
      </c>
      <c r="O31" s="190">
        <v>380225.37</v>
      </c>
      <c r="P31" s="190">
        <v>39774.629999999997</v>
      </c>
      <c r="Q31" s="190">
        <v>52185</v>
      </c>
      <c r="R31" s="190">
        <v>0</v>
      </c>
      <c r="S31" s="190">
        <v>0</v>
      </c>
      <c r="T31" s="190">
        <v>540000</v>
      </c>
    </row>
    <row r="32" spans="1:20">
      <c r="A32" s="13">
        <v>28</v>
      </c>
      <c r="B32" s="196" t="s">
        <v>233</v>
      </c>
      <c r="C32" s="197"/>
      <c r="D32" s="194">
        <v>374</v>
      </c>
      <c r="E32" s="194">
        <v>89.375</v>
      </c>
      <c r="F32" s="194">
        <v>11148.207</v>
      </c>
      <c r="G32" s="195">
        <v>851.79299999999967</v>
      </c>
      <c r="H32" s="195">
        <v>536.625</v>
      </c>
      <c r="I32" s="10">
        <v>0</v>
      </c>
      <c r="J32" s="11">
        <v>0</v>
      </c>
      <c r="K32" s="11"/>
      <c r="L32" s="190">
        <v>0</v>
      </c>
      <c r="M32" s="190">
        <v>44880</v>
      </c>
      <c r="N32" s="190">
        <v>10725</v>
      </c>
      <c r="O32" s="190">
        <v>390187.25</v>
      </c>
      <c r="P32" s="190">
        <v>29812.76</v>
      </c>
      <c r="Q32" s="190">
        <v>64395</v>
      </c>
      <c r="R32" s="190">
        <v>0</v>
      </c>
      <c r="S32" s="190">
        <v>0</v>
      </c>
      <c r="T32" s="190">
        <v>540000</v>
      </c>
    </row>
    <row r="33" spans="1:20">
      <c r="A33" s="13">
        <v>29</v>
      </c>
      <c r="B33" s="196" t="s">
        <v>234</v>
      </c>
      <c r="C33" s="197"/>
      <c r="D33" s="194">
        <v>484</v>
      </c>
      <c r="E33" s="194">
        <v>376.75</v>
      </c>
      <c r="F33" s="194">
        <v>11255.457</v>
      </c>
      <c r="G33" s="195">
        <v>744.54299999999967</v>
      </c>
      <c r="H33" s="195">
        <v>139.25</v>
      </c>
      <c r="I33" s="10">
        <v>0</v>
      </c>
      <c r="J33" s="11">
        <v>0</v>
      </c>
      <c r="K33" s="11"/>
      <c r="L33" s="190">
        <v>0</v>
      </c>
      <c r="M33" s="190">
        <v>58080</v>
      </c>
      <c r="N33" s="190">
        <v>45210</v>
      </c>
      <c r="O33" s="190">
        <v>393941</v>
      </c>
      <c r="P33" s="190">
        <v>26059.01</v>
      </c>
      <c r="Q33" s="190">
        <v>16710</v>
      </c>
      <c r="R33" s="190">
        <v>0</v>
      </c>
      <c r="S33" s="190">
        <v>0</v>
      </c>
      <c r="T33" s="190">
        <v>540000</v>
      </c>
    </row>
    <row r="34" spans="1:20">
      <c r="A34" s="13">
        <v>30</v>
      </c>
      <c r="B34" s="196" t="s">
        <v>235</v>
      </c>
      <c r="C34" s="197"/>
      <c r="D34" s="194">
        <v>374</v>
      </c>
      <c r="E34" s="194">
        <v>440</v>
      </c>
      <c r="F34" s="194">
        <v>11189.457</v>
      </c>
      <c r="G34" s="195">
        <v>810.54299999999967</v>
      </c>
      <c r="H34" s="195">
        <v>186</v>
      </c>
      <c r="I34" s="10">
        <v>0</v>
      </c>
      <c r="J34" s="11">
        <v>0</v>
      </c>
      <c r="K34" s="11"/>
      <c r="L34" s="190">
        <v>0</v>
      </c>
      <c r="M34" s="190">
        <v>44880</v>
      </c>
      <c r="N34" s="190">
        <v>52800</v>
      </c>
      <c r="O34" s="190">
        <v>391631</v>
      </c>
      <c r="P34" s="190">
        <v>28369.01</v>
      </c>
      <c r="Q34" s="190">
        <v>22320</v>
      </c>
      <c r="R34" s="190">
        <v>0</v>
      </c>
      <c r="S34" s="190">
        <v>0</v>
      </c>
      <c r="T34" s="190">
        <v>540000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7832</v>
      </c>
      <c r="E36" s="18">
        <v>4867.7749999999996</v>
      </c>
      <c r="F36" s="18">
        <v>304566.83500000002</v>
      </c>
      <c r="G36" s="18">
        <v>55433.165000000008</v>
      </c>
      <c r="H36" s="18">
        <v>17300.224999999999</v>
      </c>
      <c r="I36" s="18">
        <v>0</v>
      </c>
      <c r="J36" s="19">
        <v>0</v>
      </c>
      <c r="K36" s="19">
        <v>0</v>
      </c>
      <c r="L36" s="191">
        <v>0</v>
      </c>
      <c r="M36" s="191">
        <v>939840</v>
      </c>
      <c r="N36" s="191">
        <v>584133</v>
      </c>
      <c r="O36" s="191">
        <v>10659839.23</v>
      </c>
      <c r="P36" s="191">
        <v>1940160.78</v>
      </c>
      <c r="Q36" s="191">
        <v>2076027</v>
      </c>
      <c r="R36" s="191">
        <v>0</v>
      </c>
      <c r="S36" s="191">
        <v>0</v>
      </c>
      <c r="T36" s="191">
        <v>16200000</v>
      </c>
    </row>
    <row r="37" spans="1:20">
      <c r="R37" s="21"/>
      <c r="S37" s="21"/>
      <c r="T37" s="192">
        <v>19440000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5BF2-1319-4E61-9534-A346A398643B}">
  <sheetPr>
    <pageSetUpPr fitToPage="1"/>
  </sheetPr>
  <dimension ref="A1:T37"/>
  <sheetViews>
    <sheetView workbookViewId="0">
      <selection activeCell="G5" sqref="G5:H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255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253</v>
      </c>
      <c r="H3" s="269" t="s">
        <v>254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11</v>
      </c>
      <c r="G5" s="195">
        <v>0</v>
      </c>
      <c r="H5" s="195">
        <v>0</v>
      </c>
      <c r="I5" s="10">
        <v>0</v>
      </c>
      <c r="J5" s="11">
        <v>0</v>
      </c>
      <c r="K5" s="11"/>
      <c r="L5" s="190">
        <v>0</v>
      </c>
      <c r="M5" s="190">
        <v>0</v>
      </c>
      <c r="N5" s="190">
        <v>0</v>
      </c>
      <c r="O5" s="190">
        <v>385</v>
      </c>
      <c r="P5" s="190">
        <v>0</v>
      </c>
      <c r="Q5" s="190">
        <v>0</v>
      </c>
      <c r="R5" s="190">
        <v>0</v>
      </c>
      <c r="S5" s="190">
        <v>0</v>
      </c>
      <c r="T5" s="190">
        <v>385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11</v>
      </c>
      <c r="G6" s="195">
        <v>0</v>
      </c>
      <c r="H6" s="195">
        <v>0</v>
      </c>
      <c r="I6" s="10">
        <v>0</v>
      </c>
      <c r="J6" s="11">
        <v>0</v>
      </c>
      <c r="K6" s="11"/>
      <c r="L6" s="190">
        <v>0</v>
      </c>
      <c r="M6" s="190">
        <v>0</v>
      </c>
      <c r="N6" s="190">
        <v>0</v>
      </c>
      <c r="O6" s="190">
        <v>385</v>
      </c>
      <c r="P6" s="190">
        <v>0</v>
      </c>
      <c r="Q6" s="190">
        <v>0</v>
      </c>
      <c r="R6" s="190">
        <v>0</v>
      </c>
      <c r="S6" s="190">
        <v>0</v>
      </c>
      <c r="T6" s="190">
        <v>385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11</v>
      </c>
      <c r="G7" s="195">
        <v>0</v>
      </c>
      <c r="H7" s="195">
        <v>0</v>
      </c>
      <c r="I7" s="10">
        <v>0</v>
      </c>
      <c r="J7" s="11">
        <v>0</v>
      </c>
      <c r="K7" s="11"/>
      <c r="L7" s="190">
        <v>0</v>
      </c>
      <c r="M7" s="190">
        <v>0</v>
      </c>
      <c r="N7" s="190">
        <v>0</v>
      </c>
      <c r="O7" s="190">
        <v>385</v>
      </c>
      <c r="P7" s="190">
        <v>0</v>
      </c>
      <c r="Q7" s="190">
        <v>0</v>
      </c>
      <c r="R7" s="190">
        <v>0</v>
      </c>
      <c r="S7" s="190">
        <v>0</v>
      </c>
      <c r="T7" s="190">
        <v>385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11</v>
      </c>
      <c r="G8" s="195">
        <v>0</v>
      </c>
      <c r="H8" s="195">
        <v>0</v>
      </c>
      <c r="I8" s="10">
        <v>0</v>
      </c>
      <c r="J8" s="11">
        <v>0</v>
      </c>
      <c r="K8" s="11"/>
      <c r="L8" s="190">
        <v>0</v>
      </c>
      <c r="M8" s="190">
        <v>0</v>
      </c>
      <c r="N8" s="190">
        <v>0</v>
      </c>
      <c r="O8" s="190">
        <v>385</v>
      </c>
      <c r="P8" s="190">
        <v>0</v>
      </c>
      <c r="Q8" s="190">
        <v>0</v>
      </c>
      <c r="R8" s="190">
        <v>0</v>
      </c>
      <c r="S8" s="190">
        <v>0</v>
      </c>
      <c r="T8" s="190">
        <v>385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11</v>
      </c>
      <c r="G9" s="195">
        <v>0</v>
      </c>
      <c r="H9" s="195">
        <v>0</v>
      </c>
      <c r="I9" s="10">
        <v>0</v>
      </c>
      <c r="J9" s="11">
        <v>0</v>
      </c>
      <c r="K9" s="11"/>
      <c r="L9" s="190">
        <v>0</v>
      </c>
      <c r="M9" s="190">
        <v>0</v>
      </c>
      <c r="N9" s="190">
        <v>0</v>
      </c>
      <c r="O9" s="190">
        <v>385</v>
      </c>
      <c r="P9" s="190">
        <v>0</v>
      </c>
      <c r="Q9" s="190">
        <v>0</v>
      </c>
      <c r="R9" s="190">
        <v>0</v>
      </c>
      <c r="S9" s="190">
        <v>0</v>
      </c>
      <c r="T9" s="190">
        <v>385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11</v>
      </c>
      <c r="G10" s="195">
        <v>0</v>
      </c>
      <c r="H10" s="195">
        <v>0</v>
      </c>
      <c r="I10" s="10">
        <v>0</v>
      </c>
      <c r="J10" s="11">
        <v>0</v>
      </c>
      <c r="K10" s="11"/>
      <c r="L10" s="190">
        <v>0</v>
      </c>
      <c r="M10" s="190">
        <v>0</v>
      </c>
      <c r="N10" s="190">
        <v>0</v>
      </c>
      <c r="O10" s="190">
        <v>385</v>
      </c>
      <c r="P10" s="190">
        <v>0</v>
      </c>
      <c r="Q10" s="190">
        <v>0</v>
      </c>
      <c r="R10" s="190">
        <v>0</v>
      </c>
      <c r="S10" s="190">
        <v>0</v>
      </c>
      <c r="T10" s="190">
        <v>385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11</v>
      </c>
      <c r="G11" s="195">
        <v>0</v>
      </c>
      <c r="H11" s="195">
        <v>0</v>
      </c>
      <c r="I11" s="10">
        <v>0</v>
      </c>
      <c r="J11" s="11">
        <v>0</v>
      </c>
      <c r="K11" s="11"/>
      <c r="L11" s="190">
        <v>0</v>
      </c>
      <c r="M11" s="190">
        <v>0</v>
      </c>
      <c r="N11" s="190">
        <v>0</v>
      </c>
      <c r="O11" s="190">
        <v>385</v>
      </c>
      <c r="P11" s="190">
        <v>0</v>
      </c>
      <c r="Q11" s="190">
        <v>0</v>
      </c>
      <c r="R11" s="190">
        <v>0</v>
      </c>
      <c r="S11" s="190">
        <v>0</v>
      </c>
      <c r="T11" s="190">
        <v>385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11</v>
      </c>
      <c r="G12" s="195">
        <v>0</v>
      </c>
      <c r="H12" s="195">
        <v>0</v>
      </c>
      <c r="I12" s="10">
        <v>0</v>
      </c>
      <c r="J12" s="11">
        <v>0</v>
      </c>
      <c r="K12" s="11"/>
      <c r="L12" s="190">
        <v>0</v>
      </c>
      <c r="M12" s="190">
        <v>0</v>
      </c>
      <c r="N12" s="190">
        <v>0</v>
      </c>
      <c r="O12" s="190">
        <v>385</v>
      </c>
      <c r="P12" s="190">
        <v>0</v>
      </c>
      <c r="Q12" s="190">
        <v>0</v>
      </c>
      <c r="R12" s="190">
        <v>0</v>
      </c>
      <c r="S12" s="190">
        <v>0</v>
      </c>
      <c r="T12" s="190">
        <v>385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11</v>
      </c>
      <c r="G13" s="195">
        <v>0</v>
      </c>
      <c r="H13" s="195">
        <v>0</v>
      </c>
      <c r="I13" s="10">
        <v>0</v>
      </c>
      <c r="J13" s="11">
        <v>0</v>
      </c>
      <c r="K13" s="11"/>
      <c r="L13" s="190">
        <v>0</v>
      </c>
      <c r="M13" s="190">
        <v>0</v>
      </c>
      <c r="N13" s="190">
        <v>0</v>
      </c>
      <c r="O13" s="190">
        <v>385</v>
      </c>
      <c r="P13" s="190">
        <v>0</v>
      </c>
      <c r="Q13" s="190">
        <v>0</v>
      </c>
      <c r="R13" s="190">
        <v>0</v>
      </c>
      <c r="S13" s="190">
        <v>0</v>
      </c>
      <c r="T13" s="190">
        <v>385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11</v>
      </c>
      <c r="G14" s="195">
        <v>0</v>
      </c>
      <c r="H14" s="195">
        <v>0</v>
      </c>
      <c r="I14" s="10">
        <v>0</v>
      </c>
      <c r="J14" s="11">
        <v>0</v>
      </c>
      <c r="K14" s="11"/>
      <c r="L14" s="190">
        <v>0</v>
      </c>
      <c r="M14" s="190">
        <v>0</v>
      </c>
      <c r="N14" s="190">
        <v>0</v>
      </c>
      <c r="O14" s="190">
        <v>385</v>
      </c>
      <c r="P14" s="190">
        <v>0</v>
      </c>
      <c r="Q14" s="190">
        <v>0</v>
      </c>
      <c r="R14" s="190">
        <v>0</v>
      </c>
      <c r="S14" s="190">
        <v>0</v>
      </c>
      <c r="T14" s="190">
        <v>385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11</v>
      </c>
      <c r="G15" s="195">
        <v>0</v>
      </c>
      <c r="H15" s="195">
        <v>0</v>
      </c>
      <c r="I15" s="10">
        <v>0</v>
      </c>
      <c r="J15" s="11">
        <v>0</v>
      </c>
      <c r="K15" s="11"/>
      <c r="L15" s="190">
        <v>0</v>
      </c>
      <c r="M15" s="190">
        <v>0</v>
      </c>
      <c r="N15" s="190">
        <v>0</v>
      </c>
      <c r="O15" s="190">
        <v>385</v>
      </c>
      <c r="P15" s="190">
        <v>0</v>
      </c>
      <c r="Q15" s="190">
        <v>0</v>
      </c>
      <c r="R15" s="190">
        <v>0</v>
      </c>
      <c r="S15" s="190">
        <v>0</v>
      </c>
      <c r="T15" s="190">
        <v>385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11</v>
      </c>
      <c r="G16" s="195">
        <v>0</v>
      </c>
      <c r="H16" s="195">
        <v>0</v>
      </c>
      <c r="I16" s="10">
        <v>0</v>
      </c>
      <c r="J16" s="11">
        <v>0</v>
      </c>
      <c r="K16" s="16"/>
      <c r="L16" s="190">
        <v>0</v>
      </c>
      <c r="M16" s="190">
        <v>0</v>
      </c>
      <c r="N16" s="190">
        <v>0</v>
      </c>
      <c r="O16" s="190">
        <v>385</v>
      </c>
      <c r="P16" s="190">
        <v>0</v>
      </c>
      <c r="Q16" s="190">
        <v>0</v>
      </c>
      <c r="R16" s="190">
        <v>0</v>
      </c>
      <c r="S16" s="190">
        <v>0</v>
      </c>
      <c r="T16" s="190">
        <v>385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11</v>
      </c>
      <c r="G17" s="195">
        <v>0</v>
      </c>
      <c r="H17" s="195">
        <v>0</v>
      </c>
      <c r="I17" s="10">
        <v>0</v>
      </c>
      <c r="J17" s="11">
        <v>0</v>
      </c>
      <c r="K17" s="11"/>
      <c r="L17" s="190">
        <v>0</v>
      </c>
      <c r="M17" s="190">
        <v>0</v>
      </c>
      <c r="N17" s="190">
        <v>0</v>
      </c>
      <c r="O17" s="190">
        <v>385</v>
      </c>
      <c r="P17" s="190">
        <v>0</v>
      </c>
      <c r="Q17" s="190">
        <v>0</v>
      </c>
      <c r="R17" s="190">
        <v>0</v>
      </c>
      <c r="S17" s="190">
        <v>0</v>
      </c>
      <c r="T17" s="190">
        <v>385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11</v>
      </c>
      <c r="G18" s="195">
        <v>0</v>
      </c>
      <c r="H18" s="195">
        <v>0</v>
      </c>
      <c r="I18" s="10">
        <v>0</v>
      </c>
      <c r="J18" s="11">
        <v>0</v>
      </c>
      <c r="K18" s="11"/>
      <c r="L18" s="190">
        <v>0</v>
      </c>
      <c r="M18" s="190">
        <v>0</v>
      </c>
      <c r="N18" s="190">
        <v>0</v>
      </c>
      <c r="O18" s="190">
        <v>385</v>
      </c>
      <c r="P18" s="190">
        <v>0</v>
      </c>
      <c r="Q18" s="190">
        <v>0</v>
      </c>
      <c r="R18" s="190">
        <v>0</v>
      </c>
      <c r="S18" s="190">
        <v>0</v>
      </c>
      <c r="T18" s="190">
        <v>385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11</v>
      </c>
      <c r="G19" s="195">
        <v>0</v>
      </c>
      <c r="H19" s="195">
        <v>0</v>
      </c>
      <c r="I19" s="10">
        <v>0</v>
      </c>
      <c r="J19" s="11">
        <v>0</v>
      </c>
      <c r="K19" s="11"/>
      <c r="L19" s="190">
        <v>0</v>
      </c>
      <c r="M19" s="190">
        <v>0</v>
      </c>
      <c r="N19" s="190">
        <v>0</v>
      </c>
      <c r="O19" s="190">
        <v>385</v>
      </c>
      <c r="P19" s="190">
        <v>0</v>
      </c>
      <c r="Q19" s="190">
        <v>0</v>
      </c>
      <c r="R19" s="190">
        <v>0</v>
      </c>
      <c r="S19" s="190">
        <v>0</v>
      </c>
      <c r="T19" s="190">
        <v>385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11</v>
      </c>
      <c r="G20" s="195">
        <v>0</v>
      </c>
      <c r="H20" s="195">
        <v>0</v>
      </c>
      <c r="I20" s="10">
        <v>0</v>
      </c>
      <c r="J20" s="11">
        <v>0</v>
      </c>
      <c r="K20" s="11"/>
      <c r="L20" s="190">
        <v>0</v>
      </c>
      <c r="M20" s="190">
        <v>0</v>
      </c>
      <c r="N20" s="190">
        <v>0</v>
      </c>
      <c r="O20" s="190">
        <v>385</v>
      </c>
      <c r="P20" s="190">
        <v>0</v>
      </c>
      <c r="Q20" s="190">
        <v>0</v>
      </c>
      <c r="R20" s="190">
        <v>0</v>
      </c>
      <c r="S20" s="190">
        <v>0</v>
      </c>
      <c r="T20" s="190">
        <v>385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11</v>
      </c>
      <c r="G21" s="195">
        <v>0</v>
      </c>
      <c r="H21" s="195">
        <v>0</v>
      </c>
      <c r="I21" s="10">
        <v>0</v>
      </c>
      <c r="J21" s="11">
        <v>0</v>
      </c>
      <c r="K21" s="11"/>
      <c r="L21" s="190">
        <v>0</v>
      </c>
      <c r="M21" s="190">
        <v>0</v>
      </c>
      <c r="N21" s="190">
        <v>0</v>
      </c>
      <c r="O21" s="190">
        <v>385</v>
      </c>
      <c r="P21" s="190">
        <v>0</v>
      </c>
      <c r="Q21" s="190">
        <v>0</v>
      </c>
      <c r="R21" s="190">
        <v>0</v>
      </c>
      <c r="S21" s="190">
        <v>0</v>
      </c>
      <c r="T21" s="190">
        <v>385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0.5</v>
      </c>
      <c r="F22" s="194">
        <v>10.5</v>
      </c>
      <c r="G22" s="195">
        <v>0</v>
      </c>
      <c r="H22" s="195">
        <v>0</v>
      </c>
      <c r="I22" s="10">
        <v>0</v>
      </c>
      <c r="J22" s="11">
        <v>0</v>
      </c>
      <c r="K22" s="11"/>
      <c r="L22" s="190">
        <v>0</v>
      </c>
      <c r="M22" s="190">
        <v>0</v>
      </c>
      <c r="N22" s="190">
        <v>60</v>
      </c>
      <c r="O22" s="190">
        <v>367.5</v>
      </c>
      <c r="P22" s="190">
        <v>0</v>
      </c>
      <c r="Q22" s="190">
        <v>0</v>
      </c>
      <c r="R22" s="190">
        <v>0</v>
      </c>
      <c r="S22" s="190">
        <v>0</v>
      </c>
      <c r="T22" s="190">
        <v>427.5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10.5</v>
      </c>
      <c r="G23" s="195">
        <v>0</v>
      </c>
      <c r="H23" s="195">
        <v>0</v>
      </c>
      <c r="I23" s="10">
        <v>0</v>
      </c>
      <c r="J23" s="11">
        <v>0</v>
      </c>
      <c r="K23" s="11"/>
      <c r="L23" s="190">
        <v>0</v>
      </c>
      <c r="M23" s="190">
        <v>0</v>
      </c>
      <c r="N23" s="190">
        <v>0</v>
      </c>
      <c r="O23" s="190">
        <v>367.5</v>
      </c>
      <c r="P23" s="190">
        <v>0</v>
      </c>
      <c r="Q23" s="190">
        <v>0</v>
      </c>
      <c r="R23" s="190">
        <v>0</v>
      </c>
      <c r="S23" s="190">
        <v>0</v>
      </c>
      <c r="T23" s="190">
        <v>367.5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10.5</v>
      </c>
      <c r="G24" s="195">
        <v>0</v>
      </c>
      <c r="H24" s="195">
        <v>0</v>
      </c>
      <c r="I24" s="10">
        <v>0</v>
      </c>
      <c r="J24" s="11">
        <v>0</v>
      </c>
      <c r="K24" s="11"/>
      <c r="L24" s="190">
        <v>0</v>
      </c>
      <c r="M24" s="190">
        <v>0</v>
      </c>
      <c r="N24" s="190">
        <v>0</v>
      </c>
      <c r="O24" s="190">
        <v>367.5</v>
      </c>
      <c r="P24" s="190">
        <v>0</v>
      </c>
      <c r="Q24" s="190">
        <v>0</v>
      </c>
      <c r="R24" s="190">
        <v>0</v>
      </c>
      <c r="S24" s="190">
        <v>0</v>
      </c>
      <c r="T24" s="190">
        <v>367.5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10.5</v>
      </c>
      <c r="G25" s="195">
        <v>0</v>
      </c>
      <c r="H25" s="195">
        <v>0</v>
      </c>
      <c r="I25" s="10">
        <v>0</v>
      </c>
      <c r="J25" s="11">
        <v>0</v>
      </c>
      <c r="K25" s="11"/>
      <c r="L25" s="190">
        <v>0</v>
      </c>
      <c r="M25" s="190">
        <v>0</v>
      </c>
      <c r="N25" s="190">
        <v>0</v>
      </c>
      <c r="O25" s="190">
        <v>367.5</v>
      </c>
      <c r="P25" s="190">
        <v>0</v>
      </c>
      <c r="Q25" s="190">
        <v>0</v>
      </c>
      <c r="R25" s="190">
        <v>0</v>
      </c>
      <c r="S25" s="190">
        <v>0</v>
      </c>
      <c r="T25" s="190">
        <v>367.5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10.5</v>
      </c>
      <c r="G26" s="195">
        <v>0</v>
      </c>
      <c r="H26" s="195">
        <v>0</v>
      </c>
      <c r="I26" s="10">
        <v>0</v>
      </c>
      <c r="J26" s="11">
        <v>0</v>
      </c>
      <c r="K26" s="11"/>
      <c r="L26" s="190">
        <v>0</v>
      </c>
      <c r="M26" s="190">
        <v>0</v>
      </c>
      <c r="N26" s="190">
        <v>0</v>
      </c>
      <c r="O26" s="190">
        <v>367.5</v>
      </c>
      <c r="P26" s="190">
        <v>0</v>
      </c>
      <c r="Q26" s="190">
        <v>0</v>
      </c>
      <c r="R26" s="190">
        <v>0</v>
      </c>
      <c r="S26" s="190">
        <v>0</v>
      </c>
      <c r="T26" s="190">
        <v>367.5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10.5</v>
      </c>
      <c r="G27" s="195">
        <v>0</v>
      </c>
      <c r="H27" s="195">
        <v>0</v>
      </c>
      <c r="I27" s="10">
        <v>0</v>
      </c>
      <c r="J27" s="11">
        <v>0</v>
      </c>
      <c r="K27" s="11"/>
      <c r="L27" s="190">
        <v>0</v>
      </c>
      <c r="M27" s="190">
        <v>0</v>
      </c>
      <c r="N27" s="190">
        <v>0</v>
      </c>
      <c r="O27" s="190">
        <v>367.5</v>
      </c>
      <c r="P27" s="190">
        <v>0</v>
      </c>
      <c r="Q27" s="190">
        <v>0</v>
      </c>
      <c r="R27" s="190">
        <v>0</v>
      </c>
      <c r="S27" s="190">
        <v>0</v>
      </c>
      <c r="T27" s="190">
        <v>367.5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10.5</v>
      </c>
      <c r="G28" s="195">
        <v>0</v>
      </c>
      <c r="H28" s="195">
        <v>0</v>
      </c>
      <c r="I28" s="10">
        <v>0</v>
      </c>
      <c r="J28" s="11">
        <v>0</v>
      </c>
      <c r="K28" s="11"/>
      <c r="L28" s="190">
        <v>0</v>
      </c>
      <c r="M28" s="190">
        <v>0</v>
      </c>
      <c r="N28" s="190">
        <v>0</v>
      </c>
      <c r="O28" s="190">
        <v>367.5</v>
      </c>
      <c r="P28" s="190">
        <v>0</v>
      </c>
      <c r="Q28" s="190">
        <v>0</v>
      </c>
      <c r="R28" s="190">
        <v>0</v>
      </c>
      <c r="S28" s="190">
        <v>0</v>
      </c>
      <c r="T28" s="190">
        <v>367.5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10.5</v>
      </c>
      <c r="G29" s="195">
        <v>0</v>
      </c>
      <c r="H29" s="195">
        <v>0</v>
      </c>
      <c r="I29" s="10">
        <v>0</v>
      </c>
      <c r="J29" s="11">
        <v>0</v>
      </c>
      <c r="K29" s="11"/>
      <c r="L29" s="190">
        <v>0</v>
      </c>
      <c r="M29" s="190">
        <v>0</v>
      </c>
      <c r="N29" s="190">
        <v>0</v>
      </c>
      <c r="O29" s="190">
        <v>367.5</v>
      </c>
      <c r="P29" s="190">
        <v>0</v>
      </c>
      <c r="Q29" s="190">
        <v>0</v>
      </c>
      <c r="R29" s="190">
        <v>0</v>
      </c>
      <c r="S29" s="190">
        <v>0</v>
      </c>
      <c r="T29" s="190">
        <v>367.5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10.5</v>
      </c>
      <c r="G30" s="195">
        <v>0</v>
      </c>
      <c r="H30" s="195">
        <v>0</v>
      </c>
      <c r="I30" s="10">
        <v>0</v>
      </c>
      <c r="J30" s="11">
        <v>0</v>
      </c>
      <c r="K30" s="11"/>
      <c r="L30" s="190">
        <v>0</v>
      </c>
      <c r="M30" s="190">
        <v>0</v>
      </c>
      <c r="N30" s="190">
        <v>0</v>
      </c>
      <c r="O30" s="190">
        <v>367.5</v>
      </c>
      <c r="P30" s="190">
        <v>0</v>
      </c>
      <c r="Q30" s="190">
        <v>0</v>
      </c>
      <c r="R30" s="190">
        <v>0</v>
      </c>
      <c r="S30" s="190">
        <v>0</v>
      </c>
      <c r="T30" s="190">
        <v>367.5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10.5</v>
      </c>
      <c r="G31" s="195">
        <v>0</v>
      </c>
      <c r="H31" s="195">
        <v>0</v>
      </c>
      <c r="I31" s="10">
        <v>0</v>
      </c>
      <c r="J31" s="11">
        <v>0</v>
      </c>
      <c r="K31" s="11"/>
      <c r="L31" s="190">
        <v>0</v>
      </c>
      <c r="M31" s="190">
        <v>0</v>
      </c>
      <c r="N31" s="190">
        <v>0</v>
      </c>
      <c r="O31" s="190">
        <v>367.5</v>
      </c>
      <c r="P31" s="190">
        <v>0</v>
      </c>
      <c r="Q31" s="190">
        <v>0</v>
      </c>
      <c r="R31" s="190">
        <v>0</v>
      </c>
      <c r="S31" s="190">
        <v>0</v>
      </c>
      <c r="T31" s="190">
        <v>367.5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10.5</v>
      </c>
      <c r="G32" s="195">
        <v>0</v>
      </c>
      <c r="H32" s="195">
        <v>0</v>
      </c>
      <c r="I32" s="10">
        <v>0</v>
      </c>
      <c r="J32" s="11">
        <v>0</v>
      </c>
      <c r="K32" s="11"/>
      <c r="L32" s="190">
        <v>0</v>
      </c>
      <c r="M32" s="190">
        <v>0</v>
      </c>
      <c r="N32" s="190">
        <v>0</v>
      </c>
      <c r="O32" s="190">
        <v>367.5</v>
      </c>
      <c r="P32" s="190">
        <v>0</v>
      </c>
      <c r="Q32" s="190">
        <v>0</v>
      </c>
      <c r="R32" s="190">
        <v>0</v>
      </c>
      <c r="S32" s="190">
        <v>0</v>
      </c>
      <c r="T32" s="190">
        <v>367.5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10.5</v>
      </c>
      <c r="G33" s="195">
        <v>0</v>
      </c>
      <c r="H33" s="195">
        <v>0</v>
      </c>
      <c r="I33" s="10">
        <v>0</v>
      </c>
      <c r="J33" s="11">
        <v>0</v>
      </c>
      <c r="K33" s="11"/>
      <c r="L33" s="190">
        <v>0</v>
      </c>
      <c r="M33" s="190">
        <v>0</v>
      </c>
      <c r="N33" s="190">
        <v>0</v>
      </c>
      <c r="O33" s="190">
        <v>367.5</v>
      </c>
      <c r="P33" s="190">
        <v>0</v>
      </c>
      <c r="Q33" s="190">
        <v>0</v>
      </c>
      <c r="R33" s="190">
        <v>0</v>
      </c>
      <c r="S33" s="190">
        <v>0</v>
      </c>
      <c r="T33" s="190">
        <v>367.5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10.5</v>
      </c>
      <c r="G34" s="195">
        <v>0</v>
      </c>
      <c r="H34" s="195">
        <v>0</v>
      </c>
      <c r="I34" s="10">
        <v>0</v>
      </c>
      <c r="J34" s="11">
        <v>0</v>
      </c>
      <c r="K34" s="11"/>
      <c r="L34" s="190">
        <v>0</v>
      </c>
      <c r="M34" s="190">
        <v>0</v>
      </c>
      <c r="N34" s="190">
        <v>0</v>
      </c>
      <c r="O34" s="190">
        <v>367.5</v>
      </c>
      <c r="P34" s="190">
        <v>0</v>
      </c>
      <c r="Q34" s="190">
        <v>0</v>
      </c>
      <c r="R34" s="190">
        <v>0</v>
      </c>
      <c r="S34" s="190">
        <v>0</v>
      </c>
      <c r="T34" s="190">
        <v>367.5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0.5</v>
      </c>
      <c r="F36" s="18">
        <v>323.5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1">
        <v>0</v>
      </c>
      <c r="M36" s="191">
        <v>0</v>
      </c>
      <c r="N36" s="191">
        <v>60</v>
      </c>
      <c r="O36" s="191">
        <v>11322.5</v>
      </c>
      <c r="P36" s="191">
        <v>0</v>
      </c>
      <c r="Q36" s="191">
        <v>0</v>
      </c>
      <c r="R36" s="191">
        <v>0</v>
      </c>
      <c r="S36" s="191">
        <v>0</v>
      </c>
      <c r="T36" s="191">
        <v>11382.5</v>
      </c>
    </row>
    <row r="37" spans="1:20">
      <c r="R37" s="21"/>
      <c r="S37" s="21"/>
      <c r="T37" s="192">
        <v>13659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CF94-318B-4560-B22F-76F9ABC0122B}">
  <sheetPr>
    <pageSetUpPr fitToPage="1"/>
  </sheetPr>
  <dimension ref="A1:T37"/>
  <sheetViews>
    <sheetView workbookViewId="0">
      <selection activeCell="L5" sqref="L5:L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1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256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257</v>
      </c>
      <c r="H3" s="269" t="s">
        <v>258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22</v>
      </c>
      <c r="F5" s="194">
        <v>4982.2250000000004</v>
      </c>
      <c r="G5" s="195">
        <v>1017.7749999999996</v>
      </c>
      <c r="H5" s="195">
        <v>478</v>
      </c>
      <c r="I5" s="10">
        <v>0</v>
      </c>
      <c r="J5" s="11">
        <v>0</v>
      </c>
      <c r="K5" s="11">
        <v>0</v>
      </c>
      <c r="L5" s="190">
        <v>0</v>
      </c>
      <c r="M5" s="190">
        <v>0</v>
      </c>
      <c r="N5" s="190">
        <v>2574</v>
      </c>
      <c r="O5" s="190">
        <v>139502.29999999999</v>
      </c>
      <c r="P5" s="190">
        <v>28497.7</v>
      </c>
      <c r="Q5" s="190">
        <v>55926</v>
      </c>
      <c r="R5" s="190">
        <v>0</v>
      </c>
      <c r="S5" s="190">
        <v>0</v>
      </c>
      <c r="T5" s="190">
        <v>226500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4982.2250000000004</v>
      </c>
      <c r="G6" s="195">
        <v>1017.7749999999996</v>
      </c>
      <c r="H6" s="195">
        <v>500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139502.29999999999</v>
      </c>
      <c r="P6" s="190">
        <v>28497.7</v>
      </c>
      <c r="Q6" s="190">
        <v>58500</v>
      </c>
      <c r="R6" s="190">
        <v>0</v>
      </c>
      <c r="S6" s="190">
        <v>0</v>
      </c>
      <c r="T6" s="190">
        <v>226500</v>
      </c>
    </row>
    <row r="7" spans="1:20">
      <c r="A7" s="13">
        <v>3</v>
      </c>
      <c r="B7" s="196" t="s">
        <v>208</v>
      </c>
      <c r="C7" s="197"/>
      <c r="D7" s="194">
        <v>176</v>
      </c>
      <c r="E7" s="194">
        <v>0</v>
      </c>
      <c r="F7" s="194">
        <v>5158.2250000000004</v>
      </c>
      <c r="G7" s="195">
        <v>841.77499999999964</v>
      </c>
      <c r="H7" s="195">
        <v>324</v>
      </c>
      <c r="I7" s="10">
        <v>0</v>
      </c>
      <c r="J7" s="11">
        <v>0</v>
      </c>
      <c r="K7" s="11">
        <v>0</v>
      </c>
      <c r="L7" s="190">
        <v>0</v>
      </c>
      <c r="M7" s="190">
        <v>20592</v>
      </c>
      <c r="N7" s="190">
        <v>0</v>
      </c>
      <c r="O7" s="190">
        <v>144430.29999999999</v>
      </c>
      <c r="P7" s="190">
        <v>23569.7</v>
      </c>
      <c r="Q7" s="190">
        <v>37908</v>
      </c>
      <c r="R7" s="190">
        <v>0</v>
      </c>
      <c r="S7" s="190">
        <v>0</v>
      </c>
      <c r="T7" s="190">
        <v>226500</v>
      </c>
    </row>
    <row r="8" spans="1:20">
      <c r="A8" s="13">
        <v>4</v>
      </c>
      <c r="B8" s="196" t="s">
        <v>209</v>
      </c>
      <c r="C8" s="197"/>
      <c r="D8" s="194">
        <v>264</v>
      </c>
      <c r="E8" s="194">
        <v>110</v>
      </c>
      <c r="F8" s="194">
        <v>5312.2250000000004</v>
      </c>
      <c r="G8" s="195">
        <v>687.77499999999964</v>
      </c>
      <c r="H8" s="195">
        <v>126</v>
      </c>
      <c r="I8" s="10">
        <v>0</v>
      </c>
      <c r="J8" s="11">
        <v>0</v>
      </c>
      <c r="K8" s="11">
        <v>0</v>
      </c>
      <c r="L8" s="190">
        <v>0</v>
      </c>
      <c r="M8" s="190">
        <v>30888</v>
      </c>
      <c r="N8" s="190">
        <v>12870</v>
      </c>
      <c r="O8" s="190">
        <v>148742.29999999999</v>
      </c>
      <c r="P8" s="190">
        <v>19257.7</v>
      </c>
      <c r="Q8" s="190">
        <v>14742</v>
      </c>
      <c r="R8" s="190">
        <v>0</v>
      </c>
      <c r="S8" s="190">
        <v>0</v>
      </c>
      <c r="T8" s="190">
        <v>226500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177.375</v>
      </c>
      <c r="F9" s="194">
        <v>5134.8500000000004</v>
      </c>
      <c r="G9" s="195">
        <v>865.14999999999964</v>
      </c>
      <c r="H9" s="195">
        <v>322.625</v>
      </c>
      <c r="I9" s="10">
        <v>0</v>
      </c>
      <c r="J9" s="11">
        <v>0</v>
      </c>
      <c r="K9" s="11">
        <v>0</v>
      </c>
      <c r="L9" s="190">
        <v>0</v>
      </c>
      <c r="M9" s="190">
        <v>0</v>
      </c>
      <c r="N9" s="190">
        <v>20752.88</v>
      </c>
      <c r="O9" s="190">
        <v>143775.79999999999</v>
      </c>
      <c r="P9" s="190">
        <v>24224.2</v>
      </c>
      <c r="Q9" s="190">
        <v>37747.129999999997</v>
      </c>
      <c r="R9" s="190">
        <v>0</v>
      </c>
      <c r="S9" s="190">
        <v>0</v>
      </c>
      <c r="T9" s="190">
        <v>226500</v>
      </c>
    </row>
    <row r="10" spans="1:20">
      <c r="A10" s="13">
        <v>6</v>
      </c>
      <c r="B10" s="196" t="s">
        <v>211</v>
      </c>
      <c r="C10" s="197"/>
      <c r="D10" s="194">
        <v>22</v>
      </c>
      <c r="E10" s="194">
        <v>26.5</v>
      </c>
      <c r="F10" s="194">
        <v>5130.3500000000004</v>
      </c>
      <c r="G10" s="195">
        <v>869.64999999999964</v>
      </c>
      <c r="H10" s="195">
        <v>451.5</v>
      </c>
      <c r="I10" s="10">
        <v>0</v>
      </c>
      <c r="J10" s="11">
        <v>0</v>
      </c>
      <c r="K10" s="11">
        <v>0</v>
      </c>
      <c r="L10" s="190">
        <v>0</v>
      </c>
      <c r="M10" s="190">
        <v>2574</v>
      </c>
      <c r="N10" s="190">
        <v>3100.5</v>
      </c>
      <c r="O10" s="190">
        <v>143649.79999999999</v>
      </c>
      <c r="P10" s="190">
        <v>24350.2</v>
      </c>
      <c r="Q10" s="190">
        <v>52825.5</v>
      </c>
      <c r="R10" s="190">
        <v>0</v>
      </c>
      <c r="S10" s="190">
        <v>0</v>
      </c>
      <c r="T10" s="190">
        <v>226500</v>
      </c>
    </row>
    <row r="11" spans="1:20">
      <c r="A11" s="13">
        <v>7</v>
      </c>
      <c r="B11" s="196" t="s">
        <v>212</v>
      </c>
      <c r="C11" s="197"/>
      <c r="D11" s="194">
        <v>132</v>
      </c>
      <c r="E11" s="194">
        <v>22</v>
      </c>
      <c r="F11" s="194">
        <v>5240.3500000000004</v>
      </c>
      <c r="G11" s="195">
        <v>759.64999999999964</v>
      </c>
      <c r="H11" s="195">
        <v>346</v>
      </c>
      <c r="I11" s="10">
        <v>0</v>
      </c>
      <c r="J11" s="11">
        <v>0</v>
      </c>
      <c r="K11" s="11">
        <v>0</v>
      </c>
      <c r="L11" s="190">
        <v>0</v>
      </c>
      <c r="M11" s="190">
        <v>15444</v>
      </c>
      <c r="N11" s="190">
        <v>2574</v>
      </c>
      <c r="O11" s="190">
        <v>146729.79999999999</v>
      </c>
      <c r="P11" s="190">
        <v>21270.2</v>
      </c>
      <c r="Q11" s="190">
        <v>40482</v>
      </c>
      <c r="R11" s="190">
        <v>0</v>
      </c>
      <c r="S11" s="190">
        <v>0</v>
      </c>
      <c r="T11" s="190">
        <v>226500</v>
      </c>
    </row>
    <row r="12" spans="1:20">
      <c r="A12" s="13">
        <v>8</v>
      </c>
      <c r="B12" s="196" t="s">
        <v>213</v>
      </c>
      <c r="C12" s="197"/>
      <c r="D12" s="194">
        <v>22</v>
      </c>
      <c r="E12" s="194">
        <v>66</v>
      </c>
      <c r="F12" s="194">
        <v>5196.3500000000004</v>
      </c>
      <c r="G12" s="195">
        <v>803.64999999999964</v>
      </c>
      <c r="H12" s="195">
        <v>412</v>
      </c>
      <c r="I12" s="10">
        <v>0</v>
      </c>
      <c r="J12" s="11">
        <v>0</v>
      </c>
      <c r="K12" s="11">
        <v>0</v>
      </c>
      <c r="L12" s="190">
        <v>0</v>
      </c>
      <c r="M12" s="190">
        <v>2574</v>
      </c>
      <c r="N12" s="190">
        <v>7722</v>
      </c>
      <c r="O12" s="190">
        <v>145497.79999999999</v>
      </c>
      <c r="P12" s="190">
        <v>22502.2</v>
      </c>
      <c r="Q12" s="190">
        <v>48204</v>
      </c>
      <c r="R12" s="190">
        <v>0</v>
      </c>
      <c r="S12" s="190">
        <v>0</v>
      </c>
      <c r="T12" s="190">
        <v>226500</v>
      </c>
    </row>
    <row r="13" spans="1:20">
      <c r="A13" s="13">
        <v>9</v>
      </c>
      <c r="B13" s="196" t="s">
        <v>214</v>
      </c>
      <c r="C13" s="197"/>
      <c r="D13" s="194">
        <v>66</v>
      </c>
      <c r="E13" s="194">
        <v>0</v>
      </c>
      <c r="F13" s="194">
        <v>5262.35</v>
      </c>
      <c r="G13" s="195">
        <v>737.64999999999964</v>
      </c>
      <c r="H13" s="195">
        <v>434</v>
      </c>
      <c r="I13" s="10">
        <v>0</v>
      </c>
      <c r="J13" s="11">
        <v>0</v>
      </c>
      <c r="K13" s="11">
        <v>0</v>
      </c>
      <c r="L13" s="190">
        <v>0</v>
      </c>
      <c r="M13" s="190">
        <v>7722</v>
      </c>
      <c r="N13" s="190">
        <v>0</v>
      </c>
      <c r="O13" s="190">
        <v>147345.79999999999</v>
      </c>
      <c r="P13" s="190">
        <v>20654.2</v>
      </c>
      <c r="Q13" s="190">
        <v>50778</v>
      </c>
      <c r="R13" s="190">
        <v>0</v>
      </c>
      <c r="S13" s="190">
        <v>0</v>
      </c>
      <c r="T13" s="190">
        <v>226500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22</v>
      </c>
      <c r="F14" s="194">
        <v>5240.3500000000004</v>
      </c>
      <c r="G14" s="195">
        <v>759.64999999999964</v>
      </c>
      <c r="H14" s="195">
        <v>478</v>
      </c>
      <c r="I14" s="10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2574</v>
      </c>
      <c r="O14" s="190">
        <v>146729.79999999999</v>
      </c>
      <c r="P14" s="190">
        <v>21270.2</v>
      </c>
      <c r="Q14" s="190">
        <v>55926</v>
      </c>
      <c r="R14" s="190">
        <v>0</v>
      </c>
      <c r="S14" s="190">
        <v>0</v>
      </c>
      <c r="T14" s="190">
        <v>226500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142.6</v>
      </c>
      <c r="F15" s="194">
        <v>5097.75</v>
      </c>
      <c r="G15" s="195">
        <v>902.25</v>
      </c>
      <c r="H15" s="195">
        <v>357.4</v>
      </c>
      <c r="I15" s="10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16684.2</v>
      </c>
      <c r="O15" s="190">
        <v>142737</v>
      </c>
      <c r="P15" s="190">
        <v>25263</v>
      </c>
      <c r="Q15" s="190">
        <v>41815.800000000003</v>
      </c>
      <c r="R15" s="190">
        <v>0</v>
      </c>
      <c r="S15" s="190">
        <v>0</v>
      </c>
      <c r="T15" s="190">
        <v>226500</v>
      </c>
    </row>
    <row r="16" spans="1:20">
      <c r="A16" s="13">
        <v>12</v>
      </c>
      <c r="B16" s="196" t="s">
        <v>217</v>
      </c>
      <c r="C16" s="197"/>
      <c r="D16" s="194">
        <v>286</v>
      </c>
      <c r="E16" s="194">
        <v>86.625</v>
      </c>
      <c r="F16" s="194">
        <v>5297.125</v>
      </c>
      <c r="G16" s="195">
        <v>702.875</v>
      </c>
      <c r="H16" s="195">
        <v>127.375</v>
      </c>
      <c r="I16" s="10">
        <v>0</v>
      </c>
      <c r="J16" s="11">
        <v>0</v>
      </c>
      <c r="K16" s="11">
        <v>0</v>
      </c>
      <c r="L16" s="190">
        <v>0</v>
      </c>
      <c r="M16" s="190">
        <v>33462</v>
      </c>
      <c r="N16" s="190">
        <v>10135.129999999999</v>
      </c>
      <c r="O16" s="190">
        <v>148319.5</v>
      </c>
      <c r="P16" s="190">
        <v>19680.5</v>
      </c>
      <c r="Q16" s="190">
        <v>14902.88</v>
      </c>
      <c r="R16" s="190">
        <v>0</v>
      </c>
      <c r="S16" s="190">
        <v>0</v>
      </c>
      <c r="T16" s="190">
        <v>226500</v>
      </c>
    </row>
    <row r="17" spans="1:20">
      <c r="A17" s="13">
        <v>13</v>
      </c>
      <c r="B17" s="196" t="s">
        <v>218</v>
      </c>
      <c r="C17" s="197"/>
      <c r="D17" s="194">
        <v>44</v>
      </c>
      <c r="E17" s="194">
        <v>44</v>
      </c>
      <c r="F17" s="194">
        <v>5297.125</v>
      </c>
      <c r="G17" s="195">
        <v>702.875</v>
      </c>
      <c r="H17" s="195">
        <v>412</v>
      </c>
      <c r="I17" s="10">
        <v>0</v>
      </c>
      <c r="J17" s="11">
        <v>0</v>
      </c>
      <c r="K17" s="11">
        <v>0</v>
      </c>
      <c r="L17" s="190">
        <v>0</v>
      </c>
      <c r="M17" s="190">
        <v>5148</v>
      </c>
      <c r="N17" s="190">
        <v>5148</v>
      </c>
      <c r="O17" s="190">
        <v>148319.5</v>
      </c>
      <c r="P17" s="190">
        <v>19680.5</v>
      </c>
      <c r="Q17" s="190">
        <v>48204</v>
      </c>
      <c r="R17" s="190">
        <v>0</v>
      </c>
      <c r="S17" s="190">
        <v>0</v>
      </c>
      <c r="T17" s="190">
        <v>226500</v>
      </c>
    </row>
    <row r="18" spans="1:20">
      <c r="A18" s="13">
        <v>14</v>
      </c>
      <c r="B18" s="196" t="s">
        <v>219</v>
      </c>
      <c r="C18" s="197"/>
      <c r="D18" s="194">
        <v>220</v>
      </c>
      <c r="E18" s="194">
        <v>22</v>
      </c>
      <c r="F18" s="194">
        <v>5495.125</v>
      </c>
      <c r="G18" s="195">
        <v>504.875</v>
      </c>
      <c r="H18" s="195">
        <v>258</v>
      </c>
      <c r="I18" s="10">
        <v>0</v>
      </c>
      <c r="J18" s="11">
        <v>0</v>
      </c>
      <c r="K18" s="11">
        <v>0</v>
      </c>
      <c r="L18" s="190">
        <v>0</v>
      </c>
      <c r="M18" s="190">
        <v>25740</v>
      </c>
      <c r="N18" s="190">
        <v>2574</v>
      </c>
      <c r="O18" s="190">
        <v>153863.5</v>
      </c>
      <c r="P18" s="190">
        <v>14136.5</v>
      </c>
      <c r="Q18" s="190">
        <v>30186</v>
      </c>
      <c r="R18" s="190">
        <v>0</v>
      </c>
      <c r="S18" s="190">
        <v>0</v>
      </c>
      <c r="T18" s="190">
        <v>226500</v>
      </c>
    </row>
    <row r="19" spans="1:20">
      <c r="A19" s="13">
        <v>15</v>
      </c>
      <c r="B19" s="196" t="s">
        <v>220</v>
      </c>
      <c r="C19" s="197"/>
      <c r="D19" s="194">
        <v>154</v>
      </c>
      <c r="E19" s="194">
        <v>66</v>
      </c>
      <c r="F19" s="194">
        <v>5583.125</v>
      </c>
      <c r="G19" s="195">
        <v>416.875</v>
      </c>
      <c r="H19" s="195">
        <v>280</v>
      </c>
      <c r="I19" s="10">
        <v>0</v>
      </c>
      <c r="J19" s="11">
        <v>0</v>
      </c>
      <c r="K19" s="11">
        <v>0</v>
      </c>
      <c r="L19" s="190">
        <v>0</v>
      </c>
      <c r="M19" s="190">
        <v>18018</v>
      </c>
      <c r="N19" s="190">
        <v>7722</v>
      </c>
      <c r="O19" s="190">
        <v>156327.5</v>
      </c>
      <c r="P19" s="190">
        <v>11672.5</v>
      </c>
      <c r="Q19" s="190">
        <v>32760</v>
      </c>
      <c r="R19" s="190">
        <v>0</v>
      </c>
      <c r="S19" s="190">
        <v>0</v>
      </c>
      <c r="T19" s="190">
        <v>226500</v>
      </c>
    </row>
    <row r="20" spans="1:20">
      <c r="A20" s="13">
        <v>16</v>
      </c>
      <c r="B20" s="196" t="s">
        <v>221</v>
      </c>
      <c r="C20" s="197"/>
      <c r="D20" s="194">
        <v>154</v>
      </c>
      <c r="E20" s="194">
        <v>66</v>
      </c>
      <c r="F20" s="194">
        <v>5671.125</v>
      </c>
      <c r="G20" s="195">
        <v>328.875</v>
      </c>
      <c r="H20" s="195">
        <v>280</v>
      </c>
      <c r="I20" s="10">
        <v>0</v>
      </c>
      <c r="J20" s="11">
        <v>0</v>
      </c>
      <c r="K20" s="11">
        <v>0</v>
      </c>
      <c r="L20" s="190">
        <v>0</v>
      </c>
      <c r="M20" s="190">
        <v>18018</v>
      </c>
      <c r="N20" s="190">
        <v>7722</v>
      </c>
      <c r="O20" s="190">
        <v>158791.5</v>
      </c>
      <c r="P20" s="190">
        <v>9208.5</v>
      </c>
      <c r="Q20" s="190">
        <v>32760</v>
      </c>
      <c r="R20" s="190">
        <v>0</v>
      </c>
      <c r="S20" s="190">
        <v>0</v>
      </c>
      <c r="T20" s="190">
        <v>226500</v>
      </c>
    </row>
    <row r="21" spans="1:20">
      <c r="A21" s="13">
        <v>17</v>
      </c>
      <c r="B21" s="196" t="s">
        <v>222</v>
      </c>
      <c r="C21" s="197"/>
      <c r="D21" s="194">
        <v>176</v>
      </c>
      <c r="E21" s="194">
        <v>88</v>
      </c>
      <c r="F21" s="194">
        <v>5759.125</v>
      </c>
      <c r="G21" s="195">
        <v>240.875</v>
      </c>
      <c r="H21" s="195">
        <v>236</v>
      </c>
      <c r="I21" s="10">
        <v>0</v>
      </c>
      <c r="J21" s="11">
        <v>0</v>
      </c>
      <c r="K21" s="11">
        <v>0</v>
      </c>
      <c r="L21" s="190">
        <v>0</v>
      </c>
      <c r="M21" s="190">
        <v>20592</v>
      </c>
      <c r="N21" s="190">
        <v>10296</v>
      </c>
      <c r="O21" s="190">
        <v>161255.5</v>
      </c>
      <c r="P21" s="190">
        <v>6744.5</v>
      </c>
      <c r="Q21" s="190">
        <v>27612</v>
      </c>
      <c r="R21" s="190">
        <v>0</v>
      </c>
      <c r="S21" s="190">
        <v>0</v>
      </c>
      <c r="T21" s="190">
        <v>226500</v>
      </c>
    </row>
    <row r="22" spans="1:20">
      <c r="A22" s="13">
        <v>18</v>
      </c>
      <c r="B22" s="196" t="s">
        <v>223</v>
      </c>
      <c r="C22" s="197"/>
      <c r="D22" s="194">
        <v>220</v>
      </c>
      <c r="E22" s="194">
        <v>110</v>
      </c>
      <c r="F22" s="194">
        <v>5869.125</v>
      </c>
      <c r="G22" s="195">
        <v>130.875</v>
      </c>
      <c r="H22" s="195">
        <v>170</v>
      </c>
      <c r="I22" s="10">
        <v>0</v>
      </c>
      <c r="J22" s="11">
        <v>0</v>
      </c>
      <c r="K22" s="11">
        <v>0</v>
      </c>
      <c r="L22" s="190">
        <v>0</v>
      </c>
      <c r="M22" s="190">
        <v>25740</v>
      </c>
      <c r="N22" s="190">
        <v>12870</v>
      </c>
      <c r="O22" s="190">
        <v>164335.5</v>
      </c>
      <c r="P22" s="190">
        <v>3664.5</v>
      </c>
      <c r="Q22" s="190">
        <v>19890</v>
      </c>
      <c r="R22" s="190">
        <v>0</v>
      </c>
      <c r="S22" s="190">
        <v>0</v>
      </c>
      <c r="T22" s="190">
        <v>226500</v>
      </c>
    </row>
    <row r="23" spans="1:20">
      <c r="A23" s="13">
        <v>19</v>
      </c>
      <c r="B23" s="196" t="s">
        <v>224</v>
      </c>
      <c r="C23" s="197"/>
      <c r="D23" s="194">
        <v>352</v>
      </c>
      <c r="E23" s="194">
        <v>131.94999999999999</v>
      </c>
      <c r="F23" s="194">
        <v>6089.1750000000002</v>
      </c>
      <c r="G23" s="195">
        <v>0</v>
      </c>
      <c r="H23" s="195">
        <v>16.050000000000011</v>
      </c>
      <c r="I23" s="10">
        <v>0</v>
      </c>
      <c r="J23" s="11">
        <v>0</v>
      </c>
      <c r="K23" s="11">
        <v>0</v>
      </c>
      <c r="L23" s="190">
        <v>0</v>
      </c>
      <c r="M23" s="190">
        <v>41184</v>
      </c>
      <c r="N23" s="190">
        <v>15438.15</v>
      </c>
      <c r="O23" s="190">
        <v>170496.9</v>
      </c>
      <c r="P23" s="190">
        <v>0</v>
      </c>
      <c r="Q23" s="190">
        <v>1877.85</v>
      </c>
      <c r="R23" s="190">
        <v>0</v>
      </c>
      <c r="S23" s="190">
        <v>0</v>
      </c>
      <c r="T23" s="190">
        <v>228996.9</v>
      </c>
    </row>
    <row r="24" spans="1:20">
      <c r="A24" s="13">
        <v>20</v>
      </c>
      <c r="B24" s="196" t="s">
        <v>225</v>
      </c>
      <c r="C24" s="197"/>
      <c r="D24" s="194">
        <v>330</v>
      </c>
      <c r="E24" s="194">
        <v>66</v>
      </c>
      <c r="F24" s="194">
        <v>6353.1750000000002</v>
      </c>
      <c r="G24" s="195">
        <v>0</v>
      </c>
      <c r="H24" s="195">
        <v>104</v>
      </c>
      <c r="I24" s="10">
        <v>0</v>
      </c>
      <c r="J24" s="11">
        <v>0</v>
      </c>
      <c r="K24" s="11">
        <v>0</v>
      </c>
      <c r="L24" s="190">
        <v>0</v>
      </c>
      <c r="M24" s="190">
        <v>38610</v>
      </c>
      <c r="N24" s="190">
        <v>7722</v>
      </c>
      <c r="O24" s="190">
        <v>177888.9</v>
      </c>
      <c r="P24" s="190">
        <v>0</v>
      </c>
      <c r="Q24" s="190">
        <v>12168</v>
      </c>
      <c r="R24" s="190">
        <v>0</v>
      </c>
      <c r="S24" s="190">
        <v>0</v>
      </c>
      <c r="T24" s="190">
        <v>236388.9</v>
      </c>
    </row>
    <row r="25" spans="1:20">
      <c r="A25" s="13">
        <v>21</v>
      </c>
      <c r="B25" s="196" t="s">
        <v>226</v>
      </c>
      <c r="C25" s="197"/>
      <c r="D25" s="194">
        <v>286</v>
      </c>
      <c r="E25" s="194">
        <v>67.375</v>
      </c>
      <c r="F25" s="194">
        <v>6571.8</v>
      </c>
      <c r="G25" s="195">
        <v>0</v>
      </c>
      <c r="H25" s="195">
        <v>146.625</v>
      </c>
      <c r="I25" s="10">
        <v>0</v>
      </c>
      <c r="J25" s="11">
        <v>0</v>
      </c>
      <c r="K25" s="11">
        <v>0</v>
      </c>
      <c r="L25" s="190">
        <v>0</v>
      </c>
      <c r="M25" s="190">
        <v>33462</v>
      </c>
      <c r="N25" s="190">
        <v>7882.88</v>
      </c>
      <c r="O25" s="190">
        <v>184010.4</v>
      </c>
      <c r="P25" s="190">
        <v>0</v>
      </c>
      <c r="Q25" s="190">
        <v>17155.13</v>
      </c>
      <c r="R25" s="190">
        <v>0</v>
      </c>
      <c r="S25" s="190">
        <v>0</v>
      </c>
      <c r="T25" s="190">
        <v>242510.4</v>
      </c>
    </row>
    <row r="26" spans="1:20">
      <c r="A26" s="13">
        <v>22</v>
      </c>
      <c r="B26" s="196" t="s">
        <v>227</v>
      </c>
      <c r="C26" s="197"/>
      <c r="D26" s="194">
        <v>154</v>
      </c>
      <c r="E26" s="194">
        <v>154</v>
      </c>
      <c r="F26" s="194">
        <v>6571.8</v>
      </c>
      <c r="G26" s="195">
        <v>0</v>
      </c>
      <c r="H26" s="195">
        <v>192</v>
      </c>
      <c r="I26" s="10">
        <v>0</v>
      </c>
      <c r="J26" s="11">
        <v>0</v>
      </c>
      <c r="K26" s="11">
        <v>0</v>
      </c>
      <c r="L26" s="190">
        <v>0</v>
      </c>
      <c r="M26" s="190">
        <v>18018</v>
      </c>
      <c r="N26" s="190">
        <v>18018</v>
      </c>
      <c r="O26" s="190">
        <v>184010.4</v>
      </c>
      <c r="P26" s="190">
        <v>0</v>
      </c>
      <c r="Q26" s="190">
        <v>22464</v>
      </c>
      <c r="R26" s="190">
        <v>0</v>
      </c>
      <c r="S26" s="190">
        <v>0</v>
      </c>
      <c r="T26" s="190">
        <v>242510.4</v>
      </c>
    </row>
    <row r="27" spans="1:20">
      <c r="A27" s="13">
        <v>23</v>
      </c>
      <c r="B27" s="196" t="s">
        <v>228</v>
      </c>
      <c r="C27" s="197"/>
      <c r="D27" s="194">
        <v>528</v>
      </c>
      <c r="E27" s="194">
        <v>88</v>
      </c>
      <c r="F27" s="194">
        <v>7011.8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90">
        <v>0</v>
      </c>
      <c r="M27" s="190">
        <v>61776</v>
      </c>
      <c r="N27" s="190">
        <v>10296</v>
      </c>
      <c r="O27" s="190">
        <v>196330.4</v>
      </c>
      <c r="P27" s="190">
        <v>0</v>
      </c>
      <c r="Q27" s="190">
        <v>0</v>
      </c>
      <c r="R27" s="190">
        <v>0</v>
      </c>
      <c r="S27" s="190">
        <v>0</v>
      </c>
      <c r="T27" s="190">
        <v>268402.40000000002</v>
      </c>
    </row>
    <row r="28" spans="1:20">
      <c r="A28" s="13">
        <v>24</v>
      </c>
      <c r="B28" s="196" t="s">
        <v>229</v>
      </c>
      <c r="C28" s="197"/>
      <c r="D28" s="194">
        <v>242</v>
      </c>
      <c r="E28" s="194">
        <v>176</v>
      </c>
      <c r="F28" s="194">
        <v>7077.8</v>
      </c>
      <c r="G28" s="195">
        <v>0</v>
      </c>
      <c r="H28" s="195">
        <v>82</v>
      </c>
      <c r="I28" s="10">
        <v>0</v>
      </c>
      <c r="J28" s="11">
        <v>0</v>
      </c>
      <c r="K28" s="11">
        <v>0</v>
      </c>
      <c r="L28" s="190">
        <v>0</v>
      </c>
      <c r="M28" s="190">
        <v>28314</v>
      </c>
      <c r="N28" s="190">
        <v>20592</v>
      </c>
      <c r="O28" s="190">
        <v>198178.4</v>
      </c>
      <c r="P28" s="190">
        <v>0</v>
      </c>
      <c r="Q28" s="190">
        <v>9594</v>
      </c>
      <c r="R28" s="190">
        <v>0</v>
      </c>
      <c r="S28" s="190">
        <v>0</v>
      </c>
      <c r="T28" s="190">
        <v>256678.39999999999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88</v>
      </c>
      <c r="F29" s="194">
        <v>6989.8</v>
      </c>
      <c r="G29" s="195">
        <v>0</v>
      </c>
      <c r="H29" s="195">
        <v>412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10296</v>
      </c>
      <c r="O29" s="190">
        <v>195714.4</v>
      </c>
      <c r="P29" s="190">
        <v>0</v>
      </c>
      <c r="Q29" s="190">
        <v>48204</v>
      </c>
      <c r="R29" s="190">
        <v>0</v>
      </c>
      <c r="S29" s="190">
        <v>0</v>
      </c>
      <c r="T29" s="190">
        <v>254214.39999999999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220</v>
      </c>
      <c r="F30" s="194">
        <v>6769.8</v>
      </c>
      <c r="G30" s="195">
        <v>0</v>
      </c>
      <c r="H30" s="195">
        <v>280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25740</v>
      </c>
      <c r="O30" s="190">
        <v>189554.4</v>
      </c>
      <c r="P30" s="190">
        <v>0</v>
      </c>
      <c r="Q30" s="190">
        <v>32760</v>
      </c>
      <c r="R30" s="190">
        <v>0</v>
      </c>
      <c r="S30" s="190">
        <v>0</v>
      </c>
      <c r="T30" s="190">
        <v>248054.39999999999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132</v>
      </c>
      <c r="F31" s="194">
        <v>6637.8</v>
      </c>
      <c r="G31" s="195">
        <v>0</v>
      </c>
      <c r="H31" s="195">
        <v>368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15444</v>
      </c>
      <c r="O31" s="190">
        <v>185858.4</v>
      </c>
      <c r="P31" s="190">
        <v>0</v>
      </c>
      <c r="Q31" s="190">
        <v>43056</v>
      </c>
      <c r="R31" s="190">
        <v>0</v>
      </c>
      <c r="S31" s="190">
        <v>0</v>
      </c>
      <c r="T31" s="190">
        <v>244358.39999999999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47.375</v>
      </c>
      <c r="F32" s="194">
        <v>6590.4250000000002</v>
      </c>
      <c r="G32" s="195">
        <v>0</v>
      </c>
      <c r="H32" s="195">
        <v>452.625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5542.88</v>
      </c>
      <c r="O32" s="190">
        <v>184531.9</v>
      </c>
      <c r="P32" s="190">
        <v>0</v>
      </c>
      <c r="Q32" s="190">
        <v>52957.13</v>
      </c>
      <c r="R32" s="190">
        <v>0</v>
      </c>
      <c r="S32" s="190">
        <v>0</v>
      </c>
      <c r="T32" s="190">
        <v>243031.9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115.5</v>
      </c>
      <c r="F33" s="194">
        <v>6474.9250000000002</v>
      </c>
      <c r="G33" s="195">
        <v>0</v>
      </c>
      <c r="H33" s="195">
        <v>384.5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13513.5</v>
      </c>
      <c r="O33" s="190">
        <v>181297.9</v>
      </c>
      <c r="P33" s="190">
        <v>0</v>
      </c>
      <c r="Q33" s="190">
        <v>44986.5</v>
      </c>
      <c r="R33" s="190">
        <v>0</v>
      </c>
      <c r="S33" s="190">
        <v>0</v>
      </c>
      <c r="T33" s="190">
        <v>239797.9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154</v>
      </c>
      <c r="F34" s="194">
        <v>6320.9250000000002</v>
      </c>
      <c r="G34" s="195">
        <v>0</v>
      </c>
      <c r="H34" s="195">
        <v>346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18018</v>
      </c>
      <c r="O34" s="190">
        <v>176985.9</v>
      </c>
      <c r="P34" s="190">
        <v>0</v>
      </c>
      <c r="Q34" s="190">
        <v>40482</v>
      </c>
      <c r="R34" s="190">
        <v>0</v>
      </c>
      <c r="S34" s="190">
        <v>0</v>
      </c>
      <c r="T34" s="190">
        <v>235485.9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3828</v>
      </c>
      <c r="E36" s="18">
        <v>2511.3000000000002</v>
      </c>
      <c r="F36" s="18">
        <v>175168.34999999995</v>
      </c>
      <c r="G36" s="18">
        <v>12290.874999999996</v>
      </c>
      <c r="H36" s="18">
        <v>8776.7000000000007</v>
      </c>
      <c r="I36" s="18">
        <v>0</v>
      </c>
      <c r="J36" s="19">
        <v>0</v>
      </c>
      <c r="K36" s="19">
        <v>0</v>
      </c>
      <c r="L36" s="191">
        <v>0</v>
      </c>
      <c r="M36" s="191">
        <v>447876</v>
      </c>
      <c r="N36" s="191">
        <v>293822.09999999998</v>
      </c>
      <c r="O36" s="191">
        <v>4904713.8</v>
      </c>
      <c r="P36" s="191">
        <v>344144.5</v>
      </c>
      <c r="Q36" s="191">
        <v>1026873.9</v>
      </c>
      <c r="R36" s="191">
        <v>0</v>
      </c>
      <c r="S36" s="191">
        <v>0</v>
      </c>
      <c r="T36" s="191">
        <v>7017430.2999999998</v>
      </c>
    </row>
    <row r="37" spans="1:20">
      <c r="R37" s="21"/>
      <c r="S37" s="21"/>
      <c r="T37" s="192">
        <v>8420916.3599999994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18FB-D1FA-444B-B213-D3CE46E4EFB2}">
  <sheetPr>
    <pageSetUpPr fitToPage="1"/>
  </sheetPr>
  <dimension ref="A1:T37"/>
  <sheetViews>
    <sheetView workbookViewId="0">
      <selection activeCell="R5" sqref="R5"/>
    </sheetView>
  </sheetViews>
  <sheetFormatPr defaultRowHeight="15"/>
  <cols>
    <col min="1" max="3" width="8.796875" style="2"/>
    <col min="4" max="4" width="7.3984375" style="2" customWidth="1"/>
    <col min="5" max="5" width="7.19921875" style="2" customWidth="1"/>
    <col min="6" max="6" width="9.19921875" style="2" customWidth="1"/>
    <col min="7" max="7" width="9" style="2" customWidth="1"/>
    <col min="8" max="8" width="6.59765625" style="2" bestFit="1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259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260</v>
      </c>
      <c r="H3" s="269" t="s">
        <v>240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59.4</v>
      </c>
      <c r="F5" s="194">
        <v>3818.5450000000001</v>
      </c>
      <c r="G5" s="195">
        <v>0</v>
      </c>
      <c r="H5" s="195"/>
      <c r="I5" s="10"/>
      <c r="J5" s="10"/>
      <c r="K5" s="11"/>
      <c r="L5" s="190">
        <v>0</v>
      </c>
      <c r="M5" s="190">
        <v>0</v>
      </c>
      <c r="N5" s="190">
        <v>6831</v>
      </c>
      <c r="O5" s="190">
        <v>68733.81</v>
      </c>
      <c r="P5" s="190">
        <v>0</v>
      </c>
      <c r="Q5" s="190">
        <v>0</v>
      </c>
      <c r="R5" s="190">
        <v>0</v>
      </c>
      <c r="S5" s="190">
        <v>0</v>
      </c>
      <c r="T5" s="190">
        <v>75564.81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59.366999999999997</v>
      </c>
      <c r="F6" s="194">
        <v>3759.1779999999999</v>
      </c>
      <c r="G6" s="195">
        <v>0</v>
      </c>
      <c r="H6" s="195"/>
      <c r="I6" s="10"/>
      <c r="J6" s="10"/>
      <c r="K6" s="11"/>
      <c r="L6" s="190">
        <v>0</v>
      </c>
      <c r="M6" s="190">
        <v>0</v>
      </c>
      <c r="N6" s="190">
        <v>6827.21</v>
      </c>
      <c r="O6" s="190">
        <v>67665.2</v>
      </c>
      <c r="P6" s="190">
        <v>0</v>
      </c>
      <c r="Q6" s="190">
        <v>0</v>
      </c>
      <c r="R6" s="190">
        <v>0</v>
      </c>
      <c r="S6" s="190">
        <v>0</v>
      </c>
      <c r="T6" s="190">
        <v>74492.41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3759.1779999999999</v>
      </c>
      <c r="G7" s="195">
        <v>0</v>
      </c>
      <c r="H7" s="195"/>
      <c r="I7" s="10"/>
      <c r="J7" s="10"/>
      <c r="K7" s="11"/>
      <c r="L7" s="190">
        <v>0</v>
      </c>
      <c r="M7" s="190">
        <v>0</v>
      </c>
      <c r="N7" s="190">
        <v>0</v>
      </c>
      <c r="O7" s="190">
        <v>67665.2</v>
      </c>
      <c r="P7" s="190">
        <v>0</v>
      </c>
      <c r="Q7" s="190">
        <v>0</v>
      </c>
      <c r="R7" s="190">
        <v>0</v>
      </c>
      <c r="S7" s="190">
        <v>0</v>
      </c>
      <c r="T7" s="190">
        <v>67665.2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3759.1779999999999</v>
      </c>
      <c r="G8" s="195">
        <v>0</v>
      </c>
      <c r="H8" s="195"/>
      <c r="I8" s="10"/>
      <c r="J8" s="10"/>
      <c r="K8" s="11"/>
      <c r="L8" s="190">
        <v>0</v>
      </c>
      <c r="M8" s="190">
        <v>0</v>
      </c>
      <c r="N8" s="190">
        <v>0</v>
      </c>
      <c r="O8" s="190">
        <v>67665.2</v>
      </c>
      <c r="P8" s="190">
        <v>0</v>
      </c>
      <c r="Q8" s="190">
        <v>0</v>
      </c>
      <c r="R8" s="190">
        <v>0</v>
      </c>
      <c r="S8" s="190">
        <v>0</v>
      </c>
      <c r="T8" s="190">
        <v>67665.2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3759.1779999999999</v>
      </c>
      <c r="G9" s="195">
        <v>0</v>
      </c>
      <c r="H9" s="195"/>
      <c r="I9" s="10"/>
      <c r="J9" s="10"/>
      <c r="K9" s="11"/>
      <c r="L9" s="190">
        <v>0</v>
      </c>
      <c r="M9" s="190">
        <v>0</v>
      </c>
      <c r="N9" s="190">
        <v>0</v>
      </c>
      <c r="O9" s="190">
        <v>67665.2</v>
      </c>
      <c r="P9" s="190">
        <v>0</v>
      </c>
      <c r="Q9" s="190">
        <v>0</v>
      </c>
      <c r="R9" s="190">
        <v>0</v>
      </c>
      <c r="S9" s="190">
        <v>0</v>
      </c>
      <c r="T9" s="190">
        <v>67665.2</v>
      </c>
    </row>
    <row r="10" spans="1:20">
      <c r="A10" s="13">
        <v>6</v>
      </c>
      <c r="B10" s="196" t="s">
        <v>211</v>
      </c>
      <c r="C10" s="197"/>
      <c r="D10" s="194">
        <v>60.12</v>
      </c>
      <c r="E10" s="194">
        <v>0</v>
      </c>
      <c r="F10" s="194">
        <v>3819.2979999999998</v>
      </c>
      <c r="G10" s="195">
        <v>0</v>
      </c>
      <c r="H10" s="195"/>
      <c r="I10" s="10"/>
      <c r="J10" s="10"/>
      <c r="K10" s="11"/>
      <c r="L10" s="190">
        <v>0</v>
      </c>
      <c r="M10" s="190">
        <v>6913.8</v>
      </c>
      <c r="N10" s="190">
        <v>0</v>
      </c>
      <c r="O10" s="190">
        <v>68747.360000000001</v>
      </c>
      <c r="P10" s="190">
        <v>0</v>
      </c>
      <c r="Q10" s="190">
        <v>0</v>
      </c>
      <c r="R10" s="190">
        <v>0</v>
      </c>
      <c r="S10" s="190">
        <v>0</v>
      </c>
      <c r="T10" s="190">
        <v>75661.16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3.089</v>
      </c>
      <c r="F11" s="194">
        <v>3816.2089999999998</v>
      </c>
      <c r="G11" s="195">
        <v>0</v>
      </c>
      <c r="H11" s="195"/>
      <c r="I11" s="10"/>
      <c r="J11" s="10"/>
      <c r="K11" s="11"/>
      <c r="L11" s="190">
        <v>0</v>
      </c>
      <c r="M11" s="190">
        <v>0</v>
      </c>
      <c r="N11" s="190">
        <v>355.24</v>
      </c>
      <c r="O11" s="190">
        <v>68691.759999999995</v>
      </c>
      <c r="P11" s="190">
        <v>0</v>
      </c>
      <c r="Q11" s="190">
        <v>0</v>
      </c>
      <c r="R11" s="190">
        <v>0</v>
      </c>
      <c r="S11" s="190">
        <v>0</v>
      </c>
      <c r="T11" s="190">
        <v>69047</v>
      </c>
    </row>
    <row r="12" spans="1:20">
      <c r="A12" s="13">
        <v>8</v>
      </c>
      <c r="B12" s="196" t="s">
        <v>213</v>
      </c>
      <c r="C12" s="197"/>
      <c r="D12" s="194">
        <v>36.481000000000002</v>
      </c>
      <c r="E12" s="194">
        <v>0</v>
      </c>
      <c r="F12" s="194">
        <v>3852.69</v>
      </c>
      <c r="G12" s="195">
        <v>0</v>
      </c>
      <c r="H12" s="195"/>
      <c r="I12" s="10"/>
      <c r="J12" s="10"/>
      <c r="K12" s="11"/>
      <c r="L12" s="190">
        <v>0</v>
      </c>
      <c r="M12" s="190">
        <v>4195.32</v>
      </c>
      <c r="N12" s="190">
        <v>0</v>
      </c>
      <c r="O12" s="190">
        <v>69348.42</v>
      </c>
      <c r="P12" s="190">
        <v>0</v>
      </c>
      <c r="Q12" s="190">
        <v>0</v>
      </c>
      <c r="R12" s="190">
        <v>0</v>
      </c>
      <c r="S12" s="190">
        <v>0</v>
      </c>
      <c r="T12" s="190">
        <v>73543.740000000005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3852.69</v>
      </c>
      <c r="G13" s="195">
        <v>0</v>
      </c>
      <c r="H13" s="195"/>
      <c r="I13" s="10"/>
      <c r="J13" s="10"/>
      <c r="K13" s="11"/>
      <c r="L13" s="190">
        <v>0</v>
      </c>
      <c r="M13" s="190">
        <v>0</v>
      </c>
      <c r="N13" s="190">
        <v>0</v>
      </c>
      <c r="O13" s="190">
        <v>69348.42</v>
      </c>
      <c r="P13" s="190">
        <v>0</v>
      </c>
      <c r="Q13" s="190">
        <v>0</v>
      </c>
      <c r="R13" s="190">
        <v>0</v>
      </c>
      <c r="S13" s="190">
        <v>0</v>
      </c>
      <c r="T13" s="190">
        <v>69348.42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30.763000000000002</v>
      </c>
      <c r="F14" s="194">
        <v>3821.9270000000001</v>
      </c>
      <c r="G14" s="195">
        <v>0</v>
      </c>
      <c r="H14" s="195"/>
      <c r="I14" s="10"/>
      <c r="J14" s="10"/>
      <c r="K14" s="11"/>
      <c r="L14" s="190">
        <v>0</v>
      </c>
      <c r="M14" s="190">
        <v>0</v>
      </c>
      <c r="N14" s="190">
        <v>3537.75</v>
      </c>
      <c r="O14" s="190">
        <v>68794.69</v>
      </c>
      <c r="P14" s="190">
        <v>0</v>
      </c>
      <c r="Q14" s="190">
        <v>0</v>
      </c>
      <c r="R14" s="190">
        <v>0</v>
      </c>
      <c r="S14" s="190">
        <v>0</v>
      </c>
      <c r="T14" s="190">
        <v>72332.429999999993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3821.9270000000001</v>
      </c>
      <c r="G15" s="195">
        <v>0</v>
      </c>
      <c r="H15" s="195"/>
      <c r="I15" s="10"/>
      <c r="J15" s="10"/>
      <c r="K15" s="11"/>
      <c r="L15" s="190">
        <v>0</v>
      </c>
      <c r="M15" s="190">
        <v>0</v>
      </c>
      <c r="N15" s="190">
        <v>0</v>
      </c>
      <c r="O15" s="190">
        <v>68794.69</v>
      </c>
      <c r="P15" s="190">
        <v>0</v>
      </c>
      <c r="Q15" s="190">
        <v>0</v>
      </c>
      <c r="R15" s="190">
        <v>0</v>
      </c>
      <c r="S15" s="190">
        <v>0</v>
      </c>
      <c r="T15" s="190">
        <v>68794.69</v>
      </c>
    </row>
    <row r="16" spans="1:20">
      <c r="A16" s="13">
        <v>12</v>
      </c>
      <c r="B16" s="196" t="s">
        <v>217</v>
      </c>
      <c r="C16" s="197"/>
      <c r="D16" s="194">
        <v>42.600999999999999</v>
      </c>
      <c r="E16" s="194">
        <v>0</v>
      </c>
      <c r="F16" s="194">
        <v>3864.5279999999998</v>
      </c>
      <c r="G16" s="195">
        <v>0</v>
      </c>
      <c r="H16" s="195"/>
      <c r="I16" s="10"/>
      <c r="J16" s="10"/>
      <c r="K16" s="16"/>
      <c r="L16" s="190">
        <v>0</v>
      </c>
      <c r="M16" s="190">
        <v>4899.12</v>
      </c>
      <c r="N16" s="190">
        <v>0</v>
      </c>
      <c r="O16" s="190">
        <v>69561.5</v>
      </c>
      <c r="P16" s="190">
        <v>0</v>
      </c>
      <c r="Q16" s="190">
        <v>0</v>
      </c>
      <c r="R16" s="190">
        <v>0</v>
      </c>
      <c r="S16" s="190">
        <v>0</v>
      </c>
      <c r="T16" s="190">
        <v>74460.62</v>
      </c>
    </row>
    <row r="17" spans="1:20">
      <c r="A17" s="13">
        <v>13</v>
      </c>
      <c r="B17" s="196" t="s">
        <v>218</v>
      </c>
      <c r="C17" s="197"/>
      <c r="D17" s="194">
        <v>62.886000000000003</v>
      </c>
      <c r="E17" s="194">
        <v>0</v>
      </c>
      <c r="F17" s="194">
        <v>3927.4140000000002</v>
      </c>
      <c r="G17" s="195">
        <v>0</v>
      </c>
      <c r="H17" s="195"/>
      <c r="I17" s="10"/>
      <c r="J17" s="10"/>
      <c r="K17" s="11"/>
      <c r="L17" s="190">
        <v>0</v>
      </c>
      <c r="M17" s="190">
        <v>7231.89</v>
      </c>
      <c r="N17" s="190">
        <v>0</v>
      </c>
      <c r="O17" s="190">
        <v>70693.45</v>
      </c>
      <c r="P17" s="190">
        <v>0</v>
      </c>
      <c r="Q17" s="190">
        <v>0</v>
      </c>
      <c r="R17" s="190">
        <v>0</v>
      </c>
      <c r="S17" s="190">
        <v>0</v>
      </c>
      <c r="T17" s="190">
        <v>77925.34</v>
      </c>
    </row>
    <row r="18" spans="1:20">
      <c r="A18" s="13">
        <v>14</v>
      </c>
      <c r="B18" s="196" t="s">
        <v>219</v>
      </c>
      <c r="C18" s="197"/>
      <c r="D18" s="194">
        <v>21.198</v>
      </c>
      <c r="E18" s="194">
        <v>59.795000000000002</v>
      </c>
      <c r="F18" s="194">
        <v>3888.817</v>
      </c>
      <c r="G18" s="195">
        <v>0</v>
      </c>
      <c r="H18" s="195"/>
      <c r="I18" s="10"/>
      <c r="J18" s="10"/>
      <c r="K18" s="11"/>
      <c r="L18" s="190">
        <v>0</v>
      </c>
      <c r="M18" s="190">
        <v>2437.77</v>
      </c>
      <c r="N18" s="190">
        <v>6876.43</v>
      </c>
      <c r="O18" s="190">
        <v>69998.710000000006</v>
      </c>
      <c r="P18" s="190">
        <v>0</v>
      </c>
      <c r="Q18" s="190">
        <v>0</v>
      </c>
      <c r="R18" s="190">
        <v>0</v>
      </c>
      <c r="S18" s="190">
        <v>0</v>
      </c>
      <c r="T18" s="190">
        <v>79312.899999999994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3888.817</v>
      </c>
      <c r="G19" s="195">
        <v>0</v>
      </c>
      <c r="H19" s="195"/>
      <c r="I19" s="10"/>
      <c r="J19" s="10"/>
      <c r="K19" s="11"/>
      <c r="L19" s="190">
        <v>0</v>
      </c>
      <c r="M19" s="190">
        <v>0</v>
      </c>
      <c r="N19" s="190">
        <v>0</v>
      </c>
      <c r="O19" s="190">
        <v>69998.710000000006</v>
      </c>
      <c r="P19" s="190">
        <v>0</v>
      </c>
      <c r="Q19" s="190">
        <v>0</v>
      </c>
      <c r="R19" s="190">
        <v>0</v>
      </c>
      <c r="S19" s="190">
        <v>0</v>
      </c>
      <c r="T19" s="190">
        <v>69998.710000000006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3888.817</v>
      </c>
      <c r="G20" s="195">
        <v>0</v>
      </c>
      <c r="H20" s="195"/>
      <c r="I20" s="10"/>
      <c r="J20" s="10"/>
      <c r="K20" s="11"/>
      <c r="L20" s="190">
        <v>0</v>
      </c>
      <c r="M20" s="190">
        <v>0</v>
      </c>
      <c r="N20" s="190">
        <v>0</v>
      </c>
      <c r="O20" s="190">
        <v>69998.710000000006</v>
      </c>
      <c r="P20" s="190">
        <v>0</v>
      </c>
      <c r="Q20" s="190">
        <v>0</v>
      </c>
      <c r="R20" s="190">
        <v>0</v>
      </c>
      <c r="S20" s="190">
        <v>0</v>
      </c>
      <c r="T20" s="190">
        <v>69998.710000000006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81.369</v>
      </c>
      <c r="F21" s="194">
        <v>3807.4479999999999</v>
      </c>
      <c r="G21" s="195">
        <v>0</v>
      </c>
      <c r="H21" s="195"/>
      <c r="I21" s="10"/>
      <c r="J21" s="10"/>
      <c r="K21" s="11"/>
      <c r="L21" s="190">
        <v>0</v>
      </c>
      <c r="M21" s="190">
        <v>0</v>
      </c>
      <c r="N21" s="190">
        <v>9357.44</v>
      </c>
      <c r="O21" s="190">
        <v>68534.06</v>
      </c>
      <c r="P21" s="190">
        <v>0</v>
      </c>
      <c r="Q21" s="190">
        <v>0</v>
      </c>
      <c r="R21" s="190">
        <v>0</v>
      </c>
      <c r="S21" s="190">
        <v>0</v>
      </c>
      <c r="T21" s="190">
        <v>77891.5</v>
      </c>
    </row>
    <row r="22" spans="1:20">
      <c r="A22" s="13">
        <v>18</v>
      </c>
      <c r="B22" s="196" t="s">
        <v>223</v>
      </c>
      <c r="C22" s="197"/>
      <c r="D22" s="194">
        <v>127.26</v>
      </c>
      <c r="E22" s="194">
        <v>101.208</v>
      </c>
      <c r="F22" s="194">
        <v>3833.5</v>
      </c>
      <c r="G22" s="195">
        <v>0</v>
      </c>
      <c r="H22" s="195"/>
      <c r="I22" s="10"/>
      <c r="J22" s="10"/>
      <c r="K22" s="11"/>
      <c r="L22" s="190">
        <v>0</v>
      </c>
      <c r="M22" s="190">
        <v>14634.9</v>
      </c>
      <c r="N22" s="190">
        <v>11638.92</v>
      </c>
      <c r="O22" s="190">
        <v>69003</v>
      </c>
      <c r="P22" s="190">
        <v>0</v>
      </c>
      <c r="Q22" s="190">
        <v>0</v>
      </c>
      <c r="R22" s="190">
        <v>0</v>
      </c>
      <c r="S22" s="190">
        <v>0</v>
      </c>
      <c r="T22" s="190">
        <v>95276.82</v>
      </c>
    </row>
    <row r="23" spans="1:20">
      <c r="A23" s="13">
        <v>19</v>
      </c>
      <c r="B23" s="196" t="s">
        <v>224</v>
      </c>
      <c r="C23" s="197"/>
      <c r="D23" s="194">
        <v>41.58</v>
      </c>
      <c r="E23" s="194">
        <v>121.41500000000001</v>
      </c>
      <c r="F23" s="194">
        <v>3753.665</v>
      </c>
      <c r="G23" s="195">
        <v>0</v>
      </c>
      <c r="H23" s="195"/>
      <c r="I23" s="10"/>
      <c r="J23" s="10"/>
      <c r="K23" s="11"/>
      <c r="L23" s="190">
        <v>0</v>
      </c>
      <c r="M23" s="190">
        <v>4781.7</v>
      </c>
      <c r="N23" s="190">
        <v>13962.73</v>
      </c>
      <c r="O23" s="190">
        <v>67565.97</v>
      </c>
      <c r="P23" s="190">
        <v>0</v>
      </c>
      <c r="Q23" s="190">
        <v>0</v>
      </c>
      <c r="R23" s="190">
        <v>0</v>
      </c>
      <c r="S23" s="190">
        <v>0</v>
      </c>
      <c r="T23" s="190">
        <v>86310.399999999994</v>
      </c>
    </row>
    <row r="24" spans="1:20">
      <c r="A24" s="13">
        <v>20</v>
      </c>
      <c r="B24" s="196" t="s">
        <v>225</v>
      </c>
      <c r="C24" s="197"/>
      <c r="D24" s="194">
        <v>42.911000000000001</v>
      </c>
      <c r="E24" s="194">
        <v>102.89700000000001</v>
      </c>
      <c r="F24" s="194">
        <v>3693.6790000000001</v>
      </c>
      <c r="G24" s="195">
        <v>0</v>
      </c>
      <c r="H24" s="195"/>
      <c r="I24" s="10"/>
      <c r="J24" s="10"/>
      <c r="K24" s="11"/>
      <c r="L24" s="190">
        <v>0</v>
      </c>
      <c r="M24" s="190">
        <v>4934.7700000000004</v>
      </c>
      <c r="N24" s="190">
        <v>11833.16</v>
      </c>
      <c r="O24" s="190">
        <v>66486.22</v>
      </c>
      <c r="P24" s="190">
        <v>0</v>
      </c>
      <c r="Q24" s="190">
        <v>0</v>
      </c>
      <c r="R24" s="190">
        <v>0</v>
      </c>
      <c r="S24" s="190">
        <v>0</v>
      </c>
      <c r="T24" s="190">
        <v>83254.14</v>
      </c>
    </row>
    <row r="25" spans="1:20">
      <c r="A25" s="13">
        <v>21</v>
      </c>
      <c r="B25" s="196" t="s">
        <v>226</v>
      </c>
      <c r="C25" s="197"/>
      <c r="D25" s="194">
        <v>72.203999999999994</v>
      </c>
      <c r="E25" s="194">
        <v>59.319000000000003</v>
      </c>
      <c r="F25" s="194">
        <v>3706.5639999999999</v>
      </c>
      <c r="G25" s="195">
        <v>0</v>
      </c>
      <c r="H25" s="195"/>
      <c r="I25" s="10"/>
      <c r="J25" s="10"/>
      <c r="K25" s="11"/>
      <c r="L25" s="190">
        <v>0</v>
      </c>
      <c r="M25" s="190">
        <v>8303.4599999999991</v>
      </c>
      <c r="N25" s="190">
        <v>6821.69</v>
      </c>
      <c r="O25" s="190">
        <v>66718.149999999994</v>
      </c>
      <c r="P25" s="190">
        <v>0</v>
      </c>
      <c r="Q25" s="190">
        <v>0</v>
      </c>
      <c r="R25" s="190">
        <v>0</v>
      </c>
      <c r="S25" s="190">
        <v>0</v>
      </c>
      <c r="T25" s="190">
        <v>81843.3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120.69</v>
      </c>
      <c r="F26" s="194">
        <v>3585.8739999999998</v>
      </c>
      <c r="G26" s="195">
        <v>0</v>
      </c>
      <c r="H26" s="195"/>
      <c r="I26" s="10"/>
      <c r="J26" s="10"/>
      <c r="K26" s="11"/>
      <c r="L26" s="190">
        <v>0</v>
      </c>
      <c r="M26" s="190">
        <v>0</v>
      </c>
      <c r="N26" s="190">
        <v>13879.35</v>
      </c>
      <c r="O26" s="190">
        <v>64545.73</v>
      </c>
      <c r="P26" s="190">
        <v>0</v>
      </c>
      <c r="Q26" s="190">
        <v>0</v>
      </c>
      <c r="R26" s="190">
        <v>0</v>
      </c>
      <c r="S26" s="190">
        <v>0</v>
      </c>
      <c r="T26" s="190">
        <v>78425.08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3585.8739999999998</v>
      </c>
      <c r="G27" s="195">
        <v>0</v>
      </c>
      <c r="H27" s="195"/>
      <c r="I27" s="10"/>
      <c r="J27" s="10"/>
      <c r="K27" s="11"/>
      <c r="L27" s="190">
        <v>0</v>
      </c>
      <c r="M27" s="190">
        <v>0</v>
      </c>
      <c r="N27" s="190">
        <v>0</v>
      </c>
      <c r="O27" s="190">
        <v>64545.73</v>
      </c>
      <c r="P27" s="190">
        <v>0</v>
      </c>
      <c r="Q27" s="190">
        <v>0</v>
      </c>
      <c r="R27" s="190">
        <v>0</v>
      </c>
      <c r="S27" s="190">
        <v>0</v>
      </c>
      <c r="T27" s="190">
        <v>64545.73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19.8</v>
      </c>
      <c r="F28" s="194">
        <v>3566.0740000000001</v>
      </c>
      <c r="G28" s="195">
        <v>0</v>
      </c>
      <c r="H28" s="195"/>
      <c r="I28" s="10"/>
      <c r="J28" s="10"/>
      <c r="K28" s="11"/>
      <c r="L28" s="190">
        <v>0</v>
      </c>
      <c r="M28" s="190">
        <v>0</v>
      </c>
      <c r="N28" s="190">
        <v>2277</v>
      </c>
      <c r="O28" s="190">
        <v>64189.33</v>
      </c>
      <c r="P28" s="190">
        <v>0</v>
      </c>
      <c r="Q28" s="190">
        <v>0</v>
      </c>
      <c r="R28" s="190">
        <v>0</v>
      </c>
      <c r="S28" s="190">
        <v>0</v>
      </c>
      <c r="T28" s="190">
        <v>66466.33</v>
      </c>
    </row>
    <row r="29" spans="1:20">
      <c r="A29" s="13">
        <v>25</v>
      </c>
      <c r="B29" s="196" t="s">
        <v>230</v>
      </c>
      <c r="C29" s="197"/>
      <c r="D29" s="194">
        <v>21.460999999999999</v>
      </c>
      <c r="E29" s="194">
        <v>0</v>
      </c>
      <c r="F29" s="194">
        <v>3587.5349999999999</v>
      </c>
      <c r="G29" s="195">
        <v>0</v>
      </c>
      <c r="H29" s="195"/>
      <c r="I29" s="10"/>
      <c r="J29" s="10"/>
      <c r="K29" s="11"/>
      <c r="L29" s="190">
        <v>0</v>
      </c>
      <c r="M29" s="190">
        <v>2468.02</v>
      </c>
      <c r="N29" s="190">
        <v>0</v>
      </c>
      <c r="O29" s="190">
        <v>64575.63</v>
      </c>
      <c r="P29" s="190">
        <v>0</v>
      </c>
      <c r="Q29" s="190">
        <v>0</v>
      </c>
      <c r="R29" s="190">
        <v>0</v>
      </c>
      <c r="S29" s="190">
        <v>0</v>
      </c>
      <c r="T29" s="190">
        <v>67043.649999999994</v>
      </c>
    </row>
    <row r="30" spans="1:20">
      <c r="A30" s="13">
        <v>26</v>
      </c>
      <c r="B30" s="196" t="s">
        <v>231</v>
      </c>
      <c r="C30" s="197"/>
      <c r="D30" s="194">
        <v>6.3</v>
      </c>
      <c r="E30" s="194">
        <v>78.995999999999995</v>
      </c>
      <c r="F30" s="194">
        <v>3514.8389999999999</v>
      </c>
      <c r="G30" s="195">
        <v>0</v>
      </c>
      <c r="H30" s="195"/>
      <c r="I30" s="10"/>
      <c r="J30" s="10"/>
      <c r="K30" s="11"/>
      <c r="L30" s="190">
        <v>0</v>
      </c>
      <c r="M30" s="190">
        <v>724.5</v>
      </c>
      <c r="N30" s="190">
        <v>9084.5400000000009</v>
      </c>
      <c r="O30" s="190">
        <v>63267.1</v>
      </c>
      <c r="P30" s="190">
        <v>0</v>
      </c>
      <c r="Q30" s="190">
        <v>0</v>
      </c>
      <c r="R30" s="190">
        <v>0</v>
      </c>
      <c r="S30" s="190">
        <v>0</v>
      </c>
      <c r="T30" s="190">
        <v>73076.14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19.698</v>
      </c>
      <c r="F31" s="194">
        <v>3495.1410000000001</v>
      </c>
      <c r="G31" s="195">
        <v>0</v>
      </c>
      <c r="H31" s="195"/>
      <c r="I31" s="10"/>
      <c r="J31" s="10"/>
      <c r="K31" s="11"/>
      <c r="L31" s="190">
        <v>0</v>
      </c>
      <c r="M31" s="190">
        <v>0</v>
      </c>
      <c r="N31" s="190">
        <v>2265.27</v>
      </c>
      <c r="O31" s="190">
        <v>62912.54</v>
      </c>
      <c r="P31" s="190">
        <v>0</v>
      </c>
      <c r="Q31" s="190">
        <v>0</v>
      </c>
      <c r="R31" s="190">
        <v>0</v>
      </c>
      <c r="S31" s="190">
        <v>0</v>
      </c>
      <c r="T31" s="190">
        <v>65177.81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16.620999999999999</v>
      </c>
      <c r="F32" s="194">
        <v>3478.52</v>
      </c>
      <c r="G32" s="195">
        <v>0</v>
      </c>
      <c r="H32" s="195"/>
      <c r="I32" s="10"/>
      <c r="J32" s="10"/>
      <c r="K32" s="11"/>
      <c r="L32" s="190">
        <v>0</v>
      </c>
      <c r="M32" s="190">
        <v>0</v>
      </c>
      <c r="N32" s="190">
        <v>1911.42</v>
      </c>
      <c r="O32" s="190">
        <v>62613.36</v>
      </c>
      <c r="P32" s="190">
        <v>0</v>
      </c>
      <c r="Q32" s="190">
        <v>0</v>
      </c>
      <c r="R32" s="190">
        <v>0</v>
      </c>
      <c r="S32" s="190">
        <v>0</v>
      </c>
      <c r="T32" s="190">
        <v>64524.78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32.58</v>
      </c>
      <c r="F33" s="194">
        <v>3445.94</v>
      </c>
      <c r="G33" s="195">
        <v>0</v>
      </c>
      <c r="H33" s="195"/>
      <c r="I33" s="10"/>
      <c r="J33" s="10"/>
      <c r="K33" s="11"/>
      <c r="L33" s="190">
        <v>0</v>
      </c>
      <c r="M33" s="190">
        <v>0</v>
      </c>
      <c r="N33" s="190">
        <v>3746.7</v>
      </c>
      <c r="O33" s="190">
        <v>62026.92</v>
      </c>
      <c r="P33" s="190">
        <v>0</v>
      </c>
      <c r="Q33" s="190">
        <v>0</v>
      </c>
      <c r="R33" s="190">
        <v>0</v>
      </c>
      <c r="S33" s="190">
        <v>0</v>
      </c>
      <c r="T33" s="190">
        <v>65773.62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21.6</v>
      </c>
      <c r="F34" s="194">
        <v>3424.34</v>
      </c>
      <c r="G34" s="195">
        <v>0</v>
      </c>
      <c r="H34" s="195"/>
      <c r="I34" s="10"/>
      <c r="J34" s="10"/>
      <c r="K34" s="11"/>
      <c r="L34" s="190">
        <v>0</v>
      </c>
      <c r="M34" s="190">
        <v>0</v>
      </c>
      <c r="N34" s="190">
        <v>2484</v>
      </c>
      <c r="O34" s="190">
        <v>61638.12</v>
      </c>
      <c r="P34" s="190">
        <v>0</v>
      </c>
      <c r="Q34" s="190">
        <v>0</v>
      </c>
      <c r="R34" s="190">
        <v>0</v>
      </c>
      <c r="S34" s="190">
        <v>0</v>
      </c>
      <c r="T34" s="190">
        <v>64122.12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/>
      <c r="I35" s="10"/>
      <c r="J35" s="10"/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535.00199999999995</v>
      </c>
      <c r="E36" s="18">
        <v>988.60699999999986</v>
      </c>
      <c r="F36" s="18">
        <v>111777.38400000001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1">
        <v>0</v>
      </c>
      <c r="M36" s="191">
        <v>61525.23</v>
      </c>
      <c r="N36" s="191">
        <v>113689.81</v>
      </c>
      <c r="O36" s="191">
        <v>2011992.91</v>
      </c>
      <c r="P36" s="191">
        <v>0</v>
      </c>
      <c r="Q36" s="191">
        <v>0</v>
      </c>
      <c r="R36" s="191">
        <v>0</v>
      </c>
      <c r="S36" s="191">
        <v>0</v>
      </c>
      <c r="T36" s="191">
        <v>2187207.9500000002</v>
      </c>
    </row>
    <row r="37" spans="1:20">
      <c r="R37" s="21"/>
      <c r="S37" s="21"/>
      <c r="T37" s="192">
        <v>2624649.54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8904-E427-400A-A91A-AB8D5A646BB6}">
  <sheetPr>
    <pageSetUpPr fitToPage="1"/>
  </sheetPr>
  <dimension ref="A1:T37"/>
  <sheetViews>
    <sheetView workbookViewId="0">
      <selection activeCell="O5" sqref="O5:O35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262</v>
      </c>
      <c r="H3" s="269" t="s">
        <v>263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202.5</v>
      </c>
      <c r="G5" s="195"/>
      <c r="H5" s="195"/>
      <c r="I5" s="10">
        <v>0</v>
      </c>
      <c r="J5" s="10">
        <v>0</v>
      </c>
      <c r="K5" s="11"/>
      <c r="L5" s="190">
        <v>0</v>
      </c>
      <c r="M5" s="190">
        <v>0</v>
      </c>
      <c r="N5" s="190">
        <v>0</v>
      </c>
      <c r="O5" s="190">
        <v>2936.25</v>
      </c>
      <c r="P5" s="190">
        <v>0</v>
      </c>
      <c r="Q5" s="190">
        <v>0</v>
      </c>
      <c r="R5" s="190">
        <v>0</v>
      </c>
      <c r="S5" s="190">
        <v>0</v>
      </c>
      <c r="T5" s="190">
        <v>2936.25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202.5</v>
      </c>
      <c r="G6" s="195"/>
      <c r="H6" s="195"/>
      <c r="I6" s="10">
        <v>0</v>
      </c>
      <c r="J6" s="10">
        <v>0</v>
      </c>
      <c r="K6" s="11"/>
      <c r="L6" s="190">
        <v>0</v>
      </c>
      <c r="M6" s="190">
        <v>0</v>
      </c>
      <c r="N6" s="190">
        <v>0</v>
      </c>
      <c r="O6" s="190">
        <v>2936.25</v>
      </c>
      <c r="P6" s="190">
        <v>0</v>
      </c>
      <c r="Q6" s="190">
        <v>0</v>
      </c>
      <c r="R6" s="190">
        <v>0</v>
      </c>
      <c r="S6" s="190">
        <v>0</v>
      </c>
      <c r="T6" s="190">
        <v>2936.25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202.5</v>
      </c>
      <c r="G7" s="195"/>
      <c r="H7" s="195"/>
      <c r="I7" s="10">
        <v>0</v>
      </c>
      <c r="J7" s="10">
        <v>0</v>
      </c>
      <c r="K7" s="11"/>
      <c r="L7" s="190">
        <v>0</v>
      </c>
      <c r="M7" s="190">
        <v>0</v>
      </c>
      <c r="N7" s="190">
        <v>0</v>
      </c>
      <c r="O7" s="190">
        <v>2936.25</v>
      </c>
      <c r="P7" s="190">
        <v>0</v>
      </c>
      <c r="Q7" s="190">
        <v>0</v>
      </c>
      <c r="R7" s="190">
        <v>0</v>
      </c>
      <c r="S7" s="190">
        <v>0</v>
      </c>
      <c r="T7" s="190">
        <v>2936.25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202.5</v>
      </c>
      <c r="G8" s="195"/>
      <c r="H8" s="195"/>
      <c r="I8" s="10">
        <v>0</v>
      </c>
      <c r="J8" s="10">
        <v>0</v>
      </c>
      <c r="K8" s="11"/>
      <c r="L8" s="190">
        <v>0</v>
      </c>
      <c r="M8" s="190">
        <v>0</v>
      </c>
      <c r="N8" s="190">
        <v>0</v>
      </c>
      <c r="O8" s="190">
        <v>2936.25</v>
      </c>
      <c r="P8" s="190">
        <v>0</v>
      </c>
      <c r="Q8" s="190">
        <v>0</v>
      </c>
      <c r="R8" s="190">
        <v>0</v>
      </c>
      <c r="S8" s="190">
        <v>0</v>
      </c>
      <c r="T8" s="190">
        <v>2936.25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202.5</v>
      </c>
      <c r="G9" s="195"/>
      <c r="H9" s="195"/>
      <c r="I9" s="10">
        <v>0</v>
      </c>
      <c r="J9" s="10">
        <v>0</v>
      </c>
      <c r="K9" s="11"/>
      <c r="L9" s="190">
        <v>0</v>
      </c>
      <c r="M9" s="190">
        <v>0</v>
      </c>
      <c r="N9" s="190">
        <v>0</v>
      </c>
      <c r="O9" s="190">
        <v>2936.25</v>
      </c>
      <c r="P9" s="190">
        <v>0</v>
      </c>
      <c r="Q9" s="190">
        <v>0</v>
      </c>
      <c r="R9" s="190">
        <v>0</v>
      </c>
      <c r="S9" s="190">
        <v>0</v>
      </c>
      <c r="T9" s="190">
        <v>2936.25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202.5</v>
      </c>
      <c r="G10" s="195"/>
      <c r="H10" s="195"/>
      <c r="I10" s="10">
        <v>0</v>
      </c>
      <c r="J10" s="10">
        <v>0</v>
      </c>
      <c r="K10" s="11"/>
      <c r="L10" s="190">
        <v>0</v>
      </c>
      <c r="M10" s="190">
        <v>0</v>
      </c>
      <c r="N10" s="190">
        <v>0</v>
      </c>
      <c r="O10" s="190">
        <v>2936.25</v>
      </c>
      <c r="P10" s="190">
        <v>0</v>
      </c>
      <c r="Q10" s="190">
        <v>0</v>
      </c>
      <c r="R10" s="190">
        <v>0</v>
      </c>
      <c r="S10" s="190">
        <v>0</v>
      </c>
      <c r="T10" s="190">
        <v>2936.25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202.5</v>
      </c>
      <c r="G11" s="195"/>
      <c r="H11" s="195"/>
      <c r="I11" s="10">
        <v>0</v>
      </c>
      <c r="J11" s="10">
        <v>0</v>
      </c>
      <c r="K11" s="11"/>
      <c r="L11" s="190">
        <v>0</v>
      </c>
      <c r="M11" s="190">
        <v>0</v>
      </c>
      <c r="N11" s="190">
        <v>0</v>
      </c>
      <c r="O11" s="190">
        <v>2936.25</v>
      </c>
      <c r="P11" s="190">
        <v>0</v>
      </c>
      <c r="Q11" s="190">
        <v>0</v>
      </c>
      <c r="R11" s="190">
        <v>0</v>
      </c>
      <c r="S11" s="190">
        <v>0</v>
      </c>
      <c r="T11" s="190">
        <v>2936.25</v>
      </c>
    </row>
    <row r="12" spans="1:20">
      <c r="A12" s="13">
        <v>8</v>
      </c>
      <c r="B12" s="196" t="s">
        <v>213</v>
      </c>
      <c r="C12" s="197"/>
      <c r="D12" s="194">
        <v>40.5</v>
      </c>
      <c r="E12" s="194">
        <v>0</v>
      </c>
      <c r="F12" s="194">
        <v>243</v>
      </c>
      <c r="G12" s="195"/>
      <c r="H12" s="195"/>
      <c r="I12" s="10">
        <v>0</v>
      </c>
      <c r="J12" s="10">
        <v>0</v>
      </c>
      <c r="K12" s="11"/>
      <c r="L12" s="190">
        <v>0</v>
      </c>
      <c r="M12" s="190">
        <v>4657.5</v>
      </c>
      <c r="N12" s="190">
        <v>0</v>
      </c>
      <c r="O12" s="190">
        <v>3523.5</v>
      </c>
      <c r="P12" s="190">
        <v>0</v>
      </c>
      <c r="Q12" s="190">
        <v>0</v>
      </c>
      <c r="R12" s="190">
        <v>0</v>
      </c>
      <c r="S12" s="190">
        <v>0</v>
      </c>
      <c r="T12" s="190">
        <v>8181</v>
      </c>
    </row>
    <row r="13" spans="1:20">
      <c r="A13" s="13">
        <v>9</v>
      </c>
      <c r="B13" s="196" t="s">
        <v>214</v>
      </c>
      <c r="C13" s="197"/>
      <c r="D13" s="194">
        <v>40.5</v>
      </c>
      <c r="E13" s="194">
        <v>0</v>
      </c>
      <c r="F13" s="194">
        <v>283.5</v>
      </c>
      <c r="G13" s="195"/>
      <c r="H13" s="195"/>
      <c r="I13" s="10">
        <v>0</v>
      </c>
      <c r="J13" s="10">
        <v>0</v>
      </c>
      <c r="K13" s="11"/>
      <c r="L13" s="190">
        <v>0</v>
      </c>
      <c r="M13" s="190">
        <v>4657.5</v>
      </c>
      <c r="N13" s="190">
        <v>0</v>
      </c>
      <c r="O13" s="190">
        <v>4110.75</v>
      </c>
      <c r="P13" s="190">
        <v>0</v>
      </c>
      <c r="Q13" s="190">
        <v>0</v>
      </c>
      <c r="R13" s="190">
        <v>0</v>
      </c>
      <c r="S13" s="190">
        <v>0</v>
      </c>
      <c r="T13" s="190">
        <v>8768.25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283.5</v>
      </c>
      <c r="G14" s="195"/>
      <c r="H14" s="195"/>
      <c r="I14" s="10">
        <v>0</v>
      </c>
      <c r="J14" s="10">
        <v>0</v>
      </c>
      <c r="K14" s="11"/>
      <c r="L14" s="190">
        <v>0</v>
      </c>
      <c r="M14" s="190">
        <v>0</v>
      </c>
      <c r="N14" s="190">
        <v>0</v>
      </c>
      <c r="O14" s="190">
        <v>4110.75</v>
      </c>
      <c r="P14" s="190">
        <v>0</v>
      </c>
      <c r="Q14" s="190">
        <v>0</v>
      </c>
      <c r="R14" s="190">
        <v>0</v>
      </c>
      <c r="S14" s="190">
        <v>0</v>
      </c>
      <c r="T14" s="190">
        <v>4110.75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283.5</v>
      </c>
      <c r="G15" s="195"/>
      <c r="H15" s="195"/>
      <c r="I15" s="10">
        <v>0</v>
      </c>
      <c r="J15" s="10">
        <v>0</v>
      </c>
      <c r="K15" s="11"/>
      <c r="L15" s="190">
        <v>0</v>
      </c>
      <c r="M15" s="190">
        <v>0</v>
      </c>
      <c r="N15" s="190">
        <v>0</v>
      </c>
      <c r="O15" s="190">
        <v>4110.75</v>
      </c>
      <c r="P15" s="190">
        <v>0</v>
      </c>
      <c r="Q15" s="190">
        <v>0</v>
      </c>
      <c r="R15" s="190">
        <v>0</v>
      </c>
      <c r="S15" s="190">
        <v>0</v>
      </c>
      <c r="T15" s="190">
        <v>4110.75</v>
      </c>
    </row>
    <row r="16" spans="1:20">
      <c r="A16" s="13">
        <v>12</v>
      </c>
      <c r="B16" s="196" t="s">
        <v>217</v>
      </c>
      <c r="C16" s="197"/>
      <c r="D16" s="194">
        <v>40.5</v>
      </c>
      <c r="E16" s="194">
        <v>0</v>
      </c>
      <c r="F16" s="194">
        <v>324</v>
      </c>
      <c r="G16" s="195"/>
      <c r="H16" s="195"/>
      <c r="I16" s="10">
        <v>0</v>
      </c>
      <c r="J16" s="10">
        <v>0</v>
      </c>
      <c r="K16" s="16"/>
      <c r="L16" s="190">
        <v>0</v>
      </c>
      <c r="M16" s="190">
        <v>4657.5</v>
      </c>
      <c r="N16" s="190">
        <v>0</v>
      </c>
      <c r="O16" s="190">
        <v>4698</v>
      </c>
      <c r="P16" s="190">
        <v>0</v>
      </c>
      <c r="Q16" s="190">
        <v>0</v>
      </c>
      <c r="R16" s="190">
        <v>0</v>
      </c>
      <c r="S16" s="190">
        <v>0</v>
      </c>
      <c r="T16" s="190">
        <v>9355.5</v>
      </c>
    </row>
    <row r="17" spans="1:20">
      <c r="A17" s="13">
        <v>13</v>
      </c>
      <c r="B17" s="196" t="s">
        <v>218</v>
      </c>
      <c r="C17" s="197"/>
      <c r="D17" s="194">
        <v>60.75</v>
      </c>
      <c r="E17" s="194">
        <v>0</v>
      </c>
      <c r="F17" s="194">
        <v>384.75</v>
      </c>
      <c r="G17" s="195"/>
      <c r="H17" s="195"/>
      <c r="I17" s="10">
        <v>0</v>
      </c>
      <c r="J17" s="10">
        <v>0</v>
      </c>
      <c r="K17" s="11"/>
      <c r="L17" s="190">
        <v>0</v>
      </c>
      <c r="M17" s="190">
        <v>6986.25</v>
      </c>
      <c r="N17" s="190">
        <v>0</v>
      </c>
      <c r="O17" s="190">
        <v>5578.88</v>
      </c>
      <c r="P17" s="190">
        <v>0</v>
      </c>
      <c r="Q17" s="190">
        <v>0</v>
      </c>
      <c r="R17" s="190">
        <v>0</v>
      </c>
      <c r="S17" s="190">
        <v>0</v>
      </c>
      <c r="T17" s="190">
        <v>12565.13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384.75</v>
      </c>
      <c r="G18" s="195"/>
      <c r="H18" s="195"/>
      <c r="I18" s="10">
        <v>0</v>
      </c>
      <c r="J18" s="10">
        <v>0</v>
      </c>
      <c r="K18" s="11"/>
      <c r="L18" s="190">
        <v>0</v>
      </c>
      <c r="M18" s="190">
        <v>0</v>
      </c>
      <c r="N18" s="190">
        <v>0</v>
      </c>
      <c r="O18" s="190">
        <v>5578.88</v>
      </c>
      <c r="P18" s="190">
        <v>0</v>
      </c>
      <c r="Q18" s="190">
        <v>0</v>
      </c>
      <c r="R18" s="190">
        <v>0</v>
      </c>
      <c r="S18" s="190">
        <v>0</v>
      </c>
      <c r="T18" s="190">
        <v>5578.88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384.75</v>
      </c>
      <c r="G19" s="195"/>
      <c r="H19" s="195"/>
      <c r="I19" s="10">
        <v>0</v>
      </c>
      <c r="J19" s="10">
        <v>0</v>
      </c>
      <c r="K19" s="11"/>
      <c r="L19" s="190">
        <v>0</v>
      </c>
      <c r="M19" s="190">
        <v>0</v>
      </c>
      <c r="N19" s="190">
        <v>0</v>
      </c>
      <c r="O19" s="190">
        <v>5578.88</v>
      </c>
      <c r="P19" s="190">
        <v>0</v>
      </c>
      <c r="Q19" s="190">
        <v>0</v>
      </c>
      <c r="R19" s="190">
        <v>0</v>
      </c>
      <c r="S19" s="190">
        <v>0</v>
      </c>
      <c r="T19" s="190">
        <v>5578.88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384.75</v>
      </c>
      <c r="G20" s="195"/>
      <c r="H20" s="195"/>
      <c r="I20" s="10">
        <v>0</v>
      </c>
      <c r="J20" s="10">
        <v>0</v>
      </c>
      <c r="K20" s="11"/>
      <c r="L20" s="190">
        <v>0</v>
      </c>
      <c r="M20" s="190">
        <v>0</v>
      </c>
      <c r="N20" s="190">
        <v>0</v>
      </c>
      <c r="O20" s="190">
        <v>5578.88</v>
      </c>
      <c r="P20" s="190">
        <v>0</v>
      </c>
      <c r="Q20" s="190">
        <v>0</v>
      </c>
      <c r="R20" s="190">
        <v>0</v>
      </c>
      <c r="S20" s="190">
        <v>0</v>
      </c>
      <c r="T20" s="190">
        <v>5578.88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20.25</v>
      </c>
      <c r="F21" s="194">
        <v>364.5</v>
      </c>
      <c r="G21" s="195"/>
      <c r="H21" s="195"/>
      <c r="I21" s="10">
        <v>0</v>
      </c>
      <c r="J21" s="10">
        <v>0</v>
      </c>
      <c r="K21" s="11"/>
      <c r="L21" s="190">
        <v>0</v>
      </c>
      <c r="M21" s="190">
        <v>0</v>
      </c>
      <c r="N21" s="190">
        <v>2328.75</v>
      </c>
      <c r="O21" s="190">
        <v>5285.25</v>
      </c>
      <c r="P21" s="190">
        <v>0</v>
      </c>
      <c r="Q21" s="190">
        <v>0</v>
      </c>
      <c r="R21" s="190">
        <v>0</v>
      </c>
      <c r="S21" s="190">
        <v>0</v>
      </c>
      <c r="T21" s="190">
        <v>7614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40.5</v>
      </c>
      <c r="F22" s="194">
        <v>324</v>
      </c>
      <c r="G22" s="195"/>
      <c r="H22" s="195"/>
      <c r="I22" s="10">
        <v>0</v>
      </c>
      <c r="J22" s="10">
        <v>0</v>
      </c>
      <c r="K22" s="11"/>
      <c r="L22" s="190">
        <v>0</v>
      </c>
      <c r="M22" s="190">
        <v>0</v>
      </c>
      <c r="N22" s="190">
        <v>4657.5</v>
      </c>
      <c r="O22" s="190">
        <v>4698</v>
      </c>
      <c r="P22" s="190">
        <v>0</v>
      </c>
      <c r="Q22" s="190">
        <v>0</v>
      </c>
      <c r="R22" s="190">
        <v>0</v>
      </c>
      <c r="S22" s="190">
        <v>0</v>
      </c>
      <c r="T22" s="190">
        <v>9355.5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40.5</v>
      </c>
      <c r="F23" s="194">
        <v>283.5</v>
      </c>
      <c r="G23" s="195"/>
      <c r="H23" s="195"/>
      <c r="I23" s="10">
        <v>0</v>
      </c>
      <c r="J23" s="10">
        <v>0</v>
      </c>
      <c r="K23" s="11"/>
      <c r="L23" s="190">
        <v>0</v>
      </c>
      <c r="M23" s="190">
        <v>0</v>
      </c>
      <c r="N23" s="190">
        <v>4657.5</v>
      </c>
      <c r="O23" s="190">
        <v>4110.75</v>
      </c>
      <c r="P23" s="190">
        <v>0</v>
      </c>
      <c r="Q23" s="190">
        <v>0</v>
      </c>
      <c r="R23" s="190">
        <v>0</v>
      </c>
      <c r="S23" s="190">
        <v>0</v>
      </c>
      <c r="T23" s="190">
        <v>8768.25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20.25</v>
      </c>
      <c r="F24" s="194">
        <v>263.25</v>
      </c>
      <c r="G24" s="195"/>
      <c r="H24" s="195"/>
      <c r="I24" s="10">
        <v>0</v>
      </c>
      <c r="J24" s="10">
        <v>0</v>
      </c>
      <c r="K24" s="11"/>
      <c r="L24" s="190">
        <v>0</v>
      </c>
      <c r="M24" s="190">
        <v>0</v>
      </c>
      <c r="N24" s="190">
        <v>2328.75</v>
      </c>
      <c r="O24" s="190">
        <v>3817.13</v>
      </c>
      <c r="P24" s="190">
        <v>0</v>
      </c>
      <c r="Q24" s="190">
        <v>0</v>
      </c>
      <c r="R24" s="190">
        <v>0</v>
      </c>
      <c r="S24" s="190">
        <v>0</v>
      </c>
      <c r="T24" s="190">
        <v>6145.88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263.25</v>
      </c>
      <c r="G25" s="195"/>
      <c r="H25" s="195"/>
      <c r="I25" s="10">
        <v>0</v>
      </c>
      <c r="J25" s="10">
        <v>0</v>
      </c>
      <c r="K25" s="11"/>
      <c r="L25" s="190">
        <v>0</v>
      </c>
      <c r="M25" s="190">
        <v>0</v>
      </c>
      <c r="N25" s="190">
        <v>0</v>
      </c>
      <c r="O25" s="190">
        <v>3817.13</v>
      </c>
      <c r="P25" s="190">
        <v>0</v>
      </c>
      <c r="Q25" s="190">
        <v>0</v>
      </c>
      <c r="R25" s="190">
        <v>0</v>
      </c>
      <c r="S25" s="190">
        <v>0</v>
      </c>
      <c r="T25" s="190">
        <v>3817.13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263.25</v>
      </c>
      <c r="G26" s="195"/>
      <c r="H26" s="195"/>
      <c r="I26" s="10">
        <v>0</v>
      </c>
      <c r="J26" s="10">
        <v>0</v>
      </c>
      <c r="K26" s="11"/>
      <c r="L26" s="190">
        <v>0</v>
      </c>
      <c r="M26" s="190">
        <v>0</v>
      </c>
      <c r="N26" s="190">
        <v>0</v>
      </c>
      <c r="O26" s="190">
        <v>3817.13</v>
      </c>
      <c r="P26" s="190">
        <v>0</v>
      </c>
      <c r="Q26" s="190">
        <v>0</v>
      </c>
      <c r="R26" s="190">
        <v>0</v>
      </c>
      <c r="S26" s="190">
        <v>0</v>
      </c>
      <c r="T26" s="190">
        <v>3817.13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263.25</v>
      </c>
      <c r="G27" s="195"/>
      <c r="H27" s="195"/>
      <c r="I27" s="10">
        <v>0</v>
      </c>
      <c r="J27" s="10">
        <v>0</v>
      </c>
      <c r="K27" s="11"/>
      <c r="L27" s="190">
        <v>0</v>
      </c>
      <c r="M27" s="190">
        <v>0</v>
      </c>
      <c r="N27" s="190">
        <v>0</v>
      </c>
      <c r="O27" s="190">
        <v>3817.13</v>
      </c>
      <c r="P27" s="190">
        <v>0</v>
      </c>
      <c r="Q27" s="190">
        <v>0</v>
      </c>
      <c r="R27" s="190">
        <v>0</v>
      </c>
      <c r="S27" s="190">
        <v>0</v>
      </c>
      <c r="T27" s="190">
        <v>3817.13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263.25</v>
      </c>
      <c r="G28" s="195"/>
      <c r="H28" s="195"/>
      <c r="I28" s="10">
        <v>0</v>
      </c>
      <c r="J28" s="10">
        <v>0</v>
      </c>
      <c r="K28" s="11"/>
      <c r="L28" s="190">
        <v>0</v>
      </c>
      <c r="M28" s="190">
        <v>0</v>
      </c>
      <c r="N28" s="190">
        <v>0</v>
      </c>
      <c r="O28" s="190">
        <v>3817.13</v>
      </c>
      <c r="P28" s="190">
        <v>0</v>
      </c>
      <c r="Q28" s="190">
        <v>0</v>
      </c>
      <c r="R28" s="190">
        <v>0</v>
      </c>
      <c r="S28" s="190">
        <v>0</v>
      </c>
      <c r="T28" s="190">
        <v>3817.13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19.5</v>
      </c>
      <c r="F29" s="194">
        <v>243.75</v>
      </c>
      <c r="G29" s="195"/>
      <c r="H29" s="195"/>
      <c r="I29" s="10">
        <v>0</v>
      </c>
      <c r="J29" s="10">
        <v>0</v>
      </c>
      <c r="K29" s="11"/>
      <c r="L29" s="190">
        <v>0</v>
      </c>
      <c r="M29" s="190">
        <v>0</v>
      </c>
      <c r="N29" s="190">
        <v>2242.5</v>
      </c>
      <c r="O29" s="190">
        <v>3534.38</v>
      </c>
      <c r="P29" s="190">
        <v>0</v>
      </c>
      <c r="Q29" s="190">
        <v>0</v>
      </c>
      <c r="R29" s="190">
        <v>0</v>
      </c>
      <c r="S29" s="190">
        <v>0</v>
      </c>
      <c r="T29" s="190">
        <v>5776.88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20.25</v>
      </c>
      <c r="F30" s="194">
        <v>223.5</v>
      </c>
      <c r="G30" s="195"/>
      <c r="H30" s="195"/>
      <c r="I30" s="10">
        <v>0</v>
      </c>
      <c r="J30" s="10">
        <v>0</v>
      </c>
      <c r="K30" s="11"/>
      <c r="L30" s="190">
        <v>0</v>
      </c>
      <c r="M30" s="190">
        <v>0</v>
      </c>
      <c r="N30" s="190">
        <v>2328.75</v>
      </c>
      <c r="O30" s="190">
        <v>3240.75</v>
      </c>
      <c r="P30" s="190">
        <v>0</v>
      </c>
      <c r="Q30" s="190">
        <v>0</v>
      </c>
      <c r="R30" s="190">
        <v>0</v>
      </c>
      <c r="S30" s="190">
        <v>0</v>
      </c>
      <c r="T30" s="190">
        <v>5569.5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223.5</v>
      </c>
      <c r="G31" s="195"/>
      <c r="H31" s="195"/>
      <c r="I31" s="10">
        <v>0</v>
      </c>
      <c r="J31" s="10">
        <v>0</v>
      </c>
      <c r="K31" s="11"/>
      <c r="L31" s="190">
        <v>0</v>
      </c>
      <c r="M31" s="190">
        <v>0</v>
      </c>
      <c r="N31" s="190">
        <v>0</v>
      </c>
      <c r="O31" s="190">
        <v>3240.75</v>
      </c>
      <c r="P31" s="190">
        <v>0</v>
      </c>
      <c r="Q31" s="190">
        <v>0</v>
      </c>
      <c r="R31" s="190">
        <v>0</v>
      </c>
      <c r="S31" s="190">
        <v>0</v>
      </c>
      <c r="T31" s="190">
        <v>3240.75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19.5</v>
      </c>
      <c r="F32" s="194">
        <v>204</v>
      </c>
      <c r="G32" s="195"/>
      <c r="H32" s="195"/>
      <c r="I32" s="10">
        <v>0</v>
      </c>
      <c r="J32" s="10">
        <v>0</v>
      </c>
      <c r="K32" s="11"/>
      <c r="L32" s="190">
        <v>0</v>
      </c>
      <c r="M32" s="190">
        <v>0</v>
      </c>
      <c r="N32" s="190">
        <v>2242.5</v>
      </c>
      <c r="O32" s="190">
        <v>2958</v>
      </c>
      <c r="P32" s="190">
        <v>0</v>
      </c>
      <c r="Q32" s="190">
        <v>0</v>
      </c>
      <c r="R32" s="190">
        <v>0</v>
      </c>
      <c r="S32" s="190">
        <v>0</v>
      </c>
      <c r="T32" s="190">
        <v>5200.5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204</v>
      </c>
      <c r="G33" s="195"/>
      <c r="H33" s="195"/>
      <c r="I33" s="10">
        <v>0</v>
      </c>
      <c r="J33" s="10">
        <v>0</v>
      </c>
      <c r="K33" s="11"/>
      <c r="L33" s="190">
        <v>0</v>
      </c>
      <c r="M33" s="190">
        <v>0</v>
      </c>
      <c r="N33" s="190">
        <v>0</v>
      </c>
      <c r="O33" s="190">
        <v>2958</v>
      </c>
      <c r="P33" s="190">
        <v>0</v>
      </c>
      <c r="Q33" s="190">
        <v>0</v>
      </c>
      <c r="R33" s="190">
        <v>0</v>
      </c>
      <c r="S33" s="190">
        <v>0</v>
      </c>
      <c r="T33" s="190">
        <v>2958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40.5</v>
      </c>
      <c r="F34" s="194">
        <v>163.5</v>
      </c>
      <c r="G34" s="195"/>
      <c r="H34" s="195"/>
      <c r="I34" s="10">
        <v>0</v>
      </c>
      <c r="J34" s="10">
        <v>0</v>
      </c>
      <c r="K34" s="11"/>
      <c r="L34" s="190">
        <v>0</v>
      </c>
      <c r="M34" s="190">
        <v>0</v>
      </c>
      <c r="N34" s="190">
        <v>4657.5</v>
      </c>
      <c r="O34" s="190">
        <v>2370.75</v>
      </c>
      <c r="P34" s="190">
        <v>0</v>
      </c>
      <c r="Q34" s="190">
        <v>0</v>
      </c>
      <c r="R34" s="190">
        <v>0</v>
      </c>
      <c r="S34" s="190">
        <v>0</v>
      </c>
      <c r="T34" s="190">
        <v>7028.25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/>
      <c r="H35" s="195"/>
      <c r="I35" s="10">
        <v>0</v>
      </c>
      <c r="J35" s="10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182.25</v>
      </c>
      <c r="E36" s="18">
        <v>221.25</v>
      </c>
      <c r="F36" s="18">
        <v>7924.5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1">
        <v>0</v>
      </c>
      <c r="M36" s="191">
        <v>20958.75</v>
      </c>
      <c r="N36" s="191">
        <v>25443.75</v>
      </c>
      <c r="O36" s="191">
        <v>114905.25</v>
      </c>
      <c r="P36" s="191">
        <v>0</v>
      </c>
      <c r="Q36" s="191">
        <v>0</v>
      </c>
      <c r="R36" s="191">
        <v>0</v>
      </c>
      <c r="S36" s="191">
        <v>0</v>
      </c>
      <c r="T36" s="191">
        <v>161307.75</v>
      </c>
    </row>
    <row r="37" spans="1:20">
      <c r="R37" s="21"/>
      <c r="S37" s="21"/>
      <c r="T37" s="192">
        <v>193569.3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4077-7B51-4452-8D8D-24C72AAD8AC5}">
  <sheetPr>
    <pageSetUpPr fitToPage="1"/>
  </sheetPr>
  <dimension ref="A1:T37"/>
  <sheetViews>
    <sheetView topLeftCell="A5" workbookViewId="0">
      <selection activeCell="K5" sqref="K5:K35"/>
    </sheetView>
  </sheetViews>
  <sheetFormatPr defaultRowHeight="15"/>
  <cols>
    <col min="1" max="3" width="8.796875" style="2"/>
    <col min="4" max="4" width="7.5" style="2" customWidth="1"/>
    <col min="5" max="6" width="8.3984375" style="2" customWidth="1"/>
    <col min="7" max="7" width="8.296875" style="2" customWidth="1"/>
    <col min="8" max="8" width="8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239</v>
      </c>
      <c r="H3" s="269" t="s">
        <v>240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22</v>
      </c>
      <c r="F5" s="194">
        <v>1929.662</v>
      </c>
      <c r="G5" s="195"/>
      <c r="H5" s="195"/>
      <c r="I5" s="10">
        <v>0</v>
      </c>
      <c r="J5" s="10">
        <v>0</v>
      </c>
      <c r="K5" s="11">
        <v>0</v>
      </c>
      <c r="L5" s="190">
        <v>0</v>
      </c>
      <c r="M5" s="190">
        <v>0</v>
      </c>
      <c r="N5" s="190">
        <v>2530</v>
      </c>
      <c r="O5" s="190">
        <v>27594.17</v>
      </c>
      <c r="P5" s="190">
        <v>0</v>
      </c>
      <c r="Q5" s="190">
        <v>0</v>
      </c>
      <c r="R5" s="190">
        <v>0</v>
      </c>
      <c r="S5" s="190">
        <v>0</v>
      </c>
      <c r="T5" s="190">
        <v>30124.17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1929.662</v>
      </c>
      <c r="G6" s="195"/>
      <c r="H6" s="195"/>
      <c r="I6" s="10">
        <v>0</v>
      </c>
      <c r="J6" s="10">
        <v>0</v>
      </c>
      <c r="K6" s="11">
        <v>0</v>
      </c>
      <c r="L6" s="190">
        <v>0</v>
      </c>
      <c r="M6" s="190">
        <v>0</v>
      </c>
      <c r="N6" s="190">
        <v>0</v>
      </c>
      <c r="O6" s="190">
        <v>27594.17</v>
      </c>
      <c r="P6" s="190">
        <v>0</v>
      </c>
      <c r="Q6" s="190">
        <v>0</v>
      </c>
      <c r="R6" s="190">
        <v>0</v>
      </c>
      <c r="S6" s="190">
        <v>0</v>
      </c>
      <c r="T6" s="190">
        <v>27594.17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10.5</v>
      </c>
      <c r="F7" s="194">
        <v>1919.162</v>
      </c>
      <c r="G7" s="195"/>
      <c r="H7" s="195"/>
      <c r="I7" s="10">
        <v>0</v>
      </c>
      <c r="J7" s="10">
        <v>0</v>
      </c>
      <c r="K7" s="11">
        <v>0</v>
      </c>
      <c r="L7" s="190">
        <v>0</v>
      </c>
      <c r="M7" s="190">
        <v>0</v>
      </c>
      <c r="N7" s="190">
        <v>1207.5</v>
      </c>
      <c r="O7" s="190">
        <v>27444.02</v>
      </c>
      <c r="P7" s="190">
        <v>0</v>
      </c>
      <c r="Q7" s="190">
        <v>0</v>
      </c>
      <c r="R7" s="190">
        <v>0</v>
      </c>
      <c r="S7" s="190">
        <v>0</v>
      </c>
      <c r="T7" s="190">
        <v>28651.52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1919.162</v>
      </c>
      <c r="G8" s="195"/>
      <c r="H8" s="195"/>
      <c r="I8" s="10">
        <v>0</v>
      </c>
      <c r="J8" s="10">
        <v>0</v>
      </c>
      <c r="K8" s="11">
        <v>0</v>
      </c>
      <c r="L8" s="190">
        <v>0</v>
      </c>
      <c r="M8" s="190">
        <v>0</v>
      </c>
      <c r="N8" s="190">
        <v>0</v>
      </c>
      <c r="O8" s="190">
        <v>27444.02</v>
      </c>
      <c r="P8" s="190">
        <v>0</v>
      </c>
      <c r="Q8" s="190">
        <v>0</v>
      </c>
      <c r="R8" s="190">
        <v>0</v>
      </c>
      <c r="S8" s="190">
        <v>0</v>
      </c>
      <c r="T8" s="190">
        <v>27444.02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44</v>
      </c>
      <c r="F9" s="194">
        <v>1875.162</v>
      </c>
      <c r="G9" s="195"/>
      <c r="H9" s="195"/>
      <c r="I9" s="10">
        <v>0</v>
      </c>
      <c r="J9" s="10">
        <v>0</v>
      </c>
      <c r="K9" s="11">
        <v>0</v>
      </c>
      <c r="L9" s="190">
        <v>0</v>
      </c>
      <c r="M9" s="190">
        <v>0</v>
      </c>
      <c r="N9" s="190">
        <v>5060</v>
      </c>
      <c r="O9" s="190">
        <v>26814.82</v>
      </c>
      <c r="P9" s="190">
        <v>0</v>
      </c>
      <c r="Q9" s="190">
        <v>0</v>
      </c>
      <c r="R9" s="190">
        <v>0</v>
      </c>
      <c r="S9" s="190">
        <v>0</v>
      </c>
      <c r="T9" s="190">
        <v>31874.82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132</v>
      </c>
      <c r="F10" s="194">
        <v>1743.162</v>
      </c>
      <c r="G10" s="195"/>
      <c r="H10" s="195"/>
      <c r="I10" s="10">
        <v>0</v>
      </c>
      <c r="J10" s="10">
        <v>0</v>
      </c>
      <c r="K10" s="11">
        <v>0</v>
      </c>
      <c r="L10" s="190">
        <v>0</v>
      </c>
      <c r="M10" s="190">
        <v>0</v>
      </c>
      <c r="N10" s="190">
        <v>15180</v>
      </c>
      <c r="O10" s="190">
        <v>24927.22</v>
      </c>
      <c r="P10" s="190">
        <v>0</v>
      </c>
      <c r="Q10" s="190">
        <v>0</v>
      </c>
      <c r="R10" s="190">
        <v>0</v>
      </c>
      <c r="S10" s="190">
        <v>0</v>
      </c>
      <c r="T10" s="190">
        <v>40107.22</v>
      </c>
    </row>
    <row r="11" spans="1:20">
      <c r="A11" s="13">
        <v>7</v>
      </c>
      <c r="B11" s="196" t="s">
        <v>212</v>
      </c>
      <c r="C11" s="197"/>
      <c r="D11" s="194">
        <v>88</v>
      </c>
      <c r="E11" s="194">
        <v>44</v>
      </c>
      <c r="F11" s="194">
        <v>1787.162</v>
      </c>
      <c r="G11" s="195"/>
      <c r="H11" s="195"/>
      <c r="I11" s="10">
        <v>0</v>
      </c>
      <c r="J11" s="10">
        <v>0</v>
      </c>
      <c r="K11" s="11">
        <v>0</v>
      </c>
      <c r="L11" s="190">
        <v>0</v>
      </c>
      <c r="M11" s="190">
        <v>10120</v>
      </c>
      <c r="N11" s="190">
        <v>5060</v>
      </c>
      <c r="O11" s="190">
        <v>25556.42</v>
      </c>
      <c r="P11" s="190">
        <v>0</v>
      </c>
      <c r="Q11" s="190">
        <v>0</v>
      </c>
      <c r="R11" s="190">
        <v>0</v>
      </c>
      <c r="S11" s="190">
        <v>0</v>
      </c>
      <c r="T11" s="190">
        <v>40736.42</v>
      </c>
    </row>
    <row r="12" spans="1:20">
      <c r="A12" s="13">
        <v>8</v>
      </c>
      <c r="B12" s="196" t="s">
        <v>213</v>
      </c>
      <c r="C12" s="197"/>
      <c r="D12" s="194">
        <v>110</v>
      </c>
      <c r="E12" s="194">
        <v>0</v>
      </c>
      <c r="F12" s="194">
        <v>1897.162</v>
      </c>
      <c r="G12" s="195"/>
      <c r="H12" s="195"/>
      <c r="I12" s="10">
        <v>0</v>
      </c>
      <c r="J12" s="10">
        <v>0</v>
      </c>
      <c r="K12" s="11">
        <v>0</v>
      </c>
      <c r="L12" s="190">
        <v>0</v>
      </c>
      <c r="M12" s="190">
        <v>12650</v>
      </c>
      <c r="N12" s="190">
        <v>0</v>
      </c>
      <c r="O12" s="190">
        <v>27129.42</v>
      </c>
      <c r="P12" s="190">
        <v>0</v>
      </c>
      <c r="Q12" s="190">
        <v>0</v>
      </c>
      <c r="R12" s="190">
        <v>0</v>
      </c>
      <c r="S12" s="190">
        <v>0</v>
      </c>
      <c r="T12" s="190">
        <v>39779.42</v>
      </c>
    </row>
    <row r="13" spans="1:20">
      <c r="A13" s="13">
        <v>9</v>
      </c>
      <c r="B13" s="196" t="s">
        <v>214</v>
      </c>
      <c r="C13" s="197"/>
      <c r="D13" s="194">
        <v>22</v>
      </c>
      <c r="E13" s="194">
        <v>0</v>
      </c>
      <c r="F13" s="194">
        <v>1919.162</v>
      </c>
      <c r="G13" s="195"/>
      <c r="H13" s="195"/>
      <c r="I13" s="10">
        <v>0</v>
      </c>
      <c r="J13" s="10">
        <v>0</v>
      </c>
      <c r="K13" s="11">
        <v>0</v>
      </c>
      <c r="L13" s="190">
        <v>0</v>
      </c>
      <c r="M13" s="190">
        <v>2530</v>
      </c>
      <c r="N13" s="190">
        <v>0</v>
      </c>
      <c r="O13" s="190">
        <v>27444.02</v>
      </c>
      <c r="P13" s="190">
        <v>0</v>
      </c>
      <c r="Q13" s="190">
        <v>0</v>
      </c>
      <c r="R13" s="190">
        <v>0</v>
      </c>
      <c r="S13" s="190">
        <v>0</v>
      </c>
      <c r="T13" s="190">
        <v>29974.02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22</v>
      </c>
      <c r="F14" s="194">
        <v>1897.162</v>
      </c>
      <c r="G14" s="195"/>
      <c r="H14" s="195"/>
      <c r="I14" s="10">
        <v>0</v>
      </c>
      <c r="J14" s="10">
        <v>0</v>
      </c>
      <c r="K14" s="11">
        <v>0</v>
      </c>
      <c r="L14" s="190">
        <v>0</v>
      </c>
      <c r="M14" s="190">
        <v>0</v>
      </c>
      <c r="N14" s="190">
        <v>2530</v>
      </c>
      <c r="O14" s="190">
        <v>27129.42</v>
      </c>
      <c r="P14" s="190">
        <v>0</v>
      </c>
      <c r="Q14" s="190">
        <v>0</v>
      </c>
      <c r="R14" s="190">
        <v>0</v>
      </c>
      <c r="S14" s="190">
        <v>0</v>
      </c>
      <c r="T14" s="190">
        <v>29659.42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1897.162</v>
      </c>
      <c r="G15" s="195"/>
      <c r="H15" s="195"/>
      <c r="I15" s="10">
        <v>0</v>
      </c>
      <c r="J15" s="10">
        <v>0</v>
      </c>
      <c r="K15" s="11">
        <v>0</v>
      </c>
      <c r="L15" s="190">
        <v>0</v>
      </c>
      <c r="M15" s="190">
        <v>0</v>
      </c>
      <c r="N15" s="190">
        <v>0</v>
      </c>
      <c r="O15" s="190">
        <v>27129.42</v>
      </c>
      <c r="P15" s="190">
        <v>0</v>
      </c>
      <c r="Q15" s="190">
        <v>0</v>
      </c>
      <c r="R15" s="190">
        <v>0</v>
      </c>
      <c r="S15" s="190">
        <v>0</v>
      </c>
      <c r="T15" s="190">
        <v>27129.42</v>
      </c>
    </row>
    <row r="16" spans="1:20">
      <c r="A16" s="13">
        <v>12</v>
      </c>
      <c r="B16" s="196" t="s">
        <v>217</v>
      </c>
      <c r="C16" s="197"/>
      <c r="D16" s="194">
        <v>88</v>
      </c>
      <c r="E16" s="194">
        <v>22</v>
      </c>
      <c r="F16" s="194">
        <v>1963.162</v>
      </c>
      <c r="G16" s="195"/>
      <c r="H16" s="195"/>
      <c r="I16" s="10">
        <v>0</v>
      </c>
      <c r="J16" s="10">
        <v>0</v>
      </c>
      <c r="K16" s="11">
        <v>0</v>
      </c>
      <c r="L16" s="190">
        <v>0</v>
      </c>
      <c r="M16" s="190">
        <v>10120</v>
      </c>
      <c r="N16" s="190">
        <v>2530</v>
      </c>
      <c r="O16" s="190">
        <v>28073.22</v>
      </c>
      <c r="P16" s="190">
        <v>0</v>
      </c>
      <c r="Q16" s="190">
        <v>0</v>
      </c>
      <c r="R16" s="190">
        <v>0</v>
      </c>
      <c r="S16" s="190">
        <v>0</v>
      </c>
      <c r="T16" s="190">
        <v>40723.22</v>
      </c>
    </row>
    <row r="17" spans="1:20">
      <c r="A17" s="13">
        <v>13</v>
      </c>
      <c r="B17" s="196" t="s">
        <v>218</v>
      </c>
      <c r="C17" s="197"/>
      <c r="D17" s="194">
        <v>18.725000000000001</v>
      </c>
      <c r="E17" s="194">
        <v>0</v>
      </c>
      <c r="F17" s="194">
        <v>1981.8869999999999</v>
      </c>
      <c r="G17" s="195"/>
      <c r="H17" s="195"/>
      <c r="I17" s="10">
        <v>0</v>
      </c>
      <c r="J17" s="10">
        <v>0</v>
      </c>
      <c r="K17" s="11">
        <v>0</v>
      </c>
      <c r="L17" s="190">
        <v>0</v>
      </c>
      <c r="M17" s="190">
        <v>2153.38</v>
      </c>
      <c r="N17" s="190">
        <v>0</v>
      </c>
      <c r="O17" s="190">
        <v>28340.98</v>
      </c>
      <c r="P17" s="190">
        <v>0</v>
      </c>
      <c r="Q17" s="190">
        <v>0</v>
      </c>
      <c r="R17" s="190">
        <v>0</v>
      </c>
      <c r="S17" s="190">
        <v>0</v>
      </c>
      <c r="T17" s="190">
        <v>30494.36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75</v>
      </c>
      <c r="F18" s="194">
        <v>1906.8869999999999</v>
      </c>
      <c r="G18" s="195"/>
      <c r="H18" s="195"/>
      <c r="I18" s="10">
        <v>0</v>
      </c>
      <c r="J18" s="10">
        <v>0</v>
      </c>
      <c r="K18" s="11">
        <v>0</v>
      </c>
      <c r="L18" s="190">
        <v>0</v>
      </c>
      <c r="M18" s="190">
        <v>0</v>
      </c>
      <c r="N18" s="190">
        <v>8625</v>
      </c>
      <c r="O18" s="190">
        <v>27268.48</v>
      </c>
      <c r="P18" s="190">
        <v>0</v>
      </c>
      <c r="Q18" s="190">
        <v>0</v>
      </c>
      <c r="R18" s="190">
        <v>0</v>
      </c>
      <c r="S18" s="190">
        <v>0</v>
      </c>
      <c r="T18" s="190">
        <v>35893.480000000003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42</v>
      </c>
      <c r="F19" s="194">
        <v>1864.8869999999999</v>
      </c>
      <c r="G19" s="195"/>
      <c r="H19" s="195"/>
      <c r="I19" s="10">
        <v>0</v>
      </c>
      <c r="J19" s="10">
        <v>0</v>
      </c>
      <c r="K19" s="11">
        <v>0</v>
      </c>
      <c r="L19" s="190">
        <v>0</v>
      </c>
      <c r="M19" s="190">
        <v>0</v>
      </c>
      <c r="N19" s="190">
        <v>4830</v>
      </c>
      <c r="O19" s="190">
        <v>26667.88</v>
      </c>
      <c r="P19" s="190">
        <v>0</v>
      </c>
      <c r="Q19" s="190">
        <v>0</v>
      </c>
      <c r="R19" s="190">
        <v>0</v>
      </c>
      <c r="S19" s="190">
        <v>0</v>
      </c>
      <c r="T19" s="190">
        <v>31497.88</v>
      </c>
    </row>
    <row r="20" spans="1:20">
      <c r="A20" s="13">
        <v>16</v>
      </c>
      <c r="B20" s="196" t="s">
        <v>221</v>
      </c>
      <c r="C20" s="197"/>
      <c r="D20" s="194">
        <v>149.94999999999999</v>
      </c>
      <c r="E20" s="194">
        <v>0</v>
      </c>
      <c r="F20" s="194">
        <v>2014.837</v>
      </c>
      <c r="G20" s="195"/>
      <c r="H20" s="195"/>
      <c r="I20" s="10">
        <v>0</v>
      </c>
      <c r="J20" s="10">
        <v>0</v>
      </c>
      <c r="K20" s="11">
        <v>0</v>
      </c>
      <c r="L20" s="190">
        <v>0</v>
      </c>
      <c r="M20" s="190">
        <v>17244.25</v>
      </c>
      <c r="N20" s="190">
        <v>0</v>
      </c>
      <c r="O20" s="190">
        <v>28812.17</v>
      </c>
      <c r="P20" s="190">
        <v>0</v>
      </c>
      <c r="Q20" s="190">
        <v>0</v>
      </c>
      <c r="R20" s="190">
        <v>0</v>
      </c>
      <c r="S20" s="190">
        <v>0</v>
      </c>
      <c r="T20" s="190">
        <v>46056.42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22</v>
      </c>
      <c r="F21" s="194">
        <v>1992.837</v>
      </c>
      <c r="G21" s="195"/>
      <c r="H21" s="195"/>
      <c r="I21" s="10">
        <v>0</v>
      </c>
      <c r="J21" s="10">
        <v>0</v>
      </c>
      <c r="K21" s="11">
        <v>0</v>
      </c>
      <c r="L21" s="190">
        <v>0</v>
      </c>
      <c r="M21" s="190">
        <v>0</v>
      </c>
      <c r="N21" s="190">
        <v>2530</v>
      </c>
      <c r="O21" s="190">
        <v>28497.57</v>
      </c>
      <c r="P21" s="190">
        <v>0</v>
      </c>
      <c r="Q21" s="190">
        <v>0</v>
      </c>
      <c r="R21" s="190">
        <v>0</v>
      </c>
      <c r="S21" s="190">
        <v>0</v>
      </c>
      <c r="T21" s="190">
        <v>31027.57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22</v>
      </c>
      <c r="F22" s="194">
        <v>1970.837</v>
      </c>
      <c r="G22" s="195"/>
      <c r="H22" s="195"/>
      <c r="I22" s="10">
        <v>0</v>
      </c>
      <c r="J22" s="10">
        <v>0</v>
      </c>
      <c r="K22" s="11">
        <v>0</v>
      </c>
      <c r="L22" s="190">
        <v>0</v>
      </c>
      <c r="M22" s="190">
        <v>0</v>
      </c>
      <c r="N22" s="190">
        <v>2530</v>
      </c>
      <c r="O22" s="190">
        <v>28182.97</v>
      </c>
      <c r="P22" s="190">
        <v>0</v>
      </c>
      <c r="Q22" s="190">
        <v>0</v>
      </c>
      <c r="R22" s="190">
        <v>0</v>
      </c>
      <c r="S22" s="190">
        <v>0</v>
      </c>
      <c r="T22" s="190">
        <v>30712.97</v>
      </c>
    </row>
    <row r="23" spans="1:20">
      <c r="A23" s="13">
        <v>19</v>
      </c>
      <c r="B23" s="196" t="s">
        <v>224</v>
      </c>
      <c r="C23" s="197"/>
      <c r="D23" s="194">
        <v>22</v>
      </c>
      <c r="E23" s="194">
        <v>0</v>
      </c>
      <c r="F23" s="194">
        <v>1992.837</v>
      </c>
      <c r="G23" s="195"/>
      <c r="H23" s="195"/>
      <c r="I23" s="10">
        <v>0</v>
      </c>
      <c r="J23" s="10">
        <v>0</v>
      </c>
      <c r="K23" s="11">
        <v>0</v>
      </c>
      <c r="L23" s="190">
        <v>0</v>
      </c>
      <c r="M23" s="190">
        <v>2530</v>
      </c>
      <c r="N23" s="190">
        <v>0</v>
      </c>
      <c r="O23" s="190">
        <v>28497.57</v>
      </c>
      <c r="P23" s="190">
        <v>0</v>
      </c>
      <c r="Q23" s="190">
        <v>0</v>
      </c>
      <c r="R23" s="190">
        <v>0</v>
      </c>
      <c r="S23" s="190">
        <v>0</v>
      </c>
      <c r="T23" s="190">
        <v>31027.57</v>
      </c>
    </row>
    <row r="24" spans="1:20">
      <c r="A24" s="13">
        <v>20</v>
      </c>
      <c r="B24" s="196" t="s">
        <v>225</v>
      </c>
      <c r="C24" s="197"/>
      <c r="D24" s="194">
        <v>44</v>
      </c>
      <c r="E24" s="194">
        <v>21.425000000000001</v>
      </c>
      <c r="F24" s="194">
        <v>2015.412</v>
      </c>
      <c r="G24" s="195"/>
      <c r="H24" s="195"/>
      <c r="I24" s="10">
        <v>0</v>
      </c>
      <c r="J24" s="10">
        <v>0</v>
      </c>
      <c r="K24" s="11">
        <v>0</v>
      </c>
      <c r="L24" s="190">
        <v>0</v>
      </c>
      <c r="M24" s="190">
        <v>5060</v>
      </c>
      <c r="N24" s="190">
        <v>2463.88</v>
      </c>
      <c r="O24" s="190">
        <v>28820.39</v>
      </c>
      <c r="P24" s="190">
        <v>0</v>
      </c>
      <c r="Q24" s="190">
        <v>0</v>
      </c>
      <c r="R24" s="190">
        <v>0</v>
      </c>
      <c r="S24" s="190">
        <v>0</v>
      </c>
      <c r="T24" s="190">
        <v>36344.269999999997</v>
      </c>
    </row>
    <row r="25" spans="1:20">
      <c r="A25" s="13">
        <v>21</v>
      </c>
      <c r="B25" s="196" t="s">
        <v>226</v>
      </c>
      <c r="C25" s="197"/>
      <c r="D25" s="194">
        <v>22</v>
      </c>
      <c r="E25" s="194">
        <v>44</v>
      </c>
      <c r="F25" s="194">
        <v>1993.412</v>
      </c>
      <c r="G25" s="195"/>
      <c r="H25" s="195"/>
      <c r="I25" s="10">
        <v>0</v>
      </c>
      <c r="J25" s="10">
        <v>0</v>
      </c>
      <c r="K25" s="11">
        <v>0</v>
      </c>
      <c r="L25" s="190">
        <v>0</v>
      </c>
      <c r="M25" s="190">
        <v>2530</v>
      </c>
      <c r="N25" s="190">
        <v>5060</v>
      </c>
      <c r="O25" s="190">
        <v>28505.79</v>
      </c>
      <c r="P25" s="190">
        <v>0</v>
      </c>
      <c r="Q25" s="190">
        <v>0</v>
      </c>
      <c r="R25" s="190">
        <v>0</v>
      </c>
      <c r="S25" s="190">
        <v>0</v>
      </c>
      <c r="T25" s="190">
        <v>36095.79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79.75</v>
      </c>
      <c r="F26" s="194">
        <v>1913.662</v>
      </c>
      <c r="G26" s="195"/>
      <c r="H26" s="195"/>
      <c r="I26" s="10">
        <v>0</v>
      </c>
      <c r="J26" s="10">
        <v>0</v>
      </c>
      <c r="K26" s="11">
        <v>0</v>
      </c>
      <c r="L26" s="190">
        <v>0</v>
      </c>
      <c r="M26" s="190">
        <v>0</v>
      </c>
      <c r="N26" s="190">
        <v>9171.25</v>
      </c>
      <c r="O26" s="190">
        <v>27365.37</v>
      </c>
      <c r="P26" s="190">
        <v>0</v>
      </c>
      <c r="Q26" s="190">
        <v>0</v>
      </c>
      <c r="R26" s="190">
        <v>0</v>
      </c>
      <c r="S26" s="190">
        <v>0</v>
      </c>
      <c r="T26" s="190">
        <v>36536.620000000003</v>
      </c>
    </row>
    <row r="27" spans="1:20">
      <c r="A27" s="13">
        <v>23</v>
      </c>
      <c r="B27" s="196" t="s">
        <v>228</v>
      </c>
      <c r="C27" s="197"/>
      <c r="D27" s="194">
        <v>44</v>
      </c>
      <c r="E27" s="194">
        <v>44</v>
      </c>
      <c r="F27" s="194">
        <v>1913.662</v>
      </c>
      <c r="G27" s="195"/>
      <c r="H27" s="195"/>
      <c r="I27" s="10">
        <v>0</v>
      </c>
      <c r="J27" s="10">
        <v>0</v>
      </c>
      <c r="K27" s="11">
        <v>0</v>
      </c>
      <c r="L27" s="190">
        <v>0</v>
      </c>
      <c r="M27" s="190">
        <v>5060</v>
      </c>
      <c r="N27" s="190">
        <v>5060</v>
      </c>
      <c r="O27" s="190">
        <v>27365.37</v>
      </c>
      <c r="P27" s="190">
        <v>0</v>
      </c>
      <c r="Q27" s="190">
        <v>0</v>
      </c>
      <c r="R27" s="190">
        <v>0</v>
      </c>
      <c r="S27" s="190">
        <v>0</v>
      </c>
      <c r="T27" s="190">
        <v>37485.370000000003</v>
      </c>
    </row>
    <row r="28" spans="1:20">
      <c r="A28" s="13">
        <v>24</v>
      </c>
      <c r="B28" s="196" t="s">
        <v>229</v>
      </c>
      <c r="C28" s="197"/>
      <c r="D28" s="194">
        <v>19.600000000000001</v>
      </c>
      <c r="E28" s="194">
        <v>65.897999999999996</v>
      </c>
      <c r="F28" s="194">
        <v>1867.364</v>
      </c>
      <c r="G28" s="195"/>
      <c r="H28" s="195"/>
      <c r="I28" s="10">
        <v>0</v>
      </c>
      <c r="J28" s="10">
        <v>0.35</v>
      </c>
      <c r="K28" s="11">
        <v>0</v>
      </c>
      <c r="L28" s="190">
        <v>0</v>
      </c>
      <c r="M28" s="190">
        <v>2254</v>
      </c>
      <c r="N28" s="190">
        <v>7578.27</v>
      </c>
      <c r="O28" s="190">
        <v>26703.31</v>
      </c>
      <c r="P28" s="190">
        <v>0</v>
      </c>
      <c r="Q28" s="190">
        <v>0</v>
      </c>
      <c r="R28" s="190">
        <v>0</v>
      </c>
      <c r="S28" s="190">
        <v>42</v>
      </c>
      <c r="T28" s="190">
        <v>36577.58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63.25</v>
      </c>
      <c r="F29" s="194">
        <v>1804.114</v>
      </c>
      <c r="G29" s="195"/>
      <c r="H29" s="195"/>
      <c r="I29" s="10">
        <v>0</v>
      </c>
      <c r="J29" s="10">
        <v>0</v>
      </c>
      <c r="K29" s="11">
        <v>0</v>
      </c>
      <c r="L29" s="190">
        <v>0</v>
      </c>
      <c r="M29" s="190">
        <v>0</v>
      </c>
      <c r="N29" s="190">
        <v>7273.75</v>
      </c>
      <c r="O29" s="190">
        <v>25798.83</v>
      </c>
      <c r="P29" s="190">
        <v>0</v>
      </c>
      <c r="Q29" s="190">
        <v>0</v>
      </c>
      <c r="R29" s="190">
        <v>0</v>
      </c>
      <c r="S29" s="190">
        <v>0</v>
      </c>
      <c r="T29" s="190">
        <v>33072.58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22</v>
      </c>
      <c r="F30" s="194">
        <v>1782.114</v>
      </c>
      <c r="G30" s="195"/>
      <c r="H30" s="195"/>
      <c r="I30" s="10">
        <v>0</v>
      </c>
      <c r="J30" s="10">
        <v>0</v>
      </c>
      <c r="K30" s="11">
        <v>0</v>
      </c>
      <c r="L30" s="190">
        <v>0</v>
      </c>
      <c r="M30" s="190">
        <v>0</v>
      </c>
      <c r="N30" s="190">
        <v>2530</v>
      </c>
      <c r="O30" s="190">
        <v>25484.23</v>
      </c>
      <c r="P30" s="190">
        <v>0</v>
      </c>
      <c r="Q30" s="190">
        <v>0</v>
      </c>
      <c r="R30" s="190">
        <v>0</v>
      </c>
      <c r="S30" s="190">
        <v>0</v>
      </c>
      <c r="T30" s="190">
        <v>28014.23</v>
      </c>
    </row>
    <row r="31" spans="1:20">
      <c r="A31" s="13">
        <v>27</v>
      </c>
      <c r="B31" s="196" t="s">
        <v>232</v>
      </c>
      <c r="C31" s="197"/>
      <c r="D31" s="194">
        <v>66</v>
      </c>
      <c r="E31" s="194">
        <v>181.124</v>
      </c>
      <c r="F31" s="194">
        <v>1666.99</v>
      </c>
      <c r="G31" s="195"/>
      <c r="H31" s="195"/>
      <c r="I31" s="10">
        <v>0</v>
      </c>
      <c r="J31" s="10">
        <v>0</v>
      </c>
      <c r="K31" s="11">
        <v>0</v>
      </c>
      <c r="L31" s="190">
        <v>0</v>
      </c>
      <c r="M31" s="190">
        <v>7590</v>
      </c>
      <c r="N31" s="190">
        <v>20829.259999999998</v>
      </c>
      <c r="O31" s="190">
        <v>23837.96</v>
      </c>
      <c r="P31" s="190">
        <v>0</v>
      </c>
      <c r="Q31" s="190">
        <v>0</v>
      </c>
      <c r="R31" s="190">
        <v>0</v>
      </c>
      <c r="S31" s="190">
        <v>0</v>
      </c>
      <c r="T31" s="190">
        <v>52257.22</v>
      </c>
    </row>
    <row r="32" spans="1:20">
      <c r="A32" s="13">
        <v>28</v>
      </c>
      <c r="B32" s="196" t="s">
        <v>233</v>
      </c>
      <c r="C32" s="197"/>
      <c r="D32" s="194">
        <v>66</v>
      </c>
      <c r="E32" s="194">
        <v>22</v>
      </c>
      <c r="F32" s="194">
        <v>1710.99</v>
      </c>
      <c r="G32" s="195"/>
      <c r="H32" s="195"/>
      <c r="I32" s="10">
        <v>0</v>
      </c>
      <c r="J32" s="10">
        <v>0</v>
      </c>
      <c r="K32" s="11">
        <v>0</v>
      </c>
      <c r="L32" s="190">
        <v>0</v>
      </c>
      <c r="M32" s="190">
        <v>7590</v>
      </c>
      <c r="N32" s="190">
        <v>2530</v>
      </c>
      <c r="O32" s="190">
        <v>24467.16</v>
      </c>
      <c r="P32" s="190">
        <v>0</v>
      </c>
      <c r="Q32" s="190">
        <v>0</v>
      </c>
      <c r="R32" s="190">
        <v>0</v>
      </c>
      <c r="S32" s="190">
        <v>0</v>
      </c>
      <c r="T32" s="190">
        <v>34587.160000000003</v>
      </c>
    </row>
    <row r="33" spans="1:20">
      <c r="A33" s="13">
        <v>29</v>
      </c>
      <c r="B33" s="196" t="s">
        <v>234</v>
      </c>
      <c r="C33" s="197"/>
      <c r="D33" s="194">
        <v>110</v>
      </c>
      <c r="E33" s="194">
        <v>286</v>
      </c>
      <c r="F33" s="194">
        <v>1534.99</v>
      </c>
      <c r="G33" s="195"/>
      <c r="H33" s="195"/>
      <c r="I33" s="10">
        <v>0</v>
      </c>
      <c r="J33" s="10">
        <v>0</v>
      </c>
      <c r="K33" s="11">
        <v>0</v>
      </c>
      <c r="L33" s="190">
        <v>0</v>
      </c>
      <c r="M33" s="190">
        <v>12650</v>
      </c>
      <c r="N33" s="190">
        <v>32890</v>
      </c>
      <c r="O33" s="190">
        <v>21950.36</v>
      </c>
      <c r="P33" s="190">
        <v>0</v>
      </c>
      <c r="Q33" s="190">
        <v>0</v>
      </c>
      <c r="R33" s="190">
        <v>0</v>
      </c>
      <c r="S33" s="190">
        <v>0</v>
      </c>
      <c r="T33" s="190">
        <v>67490.36</v>
      </c>
    </row>
    <row r="34" spans="1:20">
      <c r="A34" s="13">
        <v>30</v>
      </c>
      <c r="B34" s="196" t="s">
        <v>235</v>
      </c>
      <c r="C34" s="197"/>
      <c r="D34" s="194">
        <v>110</v>
      </c>
      <c r="E34" s="194">
        <v>0</v>
      </c>
      <c r="F34" s="194">
        <v>1644.99</v>
      </c>
      <c r="G34" s="195"/>
      <c r="H34" s="195"/>
      <c r="I34" s="10">
        <v>0</v>
      </c>
      <c r="J34" s="10">
        <v>0</v>
      </c>
      <c r="K34" s="11">
        <v>0</v>
      </c>
      <c r="L34" s="190">
        <v>0</v>
      </c>
      <c r="M34" s="190">
        <v>12650</v>
      </c>
      <c r="N34" s="190">
        <v>0</v>
      </c>
      <c r="O34" s="190">
        <v>23523.360000000001</v>
      </c>
      <c r="P34" s="190">
        <v>0</v>
      </c>
      <c r="Q34" s="190">
        <v>0</v>
      </c>
      <c r="R34" s="190">
        <v>0</v>
      </c>
      <c r="S34" s="190">
        <v>0</v>
      </c>
      <c r="T34" s="190">
        <v>36173.360000000001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/>
      <c r="H35" s="195"/>
      <c r="I35" s="10">
        <v>0</v>
      </c>
      <c r="J35" s="10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980.27499999999998</v>
      </c>
      <c r="E36" s="18">
        <v>1286.9470000000001</v>
      </c>
      <c r="F36" s="18">
        <v>56249.652999999977</v>
      </c>
      <c r="G36" s="18">
        <v>0</v>
      </c>
      <c r="H36" s="18">
        <v>0</v>
      </c>
      <c r="I36" s="18">
        <v>0</v>
      </c>
      <c r="J36" s="18">
        <v>0.35</v>
      </c>
      <c r="K36" s="19">
        <v>0</v>
      </c>
      <c r="L36" s="191">
        <v>0</v>
      </c>
      <c r="M36" s="191">
        <v>112731.63</v>
      </c>
      <c r="N36" s="191">
        <v>147998.91</v>
      </c>
      <c r="O36" s="191">
        <v>804370.04</v>
      </c>
      <c r="P36" s="191">
        <v>0</v>
      </c>
      <c r="Q36" s="191">
        <v>0</v>
      </c>
      <c r="R36" s="191">
        <v>0</v>
      </c>
      <c r="S36" s="191">
        <v>42</v>
      </c>
      <c r="T36" s="191">
        <v>1065142.57</v>
      </c>
    </row>
    <row r="37" spans="1:20">
      <c r="R37" s="21"/>
      <c r="S37" s="21"/>
      <c r="T37" s="192">
        <v>1278171.08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956-4F0C-4798-9FD2-A46707F5CF99}">
  <sheetPr>
    <pageSetUpPr fitToPage="1"/>
  </sheetPr>
  <dimension ref="A1:T37"/>
  <sheetViews>
    <sheetView workbookViewId="0">
      <selection activeCell="M13" sqref="M13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262</v>
      </c>
      <c r="H3" s="269" t="s">
        <v>263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7.4999999999999997E-2</v>
      </c>
      <c r="G5" s="195"/>
      <c r="H5" s="195"/>
      <c r="I5" s="10">
        <v>0</v>
      </c>
      <c r="J5" s="10">
        <v>0</v>
      </c>
      <c r="K5" s="11"/>
      <c r="L5" s="190">
        <v>0</v>
      </c>
      <c r="M5" s="190">
        <v>0</v>
      </c>
      <c r="N5" s="190">
        <v>0</v>
      </c>
      <c r="O5" s="190">
        <v>1.4</v>
      </c>
      <c r="P5" s="190">
        <v>0</v>
      </c>
      <c r="Q5" s="190">
        <v>0</v>
      </c>
      <c r="R5" s="190">
        <v>0</v>
      </c>
      <c r="S5" s="190">
        <v>0</v>
      </c>
      <c r="T5" s="190">
        <v>1.4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7.4999999999999997E-2</v>
      </c>
      <c r="G6" s="195"/>
      <c r="H6" s="195"/>
      <c r="I6" s="10">
        <v>0</v>
      </c>
      <c r="J6" s="10">
        <v>0</v>
      </c>
      <c r="K6" s="11"/>
      <c r="L6" s="190">
        <v>0</v>
      </c>
      <c r="M6" s="190">
        <v>0</v>
      </c>
      <c r="N6" s="190">
        <v>0</v>
      </c>
      <c r="O6" s="190">
        <v>1.4</v>
      </c>
      <c r="P6" s="190">
        <v>0</v>
      </c>
      <c r="Q6" s="190">
        <v>0</v>
      </c>
      <c r="R6" s="190">
        <v>0</v>
      </c>
      <c r="S6" s="190">
        <v>0</v>
      </c>
      <c r="T6" s="190">
        <v>1.4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7.4999999999999997E-2</v>
      </c>
      <c r="G7" s="195"/>
      <c r="H7" s="195"/>
      <c r="I7" s="10">
        <v>0</v>
      </c>
      <c r="J7" s="10">
        <v>0</v>
      </c>
      <c r="K7" s="11"/>
      <c r="L7" s="190">
        <v>0</v>
      </c>
      <c r="M7" s="190">
        <v>0</v>
      </c>
      <c r="N7" s="190">
        <v>0</v>
      </c>
      <c r="O7" s="190">
        <v>1.4</v>
      </c>
      <c r="P7" s="190">
        <v>0</v>
      </c>
      <c r="Q7" s="190">
        <v>0</v>
      </c>
      <c r="R7" s="190">
        <v>0</v>
      </c>
      <c r="S7" s="190">
        <v>0</v>
      </c>
      <c r="T7" s="190">
        <v>1.4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7.4999999999999997E-2</v>
      </c>
      <c r="G8" s="195"/>
      <c r="H8" s="195"/>
      <c r="I8" s="10">
        <v>0</v>
      </c>
      <c r="J8" s="10">
        <v>0</v>
      </c>
      <c r="K8" s="11"/>
      <c r="L8" s="190">
        <v>0</v>
      </c>
      <c r="M8" s="190">
        <v>0</v>
      </c>
      <c r="N8" s="190">
        <v>0</v>
      </c>
      <c r="O8" s="190">
        <v>1.4</v>
      </c>
      <c r="P8" s="190">
        <v>0</v>
      </c>
      <c r="Q8" s="190">
        <v>0</v>
      </c>
      <c r="R8" s="190">
        <v>0</v>
      </c>
      <c r="S8" s="190">
        <v>0</v>
      </c>
      <c r="T8" s="190">
        <v>1.4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7.4999999999999997E-2</v>
      </c>
      <c r="G9" s="195"/>
      <c r="H9" s="195"/>
      <c r="I9" s="10">
        <v>0</v>
      </c>
      <c r="J9" s="10">
        <v>0</v>
      </c>
      <c r="K9" s="11"/>
      <c r="L9" s="190">
        <v>0</v>
      </c>
      <c r="M9" s="190">
        <v>0</v>
      </c>
      <c r="N9" s="190">
        <v>0</v>
      </c>
      <c r="O9" s="190">
        <v>1.4</v>
      </c>
      <c r="P9" s="190">
        <v>0</v>
      </c>
      <c r="Q9" s="190">
        <v>0</v>
      </c>
      <c r="R9" s="190">
        <v>0</v>
      </c>
      <c r="S9" s="190">
        <v>0</v>
      </c>
      <c r="T9" s="190">
        <v>1.4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7.4999999999999997E-2</v>
      </c>
      <c r="G10" s="195"/>
      <c r="H10" s="195"/>
      <c r="I10" s="10">
        <v>0</v>
      </c>
      <c r="J10" s="10">
        <v>0</v>
      </c>
      <c r="K10" s="11"/>
      <c r="L10" s="190">
        <v>0</v>
      </c>
      <c r="M10" s="190">
        <v>0</v>
      </c>
      <c r="N10" s="190">
        <v>0</v>
      </c>
      <c r="O10" s="190">
        <v>1.4</v>
      </c>
      <c r="P10" s="190">
        <v>0</v>
      </c>
      <c r="Q10" s="190">
        <v>0</v>
      </c>
      <c r="R10" s="190">
        <v>0</v>
      </c>
      <c r="S10" s="190">
        <v>0</v>
      </c>
      <c r="T10" s="190">
        <v>1.4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7.4999999999999997E-2</v>
      </c>
      <c r="G11" s="195"/>
      <c r="H11" s="195"/>
      <c r="I11" s="10">
        <v>0</v>
      </c>
      <c r="J11" s="10">
        <v>0</v>
      </c>
      <c r="K11" s="11"/>
      <c r="L11" s="190">
        <v>0</v>
      </c>
      <c r="M11" s="190">
        <v>0</v>
      </c>
      <c r="N11" s="190">
        <v>0</v>
      </c>
      <c r="O11" s="190">
        <v>1.4</v>
      </c>
      <c r="P11" s="190">
        <v>0</v>
      </c>
      <c r="Q11" s="190">
        <v>0</v>
      </c>
      <c r="R11" s="190">
        <v>0</v>
      </c>
      <c r="S11" s="190">
        <v>0</v>
      </c>
      <c r="T11" s="190">
        <v>1.4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7.4999999999999997E-2</v>
      </c>
      <c r="G12" s="195"/>
      <c r="H12" s="195"/>
      <c r="I12" s="10">
        <v>0</v>
      </c>
      <c r="J12" s="10">
        <v>0</v>
      </c>
      <c r="K12" s="11"/>
      <c r="L12" s="190">
        <v>0</v>
      </c>
      <c r="M12" s="190">
        <v>0</v>
      </c>
      <c r="N12" s="190">
        <v>0</v>
      </c>
      <c r="O12" s="190">
        <v>1.4</v>
      </c>
      <c r="P12" s="190">
        <v>0</v>
      </c>
      <c r="Q12" s="190">
        <v>0</v>
      </c>
      <c r="R12" s="190">
        <v>0</v>
      </c>
      <c r="S12" s="190">
        <v>0</v>
      </c>
      <c r="T12" s="190">
        <v>1.4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7.4999999999999997E-2</v>
      </c>
      <c r="G13" s="195"/>
      <c r="H13" s="195"/>
      <c r="I13" s="10">
        <v>0</v>
      </c>
      <c r="J13" s="10">
        <v>0</v>
      </c>
      <c r="K13" s="11"/>
      <c r="L13" s="190">
        <v>0</v>
      </c>
      <c r="M13" s="190">
        <v>0</v>
      </c>
      <c r="N13" s="190">
        <v>0</v>
      </c>
      <c r="O13" s="190">
        <v>1.4</v>
      </c>
      <c r="P13" s="190">
        <v>0</v>
      </c>
      <c r="Q13" s="190">
        <v>0</v>
      </c>
      <c r="R13" s="190">
        <v>0</v>
      </c>
      <c r="S13" s="190">
        <v>0</v>
      </c>
      <c r="T13" s="190">
        <v>1.4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7.4999999999999997E-2</v>
      </c>
      <c r="G14" s="195"/>
      <c r="H14" s="195"/>
      <c r="I14" s="10">
        <v>0</v>
      </c>
      <c r="J14" s="10">
        <v>0</v>
      </c>
      <c r="K14" s="11"/>
      <c r="L14" s="190">
        <v>0</v>
      </c>
      <c r="M14" s="190">
        <v>0</v>
      </c>
      <c r="N14" s="190">
        <v>0</v>
      </c>
      <c r="O14" s="190">
        <v>1.4</v>
      </c>
      <c r="P14" s="190">
        <v>0</v>
      </c>
      <c r="Q14" s="190">
        <v>0</v>
      </c>
      <c r="R14" s="190">
        <v>0</v>
      </c>
      <c r="S14" s="190">
        <v>0</v>
      </c>
      <c r="T14" s="190">
        <v>1.4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7.4999999999999997E-2</v>
      </c>
      <c r="G15" s="195"/>
      <c r="H15" s="195"/>
      <c r="I15" s="10">
        <v>0</v>
      </c>
      <c r="J15" s="10">
        <v>0</v>
      </c>
      <c r="K15" s="11"/>
      <c r="L15" s="190">
        <v>0</v>
      </c>
      <c r="M15" s="190">
        <v>0</v>
      </c>
      <c r="N15" s="190">
        <v>0</v>
      </c>
      <c r="O15" s="190">
        <v>1.4</v>
      </c>
      <c r="P15" s="190">
        <v>0</v>
      </c>
      <c r="Q15" s="190">
        <v>0</v>
      </c>
      <c r="R15" s="190">
        <v>0</v>
      </c>
      <c r="S15" s="190">
        <v>0</v>
      </c>
      <c r="T15" s="190">
        <v>1.4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7.4999999999999997E-2</v>
      </c>
      <c r="G16" s="195"/>
      <c r="H16" s="195"/>
      <c r="I16" s="10">
        <v>0</v>
      </c>
      <c r="J16" s="10">
        <v>0</v>
      </c>
      <c r="K16" s="16"/>
      <c r="L16" s="190">
        <v>0</v>
      </c>
      <c r="M16" s="190">
        <v>0</v>
      </c>
      <c r="N16" s="190">
        <v>0</v>
      </c>
      <c r="O16" s="190">
        <v>1.4</v>
      </c>
      <c r="P16" s="190">
        <v>0</v>
      </c>
      <c r="Q16" s="190">
        <v>0</v>
      </c>
      <c r="R16" s="190">
        <v>0</v>
      </c>
      <c r="S16" s="190">
        <v>0</v>
      </c>
      <c r="T16" s="190">
        <v>1.4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7.4999999999999997E-2</v>
      </c>
      <c r="G17" s="195"/>
      <c r="H17" s="195"/>
      <c r="I17" s="10">
        <v>0</v>
      </c>
      <c r="J17" s="10">
        <v>0</v>
      </c>
      <c r="K17" s="11"/>
      <c r="L17" s="190">
        <v>0</v>
      </c>
      <c r="M17" s="190">
        <v>0</v>
      </c>
      <c r="N17" s="190">
        <v>0</v>
      </c>
      <c r="O17" s="190">
        <v>1.4</v>
      </c>
      <c r="P17" s="190">
        <v>0</v>
      </c>
      <c r="Q17" s="190">
        <v>0</v>
      </c>
      <c r="R17" s="190">
        <v>0</v>
      </c>
      <c r="S17" s="190">
        <v>0</v>
      </c>
      <c r="T17" s="190">
        <v>1.4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7.4999999999999997E-2</v>
      </c>
      <c r="G18" s="195"/>
      <c r="H18" s="195"/>
      <c r="I18" s="10">
        <v>0</v>
      </c>
      <c r="J18" s="10">
        <v>0</v>
      </c>
      <c r="K18" s="11"/>
      <c r="L18" s="190">
        <v>0</v>
      </c>
      <c r="M18" s="190">
        <v>0</v>
      </c>
      <c r="N18" s="190">
        <v>0</v>
      </c>
      <c r="O18" s="190">
        <v>1.4</v>
      </c>
      <c r="P18" s="190">
        <v>0</v>
      </c>
      <c r="Q18" s="190">
        <v>0</v>
      </c>
      <c r="R18" s="190">
        <v>0</v>
      </c>
      <c r="S18" s="190">
        <v>0</v>
      </c>
      <c r="T18" s="190">
        <v>1.4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7.4999999999999997E-2</v>
      </c>
      <c r="G19" s="195"/>
      <c r="H19" s="195"/>
      <c r="I19" s="10">
        <v>0</v>
      </c>
      <c r="J19" s="10">
        <v>0</v>
      </c>
      <c r="K19" s="11"/>
      <c r="L19" s="190">
        <v>0</v>
      </c>
      <c r="M19" s="190">
        <v>0</v>
      </c>
      <c r="N19" s="190">
        <v>0</v>
      </c>
      <c r="O19" s="190">
        <v>1.4</v>
      </c>
      <c r="P19" s="190">
        <v>0</v>
      </c>
      <c r="Q19" s="190">
        <v>0</v>
      </c>
      <c r="R19" s="190">
        <v>0</v>
      </c>
      <c r="S19" s="190">
        <v>0</v>
      </c>
      <c r="T19" s="190">
        <v>1.4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7.4999999999999997E-2</v>
      </c>
      <c r="G20" s="195"/>
      <c r="H20" s="195"/>
      <c r="I20" s="10">
        <v>0</v>
      </c>
      <c r="J20" s="10">
        <v>0</v>
      </c>
      <c r="K20" s="11"/>
      <c r="L20" s="190">
        <v>0</v>
      </c>
      <c r="M20" s="190">
        <v>0</v>
      </c>
      <c r="N20" s="190">
        <v>0</v>
      </c>
      <c r="O20" s="190">
        <v>1.4</v>
      </c>
      <c r="P20" s="190">
        <v>0</v>
      </c>
      <c r="Q20" s="190">
        <v>0</v>
      </c>
      <c r="R20" s="190">
        <v>0</v>
      </c>
      <c r="S20" s="190">
        <v>0</v>
      </c>
      <c r="T20" s="190">
        <v>1.4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7.4999999999999997E-2</v>
      </c>
      <c r="G21" s="195"/>
      <c r="H21" s="195"/>
      <c r="I21" s="10">
        <v>0</v>
      </c>
      <c r="J21" s="10">
        <v>0</v>
      </c>
      <c r="K21" s="11"/>
      <c r="L21" s="190">
        <v>0</v>
      </c>
      <c r="M21" s="190">
        <v>0</v>
      </c>
      <c r="N21" s="190">
        <v>0</v>
      </c>
      <c r="O21" s="190">
        <v>1.4</v>
      </c>
      <c r="P21" s="190">
        <v>0</v>
      </c>
      <c r="Q21" s="190">
        <v>0</v>
      </c>
      <c r="R21" s="190">
        <v>0</v>
      </c>
      <c r="S21" s="190">
        <v>0</v>
      </c>
      <c r="T21" s="190">
        <v>1.4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7.4999999999999997E-2</v>
      </c>
      <c r="G22" s="195"/>
      <c r="H22" s="195"/>
      <c r="I22" s="10">
        <v>0</v>
      </c>
      <c r="J22" s="10">
        <v>0</v>
      </c>
      <c r="K22" s="11"/>
      <c r="L22" s="190">
        <v>0</v>
      </c>
      <c r="M22" s="190">
        <v>0</v>
      </c>
      <c r="N22" s="190">
        <v>0</v>
      </c>
      <c r="O22" s="190">
        <v>1.4</v>
      </c>
      <c r="P22" s="190">
        <v>0</v>
      </c>
      <c r="Q22" s="190">
        <v>0</v>
      </c>
      <c r="R22" s="190">
        <v>0</v>
      </c>
      <c r="S22" s="190">
        <v>0</v>
      </c>
      <c r="T22" s="190">
        <v>1.4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7.4999999999999997E-2</v>
      </c>
      <c r="G23" s="195"/>
      <c r="H23" s="195"/>
      <c r="I23" s="10">
        <v>0</v>
      </c>
      <c r="J23" s="10">
        <v>0</v>
      </c>
      <c r="K23" s="11"/>
      <c r="L23" s="190">
        <v>0</v>
      </c>
      <c r="M23" s="190">
        <v>0</v>
      </c>
      <c r="N23" s="190">
        <v>0</v>
      </c>
      <c r="O23" s="190">
        <v>1.4</v>
      </c>
      <c r="P23" s="190">
        <v>0</v>
      </c>
      <c r="Q23" s="190">
        <v>0</v>
      </c>
      <c r="R23" s="190">
        <v>0</v>
      </c>
      <c r="S23" s="190">
        <v>0</v>
      </c>
      <c r="T23" s="190">
        <v>1.4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7.4999999999999997E-2</v>
      </c>
      <c r="G24" s="195"/>
      <c r="H24" s="195"/>
      <c r="I24" s="10">
        <v>0</v>
      </c>
      <c r="J24" s="10">
        <v>0</v>
      </c>
      <c r="K24" s="11"/>
      <c r="L24" s="190">
        <v>0</v>
      </c>
      <c r="M24" s="190">
        <v>0</v>
      </c>
      <c r="N24" s="190">
        <v>0</v>
      </c>
      <c r="O24" s="190">
        <v>1.4</v>
      </c>
      <c r="P24" s="190">
        <v>0</v>
      </c>
      <c r="Q24" s="190">
        <v>0</v>
      </c>
      <c r="R24" s="190">
        <v>0</v>
      </c>
      <c r="S24" s="190">
        <v>0</v>
      </c>
      <c r="T24" s="190">
        <v>1.4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7.4999999999999997E-2</v>
      </c>
      <c r="G25" s="195"/>
      <c r="H25" s="195"/>
      <c r="I25" s="10">
        <v>0</v>
      </c>
      <c r="J25" s="10">
        <v>0</v>
      </c>
      <c r="K25" s="11"/>
      <c r="L25" s="190">
        <v>0</v>
      </c>
      <c r="M25" s="190">
        <v>0</v>
      </c>
      <c r="N25" s="190">
        <v>0</v>
      </c>
      <c r="O25" s="190">
        <v>1.4</v>
      </c>
      <c r="P25" s="190">
        <v>0</v>
      </c>
      <c r="Q25" s="190">
        <v>0</v>
      </c>
      <c r="R25" s="190">
        <v>0</v>
      </c>
      <c r="S25" s="190">
        <v>0</v>
      </c>
      <c r="T25" s="190">
        <v>1.4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7.4999999999999997E-2</v>
      </c>
      <c r="G26" s="195"/>
      <c r="H26" s="195"/>
      <c r="I26" s="10">
        <v>0</v>
      </c>
      <c r="J26" s="10">
        <v>0</v>
      </c>
      <c r="K26" s="11"/>
      <c r="L26" s="190">
        <v>0</v>
      </c>
      <c r="M26" s="190">
        <v>0</v>
      </c>
      <c r="N26" s="190">
        <v>0</v>
      </c>
      <c r="O26" s="190">
        <v>1.4</v>
      </c>
      <c r="P26" s="190">
        <v>0</v>
      </c>
      <c r="Q26" s="190">
        <v>0</v>
      </c>
      <c r="R26" s="190">
        <v>0</v>
      </c>
      <c r="S26" s="190">
        <v>0</v>
      </c>
      <c r="T26" s="190">
        <v>1.4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7.4999999999999997E-2</v>
      </c>
      <c r="G27" s="195"/>
      <c r="H27" s="195"/>
      <c r="I27" s="10">
        <v>0</v>
      </c>
      <c r="J27" s="10">
        <v>0</v>
      </c>
      <c r="K27" s="11"/>
      <c r="L27" s="190">
        <v>0</v>
      </c>
      <c r="M27" s="190">
        <v>0</v>
      </c>
      <c r="N27" s="190">
        <v>0</v>
      </c>
      <c r="O27" s="190">
        <v>1.4</v>
      </c>
      <c r="P27" s="190">
        <v>0</v>
      </c>
      <c r="Q27" s="190">
        <v>0</v>
      </c>
      <c r="R27" s="190">
        <v>0</v>
      </c>
      <c r="S27" s="190">
        <v>0</v>
      </c>
      <c r="T27" s="190">
        <v>1.4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7.4999999999999997E-2</v>
      </c>
      <c r="G28" s="195"/>
      <c r="H28" s="195"/>
      <c r="I28" s="10">
        <v>0</v>
      </c>
      <c r="J28" s="10">
        <v>0</v>
      </c>
      <c r="K28" s="11"/>
      <c r="L28" s="190">
        <v>0</v>
      </c>
      <c r="M28" s="190">
        <v>0</v>
      </c>
      <c r="N28" s="190">
        <v>0</v>
      </c>
      <c r="O28" s="190">
        <v>1.4</v>
      </c>
      <c r="P28" s="190">
        <v>0</v>
      </c>
      <c r="Q28" s="190">
        <v>0</v>
      </c>
      <c r="R28" s="190">
        <v>0</v>
      </c>
      <c r="S28" s="190">
        <v>0</v>
      </c>
      <c r="T28" s="190">
        <v>1.4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7.4999999999999997E-2</v>
      </c>
      <c r="G29" s="195"/>
      <c r="H29" s="195"/>
      <c r="I29" s="10">
        <v>0</v>
      </c>
      <c r="J29" s="10">
        <v>0</v>
      </c>
      <c r="K29" s="11"/>
      <c r="L29" s="190">
        <v>0</v>
      </c>
      <c r="M29" s="190">
        <v>0</v>
      </c>
      <c r="N29" s="190">
        <v>0</v>
      </c>
      <c r="O29" s="190">
        <v>1.4</v>
      </c>
      <c r="P29" s="190">
        <v>0</v>
      </c>
      <c r="Q29" s="190">
        <v>0</v>
      </c>
      <c r="R29" s="190">
        <v>0</v>
      </c>
      <c r="S29" s="190">
        <v>0</v>
      </c>
      <c r="T29" s="190">
        <v>1.4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7.4999999999999997E-2</v>
      </c>
      <c r="G30" s="195"/>
      <c r="H30" s="195"/>
      <c r="I30" s="10">
        <v>0</v>
      </c>
      <c r="J30" s="10">
        <v>0</v>
      </c>
      <c r="K30" s="11"/>
      <c r="L30" s="190">
        <v>0</v>
      </c>
      <c r="M30" s="190">
        <v>0</v>
      </c>
      <c r="N30" s="190">
        <v>0</v>
      </c>
      <c r="O30" s="190">
        <v>1.4</v>
      </c>
      <c r="P30" s="190">
        <v>0</v>
      </c>
      <c r="Q30" s="190">
        <v>0</v>
      </c>
      <c r="R30" s="190">
        <v>0</v>
      </c>
      <c r="S30" s="190">
        <v>0</v>
      </c>
      <c r="T30" s="190">
        <v>1.4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7.4999999999999997E-2</v>
      </c>
      <c r="G31" s="195"/>
      <c r="H31" s="195"/>
      <c r="I31" s="10">
        <v>0</v>
      </c>
      <c r="J31" s="10">
        <v>0</v>
      </c>
      <c r="K31" s="11"/>
      <c r="L31" s="190">
        <v>0</v>
      </c>
      <c r="M31" s="190">
        <v>0</v>
      </c>
      <c r="N31" s="190">
        <v>0</v>
      </c>
      <c r="O31" s="190">
        <v>1.4</v>
      </c>
      <c r="P31" s="190">
        <v>0</v>
      </c>
      <c r="Q31" s="190">
        <v>0</v>
      </c>
      <c r="R31" s="190">
        <v>0</v>
      </c>
      <c r="S31" s="190">
        <v>0</v>
      </c>
      <c r="T31" s="190">
        <v>1.4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7.4999999999999997E-2</v>
      </c>
      <c r="G32" s="195"/>
      <c r="H32" s="195"/>
      <c r="I32" s="10">
        <v>0</v>
      </c>
      <c r="J32" s="10">
        <v>0</v>
      </c>
      <c r="K32" s="11"/>
      <c r="L32" s="190">
        <v>0</v>
      </c>
      <c r="M32" s="190">
        <v>0</v>
      </c>
      <c r="N32" s="190">
        <v>0</v>
      </c>
      <c r="O32" s="190">
        <v>1.4</v>
      </c>
      <c r="P32" s="190">
        <v>0</v>
      </c>
      <c r="Q32" s="190">
        <v>0</v>
      </c>
      <c r="R32" s="190">
        <v>0</v>
      </c>
      <c r="S32" s="190">
        <v>0</v>
      </c>
      <c r="T32" s="190">
        <v>1.4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7.4999999999999997E-2</v>
      </c>
      <c r="G33" s="195"/>
      <c r="H33" s="195"/>
      <c r="I33" s="10">
        <v>0</v>
      </c>
      <c r="J33" s="10">
        <v>0</v>
      </c>
      <c r="K33" s="11"/>
      <c r="L33" s="190">
        <v>0</v>
      </c>
      <c r="M33" s="190">
        <v>0</v>
      </c>
      <c r="N33" s="190">
        <v>0</v>
      </c>
      <c r="O33" s="190">
        <v>1.4</v>
      </c>
      <c r="P33" s="190">
        <v>0</v>
      </c>
      <c r="Q33" s="190">
        <v>0</v>
      </c>
      <c r="R33" s="190">
        <v>0</v>
      </c>
      <c r="S33" s="190">
        <v>0</v>
      </c>
      <c r="T33" s="190">
        <v>1.4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7.4999999999999997E-2</v>
      </c>
      <c r="G34" s="195"/>
      <c r="H34" s="195"/>
      <c r="I34" s="10">
        <v>0</v>
      </c>
      <c r="J34" s="10">
        <v>0</v>
      </c>
      <c r="K34" s="11"/>
      <c r="L34" s="190">
        <v>0</v>
      </c>
      <c r="M34" s="190">
        <v>0</v>
      </c>
      <c r="N34" s="190">
        <v>0</v>
      </c>
      <c r="O34" s="190">
        <v>1.4</v>
      </c>
      <c r="P34" s="190">
        <v>0</v>
      </c>
      <c r="Q34" s="190">
        <v>0</v>
      </c>
      <c r="R34" s="190">
        <v>0</v>
      </c>
      <c r="S34" s="190">
        <v>0</v>
      </c>
      <c r="T34" s="190">
        <v>1.4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/>
      <c r="H35" s="195"/>
      <c r="I35" s="10">
        <v>0</v>
      </c>
      <c r="J35" s="10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</v>
      </c>
      <c r="F36" s="18">
        <v>2.25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1">
        <v>0</v>
      </c>
      <c r="M36" s="191">
        <v>0</v>
      </c>
      <c r="N36" s="191">
        <v>0</v>
      </c>
      <c r="O36" s="191">
        <v>42.08</v>
      </c>
      <c r="P36" s="191">
        <v>0</v>
      </c>
      <c r="Q36" s="191">
        <v>0</v>
      </c>
      <c r="R36" s="191">
        <v>0</v>
      </c>
      <c r="S36" s="191">
        <v>0</v>
      </c>
      <c r="T36" s="191">
        <v>42.08</v>
      </c>
    </row>
    <row r="37" spans="1:20">
      <c r="R37" s="21"/>
      <c r="S37" s="21"/>
      <c r="T37" s="192">
        <v>50.49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056E-1B96-4112-BAF0-F2B404433DF1}">
  <sheetPr>
    <pageSetUpPr fitToPage="1"/>
  </sheetPr>
  <dimension ref="A1:T37"/>
  <sheetViews>
    <sheetView topLeftCell="A10" workbookViewId="0">
      <selection activeCell="G31" sqref="G31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267</v>
      </c>
      <c r="H3" s="269" t="s">
        <v>268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206.11</v>
      </c>
      <c r="G5" s="195">
        <v>0</v>
      </c>
      <c r="H5" s="195">
        <v>0</v>
      </c>
      <c r="I5" s="10">
        <v>0</v>
      </c>
      <c r="J5" s="10">
        <v>0</v>
      </c>
      <c r="K5" s="11">
        <v>0</v>
      </c>
      <c r="L5" s="190">
        <v>0</v>
      </c>
      <c r="M5" s="190">
        <v>0</v>
      </c>
      <c r="N5" s="190">
        <v>0</v>
      </c>
      <c r="O5" s="190">
        <v>2926.76</v>
      </c>
      <c r="P5" s="190">
        <v>0</v>
      </c>
      <c r="Q5" s="190">
        <v>0</v>
      </c>
      <c r="R5" s="190">
        <v>0</v>
      </c>
      <c r="S5" s="190">
        <v>0</v>
      </c>
      <c r="T5" s="190">
        <v>2926.76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206.11</v>
      </c>
      <c r="G6" s="195">
        <v>0</v>
      </c>
      <c r="H6" s="195">
        <v>0</v>
      </c>
      <c r="I6" s="10">
        <v>0</v>
      </c>
      <c r="J6" s="10">
        <v>0</v>
      </c>
      <c r="K6" s="11">
        <v>0</v>
      </c>
      <c r="L6" s="190">
        <v>0</v>
      </c>
      <c r="M6" s="190">
        <v>0</v>
      </c>
      <c r="N6" s="190">
        <v>0</v>
      </c>
      <c r="O6" s="190">
        <v>2926.76</v>
      </c>
      <c r="P6" s="190">
        <v>0</v>
      </c>
      <c r="Q6" s="190">
        <v>0</v>
      </c>
      <c r="R6" s="190">
        <v>0</v>
      </c>
      <c r="S6" s="190">
        <v>0</v>
      </c>
      <c r="T6" s="190">
        <v>2926.76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206.11</v>
      </c>
      <c r="G7" s="195">
        <v>0</v>
      </c>
      <c r="H7" s="195">
        <v>0</v>
      </c>
      <c r="I7" s="10">
        <v>0</v>
      </c>
      <c r="J7" s="10">
        <v>0</v>
      </c>
      <c r="K7" s="11">
        <v>0</v>
      </c>
      <c r="L7" s="190">
        <v>0</v>
      </c>
      <c r="M7" s="190">
        <v>0</v>
      </c>
      <c r="N7" s="190">
        <v>0</v>
      </c>
      <c r="O7" s="190">
        <v>2926.76</v>
      </c>
      <c r="P7" s="190">
        <v>0</v>
      </c>
      <c r="Q7" s="190">
        <v>0</v>
      </c>
      <c r="R7" s="190">
        <v>0</v>
      </c>
      <c r="S7" s="190">
        <v>0</v>
      </c>
      <c r="T7" s="190">
        <v>2926.76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206.11</v>
      </c>
      <c r="G8" s="195">
        <v>0</v>
      </c>
      <c r="H8" s="195">
        <v>0</v>
      </c>
      <c r="I8" s="10">
        <v>0</v>
      </c>
      <c r="J8" s="10">
        <v>0</v>
      </c>
      <c r="K8" s="11">
        <v>0</v>
      </c>
      <c r="L8" s="190">
        <v>0</v>
      </c>
      <c r="M8" s="190">
        <v>0</v>
      </c>
      <c r="N8" s="190">
        <v>0</v>
      </c>
      <c r="O8" s="190">
        <v>2926.76</v>
      </c>
      <c r="P8" s="190">
        <v>0</v>
      </c>
      <c r="Q8" s="190">
        <v>0</v>
      </c>
      <c r="R8" s="190">
        <v>0</v>
      </c>
      <c r="S8" s="190">
        <v>0</v>
      </c>
      <c r="T8" s="190">
        <v>2926.76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206.11</v>
      </c>
      <c r="G9" s="195">
        <v>0</v>
      </c>
      <c r="H9" s="195">
        <v>0</v>
      </c>
      <c r="I9" s="10">
        <v>0</v>
      </c>
      <c r="J9" s="10">
        <v>0</v>
      </c>
      <c r="K9" s="11">
        <v>0</v>
      </c>
      <c r="L9" s="190">
        <v>0</v>
      </c>
      <c r="M9" s="190">
        <v>0</v>
      </c>
      <c r="N9" s="190">
        <v>0</v>
      </c>
      <c r="O9" s="190">
        <v>2926.76</v>
      </c>
      <c r="P9" s="190">
        <v>0</v>
      </c>
      <c r="Q9" s="190">
        <v>0</v>
      </c>
      <c r="R9" s="190">
        <v>0</v>
      </c>
      <c r="S9" s="190">
        <v>0</v>
      </c>
      <c r="T9" s="190">
        <v>2926.76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206.11</v>
      </c>
      <c r="G10" s="195">
        <v>0</v>
      </c>
      <c r="H10" s="195">
        <v>0</v>
      </c>
      <c r="I10" s="10">
        <v>0</v>
      </c>
      <c r="J10" s="10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2926.76</v>
      </c>
      <c r="P10" s="190">
        <v>0</v>
      </c>
      <c r="Q10" s="190">
        <v>0</v>
      </c>
      <c r="R10" s="190">
        <v>0</v>
      </c>
      <c r="S10" s="190">
        <v>0</v>
      </c>
      <c r="T10" s="190">
        <v>2926.76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206.11</v>
      </c>
      <c r="G11" s="195">
        <v>0</v>
      </c>
      <c r="H11" s="195">
        <v>0</v>
      </c>
      <c r="I11" s="10">
        <v>0</v>
      </c>
      <c r="J11" s="10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2926.76</v>
      </c>
      <c r="P11" s="190">
        <v>0</v>
      </c>
      <c r="Q11" s="190">
        <v>0</v>
      </c>
      <c r="R11" s="190">
        <v>0</v>
      </c>
      <c r="S11" s="190">
        <v>0</v>
      </c>
      <c r="T11" s="190">
        <v>2926.76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22</v>
      </c>
      <c r="F12" s="194">
        <v>184.11</v>
      </c>
      <c r="G12" s="195">
        <v>0</v>
      </c>
      <c r="H12" s="195">
        <v>0</v>
      </c>
      <c r="I12" s="10">
        <v>0</v>
      </c>
      <c r="J12" s="10">
        <v>0</v>
      </c>
      <c r="K12" s="11">
        <v>0</v>
      </c>
      <c r="L12" s="190">
        <v>0</v>
      </c>
      <c r="M12" s="190">
        <v>0</v>
      </c>
      <c r="N12" s="190">
        <v>2420</v>
      </c>
      <c r="O12" s="190">
        <v>2614.36</v>
      </c>
      <c r="P12" s="190">
        <v>0</v>
      </c>
      <c r="Q12" s="190">
        <v>0</v>
      </c>
      <c r="R12" s="190">
        <v>0</v>
      </c>
      <c r="S12" s="190">
        <v>0</v>
      </c>
      <c r="T12" s="190">
        <v>5034.3599999999997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184.11</v>
      </c>
      <c r="G13" s="195">
        <v>0</v>
      </c>
      <c r="H13" s="195">
        <v>0</v>
      </c>
      <c r="I13" s="10">
        <v>0</v>
      </c>
      <c r="J13" s="10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2614.36</v>
      </c>
      <c r="P13" s="190">
        <v>0</v>
      </c>
      <c r="Q13" s="190">
        <v>0</v>
      </c>
      <c r="R13" s="190">
        <v>0</v>
      </c>
      <c r="S13" s="190">
        <v>0</v>
      </c>
      <c r="T13" s="190">
        <v>2614.36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184.11</v>
      </c>
      <c r="G14" s="195">
        <v>0</v>
      </c>
      <c r="H14" s="195">
        <v>0</v>
      </c>
      <c r="I14" s="10">
        <v>0</v>
      </c>
      <c r="J14" s="10">
        <v>0</v>
      </c>
      <c r="K14" s="11">
        <v>0</v>
      </c>
      <c r="L14" s="190">
        <v>0</v>
      </c>
      <c r="M14" s="190">
        <v>0</v>
      </c>
      <c r="N14" s="190">
        <v>0</v>
      </c>
      <c r="O14" s="190">
        <v>2614.36</v>
      </c>
      <c r="P14" s="190">
        <v>0</v>
      </c>
      <c r="Q14" s="190">
        <v>0</v>
      </c>
      <c r="R14" s="190">
        <v>0</v>
      </c>
      <c r="S14" s="190">
        <v>0</v>
      </c>
      <c r="T14" s="190">
        <v>2614.36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184.11</v>
      </c>
      <c r="G15" s="195">
        <v>0</v>
      </c>
      <c r="H15" s="195">
        <v>0</v>
      </c>
      <c r="I15" s="10">
        <v>0</v>
      </c>
      <c r="J15" s="10">
        <v>0</v>
      </c>
      <c r="K15" s="11">
        <v>0</v>
      </c>
      <c r="L15" s="190">
        <v>0</v>
      </c>
      <c r="M15" s="190">
        <v>0</v>
      </c>
      <c r="N15" s="190">
        <v>0</v>
      </c>
      <c r="O15" s="190">
        <v>2614.36</v>
      </c>
      <c r="P15" s="190">
        <v>0</v>
      </c>
      <c r="Q15" s="190">
        <v>0</v>
      </c>
      <c r="R15" s="190">
        <v>0</v>
      </c>
      <c r="S15" s="190">
        <v>0</v>
      </c>
      <c r="T15" s="190">
        <v>2614.36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184.11</v>
      </c>
      <c r="G16" s="195">
        <v>0</v>
      </c>
      <c r="H16" s="195">
        <v>0</v>
      </c>
      <c r="I16" s="10">
        <v>0</v>
      </c>
      <c r="J16" s="10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2614.36</v>
      </c>
      <c r="P16" s="190">
        <v>0</v>
      </c>
      <c r="Q16" s="190">
        <v>0</v>
      </c>
      <c r="R16" s="190">
        <v>0</v>
      </c>
      <c r="S16" s="190">
        <v>0</v>
      </c>
      <c r="T16" s="190">
        <v>2614.36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19.25</v>
      </c>
      <c r="F17" s="194">
        <v>164.86</v>
      </c>
      <c r="G17" s="195">
        <v>0</v>
      </c>
      <c r="H17" s="195">
        <v>0</v>
      </c>
      <c r="I17" s="10">
        <v>0</v>
      </c>
      <c r="J17" s="10">
        <v>0</v>
      </c>
      <c r="K17" s="11">
        <v>0</v>
      </c>
      <c r="L17" s="190">
        <v>0</v>
      </c>
      <c r="M17" s="190">
        <v>0</v>
      </c>
      <c r="N17" s="190">
        <v>2117.5</v>
      </c>
      <c r="O17" s="190">
        <v>2341.0100000000002</v>
      </c>
      <c r="P17" s="190">
        <v>0</v>
      </c>
      <c r="Q17" s="190">
        <v>0</v>
      </c>
      <c r="R17" s="190">
        <v>0</v>
      </c>
      <c r="S17" s="190">
        <v>0</v>
      </c>
      <c r="T17" s="190">
        <v>4458.51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164.86</v>
      </c>
      <c r="G18" s="195">
        <v>0</v>
      </c>
      <c r="H18" s="195">
        <v>0</v>
      </c>
      <c r="I18" s="10">
        <v>0</v>
      </c>
      <c r="J18" s="10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2341.0100000000002</v>
      </c>
      <c r="P18" s="190">
        <v>0</v>
      </c>
      <c r="Q18" s="190">
        <v>0</v>
      </c>
      <c r="R18" s="190">
        <v>0</v>
      </c>
      <c r="S18" s="190">
        <v>0</v>
      </c>
      <c r="T18" s="190">
        <v>2341.0100000000002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164.86</v>
      </c>
      <c r="G19" s="195">
        <v>0</v>
      </c>
      <c r="H19" s="195">
        <v>0</v>
      </c>
      <c r="I19" s="10">
        <v>0</v>
      </c>
      <c r="J19" s="10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2341.0100000000002</v>
      </c>
      <c r="P19" s="190">
        <v>0</v>
      </c>
      <c r="Q19" s="190">
        <v>0</v>
      </c>
      <c r="R19" s="190">
        <v>0</v>
      </c>
      <c r="S19" s="190">
        <v>0</v>
      </c>
      <c r="T19" s="190">
        <v>2341.0100000000002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164.86</v>
      </c>
      <c r="G20" s="195">
        <v>0</v>
      </c>
      <c r="H20" s="195">
        <v>0</v>
      </c>
      <c r="I20" s="10">
        <v>0</v>
      </c>
      <c r="J20" s="10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2341.0100000000002</v>
      </c>
      <c r="P20" s="190">
        <v>0</v>
      </c>
      <c r="Q20" s="190">
        <v>0</v>
      </c>
      <c r="R20" s="190">
        <v>0</v>
      </c>
      <c r="S20" s="190">
        <v>0</v>
      </c>
      <c r="T20" s="190">
        <v>2341.0100000000002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164.86</v>
      </c>
      <c r="G21" s="195">
        <v>0</v>
      </c>
      <c r="H21" s="195">
        <v>0</v>
      </c>
      <c r="I21" s="10">
        <v>0</v>
      </c>
      <c r="J21" s="10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2341.0100000000002</v>
      </c>
      <c r="P21" s="190">
        <v>0</v>
      </c>
      <c r="Q21" s="190">
        <v>0</v>
      </c>
      <c r="R21" s="190">
        <v>0</v>
      </c>
      <c r="S21" s="190">
        <v>0</v>
      </c>
      <c r="T21" s="190">
        <v>2341.0100000000002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164.86</v>
      </c>
      <c r="G22" s="195">
        <v>0</v>
      </c>
      <c r="H22" s="195">
        <v>0</v>
      </c>
      <c r="I22" s="10">
        <v>0</v>
      </c>
      <c r="J22" s="10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2341.0100000000002</v>
      </c>
      <c r="P22" s="190">
        <v>0</v>
      </c>
      <c r="Q22" s="190">
        <v>0</v>
      </c>
      <c r="R22" s="190">
        <v>0</v>
      </c>
      <c r="S22" s="190">
        <v>0</v>
      </c>
      <c r="T22" s="190">
        <v>2341.0100000000002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164.86</v>
      </c>
      <c r="G23" s="195">
        <v>0</v>
      </c>
      <c r="H23" s="195">
        <v>0</v>
      </c>
      <c r="I23" s="10">
        <v>0</v>
      </c>
      <c r="J23" s="10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2341.0100000000002</v>
      </c>
      <c r="P23" s="190">
        <v>0</v>
      </c>
      <c r="Q23" s="190">
        <v>0</v>
      </c>
      <c r="R23" s="190">
        <v>0</v>
      </c>
      <c r="S23" s="190">
        <v>0</v>
      </c>
      <c r="T23" s="190">
        <v>2341.0100000000002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164.86</v>
      </c>
      <c r="G24" s="195">
        <v>0</v>
      </c>
      <c r="H24" s="195">
        <v>0</v>
      </c>
      <c r="I24" s="10">
        <v>0</v>
      </c>
      <c r="J24" s="10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2341.0100000000002</v>
      </c>
      <c r="P24" s="190">
        <v>0</v>
      </c>
      <c r="Q24" s="190">
        <v>0</v>
      </c>
      <c r="R24" s="190">
        <v>0</v>
      </c>
      <c r="S24" s="190">
        <v>0</v>
      </c>
      <c r="T24" s="190">
        <v>2341.0100000000002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164.86</v>
      </c>
      <c r="G25" s="195">
        <v>0</v>
      </c>
      <c r="H25" s="195">
        <v>0</v>
      </c>
      <c r="I25" s="10">
        <v>0</v>
      </c>
      <c r="J25" s="10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2341.0100000000002</v>
      </c>
      <c r="P25" s="190">
        <v>0</v>
      </c>
      <c r="Q25" s="190">
        <v>0</v>
      </c>
      <c r="R25" s="190">
        <v>0</v>
      </c>
      <c r="S25" s="190">
        <v>0</v>
      </c>
      <c r="T25" s="190">
        <v>2341.0100000000002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22</v>
      </c>
      <c r="F26" s="194">
        <v>142.86000000000001</v>
      </c>
      <c r="G26" s="195">
        <v>0</v>
      </c>
      <c r="H26" s="195">
        <v>0</v>
      </c>
      <c r="I26" s="10">
        <v>0</v>
      </c>
      <c r="J26" s="10">
        <v>0</v>
      </c>
      <c r="K26" s="11">
        <v>0</v>
      </c>
      <c r="L26" s="190">
        <v>0</v>
      </c>
      <c r="M26" s="190">
        <v>0</v>
      </c>
      <c r="N26" s="190">
        <v>2420</v>
      </c>
      <c r="O26" s="190">
        <v>2028.61</v>
      </c>
      <c r="P26" s="190">
        <v>0</v>
      </c>
      <c r="Q26" s="190">
        <v>0</v>
      </c>
      <c r="R26" s="190">
        <v>0</v>
      </c>
      <c r="S26" s="190">
        <v>0</v>
      </c>
      <c r="T26" s="190">
        <v>4448.6099999999997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142.86000000000001</v>
      </c>
      <c r="G27" s="195">
        <v>0</v>
      </c>
      <c r="H27" s="195">
        <v>0</v>
      </c>
      <c r="I27" s="10">
        <v>0</v>
      </c>
      <c r="J27" s="10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2028.61</v>
      </c>
      <c r="P27" s="190">
        <v>0</v>
      </c>
      <c r="Q27" s="190">
        <v>0</v>
      </c>
      <c r="R27" s="190">
        <v>0</v>
      </c>
      <c r="S27" s="190">
        <v>0</v>
      </c>
      <c r="T27" s="190">
        <v>2028.61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142.86000000000001</v>
      </c>
      <c r="G28" s="195">
        <v>0</v>
      </c>
      <c r="H28" s="195">
        <v>0</v>
      </c>
      <c r="I28" s="10">
        <v>0</v>
      </c>
      <c r="J28" s="10">
        <v>0</v>
      </c>
      <c r="K28" s="11">
        <v>0</v>
      </c>
      <c r="L28" s="190">
        <v>0</v>
      </c>
      <c r="M28" s="190">
        <v>0</v>
      </c>
      <c r="N28" s="190">
        <v>0</v>
      </c>
      <c r="O28" s="190">
        <v>2028.61</v>
      </c>
      <c r="P28" s="190">
        <v>0</v>
      </c>
      <c r="Q28" s="190">
        <v>0</v>
      </c>
      <c r="R28" s="190">
        <v>0</v>
      </c>
      <c r="S28" s="190">
        <v>0</v>
      </c>
      <c r="T28" s="190">
        <v>2028.61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142.86000000000001</v>
      </c>
      <c r="G29" s="195">
        <v>0</v>
      </c>
      <c r="H29" s="195">
        <v>0</v>
      </c>
      <c r="I29" s="10">
        <v>0</v>
      </c>
      <c r="J29" s="10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2028.61</v>
      </c>
      <c r="P29" s="190">
        <v>0</v>
      </c>
      <c r="Q29" s="190">
        <v>0</v>
      </c>
      <c r="R29" s="190">
        <v>0</v>
      </c>
      <c r="S29" s="190">
        <v>0</v>
      </c>
      <c r="T29" s="190">
        <v>2028.61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142.86000000000001</v>
      </c>
      <c r="G30" s="195">
        <v>0</v>
      </c>
      <c r="H30" s="195">
        <v>0</v>
      </c>
      <c r="I30" s="10">
        <v>0</v>
      </c>
      <c r="J30" s="10">
        <v>0</v>
      </c>
      <c r="K30" s="11">
        <v>0</v>
      </c>
      <c r="L30" s="190">
        <v>0</v>
      </c>
      <c r="M30" s="190">
        <v>0</v>
      </c>
      <c r="N30" s="190">
        <v>0</v>
      </c>
      <c r="O30" s="190">
        <v>2028.61</v>
      </c>
      <c r="P30" s="190">
        <v>0</v>
      </c>
      <c r="Q30" s="190">
        <v>0</v>
      </c>
      <c r="R30" s="190">
        <v>0</v>
      </c>
      <c r="S30" s="190">
        <v>0</v>
      </c>
      <c r="T30" s="190">
        <v>2028.61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142.86000000000001</v>
      </c>
      <c r="G31" s="195">
        <v>0</v>
      </c>
      <c r="H31" s="195">
        <v>0</v>
      </c>
      <c r="I31" s="10">
        <v>0</v>
      </c>
      <c r="J31" s="10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2028.61</v>
      </c>
      <c r="P31" s="190">
        <v>0</v>
      </c>
      <c r="Q31" s="190">
        <v>0</v>
      </c>
      <c r="R31" s="190">
        <v>0</v>
      </c>
      <c r="S31" s="190">
        <v>0</v>
      </c>
      <c r="T31" s="190">
        <v>2028.61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142.86000000000001</v>
      </c>
      <c r="G32" s="195">
        <v>0</v>
      </c>
      <c r="H32" s="195">
        <v>0</v>
      </c>
      <c r="I32" s="10">
        <v>0</v>
      </c>
      <c r="J32" s="10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2028.61</v>
      </c>
      <c r="P32" s="190">
        <v>0</v>
      </c>
      <c r="Q32" s="190">
        <v>0</v>
      </c>
      <c r="R32" s="190">
        <v>0</v>
      </c>
      <c r="S32" s="190">
        <v>0</v>
      </c>
      <c r="T32" s="190">
        <v>2028.61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142.86000000000001</v>
      </c>
      <c r="G33" s="195">
        <v>0</v>
      </c>
      <c r="H33" s="195">
        <v>0</v>
      </c>
      <c r="I33" s="10">
        <v>0</v>
      </c>
      <c r="J33" s="10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2028.61</v>
      </c>
      <c r="P33" s="190">
        <v>0</v>
      </c>
      <c r="Q33" s="190">
        <v>0</v>
      </c>
      <c r="R33" s="190">
        <v>0</v>
      </c>
      <c r="S33" s="190">
        <v>0</v>
      </c>
      <c r="T33" s="190">
        <v>2028.61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142.86000000000001</v>
      </c>
      <c r="G34" s="195">
        <v>0</v>
      </c>
      <c r="H34" s="195">
        <v>0</v>
      </c>
      <c r="I34" s="10">
        <v>0</v>
      </c>
      <c r="J34" s="10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2028.61</v>
      </c>
      <c r="P34" s="190">
        <v>0</v>
      </c>
      <c r="Q34" s="190">
        <v>0</v>
      </c>
      <c r="R34" s="190">
        <v>0</v>
      </c>
      <c r="S34" s="190">
        <v>0</v>
      </c>
      <c r="T34" s="190">
        <v>2028.61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63.25</v>
      </c>
      <c r="F36" s="18">
        <v>5132.8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1">
        <v>0</v>
      </c>
      <c r="M36" s="191">
        <v>0</v>
      </c>
      <c r="N36" s="191">
        <v>6957.5</v>
      </c>
      <c r="O36" s="191">
        <v>72885.759999999995</v>
      </c>
      <c r="P36" s="191">
        <v>0</v>
      </c>
      <c r="Q36" s="191">
        <v>0</v>
      </c>
      <c r="R36" s="191">
        <v>0</v>
      </c>
      <c r="S36" s="191">
        <v>0</v>
      </c>
      <c r="T36" s="191">
        <v>79843.259999999995</v>
      </c>
    </row>
    <row r="37" spans="1:20">
      <c r="R37" s="21"/>
      <c r="S37" s="21"/>
      <c r="T37" s="192">
        <v>95811.91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3E2-2644-4A56-9B11-67C61D8A0DC8}">
  <sheetPr>
    <pageSetUpPr fitToPage="1"/>
  </sheetPr>
  <dimension ref="A1:T37"/>
  <sheetViews>
    <sheetView topLeftCell="A10" workbookViewId="0">
      <selection activeCell="G31" sqref="G31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267</v>
      </c>
      <c r="H3" s="269" t="s">
        <v>268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22</v>
      </c>
      <c r="F5" s="194">
        <v>9844.1640000000007</v>
      </c>
      <c r="G5" s="195">
        <v>2155.8359999999993</v>
      </c>
      <c r="H5" s="195">
        <v>1378</v>
      </c>
      <c r="I5" s="10">
        <v>0</v>
      </c>
      <c r="J5" s="10">
        <v>0</v>
      </c>
      <c r="K5" s="11">
        <v>0</v>
      </c>
      <c r="L5" s="190">
        <v>0</v>
      </c>
      <c r="M5" s="190">
        <v>0</v>
      </c>
      <c r="N5" s="190">
        <v>2420</v>
      </c>
      <c r="O5" s="190">
        <v>139787.13</v>
      </c>
      <c r="P5" s="190">
        <v>30612.87</v>
      </c>
      <c r="Q5" s="190">
        <v>151580</v>
      </c>
      <c r="R5" s="190">
        <v>0</v>
      </c>
      <c r="S5" s="190">
        <v>0</v>
      </c>
      <c r="T5" s="190">
        <v>324400</v>
      </c>
    </row>
    <row r="6" spans="1:20">
      <c r="A6" s="13">
        <v>2</v>
      </c>
      <c r="B6" s="196" t="s">
        <v>207</v>
      </c>
      <c r="C6" s="197"/>
      <c r="D6" s="194">
        <v>22</v>
      </c>
      <c r="E6" s="194">
        <v>22</v>
      </c>
      <c r="F6" s="194">
        <v>9844.1640000000007</v>
      </c>
      <c r="G6" s="195">
        <v>2155.8359999999993</v>
      </c>
      <c r="H6" s="195">
        <v>1356</v>
      </c>
      <c r="I6" s="10">
        <v>0</v>
      </c>
      <c r="J6" s="10">
        <v>0</v>
      </c>
      <c r="K6" s="11">
        <v>0</v>
      </c>
      <c r="L6" s="190">
        <v>0</v>
      </c>
      <c r="M6" s="190">
        <v>2420</v>
      </c>
      <c r="N6" s="190">
        <v>2420</v>
      </c>
      <c r="O6" s="190">
        <v>139787.13</v>
      </c>
      <c r="P6" s="190">
        <v>30612.87</v>
      </c>
      <c r="Q6" s="190">
        <v>149160</v>
      </c>
      <c r="R6" s="190">
        <v>0</v>
      </c>
      <c r="S6" s="190">
        <v>0</v>
      </c>
      <c r="T6" s="190">
        <v>324400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43.325000000000003</v>
      </c>
      <c r="F7" s="194">
        <v>9800.8389999999999</v>
      </c>
      <c r="G7" s="195">
        <v>2199.1610000000001</v>
      </c>
      <c r="H7" s="195">
        <v>1356.675</v>
      </c>
      <c r="I7" s="10">
        <v>0</v>
      </c>
      <c r="J7" s="10">
        <v>0</v>
      </c>
      <c r="K7" s="11">
        <v>0</v>
      </c>
      <c r="L7" s="190">
        <v>0</v>
      </c>
      <c r="M7" s="190">
        <v>0</v>
      </c>
      <c r="N7" s="190">
        <v>4765.75</v>
      </c>
      <c r="O7" s="190">
        <v>139171.91</v>
      </c>
      <c r="P7" s="190">
        <v>31228.09</v>
      </c>
      <c r="Q7" s="190">
        <v>149234.25</v>
      </c>
      <c r="R7" s="190">
        <v>0</v>
      </c>
      <c r="S7" s="190">
        <v>0</v>
      </c>
      <c r="T7" s="190">
        <v>324400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22</v>
      </c>
      <c r="F8" s="194">
        <v>9778.8389999999999</v>
      </c>
      <c r="G8" s="195">
        <v>2221.1610000000001</v>
      </c>
      <c r="H8" s="195">
        <v>1378</v>
      </c>
      <c r="I8" s="10">
        <v>0</v>
      </c>
      <c r="J8" s="10">
        <v>0</v>
      </c>
      <c r="K8" s="11">
        <v>0</v>
      </c>
      <c r="L8" s="190">
        <v>0</v>
      </c>
      <c r="M8" s="190">
        <v>0</v>
      </c>
      <c r="N8" s="190">
        <v>2420</v>
      </c>
      <c r="O8" s="190">
        <v>138859.51</v>
      </c>
      <c r="P8" s="190">
        <v>31540.49</v>
      </c>
      <c r="Q8" s="190">
        <v>151580</v>
      </c>
      <c r="R8" s="190">
        <v>0</v>
      </c>
      <c r="S8" s="190">
        <v>0</v>
      </c>
      <c r="T8" s="190">
        <v>324400</v>
      </c>
    </row>
    <row r="9" spans="1:20">
      <c r="A9" s="13">
        <v>5</v>
      </c>
      <c r="B9" s="196" t="s">
        <v>210</v>
      </c>
      <c r="C9" s="197"/>
      <c r="D9" s="194">
        <v>90</v>
      </c>
      <c r="E9" s="194">
        <v>66</v>
      </c>
      <c r="F9" s="194">
        <v>9802.8389999999999</v>
      </c>
      <c r="G9" s="195">
        <v>2197.1610000000001</v>
      </c>
      <c r="H9" s="195">
        <v>1244</v>
      </c>
      <c r="I9" s="10">
        <v>0</v>
      </c>
      <c r="J9" s="10">
        <v>0</v>
      </c>
      <c r="K9" s="11">
        <v>0</v>
      </c>
      <c r="L9" s="190">
        <v>0</v>
      </c>
      <c r="M9" s="190">
        <v>9900</v>
      </c>
      <c r="N9" s="190">
        <v>7260</v>
      </c>
      <c r="O9" s="190">
        <v>139200.31</v>
      </c>
      <c r="P9" s="190">
        <v>31199.69</v>
      </c>
      <c r="Q9" s="190">
        <v>136840</v>
      </c>
      <c r="R9" s="190">
        <v>0</v>
      </c>
      <c r="S9" s="190">
        <v>0</v>
      </c>
      <c r="T9" s="190">
        <v>324400</v>
      </c>
    </row>
    <row r="10" spans="1:20">
      <c r="A10" s="13">
        <v>6</v>
      </c>
      <c r="B10" s="196" t="s">
        <v>211</v>
      </c>
      <c r="C10" s="197"/>
      <c r="D10" s="194">
        <v>290.5</v>
      </c>
      <c r="E10" s="194">
        <v>42.75</v>
      </c>
      <c r="F10" s="194">
        <v>10050.589</v>
      </c>
      <c r="G10" s="195">
        <v>1949.4110000000001</v>
      </c>
      <c r="H10" s="195">
        <v>1066.75</v>
      </c>
      <c r="I10" s="10">
        <v>0</v>
      </c>
      <c r="J10" s="10">
        <v>0</v>
      </c>
      <c r="K10" s="11">
        <v>0</v>
      </c>
      <c r="L10" s="190">
        <v>0</v>
      </c>
      <c r="M10" s="190">
        <v>31955</v>
      </c>
      <c r="N10" s="190">
        <v>4702.5</v>
      </c>
      <c r="O10" s="190">
        <v>142718.35999999999</v>
      </c>
      <c r="P10" s="190">
        <v>27681.64</v>
      </c>
      <c r="Q10" s="190">
        <v>117342.5</v>
      </c>
      <c r="R10" s="190">
        <v>0</v>
      </c>
      <c r="S10" s="190">
        <v>0</v>
      </c>
      <c r="T10" s="190">
        <v>324400</v>
      </c>
    </row>
    <row r="11" spans="1:20">
      <c r="A11" s="13">
        <v>7</v>
      </c>
      <c r="B11" s="196" t="s">
        <v>212</v>
      </c>
      <c r="C11" s="197"/>
      <c r="D11" s="194">
        <v>111</v>
      </c>
      <c r="E11" s="194">
        <v>246.125</v>
      </c>
      <c r="F11" s="194">
        <v>9915.4639999999999</v>
      </c>
      <c r="G11" s="195">
        <v>2084.5360000000001</v>
      </c>
      <c r="H11" s="195">
        <v>1042.875</v>
      </c>
      <c r="I11" s="10">
        <v>0</v>
      </c>
      <c r="J11" s="10">
        <v>0</v>
      </c>
      <c r="K11" s="11">
        <v>0</v>
      </c>
      <c r="L11" s="190">
        <v>0</v>
      </c>
      <c r="M11" s="190">
        <v>12210</v>
      </c>
      <c r="N11" s="190">
        <v>27073.75</v>
      </c>
      <c r="O11" s="190">
        <v>140799.59</v>
      </c>
      <c r="P11" s="190">
        <v>29600.41</v>
      </c>
      <c r="Q11" s="190">
        <v>114716.25</v>
      </c>
      <c r="R11" s="190">
        <v>0</v>
      </c>
      <c r="S11" s="190">
        <v>0</v>
      </c>
      <c r="T11" s="190">
        <v>324400</v>
      </c>
    </row>
    <row r="12" spans="1:20">
      <c r="A12" s="13">
        <v>8</v>
      </c>
      <c r="B12" s="196" t="s">
        <v>213</v>
      </c>
      <c r="C12" s="197"/>
      <c r="D12" s="194">
        <v>67.5</v>
      </c>
      <c r="E12" s="194">
        <v>44</v>
      </c>
      <c r="F12" s="194">
        <v>9938.9639999999999</v>
      </c>
      <c r="G12" s="195">
        <v>2061.0360000000001</v>
      </c>
      <c r="H12" s="195">
        <v>1288.5</v>
      </c>
      <c r="I12" s="10">
        <v>0</v>
      </c>
      <c r="J12" s="10">
        <v>0</v>
      </c>
      <c r="K12" s="11">
        <v>0</v>
      </c>
      <c r="L12" s="190">
        <v>0</v>
      </c>
      <c r="M12" s="190">
        <v>7425</v>
      </c>
      <c r="N12" s="190">
        <v>4840</v>
      </c>
      <c r="O12" s="190">
        <v>141133.29</v>
      </c>
      <c r="P12" s="190">
        <v>29266.71</v>
      </c>
      <c r="Q12" s="190">
        <v>141735</v>
      </c>
      <c r="R12" s="190">
        <v>0</v>
      </c>
      <c r="S12" s="190">
        <v>0</v>
      </c>
      <c r="T12" s="190">
        <v>324400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198</v>
      </c>
      <c r="F13" s="194">
        <v>9740.9639999999999</v>
      </c>
      <c r="G13" s="195">
        <v>2259.0360000000001</v>
      </c>
      <c r="H13" s="195">
        <v>1202</v>
      </c>
      <c r="I13" s="10">
        <v>0</v>
      </c>
      <c r="J13" s="10">
        <v>0</v>
      </c>
      <c r="K13" s="11">
        <v>0</v>
      </c>
      <c r="L13" s="190">
        <v>0</v>
      </c>
      <c r="M13" s="190">
        <v>0</v>
      </c>
      <c r="N13" s="190">
        <v>21780</v>
      </c>
      <c r="O13" s="190">
        <v>138321.69</v>
      </c>
      <c r="P13" s="190">
        <v>32078.31</v>
      </c>
      <c r="Q13" s="190">
        <v>132220</v>
      </c>
      <c r="R13" s="190">
        <v>0</v>
      </c>
      <c r="S13" s="190">
        <v>0</v>
      </c>
      <c r="T13" s="190">
        <v>324400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176</v>
      </c>
      <c r="F14" s="194">
        <v>9564.9639999999999</v>
      </c>
      <c r="G14" s="195">
        <v>2435.0360000000001</v>
      </c>
      <c r="H14" s="195">
        <v>1224</v>
      </c>
      <c r="I14" s="10">
        <v>0</v>
      </c>
      <c r="J14" s="10">
        <v>0</v>
      </c>
      <c r="K14" s="11">
        <v>0</v>
      </c>
      <c r="L14" s="190">
        <v>0</v>
      </c>
      <c r="M14" s="190">
        <v>0</v>
      </c>
      <c r="N14" s="190">
        <v>19360</v>
      </c>
      <c r="O14" s="190">
        <v>135822.49</v>
      </c>
      <c r="P14" s="190">
        <v>34577.51</v>
      </c>
      <c r="Q14" s="190">
        <v>134640</v>
      </c>
      <c r="R14" s="190">
        <v>0</v>
      </c>
      <c r="S14" s="190">
        <v>0</v>
      </c>
      <c r="T14" s="190">
        <v>324400</v>
      </c>
    </row>
    <row r="15" spans="1:20">
      <c r="A15" s="13">
        <v>11</v>
      </c>
      <c r="B15" s="196" t="s">
        <v>216</v>
      </c>
      <c r="C15" s="197"/>
      <c r="D15" s="194">
        <v>45</v>
      </c>
      <c r="E15" s="194">
        <v>215.875</v>
      </c>
      <c r="F15" s="194">
        <v>9394.0889999999999</v>
      </c>
      <c r="G15" s="195">
        <v>2605.9110000000001</v>
      </c>
      <c r="H15" s="195">
        <v>1139.125</v>
      </c>
      <c r="I15" s="10">
        <v>0</v>
      </c>
      <c r="J15" s="10">
        <v>0</v>
      </c>
      <c r="K15" s="11">
        <v>0</v>
      </c>
      <c r="L15" s="190">
        <v>0</v>
      </c>
      <c r="M15" s="190">
        <v>4950</v>
      </c>
      <c r="N15" s="190">
        <v>23746.25</v>
      </c>
      <c r="O15" s="190">
        <v>133396.06</v>
      </c>
      <c r="P15" s="190">
        <v>37003.94</v>
      </c>
      <c r="Q15" s="190">
        <v>125303.75</v>
      </c>
      <c r="R15" s="190">
        <v>0</v>
      </c>
      <c r="S15" s="190">
        <v>0</v>
      </c>
      <c r="T15" s="190">
        <v>324400</v>
      </c>
    </row>
    <row r="16" spans="1:20">
      <c r="A16" s="13">
        <v>12</v>
      </c>
      <c r="B16" s="196" t="s">
        <v>217</v>
      </c>
      <c r="C16" s="197"/>
      <c r="D16" s="194">
        <v>67.45</v>
      </c>
      <c r="E16" s="194">
        <v>350.125</v>
      </c>
      <c r="F16" s="194">
        <v>9111.4140000000007</v>
      </c>
      <c r="G16" s="195">
        <v>2888.5859999999993</v>
      </c>
      <c r="H16" s="195">
        <v>982.42499999999995</v>
      </c>
      <c r="I16" s="10">
        <v>0</v>
      </c>
      <c r="J16" s="10">
        <v>0</v>
      </c>
      <c r="K16" s="11">
        <v>0</v>
      </c>
      <c r="L16" s="190">
        <v>0</v>
      </c>
      <c r="M16" s="190">
        <v>7419.5</v>
      </c>
      <c r="N16" s="190">
        <v>38513.75</v>
      </c>
      <c r="O16" s="190">
        <v>129382.08</v>
      </c>
      <c r="P16" s="190">
        <v>41017.919999999998</v>
      </c>
      <c r="Q16" s="190">
        <v>108066.75</v>
      </c>
      <c r="R16" s="190">
        <v>0</v>
      </c>
      <c r="S16" s="190">
        <v>0</v>
      </c>
      <c r="T16" s="190">
        <v>324400</v>
      </c>
    </row>
    <row r="17" spans="1:20">
      <c r="A17" s="13">
        <v>13</v>
      </c>
      <c r="B17" s="196" t="s">
        <v>218</v>
      </c>
      <c r="C17" s="197"/>
      <c r="D17" s="194">
        <v>67.5</v>
      </c>
      <c r="E17" s="194">
        <v>178.75</v>
      </c>
      <c r="F17" s="194">
        <v>9000.1640000000007</v>
      </c>
      <c r="G17" s="195">
        <v>2999.8359999999993</v>
      </c>
      <c r="H17" s="195">
        <v>1153.75</v>
      </c>
      <c r="I17" s="10">
        <v>0</v>
      </c>
      <c r="J17" s="10">
        <v>0</v>
      </c>
      <c r="K17" s="11">
        <v>0</v>
      </c>
      <c r="L17" s="190">
        <v>0</v>
      </c>
      <c r="M17" s="190">
        <v>7425</v>
      </c>
      <c r="N17" s="190">
        <v>19662.5</v>
      </c>
      <c r="O17" s="190">
        <v>127802.33</v>
      </c>
      <c r="P17" s="190">
        <v>42597.67</v>
      </c>
      <c r="Q17" s="190">
        <v>126912.5</v>
      </c>
      <c r="R17" s="190">
        <v>0</v>
      </c>
      <c r="S17" s="190">
        <v>0</v>
      </c>
      <c r="T17" s="190">
        <v>324400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335.5</v>
      </c>
      <c r="F18" s="194">
        <v>8664.6640000000007</v>
      </c>
      <c r="G18" s="195">
        <v>3335.3359999999993</v>
      </c>
      <c r="H18" s="195">
        <v>1064.5</v>
      </c>
      <c r="I18" s="10">
        <v>0</v>
      </c>
      <c r="J18" s="10">
        <v>0</v>
      </c>
      <c r="K18" s="11">
        <v>0</v>
      </c>
      <c r="L18" s="190">
        <v>0</v>
      </c>
      <c r="M18" s="190">
        <v>0</v>
      </c>
      <c r="N18" s="190">
        <v>36905</v>
      </c>
      <c r="O18" s="190">
        <v>123038.23</v>
      </c>
      <c r="P18" s="190">
        <v>47361.77</v>
      </c>
      <c r="Q18" s="190">
        <v>117095</v>
      </c>
      <c r="R18" s="190">
        <v>0</v>
      </c>
      <c r="S18" s="190">
        <v>0</v>
      </c>
      <c r="T18" s="190">
        <v>324400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307.375</v>
      </c>
      <c r="F19" s="194">
        <v>8357.2890000000007</v>
      </c>
      <c r="G19" s="195">
        <v>3642.7109999999993</v>
      </c>
      <c r="H19" s="195">
        <v>1092.625</v>
      </c>
      <c r="I19" s="10">
        <v>0</v>
      </c>
      <c r="J19" s="10">
        <v>0</v>
      </c>
      <c r="K19" s="11">
        <v>0</v>
      </c>
      <c r="L19" s="190">
        <v>0</v>
      </c>
      <c r="M19" s="190">
        <v>0</v>
      </c>
      <c r="N19" s="190">
        <v>33811.25</v>
      </c>
      <c r="O19" s="190">
        <v>118673.5</v>
      </c>
      <c r="P19" s="190">
        <v>51726.5</v>
      </c>
      <c r="Q19" s="190">
        <v>120188.75</v>
      </c>
      <c r="R19" s="190">
        <v>0</v>
      </c>
      <c r="S19" s="190">
        <v>0</v>
      </c>
      <c r="T19" s="190">
        <v>324400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103.125</v>
      </c>
      <c r="F20" s="194">
        <v>8254.1640000000007</v>
      </c>
      <c r="G20" s="195">
        <v>3745.8359999999993</v>
      </c>
      <c r="H20" s="195">
        <v>1296.875</v>
      </c>
      <c r="I20" s="10">
        <v>0</v>
      </c>
      <c r="J20" s="10">
        <v>0</v>
      </c>
      <c r="K20" s="11">
        <v>0</v>
      </c>
      <c r="L20" s="190">
        <v>0</v>
      </c>
      <c r="M20" s="190">
        <v>0</v>
      </c>
      <c r="N20" s="190">
        <v>11343.75</v>
      </c>
      <c r="O20" s="190">
        <v>117209.13</v>
      </c>
      <c r="P20" s="190">
        <v>53190.87</v>
      </c>
      <c r="Q20" s="190">
        <v>142656.25</v>
      </c>
      <c r="R20" s="190">
        <v>0</v>
      </c>
      <c r="S20" s="190">
        <v>0</v>
      </c>
      <c r="T20" s="190">
        <v>324400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307.375</v>
      </c>
      <c r="F21" s="194">
        <v>7946.7889999999998</v>
      </c>
      <c r="G21" s="195">
        <v>4053.2110000000002</v>
      </c>
      <c r="H21" s="195">
        <v>1092.625</v>
      </c>
      <c r="I21" s="10">
        <v>0</v>
      </c>
      <c r="J21" s="10">
        <v>0</v>
      </c>
      <c r="K21" s="11">
        <v>0</v>
      </c>
      <c r="L21" s="190">
        <v>0</v>
      </c>
      <c r="M21" s="190">
        <v>0</v>
      </c>
      <c r="N21" s="190">
        <v>33811.25</v>
      </c>
      <c r="O21" s="190">
        <v>112844.4</v>
      </c>
      <c r="P21" s="190">
        <v>57555.6</v>
      </c>
      <c r="Q21" s="190">
        <v>120188.75</v>
      </c>
      <c r="R21" s="190">
        <v>0</v>
      </c>
      <c r="S21" s="190">
        <v>0</v>
      </c>
      <c r="T21" s="190">
        <v>324400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222.75</v>
      </c>
      <c r="F22" s="194">
        <v>7724.0389999999998</v>
      </c>
      <c r="G22" s="195">
        <v>4275.9610000000002</v>
      </c>
      <c r="H22" s="195">
        <v>1177.25</v>
      </c>
      <c r="I22" s="10">
        <v>0</v>
      </c>
      <c r="J22" s="10">
        <v>0</v>
      </c>
      <c r="K22" s="11">
        <v>0</v>
      </c>
      <c r="L22" s="190">
        <v>0</v>
      </c>
      <c r="M22" s="190">
        <v>0</v>
      </c>
      <c r="N22" s="190">
        <v>24502.5</v>
      </c>
      <c r="O22" s="190">
        <v>109681.35</v>
      </c>
      <c r="P22" s="190">
        <v>60718.65</v>
      </c>
      <c r="Q22" s="190">
        <v>129497.5</v>
      </c>
      <c r="R22" s="190">
        <v>0</v>
      </c>
      <c r="S22" s="190">
        <v>0</v>
      </c>
      <c r="T22" s="190">
        <v>324400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440</v>
      </c>
      <c r="F23" s="194">
        <v>7284.0389999999998</v>
      </c>
      <c r="G23" s="195">
        <v>4715.9610000000002</v>
      </c>
      <c r="H23" s="195">
        <v>960</v>
      </c>
      <c r="I23" s="10">
        <v>0</v>
      </c>
      <c r="J23" s="10">
        <v>0</v>
      </c>
      <c r="K23" s="11">
        <v>0</v>
      </c>
      <c r="L23" s="190">
        <v>0</v>
      </c>
      <c r="M23" s="190">
        <v>0</v>
      </c>
      <c r="N23" s="190">
        <v>48400</v>
      </c>
      <c r="O23" s="190">
        <v>103433.35</v>
      </c>
      <c r="P23" s="190">
        <v>66966.649999999994</v>
      </c>
      <c r="Q23" s="190">
        <v>105600</v>
      </c>
      <c r="R23" s="190">
        <v>0</v>
      </c>
      <c r="S23" s="190">
        <v>0</v>
      </c>
      <c r="T23" s="190">
        <v>324400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88.3</v>
      </c>
      <c r="F24" s="194">
        <v>7195.7389999999996</v>
      </c>
      <c r="G24" s="195">
        <v>4804.2610000000004</v>
      </c>
      <c r="H24" s="195">
        <v>1311.7</v>
      </c>
      <c r="I24" s="10">
        <v>0</v>
      </c>
      <c r="J24" s="10">
        <v>0</v>
      </c>
      <c r="K24" s="11">
        <v>0</v>
      </c>
      <c r="L24" s="190">
        <v>0</v>
      </c>
      <c r="M24" s="190">
        <v>0</v>
      </c>
      <c r="N24" s="190">
        <v>9713</v>
      </c>
      <c r="O24" s="190">
        <v>102179.49</v>
      </c>
      <c r="P24" s="190">
        <v>68220.509999999995</v>
      </c>
      <c r="Q24" s="190">
        <v>144287</v>
      </c>
      <c r="R24" s="190">
        <v>0</v>
      </c>
      <c r="S24" s="190">
        <v>0</v>
      </c>
      <c r="T24" s="190">
        <v>324400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26.5</v>
      </c>
      <c r="F25" s="194">
        <v>7169.2389999999996</v>
      </c>
      <c r="G25" s="195">
        <v>4830.7610000000004</v>
      </c>
      <c r="H25" s="195">
        <v>1373.5</v>
      </c>
      <c r="I25" s="10">
        <v>0</v>
      </c>
      <c r="J25" s="10">
        <v>0</v>
      </c>
      <c r="K25" s="11">
        <v>0</v>
      </c>
      <c r="L25" s="190">
        <v>0</v>
      </c>
      <c r="M25" s="190">
        <v>0</v>
      </c>
      <c r="N25" s="190">
        <v>2915</v>
      </c>
      <c r="O25" s="190">
        <v>101803.19</v>
      </c>
      <c r="P25" s="190">
        <v>68596.81</v>
      </c>
      <c r="Q25" s="190">
        <v>151085</v>
      </c>
      <c r="R25" s="190">
        <v>0</v>
      </c>
      <c r="S25" s="190">
        <v>0</v>
      </c>
      <c r="T25" s="190">
        <v>324400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85.474999999999994</v>
      </c>
      <c r="F26" s="194">
        <v>7083.7640000000001</v>
      </c>
      <c r="G26" s="195">
        <v>4916.2359999999999</v>
      </c>
      <c r="H26" s="195">
        <v>1314.5250000000001</v>
      </c>
      <c r="I26" s="10">
        <v>0</v>
      </c>
      <c r="J26" s="10">
        <v>0</v>
      </c>
      <c r="K26" s="11">
        <v>0</v>
      </c>
      <c r="L26" s="190">
        <v>0</v>
      </c>
      <c r="M26" s="190">
        <v>0</v>
      </c>
      <c r="N26" s="190">
        <v>9402.25</v>
      </c>
      <c r="O26" s="190">
        <v>100589.45</v>
      </c>
      <c r="P26" s="190">
        <v>69810.55</v>
      </c>
      <c r="Q26" s="190">
        <v>144597.75</v>
      </c>
      <c r="R26" s="190">
        <v>0</v>
      </c>
      <c r="S26" s="190">
        <v>0</v>
      </c>
      <c r="T26" s="190">
        <v>324400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66</v>
      </c>
      <c r="F27" s="194">
        <v>7017.7640000000001</v>
      </c>
      <c r="G27" s="195">
        <v>4982.2359999999999</v>
      </c>
      <c r="H27" s="195">
        <v>1334</v>
      </c>
      <c r="I27" s="10">
        <v>0</v>
      </c>
      <c r="J27" s="10">
        <v>0</v>
      </c>
      <c r="K27" s="11">
        <v>0</v>
      </c>
      <c r="L27" s="190">
        <v>0</v>
      </c>
      <c r="M27" s="190">
        <v>0</v>
      </c>
      <c r="N27" s="190">
        <v>7260</v>
      </c>
      <c r="O27" s="190">
        <v>99652.25</v>
      </c>
      <c r="P27" s="190">
        <v>70747.75</v>
      </c>
      <c r="Q27" s="190">
        <v>146740</v>
      </c>
      <c r="R27" s="190">
        <v>0</v>
      </c>
      <c r="S27" s="190">
        <v>0</v>
      </c>
      <c r="T27" s="190">
        <v>324400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66</v>
      </c>
      <c r="F28" s="194">
        <v>6951.7640000000001</v>
      </c>
      <c r="G28" s="195">
        <v>5048.2359999999999</v>
      </c>
      <c r="H28" s="195">
        <v>1334</v>
      </c>
      <c r="I28" s="10">
        <v>0</v>
      </c>
      <c r="J28" s="10">
        <v>0</v>
      </c>
      <c r="K28" s="11">
        <v>0</v>
      </c>
      <c r="L28" s="190">
        <v>0</v>
      </c>
      <c r="M28" s="190">
        <v>0</v>
      </c>
      <c r="N28" s="190">
        <v>7260</v>
      </c>
      <c r="O28" s="190">
        <v>98715.05</v>
      </c>
      <c r="P28" s="190">
        <v>71684.95</v>
      </c>
      <c r="Q28" s="190">
        <v>146740</v>
      </c>
      <c r="R28" s="190">
        <v>0</v>
      </c>
      <c r="S28" s="190">
        <v>0</v>
      </c>
      <c r="T28" s="190">
        <v>324400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266.55</v>
      </c>
      <c r="F29" s="194">
        <v>6685.2139999999999</v>
      </c>
      <c r="G29" s="195">
        <v>5314.7860000000001</v>
      </c>
      <c r="H29" s="195">
        <v>1133.45</v>
      </c>
      <c r="I29" s="10">
        <v>0</v>
      </c>
      <c r="J29" s="10">
        <v>0</v>
      </c>
      <c r="K29" s="11">
        <v>0</v>
      </c>
      <c r="L29" s="190">
        <v>0</v>
      </c>
      <c r="M29" s="190">
        <v>0</v>
      </c>
      <c r="N29" s="190">
        <v>29320.5</v>
      </c>
      <c r="O29" s="190">
        <v>94930.04</v>
      </c>
      <c r="P29" s="190">
        <v>75469.960000000006</v>
      </c>
      <c r="Q29" s="190">
        <v>124679.5</v>
      </c>
      <c r="R29" s="190">
        <v>0</v>
      </c>
      <c r="S29" s="190">
        <v>0</v>
      </c>
      <c r="T29" s="190">
        <v>324400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272.5</v>
      </c>
      <c r="F30" s="194">
        <v>6412.7139999999999</v>
      </c>
      <c r="G30" s="195">
        <v>5587.2860000000001</v>
      </c>
      <c r="H30" s="195">
        <v>1127.5</v>
      </c>
      <c r="I30" s="10">
        <v>0</v>
      </c>
      <c r="J30" s="10">
        <v>0</v>
      </c>
      <c r="K30" s="11">
        <v>0</v>
      </c>
      <c r="L30" s="190">
        <v>0</v>
      </c>
      <c r="M30" s="190">
        <v>0</v>
      </c>
      <c r="N30" s="190">
        <v>29975</v>
      </c>
      <c r="O30" s="190">
        <v>91060.54</v>
      </c>
      <c r="P30" s="190">
        <v>79339.460000000006</v>
      </c>
      <c r="Q30" s="190">
        <v>124025</v>
      </c>
      <c r="R30" s="190">
        <v>0</v>
      </c>
      <c r="S30" s="190">
        <v>0</v>
      </c>
      <c r="T30" s="190">
        <v>324400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132.65</v>
      </c>
      <c r="F31" s="194">
        <v>6280.0640000000003</v>
      </c>
      <c r="G31" s="195">
        <v>5719.9359999999997</v>
      </c>
      <c r="H31" s="195">
        <v>1267.3499999999999</v>
      </c>
      <c r="I31" s="10">
        <v>0</v>
      </c>
      <c r="J31" s="10">
        <v>0</v>
      </c>
      <c r="K31" s="11">
        <v>0</v>
      </c>
      <c r="L31" s="190">
        <v>0</v>
      </c>
      <c r="M31" s="190">
        <v>0</v>
      </c>
      <c r="N31" s="190">
        <v>14591.5</v>
      </c>
      <c r="O31" s="190">
        <v>89176.91</v>
      </c>
      <c r="P31" s="190">
        <v>81223.09</v>
      </c>
      <c r="Q31" s="190">
        <v>139408.5</v>
      </c>
      <c r="R31" s="190">
        <v>0</v>
      </c>
      <c r="S31" s="190">
        <v>0</v>
      </c>
      <c r="T31" s="190">
        <v>324400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122.875</v>
      </c>
      <c r="F32" s="194">
        <v>6157.1890000000003</v>
      </c>
      <c r="G32" s="195">
        <v>5842.8109999999997</v>
      </c>
      <c r="H32" s="195">
        <v>1277.125</v>
      </c>
      <c r="I32" s="10">
        <v>0</v>
      </c>
      <c r="J32" s="10">
        <v>0</v>
      </c>
      <c r="K32" s="11">
        <v>0</v>
      </c>
      <c r="L32" s="190">
        <v>0</v>
      </c>
      <c r="M32" s="190">
        <v>0</v>
      </c>
      <c r="N32" s="190">
        <v>13516.25</v>
      </c>
      <c r="O32" s="190">
        <v>87432.08</v>
      </c>
      <c r="P32" s="190">
        <v>82967.92</v>
      </c>
      <c r="Q32" s="190">
        <v>140483.75</v>
      </c>
      <c r="R32" s="190">
        <v>0</v>
      </c>
      <c r="S32" s="190">
        <v>0</v>
      </c>
      <c r="T32" s="190">
        <v>324400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22.5</v>
      </c>
      <c r="F33" s="194">
        <v>6134.6890000000003</v>
      </c>
      <c r="G33" s="195">
        <v>5865.3109999999997</v>
      </c>
      <c r="H33" s="195">
        <v>1377.5</v>
      </c>
      <c r="I33" s="10">
        <v>0</v>
      </c>
      <c r="J33" s="10">
        <v>0</v>
      </c>
      <c r="K33" s="11">
        <v>0</v>
      </c>
      <c r="L33" s="190">
        <v>0</v>
      </c>
      <c r="M33" s="190">
        <v>0</v>
      </c>
      <c r="N33" s="190">
        <v>2475</v>
      </c>
      <c r="O33" s="190">
        <v>87112.58</v>
      </c>
      <c r="P33" s="190">
        <v>83287.42</v>
      </c>
      <c r="Q33" s="190">
        <v>151525</v>
      </c>
      <c r="R33" s="190">
        <v>0</v>
      </c>
      <c r="S33" s="190">
        <v>0</v>
      </c>
      <c r="T33" s="190">
        <v>324400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52.25</v>
      </c>
      <c r="F34" s="194">
        <v>6082.4390000000003</v>
      </c>
      <c r="G34" s="195">
        <v>5917.5609999999997</v>
      </c>
      <c r="H34" s="195">
        <v>1347.75</v>
      </c>
      <c r="I34" s="10">
        <v>0</v>
      </c>
      <c r="J34" s="10">
        <v>0</v>
      </c>
      <c r="K34" s="11">
        <v>0</v>
      </c>
      <c r="L34" s="190">
        <v>0</v>
      </c>
      <c r="M34" s="190">
        <v>0</v>
      </c>
      <c r="N34" s="190">
        <v>5747.5</v>
      </c>
      <c r="O34" s="190">
        <v>86370.63</v>
      </c>
      <c r="P34" s="190">
        <v>84029.37</v>
      </c>
      <c r="Q34" s="190">
        <v>148252.5</v>
      </c>
      <c r="R34" s="190">
        <v>0</v>
      </c>
      <c r="S34" s="190">
        <v>0</v>
      </c>
      <c r="T34" s="190">
        <v>324400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760.95</v>
      </c>
      <c r="E36" s="18">
        <v>4544.6749999999993</v>
      </c>
      <c r="F36" s="18">
        <v>247189.02000000002</v>
      </c>
      <c r="G36" s="18">
        <v>112810.98000000001</v>
      </c>
      <c r="H36" s="18">
        <v>36694.375</v>
      </c>
      <c r="I36" s="18">
        <v>0</v>
      </c>
      <c r="J36" s="18">
        <v>0</v>
      </c>
      <c r="K36" s="18">
        <v>0</v>
      </c>
      <c r="L36" s="191">
        <v>0</v>
      </c>
      <c r="M36" s="191">
        <v>83704.5</v>
      </c>
      <c r="N36" s="191">
        <v>499914.25</v>
      </c>
      <c r="O36" s="191">
        <v>3510084.08</v>
      </c>
      <c r="P36" s="191">
        <v>1601915.92</v>
      </c>
      <c r="Q36" s="191">
        <v>4036381.25</v>
      </c>
      <c r="R36" s="191">
        <v>0</v>
      </c>
      <c r="S36" s="191">
        <v>0</v>
      </c>
      <c r="T36" s="191">
        <v>9732000</v>
      </c>
    </row>
    <row r="37" spans="1:20">
      <c r="R37" s="21"/>
      <c r="S37" s="21"/>
      <c r="T37" s="192">
        <v>11678400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4F3C-8611-41A9-A2DE-54F9EA4266E8}">
  <sheetPr>
    <pageSetUpPr fitToPage="1"/>
  </sheetPr>
  <dimension ref="A1:T37"/>
  <sheetViews>
    <sheetView topLeftCell="A10" workbookViewId="0">
      <selection activeCell="G31" sqref="G31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267</v>
      </c>
      <c r="H3" s="269" t="s">
        <v>268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16.45</v>
      </c>
      <c r="G5" s="195">
        <v>0</v>
      </c>
      <c r="H5" s="195">
        <v>0</v>
      </c>
      <c r="I5" s="10">
        <v>0</v>
      </c>
      <c r="J5" s="10">
        <v>0</v>
      </c>
      <c r="K5" s="11">
        <v>0</v>
      </c>
      <c r="L5" s="190">
        <v>0</v>
      </c>
      <c r="M5" s="190">
        <v>0</v>
      </c>
      <c r="N5" s="190">
        <v>0</v>
      </c>
      <c r="O5" s="190">
        <v>233.59</v>
      </c>
      <c r="P5" s="190">
        <v>0</v>
      </c>
      <c r="Q5" s="190">
        <v>0</v>
      </c>
      <c r="R5" s="190">
        <v>0</v>
      </c>
      <c r="S5" s="190">
        <v>0</v>
      </c>
      <c r="T5" s="190">
        <v>233.59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16.45</v>
      </c>
      <c r="G6" s="195">
        <v>0</v>
      </c>
      <c r="H6" s="195">
        <v>0</v>
      </c>
      <c r="I6" s="10">
        <v>0</v>
      </c>
      <c r="J6" s="10">
        <v>0</v>
      </c>
      <c r="K6" s="11">
        <v>0</v>
      </c>
      <c r="L6" s="190">
        <v>0</v>
      </c>
      <c r="M6" s="190">
        <v>0</v>
      </c>
      <c r="N6" s="190">
        <v>0</v>
      </c>
      <c r="O6" s="190">
        <v>233.59</v>
      </c>
      <c r="P6" s="190">
        <v>0</v>
      </c>
      <c r="Q6" s="190">
        <v>0</v>
      </c>
      <c r="R6" s="190">
        <v>0</v>
      </c>
      <c r="S6" s="190">
        <v>0</v>
      </c>
      <c r="T6" s="190">
        <v>233.59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16.45</v>
      </c>
      <c r="G7" s="195">
        <v>0</v>
      </c>
      <c r="H7" s="195">
        <v>0</v>
      </c>
      <c r="I7" s="10">
        <v>0</v>
      </c>
      <c r="J7" s="10">
        <v>0</v>
      </c>
      <c r="K7" s="11">
        <v>0</v>
      </c>
      <c r="L7" s="190">
        <v>0</v>
      </c>
      <c r="M7" s="190">
        <v>0</v>
      </c>
      <c r="N7" s="190">
        <v>0</v>
      </c>
      <c r="O7" s="190">
        <v>233.59</v>
      </c>
      <c r="P7" s="190">
        <v>0</v>
      </c>
      <c r="Q7" s="190">
        <v>0</v>
      </c>
      <c r="R7" s="190">
        <v>0</v>
      </c>
      <c r="S7" s="190">
        <v>0</v>
      </c>
      <c r="T7" s="190">
        <v>233.59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16.45</v>
      </c>
      <c r="G8" s="195">
        <v>0</v>
      </c>
      <c r="H8" s="195">
        <v>0</v>
      </c>
      <c r="I8" s="10">
        <v>0</v>
      </c>
      <c r="J8" s="10">
        <v>0</v>
      </c>
      <c r="K8" s="11">
        <v>0</v>
      </c>
      <c r="L8" s="190">
        <v>0</v>
      </c>
      <c r="M8" s="190">
        <v>0</v>
      </c>
      <c r="N8" s="190">
        <v>0</v>
      </c>
      <c r="O8" s="190">
        <v>233.59</v>
      </c>
      <c r="P8" s="190">
        <v>0</v>
      </c>
      <c r="Q8" s="190">
        <v>0</v>
      </c>
      <c r="R8" s="190">
        <v>0</v>
      </c>
      <c r="S8" s="190">
        <v>0</v>
      </c>
      <c r="T8" s="190">
        <v>233.59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16.45</v>
      </c>
      <c r="G9" s="195">
        <v>0</v>
      </c>
      <c r="H9" s="195">
        <v>0</v>
      </c>
      <c r="I9" s="10">
        <v>0</v>
      </c>
      <c r="J9" s="10">
        <v>0</v>
      </c>
      <c r="K9" s="11">
        <v>0</v>
      </c>
      <c r="L9" s="190">
        <v>0</v>
      </c>
      <c r="M9" s="190">
        <v>0</v>
      </c>
      <c r="N9" s="190">
        <v>0</v>
      </c>
      <c r="O9" s="190">
        <v>233.59</v>
      </c>
      <c r="P9" s="190">
        <v>0</v>
      </c>
      <c r="Q9" s="190">
        <v>0</v>
      </c>
      <c r="R9" s="190">
        <v>0</v>
      </c>
      <c r="S9" s="190">
        <v>0</v>
      </c>
      <c r="T9" s="190">
        <v>233.59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16.45</v>
      </c>
      <c r="G10" s="195">
        <v>0</v>
      </c>
      <c r="H10" s="195">
        <v>0</v>
      </c>
      <c r="I10" s="10">
        <v>0</v>
      </c>
      <c r="J10" s="10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233.59</v>
      </c>
      <c r="P10" s="190">
        <v>0</v>
      </c>
      <c r="Q10" s="190">
        <v>0</v>
      </c>
      <c r="R10" s="190">
        <v>0</v>
      </c>
      <c r="S10" s="190">
        <v>0</v>
      </c>
      <c r="T10" s="190">
        <v>233.59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16.45</v>
      </c>
      <c r="G11" s="195">
        <v>0</v>
      </c>
      <c r="H11" s="195">
        <v>0</v>
      </c>
      <c r="I11" s="10">
        <v>0</v>
      </c>
      <c r="J11" s="10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233.59</v>
      </c>
      <c r="P11" s="190">
        <v>0</v>
      </c>
      <c r="Q11" s="190">
        <v>0</v>
      </c>
      <c r="R11" s="190">
        <v>0</v>
      </c>
      <c r="S11" s="190">
        <v>0</v>
      </c>
      <c r="T11" s="190">
        <v>233.59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16.45</v>
      </c>
      <c r="G12" s="195">
        <v>0</v>
      </c>
      <c r="H12" s="195">
        <v>0</v>
      </c>
      <c r="I12" s="10">
        <v>0</v>
      </c>
      <c r="J12" s="10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233.59</v>
      </c>
      <c r="P12" s="190">
        <v>0</v>
      </c>
      <c r="Q12" s="190">
        <v>0</v>
      </c>
      <c r="R12" s="190">
        <v>0</v>
      </c>
      <c r="S12" s="190">
        <v>0</v>
      </c>
      <c r="T12" s="190">
        <v>233.59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16.45</v>
      </c>
      <c r="G13" s="195">
        <v>0</v>
      </c>
      <c r="H13" s="195">
        <v>0</v>
      </c>
      <c r="I13" s="10">
        <v>0</v>
      </c>
      <c r="J13" s="10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233.59</v>
      </c>
      <c r="P13" s="190">
        <v>0</v>
      </c>
      <c r="Q13" s="190">
        <v>0</v>
      </c>
      <c r="R13" s="190">
        <v>0</v>
      </c>
      <c r="S13" s="190">
        <v>0</v>
      </c>
      <c r="T13" s="190">
        <v>233.59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16.45</v>
      </c>
      <c r="G14" s="195">
        <v>0</v>
      </c>
      <c r="H14" s="195">
        <v>0</v>
      </c>
      <c r="I14" s="10">
        <v>0</v>
      </c>
      <c r="J14" s="10">
        <v>0</v>
      </c>
      <c r="K14" s="11">
        <v>0</v>
      </c>
      <c r="L14" s="190">
        <v>0</v>
      </c>
      <c r="M14" s="190">
        <v>0</v>
      </c>
      <c r="N14" s="190">
        <v>0</v>
      </c>
      <c r="O14" s="190">
        <v>233.59</v>
      </c>
      <c r="P14" s="190">
        <v>0</v>
      </c>
      <c r="Q14" s="190">
        <v>0</v>
      </c>
      <c r="R14" s="190">
        <v>0</v>
      </c>
      <c r="S14" s="190">
        <v>0</v>
      </c>
      <c r="T14" s="190">
        <v>233.59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16.45</v>
      </c>
      <c r="G15" s="195">
        <v>0</v>
      </c>
      <c r="H15" s="195">
        <v>0</v>
      </c>
      <c r="I15" s="10">
        <v>0</v>
      </c>
      <c r="J15" s="10">
        <v>0</v>
      </c>
      <c r="K15" s="11">
        <v>0</v>
      </c>
      <c r="L15" s="190">
        <v>0</v>
      </c>
      <c r="M15" s="190">
        <v>0</v>
      </c>
      <c r="N15" s="190">
        <v>0</v>
      </c>
      <c r="O15" s="190">
        <v>233.59</v>
      </c>
      <c r="P15" s="190">
        <v>0</v>
      </c>
      <c r="Q15" s="190">
        <v>0</v>
      </c>
      <c r="R15" s="190">
        <v>0</v>
      </c>
      <c r="S15" s="190">
        <v>0</v>
      </c>
      <c r="T15" s="190">
        <v>233.59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16.45</v>
      </c>
      <c r="G16" s="195">
        <v>0</v>
      </c>
      <c r="H16" s="195">
        <v>0</v>
      </c>
      <c r="I16" s="10">
        <v>0</v>
      </c>
      <c r="J16" s="10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233.59</v>
      </c>
      <c r="P16" s="190">
        <v>0</v>
      </c>
      <c r="Q16" s="190">
        <v>0</v>
      </c>
      <c r="R16" s="190">
        <v>0</v>
      </c>
      <c r="S16" s="190">
        <v>0</v>
      </c>
      <c r="T16" s="190">
        <v>233.59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16.45</v>
      </c>
      <c r="G17" s="195">
        <v>0</v>
      </c>
      <c r="H17" s="195">
        <v>0</v>
      </c>
      <c r="I17" s="10">
        <v>0</v>
      </c>
      <c r="J17" s="10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233.59</v>
      </c>
      <c r="P17" s="190">
        <v>0</v>
      </c>
      <c r="Q17" s="190">
        <v>0</v>
      </c>
      <c r="R17" s="190">
        <v>0</v>
      </c>
      <c r="S17" s="190">
        <v>0</v>
      </c>
      <c r="T17" s="190">
        <v>233.59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16.45</v>
      </c>
      <c r="G18" s="195">
        <v>0</v>
      </c>
      <c r="H18" s="195">
        <v>0</v>
      </c>
      <c r="I18" s="10">
        <v>0</v>
      </c>
      <c r="J18" s="10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233.59</v>
      </c>
      <c r="P18" s="190">
        <v>0</v>
      </c>
      <c r="Q18" s="190">
        <v>0</v>
      </c>
      <c r="R18" s="190">
        <v>0</v>
      </c>
      <c r="S18" s="190">
        <v>0</v>
      </c>
      <c r="T18" s="190">
        <v>233.59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16.45</v>
      </c>
      <c r="G19" s="195">
        <v>0</v>
      </c>
      <c r="H19" s="195">
        <v>0</v>
      </c>
      <c r="I19" s="10">
        <v>0</v>
      </c>
      <c r="J19" s="10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233.59</v>
      </c>
      <c r="P19" s="190">
        <v>0</v>
      </c>
      <c r="Q19" s="190">
        <v>0</v>
      </c>
      <c r="R19" s="190">
        <v>0</v>
      </c>
      <c r="S19" s="190">
        <v>0</v>
      </c>
      <c r="T19" s="190">
        <v>233.59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16.45</v>
      </c>
      <c r="G20" s="195">
        <v>0</v>
      </c>
      <c r="H20" s="195">
        <v>0</v>
      </c>
      <c r="I20" s="10">
        <v>0</v>
      </c>
      <c r="J20" s="10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233.59</v>
      </c>
      <c r="P20" s="190">
        <v>0</v>
      </c>
      <c r="Q20" s="190">
        <v>0</v>
      </c>
      <c r="R20" s="190">
        <v>0</v>
      </c>
      <c r="S20" s="190">
        <v>0</v>
      </c>
      <c r="T20" s="190">
        <v>233.59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16.45</v>
      </c>
      <c r="G21" s="195">
        <v>0</v>
      </c>
      <c r="H21" s="195">
        <v>0</v>
      </c>
      <c r="I21" s="10">
        <v>0</v>
      </c>
      <c r="J21" s="10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233.59</v>
      </c>
      <c r="P21" s="190">
        <v>0</v>
      </c>
      <c r="Q21" s="190">
        <v>0</v>
      </c>
      <c r="R21" s="190">
        <v>0</v>
      </c>
      <c r="S21" s="190">
        <v>0</v>
      </c>
      <c r="T21" s="190">
        <v>233.59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16.45</v>
      </c>
      <c r="G22" s="195">
        <v>0</v>
      </c>
      <c r="H22" s="195">
        <v>0</v>
      </c>
      <c r="I22" s="10">
        <v>0</v>
      </c>
      <c r="J22" s="10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233.59</v>
      </c>
      <c r="P22" s="190">
        <v>0</v>
      </c>
      <c r="Q22" s="190">
        <v>0</v>
      </c>
      <c r="R22" s="190">
        <v>0</v>
      </c>
      <c r="S22" s="190">
        <v>0</v>
      </c>
      <c r="T22" s="190">
        <v>233.59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16.45</v>
      </c>
      <c r="G23" s="195">
        <v>0</v>
      </c>
      <c r="H23" s="195">
        <v>0</v>
      </c>
      <c r="I23" s="10">
        <v>0</v>
      </c>
      <c r="J23" s="10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233.59</v>
      </c>
      <c r="P23" s="190">
        <v>0</v>
      </c>
      <c r="Q23" s="190">
        <v>0</v>
      </c>
      <c r="R23" s="190">
        <v>0</v>
      </c>
      <c r="S23" s="190">
        <v>0</v>
      </c>
      <c r="T23" s="190">
        <v>233.59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16.45</v>
      </c>
      <c r="G24" s="195">
        <v>0</v>
      </c>
      <c r="H24" s="195">
        <v>0</v>
      </c>
      <c r="I24" s="10">
        <v>0</v>
      </c>
      <c r="J24" s="10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233.59</v>
      </c>
      <c r="P24" s="190">
        <v>0</v>
      </c>
      <c r="Q24" s="190">
        <v>0</v>
      </c>
      <c r="R24" s="190">
        <v>0</v>
      </c>
      <c r="S24" s="190">
        <v>0</v>
      </c>
      <c r="T24" s="190">
        <v>233.59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16.45</v>
      </c>
      <c r="G25" s="195">
        <v>0</v>
      </c>
      <c r="H25" s="195">
        <v>0</v>
      </c>
      <c r="I25" s="10">
        <v>0</v>
      </c>
      <c r="J25" s="10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233.59</v>
      </c>
      <c r="P25" s="190">
        <v>0</v>
      </c>
      <c r="Q25" s="190">
        <v>0</v>
      </c>
      <c r="R25" s="190">
        <v>0</v>
      </c>
      <c r="S25" s="190">
        <v>0</v>
      </c>
      <c r="T25" s="190">
        <v>233.59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16.45</v>
      </c>
      <c r="G26" s="195">
        <v>0</v>
      </c>
      <c r="H26" s="195">
        <v>0</v>
      </c>
      <c r="I26" s="10">
        <v>0</v>
      </c>
      <c r="J26" s="10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233.59</v>
      </c>
      <c r="P26" s="190">
        <v>0</v>
      </c>
      <c r="Q26" s="190">
        <v>0</v>
      </c>
      <c r="R26" s="190">
        <v>0</v>
      </c>
      <c r="S26" s="190">
        <v>0</v>
      </c>
      <c r="T26" s="190">
        <v>233.59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16.45</v>
      </c>
      <c r="G27" s="195">
        <v>0</v>
      </c>
      <c r="H27" s="195">
        <v>0</v>
      </c>
      <c r="I27" s="10">
        <v>0</v>
      </c>
      <c r="J27" s="10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233.59</v>
      </c>
      <c r="P27" s="190">
        <v>0</v>
      </c>
      <c r="Q27" s="190">
        <v>0</v>
      </c>
      <c r="R27" s="190">
        <v>0</v>
      </c>
      <c r="S27" s="190">
        <v>0</v>
      </c>
      <c r="T27" s="190">
        <v>233.59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16.45</v>
      </c>
      <c r="G28" s="195">
        <v>0</v>
      </c>
      <c r="H28" s="195">
        <v>0</v>
      </c>
      <c r="I28" s="10">
        <v>0</v>
      </c>
      <c r="J28" s="10">
        <v>0</v>
      </c>
      <c r="K28" s="11">
        <v>0</v>
      </c>
      <c r="L28" s="190">
        <v>0</v>
      </c>
      <c r="M28" s="190">
        <v>0</v>
      </c>
      <c r="N28" s="190">
        <v>0</v>
      </c>
      <c r="O28" s="190">
        <v>233.59</v>
      </c>
      <c r="P28" s="190">
        <v>0</v>
      </c>
      <c r="Q28" s="190">
        <v>0</v>
      </c>
      <c r="R28" s="190">
        <v>0</v>
      </c>
      <c r="S28" s="190">
        <v>0</v>
      </c>
      <c r="T28" s="190">
        <v>233.59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16.45</v>
      </c>
      <c r="G29" s="195">
        <v>0</v>
      </c>
      <c r="H29" s="195">
        <v>0</v>
      </c>
      <c r="I29" s="10">
        <v>0</v>
      </c>
      <c r="J29" s="10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233.59</v>
      </c>
      <c r="P29" s="190">
        <v>0</v>
      </c>
      <c r="Q29" s="190">
        <v>0</v>
      </c>
      <c r="R29" s="190">
        <v>0</v>
      </c>
      <c r="S29" s="190">
        <v>0</v>
      </c>
      <c r="T29" s="190">
        <v>233.59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16.45</v>
      </c>
      <c r="G30" s="195">
        <v>0</v>
      </c>
      <c r="H30" s="195">
        <v>0</v>
      </c>
      <c r="I30" s="10">
        <v>0</v>
      </c>
      <c r="J30" s="10">
        <v>0</v>
      </c>
      <c r="K30" s="11">
        <v>0</v>
      </c>
      <c r="L30" s="190">
        <v>0</v>
      </c>
      <c r="M30" s="190">
        <v>0</v>
      </c>
      <c r="N30" s="190">
        <v>0</v>
      </c>
      <c r="O30" s="190">
        <v>233.59</v>
      </c>
      <c r="P30" s="190">
        <v>0</v>
      </c>
      <c r="Q30" s="190">
        <v>0</v>
      </c>
      <c r="R30" s="190">
        <v>0</v>
      </c>
      <c r="S30" s="190">
        <v>0</v>
      </c>
      <c r="T30" s="190">
        <v>233.59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16.45</v>
      </c>
      <c r="G31" s="195">
        <v>0</v>
      </c>
      <c r="H31" s="195">
        <v>0</v>
      </c>
      <c r="I31" s="10">
        <v>0</v>
      </c>
      <c r="J31" s="10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233.59</v>
      </c>
      <c r="P31" s="190">
        <v>0</v>
      </c>
      <c r="Q31" s="190">
        <v>0</v>
      </c>
      <c r="R31" s="190">
        <v>0</v>
      </c>
      <c r="S31" s="190">
        <v>0</v>
      </c>
      <c r="T31" s="190">
        <v>233.59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16.45</v>
      </c>
      <c r="G32" s="195">
        <v>0</v>
      </c>
      <c r="H32" s="195">
        <v>0</v>
      </c>
      <c r="I32" s="10">
        <v>0</v>
      </c>
      <c r="J32" s="10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233.59</v>
      </c>
      <c r="P32" s="190">
        <v>0</v>
      </c>
      <c r="Q32" s="190">
        <v>0</v>
      </c>
      <c r="R32" s="190">
        <v>0</v>
      </c>
      <c r="S32" s="190">
        <v>0</v>
      </c>
      <c r="T32" s="190">
        <v>233.59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16.45</v>
      </c>
      <c r="G33" s="195">
        <v>0</v>
      </c>
      <c r="H33" s="195">
        <v>0</v>
      </c>
      <c r="I33" s="10">
        <v>0</v>
      </c>
      <c r="J33" s="10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233.59</v>
      </c>
      <c r="P33" s="190">
        <v>0</v>
      </c>
      <c r="Q33" s="190">
        <v>0</v>
      </c>
      <c r="R33" s="190">
        <v>0</v>
      </c>
      <c r="S33" s="190">
        <v>0</v>
      </c>
      <c r="T33" s="190">
        <v>233.59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16.45</v>
      </c>
      <c r="G34" s="195">
        <v>0</v>
      </c>
      <c r="H34" s="195">
        <v>0</v>
      </c>
      <c r="I34" s="10">
        <v>0</v>
      </c>
      <c r="J34" s="10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233.59</v>
      </c>
      <c r="P34" s="190">
        <v>0</v>
      </c>
      <c r="Q34" s="190">
        <v>0</v>
      </c>
      <c r="R34" s="190">
        <v>0</v>
      </c>
      <c r="S34" s="190">
        <v>0</v>
      </c>
      <c r="T34" s="190">
        <v>233.59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</v>
      </c>
      <c r="F36" s="18">
        <v>493.49999999999977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1">
        <v>0</v>
      </c>
      <c r="M36" s="191">
        <v>0</v>
      </c>
      <c r="N36" s="191">
        <v>0</v>
      </c>
      <c r="O36" s="191">
        <v>7007.7</v>
      </c>
      <c r="P36" s="191">
        <v>0</v>
      </c>
      <c r="Q36" s="191">
        <v>0</v>
      </c>
      <c r="R36" s="191">
        <v>0</v>
      </c>
      <c r="S36" s="191">
        <v>0</v>
      </c>
      <c r="T36" s="191">
        <v>7007.7</v>
      </c>
    </row>
    <row r="37" spans="1:20">
      <c r="R37" s="21"/>
      <c r="S37" s="21"/>
      <c r="T37" s="192">
        <v>8409.24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5CD9-4A64-4C7D-9843-CBD7C1F92270}">
  <sheetPr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272</v>
      </c>
      <c r="H3" s="269" t="s">
        <v>273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65.91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90">
        <v>0</v>
      </c>
      <c r="M5" s="190">
        <v>0</v>
      </c>
      <c r="N5" s="190">
        <v>0</v>
      </c>
      <c r="O5" s="190">
        <v>1410.47</v>
      </c>
      <c r="P5" s="190">
        <v>0</v>
      </c>
      <c r="Q5" s="190">
        <v>0</v>
      </c>
      <c r="R5" s="190">
        <v>0</v>
      </c>
      <c r="S5" s="190">
        <v>0</v>
      </c>
      <c r="T5" s="190">
        <v>1410.47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65.91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1410.47</v>
      </c>
      <c r="P6" s="190">
        <v>0</v>
      </c>
      <c r="Q6" s="190">
        <v>0</v>
      </c>
      <c r="R6" s="190">
        <v>0</v>
      </c>
      <c r="S6" s="190">
        <v>0</v>
      </c>
      <c r="T6" s="190">
        <v>1410.47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65.91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1410.47</v>
      </c>
      <c r="P7" s="190">
        <v>0</v>
      </c>
      <c r="Q7" s="190">
        <v>0</v>
      </c>
      <c r="R7" s="190">
        <v>0</v>
      </c>
      <c r="S7" s="190">
        <v>0</v>
      </c>
      <c r="T7" s="190">
        <v>1410.47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65.91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90">
        <v>0</v>
      </c>
      <c r="M8" s="190">
        <v>0</v>
      </c>
      <c r="N8" s="190">
        <v>0</v>
      </c>
      <c r="O8" s="190">
        <v>1410.47</v>
      </c>
      <c r="P8" s="190">
        <v>0</v>
      </c>
      <c r="Q8" s="190">
        <v>0</v>
      </c>
      <c r="R8" s="190">
        <v>0</v>
      </c>
      <c r="S8" s="190">
        <v>0</v>
      </c>
      <c r="T8" s="190">
        <v>1410.47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65.91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90">
        <v>0</v>
      </c>
      <c r="M9" s="190">
        <v>0</v>
      </c>
      <c r="N9" s="190">
        <v>0</v>
      </c>
      <c r="O9" s="190">
        <v>1410.47</v>
      </c>
      <c r="P9" s="190">
        <v>0</v>
      </c>
      <c r="Q9" s="190">
        <v>0</v>
      </c>
      <c r="R9" s="190">
        <v>0</v>
      </c>
      <c r="S9" s="190">
        <v>0</v>
      </c>
      <c r="T9" s="190">
        <v>1410.47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65.91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1410.47</v>
      </c>
      <c r="P10" s="190">
        <v>0</v>
      </c>
      <c r="Q10" s="190">
        <v>0</v>
      </c>
      <c r="R10" s="190">
        <v>0</v>
      </c>
      <c r="S10" s="190">
        <v>0</v>
      </c>
      <c r="T10" s="190">
        <v>1410.47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65.91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1410.47</v>
      </c>
      <c r="P11" s="190">
        <v>0</v>
      </c>
      <c r="Q11" s="190">
        <v>0</v>
      </c>
      <c r="R11" s="190">
        <v>0</v>
      </c>
      <c r="S11" s="190">
        <v>0</v>
      </c>
      <c r="T11" s="190">
        <v>1410.47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65.91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1410.47</v>
      </c>
      <c r="P12" s="190">
        <v>0</v>
      </c>
      <c r="Q12" s="190">
        <v>0</v>
      </c>
      <c r="R12" s="190">
        <v>0</v>
      </c>
      <c r="S12" s="190">
        <v>0</v>
      </c>
      <c r="T12" s="190">
        <v>1410.47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65.91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1410.47</v>
      </c>
      <c r="P13" s="190">
        <v>0</v>
      </c>
      <c r="Q13" s="190">
        <v>0</v>
      </c>
      <c r="R13" s="190">
        <v>0</v>
      </c>
      <c r="S13" s="190">
        <v>0</v>
      </c>
      <c r="T13" s="190">
        <v>1410.47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22</v>
      </c>
      <c r="F14" s="194">
        <v>43.91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90">
        <v>0</v>
      </c>
      <c r="M14" s="190">
        <v>0</v>
      </c>
      <c r="N14" s="190">
        <v>2501.4</v>
      </c>
      <c r="O14" s="190">
        <v>939.67</v>
      </c>
      <c r="P14" s="190">
        <v>0</v>
      </c>
      <c r="Q14" s="190">
        <v>0</v>
      </c>
      <c r="R14" s="190">
        <v>0</v>
      </c>
      <c r="S14" s="190">
        <v>0</v>
      </c>
      <c r="T14" s="190">
        <v>3441.07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22</v>
      </c>
      <c r="F15" s="194">
        <v>21.91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2501.4</v>
      </c>
      <c r="O15" s="190">
        <v>468.87</v>
      </c>
      <c r="P15" s="190">
        <v>0</v>
      </c>
      <c r="Q15" s="190">
        <v>0</v>
      </c>
      <c r="R15" s="190">
        <v>0</v>
      </c>
      <c r="S15" s="190">
        <v>0</v>
      </c>
      <c r="T15" s="190">
        <v>2970.27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21.91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468.87</v>
      </c>
      <c r="P16" s="190">
        <v>0</v>
      </c>
      <c r="Q16" s="190">
        <v>0</v>
      </c>
      <c r="R16" s="190">
        <v>0</v>
      </c>
      <c r="S16" s="190">
        <v>0</v>
      </c>
      <c r="T16" s="190">
        <v>468.87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21.91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468.87</v>
      </c>
      <c r="P17" s="190">
        <v>0</v>
      </c>
      <c r="Q17" s="190">
        <v>0</v>
      </c>
      <c r="R17" s="190">
        <v>0</v>
      </c>
      <c r="S17" s="190">
        <v>0</v>
      </c>
      <c r="T17" s="190">
        <v>468.87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21.91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468.87</v>
      </c>
      <c r="P18" s="190">
        <v>0</v>
      </c>
      <c r="Q18" s="190">
        <v>0</v>
      </c>
      <c r="R18" s="190">
        <v>0</v>
      </c>
      <c r="S18" s="190">
        <v>0</v>
      </c>
      <c r="T18" s="190">
        <v>468.87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21.91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468.87</v>
      </c>
      <c r="P19" s="190">
        <v>0</v>
      </c>
      <c r="Q19" s="190">
        <v>0</v>
      </c>
      <c r="R19" s="190">
        <v>0</v>
      </c>
      <c r="S19" s="190">
        <v>0</v>
      </c>
      <c r="T19" s="190">
        <v>468.87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21.91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468.87</v>
      </c>
      <c r="P20" s="190">
        <v>0</v>
      </c>
      <c r="Q20" s="190">
        <v>0</v>
      </c>
      <c r="R20" s="190">
        <v>0</v>
      </c>
      <c r="S20" s="190">
        <v>0</v>
      </c>
      <c r="T20" s="190">
        <v>468.87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21.91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468.87</v>
      </c>
      <c r="P21" s="190">
        <v>0</v>
      </c>
      <c r="Q21" s="190">
        <v>0</v>
      </c>
      <c r="R21" s="190">
        <v>0</v>
      </c>
      <c r="S21" s="190">
        <v>0</v>
      </c>
      <c r="T21" s="190">
        <v>468.87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21.91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0</v>
      </c>
      <c r="O22" s="190">
        <v>468.87</v>
      </c>
      <c r="P22" s="190">
        <v>0</v>
      </c>
      <c r="Q22" s="190">
        <v>0</v>
      </c>
      <c r="R22" s="190">
        <v>0</v>
      </c>
      <c r="S22" s="190">
        <v>0</v>
      </c>
      <c r="T22" s="190">
        <v>468.87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21.91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468.87</v>
      </c>
      <c r="P23" s="190">
        <v>0</v>
      </c>
      <c r="Q23" s="190">
        <v>0</v>
      </c>
      <c r="R23" s="190">
        <v>0</v>
      </c>
      <c r="S23" s="190">
        <v>0</v>
      </c>
      <c r="T23" s="190">
        <v>468.87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21.91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468.87</v>
      </c>
      <c r="P24" s="190">
        <v>0</v>
      </c>
      <c r="Q24" s="190">
        <v>0</v>
      </c>
      <c r="R24" s="190">
        <v>0</v>
      </c>
      <c r="S24" s="190">
        <v>0</v>
      </c>
      <c r="T24" s="190">
        <v>468.87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21.91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468.87</v>
      </c>
      <c r="P25" s="190">
        <v>0</v>
      </c>
      <c r="Q25" s="190">
        <v>0</v>
      </c>
      <c r="R25" s="190">
        <v>0</v>
      </c>
      <c r="S25" s="190">
        <v>0</v>
      </c>
      <c r="T25" s="190">
        <v>468.87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21.91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468.87</v>
      </c>
      <c r="P26" s="190">
        <v>0</v>
      </c>
      <c r="Q26" s="190">
        <v>0</v>
      </c>
      <c r="R26" s="190">
        <v>0</v>
      </c>
      <c r="S26" s="190">
        <v>0</v>
      </c>
      <c r="T26" s="190">
        <v>468.87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21.91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468.87</v>
      </c>
      <c r="P27" s="190">
        <v>0</v>
      </c>
      <c r="Q27" s="190">
        <v>0</v>
      </c>
      <c r="R27" s="190">
        <v>0</v>
      </c>
      <c r="S27" s="190">
        <v>0</v>
      </c>
      <c r="T27" s="190">
        <v>468.87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21.91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0</v>
      </c>
      <c r="O28" s="190">
        <v>468.87</v>
      </c>
      <c r="P28" s="190">
        <v>0</v>
      </c>
      <c r="Q28" s="190">
        <v>0</v>
      </c>
      <c r="R28" s="190">
        <v>0</v>
      </c>
      <c r="S28" s="190">
        <v>0</v>
      </c>
      <c r="T28" s="190">
        <v>468.87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21.91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468.87</v>
      </c>
      <c r="P29" s="190">
        <v>0</v>
      </c>
      <c r="Q29" s="190">
        <v>0</v>
      </c>
      <c r="R29" s="190">
        <v>0</v>
      </c>
      <c r="S29" s="190">
        <v>0</v>
      </c>
      <c r="T29" s="190">
        <v>468.87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21.91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0</v>
      </c>
      <c r="O30" s="190">
        <v>468.87</v>
      </c>
      <c r="P30" s="190">
        <v>0</v>
      </c>
      <c r="Q30" s="190">
        <v>0</v>
      </c>
      <c r="R30" s="190">
        <v>0</v>
      </c>
      <c r="S30" s="190">
        <v>0</v>
      </c>
      <c r="T30" s="190">
        <v>468.87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21.91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468.87</v>
      </c>
      <c r="P31" s="190">
        <v>0</v>
      </c>
      <c r="Q31" s="190">
        <v>0</v>
      </c>
      <c r="R31" s="190">
        <v>0</v>
      </c>
      <c r="S31" s="190">
        <v>0</v>
      </c>
      <c r="T31" s="190">
        <v>468.87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21.91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468.87</v>
      </c>
      <c r="P32" s="190">
        <v>0</v>
      </c>
      <c r="Q32" s="190">
        <v>0</v>
      </c>
      <c r="R32" s="190">
        <v>0</v>
      </c>
      <c r="S32" s="190">
        <v>0</v>
      </c>
      <c r="T32" s="190">
        <v>468.87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21.91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468.87</v>
      </c>
      <c r="P33" s="190">
        <v>0</v>
      </c>
      <c r="Q33" s="190">
        <v>0</v>
      </c>
      <c r="R33" s="190">
        <v>0</v>
      </c>
      <c r="S33" s="190">
        <v>0</v>
      </c>
      <c r="T33" s="190">
        <v>468.87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21.91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468.87</v>
      </c>
      <c r="P34" s="190">
        <v>0</v>
      </c>
      <c r="Q34" s="190">
        <v>0</v>
      </c>
      <c r="R34" s="190">
        <v>0</v>
      </c>
      <c r="S34" s="190">
        <v>0</v>
      </c>
      <c r="T34" s="190">
        <v>468.87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44</v>
      </c>
      <c r="F36" s="18">
        <v>1075.2999999999995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1">
        <v>0</v>
      </c>
      <c r="M36" s="191">
        <v>0</v>
      </c>
      <c r="N36" s="191">
        <v>5002.8</v>
      </c>
      <c r="O36" s="191">
        <v>23011.42</v>
      </c>
      <c r="P36" s="191">
        <v>0</v>
      </c>
      <c r="Q36" s="191">
        <v>0</v>
      </c>
      <c r="R36" s="191">
        <v>0</v>
      </c>
      <c r="S36" s="191">
        <v>0</v>
      </c>
      <c r="T36" s="191">
        <v>28014.22</v>
      </c>
    </row>
    <row r="37" spans="1:20">
      <c r="R37" s="21"/>
      <c r="S37" s="21"/>
      <c r="T37" s="192">
        <v>33617.06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FCEE-3008-4787-89E6-76146A2FAAD4}">
  <sheetPr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272</v>
      </c>
      <c r="H3" s="269" t="s">
        <v>273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112</v>
      </c>
      <c r="E5" s="194">
        <v>0</v>
      </c>
      <c r="F5" s="194">
        <v>3432.1260000000002</v>
      </c>
      <c r="G5" s="195">
        <v>567.8739999999998</v>
      </c>
      <c r="H5" s="195">
        <v>488</v>
      </c>
      <c r="I5" s="10">
        <v>0</v>
      </c>
      <c r="J5" s="11">
        <v>0</v>
      </c>
      <c r="K5" s="11">
        <v>0</v>
      </c>
      <c r="L5" s="190">
        <v>0</v>
      </c>
      <c r="M5" s="190">
        <v>12734.4</v>
      </c>
      <c r="N5" s="190">
        <v>0</v>
      </c>
      <c r="O5" s="190">
        <v>73447.5</v>
      </c>
      <c r="P5" s="190">
        <v>12152.5</v>
      </c>
      <c r="Q5" s="190">
        <v>55485.599999999999</v>
      </c>
      <c r="R5" s="190">
        <v>0</v>
      </c>
      <c r="S5" s="190">
        <v>0</v>
      </c>
      <c r="T5" s="190">
        <v>153820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3432.1260000000002</v>
      </c>
      <c r="G6" s="195">
        <v>567.8739999999998</v>
      </c>
      <c r="H6" s="195">
        <v>600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73447.5</v>
      </c>
      <c r="P6" s="190">
        <v>12152.5</v>
      </c>
      <c r="Q6" s="190">
        <v>68220</v>
      </c>
      <c r="R6" s="190">
        <v>0</v>
      </c>
      <c r="S6" s="190">
        <v>0</v>
      </c>
      <c r="T6" s="190">
        <v>153820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3432.1260000000002</v>
      </c>
      <c r="G7" s="195">
        <v>567.8739999999998</v>
      </c>
      <c r="H7" s="195">
        <v>600</v>
      </c>
      <c r="I7" s="10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73447.5</v>
      </c>
      <c r="P7" s="190">
        <v>12152.5</v>
      </c>
      <c r="Q7" s="190">
        <v>68220</v>
      </c>
      <c r="R7" s="190">
        <v>0</v>
      </c>
      <c r="S7" s="190">
        <v>0</v>
      </c>
      <c r="T7" s="190">
        <v>153820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3432.1260000000002</v>
      </c>
      <c r="G8" s="195">
        <v>567.8739999999998</v>
      </c>
      <c r="H8" s="195">
        <v>600</v>
      </c>
      <c r="I8" s="10">
        <v>0</v>
      </c>
      <c r="J8" s="11">
        <v>0</v>
      </c>
      <c r="K8" s="11">
        <v>0</v>
      </c>
      <c r="L8" s="190">
        <v>0</v>
      </c>
      <c r="M8" s="190">
        <v>0</v>
      </c>
      <c r="N8" s="190">
        <v>0</v>
      </c>
      <c r="O8" s="190">
        <v>73447.5</v>
      </c>
      <c r="P8" s="190">
        <v>12152.5</v>
      </c>
      <c r="Q8" s="190">
        <v>68220</v>
      </c>
      <c r="R8" s="190">
        <v>0</v>
      </c>
      <c r="S8" s="190">
        <v>0</v>
      </c>
      <c r="T8" s="190">
        <v>153820</v>
      </c>
    </row>
    <row r="9" spans="1:20">
      <c r="A9" s="13">
        <v>5</v>
      </c>
      <c r="B9" s="196" t="s">
        <v>210</v>
      </c>
      <c r="C9" s="197"/>
      <c r="D9" s="194">
        <v>157.5</v>
      </c>
      <c r="E9" s="194">
        <v>143.25</v>
      </c>
      <c r="F9" s="194">
        <v>3446.3760000000002</v>
      </c>
      <c r="G9" s="195">
        <v>553.6239999999998</v>
      </c>
      <c r="H9" s="195">
        <v>299.25</v>
      </c>
      <c r="I9" s="10">
        <v>0</v>
      </c>
      <c r="J9" s="11">
        <v>0</v>
      </c>
      <c r="K9" s="11">
        <v>0</v>
      </c>
      <c r="L9" s="190">
        <v>0</v>
      </c>
      <c r="M9" s="190">
        <v>17907.75</v>
      </c>
      <c r="N9" s="190">
        <v>16287.53</v>
      </c>
      <c r="O9" s="190">
        <v>73752.45</v>
      </c>
      <c r="P9" s="190">
        <v>11847.55</v>
      </c>
      <c r="Q9" s="190">
        <v>34024.730000000003</v>
      </c>
      <c r="R9" s="190">
        <v>0</v>
      </c>
      <c r="S9" s="190">
        <v>0</v>
      </c>
      <c r="T9" s="190">
        <v>153820</v>
      </c>
    </row>
    <row r="10" spans="1:20">
      <c r="A10" s="13">
        <v>6</v>
      </c>
      <c r="B10" s="196" t="s">
        <v>211</v>
      </c>
      <c r="C10" s="197"/>
      <c r="D10" s="194">
        <v>22.5</v>
      </c>
      <c r="E10" s="194">
        <v>46.875</v>
      </c>
      <c r="F10" s="194">
        <v>3422.0010000000002</v>
      </c>
      <c r="G10" s="195">
        <v>577.9989999999998</v>
      </c>
      <c r="H10" s="195">
        <v>530.625</v>
      </c>
      <c r="I10" s="10">
        <v>0</v>
      </c>
      <c r="J10" s="11">
        <v>0</v>
      </c>
      <c r="K10" s="11">
        <v>0</v>
      </c>
      <c r="L10" s="190">
        <v>0</v>
      </c>
      <c r="M10" s="190">
        <v>2558.25</v>
      </c>
      <c r="N10" s="190">
        <v>5329.69</v>
      </c>
      <c r="O10" s="190">
        <v>73230.820000000007</v>
      </c>
      <c r="P10" s="190">
        <v>12369.18</v>
      </c>
      <c r="Q10" s="190">
        <v>60332.06</v>
      </c>
      <c r="R10" s="190">
        <v>0</v>
      </c>
      <c r="S10" s="190">
        <v>0</v>
      </c>
      <c r="T10" s="190">
        <v>153820</v>
      </c>
    </row>
    <row r="11" spans="1:20">
      <c r="A11" s="13">
        <v>7</v>
      </c>
      <c r="B11" s="196" t="s">
        <v>212</v>
      </c>
      <c r="C11" s="197"/>
      <c r="D11" s="194">
        <v>155</v>
      </c>
      <c r="E11" s="194">
        <v>26.125</v>
      </c>
      <c r="F11" s="194">
        <v>3550.8760000000002</v>
      </c>
      <c r="G11" s="195">
        <v>449.1239999999998</v>
      </c>
      <c r="H11" s="195">
        <v>418.875</v>
      </c>
      <c r="I11" s="10">
        <v>0</v>
      </c>
      <c r="J11" s="11">
        <v>0</v>
      </c>
      <c r="K11" s="11">
        <v>0</v>
      </c>
      <c r="L11" s="190">
        <v>0</v>
      </c>
      <c r="M11" s="190">
        <v>17623.5</v>
      </c>
      <c r="N11" s="190">
        <v>2970.41</v>
      </c>
      <c r="O11" s="190">
        <v>75988.75</v>
      </c>
      <c r="P11" s="190">
        <v>9611.25</v>
      </c>
      <c r="Q11" s="190">
        <v>47626.09</v>
      </c>
      <c r="R11" s="190">
        <v>0</v>
      </c>
      <c r="S11" s="190">
        <v>0</v>
      </c>
      <c r="T11" s="190">
        <v>153820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3550.8760000000002</v>
      </c>
      <c r="G12" s="195">
        <v>449.1239999999998</v>
      </c>
      <c r="H12" s="195">
        <v>600</v>
      </c>
      <c r="I12" s="10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75988.75</v>
      </c>
      <c r="P12" s="190">
        <v>9611.25</v>
      </c>
      <c r="Q12" s="190">
        <v>68220</v>
      </c>
      <c r="R12" s="190">
        <v>0</v>
      </c>
      <c r="S12" s="190">
        <v>0</v>
      </c>
      <c r="T12" s="190">
        <v>153820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3550.8760000000002</v>
      </c>
      <c r="G13" s="195">
        <v>449.1239999999998</v>
      </c>
      <c r="H13" s="195">
        <v>600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75988.75</v>
      </c>
      <c r="P13" s="190">
        <v>9611.25</v>
      </c>
      <c r="Q13" s="190">
        <v>68220</v>
      </c>
      <c r="R13" s="190">
        <v>0</v>
      </c>
      <c r="S13" s="190">
        <v>0</v>
      </c>
      <c r="T13" s="190">
        <v>153820</v>
      </c>
    </row>
    <row r="14" spans="1:20">
      <c r="A14" s="13">
        <v>10</v>
      </c>
      <c r="B14" s="196" t="s">
        <v>215</v>
      </c>
      <c r="C14" s="197"/>
      <c r="D14" s="194">
        <v>110</v>
      </c>
      <c r="E14" s="194">
        <v>22</v>
      </c>
      <c r="F14" s="194">
        <v>3638.8760000000002</v>
      </c>
      <c r="G14" s="195">
        <v>361.1239999999998</v>
      </c>
      <c r="H14" s="195">
        <v>468</v>
      </c>
      <c r="I14" s="10">
        <v>0</v>
      </c>
      <c r="J14" s="11">
        <v>0</v>
      </c>
      <c r="K14" s="11">
        <v>0</v>
      </c>
      <c r="L14" s="190">
        <v>0</v>
      </c>
      <c r="M14" s="190">
        <v>12507</v>
      </c>
      <c r="N14" s="190">
        <v>2501.4</v>
      </c>
      <c r="O14" s="190">
        <v>77871.95</v>
      </c>
      <c r="P14" s="190">
        <v>7728.05</v>
      </c>
      <c r="Q14" s="190">
        <v>53211.6</v>
      </c>
      <c r="R14" s="190">
        <v>0</v>
      </c>
      <c r="S14" s="190">
        <v>0</v>
      </c>
      <c r="T14" s="190">
        <v>153820</v>
      </c>
    </row>
    <row r="15" spans="1:20">
      <c r="A15" s="13">
        <v>11</v>
      </c>
      <c r="B15" s="196" t="s">
        <v>216</v>
      </c>
      <c r="C15" s="197"/>
      <c r="D15" s="194">
        <v>110</v>
      </c>
      <c r="E15" s="194">
        <v>0</v>
      </c>
      <c r="F15" s="194">
        <v>3748.8760000000002</v>
      </c>
      <c r="G15" s="195">
        <v>251.1239999999998</v>
      </c>
      <c r="H15" s="195">
        <v>490</v>
      </c>
      <c r="I15" s="10">
        <v>0</v>
      </c>
      <c r="J15" s="11">
        <v>0</v>
      </c>
      <c r="K15" s="11">
        <v>0</v>
      </c>
      <c r="L15" s="190">
        <v>0</v>
      </c>
      <c r="M15" s="190">
        <v>12507</v>
      </c>
      <c r="N15" s="190">
        <v>0</v>
      </c>
      <c r="O15" s="190">
        <v>80225.95</v>
      </c>
      <c r="P15" s="190">
        <v>5374.05</v>
      </c>
      <c r="Q15" s="190">
        <v>55713</v>
      </c>
      <c r="R15" s="190">
        <v>0</v>
      </c>
      <c r="S15" s="190">
        <v>0</v>
      </c>
      <c r="T15" s="190">
        <v>153820</v>
      </c>
    </row>
    <row r="16" spans="1:20">
      <c r="A16" s="13">
        <v>12</v>
      </c>
      <c r="B16" s="196" t="s">
        <v>217</v>
      </c>
      <c r="C16" s="197"/>
      <c r="D16" s="194">
        <v>154</v>
      </c>
      <c r="E16" s="194">
        <v>0</v>
      </c>
      <c r="F16" s="194">
        <v>3902.8760000000002</v>
      </c>
      <c r="G16" s="195">
        <v>97.123999999999796</v>
      </c>
      <c r="H16" s="195">
        <v>446</v>
      </c>
      <c r="I16" s="10">
        <v>0</v>
      </c>
      <c r="J16" s="11">
        <v>0</v>
      </c>
      <c r="K16" s="11">
        <v>0</v>
      </c>
      <c r="L16" s="190">
        <v>0</v>
      </c>
      <c r="M16" s="190">
        <v>17509.8</v>
      </c>
      <c r="N16" s="190">
        <v>0</v>
      </c>
      <c r="O16" s="190">
        <v>83521.55</v>
      </c>
      <c r="P16" s="190">
        <v>2078.4499999999998</v>
      </c>
      <c r="Q16" s="190">
        <v>50710.2</v>
      </c>
      <c r="R16" s="190">
        <v>0</v>
      </c>
      <c r="S16" s="190">
        <v>0</v>
      </c>
      <c r="T16" s="190">
        <v>153820</v>
      </c>
    </row>
    <row r="17" spans="1:20">
      <c r="A17" s="13">
        <v>13</v>
      </c>
      <c r="B17" s="196" t="s">
        <v>218</v>
      </c>
      <c r="C17" s="197"/>
      <c r="D17" s="194">
        <v>22.5</v>
      </c>
      <c r="E17" s="194">
        <v>16.5</v>
      </c>
      <c r="F17" s="194">
        <v>3908.8760000000002</v>
      </c>
      <c r="G17" s="195">
        <v>91.123999999999796</v>
      </c>
      <c r="H17" s="195">
        <v>561</v>
      </c>
      <c r="I17" s="10">
        <v>0</v>
      </c>
      <c r="J17" s="11">
        <v>0</v>
      </c>
      <c r="K17" s="11">
        <v>0</v>
      </c>
      <c r="L17" s="190">
        <v>0</v>
      </c>
      <c r="M17" s="190">
        <v>2558.25</v>
      </c>
      <c r="N17" s="190">
        <v>1876.05</v>
      </c>
      <c r="O17" s="190">
        <v>83649.95</v>
      </c>
      <c r="P17" s="190">
        <v>1950.05</v>
      </c>
      <c r="Q17" s="190">
        <v>63785.7</v>
      </c>
      <c r="R17" s="190">
        <v>0</v>
      </c>
      <c r="S17" s="190">
        <v>0</v>
      </c>
      <c r="T17" s="190">
        <v>153820</v>
      </c>
    </row>
    <row r="18" spans="1:20">
      <c r="A18" s="13">
        <v>14</v>
      </c>
      <c r="B18" s="196" t="s">
        <v>219</v>
      </c>
      <c r="C18" s="197"/>
      <c r="D18" s="194">
        <v>22.5</v>
      </c>
      <c r="E18" s="194">
        <v>0</v>
      </c>
      <c r="F18" s="194">
        <v>3931.3760000000002</v>
      </c>
      <c r="G18" s="195">
        <v>68.623999999999796</v>
      </c>
      <c r="H18" s="195">
        <v>577.5</v>
      </c>
      <c r="I18" s="10">
        <v>0</v>
      </c>
      <c r="J18" s="11">
        <v>0</v>
      </c>
      <c r="K18" s="11">
        <v>0</v>
      </c>
      <c r="L18" s="190">
        <v>0</v>
      </c>
      <c r="M18" s="190">
        <v>2558.25</v>
      </c>
      <c r="N18" s="190">
        <v>0</v>
      </c>
      <c r="O18" s="190">
        <v>84131.45</v>
      </c>
      <c r="P18" s="190">
        <v>1468.55</v>
      </c>
      <c r="Q18" s="190">
        <v>65661.75</v>
      </c>
      <c r="R18" s="190">
        <v>0</v>
      </c>
      <c r="S18" s="190">
        <v>0</v>
      </c>
      <c r="T18" s="190">
        <v>153820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3931.3760000000002</v>
      </c>
      <c r="G19" s="195">
        <v>68.623999999999796</v>
      </c>
      <c r="H19" s="195">
        <v>600</v>
      </c>
      <c r="I19" s="10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84131.45</v>
      </c>
      <c r="P19" s="190">
        <v>1468.55</v>
      </c>
      <c r="Q19" s="190">
        <v>68220</v>
      </c>
      <c r="R19" s="190">
        <v>0</v>
      </c>
      <c r="S19" s="190">
        <v>0</v>
      </c>
      <c r="T19" s="190">
        <v>153820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3931.3760000000002</v>
      </c>
      <c r="G20" s="195">
        <v>68.623999999999796</v>
      </c>
      <c r="H20" s="195">
        <v>600</v>
      </c>
      <c r="I20" s="10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84131.45</v>
      </c>
      <c r="P20" s="190">
        <v>1468.55</v>
      </c>
      <c r="Q20" s="190">
        <v>68220</v>
      </c>
      <c r="R20" s="190">
        <v>0</v>
      </c>
      <c r="S20" s="190">
        <v>0</v>
      </c>
      <c r="T20" s="190">
        <v>153820</v>
      </c>
    </row>
    <row r="21" spans="1:20">
      <c r="A21" s="13">
        <v>17</v>
      </c>
      <c r="B21" s="196" t="s">
        <v>222</v>
      </c>
      <c r="C21" s="197"/>
      <c r="D21" s="194">
        <v>43.375</v>
      </c>
      <c r="E21" s="194">
        <v>38</v>
      </c>
      <c r="F21" s="194">
        <v>3936.7510000000002</v>
      </c>
      <c r="G21" s="195">
        <v>63.248999999999796</v>
      </c>
      <c r="H21" s="195">
        <v>518.625</v>
      </c>
      <c r="I21" s="10">
        <v>0</v>
      </c>
      <c r="J21" s="11">
        <v>0</v>
      </c>
      <c r="K21" s="11">
        <v>0</v>
      </c>
      <c r="L21" s="190">
        <v>0</v>
      </c>
      <c r="M21" s="190">
        <v>4931.74</v>
      </c>
      <c r="N21" s="190">
        <v>4320.6000000000004</v>
      </c>
      <c r="O21" s="190">
        <v>84246.47</v>
      </c>
      <c r="P21" s="190">
        <v>1353.53</v>
      </c>
      <c r="Q21" s="190">
        <v>58967.66</v>
      </c>
      <c r="R21" s="190">
        <v>0</v>
      </c>
      <c r="S21" s="190">
        <v>0</v>
      </c>
      <c r="T21" s="190">
        <v>153820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64.875</v>
      </c>
      <c r="F22" s="194">
        <v>3871.8760000000002</v>
      </c>
      <c r="G22" s="195">
        <v>128.1239999999998</v>
      </c>
      <c r="H22" s="195">
        <v>535.125</v>
      </c>
      <c r="I22" s="10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7376.29</v>
      </c>
      <c r="O22" s="190">
        <v>82858.149999999994</v>
      </c>
      <c r="P22" s="190">
        <v>2741.85</v>
      </c>
      <c r="Q22" s="190">
        <v>60843.71</v>
      </c>
      <c r="R22" s="190">
        <v>0</v>
      </c>
      <c r="S22" s="190">
        <v>0</v>
      </c>
      <c r="T22" s="190">
        <v>153820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3871.8760000000002</v>
      </c>
      <c r="G23" s="195">
        <v>128.1239999999998</v>
      </c>
      <c r="H23" s="195">
        <v>600</v>
      </c>
      <c r="I23" s="10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82858.149999999994</v>
      </c>
      <c r="P23" s="190">
        <v>2741.85</v>
      </c>
      <c r="Q23" s="190">
        <v>68220</v>
      </c>
      <c r="R23" s="190">
        <v>0</v>
      </c>
      <c r="S23" s="190">
        <v>0</v>
      </c>
      <c r="T23" s="190">
        <v>153820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27.75</v>
      </c>
      <c r="F24" s="194">
        <v>3844.1260000000002</v>
      </c>
      <c r="G24" s="195">
        <v>155.8739999999998</v>
      </c>
      <c r="H24" s="195">
        <v>572.25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3155.18</v>
      </c>
      <c r="O24" s="190">
        <v>82264.3</v>
      </c>
      <c r="P24" s="190">
        <v>3335.7</v>
      </c>
      <c r="Q24" s="190">
        <v>65064.83</v>
      </c>
      <c r="R24" s="190">
        <v>0</v>
      </c>
      <c r="S24" s="190">
        <v>0</v>
      </c>
      <c r="T24" s="190">
        <v>153820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3844.1260000000002</v>
      </c>
      <c r="G25" s="195">
        <v>155.8739999999998</v>
      </c>
      <c r="H25" s="195">
        <v>600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82264.3</v>
      </c>
      <c r="P25" s="190">
        <v>3335.7</v>
      </c>
      <c r="Q25" s="190">
        <v>68220</v>
      </c>
      <c r="R25" s="190">
        <v>0</v>
      </c>
      <c r="S25" s="190">
        <v>0</v>
      </c>
      <c r="T25" s="190">
        <v>153820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3844.1260000000002</v>
      </c>
      <c r="G26" s="195">
        <v>155.8739999999998</v>
      </c>
      <c r="H26" s="195">
        <v>600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82264.3</v>
      </c>
      <c r="P26" s="190">
        <v>3335.7</v>
      </c>
      <c r="Q26" s="190">
        <v>68220</v>
      </c>
      <c r="R26" s="190">
        <v>0</v>
      </c>
      <c r="S26" s="190">
        <v>0</v>
      </c>
      <c r="T26" s="190">
        <v>153820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3844.1260000000002</v>
      </c>
      <c r="G27" s="195">
        <v>155.8739999999998</v>
      </c>
      <c r="H27" s="195">
        <v>600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82264.3</v>
      </c>
      <c r="P27" s="190">
        <v>3335.7</v>
      </c>
      <c r="Q27" s="190">
        <v>68220</v>
      </c>
      <c r="R27" s="190">
        <v>0</v>
      </c>
      <c r="S27" s="190">
        <v>0</v>
      </c>
      <c r="T27" s="190">
        <v>153820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23.375</v>
      </c>
      <c r="F28" s="194">
        <v>3820.7510000000002</v>
      </c>
      <c r="G28" s="195">
        <v>179.2489999999998</v>
      </c>
      <c r="H28" s="195">
        <v>576.625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2657.74</v>
      </c>
      <c r="O28" s="190">
        <v>81764.070000000007</v>
      </c>
      <c r="P28" s="190">
        <v>3835.93</v>
      </c>
      <c r="Q28" s="190">
        <v>65562.259999999995</v>
      </c>
      <c r="R28" s="190">
        <v>0</v>
      </c>
      <c r="S28" s="190">
        <v>0</v>
      </c>
      <c r="T28" s="190">
        <v>153820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17.8</v>
      </c>
      <c r="F29" s="194">
        <v>3802.951</v>
      </c>
      <c r="G29" s="195">
        <v>197.04899999999998</v>
      </c>
      <c r="H29" s="195">
        <v>582.20000000000005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2023.86</v>
      </c>
      <c r="O29" s="190">
        <v>81383.149999999994</v>
      </c>
      <c r="P29" s="190">
        <v>4216.8500000000004</v>
      </c>
      <c r="Q29" s="190">
        <v>66196.14</v>
      </c>
      <c r="R29" s="190">
        <v>0</v>
      </c>
      <c r="S29" s="190">
        <v>0</v>
      </c>
      <c r="T29" s="190">
        <v>153820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11.125</v>
      </c>
      <c r="F30" s="194">
        <v>3791.826</v>
      </c>
      <c r="G30" s="195">
        <v>208.17399999999998</v>
      </c>
      <c r="H30" s="195">
        <v>588.875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1264.9100000000001</v>
      </c>
      <c r="O30" s="190">
        <v>81145.08</v>
      </c>
      <c r="P30" s="190">
        <v>4454.92</v>
      </c>
      <c r="Q30" s="190">
        <v>66955.09</v>
      </c>
      <c r="R30" s="190">
        <v>0</v>
      </c>
      <c r="S30" s="190">
        <v>0</v>
      </c>
      <c r="T30" s="190">
        <v>153820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42.411999999999999</v>
      </c>
      <c r="F31" s="194">
        <v>3749.4140000000002</v>
      </c>
      <c r="G31" s="195">
        <v>250.58599999999979</v>
      </c>
      <c r="H31" s="195">
        <v>557.58799999999997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4822.24</v>
      </c>
      <c r="O31" s="190">
        <v>80237.460000000006</v>
      </c>
      <c r="P31" s="190">
        <v>5362.54</v>
      </c>
      <c r="Q31" s="190">
        <v>63397.760000000002</v>
      </c>
      <c r="R31" s="190">
        <v>0</v>
      </c>
      <c r="S31" s="190">
        <v>0</v>
      </c>
      <c r="T31" s="190">
        <v>153820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5.625</v>
      </c>
      <c r="F32" s="194">
        <v>3743.7890000000002</v>
      </c>
      <c r="G32" s="195">
        <v>256.21099999999979</v>
      </c>
      <c r="H32" s="195">
        <v>594.375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639.55999999999995</v>
      </c>
      <c r="O32" s="190">
        <v>80117.08</v>
      </c>
      <c r="P32" s="190">
        <v>5482.92</v>
      </c>
      <c r="Q32" s="190">
        <v>67580.44</v>
      </c>
      <c r="R32" s="190">
        <v>0</v>
      </c>
      <c r="S32" s="190">
        <v>0</v>
      </c>
      <c r="T32" s="190">
        <v>153820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3743.7890000000002</v>
      </c>
      <c r="G33" s="195">
        <v>256.21099999999979</v>
      </c>
      <c r="H33" s="195">
        <v>600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80117.08</v>
      </c>
      <c r="P33" s="190">
        <v>5482.92</v>
      </c>
      <c r="Q33" s="190">
        <v>68220</v>
      </c>
      <c r="R33" s="190">
        <v>0</v>
      </c>
      <c r="S33" s="190">
        <v>0</v>
      </c>
      <c r="T33" s="190">
        <v>153820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3743.7890000000002</v>
      </c>
      <c r="G34" s="195">
        <v>256.21099999999979</v>
      </c>
      <c r="H34" s="195">
        <v>600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80117.08</v>
      </c>
      <c r="P34" s="190">
        <v>5482.92</v>
      </c>
      <c r="Q34" s="190">
        <v>68220</v>
      </c>
      <c r="R34" s="190">
        <v>0</v>
      </c>
      <c r="S34" s="190">
        <v>0</v>
      </c>
      <c r="T34" s="190">
        <v>153820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909.375</v>
      </c>
      <c r="E36" s="18">
        <v>485.71199999999999</v>
      </c>
      <c r="F36" s="18">
        <v>111696.45700000007</v>
      </c>
      <c r="G36" s="18">
        <v>8303.5429999999924</v>
      </c>
      <c r="H36" s="18">
        <v>16604.913</v>
      </c>
      <c r="I36" s="18">
        <v>0</v>
      </c>
      <c r="J36" s="19">
        <v>0</v>
      </c>
      <c r="K36" s="19">
        <v>0</v>
      </c>
      <c r="L36" s="191">
        <v>0</v>
      </c>
      <c r="M36" s="191">
        <v>103395.94</v>
      </c>
      <c r="N36" s="191">
        <v>55225.45</v>
      </c>
      <c r="O36" s="191">
        <v>2390304.1800000002</v>
      </c>
      <c r="P36" s="191">
        <v>177695.82</v>
      </c>
      <c r="Q36" s="191">
        <v>1887978.61</v>
      </c>
      <c r="R36" s="191">
        <v>0</v>
      </c>
      <c r="S36" s="191">
        <v>0</v>
      </c>
      <c r="T36" s="191">
        <v>4614600</v>
      </c>
    </row>
    <row r="37" spans="1:20">
      <c r="R37" s="21"/>
      <c r="S37" s="21"/>
      <c r="T37" s="192">
        <v>5537520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DFE7-2102-49A5-9F94-3EF353BFF595}">
  <sheetPr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272</v>
      </c>
      <c r="H3" s="269" t="s">
        <v>273</v>
      </c>
      <c r="I3" s="269" t="s">
        <v>7</v>
      </c>
      <c r="J3" s="269" t="s">
        <v>8</v>
      </c>
      <c r="K3" s="269" t="s">
        <v>204</v>
      </c>
      <c r="L3" s="269" t="s">
        <v>244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49.774999999999999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90">
        <v>0</v>
      </c>
      <c r="M5" s="190">
        <v>0</v>
      </c>
      <c r="N5" s="190">
        <v>0</v>
      </c>
      <c r="O5" s="190">
        <v>1065.19</v>
      </c>
      <c r="P5" s="190">
        <v>0</v>
      </c>
      <c r="Q5" s="190">
        <v>0</v>
      </c>
      <c r="R5" s="190">
        <v>0</v>
      </c>
      <c r="S5" s="190">
        <v>0</v>
      </c>
      <c r="T5" s="190">
        <v>1065.19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49.774999999999999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90">
        <v>0</v>
      </c>
      <c r="M6" s="190">
        <v>0</v>
      </c>
      <c r="N6" s="190">
        <v>0</v>
      </c>
      <c r="O6" s="190">
        <v>1065.19</v>
      </c>
      <c r="P6" s="190">
        <v>0</v>
      </c>
      <c r="Q6" s="190">
        <v>0</v>
      </c>
      <c r="R6" s="190">
        <v>0</v>
      </c>
      <c r="S6" s="190">
        <v>0</v>
      </c>
      <c r="T6" s="190">
        <v>1065.19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49.774999999999999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90">
        <v>0</v>
      </c>
      <c r="M7" s="190">
        <v>0</v>
      </c>
      <c r="N7" s="190">
        <v>0</v>
      </c>
      <c r="O7" s="190">
        <v>1065.19</v>
      </c>
      <c r="P7" s="190">
        <v>0</v>
      </c>
      <c r="Q7" s="190">
        <v>0</v>
      </c>
      <c r="R7" s="190">
        <v>0</v>
      </c>
      <c r="S7" s="190">
        <v>0</v>
      </c>
      <c r="T7" s="190">
        <v>1065.19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49.774999999999999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90">
        <v>0</v>
      </c>
      <c r="M8" s="190">
        <v>0</v>
      </c>
      <c r="N8" s="190">
        <v>0</v>
      </c>
      <c r="O8" s="190">
        <v>1065.19</v>
      </c>
      <c r="P8" s="190">
        <v>0</v>
      </c>
      <c r="Q8" s="190">
        <v>0</v>
      </c>
      <c r="R8" s="190">
        <v>0</v>
      </c>
      <c r="S8" s="190">
        <v>0</v>
      </c>
      <c r="T8" s="190">
        <v>1065.19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49.774999999999999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90">
        <v>0</v>
      </c>
      <c r="M9" s="190">
        <v>0</v>
      </c>
      <c r="N9" s="190">
        <v>0</v>
      </c>
      <c r="O9" s="190">
        <v>1065.19</v>
      </c>
      <c r="P9" s="190">
        <v>0</v>
      </c>
      <c r="Q9" s="190">
        <v>0</v>
      </c>
      <c r="R9" s="190">
        <v>0</v>
      </c>
      <c r="S9" s="190">
        <v>0</v>
      </c>
      <c r="T9" s="190">
        <v>1065.19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49.774999999999999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90">
        <v>0</v>
      </c>
      <c r="M10" s="190">
        <v>0</v>
      </c>
      <c r="N10" s="190">
        <v>0</v>
      </c>
      <c r="O10" s="190">
        <v>1065.19</v>
      </c>
      <c r="P10" s="190">
        <v>0</v>
      </c>
      <c r="Q10" s="190">
        <v>0</v>
      </c>
      <c r="R10" s="190">
        <v>0</v>
      </c>
      <c r="S10" s="190">
        <v>0</v>
      </c>
      <c r="T10" s="190">
        <v>1065.19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49.774999999999999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90">
        <v>0</v>
      </c>
      <c r="M11" s="190">
        <v>0</v>
      </c>
      <c r="N11" s="190">
        <v>0</v>
      </c>
      <c r="O11" s="190">
        <v>1065.19</v>
      </c>
      <c r="P11" s="190">
        <v>0</v>
      </c>
      <c r="Q11" s="190">
        <v>0</v>
      </c>
      <c r="R11" s="190">
        <v>0</v>
      </c>
      <c r="S11" s="190">
        <v>0</v>
      </c>
      <c r="T11" s="190">
        <v>1065.19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49.774999999999999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90">
        <v>0</v>
      </c>
      <c r="M12" s="190">
        <v>0</v>
      </c>
      <c r="N12" s="190">
        <v>0</v>
      </c>
      <c r="O12" s="190">
        <v>1065.19</v>
      </c>
      <c r="P12" s="190">
        <v>0</v>
      </c>
      <c r="Q12" s="190">
        <v>0</v>
      </c>
      <c r="R12" s="190">
        <v>0</v>
      </c>
      <c r="S12" s="190">
        <v>0</v>
      </c>
      <c r="T12" s="190">
        <v>1065.19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49.774999999999999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90">
        <v>0</v>
      </c>
      <c r="M13" s="190">
        <v>0</v>
      </c>
      <c r="N13" s="190">
        <v>0</v>
      </c>
      <c r="O13" s="190">
        <v>1065.19</v>
      </c>
      <c r="P13" s="190">
        <v>0</v>
      </c>
      <c r="Q13" s="190">
        <v>0</v>
      </c>
      <c r="R13" s="190">
        <v>0</v>
      </c>
      <c r="S13" s="190">
        <v>0</v>
      </c>
      <c r="T13" s="190">
        <v>1065.19</v>
      </c>
    </row>
    <row r="14" spans="1:20">
      <c r="A14" s="13">
        <v>10</v>
      </c>
      <c r="B14" s="196" t="s">
        <v>215</v>
      </c>
      <c r="C14" s="197"/>
      <c r="D14" s="194">
        <v>66</v>
      </c>
      <c r="E14" s="194">
        <v>0</v>
      </c>
      <c r="F14" s="194">
        <v>115.77500000000001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90">
        <v>0</v>
      </c>
      <c r="M14" s="190">
        <v>7504.2</v>
      </c>
      <c r="N14" s="190">
        <v>0</v>
      </c>
      <c r="O14" s="190">
        <v>2477.59</v>
      </c>
      <c r="P14" s="190">
        <v>0</v>
      </c>
      <c r="Q14" s="190">
        <v>0</v>
      </c>
      <c r="R14" s="190">
        <v>0</v>
      </c>
      <c r="S14" s="190">
        <v>0</v>
      </c>
      <c r="T14" s="190">
        <v>9981.7900000000009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115.77500000000001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90">
        <v>0</v>
      </c>
      <c r="M15" s="190">
        <v>0</v>
      </c>
      <c r="N15" s="190">
        <v>0</v>
      </c>
      <c r="O15" s="190">
        <v>2477.59</v>
      </c>
      <c r="P15" s="190">
        <v>0</v>
      </c>
      <c r="Q15" s="190">
        <v>0</v>
      </c>
      <c r="R15" s="190">
        <v>0</v>
      </c>
      <c r="S15" s="190">
        <v>0</v>
      </c>
      <c r="T15" s="190">
        <v>2477.59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115.77500000000001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90">
        <v>0</v>
      </c>
      <c r="M16" s="190">
        <v>0</v>
      </c>
      <c r="N16" s="190">
        <v>0</v>
      </c>
      <c r="O16" s="190">
        <v>2477.59</v>
      </c>
      <c r="P16" s="190">
        <v>0</v>
      </c>
      <c r="Q16" s="190">
        <v>0</v>
      </c>
      <c r="R16" s="190">
        <v>0</v>
      </c>
      <c r="S16" s="190">
        <v>0</v>
      </c>
      <c r="T16" s="190">
        <v>2477.59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115.77500000000001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90">
        <v>0</v>
      </c>
      <c r="M17" s="190">
        <v>0</v>
      </c>
      <c r="N17" s="190">
        <v>0</v>
      </c>
      <c r="O17" s="190">
        <v>2477.59</v>
      </c>
      <c r="P17" s="190">
        <v>0</v>
      </c>
      <c r="Q17" s="190">
        <v>0</v>
      </c>
      <c r="R17" s="190">
        <v>0</v>
      </c>
      <c r="S17" s="190">
        <v>0</v>
      </c>
      <c r="T17" s="190">
        <v>2477.59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115.77500000000001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90">
        <v>0</v>
      </c>
      <c r="M18" s="190">
        <v>0</v>
      </c>
      <c r="N18" s="190">
        <v>0</v>
      </c>
      <c r="O18" s="190">
        <v>2477.59</v>
      </c>
      <c r="P18" s="190">
        <v>0</v>
      </c>
      <c r="Q18" s="190">
        <v>0</v>
      </c>
      <c r="R18" s="190">
        <v>0</v>
      </c>
      <c r="S18" s="190">
        <v>0</v>
      </c>
      <c r="T18" s="190">
        <v>2477.59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115.77500000000001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90">
        <v>0</v>
      </c>
      <c r="M19" s="190">
        <v>0</v>
      </c>
      <c r="N19" s="190">
        <v>0</v>
      </c>
      <c r="O19" s="190">
        <v>2477.59</v>
      </c>
      <c r="P19" s="190">
        <v>0</v>
      </c>
      <c r="Q19" s="190">
        <v>0</v>
      </c>
      <c r="R19" s="190">
        <v>0</v>
      </c>
      <c r="S19" s="190">
        <v>0</v>
      </c>
      <c r="T19" s="190">
        <v>2477.59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115.77500000000001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90">
        <v>0</v>
      </c>
      <c r="M20" s="190">
        <v>0</v>
      </c>
      <c r="N20" s="190">
        <v>0</v>
      </c>
      <c r="O20" s="190">
        <v>2477.59</v>
      </c>
      <c r="P20" s="190">
        <v>0</v>
      </c>
      <c r="Q20" s="190">
        <v>0</v>
      </c>
      <c r="R20" s="190">
        <v>0</v>
      </c>
      <c r="S20" s="190">
        <v>0</v>
      </c>
      <c r="T20" s="190">
        <v>2477.59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115.77500000000001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90">
        <v>0</v>
      </c>
      <c r="M21" s="190">
        <v>0</v>
      </c>
      <c r="N21" s="190">
        <v>0</v>
      </c>
      <c r="O21" s="190">
        <v>2477.59</v>
      </c>
      <c r="P21" s="190">
        <v>0</v>
      </c>
      <c r="Q21" s="190">
        <v>0</v>
      </c>
      <c r="R21" s="190">
        <v>0</v>
      </c>
      <c r="S21" s="190">
        <v>0</v>
      </c>
      <c r="T21" s="190">
        <v>2477.59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22</v>
      </c>
      <c r="F22" s="194">
        <v>93.775000000000006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90">
        <v>0</v>
      </c>
      <c r="M22" s="190">
        <v>0</v>
      </c>
      <c r="N22" s="190">
        <v>2501.4</v>
      </c>
      <c r="O22" s="190">
        <v>2006.79</v>
      </c>
      <c r="P22" s="190">
        <v>0</v>
      </c>
      <c r="Q22" s="190">
        <v>0</v>
      </c>
      <c r="R22" s="190">
        <v>0</v>
      </c>
      <c r="S22" s="190">
        <v>0</v>
      </c>
      <c r="T22" s="190">
        <v>4508.1899999999996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93.775000000000006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90">
        <v>0</v>
      </c>
      <c r="M23" s="190">
        <v>0</v>
      </c>
      <c r="N23" s="190">
        <v>0</v>
      </c>
      <c r="O23" s="190">
        <v>2006.79</v>
      </c>
      <c r="P23" s="190">
        <v>0</v>
      </c>
      <c r="Q23" s="190">
        <v>0</v>
      </c>
      <c r="R23" s="190">
        <v>0</v>
      </c>
      <c r="S23" s="190">
        <v>0</v>
      </c>
      <c r="T23" s="190">
        <v>2006.79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93.775000000000006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90">
        <v>0</v>
      </c>
      <c r="M24" s="190">
        <v>0</v>
      </c>
      <c r="N24" s="190">
        <v>0</v>
      </c>
      <c r="O24" s="190">
        <v>2006.79</v>
      </c>
      <c r="P24" s="190">
        <v>0</v>
      </c>
      <c r="Q24" s="190">
        <v>0</v>
      </c>
      <c r="R24" s="190">
        <v>0</v>
      </c>
      <c r="S24" s="190">
        <v>0</v>
      </c>
      <c r="T24" s="190">
        <v>2006.79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93.775000000000006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90">
        <v>0</v>
      </c>
      <c r="M25" s="190">
        <v>0</v>
      </c>
      <c r="N25" s="190">
        <v>0</v>
      </c>
      <c r="O25" s="190">
        <v>2006.79</v>
      </c>
      <c r="P25" s="190">
        <v>0</v>
      </c>
      <c r="Q25" s="190">
        <v>0</v>
      </c>
      <c r="R25" s="190">
        <v>0</v>
      </c>
      <c r="S25" s="190">
        <v>0</v>
      </c>
      <c r="T25" s="190">
        <v>2006.79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93.775000000000006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90">
        <v>0</v>
      </c>
      <c r="M26" s="190">
        <v>0</v>
      </c>
      <c r="N26" s="190">
        <v>0</v>
      </c>
      <c r="O26" s="190">
        <v>2006.79</v>
      </c>
      <c r="P26" s="190">
        <v>0</v>
      </c>
      <c r="Q26" s="190">
        <v>0</v>
      </c>
      <c r="R26" s="190">
        <v>0</v>
      </c>
      <c r="S26" s="190">
        <v>0</v>
      </c>
      <c r="T26" s="190">
        <v>2006.79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93.775000000000006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90">
        <v>0</v>
      </c>
      <c r="M27" s="190">
        <v>0</v>
      </c>
      <c r="N27" s="190">
        <v>0</v>
      </c>
      <c r="O27" s="190">
        <v>2006.79</v>
      </c>
      <c r="P27" s="190">
        <v>0</v>
      </c>
      <c r="Q27" s="190">
        <v>0</v>
      </c>
      <c r="R27" s="190">
        <v>0</v>
      </c>
      <c r="S27" s="190">
        <v>0</v>
      </c>
      <c r="T27" s="190">
        <v>2006.79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44</v>
      </c>
      <c r="F28" s="194">
        <v>49.774999999999999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90">
        <v>0</v>
      </c>
      <c r="M28" s="190">
        <v>0</v>
      </c>
      <c r="N28" s="190">
        <v>5002.8</v>
      </c>
      <c r="O28" s="190">
        <v>1065.19</v>
      </c>
      <c r="P28" s="190">
        <v>0</v>
      </c>
      <c r="Q28" s="190">
        <v>0</v>
      </c>
      <c r="R28" s="190">
        <v>0</v>
      </c>
      <c r="S28" s="190">
        <v>0</v>
      </c>
      <c r="T28" s="190">
        <v>6067.99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49.774999999999999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90">
        <v>0</v>
      </c>
      <c r="M29" s="190">
        <v>0</v>
      </c>
      <c r="N29" s="190">
        <v>0</v>
      </c>
      <c r="O29" s="190">
        <v>1065.19</v>
      </c>
      <c r="P29" s="190">
        <v>0</v>
      </c>
      <c r="Q29" s="190">
        <v>0</v>
      </c>
      <c r="R29" s="190">
        <v>0</v>
      </c>
      <c r="S29" s="190">
        <v>0</v>
      </c>
      <c r="T29" s="190">
        <v>1065.19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22</v>
      </c>
      <c r="F30" s="194">
        <v>27.774999999999999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90">
        <v>0</v>
      </c>
      <c r="M30" s="190">
        <v>0</v>
      </c>
      <c r="N30" s="190">
        <v>2501.4</v>
      </c>
      <c r="O30" s="190">
        <v>594.39</v>
      </c>
      <c r="P30" s="190">
        <v>0</v>
      </c>
      <c r="Q30" s="190">
        <v>0</v>
      </c>
      <c r="R30" s="190">
        <v>0</v>
      </c>
      <c r="S30" s="190">
        <v>0</v>
      </c>
      <c r="T30" s="190">
        <v>3095.79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27.774999999999999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90">
        <v>0</v>
      </c>
      <c r="M31" s="190">
        <v>0</v>
      </c>
      <c r="N31" s="190">
        <v>0</v>
      </c>
      <c r="O31" s="190">
        <v>594.39</v>
      </c>
      <c r="P31" s="190">
        <v>0</v>
      </c>
      <c r="Q31" s="190">
        <v>0</v>
      </c>
      <c r="R31" s="190">
        <v>0</v>
      </c>
      <c r="S31" s="190">
        <v>0</v>
      </c>
      <c r="T31" s="190">
        <v>594.39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27.774999999999999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90">
        <v>0</v>
      </c>
      <c r="M32" s="190">
        <v>0</v>
      </c>
      <c r="N32" s="190">
        <v>0</v>
      </c>
      <c r="O32" s="190">
        <v>594.39</v>
      </c>
      <c r="P32" s="190">
        <v>0</v>
      </c>
      <c r="Q32" s="190">
        <v>0</v>
      </c>
      <c r="R32" s="190">
        <v>0</v>
      </c>
      <c r="S32" s="190">
        <v>0</v>
      </c>
      <c r="T32" s="190">
        <v>594.39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27.774999999999999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90">
        <v>0</v>
      </c>
      <c r="M33" s="190">
        <v>0</v>
      </c>
      <c r="N33" s="190">
        <v>0</v>
      </c>
      <c r="O33" s="190">
        <v>594.39</v>
      </c>
      <c r="P33" s="190">
        <v>0</v>
      </c>
      <c r="Q33" s="190">
        <v>0</v>
      </c>
      <c r="R33" s="190">
        <v>0</v>
      </c>
      <c r="S33" s="190">
        <v>0</v>
      </c>
      <c r="T33" s="190">
        <v>594.39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27.774999999999999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90">
        <v>0</v>
      </c>
      <c r="M34" s="190">
        <v>0</v>
      </c>
      <c r="N34" s="190">
        <v>0</v>
      </c>
      <c r="O34" s="190">
        <v>594.39</v>
      </c>
      <c r="P34" s="190">
        <v>0</v>
      </c>
      <c r="Q34" s="190">
        <v>0</v>
      </c>
      <c r="R34" s="190">
        <v>0</v>
      </c>
      <c r="S34" s="190">
        <v>0</v>
      </c>
      <c r="T34" s="190">
        <v>594.39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66</v>
      </c>
      <c r="E36" s="18">
        <v>88</v>
      </c>
      <c r="F36" s="18">
        <v>2175.2500000000014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1">
        <v>0</v>
      </c>
      <c r="M36" s="191">
        <v>7504.2</v>
      </c>
      <c r="N36" s="191">
        <v>10005.6</v>
      </c>
      <c r="O36" s="191">
        <v>46550.35</v>
      </c>
      <c r="P36" s="191">
        <v>0</v>
      </c>
      <c r="Q36" s="191">
        <v>0</v>
      </c>
      <c r="R36" s="191">
        <v>0</v>
      </c>
      <c r="S36" s="191">
        <v>0</v>
      </c>
      <c r="T36" s="191">
        <v>64060.15</v>
      </c>
    </row>
    <row r="37" spans="1:20">
      <c r="R37" s="21"/>
      <c r="S37" s="21"/>
      <c r="T37" s="192">
        <v>76872.179999999993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5549-8712-4A83-8731-FA9102B52135}">
  <sheetPr>
    <pageSetUpPr fitToPage="1"/>
  </sheetPr>
  <dimension ref="A1:T37"/>
  <sheetViews>
    <sheetView workbookViewId="0">
      <selection activeCell="G35" sqref="G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277</v>
      </c>
      <c r="H3" s="269" t="s">
        <v>278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927.84299999999996</v>
      </c>
      <c r="G5" s="195">
        <v>0</v>
      </c>
      <c r="H5" s="195">
        <v>0</v>
      </c>
      <c r="I5" s="10">
        <v>0</v>
      </c>
      <c r="J5" s="11">
        <v>0</v>
      </c>
      <c r="K5" s="11"/>
      <c r="L5" s="190">
        <v>0</v>
      </c>
      <c r="M5" s="190">
        <v>0</v>
      </c>
      <c r="N5" s="190">
        <v>0</v>
      </c>
      <c r="O5" s="190">
        <v>60309.8</v>
      </c>
      <c r="P5" s="190">
        <v>0</v>
      </c>
      <c r="Q5" s="190">
        <v>0</v>
      </c>
      <c r="R5" s="190">
        <v>0</v>
      </c>
      <c r="S5" s="190">
        <v>0</v>
      </c>
      <c r="T5" s="190">
        <v>60309.8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927.84299999999996</v>
      </c>
      <c r="G6" s="195">
        <v>0</v>
      </c>
      <c r="H6" s="195">
        <v>0</v>
      </c>
      <c r="I6" s="10">
        <v>0</v>
      </c>
      <c r="J6" s="11">
        <v>0</v>
      </c>
      <c r="K6" s="11"/>
      <c r="L6" s="190">
        <v>0</v>
      </c>
      <c r="M6" s="190">
        <v>0</v>
      </c>
      <c r="N6" s="190">
        <v>0</v>
      </c>
      <c r="O6" s="190">
        <v>60309.8</v>
      </c>
      <c r="P6" s="190">
        <v>0</v>
      </c>
      <c r="Q6" s="190">
        <v>0</v>
      </c>
      <c r="R6" s="190">
        <v>0</v>
      </c>
      <c r="S6" s="190">
        <v>0</v>
      </c>
      <c r="T6" s="190">
        <v>60309.8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927.84299999999996</v>
      </c>
      <c r="G7" s="195">
        <v>0</v>
      </c>
      <c r="H7" s="195">
        <v>0</v>
      </c>
      <c r="I7" s="10">
        <v>0</v>
      </c>
      <c r="J7" s="11">
        <v>0</v>
      </c>
      <c r="K7" s="11"/>
      <c r="L7" s="190">
        <v>0</v>
      </c>
      <c r="M7" s="190">
        <v>0</v>
      </c>
      <c r="N7" s="190">
        <v>0</v>
      </c>
      <c r="O7" s="190">
        <v>60309.8</v>
      </c>
      <c r="P7" s="190">
        <v>0</v>
      </c>
      <c r="Q7" s="190">
        <v>0</v>
      </c>
      <c r="R7" s="190">
        <v>0</v>
      </c>
      <c r="S7" s="190">
        <v>0</v>
      </c>
      <c r="T7" s="190">
        <v>60309.8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927.84299999999996</v>
      </c>
      <c r="G8" s="195">
        <v>0</v>
      </c>
      <c r="H8" s="195">
        <v>0</v>
      </c>
      <c r="I8" s="10">
        <v>0</v>
      </c>
      <c r="J8" s="11">
        <v>0</v>
      </c>
      <c r="K8" s="11"/>
      <c r="L8" s="190">
        <v>0</v>
      </c>
      <c r="M8" s="190">
        <v>0</v>
      </c>
      <c r="N8" s="190">
        <v>0</v>
      </c>
      <c r="O8" s="190">
        <v>60309.8</v>
      </c>
      <c r="P8" s="190">
        <v>0</v>
      </c>
      <c r="Q8" s="190">
        <v>0</v>
      </c>
      <c r="R8" s="190">
        <v>0</v>
      </c>
      <c r="S8" s="190">
        <v>0</v>
      </c>
      <c r="T8" s="190">
        <v>60309.8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927.84299999999996</v>
      </c>
      <c r="G9" s="195">
        <v>0</v>
      </c>
      <c r="H9" s="195">
        <v>0</v>
      </c>
      <c r="I9" s="10">
        <v>0</v>
      </c>
      <c r="J9" s="11">
        <v>0</v>
      </c>
      <c r="K9" s="11"/>
      <c r="L9" s="190">
        <v>0</v>
      </c>
      <c r="M9" s="190">
        <v>0</v>
      </c>
      <c r="N9" s="190">
        <v>0</v>
      </c>
      <c r="O9" s="190">
        <v>60309.8</v>
      </c>
      <c r="P9" s="190">
        <v>0</v>
      </c>
      <c r="Q9" s="190">
        <v>0</v>
      </c>
      <c r="R9" s="190">
        <v>0</v>
      </c>
      <c r="S9" s="190">
        <v>0</v>
      </c>
      <c r="T9" s="190">
        <v>60309.8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927.84299999999996</v>
      </c>
      <c r="G10" s="195">
        <v>0</v>
      </c>
      <c r="H10" s="195">
        <v>0</v>
      </c>
      <c r="I10" s="10">
        <v>0</v>
      </c>
      <c r="J10" s="11">
        <v>0</v>
      </c>
      <c r="K10" s="11"/>
      <c r="L10" s="190">
        <v>0</v>
      </c>
      <c r="M10" s="190">
        <v>0</v>
      </c>
      <c r="N10" s="190">
        <v>0</v>
      </c>
      <c r="O10" s="190">
        <v>60309.8</v>
      </c>
      <c r="P10" s="190">
        <v>0</v>
      </c>
      <c r="Q10" s="190">
        <v>0</v>
      </c>
      <c r="R10" s="190">
        <v>0</v>
      </c>
      <c r="S10" s="190">
        <v>0</v>
      </c>
      <c r="T10" s="190">
        <v>60309.8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927.84299999999996</v>
      </c>
      <c r="G11" s="195">
        <v>0</v>
      </c>
      <c r="H11" s="195">
        <v>0</v>
      </c>
      <c r="I11" s="10">
        <v>0</v>
      </c>
      <c r="J11" s="11">
        <v>0</v>
      </c>
      <c r="K11" s="11"/>
      <c r="L11" s="190">
        <v>0</v>
      </c>
      <c r="M11" s="190">
        <v>0</v>
      </c>
      <c r="N11" s="190">
        <v>0</v>
      </c>
      <c r="O11" s="190">
        <v>60309.8</v>
      </c>
      <c r="P11" s="190">
        <v>0</v>
      </c>
      <c r="Q11" s="190">
        <v>0</v>
      </c>
      <c r="R11" s="190">
        <v>0</v>
      </c>
      <c r="S11" s="190">
        <v>0</v>
      </c>
      <c r="T11" s="190">
        <v>60309.8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927.84299999999996</v>
      </c>
      <c r="G12" s="195">
        <v>0</v>
      </c>
      <c r="H12" s="195">
        <v>0</v>
      </c>
      <c r="I12" s="10">
        <v>0</v>
      </c>
      <c r="J12" s="11">
        <v>0</v>
      </c>
      <c r="K12" s="11"/>
      <c r="L12" s="190">
        <v>0</v>
      </c>
      <c r="M12" s="190">
        <v>0</v>
      </c>
      <c r="N12" s="190">
        <v>0</v>
      </c>
      <c r="O12" s="190">
        <v>60309.8</v>
      </c>
      <c r="P12" s="190">
        <v>0</v>
      </c>
      <c r="Q12" s="190">
        <v>0</v>
      </c>
      <c r="R12" s="190">
        <v>0</v>
      </c>
      <c r="S12" s="190">
        <v>0</v>
      </c>
      <c r="T12" s="190">
        <v>60309.8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927.84299999999996</v>
      </c>
      <c r="G13" s="195">
        <v>0</v>
      </c>
      <c r="H13" s="195">
        <v>0</v>
      </c>
      <c r="I13" s="10">
        <v>0</v>
      </c>
      <c r="J13" s="11">
        <v>0</v>
      </c>
      <c r="K13" s="11"/>
      <c r="L13" s="190">
        <v>0</v>
      </c>
      <c r="M13" s="190">
        <v>0</v>
      </c>
      <c r="N13" s="190">
        <v>0</v>
      </c>
      <c r="O13" s="190">
        <v>60309.8</v>
      </c>
      <c r="P13" s="190">
        <v>0</v>
      </c>
      <c r="Q13" s="190">
        <v>0</v>
      </c>
      <c r="R13" s="190">
        <v>0</v>
      </c>
      <c r="S13" s="190">
        <v>0</v>
      </c>
      <c r="T13" s="190">
        <v>60309.8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927.84299999999996</v>
      </c>
      <c r="G14" s="195">
        <v>0</v>
      </c>
      <c r="H14" s="195">
        <v>0</v>
      </c>
      <c r="I14" s="10">
        <v>0</v>
      </c>
      <c r="J14" s="11">
        <v>0</v>
      </c>
      <c r="K14" s="11"/>
      <c r="L14" s="190">
        <v>0</v>
      </c>
      <c r="M14" s="190">
        <v>0</v>
      </c>
      <c r="N14" s="190">
        <v>0</v>
      </c>
      <c r="O14" s="190">
        <v>60309.8</v>
      </c>
      <c r="P14" s="190">
        <v>0</v>
      </c>
      <c r="Q14" s="190">
        <v>0</v>
      </c>
      <c r="R14" s="190">
        <v>0</v>
      </c>
      <c r="S14" s="190">
        <v>0</v>
      </c>
      <c r="T14" s="190">
        <v>60309.8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927.84299999999996</v>
      </c>
      <c r="G15" s="195">
        <v>0</v>
      </c>
      <c r="H15" s="195">
        <v>0</v>
      </c>
      <c r="I15" s="10">
        <v>0</v>
      </c>
      <c r="J15" s="11">
        <v>0</v>
      </c>
      <c r="K15" s="11"/>
      <c r="L15" s="190">
        <v>0</v>
      </c>
      <c r="M15" s="190">
        <v>0</v>
      </c>
      <c r="N15" s="190">
        <v>0</v>
      </c>
      <c r="O15" s="190">
        <v>60309.8</v>
      </c>
      <c r="P15" s="190">
        <v>0</v>
      </c>
      <c r="Q15" s="190">
        <v>0</v>
      </c>
      <c r="R15" s="190">
        <v>0</v>
      </c>
      <c r="S15" s="190">
        <v>0</v>
      </c>
      <c r="T15" s="190">
        <v>60309.8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927.84299999999996</v>
      </c>
      <c r="G16" s="195">
        <v>0</v>
      </c>
      <c r="H16" s="195">
        <v>0</v>
      </c>
      <c r="I16" s="10">
        <v>0</v>
      </c>
      <c r="J16" s="11">
        <v>0</v>
      </c>
      <c r="K16" s="16"/>
      <c r="L16" s="190">
        <v>0</v>
      </c>
      <c r="M16" s="190">
        <v>0</v>
      </c>
      <c r="N16" s="190">
        <v>0</v>
      </c>
      <c r="O16" s="190">
        <v>60309.8</v>
      </c>
      <c r="P16" s="190">
        <v>0</v>
      </c>
      <c r="Q16" s="190">
        <v>0</v>
      </c>
      <c r="R16" s="190">
        <v>0</v>
      </c>
      <c r="S16" s="190">
        <v>0</v>
      </c>
      <c r="T16" s="190">
        <v>60309.8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927.84299999999996</v>
      </c>
      <c r="G17" s="195">
        <v>0</v>
      </c>
      <c r="H17" s="195">
        <v>0</v>
      </c>
      <c r="I17" s="10">
        <v>0</v>
      </c>
      <c r="J17" s="11">
        <v>0</v>
      </c>
      <c r="K17" s="11"/>
      <c r="L17" s="190">
        <v>0</v>
      </c>
      <c r="M17" s="190">
        <v>0</v>
      </c>
      <c r="N17" s="190">
        <v>0</v>
      </c>
      <c r="O17" s="190">
        <v>60309.8</v>
      </c>
      <c r="P17" s="190">
        <v>0</v>
      </c>
      <c r="Q17" s="190">
        <v>0</v>
      </c>
      <c r="R17" s="190">
        <v>0</v>
      </c>
      <c r="S17" s="190">
        <v>0</v>
      </c>
      <c r="T17" s="190">
        <v>60309.8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927.84299999999996</v>
      </c>
      <c r="G18" s="195">
        <v>0</v>
      </c>
      <c r="H18" s="195">
        <v>0</v>
      </c>
      <c r="I18" s="10">
        <v>0</v>
      </c>
      <c r="J18" s="11">
        <v>0</v>
      </c>
      <c r="K18" s="11"/>
      <c r="L18" s="190">
        <v>0</v>
      </c>
      <c r="M18" s="190">
        <v>0</v>
      </c>
      <c r="N18" s="190">
        <v>0</v>
      </c>
      <c r="O18" s="190">
        <v>60309.8</v>
      </c>
      <c r="P18" s="190">
        <v>0</v>
      </c>
      <c r="Q18" s="190">
        <v>0</v>
      </c>
      <c r="R18" s="190">
        <v>0</v>
      </c>
      <c r="S18" s="190">
        <v>0</v>
      </c>
      <c r="T18" s="190">
        <v>60309.8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927.84299999999996</v>
      </c>
      <c r="G19" s="195">
        <v>0</v>
      </c>
      <c r="H19" s="195">
        <v>0</v>
      </c>
      <c r="I19" s="10">
        <v>0</v>
      </c>
      <c r="J19" s="11">
        <v>0</v>
      </c>
      <c r="K19" s="11"/>
      <c r="L19" s="190">
        <v>0</v>
      </c>
      <c r="M19" s="190">
        <v>0</v>
      </c>
      <c r="N19" s="190">
        <v>0</v>
      </c>
      <c r="O19" s="190">
        <v>60309.8</v>
      </c>
      <c r="P19" s="190">
        <v>0</v>
      </c>
      <c r="Q19" s="190">
        <v>0</v>
      </c>
      <c r="R19" s="190">
        <v>0</v>
      </c>
      <c r="S19" s="190">
        <v>0</v>
      </c>
      <c r="T19" s="190">
        <v>60309.8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927.84299999999996</v>
      </c>
      <c r="G20" s="195">
        <v>0</v>
      </c>
      <c r="H20" s="195">
        <v>0</v>
      </c>
      <c r="I20" s="10">
        <v>0</v>
      </c>
      <c r="J20" s="11">
        <v>0</v>
      </c>
      <c r="K20" s="11"/>
      <c r="L20" s="190">
        <v>0</v>
      </c>
      <c r="M20" s="190">
        <v>0</v>
      </c>
      <c r="N20" s="190">
        <v>0</v>
      </c>
      <c r="O20" s="190">
        <v>60309.8</v>
      </c>
      <c r="P20" s="190">
        <v>0</v>
      </c>
      <c r="Q20" s="190">
        <v>0</v>
      </c>
      <c r="R20" s="190">
        <v>0</v>
      </c>
      <c r="S20" s="190">
        <v>0</v>
      </c>
      <c r="T20" s="190">
        <v>60309.8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927.84299999999996</v>
      </c>
      <c r="G21" s="195">
        <v>0</v>
      </c>
      <c r="H21" s="195">
        <v>0</v>
      </c>
      <c r="I21" s="10">
        <v>0</v>
      </c>
      <c r="J21" s="11">
        <v>0</v>
      </c>
      <c r="K21" s="11"/>
      <c r="L21" s="190">
        <v>0</v>
      </c>
      <c r="M21" s="190">
        <v>0</v>
      </c>
      <c r="N21" s="190">
        <v>0</v>
      </c>
      <c r="O21" s="190">
        <v>60309.8</v>
      </c>
      <c r="P21" s="190">
        <v>0</v>
      </c>
      <c r="Q21" s="190">
        <v>0</v>
      </c>
      <c r="R21" s="190">
        <v>0</v>
      </c>
      <c r="S21" s="190">
        <v>0</v>
      </c>
      <c r="T21" s="190">
        <v>60309.8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927.84299999999996</v>
      </c>
      <c r="G22" s="195">
        <v>0</v>
      </c>
      <c r="H22" s="195">
        <v>0</v>
      </c>
      <c r="I22" s="10">
        <v>0</v>
      </c>
      <c r="J22" s="11">
        <v>0</v>
      </c>
      <c r="K22" s="11"/>
      <c r="L22" s="190">
        <v>0</v>
      </c>
      <c r="M22" s="190">
        <v>0</v>
      </c>
      <c r="N22" s="190">
        <v>0</v>
      </c>
      <c r="O22" s="190">
        <v>60309.8</v>
      </c>
      <c r="P22" s="190">
        <v>0</v>
      </c>
      <c r="Q22" s="190">
        <v>0</v>
      </c>
      <c r="R22" s="190">
        <v>0</v>
      </c>
      <c r="S22" s="190">
        <v>0</v>
      </c>
      <c r="T22" s="190">
        <v>60309.8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927.84299999999996</v>
      </c>
      <c r="G23" s="195">
        <v>0</v>
      </c>
      <c r="H23" s="195">
        <v>0</v>
      </c>
      <c r="I23" s="10">
        <v>0</v>
      </c>
      <c r="J23" s="11">
        <v>0</v>
      </c>
      <c r="K23" s="11"/>
      <c r="L23" s="190">
        <v>0</v>
      </c>
      <c r="M23" s="190">
        <v>0</v>
      </c>
      <c r="N23" s="190">
        <v>0</v>
      </c>
      <c r="O23" s="190">
        <v>60309.8</v>
      </c>
      <c r="P23" s="190">
        <v>0</v>
      </c>
      <c r="Q23" s="190">
        <v>0</v>
      </c>
      <c r="R23" s="190">
        <v>0</v>
      </c>
      <c r="S23" s="190">
        <v>0</v>
      </c>
      <c r="T23" s="190">
        <v>60309.8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927.84299999999996</v>
      </c>
      <c r="G24" s="195">
        <v>0</v>
      </c>
      <c r="H24" s="195">
        <v>0</v>
      </c>
      <c r="I24" s="10">
        <v>0</v>
      </c>
      <c r="J24" s="11">
        <v>0</v>
      </c>
      <c r="K24" s="11"/>
      <c r="L24" s="190">
        <v>0</v>
      </c>
      <c r="M24" s="190">
        <v>0</v>
      </c>
      <c r="N24" s="190">
        <v>0</v>
      </c>
      <c r="O24" s="190">
        <v>60309.8</v>
      </c>
      <c r="P24" s="190">
        <v>0</v>
      </c>
      <c r="Q24" s="190">
        <v>0</v>
      </c>
      <c r="R24" s="190">
        <v>0</v>
      </c>
      <c r="S24" s="190">
        <v>0</v>
      </c>
      <c r="T24" s="190">
        <v>60309.8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927.84299999999996</v>
      </c>
      <c r="G25" s="195">
        <v>0</v>
      </c>
      <c r="H25" s="195">
        <v>0</v>
      </c>
      <c r="I25" s="10">
        <v>0</v>
      </c>
      <c r="J25" s="11">
        <v>0</v>
      </c>
      <c r="K25" s="11"/>
      <c r="L25" s="190">
        <v>0</v>
      </c>
      <c r="M25" s="190">
        <v>0</v>
      </c>
      <c r="N25" s="190">
        <v>0</v>
      </c>
      <c r="O25" s="190">
        <v>60309.8</v>
      </c>
      <c r="P25" s="190">
        <v>0</v>
      </c>
      <c r="Q25" s="190">
        <v>0</v>
      </c>
      <c r="R25" s="190">
        <v>0</v>
      </c>
      <c r="S25" s="190">
        <v>0</v>
      </c>
      <c r="T25" s="190">
        <v>60309.8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927.84299999999996</v>
      </c>
      <c r="G26" s="195">
        <v>0</v>
      </c>
      <c r="H26" s="195">
        <v>0</v>
      </c>
      <c r="I26" s="10">
        <v>0</v>
      </c>
      <c r="J26" s="11">
        <v>0</v>
      </c>
      <c r="K26" s="11"/>
      <c r="L26" s="190">
        <v>0</v>
      </c>
      <c r="M26" s="190">
        <v>0</v>
      </c>
      <c r="N26" s="190">
        <v>0</v>
      </c>
      <c r="O26" s="190">
        <v>60309.8</v>
      </c>
      <c r="P26" s="190">
        <v>0</v>
      </c>
      <c r="Q26" s="190">
        <v>0</v>
      </c>
      <c r="R26" s="190">
        <v>0</v>
      </c>
      <c r="S26" s="190">
        <v>0</v>
      </c>
      <c r="T26" s="190">
        <v>60309.8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927.84299999999996</v>
      </c>
      <c r="G27" s="195">
        <v>0</v>
      </c>
      <c r="H27" s="195">
        <v>0</v>
      </c>
      <c r="I27" s="10">
        <v>0</v>
      </c>
      <c r="J27" s="11">
        <v>0</v>
      </c>
      <c r="K27" s="11"/>
      <c r="L27" s="190">
        <v>0</v>
      </c>
      <c r="M27" s="190">
        <v>0</v>
      </c>
      <c r="N27" s="190">
        <v>0</v>
      </c>
      <c r="O27" s="190">
        <v>60309.8</v>
      </c>
      <c r="P27" s="190">
        <v>0</v>
      </c>
      <c r="Q27" s="190">
        <v>0</v>
      </c>
      <c r="R27" s="190">
        <v>0</v>
      </c>
      <c r="S27" s="190">
        <v>0</v>
      </c>
      <c r="T27" s="190">
        <v>60309.8</v>
      </c>
    </row>
    <row r="28" spans="1:20">
      <c r="A28" s="13">
        <v>24</v>
      </c>
      <c r="B28" s="196" t="s">
        <v>229</v>
      </c>
      <c r="C28" s="197"/>
      <c r="D28" s="194">
        <v>0</v>
      </c>
      <c r="E28" s="194">
        <v>0</v>
      </c>
      <c r="F28" s="194">
        <v>927.84299999999996</v>
      </c>
      <c r="G28" s="195">
        <v>0</v>
      </c>
      <c r="H28" s="195">
        <v>0</v>
      </c>
      <c r="I28" s="10">
        <v>0</v>
      </c>
      <c r="J28" s="11">
        <v>0</v>
      </c>
      <c r="K28" s="11"/>
      <c r="L28" s="190">
        <v>0</v>
      </c>
      <c r="M28" s="190">
        <v>0</v>
      </c>
      <c r="N28" s="190">
        <v>0</v>
      </c>
      <c r="O28" s="190">
        <v>60309.8</v>
      </c>
      <c r="P28" s="190">
        <v>0</v>
      </c>
      <c r="Q28" s="190">
        <v>0</v>
      </c>
      <c r="R28" s="190">
        <v>0</v>
      </c>
      <c r="S28" s="190">
        <v>0</v>
      </c>
      <c r="T28" s="190">
        <v>60309.8</v>
      </c>
    </row>
    <row r="29" spans="1:20">
      <c r="A29" s="13">
        <v>25</v>
      </c>
      <c r="B29" s="196" t="s">
        <v>230</v>
      </c>
      <c r="C29" s="197"/>
      <c r="D29" s="194">
        <v>0</v>
      </c>
      <c r="E29" s="194">
        <v>0</v>
      </c>
      <c r="F29" s="194">
        <v>927.84299999999996</v>
      </c>
      <c r="G29" s="195">
        <v>0</v>
      </c>
      <c r="H29" s="195">
        <v>0</v>
      </c>
      <c r="I29" s="10">
        <v>0</v>
      </c>
      <c r="J29" s="11">
        <v>0</v>
      </c>
      <c r="K29" s="11"/>
      <c r="L29" s="190">
        <v>0</v>
      </c>
      <c r="M29" s="190">
        <v>0</v>
      </c>
      <c r="N29" s="190">
        <v>0</v>
      </c>
      <c r="O29" s="190">
        <v>60309.8</v>
      </c>
      <c r="P29" s="190">
        <v>0</v>
      </c>
      <c r="Q29" s="190">
        <v>0</v>
      </c>
      <c r="R29" s="190">
        <v>0</v>
      </c>
      <c r="S29" s="190">
        <v>0</v>
      </c>
      <c r="T29" s="190">
        <v>60309.8</v>
      </c>
    </row>
    <row r="30" spans="1:20">
      <c r="A30" s="13">
        <v>26</v>
      </c>
      <c r="B30" s="196" t="s">
        <v>231</v>
      </c>
      <c r="C30" s="197"/>
      <c r="D30" s="194">
        <v>0</v>
      </c>
      <c r="E30" s="194">
        <v>0</v>
      </c>
      <c r="F30" s="194">
        <v>927.84299999999996</v>
      </c>
      <c r="G30" s="195">
        <v>0</v>
      </c>
      <c r="H30" s="195">
        <v>0</v>
      </c>
      <c r="I30" s="10">
        <v>0</v>
      </c>
      <c r="J30" s="11">
        <v>0</v>
      </c>
      <c r="K30" s="11"/>
      <c r="L30" s="190">
        <v>0</v>
      </c>
      <c r="M30" s="190">
        <v>0</v>
      </c>
      <c r="N30" s="190">
        <v>0</v>
      </c>
      <c r="O30" s="190">
        <v>60309.8</v>
      </c>
      <c r="P30" s="190">
        <v>0</v>
      </c>
      <c r="Q30" s="190">
        <v>0</v>
      </c>
      <c r="R30" s="190">
        <v>0</v>
      </c>
      <c r="S30" s="190">
        <v>0</v>
      </c>
      <c r="T30" s="190">
        <v>60309.8</v>
      </c>
    </row>
    <row r="31" spans="1:20">
      <c r="A31" s="13">
        <v>27</v>
      </c>
      <c r="B31" s="196" t="s">
        <v>232</v>
      </c>
      <c r="C31" s="197"/>
      <c r="D31" s="194">
        <v>0</v>
      </c>
      <c r="E31" s="194">
        <v>0</v>
      </c>
      <c r="F31" s="194">
        <v>927.84299999999996</v>
      </c>
      <c r="G31" s="195">
        <v>0</v>
      </c>
      <c r="H31" s="195">
        <v>0</v>
      </c>
      <c r="I31" s="10">
        <v>0</v>
      </c>
      <c r="J31" s="11">
        <v>0</v>
      </c>
      <c r="K31" s="11"/>
      <c r="L31" s="190">
        <v>0</v>
      </c>
      <c r="M31" s="190">
        <v>0</v>
      </c>
      <c r="N31" s="190">
        <v>0</v>
      </c>
      <c r="O31" s="190">
        <v>60309.8</v>
      </c>
      <c r="P31" s="190">
        <v>0</v>
      </c>
      <c r="Q31" s="190">
        <v>0</v>
      </c>
      <c r="R31" s="190">
        <v>0</v>
      </c>
      <c r="S31" s="190">
        <v>0</v>
      </c>
      <c r="T31" s="190">
        <v>60309.8</v>
      </c>
    </row>
    <row r="32" spans="1:20">
      <c r="A32" s="13">
        <v>28</v>
      </c>
      <c r="B32" s="196" t="s">
        <v>233</v>
      </c>
      <c r="C32" s="197"/>
      <c r="D32" s="194">
        <v>0</v>
      </c>
      <c r="E32" s="194">
        <v>0</v>
      </c>
      <c r="F32" s="194">
        <v>927.84299999999996</v>
      </c>
      <c r="G32" s="195">
        <v>0</v>
      </c>
      <c r="H32" s="195">
        <v>0</v>
      </c>
      <c r="I32" s="10">
        <v>0</v>
      </c>
      <c r="J32" s="11">
        <v>0</v>
      </c>
      <c r="K32" s="11"/>
      <c r="L32" s="190">
        <v>0</v>
      </c>
      <c r="M32" s="190">
        <v>0</v>
      </c>
      <c r="N32" s="190">
        <v>0</v>
      </c>
      <c r="O32" s="190">
        <v>60309.8</v>
      </c>
      <c r="P32" s="190">
        <v>0</v>
      </c>
      <c r="Q32" s="190">
        <v>0</v>
      </c>
      <c r="R32" s="190">
        <v>0</v>
      </c>
      <c r="S32" s="190">
        <v>0</v>
      </c>
      <c r="T32" s="190">
        <v>60309.8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927.84299999999996</v>
      </c>
      <c r="G33" s="195">
        <v>0</v>
      </c>
      <c r="H33" s="195">
        <v>0</v>
      </c>
      <c r="I33" s="10">
        <v>0</v>
      </c>
      <c r="J33" s="11">
        <v>0</v>
      </c>
      <c r="K33" s="11"/>
      <c r="L33" s="190">
        <v>0</v>
      </c>
      <c r="M33" s="190">
        <v>0</v>
      </c>
      <c r="N33" s="190">
        <v>0</v>
      </c>
      <c r="O33" s="190">
        <v>60309.8</v>
      </c>
      <c r="P33" s="190">
        <v>0</v>
      </c>
      <c r="Q33" s="190">
        <v>0</v>
      </c>
      <c r="R33" s="190">
        <v>0</v>
      </c>
      <c r="S33" s="190">
        <v>0</v>
      </c>
      <c r="T33" s="190">
        <v>60309.8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927.84299999999996</v>
      </c>
      <c r="G34" s="195">
        <v>0</v>
      </c>
      <c r="H34" s="195">
        <v>0</v>
      </c>
      <c r="I34" s="10">
        <v>0</v>
      </c>
      <c r="J34" s="11">
        <v>0</v>
      </c>
      <c r="K34" s="11"/>
      <c r="L34" s="190">
        <v>0</v>
      </c>
      <c r="M34" s="190">
        <v>0</v>
      </c>
      <c r="N34" s="190">
        <v>0</v>
      </c>
      <c r="O34" s="190">
        <v>60309.8</v>
      </c>
      <c r="P34" s="190">
        <v>0</v>
      </c>
      <c r="Q34" s="190">
        <v>0</v>
      </c>
      <c r="R34" s="190">
        <v>0</v>
      </c>
      <c r="S34" s="190">
        <v>0</v>
      </c>
      <c r="T34" s="190">
        <v>60309.8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0</v>
      </c>
      <c r="E36" s="18">
        <v>0</v>
      </c>
      <c r="F36" s="18">
        <v>27835.290000000015</v>
      </c>
      <c r="G36" s="18">
        <v>0</v>
      </c>
      <c r="H36" s="18">
        <v>0</v>
      </c>
      <c r="I36" s="18">
        <v>0</v>
      </c>
      <c r="J36" s="19">
        <v>0</v>
      </c>
      <c r="K36" s="19">
        <v>0</v>
      </c>
      <c r="L36" s="191">
        <v>0</v>
      </c>
      <c r="M36" s="191">
        <v>0</v>
      </c>
      <c r="N36" s="191">
        <v>0</v>
      </c>
      <c r="O36" s="191">
        <v>1809293.85</v>
      </c>
      <c r="P36" s="191">
        <v>0</v>
      </c>
      <c r="Q36" s="191">
        <v>0</v>
      </c>
      <c r="R36" s="191">
        <v>0</v>
      </c>
      <c r="S36" s="191">
        <v>0</v>
      </c>
      <c r="T36" s="191">
        <v>1809293.85</v>
      </c>
    </row>
    <row r="37" spans="1:20">
      <c r="R37" s="21"/>
      <c r="S37" s="21"/>
      <c r="T37" s="192">
        <v>2171152.62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E173-E1D0-47C4-B60A-8699AC7C45E6}">
  <sheetPr>
    <pageSetUpPr fitToPage="1"/>
  </sheetPr>
  <dimension ref="A1:T37"/>
  <sheetViews>
    <sheetView workbookViewId="0">
      <selection activeCell="G5" sqref="G5:G18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69" t="s">
        <v>0</v>
      </c>
      <c r="B3" s="270" t="s">
        <v>1</v>
      </c>
      <c r="C3" s="271"/>
      <c r="D3" s="269" t="s">
        <v>2</v>
      </c>
      <c r="E3" s="269" t="s">
        <v>3</v>
      </c>
      <c r="F3" s="193" t="s">
        <v>4</v>
      </c>
      <c r="G3" s="269" t="s">
        <v>280</v>
      </c>
      <c r="H3" s="269" t="s">
        <v>281</v>
      </c>
      <c r="I3" s="269" t="s">
        <v>7</v>
      </c>
      <c r="J3" s="269" t="s">
        <v>8</v>
      </c>
      <c r="K3" s="269" t="s">
        <v>9</v>
      </c>
      <c r="L3" s="269" t="s">
        <v>10</v>
      </c>
      <c r="M3" s="269" t="s">
        <v>11</v>
      </c>
      <c r="N3" s="269" t="s">
        <v>12</v>
      </c>
      <c r="O3" s="269" t="s">
        <v>13</v>
      </c>
      <c r="P3" s="269" t="s">
        <v>14</v>
      </c>
      <c r="Q3" s="269" t="s">
        <v>15</v>
      </c>
      <c r="R3" s="269" t="s">
        <v>16</v>
      </c>
      <c r="S3" s="269" t="s">
        <v>17</v>
      </c>
      <c r="T3" s="269" t="s">
        <v>18</v>
      </c>
    </row>
    <row r="4" spans="1:20">
      <c r="A4" s="199"/>
      <c r="B4" s="204"/>
      <c r="C4" s="205"/>
      <c r="D4" s="199"/>
      <c r="E4" s="199"/>
      <c r="F4" s="5"/>
      <c r="G4" s="199"/>
      <c r="H4" s="199"/>
      <c r="I4" s="199"/>
      <c r="J4" s="199"/>
      <c r="K4" s="200"/>
      <c r="L4" s="200"/>
      <c r="M4" s="199"/>
      <c r="N4" s="199"/>
      <c r="O4" s="199"/>
      <c r="P4" s="199"/>
      <c r="Q4" s="199"/>
      <c r="R4" s="199"/>
      <c r="S4" s="199"/>
      <c r="T4" s="199"/>
    </row>
    <row r="5" spans="1:20">
      <c r="A5" s="13">
        <v>1</v>
      </c>
      <c r="B5" s="196" t="s">
        <v>206</v>
      </c>
      <c r="C5" s="197"/>
      <c r="D5" s="194">
        <v>0</v>
      </c>
      <c r="E5" s="194">
        <v>0</v>
      </c>
      <c r="F5" s="194">
        <v>1739.29</v>
      </c>
      <c r="G5" s="195">
        <v>130.71000000000004</v>
      </c>
      <c r="H5" s="195">
        <v>75</v>
      </c>
      <c r="I5" s="10">
        <v>0</v>
      </c>
      <c r="J5" s="11">
        <v>0</v>
      </c>
      <c r="K5" s="11"/>
      <c r="L5" s="190">
        <v>0</v>
      </c>
      <c r="M5" s="190">
        <v>0</v>
      </c>
      <c r="N5" s="190">
        <v>0</v>
      </c>
      <c r="O5" s="190">
        <v>113053.85</v>
      </c>
      <c r="P5" s="190">
        <v>8496.15</v>
      </c>
      <c r="Q5" s="190">
        <v>11250</v>
      </c>
      <c r="R5" s="190">
        <v>0</v>
      </c>
      <c r="S5" s="190">
        <v>0</v>
      </c>
      <c r="T5" s="190">
        <v>132800</v>
      </c>
    </row>
    <row r="6" spans="1:20">
      <c r="A6" s="13">
        <v>2</v>
      </c>
      <c r="B6" s="196" t="s">
        <v>207</v>
      </c>
      <c r="C6" s="197"/>
      <c r="D6" s="194">
        <v>0</v>
      </c>
      <c r="E6" s="194">
        <v>0</v>
      </c>
      <c r="F6" s="194">
        <v>1739.29</v>
      </c>
      <c r="G6" s="195">
        <v>130.71000000000004</v>
      </c>
      <c r="H6" s="195">
        <v>75</v>
      </c>
      <c r="I6" s="10">
        <v>0</v>
      </c>
      <c r="J6" s="11">
        <v>0</v>
      </c>
      <c r="K6" s="11"/>
      <c r="L6" s="190">
        <v>0</v>
      </c>
      <c r="M6" s="190">
        <v>0</v>
      </c>
      <c r="N6" s="190">
        <v>0</v>
      </c>
      <c r="O6" s="190">
        <v>113053.85</v>
      </c>
      <c r="P6" s="190">
        <v>8496.15</v>
      </c>
      <c r="Q6" s="190">
        <v>11250</v>
      </c>
      <c r="R6" s="190">
        <v>0</v>
      </c>
      <c r="S6" s="190">
        <v>0</v>
      </c>
      <c r="T6" s="190">
        <v>132800</v>
      </c>
    </row>
    <row r="7" spans="1:20">
      <c r="A7" s="13">
        <v>3</v>
      </c>
      <c r="B7" s="196" t="s">
        <v>208</v>
      </c>
      <c r="C7" s="197"/>
      <c r="D7" s="194">
        <v>0</v>
      </c>
      <c r="E7" s="194">
        <v>0</v>
      </c>
      <c r="F7" s="194">
        <v>1739.29</v>
      </c>
      <c r="G7" s="195">
        <v>130.71000000000004</v>
      </c>
      <c r="H7" s="195">
        <v>75</v>
      </c>
      <c r="I7" s="10">
        <v>0</v>
      </c>
      <c r="J7" s="11">
        <v>0</v>
      </c>
      <c r="K7" s="11"/>
      <c r="L7" s="190">
        <v>0</v>
      </c>
      <c r="M7" s="190">
        <v>0</v>
      </c>
      <c r="N7" s="190">
        <v>0</v>
      </c>
      <c r="O7" s="190">
        <v>113053.85</v>
      </c>
      <c r="P7" s="190">
        <v>8496.15</v>
      </c>
      <c r="Q7" s="190">
        <v>11250</v>
      </c>
      <c r="R7" s="190">
        <v>0</v>
      </c>
      <c r="S7" s="190">
        <v>0</v>
      </c>
      <c r="T7" s="190">
        <v>132800</v>
      </c>
    </row>
    <row r="8" spans="1:20">
      <c r="A8" s="13">
        <v>4</v>
      </c>
      <c r="B8" s="196" t="s">
        <v>209</v>
      </c>
      <c r="C8" s="197"/>
      <c r="D8" s="194">
        <v>0</v>
      </c>
      <c r="E8" s="194">
        <v>0</v>
      </c>
      <c r="F8" s="194">
        <v>1739.29</v>
      </c>
      <c r="G8" s="195">
        <v>130.71000000000004</v>
      </c>
      <c r="H8" s="195">
        <v>75</v>
      </c>
      <c r="I8" s="10">
        <v>0</v>
      </c>
      <c r="J8" s="11">
        <v>0</v>
      </c>
      <c r="K8" s="11"/>
      <c r="L8" s="190">
        <v>0</v>
      </c>
      <c r="M8" s="190">
        <v>0</v>
      </c>
      <c r="N8" s="190">
        <v>0</v>
      </c>
      <c r="O8" s="190">
        <v>113053.85</v>
      </c>
      <c r="P8" s="190">
        <v>8496.15</v>
      </c>
      <c r="Q8" s="190">
        <v>11250</v>
      </c>
      <c r="R8" s="190">
        <v>0</v>
      </c>
      <c r="S8" s="190">
        <v>0</v>
      </c>
      <c r="T8" s="190">
        <v>132800</v>
      </c>
    </row>
    <row r="9" spans="1:20">
      <c r="A9" s="13">
        <v>5</v>
      </c>
      <c r="B9" s="196" t="s">
        <v>210</v>
      </c>
      <c r="C9" s="197"/>
      <c r="D9" s="194">
        <v>0</v>
      </c>
      <c r="E9" s="194">
        <v>0</v>
      </c>
      <c r="F9" s="194">
        <v>1739.29</v>
      </c>
      <c r="G9" s="195">
        <v>130.71000000000004</v>
      </c>
      <c r="H9" s="195">
        <v>75</v>
      </c>
      <c r="I9" s="10">
        <v>0</v>
      </c>
      <c r="J9" s="11">
        <v>0</v>
      </c>
      <c r="K9" s="11"/>
      <c r="L9" s="190">
        <v>0</v>
      </c>
      <c r="M9" s="190">
        <v>0</v>
      </c>
      <c r="N9" s="190">
        <v>0</v>
      </c>
      <c r="O9" s="190">
        <v>113053.85</v>
      </c>
      <c r="P9" s="190">
        <v>8496.15</v>
      </c>
      <c r="Q9" s="190">
        <v>11250</v>
      </c>
      <c r="R9" s="190">
        <v>0</v>
      </c>
      <c r="S9" s="190">
        <v>0</v>
      </c>
      <c r="T9" s="190">
        <v>132800</v>
      </c>
    </row>
    <row r="10" spans="1:20">
      <c r="A10" s="13">
        <v>6</v>
      </c>
      <c r="B10" s="196" t="s">
        <v>211</v>
      </c>
      <c r="C10" s="197"/>
      <c r="D10" s="194">
        <v>0</v>
      </c>
      <c r="E10" s="194">
        <v>0</v>
      </c>
      <c r="F10" s="194">
        <v>1739.29</v>
      </c>
      <c r="G10" s="195">
        <v>130.71000000000004</v>
      </c>
      <c r="H10" s="195">
        <v>75</v>
      </c>
      <c r="I10" s="10">
        <v>0</v>
      </c>
      <c r="J10" s="11">
        <v>0</v>
      </c>
      <c r="K10" s="11"/>
      <c r="L10" s="190">
        <v>0</v>
      </c>
      <c r="M10" s="190">
        <v>0</v>
      </c>
      <c r="N10" s="190">
        <v>0</v>
      </c>
      <c r="O10" s="190">
        <v>113053.85</v>
      </c>
      <c r="P10" s="190">
        <v>8496.15</v>
      </c>
      <c r="Q10" s="190">
        <v>11250</v>
      </c>
      <c r="R10" s="190">
        <v>0</v>
      </c>
      <c r="S10" s="190">
        <v>0</v>
      </c>
      <c r="T10" s="190">
        <v>132800</v>
      </c>
    </row>
    <row r="11" spans="1:20">
      <c r="A11" s="13">
        <v>7</v>
      </c>
      <c r="B11" s="196" t="s">
        <v>212</v>
      </c>
      <c r="C11" s="197"/>
      <c r="D11" s="194">
        <v>0</v>
      </c>
      <c r="E11" s="194">
        <v>0</v>
      </c>
      <c r="F11" s="194">
        <v>1739.29</v>
      </c>
      <c r="G11" s="195">
        <v>130.71000000000004</v>
      </c>
      <c r="H11" s="195">
        <v>75</v>
      </c>
      <c r="I11" s="10">
        <v>0</v>
      </c>
      <c r="J11" s="11">
        <v>0</v>
      </c>
      <c r="K11" s="11"/>
      <c r="L11" s="190">
        <v>0</v>
      </c>
      <c r="M11" s="190">
        <v>0</v>
      </c>
      <c r="N11" s="190">
        <v>0</v>
      </c>
      <c r="O11" s="190">
        <v>113053.85</v>
      </c>
      <c r="P11" s="190">
        <v>8496.15</v>
      </c>
      <c r="Q11" s="190">
        <v>11250</v>
      </c>
      <c r="R11" s="190">
        <v>0</v>
      </c>
      <c r="S11" s="190">
        <v>0</v>
      </c>
      <c r="T11" s="190">
        <v>132800</v>
      </c>
    </row>
    <row r="12" spans="1:20">
      <c r="A12" s="13">
        <v>8</v>
      </c>
      <c r="B12" s="196" t="s">
        <v>213</v>
      </c>
      <c r="C12" s="197"/>
      <c r="D12" s="194">
        <v>0</v>
      </c>
      <c r="E12" s="194">
        <v>0</v>
      </c>
      <c r="F12" s="194">
        <v>1739.29</v>
      </c>
      <c r="G12" s="195">
        <v>130.71000000000004</v>
      </c>
      <c r="H12" s="195">
        <v>75</v>
      </c>
      <c r="I12" s="10">
        <v>0</v>
      </c>
      <c r="J12" s="11">
        <v>0</v>
      </c>
      <c r="K12" s="11"/>
      <c r="L12" s="190">
        <v>0</v>
      </c>
      <c r="M12" s="190">
        <v>0</v>
      </c>
      <c r="N12" s="190">
        <v>0</v>
      </c>
      <c r="O12" s="190">
        <v>113053.85</v>
      </c>
      <c r="P12" s="190">
        <v>8496.15</v>
      </c>
      <c r="Q12" s="190">
        <v>11250</v>
      </c>
      <c r="R12" s="190">
        <v>0</v>
      </c>
      <c r="S12" s="190">
        <v>0</v>
      </c>
      <c r="T12" s="190">
        <v>132800</v>
      </c>
    </row>
    <row r="13" spans="1:20">
      <c r="A13" s="13">
        <v>9</v>
      </c>
      <c r="B13" s="196" t="s">
        <v>214</v>
      </c>
      <c r="C13" s="197"/>
      <c r="D13" s="194">
        <v>0</v>
      </c>
      <c r="E13" s="194">
        <v>0</v>
      </c>
      <c r="F13" s="194">
        <v>1739.29</v>
      </c>
      <c r="G13" s="195">
        <v>130.71000000000004</v>
      </c>
      <c r="H13" s="195">
        <v>75</v>
      </c>
      <c r="I13" s="10">
        <v>0</v>
      </c>
      <c r="J13" s="11">
        <v>0</v>
      </c>
      <c r="K13" s="11"/>
      <c r="L13" s="190">
        <v>0</v>
      </c>
      <c r="M13" s="190">
        <v>0</v>
      </c>
      <c r="N13" s="190">
        <v>0</v>
      </c>
      <c r="O13" s="190">
        <v>113053.85</v>
      </c>
      <c r="P13" s="190">
        <v>8496.15</v>
      </c>
      <c r="Q13" s="190">
        <v>11250</v>
      </c>
      <c r="R13" s="190">
        <v>0</v>
      </c>
      <c r="S13" s="190">
        <v>0</v>
      </c>
      <c r="T13" s="190">
        <v>132800</v>
      </c>
    </row>
    <row r="14" spans="1:20">
      <c r="A14" s="13">
        <v>10</v>
      </c>
      <c r="B14" s="196" t="s">
        <v>215</v>
      </c>
      <c r="C14" s="197"/>
      <c r="D14" s="194">
        <v>0</v>
      </c>
      <c r="E14" s="194">
        <v>0</v>
      </c>
      <c r="F14" s="194">
        <v>1739.29</v>
      </c>
      <c r="G14" s="195">
        <v>130.71000000000004</v>
      </c>
      <c r="H14" s="195">
        <v>75</v>
      </c>
      <c r="I14" s="10">
        <v>0</v>
      </c>
      <c r="J14" s="11">
        <v>0</v>
      </c>
      <c r="K14" s="11"/>
      <c r="L14" s="190">
        <v>0</v>
      </c>
      <c r="M14" s="190">
        <v>0</v>
      </c>
      <c r="N14" s="190">
        <v>0</v>
      </c>
      <c r="O14" s="190">
        <v>113053.85</v>
      </c>
      <c r="P14" s="190">
        <v>8496.15</v>
      </c>
      <c r="Q14" s="190">
        <v>11250</v>
      </c>
      <c r="R14" s="190">
        <v>0</v>
      </c>
      <c r="S14" s="190">
        <v>0</v>
      </c>
      <c r="T14" s="190">
        <v>132800</v>
      </c>
    </row>
    <row r="15" spans="1:20">
      <c r="A15" s="13">
        <v>11</v>
      </c>
      <c r="B15" s="196" t="s">
        <v>216</v>
      </c>
      <c r="C15" s="197"/>
      <c r="D15" s="194">
        <v>0</v>
      </c>
      <c r="E15" s="194">
        <v>0</v>
      </c>
      <c r="F15" s="194">
        <v>1739.29</v>
      </c>
      <c r="G15" s="195">
        <v>130.71000000000004</v>
      </c>
      <c r="H15" s="195">
        <v>75</v>
      </c>
      <c r="I15" s="10">
        <v>0</v>
      </c>
      <c r="J15" s="11">
        <v>0</v>
      </c>
      <c r="K15" s="11"/>
      <c r="L15" s="190">
        <v>0</v>
      </c>
      <c r="M15" s="190">
        <v>0</v>
      </c>
      <c r="N15" s="190">
        <v>0</v>
      </c>
      <c r="O15" s="190">
        <v>113053.85</v>
      </c>
      <c r="P15" s="190">
        <v>8496.15</v>
      </c>
      <c r="Q15" s="190">
        <v>11250</v>
      </c>
      <c r="R15" s="190">
        <v>0</v>
      </c>
      <c r="S15" s="190">
        <v>0</v>
      </c>
      <c r="T15" s="190">
        <v>132800</v>
      </c>
    </row>
    <row r="16" spans="1:20">
      <c r="A16" s="13">
        <v>12</v>
      </c>
      <c r="B16" s="196" t="s">
        <v>217</v>
      </c>
      <c r="C16" s="197"/>
      <c r="D16" s="194">
        <v>0</v>
      </c>
      <c r="E16" s="194">
        <v>0</v>
      </c>
      <c r="F16" s="194">
        <v>1739.29</v>
      </c>
      <c r="G16" s="195">
        <v>130.71000000000004</v>
      </c>
      <c r="H16" s="195">
        <v>75</v>
      </c>
      <c r="I16" s="10">
        <v>0</v>
      </c>
      <c r="J16" s="11">
        <v>0</v>
      </c>
      <c r="K16" s="16"/>
      <c r="L16" s="190">
        <v>0</v>
      </c>
      <c r="M16" s="190">
        <v>0</v>
      </c>
      <c r="N16" s="190">
        <v>0</v>
      </c>
      <c r="O16" s="190">
        <v>113053.85</v>
      </c>
      <c r="P16" s="190">
        <v>8496.15</v>
      </c>
      <c r="Q16" s="190">
        <v>11250</v>
      </c>
      <c r="R16" s="190">
        <v>0</v>
      </c>
      <c r="S16" s="190">
        <v>0</v>
      </c>
      <c r="T16" s="190">
        <v>132800</v>
      </c>
    </row>
    <row r="17" spans="1:20">
      <c r="A17" s="13">
        <v>13</v>
      </c>
      <c r="B17" s="196" t="s">
        <v>218</v>
      </c>
      <c r="C17" s="197"/>
      <c r="D17" s="194">
        <v>0</v>
      </c>
      <c r="E17" s="194">
        <v>0</v>
      </c>
      <c r="F17" s="194">
        <v>1739.29</v>
      </c>
      <c r="G17" s="195">
        <v>130.71000000000004</v>
      </c>
      <c r="H17" s="195">
        <v>75</v>
      </c>
      <c r="I17" s="10">
        <v>0</v>
      </c>
      <c r="J17" s="11">
        <v>0</v>
      </c>
      <c r="K17" s="11"/>
      <c r="L17" s="190">
        <v>0</v>
      </c>
      <c r="M17" s="190">
        <v>0</v>
      </c>
      <c r="N17" s="190">
        <v>0</v>
      </c>
      <c r="O17" s="190">
        <v>113053.85</v>
      </c>
      <c r="P17" s="190">
        <v>8496.15</v>
      </c>
      <c r="Q17" s="190">
        <v>11250</v>
      </c>
      <c r="R17" s="190">
        <v>0</v>
      </c>
      <c r="S17" s="190">
        <v>0</v>
      </c>
      <c r="T17" s="190">
        <v>132800</v>
      </c>
    </row>
    <row r="18" spans="1:20">
      <c r="A18" s="13">
        <v>14</v>
      </c>
      <c r="B18" s="196" t="s">
        <v>219</v>
      </c>
      <c r="C18" s="197"/>
      <c r="D18" s="194">
        <v>0</v>
      </c>
      <c r="E18" s="194">
        <v>0</v>
      </c>
      <c r="F18" s="194">
        <v>1739.29</v>
      </c>
      <c r="G18" s="195">
        <v>130.71000000000004</v>
      </c>
      <c r="H18" s="195">
        <v>75</v>
      </c>
      <c r="I18" s="10">
        <v>0</v>
      </c>
      <c r="J18" s="11">
        <v>0</v>
      </c>
      <c r="K18" s="11"/>
      <c r="L18" s="190">
        <v>0</v>
      </c>
      <c r="M18" s="190">
        <v>0</v>
      </c>
      <c r="N18" s="190">
        <v>0</v>
      </c>
      <c r="O18" s="190">
        <v>113053.85</v>
      </c>
      <c r="P18" s="190">
        <v>8496.15</v>
      </c>
      <c r="Q18" s="190">
        <v>11250</v>
      </c>
      <c r="R18" s="190">
        <v>0</v>
      </c>
      <c r="S18" s="190">
        <v>0</v>
      </c>
      <c r="T18" s="190">
        <v>132800</v>
      </c>
    </row>
    <row r="19" spans="1:20">
      <c r="A19" s="13">
        <v>15</v>
      </c>
      <c r="B19" s="196" t="s">
        <v>220</v>
      </c>
      <c r="C19" s="197"/>
      <c r="D19" s="194">
        <v>0</v>
      </c>
      <c r="E19" s="194">
        <v>0</v>
      </c>
      <c r="F19" s="194">
        <v>1739.29</v>
      </c>
      <c r="G19" s="195">
        <v>130.71000000000004</v>
      </c>
      <c r="H19" s="195">
        <v>75</v>
      </c>
      <c r="I19" s="10">
        <v>0</v>
      </c>
      <c r="J19" s="11">
        <v>0</v>
      </c>
      <c r="K19" s="11"/>
      <c r="L19" s="190">
        <v>0</v>
      </c>
      <c r="M19" s="190">
        <v>0</v>
      </c>
      <c r="N19" s="190">
        <v>0</v>
      </c>
      <c r="O19" s="190">
        <v>113053.85</v>
      </c>
      <c r="P19" s="190">
        <v>8496.15</v>
      </c>
      <c r="Q19" s="190">
        <v>11250</v>
      </c>
      <c r="R19" s="190">
        <v>0</v>
      </c>
      <c r="S19" s="190">
        <v>0</v>
      </c>
      <c r="T19" s="190">
        <v>132800</v>
      </c>
    </row>
    <row r="20" spans="1:20">
      <c r="A20" s="13">
        <v>16</v>
      </c>
      <c r="B20" s="196" t="s">
        <v>221</v>
      </c>
      <c r="C20" s="197"/>
      <c r="D20" s="194">
        <v>0</v>
      </c>
      <c r="E20" s="194">
        <v>0</v>
      </c>
      <c r="F20" s="194">
        <v>1739.29</v>
      </c>
      <c r="G20" s="195">
        <v>130.71000000000004</v>
      </c>
      <c r="H20" s="195">
        <v>75</v>
      </c>
      <c r="I20" s="10">
        <v>0</v>
      </c>
      <c r="J20" s="11">
        <v>0</v>
      </c>
      <c r="K20" s="11"/>
      <c r="L20" s="190">
        <v>0</v>
      </c>
      <c r="M20" s="190">
        <v>0</v>
      </c>
      <c r="N20" s="190">
        <v>0</v>
      </c>
      <c r="O20" s="190">
        <v>113053.85</v>
      </c>
      <c r="P20" s="190">
        <v>8496.15</v>
      </c>
      <c r="Q20" s="190">
        <v>11250</v>
      </c>
      <c r="R20" s="190">
        <v>0</v>
      </c>
      <c r="S20" s="190">
        <v>0</v>
      </c>
      <c r="T20" s="190">
        <v>132800</v>
      </c>
    </row>
    <row r="21" spans="1:20">
      <c r="A21" s="13">
        <v>17</v>
      </c>
      <c r="B21" s="196" t="s">
        <v>222</v>
      </c>
      <c r="C21" s="197"/>
      <c r="D21" s="194">
        <v>0</v>
      </c>
      <c r="E21" s="194">
        <v>0</v>
      </c>
      <c r="F21" s="194">
        <v>1739.29</v>
      </c>
      <c r="G21" s="195">
        <v>130.71000000000004</v>
      </c>
      <c r="H21" s="195">
        <v>75</v>
      </c>
      <c r="I21" s="10">
        <v>0</v>
      </c>
      <c r="J21" s="11">
        <v>0</v>
      </c>
      <c r="K21" s="11"/>
      <c r="L21" s="190">
        <v>0</v>
      </c>
      <c r="M21" s="190">
        <v>0</v>
      </c>
      <c r="N21" s="190">
        <v>0</v>
      </c>
      <c r="O21" s="190">
        <v>113053.85</v>
      </c>
      <c r="P21" s="190">
        <v>8496.15</v>
      </c>
      <c r="Q21" s="190">
        <v>11250</v>
      </c>
      <c r="R21" s="190">
        <v>0</v>
      </c>
      <c r="S21" s="190">
        <v>0</v>
      </c>
      <c r="T21" s="190">
        <v>132800</v>
      </c>
    </row>
    <row r="22" spans="1:20">
      <c r="A22" s="13">
        <v>18</v>
      </c>
      <c r="B22" s="196" t="s">
        <v>223</v>
      </c>
      <c r="C22" s="197"/>
      <c r="D22" s="194">
        <v>0</v>
      </c>
      <c r="E22" s="194">
        <v>0</v>
      </c>
      <c r="F22" s="194">
        <v>1739.29</v>
      </c>
      <c r="G22" s="195">
        <v>130.71000000000004</v>
      </c>
      <c r="H22" s="195">
        <v>75</v>
      </c>
      <c r="I22" s="10">
        <v>0</v>
      </c>
      <c r="J22" s="11">
        <v>0</v>
      </c>
      <c r="K22" s="11"/>
      <c r="L22" s="190">
        <v>0</v>
      </c>
      <c r="M22" s="190">
        <v>0</v>
      </c>
      <c r="N22" s="190">
        <v>0</v>
      </c>
      <c r="O22" s="190">
        <v>113053.85</v>
      </c>
      <c r="P22" s="190">
        <v>8496.15</v>
      </c>
      <c r="Q22" s="190">
        <v>11250</v>
      </c>
      <c r="R22" s="190">
        <v>0</v>
      </c>
      <c r="S22" s="190">
        <v>0</v>
      </c>
      <c r="T22" s="190">
        <v>132800</v>
      </c>
    </row>
    <row r="23" spans="1:20">
      <c r="A23" s="13">
        <v>19</v>
      </c>
      <c r="B23" s="196" t="s">
        <v>224</v>
      </c>
      <c r="C23" s="197"/>
      <c r="D23" s="194">
        <v>0</v>
      </c>
      <c r="E23" s="194">
        <v>0</v>
      </c>
      <c r="F23" s="194">
        <v>1739.29</v>
      </c>
      <c r="G23" s="195">
        <v>130.71000000000004</v>
      </c>
      <c r="H23" s="195">
        <v>75</v>
      </c>
      <c r="I23" s="10">
        <v>0</v>
      </c>
      <c r="J23" s="11">
        <v>0</v>
      </c>
      <c r="K23" s="11"/>
      <c r="L23" s="190">
        <v>0</v>
      </c>
      <c r="M23" s="190">
        <v>0</v>
      </c>
      <c r="N23" s="190">
        <v>0</v>
      </c>
      <c r="O23" s="190">
        <v>113053.85</v>
      </c>
      <c r="P23" s="190">
        <v>8496.15</v>
      </c>
      <c r="Q23" s="190">
        <v>11250</v>
      </c>
      <c r="R23" s="190">
        <v>0</v>
      </c>
      <c r="S23" s="190">
        <v>0</v>
      </c>
      <c r="T23" s="190">
        <v>132800</v>
      </c>
    </row>
    <row r="24" spans="1:20">
      <c r="A24" s="13">
        <v>20</v>
      </c>
      <c r="B24" s="196" t="s">
        <v>225</v>
      </c>
      <c r="C24" s="197"/>
      <c r="D24" s="194">
        <v>0</v>
      </c>
      <c r="E24" s="194">
        <v>0</v>
      </c>
      <c r="F24" s="194">
        <v>1739.29</v>
      </c>
      <c r="G24" s="195">
        <v>130.71000000000004</v>
      </c>
      <c r="H24" s="195">
        <v>75</v>
      </c>
      <c r="I24" s="10">
        <v>0</v>
      </c>
      <c r="J24" s="11">
        <v>0</v>
      </c>
      <c r="K24" s="11"/>
      <c r="L24" s="190">
        <v>0</v>
      </c>
      <c r="M24" s="190">
        <v>0</v>
      </c>
      <c r="N24" s="190">
        <v>0</v>
      </c>
      <c r="O24" s="190">
        <v>113053.85</v>
      </c>
      <c r="P24" s="190">
        <v>8496.15</v>
      </c>
      <c r="Q24" s="190">
        <v>11250</v>
      </c>
      <c r="R24" s="190">
        <v>0</v>
      </c>
      <c r="S24" s="190">
        <v>0</v>
      </c>
      <c r="T24" s="190">
        <v>132800</v>
      </c>
    </row>
    <row r="25" spans="1:20">
      <c r="A25" s="13">
        <v>21</v>
      </c>
      <c r="B25" s="196" t="s">
        <v>226</v>
      </c>
      <c r="C25" s="197"/>
      <c r="D25" s="194">
        <v>0</v>
      </c>
      <c r="E25" s="194">
        <v>0</v>
      </c>
      <c r="F25" s="194">
        <v>1739.29</v>
      </c>
      <c r="G25" s="195">
        <v>130.71000000000004</v>
      </c>
      <c r="H25" s="195">
        <v>75</v>
      </c>
      <c r="I25" s="10">
        <v>0</v>
      </c>
      <c r="J25" s="11">
        <v>0</v>
      </c>
      <c r="K25" s="11"/>
      <c r="L25" s="190">
        <v>0</v>
      </c>
      <c r="M25" s="190">
        <v>0</v>
      </c>
      <c r="N25" s="190">
        <v>0</v>
      </c>
      <c r="O25" s="190">
        <v>113053.85</v>
      </c>
      <c r="P25" s="190">
        <v>8496.15</v>
      </c>
      <c r="Q25" s="190">
        <v>11250</v>
      </c>
      <c r="R25" s="190">
        <v>0</v>
      </c>
      <c r="S25" s="190">
        <v>0</v>
      </c>
      <c r="T25" s="190">
        <v>132800</v>
      </c>
    </row>
    <row r="26" spans="1:20">
      <c r="A26" s="13">
        <v>22</v>
      </c>
      <c r="B26" s="196" t="s">
        <v>227</v>
      </c>
      <c r="C26" s="197"/>
      <c r="D26" s="194">
        <v>0</v>
      </c>
      <c r="E26" s="194">
        <v>0</v>
      </c>
      <c r="F26" s="194">
        <v>1739.29</v>
      </c>
      <c r="G26" s="195">
        <v>130.71000000000004</v>
      </c>
      <c r="H26" s="195">
        <v>75</v>
      </c>
      <c r="I26" s="10">
        <v>0</v>
      </c>
      <c r="J26" s="11">
        <v>0</v>
      </c>
      <c r="K26" s="11"/>
      <c r="L26" s="190">
        <v>0</v>
      </c>
      <c r="M26" s="190">
        <v>0</v>
      </c>
      <c r="N26" s="190">
        <v>0</v>
      </c>
      <c r="O26" s="190">
        <v>113053.85</v>
      </c>
      <c r="P26" s="190">
        <v>8496.15</v>
      </c>
      <c r="Q26" s="190">
        <v>11250</v>
      </c>
      <c r="R26" s="190">
        <v>0</v>
      </c>
      <c r="S26" s="190">
        <v>0</v>
      </c>
      <c r="T26" s="190">
        <v>132800</v>
      </c>
    </row>
    <row r="27" spans="1:20">
      <c r="A27" s="13">
        <v>23</v>
      </c>
      <c r="B27" s="196" t="s">
        <v>228</v>
      </c>
      <c r="C27" s="197"/>
      <c r="D27" s="194">
        <v>0</v>
      </c>
      <c r="E27" s="194">
        <v>0</v>
      </c>
      <c r="F27" s="194">
        <v>1739.29</v>
      </c>
      <c r="G27" s="195">
        <v>130.71000000000004</v>
      </c>
      <c r="H27" s="195">
        <v>75</v>
      </c>
      <c r="I27" s="10">
        <v>0</v>
      </c>
      <c r="J27" s="11">
        <v>0</v>
      </c>
      <c r="K27" s="11"/>
      <c r="L27" s="190">
        <v>0</v>
      </c>
      <c r="M27" s="190">
        <v>0</v>
      </c>
      <c r="N27" s="190">
        <v>0</v>
      </c>
      <c r="O27" s="190">
        <v>113053.85</v>
      </c>
      <c r="P27" s="190">
        <v>8496.15</v>
      </c>
      <c r="Q27" s="190">
        <v>11250</v>
      </c>
      <c r="R27" s="190">
        <v>0</v>
      </c>
      <c r="S27" s="190">
        <v>0</v>
      </c>
      <c r="T27" s="190">
        <v>132800</v>
      </c>
    </row>
    <row r="28" spans="1:20">
      <c r="A28" s="13">
        <v>24</v>
      </c>
      <c r="B28" s="196" t="s">
        <v>229</v>
      </c>
      <c r="C28" s="197"/>
      <c r="D28" s="194">
        <v>31.023</v>
      </c>
      <c r="E28" s="194">
        <v>0</v>
      </c>
      <c r="F28" s="194">
        <v>1770.3130000000001</v>
      </c>
      <c r="G28" s="195">
        <v>99.686999999999898</v>
      </c>
      <c r="H28" s="195">
        <v>43.977000000000004</v>
      </c>
      <c r="I28" s="10">
        <v>0</v>
      </c>
      <c r="J28" s="11">
        <v>0</v>
      </c>
      <c r="K28" s="11"/>
      <c r="L28" s="190">
        <v>0</v>
      </c>
      <c r="M28" s="190">
        <v>4653.45</v>
      </c>
      <c r="N28" s="190">
        <v>0</v>
      </c>
      <c r="O28" s="190">
        <v>115070.35</v>
      </c>
      <c r="P28" s="190">
        <v>6479.66</v>
      </c>
      <c r="Q28" s="190">
        <v>6596.55</v>
      </c>
      <c r="R28" s="190">
        <v>0</v>
      </c>
      <c r="S28" s="190">
        <v>0</v>
      </c>
      <c r="T28" s="190">
        <v>132800</v>
      </c>
    </row>
    <row r="29" spans="1:20">
      <c r="A29" s="13">
        <v>25</v>
      </c>
      <c r="B29" s="196" t="s">
        <v>230</v>
      </c>
      <c r="C29" s="197"/>
      <c r="D29" s="194">
        <v>16.812999999999999</v>
      </c>
      <c r="E29" s="194">
        <v>0</v>
      </c>
      <c r="F29" s="194">
        <v>1787.126</v>
      </c>
      <c r="G29" s="195">
        <v>82.874000000000024</v>
      </c>
      <c r="H29" s="195">
        <v>58.186999999999998</v>
      </c>
      <c r="I29" s="10">
        <v>0</v>
      </c>
      <c r="J29" s="11">
        <v>0</v>
      </c>
      <c r="K29" s="11"/>
      <c r="L29" s="190">
        <v>0</v>
      </c>
      <c r="M29" s="190">
        <v>2521.9499999999998</v>
      </c>
      <c r="N29" s="190">
        <v>0</v>
      </c>
      <c r="O29" s="190">
        <v>116163.19</v>
      </c>
      <c r="P29" s="190">
        <v>5386.81</v>
      </c>
      <c r="Q29" s="190">
        <v>8728.0499999999993</v>
      </c>
      <c r="R29" s="190">
        <v>0</v>
      </c>
      <c r="S29" s="190">
        <v>0</v>
      </c>
      <c r="T29" s="190">
        <v>132800</v>
      </c>
    </row>
    <row r="30" spans="1:20">
      <c r="A30" s="13">
        <v>26</v>
      </c>
      <c r="B30" s="196" t="s">
        <v>231</v>
      </c>
      <c r="C30" s="197"/>
      <c r="D30" s="194">
        <v>50.588999999999999</v>
      </c>
      <c r="E30" s="194">
        <v>0</v>
      </c>
      <c r="F30" s="194">
        <v>1837.7149999999999</v>
      </c>
      <c r="G30" s="195">
        <v>32.285000000000082</v>
      </c>
      <c r="H30" s="195">
        <v>24.411000000000001</v>
      </c>
      <c r="I30" s="10">
        <v>0</v>
      </c>
      <c r="J30" s="11">
        <v>0</v>
      </c>
      <c r="K30" s="11"/>
      <c r="L30" s="190">
        <v>0</v>
      </c>
      <c r="M30" s="190">
        <v>7588.35</v>
      </c>
      <c r="N30" s="190">
        <v>0</v>
      </c>
      <c r="O30" s="190">
        <v>119451.48</v>
      </c>
      <c r="P30" s="190">
        <v>2098.5300000000002</v>
      </c>
      <c r="Q30" s="190">
        <v>3661.65</v>
      </c>
      <c r="R30" s="190">
        <v>0</v>
      </c>
      <c r="S30" s="190">
        <v>0</v>
      </c>
      <c r="T30" s="190">
        <v>132800</v>
      </c>
    </row>
    <row r="31" spans="1:20">
      <c r="A31" s="13">
        <v>27</v>
      </c>
      <c r="B31" s="196" t="s">
        <v>232</v>
      </c>
      <c r="C31" s="197"/>
      <c r="D31" s="194">
        <v>16.472000000000001</v>
      </c>
      <c r="E31" s="194">
        <v>0</v>
      </c>
      <c r="F31" s="194">
        <v>1854.1869999999999</v>
      </c>
      <c r="G31" s="195">
        <v>15.813000000000102</v>
      </c>
      <c r="H31" s="195">
        <v>58.527999999999999</v>
      </c>
      <c r="I31" s="10">
        <v>0</v>
      </c>
      <c r="J31" s="11">
        <v>0</v>
      </c>
      <c r="K31" s="11"/>
      <c r="L31" s="190">
        <v>0</v>
      </c>
      <c r="M31" s="190">
        <v>2470.8000000000002</v>
      </c>
      <c r="N31" s="190">
        <v>0</v>
      </c>
      <c r="O31" s="190">
        <v>120522.16</v>
      </c>
      <c r="P31" s="190">
        <v>1027.8499999999999</v>
      </c>
      <c r="Q31" s="190">
        <v>8779.2000000000007</v>
      </c>
      <c r="R31" s="190">
        <v>0</v>
      </c>
      <c r="S31" s="190">
        <v>0</v>
      </c>
      <c r="T31" s="190">
        <v>132800</v>
      </c>
    </row>
    <row r="32" spans="1:20">
      <c r="A32" s="13">
        <v>28</v>
      </c>
      <c r="B32" s="196" t="s">
        <v>233</v>
      </c>
      <c r="C32" s="197"/>
      <c r="D32" s="194">
        <v>81.573999999999998</v>
      </c>
      <c r="E32" s="194">
        <v>0</v>
      </c>
      <c r="F32" s="194">
        <v>1935.761</v>
      </c>
      <c r="G32" s="195">
        <v>0</v>
      </c>
      <c r="H32" s="195">
        <v>0</v>
      </c>
      <c r="I32" s="10">
        <v>0</v>
      </c>
      <c r="J32" s="11">
        <v>0</v>
      </c>
      <c r="K32" s="11"/>
      <c r="L32" s="190">
        <v>0</v>
      </c>
      <c r="M32" s="190">
        <v>12236.1</v>
      </c>
      <c r="N32" s="190">
        <v>0</v>
      </c>
      <c r="O32" s="190">
        <v>125824.47</v>
      </c>
      <c r="P32" s="190">
        <v>0</v>
      </c>
      <c r="Q32" s="190">
        <v>0</v>
      </c>
      <c r="R32" s="190">
        <v>0</v>
      </c>
      <c r="S32" s="190">
        <v>0</v>
      </c>
      <c r="T32" s="190">
        <v>138060.57</v>
      </c>
    </row>
    <row r="33" spans="1:20">
      <c r="A33" s="13">
        <v>29</v>
      </c>
      <c r="B33" s="196" t="s">
        <v>234</v>
      </c>
      <c r="C33" s="197"/>
      <c r="D33" s="194">
        <v>0</v>
      </c>
      <c r="E33" s="194">
        <v>0</v>
      </c>
      <c r="F33" s="194">
        <v>1935.761</v>
      </c>
      <c r="G33" s="195">
        <v>0</v>
      </c>
      <c r="H33" s="195">
        <v>75</v>
      </c>
      <c r="I33" s="10">
        <v>0</v>
      </c>
      <c r="J33" s="11">
        <v>0</v>
      </c>
      <c r="K33" s="11"/>
      <c r="L33" s="190">
        <v>0</v>
      </c>
      <c r="M33" s="190">
        <v>0</v>
      </c>
      <c r="N33" s="190">
        <v>0</v>
      </c>
      <c r="O33" s="190">
        <v>125824.47</v>
      </c>
      <c r="P33" s="190">
        <v>0</v>
      </c>
      <c r="Q33" s="190">
        <v>11250</v>
      </c>
      <c r="R33" s="190">
        <v>0</v>
      </c>
      <c r="S33" s="190">
        <v>0</v>
      </c>
      <c r="T33" s="190">
        <v>137074.47</v>
      </c>
    </row>
    <row r="34" spans="1:20">
      <c r="A34" s="13">
        <v>30</v>
      </c>
      <c r="B34" s="196" t="s">
        <v>235</v>
      </c>
      <c r="C34" s="197"/>
      <c r="D34" s="194">
        <v>0</v>
      </c>
      <c r="E34" s="194">
        <v>0</v>
      </c>
      <c r="F34" s="194">
        <v>1935.761</v>
      </c>
      <c r="G34" s="195">
        <v>0</v>
      </c>
      <c r="H34" s="195">
        <v>75</v>
      </c>
      <c r="I34" s="10">
        <v>0</v>
      </c>
      <c r="J34" s="11">
        <v>0</v>
      </c>
      <c r="K34" s="11"/>
      <c r="L34" s="190">
        <v>0</v>
      </c>
      <c r="M34" s="190">
        <v>0</v>
      </c>
      <c r="N34" s="190">
        <v>0</v>
      </c>
      <c r="O34" s="190">
        <v>125824.47</v>
      </c>
      <c r="P34" s="190">
        <v>0</v>
      </c>
      <c r="Q34" s="190">
        <v>11250</v>
      </c>
      <c r="R34" s="190">
        <v>0</v>
      </c>
      <c r="S34" s="190">
        <v>0</v>
      </c>
      <c r="T34" s="190">
        <v>137074.47</v>
      </c>
    </row>
    <row r="35" spans="1:20">
      <c r="A35" s="13">
        <v>31</v>
      </c>
      <c r="B35" s="196"/>
      <c r="C35" s="197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90">
        <v>0</v>
      </c>
      <c r="M35" s="190">
        <v>0</v>
      </c>
      <c r="N35" s="190">
        <v>0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</row>
    <row r="36" spans="1:20">
      <c r="D36" s="18">
        <v>196.471</v>
      </c>
      <c r="E36" s="18">
        <v>0</v>
      </c>
      <c r="F36" s="18">
        <v>53060.294000000002</v>
      </c>
      <c r="G36" s="18">
        <v>3236.9890000000005</v>
      </c>
      <c r="H36" s="18">
        <v>2060.1030000000001</v>
      </c>
      <c r="I36" s="18">
        <v>0</v>
      </c>
      <c r="J36" s="19">
        <v>0</v>
      </c>
      <c r="K36" s="19">
        <v>0</v>
      </c>
      <c r="L36" s="191">
        <v>0</v>
      </c>
      <c r="M36" s="191">
        <v>29470.65</v>
      </c>
      <c r="N36" s="191">
        <v>0</v>
      </c>
      <c r="O36" s="191">
        <v>3448919.11</v>
      </c>
      <c r="P36" s="191">
        <v>210404.29</v>
      </c>
      <c r="Q36" s="191">
        <v>309015.45</v>
      </c>
      <c r="R36" s="191">
        <v>0</v>
      </c>
      <c r="S36" s="191">
        <v>0</v>
      </c>
      <c r="T36" s="191">
        <v>3997809.5</v>
      </c>
    </row>
    <row r="37" spans="1:20">
      <c r="R37" s="21"/>
      <c r="S37" s="21"/>
      <c r="T37" s="192">
        <v>4797371.3899999997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1898-8CFE-46DB-811C-43E6E7873FC2}">
  <dimension ref="A1:A29"/>
  <sheetViews>
    <sheetView workbookViewId="0">
      <selection activeCell="A30" sqref="A30"/>
    </sheetView>
  </sheetViews>
  <sheetFormatPr defaultRowHeight="15"/>
  <cols>
    <col min="1" max="1" width="10.5" style="2" bestFit="1" customWidth="1"/>
    <col min="2" max="16384" width="8.796875" style="2"/>
  </cols>
  <sheetData>
    <row r="1" spans="1:1">
      <c r="A1" s="115">
        <v>45292</v>
      </c>
    </row>
    <row r="2" spans="1:1">
      <c r="A2" s="115">
        <v>45293</v>
      </c>
    </row>
    <row r="3" spans="1:1">
      <c r="A3" s="115">
        <v>45294</v>
      </c>
    </row>
    <row r="4" spans="1:1">
      <c r="A4" s="115">
        <v>45295</v>
      </c>
    </row>
    <row r="5" spans="1:1">
      <c r="A5" s="115">
        <v>45296</v>
      </c>
    </row>
    <row r="6" spans="1:1">
      <c r="A6" s="115">
        <v>45297</v>
      </c>
    </row>
    <row r="7" spans="1:1">
      <c r="A7" s="115">
        <v>45298</v>
      </c>
    </row>
    <row r="8" spans="1:1">
      <c r="A8" s="115">
        <v>45299</v>
      </c>
    </row>
    <row r="9" spans="1:1">
      <c r="A9" s="115">
        <v>45345</v>
      </c>
    </row>
    <row r="10" spans="1:1">
      <c r="A10" s="115">
        <v>45359</v>
      </c>
    </row>
    <row r="11" spans="1:1">
      <c r="A11" s="115">
        <v>45410</v>
      </c>
    </row>
    <row r="12" spans="1:1">
      <c r="A12" s="115">
        <v>45411</v>
      </c>
    </row>
    <row r="13" spans="1:1">
      <c r="A13" s="115">
        <v>45412</v>
      </c>
    </row>
    <row r="14" spans="1:1">
      <c r="A14" s="115">
        <v>45778</v>
      </c>
    </row>
    <row r="15" spans="1:1">
      <c r="A15" s="115">
        <v>45779</v>
      </c>
    </row>
    <row r="16" spans="1:1">
      <c r="A16" s="115">
        <v>45780</v>
      </c>
    </row>
    <row r="17" spans="1:1">
      <c r="A17" s="115">
        <v>45781</v>
      </c>
    </row>
    <row r="18" spans="1:1">
      <c r="A18" s="115">
        <v>45785</v>
      </c>
    </row>
    <row r="19" spans="1:1">
      <c r="A19" s="115">
        <v>45786</v>
      </c>
    </row>
    <row r="20" spans="1:1">
      <c r="A20" s="115">
        <v>45787</v>
      </c>
    </row>
    <row r="21" spans="1:1">
      <c r="A21" s="115">
        <v>45788</v>
      </c>
    </row>
    <row r="22" spans="1:1">
      <c r="A22" s="115">
        <v>45820</v>
      </c>
    </row>
    <row r="23" spans="1:1">
      <c r="A23" s="115">
        <v>45821</v>
      </c>
    </row>
    <row r="24" spans="1:1">
      <c r="A24" s="115">
        <v>45822</v>
      </c>
    </row>
    <row r="25" spans="1:1">
      <c r="A25" s="115">
        <v>45823</v>
      </c>
    </row>
    <row r="26" spans="1:1">
      <c r="A26" s="115">
        <v>45963</v>
      </c>
    </row>
    <row r="27" spans="1:1">
      <c r="A27" s="115">
        <v>45964</v>
      </c>
    </row>
    <row r="28" spans="1:1">
      <c r="A28" s="115">
        <v>45965</v>
      </c>
    </row>
    <row r="29" spans="1:1">
      <c r="A29" s="115">
        <v>46022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FF25-5647-4EFF-A629-4669C0F975C9}">
  <dimension ref="A3:F26"/>
  <sheetViews>
    <sheetView workbookViewId="0">
      <selection activeCell="A4" sqref="A4:B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30 Ноябрь 2025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Ноябрь 2025</v>
      </c>
      <c r="B4" s="21"/>
      <c r="C4" s="21"/>
    </row>
    <row r="5" spans="1:6">
      <c r="A5" s="21" t="s">
        <v>111</v>
      </c>
      <c r="B5" s="21"/>
      <c r="C5" s="21"/>
    </row>
    <row r="6" spans="1:6">
      <c r="A6" s="2" t="s">
        <v>112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Ноябрь 2025 г. По 30 Ноябрь 2025  г. ХРАНИТЕЛЬ оказал ПОКЛАЖЕДАТЕЛЮ следующие услуги (работы):</v>
      </c>
    </row>
    <row r="9" spans="1:6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81</v>
      </c>
    </row>
    <row r="10" spans="1:6">
      <c r="A10" s="79">
        <v>1</v>
      </c>
      <c r="B10" s="78" t="s">
        <v>113</v>
      </c>
      <c r="C10" s="79" t="s">
        <v>114</v>
      </c>
      <c r="D10" s="109">
        <f>'[1]РВ ГАЗ'!S2</f>
        <v>0</v>
      </c>
      <c r="E10" s="110">
        <v>150</v>
      </c>
      <c r="F10" s="110">
        <f>D10*E10</f>
        <v>0</v>
      </c>
    </row>
    <row r="11" spans="1:6">
      <c r="A11" s="79">
        <v>2</v>
      </c>
      <c r="B11" s="78" t="s">
        <v>115</v>
      </c>
      <c r="C11" s="6" t="s">
        <v>114</v>
      </c>
      <c r="D11" s="111">
        <f>'[1]РВ ГАЗ'!R2</f>
        <v>0</v>
      </c>
      <c r="E11" s="110">
        <v>225</v>
      </c>
      <c r="F11" s="110">
        <f t="shared" ref="F11:F15" si="0">D11*E11</f>
        <v>0</v>
      </c>
    </row>
    <row r="12" spans="1:6">
      <c r="A12" s="79">
        <v>3</v>
      </c>
      <c r="B12" s="112" t="s">
        <v>116</v>
      </c>
      <c r="C12" s="6" t="s">
        <v>114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117</v>
      </c>
      <c r="C13" s="6" t="s">
        <v>114</v>
      </c>
      <c r="D13" s="111">
        <f>'[1]РВ ГАЗ'!R3</f>
        <v>42.75</v>
      </c>
      <c r="E13" s="110">
        <v>225</v>
      </c>
      <c r="F13" s="110">
        <f t="shared" si="0"/>
        <v>9618.75</v>
      </c>
    </row>
    <row r="14" spans="1:6">
      <c r="A14" s="79">
        <v>5</v>
      </c>
      <c r="B14" s="113" t="s">
        <v>118</v>
      </c>
      <c r="C14" s="6" t="s">
        <v>114</v>
      </c>
      <c r="D14" s="111">
        <f>'[1]РВ ГАЗ'!S3</f>
        <v>160.85499999999999</v>
      </c>
      <c r="E14" s="110">
        <v>150</v>
      </c>
      <c r="F14" s="110">
        <f t="shared" si="0"/>
        <v>24128.25</v>
      </c>
    </row>
    <row r="15" spans="1:6">
      <c r="A15" s="79">
        <v>6</v>
      </c>
      <c r="B15" s="112" t="s">
        <v>119</v>
      </c>
      <c r="C15" s="6" t="s">
        <v>114</v>
      </c>
      <c r="D15" s="111">
        <f>'[1]РВ ГАЗ'!G37</f>
        <v>5895.0950000000003</v>
      </c>
      <c r="E15" s="114">
        <v>15</v>
      </c>
      <c r="F15" s="110">
        <f t="shared" si="0"/>
        <v>88426.425000000003</v>
      </c>
    </row>
    <row r="16" spans="1:6">
      <c r="A16" s="79"/>
      <c r="B16" s="112"/>
      <c r="C16" s="6"/>
      <c r="D16" s="111"/>
      <c r="E16" s="114"/>
      <c r="F16" s="110"/>
    </row>
    <row r="17" spans="1:6">
      <c r="A17" s="2" t="s">
        <v>82</v>
      </c>
      <c r="F17" s="110">
        <f>SUM(F10:F16)</f>
        <v>122173.425</v>
      </c>
    </row>
    <row r="18" spans="1:6">
      <c r="A18" s="2" t="s">
        <v>83</v>
      </c>
      <c r="F18" s="110">
        <f>SUM(F17)</f>
        <v>122173.425</v>
      </c>
    </row>
    <row r="19" spans="1:6">
      <c r="A19" s="2" t="s">
        <v>84</v>
      </c>
      <c r="F19" s="110">
        <f>SUM(F18)*1.2</f>
        <v>146608.10999999999</v>
      </c>
    </row>
    <row r="20" spans="1:6">
      <c r="A20" s="2" t="s">
        <v>85</v>
      </c>
    </row>
    <row r="21" spans="1:6">
      <c r="A21" s="2" t="s">
        <v>86</v>
      </c>
    </row>
    <row r="24" spans="1:6">
      <c r="A24" s="2" t="s">
        <v>88</v>
      </c>
      <c r="D24" s="2" t="s">
        <v>122</v>
      </c>
    </row>
    <row r="26" spans="1:6">
      <c r="A26" s="2" t="s">
        <v>123</v>
      </c>
      <c r="D26" s="2" t="s">
        <v>92</v>
      </c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077E-9A69-4B0F-B0E6-5B0DA516FD85}">
  <dimension ref="A3:F26"/>
  <sheetViews>
    <sheetView workbookViewId="0">
      <selection activeCell="A4" sqref="A4:B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30 Ноябрь 2025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Ноябрь 2025</v>
      </c>
      <c r="B4" s="21"/>
      <c r="C4" s="21"/>
    </row>
    <row r="5" spans="1:6">
      <c r="A5" s="21" t="s">
        <v>111</v>
      </c>
      <c r="B5" s="21"/>
      <c r="C5" s="21"/>
    </row>
    <row r="6" spans="1:6">
      <c r="A6" s="2" t="s">
        <v>112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Ноябрь 2025 г. По 30 Ноябрь 2025  г. ХРАНИТЕЛЬ оказал ПОКЛАЖЕДАТЕЛЮ следующие услуги (работы):</v>
      </c>
    </row>
    <row r="9" spans="1:6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81</v>
      </c>
    </row>
    <row r="10" spans="1:6">
      <c r="A10" s="79">
        <v>1</v>
      </c>
      <c r="B10" s="78" t="s">
        <v>113</v>
      </c>
      <c r="C10" s="79" t="s">
        <v>114</v>
      </c>
      <c r="D10" s="109">
        <f>'[1]РВ Новикова-Прибоя'!S2</f>
        <v>21</v>
      </c>
      <c r="E10" s="110">
        <v>150</v>
      </c>
      <c r="F10" s="110">
        <f>D10*E10</f>
        <v>3150</v>
      </c>
    </row>
    <row r="11" spans="1:6">
      <c r="A11" s="79">
        <v>2</v>
      </c>
      <c r="B11" s="78" t="s">
        <v>115</v>
      </c>
      <c r="C11" s="6" t="s">
        <v>114</v>
      </c>
      <c r="D11" s="111">
        <f>'[1]РВ Новикова-Прибоя'!R2</f>
        <v>42</v>
      </c>
      <c r="E11" s="110">
        <v>225</v>
      </c>
      <c r="F11" s="110">
        <f t="shared" ref="F11:F15" si="0">D11*E11</f>
        <v>9450</v>
      </c>
    </row>
    <row r="12" spans="1:6">
      <c r="A12" s="79">
        <v>3</v>
      </c>
      <c r="B12" s="112" t="s">
        <v>116</v>
      </c>
      <c r="C12" s="6" t="s">
        <v>114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117</v>
      </c>
      <c r="C13" s="6" t="s">
        <v>114</v>
      </c>
      <c r="D13" s="111">
        <f>'[1]РВ Новикова-Прибоя'!R3</f>
        <v>16.38</v>
      </c>
      <c r="E13" s="110">
        <v>225</v>
      </c>
      <c r="F13" s="110">
        <f t="shared" si="0"/>
        <v>3685.5</v>
      </c>
    </row>
    <row r="14" spans="1:6">
      <c r="A14" s="79">
        <v>5</v>
      </c>
      <c r="B14" s="113" t="s">
        <v>118</v>
      </c>
      <c r="C14" s="6" t="s">
        <v>114</v>
      </c>
      <c r="D14" s="111">
        <f>'[1]РВ Новикова-Прибоя'!S3</f>
        <v>67.61999999999999</v>
      </c>
      <c r="E14" s="110">
        <v>150</v>
      </c>
      <c r="F14" s="110">
        <f t="shared" si="0"/>
        <v>10142.999999999998</v>
      </c>
    </row>
    <row r="15" spans="1:6">
      <c r="A15" s="79">
        <v>6</v>
      </c>
      <c r="B15" s="112" t="s">
        <v>119</v>
      </c>
      <c r="C15" s="6" t="s">
        <v>114</v>
      </c>
      <c r="D15" s="111">
        <f>'[1]РВ Новикова-Прибоя'!G37</f>
        <v>8768.9799999999977</v>
      </c>
      <c r="E15" s="114">
        <v>15</v>
      </c>
      <c r="F15" s="110">
        <f t="shared" si="0"/>
        <v>131534.69999999995</v>
      </c>
    </row>
    <row r="16" spans="1:6">
      <c r="A16" s="79"/>
      <c r="B16" s="112"/>
      <c r="C16" s="6"/>
      <c r="D16" s="111"/>
      <c r="E16" s="114"/>
      <c r="F16" s="110"/>
    </row>
    <row r="17" spans="1:6">
      <c r="A17" s="2" t="s">
        <v>82</v>
      </c>
      <c r="F17" s="110">
        <f>SUM(F10:F16)</f>
        <v>157963.19999999995</v>
      </c>
    </row>
    <row r="18" spans="1:6">
      <c r="A18" s="2" t="s">
        <v>83</v>
      </c>
      <c r="F18" s="110">
        <f>SUM(F17)</f>
        <v>157963.19999999995</v>
      </c>
    </row>
    <row r="19" spans="1:6">
      <c r="A19" s="2" t="s">
        <v>84</v>
      </c>
      <c r="F19" s="110">
        <f>SUM(F18)*1.2</f>
        <v>189555.83999999994</v>
      </c>
    </row>
    <row r="20" spans="1:6">
      <c r="A20" s="2" t="s">
        <v>85</v>
      </c>
    </row>
    <row r="21" spans="1:6">
      <c r="A21" s="2" t="s">
        <v>86</v>
      </c>
    </row>
    <row r="24" spans="1:6">
      <c r="A24" s="2" t="s">
        <v>88</v>
      </c>
      <c r="D24" s="2" t="s">
        <v>122</v>
      </c>
    </row>
    <row r="26" spans="1:6">
      <c r="A26" s="2" t="s">
        <v>123</v>
      </c>
      <c r="D26" s="2" t="s">
        <v>92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4EE3-558D-4482-BF11-C81499048A04}">
  <dimension ref="A3:F27"/>
  <sheetViews>
    <sheetView workbookViewId="0">
      <selection activeCell="A4" sqref="A4:B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6" t="str">
        <f ca="1">"Акт  №    от  " &amp; TEXT(TODAY()-DAY(TODAY()), "ДД ММММ ГГГГ")</f>
        <v>Акт  №    от  30 Ноябрь 2025</v>
      </c>
    </row>
    <row r="4" spans="1:6">
      <c r="A4" s="21" t="str">
        <f ca="1">"выполненных работ (оказанных услуг) за " &amp; TEXT(TODAY()-DAY(TODAY()),"ММММ ГГГГ")</f>
        <v>выполненных работ (оказанных услуг) за Ноябрь 2025</v>
      </c>
      <c r="B4" s="21"/>
      <c r="C4" s="21"/>
    </row>
    <row r="5" spans="1:6">
      <c r="A5" s="21" t="s">
        <v>111</v>
      </c>
      <c r="B5" s="21"/>
      <c r="C5" s="21"/>
    </row>
    <row r="6" spans="1:6">
      <c r="A6" s="2" t="s">
        <v>112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Ноябрь 2025 г. По 30 Ноябрь 2025  г. ХРАНИТЕЛЬ оказал ПОКЛАЖЕДАТЕЛЮ следующие услуги (работы):</v>
      </c>
    </row>
    <row r="9" spans="1:6">
      <c r="A9" s="78" t="s">
        <v>0</v>
      </c>
      <c r="B9" s="78" t="s">
        <v>77</v>
      </c>
      <c r="C9" s="78" t="s">
        <v>78</v>
      </c>
      <c r="D9" s="78" t="s">
        <v>79</v>
      </c>
      <c r="E9" s="78" t="s">
        <v>80</v>
      </c>
      <c r="F9" s="78" t="s">
        <v>81</v>
      </c>
    </row>
    <row r="10" spans="1:6">
      <c r="A10" s="79">
        <v>1</v>
      </c>
      <c r="B10" s="78" t="s">
        <v>113</v>
      </c>
      <c r="C10" s="79" t="s">
        <v>114</v>
      </c>
      <c r="D10" s="109">
        <f>'[1]РВ Баумана'!S2</f>
        <v>0</v>
      </c>
      <c r="E10" s="110">
        <v>150</v>
      </c>
      <c r="F10" s="110">
        <f>D10*E10</f>
        <v>0</v>
      </c>
    </row>
    <row r="11" spans="1:6">
      <c r="A11" s="79">
        <v>2</v>
      </c>
      <c r="B11" s="78" t="s">
        <v>115</v>
      </c>
      <c r="C11" s="6" t="s">
        <v>114</v>
      </c>
      <c r="D11" s="111">
        <f>'[1]РВ Баумана'!R2</f>
        <v>0</v>
      </c>
      <c r="E11" s="110">
        <v>225</v>
      </c>
      <c r="F11" s="110">
        <f t="shared" ref="F11:F17" si="0">D11*E11</f>
        <v>0</v>
      </c>
    </row>
    <row r="12" spans="1:6">
      <c r="A12" s="79">
        <v>3</v>
      </c>
      <c r="B12" s="112" t="s">
        <v>116</v>
      </c>
      <c r="C12" s="6" t="s">
        <v>114</v>
      </c>
      <c r="D12" s="111">
        <v>0</v>
      </c>
      <c r="E12" s="110">
        <v>225</v>
      </c>
      <c r="F12" s="110">
        <f t="shared" si="0"/>
        <v>0</v>
      </c>
    </row>
    <row r="13" spans="1:6">
      <c r="A13" s="79">
        <v>4</v>
      </c>
      <c r="B13" s="112" t="s">
        <v>117</v>
      </c>
      <c r="C13" s="6" t="s">
        <v>114</v>
      </c>
      <c r="D13" s="111">
        <f>'[1]РВ Баумана'!R3</f>
        <v>19.350000000000001</v>
      </c>
      <c r="E13" s="110">
        <v>225</v>
      </c>
      <c r="F13" s="110">
        <f t="shared" si="0"/>
        <v>4353.75</v>
      </c>
    </row>
    <row r="14" spans="1:6">
      <c r="A14" s="79">
        <v>5</v>
      </c>
      <c r="B14" s="113" t="s">
        <v>118</v>
      </c>
      <c r="C14" s="6" t="s">
        <v>114</v>
      </c>
      <c r="D14" s="111">
        <f>'[1]РВ Баумана'!S3</f>
        <v>208.97000000000003</v>
      </c>
      <c r="E14" s="110">
        <v>150</v>
      </c>
      <c r="F14" s="110">
        <f t="shared" si="0"/>
        <v>31345.500000000004</v>
      </c>
    </row>
    <row r="15" spans="1:6">
      <c r="A15" s="79">
        <v>6</v>
      </c>
      <c r="B15" s="112" t="s">
        <v>119</v>
      </c>
      <c r="C15" s="6" t="s">
        <v>114</v>
      </c>
      <c r="D15" s="111">
        <f>'[1]РВ Баумана'!G37</f>
        <v>40741.474999999977</v>
      </c>
      <c r="E15" s="114">
        <v>15</v>
      </c>
      <c r="F15" s="110">
        <f t="shared" si="0"/>
        <v>611122.12499999965</v>
      </c>
    </row>
    <row r="16" spans="1:6">
      <c r="A16" s="79">
        <v>8</v>
      </c>
      <c r="B16" s="112" t="s">
        <v>120</v>
      </c>
      <c r="C16" s="6" t="s">
        <v>114</v>
      </c>
      <c r="D16" s="111">
        <v>0</v>
      </c>
      <c r="E16" s="114">
        <v>15</v>
      </c>
      <c r="F16" s="110">
        <f t="shared" si="0"/>
        <v>0</v>
      </c>
    </row>
    <row r="17" spans="1:6">
      <c r="A17" s="79">
        <v>9</v>
      </c>
      <c r="B17" s="112" t="s">
        <v>121</v>
      </c>
      <c r="C17" s="6" t="s">
        <v>114</v>
      </c>
      <c r="D17" s="111">
        <v>0</v>
      </c>
      <c r="E17" s="114">
        <v>150</v>
      </c>
      <c r="F17" s="110">
        <f t="shared" si="0"/>
        <v>0</v>
      </c>
    </row>
    <row r="18" spans="1:6">
      <c r="A18" s="2" t="s">
        <v>82</v>
      </c>
      <c r="F18" s="110">
        <f>SUM(F10:F17)</f>
        <v>646821.37499999965</v>
      </c>
    </row>
    <row r="19" spans="1:6">
      <c r="A19" s="2" t="s">
        <v>83</v>
      </c>
      <c r="F19" s="110">
        <f>F18</f>
        <v>646821.37499999965</v>
      </c>
    </row>
    <row r="20" spans="1:6">
      <c r="A20" s="2" t="s">
        <v>84</v>
      </c>
      <c r="F20" s="110">
        <f>F19*1.2</f>
        <v>776185.64999999956</v>
      </c>
    </row>
    <row r="21" spans="1:6">
      <c r="A21" s="2" t="s">
        <v>85</v>
      </c>
    </row>
    <row r="22" spans="1:6">
      <c r="A22" s="2" t="s">
        <v>86</v>
      </c>
    </row>
    <row r="25" spans="1:6">
      <c r="A25" s="2" t="s">
        <v>88</v>
      </c>
      <c r="D25" s="2" t="s">
        <v>122</v>
      </c>
    </row>
    <row r="27" spans="1:6">
      <c r="A27" s="2" t="s">
        <v>123</v>
      </c>
      <c r="D27" s="2" t="s">
        <v>92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0FE0-9E45-47D3-B968-3F7214C8EE05}">
  <dimension ref="A1:S40"/>
  <sheetViews>
    <sheetView workbookViewId="0">
      <selection activeCell="M6" sqref="M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8"/>
      <c r="Q1" s="78"/>
      <c r="R1" s="78" t="s">
        <v>100</v>
      </c>
      <c r="S1" s="78" t="s">
        <v>101</v>
      </c>
    </row>
    <row r="2" spans="1:19">
      <c r="M2" s="88"/>
      <c r="Q2" s="78" t="s">
        <v>102</v>
      </c>
      <c r="R2" s="78">
        <f>SUMIF($P$6:$P$36,R$1,$C6:$C36)</f>
        <v>0</v>
      </c>
      <c r="S2" s="78">
        <f>SUMIF($P$6:$P$36,S$1,$C6:$C36)</f>
        <v>0</v>
      </c>
    </row>
    <row r="3" spans="1:19" ht="21">
      <c r="A3" s="76" t="str">
        <f>"Отчет по хранению  товара  РВ " &amp; TEXT(A6,"ММММ ") &amp; YEAR(A6) &amp; " Окская Мешки"</f>
        <v>Отчет по хранению  товара  РВ Ноябрь 2024 Окская Мешки</v>
      </c>
      <c r="G3" s="88"/>
      <c r="M3" s="88"/>
      <c r="Q3" s="78" t="s">
        <v>95</v>
      </c>
      <c r="R3" s="78">
        <f>SUMIF($P$6:$P$36,R$1,$D6:$D36)</f>
        <v>0</v>
      </c>
      <c r="S3" s="78">
        <f>SUMIF($P$6:$P$36,S$1,$D6:$D36)</f>
        <v>0</v>
      </c>
    </row>
    <row r="4" spans="1:19">
      <c r="A4" s="202" t="s">
        <v>1</v>
      </c>
      <c r="B4" s="203"/>
      <c r="C4" s="198" t="s">
        <v>103</v>
      </c>
      <c r="D4" s="198" t="s">
        <v>104</v>
      </c>
      <c r="E4" s="198" t="s">
        <v>105</v>
      </c>
      <c r="F4" s="198" t="s">
        <v>106</v>
      </c>
      <c r="G4" s="97" t="s">
        <v>4</v>
      </c>
      <c r="H4" s="198" t="s">
        <v>7</v>
      </c>
      <c r="I4" s="198" t="s">
        <v>11</v>
      </c>
      <c r="J4" s="198" t="s">
        <v>12</v>
      </c>
      <c r="K4" s="198" t="s">
        <v>107</v>
      </c>
      <c r="L4" s="198" t="s">
        <v>108</v>
      </c>
      <c r="M4" s="223" t="s">
        <v>13</v>
      </c>
      <c r="N4" s="198" t="s">
        <v>16</v>
      </c>
      <c r="O4" s="198" t="s">
        <v>18</v>
      </c>
    </row>
    <row r="5" spans="1:19" ht="30">
      <c r="A5" s="204"/>
      <c r="B5" s="205"/>
      <c r="C5" s="199"/>
      <c r="D5" s="199"/>
      <c r="E5" s="199"/>
      <c r="F5" s="199"/>
      <c r="G5" s="98" t="s">
        <v>109</v>
      </c>
      <c r="H5" s="199"/>
      <c r="I5" s="199"/>
      <c r="J5" s="199"/>
      <c r="K5" s="199"/>
      <c r="L5" s="199"/>
      <c r="M5" s="224"/>
      <c r="N5" s="199"/>
      <c r="O5" s="199"/>
    </row>
    <row r="6" spans="1:19">
      <c r="A6" s="221">
        <v>45597</v>
      </c>
      <c r="B6" s="222"/>
      <c r="C6" s="99">
        <f>IF(A6="",0,[3]TDSheet!D7)</f>
        <v>0</v>
      </c>
      <c r="D6" s="100">
        <f>IF(A6="",0,[3]TDSheet!F7)</f>
        <v>0</v>
      </c>
      <c r="E6" s="100"/>
      <c r="F6" s="101"/>
      <c r="G6" s="89">
        <f>[3]TDSheet!$I$7</f>
        <v>0</v>
      </c>
      <c r="H6" s="90"/>
      <c r="I6" s="91">
        <f t="shared" ref="I6" si="0">IF(P6="Выходной",SUM(C6*129.94)*1.5,SUM(C6*129.94))</f>
        <v>0</v>
      </c>
      <c r="J6" s="91">
        <f t="shared" ref="J6:J36" si="1">IF(P6="Выходной",SUM(D6*129.94)*1.5,SUM(D6*129.94))</f>
        <v>0</v>
      </c>
      <c r="K6" s="91">
        <f>IF(OR(WEEKDAY(A6)=1,WEEKDAY(A6)=7,NOT(ISERROR(MATCH(A6,[1]Праздники!A:A,0)))),SUM(E6*162.5)*1.5,SUM(E6*162.5))</f>
        <v>0</v>
      </c>
      <c r="L6" s="91">
        <f>IF(OR(WEEKDAY(A6)=1,WEEKDAY(A6)=7,NOT(ISERROR(MATCH(A6,[1]Праздники!A:A,0)))),SUM(F6*162.5)*1.5,SUM(F6*162.5))</f>
        <v>0</v>
      </c>
      <c r="M6" s="91">
        <f>SUM(G6*13.32)</f>
        <v>0</v>
      </c>
      <c r="N6" s="91">
        <f>SUM(H6)*750</f>
        <v>0</v>
      </c>
      <c r="O6" s="91">
        <f>SUM(I6:N6)</f>
        <v>0</v>
      </c>
      <c r="P6" s="2" t="str">
        <f>IF(OR(WEEKDAY(A6)=1,WEEKDAY(A6)=7,NOT(ISERROR(MATCH(A6,[1]Праздники!A:A,0)))),"Выходной","Рабочий")</f>
        <v>Рабочий</v>
      </c>
    </row>
    <row r="7" spans="1:19">
      <c r="A7" s="221">
        <v>45598</v>
      </c>
      <c r="B7" s="222"/>
      <c r="C7" s="99">
        <f>IF(A7="",0,[3]TDSheet!D8)</f>
        <v>0</v>
      </c>
      <c r="D7" s="100">
        <f>IF(A7="",0,[3]TDSheet!F8)</f>
        <v>0</v>
      </c>
      <c r="E7" s="100"/>
      <c r="F7" s="101"/>
      <c r="G7" s="89">
        <f>IF(A7 ="",0,G6+C7+E7-D6-F6)</f>
        <v>0</v>
      </c>
      <c r="H7" s="90"/>
      <c r="I7" s="91">
        <f t="shared" ref="I7:I36" si="2">IF(P7="Выходной",SUM(C7*129.94)*1.5,SUM(C7*129.94))</f>
        <v>0</v>
      </c>
      <c r="J7" s="91">
        <f t="shared" si="1"/>
        <v>0</v>
      </c>
      <c r="K7" s="91">
        <f>IF(OR(WEEKDAY(A7)=1,WEEKDAY(A7)=7,NOT(ISERROR(MATCH(A7,[1]Праздники!A:A,0)))),SUM(E7*162.5)*1.5,SUM(E7*162.5))</f>
        <v>0</v>
      </c>
      <c r="L7" s="91">
        <f>IF(OR(WEEKDAY(A7)=1,WEEKDAY(A7)=7,NOT(ISERROR(MATCH(A7,[1]Праздники!A:A,0)))),SUM(F7*162.5)*1.5,SUM(F7*162.5))</f>
        <v>0</v>
      </c>
      <c r="M7" s="91">
        <f t="shared" ref="M7:M36" si="3">SUM(G7*13.32)</f>
        <v>0</v>
      </c>
      <c r="N7" s="91">
        <f t="shared" ref="N7:N36" si="4">SUM(H7)*750</f>
        <v>0</v>
      </c>
      <c r="O7" s="91">
        <f t="shared" ref="O7:O36" si="5">SUM(I7:N7)</f>
        <v>0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1">
        <v>45599</v>
      </c>
      <c r="B8" s="222"/>
      <c r="C8" s="99">
        <f>IF(A8="",0,[3]TDSheet!D9)</f>
        <v>0</v>
      </c>
      <c r="D8" s="100">
        <f>IF(A8="",0,[3]TDSheet!F9)</f>
        <v>0</v>
      </c>
      <c r="E8" s="100"/>
      <c r="F8" s="101"/>
      <c r="G8" s="89">
        <f t="shared" ref="G8:G35" si="6">IF(A8 ="",0,G7+C8+E8-D7-F7)</f>
        <v>0</v>
      </c>
      <c r="H8" s="90"/>
      <c r="I8" s="91">
        <f t="shared" si="2"/>
        <v>0</v>
      </c>
      <c r="J8" s="91">
        <f t="shared" si="1"/>
        <v>0</v>
      </c>
      <c r="K8" s="91">
        <f>IF(OR(WEEKDAY(A8)=1,WEEKDAY(A8)=7,NOT(ISERROR(MATCH(A8,[1]Праздники!A:A,0)))),SUM(E8*162.5)*1.5,SUM(E8*162.5))</f>
        <v>0</v>
      </c>
      <c r="L8" s="91">
        <f>IF(OR(WEEKDAY(A8)=1,WEEKDAY(A8)=7,NOT(ISERROR(MATCH(A8,[1]Праздники!A:A,0)))),SUM(F8*162.5)*1.5,SUM(F8*162.5))</f>
        <v>0</v>
      </c>
      <c r="M8" s="91">
        <f t="shared" si="3"/>
        <v>0</v>
      </c>
      <c r="N8" s="91">
        <f t="shared" si="4"/>
        <v>0</v>
      </c>
      <c r="O8" s="91">
        <f t="shared" si="5"/>
        <v>0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1">
        <v>45600</v>
      </c>
      <c r="B9" s="222"/>
      <c r="C9" s="99">
        <f>IF(A9="",0,[3]TDSheet!D10)</f>
        <v>0</v>
      </c>
      <c r="D9" s="100">
        <f>IF(A9="",0,[3]TDSheet!F10)</f>
        <v>0</v>
      </c>
      <c r="E9" s="100"/>
      <c r="F9" s="101"/>
      <c r="G9" s="89">
        <f t="shared" si="6"/>
        <v>0</v>
      </c>
      <c r="H9" s="90"/>
      <c r="I9" s="91">
        <f t="shared" si="2"/>
        <v>0</v>
      </c>
      <c r="J9" s="91">
        <f t="shared" si="1"/>
        <v>0</v>
      </c>
      <c r="K9" s="91">
        <f>IF(OR(WEEKDAY(A9)=1,WEEKDAY(A9)=7,NOT(ISERROR(MATCH(A9,[1]Праздники!A:A,0)))),SUM(E9*162.5)*1.5,SUM(E9*162.5))</f>
        <v>0</v>
      </c>
      <c r="L9" s="91">
        <f>IF(OR(WEEKDAY(A9)=1,WEEKDAY(A9)=7,NOT(ISERROR(MATCH(A9,[1]Праздники!A:A,0)))),SUM(F9*162.5)*1.5,SUM(F9*162.5))</f>
        <v>0</v>
      </c>
      <c r="M9" s="91">
        <f t="shared" si="3"/>
        <v>0</v>
      </c>
      <c r="N9" s="91">
        <f t="shared" si="4"/>
        <v>0</v>
      </c>
      <c r="O9" s="91">
        <f t="shared" si="5"/>
        <v>0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1">
        <v>45601</v>
      </c>
      <c r="B10" s="222"/>
      <c r="C10" s="99">
        <f>IF(A10="",0,[3]TDSheet!D11)</f>
        <v>0</v>
      </c>
      <c r="D10" s="100">
        <f>IF(A10="",0,[3]TDSheet!F11)</f>
        <v>0</v>
      </c>
      <c r="E10" s="100"/>
      <c r="F10" s="101"/>
      <c r="G10" s="89">
        <f t="shared" si="6"/>
        <v>0</v>
      </c>
      <c r="H10" s="90"/>
      <c r="I10" s="91">
        <f t="shared" si="2"/>
        <v>0</v>
      </c>
      <c r="J10" s="91">
        <f t="shared" si="1"/>
        <v>0</v>
      </c>
      <c r="K10" s="91">
        <f>IF(OR(WEEKDAY(A10)=1,WEEKDAY(A10)=7,NOT(ISERROR(MATCH(A10,[1]Праздники!A:A,0)))),SUM(E10*162.5)*1.5,SUM(E10*162.5))</f>
        <v>0</v>
      </c>
      <c r="L10" s="91">
        <f>IF(OR(WEEKDAY(A10)=1,WEEKDAY(A10)=7,NOT(ISERROR(MATCH(A10,[1]Праздники!A:A,0)))),SUM(F10*162.5)*1.5,SUM(F10*162.5))</f>
        <v>0</v>
      </c>
      <c r="M10" s="91">
        <f t="shared" si="3"/>
        <v>0</v>
      </c>
      <c r="N10" s="91">
        <f t="shared" si="4"/>
        <v>0</v>
      </c>
      <c r="O10" s="91">
        <f t="shared" si="5"/>
        <v>0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1">
        <v>45602</v>
      </c>
      <c r="B11" s="222"/>
      <c r="C11" s="99">
        <f>IF(A11="",0,[3]TDSheet!D12)</f>
        <v>0</v>
      </c>
      <c r="D11" s="100">
        <f>IF(A11="",0,[3]TDSheet!F12)</f>
        <v>0</v>
      </c>
      <c r="E11" s="100"/>
      <c r="F11" s="101"/>
      <c r="G11" s="89">
        <f t="shared" si="6"/>
        <v>0</v>
      </c>
      <c r="H11" s="90"/>
      <c r="I11" s="91">
        <f t="shared" si="2"/>
        <v>0</v>
      </c>
      <c r="J11" s="91">
        <f t="shared" si="1"/>
        <v>0</v>
      </c>
      <c r="K11" s="91">
        <f>IF(OR(WEEKDAY(A11)=1,WEEKDAY(A11)=7,NOT(ISERROR(MATCH(A11,[1]Праздники!A:A,0)))),SUM(E11*162.5)*1.5,SUM(E11*162.5))</f>
        <v>0</v>
      </c>
      <c r="L11" s="91">
        <f>IF(OR(WEEKDAY(A11)=1,WEEKDAY(A11)=7,NOT(ISERROR(MATCH(A11,[1]Праздники!A:A,0)))),SUM(F11*162.5)*1.5,SUM(F11*162.5))</f>
        <v>0</v>
      </c>
      <c r="M11" s="91">
        <f t="shared" si="3"/>
        <v>0</v>
      </c>
      <c r="N11" s="91">
        <f t="shared" si="4"/>
        <v>0</v>
      </c>
      <c r="O11" s="91">
        <f t="shared" si="5"/>
        <v>0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1">
        <v>45603</v>
      </c>
      <c r="B12" s="222"/>
      <c r="C12" s="99">
        <f>IF(A12="",0,[3]TDSheet!D13)</f>
        <v>0</v>
      </c>
      <c r="D12" s="100">
        <f>IF(A12="",0,[3]TDSheet!F13)</f>
        <v>0</v>
      </c>
      <c r="E12" s="100"/>
      <c r="F12" s="101"/>
      <c r="G12" s="89">
        <f t="shared" si="6"/>
        <v>0</v>
      </c>
      <c r="H12" s="90"/>
      <c r="I12" s="91">
        <f t="shared" si="2"/>
        <v>0</v>
      </c>
      <c r="J12" s="91">
        <f t="shared" si="1"/>
        <v>0</v>
      </c>
      <c r="K12" s="91">
        <f>IF(OR(WEEKDAY(A12)=1,WEEKDAY(A12)=7,NOT(ISERROR(MATCH(A12,[1]Праздники!A:A,0)))),SUM(E12*162.5)*1.5,SUM(E12*162.5))</f>
        <v>0</v>
      </c>
      <c r="L12" s="91">
        <f>IF(OR(WEEKDAY(A12)=1,WEEKDAY(A12)=7,NOT(ISERROR(MATCH(A12,[1]Праздники!A:A,0)))),SUM(F12*162.5)*1.5,SUM(F12*162.5))</f>
        <v>0</v>
      </c>
      <c r="M12" s="91">
        <f t="shared" si="3"/>
        <v>0</v>
      </c>
      <c r="N12" s="91">
        <f t="shared" si="4"/>
        <v>0</v>
      </c>
      <c r="O12" s="91">
        <f t="shared" si="5"/>
        <v>0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1">
        <v>45604</v>
      </c>
      <c r="B13" s="222"/>
      <c r="C13" s="99">
        <f>IF(A13="",0,[3]TDSheet!D14)</f>
        <v>0</v>
      </c>
      <c r="D13" s="100">
        <f>IF(A13="",0,[3]TDSheet!F14)</f>
        <v>0</v>
      </c>
      <c r="E13" s="100"/>
      <c r="F13" s="102"/>
      <c r="G13" s="89">
        <f t="shared" si="6"/>
        <v>0</v>
      </c>
      <c r="H13" s="90"/>
      <c r="I13" s="91">
        <f t="shared" si="2"/>
        <v>0</v>
      </c>
      <c r="J13" s="91">
        <f t="shared" si="1"/>
        <v>0</v>
      </c>
      <c r="K13" s="91">
        <f>IF(OR(WEEKDAY(A13)=1,WEEKDAY(A13)=7,NOT(ISERROR(MATCH(A13,[1]Праздники!A:A,0)))),SUM(E13*162.5)*1.5,SUM(E13*162.5))</f>
        <v>0</v>
      </c>
      <c r="L13" s="91">
        <f>IF(OR(WEEKDAY(A13)=1,WEEKDAY(A13)=7,NOT(ISERROR(MATCH(A13,[1]Праздники!A:A,0)))),SUM(F13*162.5)*1.5,SUM(F13*162.5))</f>
        <v>0</v>
      </c>
      <c r="M13" s="91">
        <f t="shared" si="3"/>
        <v>0</v>
      </c>
      <c r="N13" s="91">
        <f t="shared" si="4"/>
        <v>0</v>
      </c>
      <c r="O13" s="91">
        <f t="shared" si="5"/>
        <v>0</v>
      </c>
      <c r="P13" s="2" t="str">
        <f>IF(OR(WEEKDAY(A13)=1,WEEKDAY(A13)=7,NOT(ISERROR(MATCH(A13,[1]Праздники!A:A,0)))),"Выходной","Рабочий")</f>
        <v>Рабочий</v>
      </c>
    </row>
    <row r="14" spans="1:19">
      <c r="A14" s="221">
        <v>45605</v>
      </c>
      <c r="B14" s="222"/>
      <c r="C14" s="99">
        <f>IF(A14="",0,[3]TDSheet!D15)</f>
        <v>0</v>
      </c>
      <c r="D14" s="100">
        <f>IF(A14="",0,[3]TDSheet!F15)</f>
        <v>0</v>
      </c>
      <c r="E14" s="100"/>
      <c r="F14" s="102"/>
      <c r="G14" s="89">
        <f t="shared" si="6"/>
        <v>0</v>
      </c>
      <c r="H14" s="90"/>
      <c r="I14" s="91">
        <f t="shared" si="2"/>
        <v>0</v>
      </c>
      <c r="J14" s="91">
        <f t="shared" si="1"/>
        <v>0</v>
      </c>
      <c r="K14" s="91">
        <f>IF(OR(WEEKDAY(A14)=1,WEEKDAY(A14)=7,NOT(ISERROR(MATCH(A14,[1]Праздники!A:A,0)))),SUM(E14*162.5)*1.5,SUM(E14*162.5))</f>
        <v>0</v>
      </c>
      <c r="L14" s="91">
        <f>IF(OR(WEEKDAY(A14)=1,WEEKDAY(A14)=7,NOT(ISERROR(MATCH(A14,[1]Праздники!A:A,0)))),SUM(F14*162.5)*1.5,SUM(F14*162.5))</f>
        <v>0</v>
      </c>
      <c r="M14" s="91">
        <f t="shared" si="3"/>
        <v>0</v>
      </c>
      <c r="N14" s="91">
        <f t="shared" si="4"/>
        <v>0</v>
      </c>
      <c r="O14" s="91">
        <f t="shared" si="5"/>
        <v>0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1">
        <v>45606</v>
      </c>
      <c r="B15" s="222"/>
      <c r="C15" s="99">
        <f>IF(A15="",0,[3]TDSheet!D16)</f>
        <v>0</v>
      </c>
      <c r="D15" s="100">
        <f>IF(A15="",0,[3]TDSheet!F16)</f>
        <v>0</v>
      </c>
      <c r="E15" s="100"/>
      <c r="F15" s="101"/>
      <c r="G15" s="89">
        <f t="shared" si="6"/>
        <v>0</v>
      </c>
      <c r="H15" s="90"/>
      <c r="I15" s="91">
        <f t="shared" si="2"/>
        <v>0</v>
      </c>
      <c r="J15" s="91">
        <f t="shared" si="1"/>
        <v>0</v>
      </c>
      <c r="K15" s="91">
        <f>IF(OR(WEEKDAY(A15)=1,WEEKDAY(A15)=7,NOT(ISERROR(MATCH(A15,[1]Праздники!A:A,0)))),SUM(E15*162.5)*1.5,SUM(E15*162.5))</f>
        <v>0</v>
      </c>
      <c r="L15" s="91">
        <f>IF(OR(WEEKDAY(A15)=1,WEEKDAY(A15)=7,NOT(ISERROR(MATCH(A15,[1]Праздники!A:A,0)))),SUM(F15*162.5)*1.5,SUM(F15*162.5))</f>
        <v>0</v>
      </c>
      <c r="M15" s="91">
        <f t="shared" si="3"/>
        <v>0</v>
      </c>
      <c r="N15" s="91">
        <f t="shared" si="4"/>
        <v>0</v>
      </c>
      <c r="O15" s="91">
        <f t="shared" si="5"/>
        <v>0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21">
        <v>45607</v>
      </c>
      <c r="B16" s="222"/>
      <c r="C16" s="99">
        <f>IF(A16="",0,[3]TDSheet!D17)</f>
        <v>0</v>
      </c>
      <c r="D16" s="100">
        <f>IF(A16="",0,[3]TDSheet!F17)</f>
        <v>0</v>
      </c>
      <c r="E16" s="100"/>
      <c r="F16" s="101"/>
      <c r="G16" s="89">
        <f t="shared" si="6"/>
        <v>0</v>
      </c>
      <c r="H16" s="90"/>
      <c r="I16" s="91">
        <f t="shared" si="2"/>
        <v>0</v>
      </c>
      <c r="J16" s="91">
        <f t="shared" si="1"/>
        <v>0</v>
      </c>
      <c r="K16" s="91">
        <f>IF(OR(WEEKDAY(A16)=1,WEEKDAY(A16)=7,NOT(ISERROR(MATCH(A16,[1]Праздники!A:A,0)))),SUM(E16*162.5)*1.5,SUM(E16*162.5))</f>
        <v>0</v>
      </c>
      <c r="L16" s="91">
        <f>IF(OR(WEEKDAY(A16)=1,WEEKDAY(A16)=7,NOT(ISERROR(MATCH(A16,[1]Праздники!A:A,0)))),SUM(F16*162.5)*1.5,SUM(F16*162.5))</f>
        <v>0</v>
      </c>
      <c r="M16" s="91">
        <f t="shared" si="3"/>
        <v>0</v>
      </c>
      <c r="N16" s="91">
        <f t="shared" si="4"/>
        <v>0</v>
      </c>
      <c r="O16" s="91">
        <f t="shared" si="5"/>
        <v>0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1">
        <v>45608</v>
      </c>
      <c r="B17" s="222"/>
      <c r="C17" s="99">
        <f>IF(A17="",0,[3]TDSheet!D18)</f>
        <v>0</v>
      </c>
      <c r="D17" s="100">
        <f>IF(A17="",0,[3]TDSheet!F18)</f>
        <v>0</v>
      </c>
      <c r="E17" s="100"/>
      <c r="F17" s="101"/>
      <c r="G17" s="89">
        <f t="shared" si="6"/>
        <v>0</v>
      </c>
      <c r="H17" s="90"/>
      <c r="I17" s="91">
        <f t="shared" si="2"/>
        <v>0</v>
      </c>
      <c r="J17" s="91">
        <f t="shared" si="1"/>
        <v>0</v>
      </c>
      <c r="K17" s="91">
        <f>IF(OR(WEEKDAY(A17)=1,WEEKDAY(A17)=7,NOT(ISERROR(MATCH(A17,[1]Праздники!A:A,0)))),SUM(E17*162.5)*1.5,SUM(E17*162.5))</f>
        <v>0</v>
      </c>
      <c r="L17" s="91">
        <f>IF(OR(WEEKDAY(A17)=1,WEEKDAY(A17)=7,NOT(ISERROR(MATCH(A17,[1]Праздники!A:A,0)))),SUM(F17*162.5)*1.5,SUM(F17*162.5))</f>
        <v>0</v>
      </c>
      <c r="M17" s="91">
        <f t="shared" si="3"/>
        <v>0</v>
      </c>
      <c r="N17" s="91">
        <f t="shared" si="4"/>
        <v>0</v>
      </c>
      <c r="O17" s="91">
        <f t="shared" si="5"/>
        <v>0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1">
        <v>45609</v>
      </c>
      <c r="B18" s="222"/>
      <c r="C18" s="99">
        <f>IF(A18="",0,[3]TDSheet!D19)</f>
        <v>0</v>
      </c>
      <c r="D18" s="100">
        <f>IF(A18="",0,[3]TDSheet!F19)</f>
        <v>0</v>
      </c>
      <c r="E18" s="100"/>
      <c r="F18" s="101"/>
      <c r="G18" s="89">
        <f t="shared" si="6"/>
        <v>0</v>
      </c>
      <c r="H18" s="90"/>
      <c r="I18" s="91">
        <f t="shared" si="2"/>
        <v>0</v>
      </c>
      <c r="J18" s="91">
        <f t="shared" si="1"/>
        <v>0</v>
      </c>
      <c r="K18" s="91">
        <f>IF(OR(WEEKDAY(A18)=1,WEEKDAY(A18)=7,NOT(ISERROR(MATCH(A18,[1]Праздники!A:A,0)))),SUM(E18*162.5)*1.5,SUM(E18*162.5))</f>
        <v>0</v>
      </c>
      <c r="L18" s="91">
        <f>IF(OR(WEEKDAY(A18)=1,WEEKDAY(A18)=7,NOT(ISERROR(MATCH(A18,[1]Праздники!A:A,0)))),SUM(F18*162.5)*1.5,SUM(F18*162.5))</f>
        <v>0</v>
      </c>
      <c r="M18" s="91">
        <f t="shared" si="3"/>
        <v>0</v>
      </c>
      <c r="N18" s="91">
        <f t="shared" si="4"/>
        <v>0</v>
      </c>
      <c r="O18" s="91">
        <f t="shared" si="5"/>
        <v>0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1">
        <v>45610</v>
      </c>
      <c r="B19" s="222"/>
      <c r="C19" s="99">
        <f>IF(A19="",0,[3]TDSheet!D20)</f>
        <v>0</v>
      </c>
      <c r="D19" s="100">
        <f>IF(A19="",0,[3]TDSheet!F20)</f>
        <v>0</v>
      </c>
      <c r="E19" s="100"/>
      <c r="F19" s="101"/>
      <c r="G19" s="89">
        <f t="shared" si="6"/>
        <v>0</v>
      </c>
      <c r="H19" s="90"/>
      <c r="I19" s="91">
        <f t="shared" si="2"/>
        <v>0</v>
      </c>
      <c r="J19" s="91">
        <f t="shared" si="1"/>
        <v>0</v>
      </c>
      <c r="K19" s="91">
        <f>IF(OR(WEEKDAY(A19)=1,WEEKDAY(A19)=7,NOT(ISERROR(MATCH(A19,[1]Праздники!A:A,0)))),SUM(E19*162.5)*1.5,SUM(E19*162.5))</f>
        <v>0</v>
      </c>
      <c r="L19" s="91">
        <f>IF(OR(WEEKDAY(A19)=1,WEEKDAY(A19)=7,NOT(ISERROR(MATCH(A19,[1]Праздники!A:A,0)))),SUM(F19*162.5)*1.5,SUM(F19*162.5))</f>
        <v>0</v>
      </c>
      <c r="M19" s="91">
        <f t="shared" si="3"/>
        <v>0</v>
      </c>
      <c r="N19" s="91">
        <f t="shared" si="4"/>
        <v>0</v>
      </c>
      <c r="O19" s="91">
        <f t="shared" si="5"/>
        <v>0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1">
        <v>45611</v>
      </c>
      <c r="B20" s="222"/>
      <c r="C20" s="99">
        <f>IF(A20="",0,[3]TDSheet!D21)</f>
        <v>0</v>
      </c>
      <c r="D20" s="100">
        <f>IF(A20="",0,[3]TDSheet!F21)</f>
        <v>0</v>
      </c>
      <c r="E20" s="100"/>
      <c r="F20" s="101"/>
      <c r="G20" s="89">
        <f t="shared" si="6"/>
        <v>0</v>
      </c>
      <c r="H20" s="90"/>
      <c r="I20" s="91">
        <f t="shared" si="2"/>
        <v>0</v>
      </c>
      <c r="J20" s="91">
        <f t="shared" si="1"/>
        <v>0</v>
      </c>
      <c r="K20" s="91">
        <f>IF(OR(WEEKDAY(A20)=1,WEEKDAY(A20)=7,NOT(ISERROR(MATCH(A20,[1]Праздники!A:A,0)))),SUM(E20*162.5)*1.5,SUM(E20*162.5))</f>
        <v>0</v>
      </c>
      <c r="L20" s="91">
        <f>IF(OR(WEEKDAY(A20)=1,WEEKDAY(A20)=7,NOT(ISERROR(MATCH(A20,[1]Праздники!A:A,0)))),SUM(F20*162.5)*1.5,SUM(F20*162.5))</f>
        <v>0</v>
      </c>
      <c r="M20" s="91">
        <f t="shared" si="3"/>
        <v>0</v>
      </c>
      <c r="N20" s="91">
        <f t="shared" si="4"/>
        <v>0</v>
      </c>
      <c r="O20" s="91">
        <f t="shared" si="5"/>
        <v>0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1">
        <v>45612</v>
      </c>
      <c r="B21" s="222"/>
      <c r="C21" s="99">
        <f>IF(A21="",0,[3]TDSheet!D22)</f>
        <v>0</v>
      </c>
      <c r="D21" s="100">
        <f>IF(A21="",0,[3]TDSheet!F22)</f>
        <v>0</v>
      </c>
      <c r="E21" s="100"/>
      <c r="F21" s="101"/>
      <c r="G21" s="89">
        <f t="shared" si="6"/>
        <v>0</v>
      </c>
      <c r="H21" s="90"/>
      <c r="I21" s="91">
        <f t="shared" si="2"/>
        <v>0</v>
      </c>
      <c r="J21" s="91">
        <f t="shared" si="1"/>
        <v>0</v>
      </c>
      <c r="K21" s="91">
        <f>IF(OR(WEEKDAY(A21)=1,WEEKDAY(A21)=7,NOT(ISERROR(MATCH(A21,[1]Праздники!A:A,0)))),SUM(E21*162.5)*1.5,SUM(E21*162.5))</f>
        <v>0</v>
      </c>
      <c r="L21" s="91">
        <f>IF(OR(WEEKDAY(A21)=1,WEEKDAY(A21)=7,NOT(ISERROR(MATCH(A21,[1]Праздники!A:A,0)))),SUM(F21*162.5)*1.5,SUM(F21*162.5))</f>
        <v>0</v>
      </c>
      <c r="M21" s="91">
        <f t="shared" si="3"/>
        <v>0</v>
      </c>
      <c r="N21" s="91">
        <f>SUM(H21)*750</f>
        <v>0</v>
      </c>
      <c r="O21" s="91">
        <f t="shared" si="5"/>
        <v>0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1">
        <v>45613</v>
      </c>
      <c r="B22" s="222"/>
      <c r="C22" s="99">
        <f>IF(A22="",0,[3]TDSheet!D23)</f>
        <v>0</v>
      </c>
      <c r="D22" s="100">
        <f>IF(A22="",0,[3]TDSheet!F23)</f>
        <v>0</v>
      </c>
      <c r="E22" s="100"/>
      <c r="F22" s="101"/>
      <c r="G22" s="89">
        <f t="shared" si="6"/>
        <v>0</v>
      </c>
      <c r="H22" s="90"/>
      <c r="I22" s="91">
        <f t="shared" si="2"/>
        <v>0</v>
      </c>
      <c r="J22" s="91">
        <f t="shared" si="1"/>
        <v>0</v>
      </c>
      <c r="K22" s="91">
        <f>IF(OR(WEEKDAY(A22)=1,WEEKDAY(A22)=7,NOT(ISERROR(MATCH(A22,[1]Праздники!A:A,0)))),SUM(E22*162.5)*1.5,SUM(E22*162.5))</f>
        <v>0</v>
      </c>
      <c r="L22" s="91">
        <f>IF(OR(WEEKDAY(A22)=1,WEEKDAY(A22)=7,NOT(ISERROR(MATCH(A22,[1]Праздники!A:A,0)))),SUM(F22*162.5)*1.5,SUM(F22*162.5))</f>
        <v>0</v>
      </c>
      <c r="M22" s="91">
        <f t="shared" si="3"/>
        <v>0</v>
      </c>
      <c r="N22" s="91">
        <f t="shared" si="4"/>
        <v>0</v>
      </c>
      <c r="O22" s="91">
        <f t="shared" si="5"/>
        <v>0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21">
        <v>45614</v>
      </c>
      <c r="B23" s="222"/>
      <c r="C23" s="99">
        <f>IF(A23="",0,[3]TDSheet!D24)</f>
        <v>0</v>
      </c>
      <c r="D23" s="100">
        <f>IF(A23="",0,[3]TDSheet!F24)</f>
        <v>0</v>
      </c>
      <c r="E23" s="100"/>
      <c r="F23" s="101"/>
      <c r="G23" s="89">
        <f t="shared" si="6"/>
        <v>0</v>
      </c>
      <c r="H23" s="90"/>
      <c r="I23" s="91">
        <f t="shared" si="2"/>
        <v>0</v>
      </c>
      <c r="J23" s="91">
        <f t="shared" si="1"/>
        <v>0</v>
      </c>
      <c r="K23" s="91">
        <f>IF(OR(WEEKDAY(A23)=1,WEEKDAY(A23)=7,NOT(ISERROR(MATCH(A23,[1]Праздники!A:A,0)))),SUM(E23*162.5)*1.5,SUM(E23*162.5))</f>
        <v>0</v>
      </c>
      <c r="L23" s="91">
        <f>IF(OR(WEEKDAY(A23)=1,WEEKDAY(A23)=7,NOT(ISERROR(MATCH(A23,[1]Праздники!A:A,0)))),SUM(F23*162.5)*1.5,SUM(F23*162.5))</f>
        <v>0</v>
      </c>
      <c r="M23" s="91">
        <f t="shared" si="3"/>
        <v>0</v>
      </c>
      <c r="N23" s="91">
        <f t="shared" si="4"/>
        <v>0</v>
      </c>
      <c r="O23" s="91">
        <f t="shared" si="5"/>
        <v>0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1">
        <v>45615</v>
      </c>
      <c r="B24" s="222"/>
      <c r="C24" s="99">
        <f>IF(A24="",0,[3]TDSheet!D25)</f>
        <v>0</v>
      </c>
      <c r="D24" s="100">
        <f>IF(A24="",0,[3]TDSheet!F25)</f>
        <v>0</v>
      </c>
      <c r="E24" s="100"/>
      <c r="F24" s="101"/>
      <c r="G24" s="89">
        <f t="shared" si="6"/>
        <v>0</v>
      </c>
      <c r="H24" s="90"/>
      <c r="I24" s="91">
        <f t="shared" si="2"/>
        <v>0</v>
      </c>
      <c r="J24" s="91">
        <f t="shared" si="1"/>
        <v>0</v>
      </c>
      <c r="K24" s="91">
        <f>IF(OR(WEEKDAY(A24)=1,WEEKDAY(A24)=7,NOT(ISERROR(MATCH(A24,[1]Праздники!A:A,0)))),SUM(E24*162.5)*1.5,SUM(E24*162.5))</f>
        <v>0</v>
      </c>
      <c r="L24" s="91">
        <f>IF(OR(WEEKDAY(A24)=1,WEEKDAY(A24)=7,NOT(ISERROR(MATCH(A24,[1]Праздники!A:A,0)))),SUM(F24*162.5)*1.5,SUM(F24*162.5))</f>
        <v>0</v>
      </c>
      <c r="M24" s="91">
        <f t="shared" si="3"/>
        <v>0</v>
      </c>
      <c r="N24" s="91">
        <f t="shared" si="4"/>
        <v>0</v>
      </c>
      <c r="O24" s="91">
        <f t="shared" si="5"/>
        <v>0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1">
        <v>45616</v>
      </c>
      <c r="B25" s="222"/>
      <c r="C25" s="99">
        <f>IF(A25="",0,[3]TDSheet!D26)</f>
        <v>0</v>
      </c>
      <c r="D25" s="100">
        <f>IF(A25="",0,[3]TDSheet!F26)</f>
        <v>0</v>
      </c>
      <c r="E25" s="100"/>
      <c r="F25" s="101"/>
      <c r="G25" s="89">
        <f t="shared" si="6"/>
        <v>0</v>
      </c>
      <c r="H25" s="90"/>
      <c r="I25" s="91">
        <f t="shared" si="2"/>
        <v>0</v>
      </c>
      <c r="J25" s="91">
        <f t="shared" si="1"/>
        <v>0</v>
      </c>
      <c r="K25" s="91">
        <f>IF(OR(WEEKDAY(A25)=1,WEEKDAY(A25)=7,NOT(ISERROR(MATCH(A25,[1]Праздники!A:A,0)))),SUM(E25*162.5)*1.5,SUM(E25*162.5))</f>
        <v>0</v>
      </c>
      <c r="L25" s="91">
        <f>IF(OR(WEEKDAY(A25)=1,WEEKDAY(A25)=7,NOT(ISERROR(MATCH(A25,[1]Праздники!A:A,0)))),SUM(F25*162.5)*1.5,SUM(F25*162.5))</f>
        <v>0</v>
      </c>
      <c r="M25" s="91">
        <f t="shared" si="3"/>
        <v>0</v>
      </c>
      <c r="N25" s="91">
        <f t="shared" si="4"/>
        <v>0</v>
      </c>
      <c r="O25" s="91">
        <f t="shared" si="5"/>
        <v>0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1">
        <v>45617</v>
      </c>
      <c r="B26" s="222"/>
      <c r="C26" s="99">
        <f>IF(A26="",0,[3]TDSheet!D27)</f>
        <v>0</v>
      </c>
      <c r="D26" s="100">
        <f>IF(A26="",0,[3]TDSheet!F27)</f>
        <v>0</v>
      </c>
      <c r="E26" s="103"/>
      <c r="F26" s="101"/>
      <c r="G26" s="89">
        <f t="shared" si="6"/>
        <v>0</v>
      </c>
      <c r="H26" s="90"/>
      <c r="I26" s="91">
        <f t="shared" si="2"/>
        <v>0</v>
      </c>
      <c r="J26" s="91">
        <f t="shared" si="1"/>
        <v>0</v>
      </c>
      <c r="K26" s="91">
        <f>IF(OR(WEEKDAY(A26)=1,WEEKDAY(A26)=7,NOT(ISERROR(MATCH(A26,[1]Праздники!A:A,0)))),SUM(E26*162.5)*1.5,SUM(E26*162.5))</f>
        <v>0</v>
      </c>
      <c r="L26" s="91">
        <f>IF(OR(WEEKDAY(A26)=1,WEEKDAY(A26)=7,NOT(ISERROR(MATCH(A26,[1]Праздники!A:A,0)))),SUM(F26*162.5)*1.5,SUM(F26*162.5))</f>
        <v>0</v>
      </c>
      <c r="M26" s="91">
        <f t="shared" si="3"/>
        <v>0</v>
      </c>
      <c r="N26" s="91">
        <f t="shared" si="4"/>
        <v>0</v>
      </c>
      <c r="O26" s="91">
        <f t="shared" si="5"/>
        <v>0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1">
        <v>45618</v>
      </c>
      <c r="B27" s="222"/>
      <c r="C27" s="99">
        <f>IF(A27="",0,[3]TDSheet!D28)</f>
        <v>0</v>
      </c>
      <c r="D27" s="100">
        <f>IF(A27="",0,[3]TDSheet!F28)</f>
        <v>0</v>
      </c>
      <c r="E27" s="100"/>
      <c r="F27" s="102"/>
      <c r="G27" s="89">
        <f t="shared" si="6"/>
        <v>0</v>
      </c>
      <c r="H27" s="90"/>
      <c r="I27" s="91">
        <f t="shared" si="2"/>
        <v>0</v>
      </c>
      <c r="J27" s="91">
        <f t="shared" si="1"/>
        <v>0</v>
      </c>
      <c r="K27" s="91">
        <f>IF(OR(WEEKDAY(A27)=1,WEEKDAY(A27)=7,NOT(ISERROR(MATCH(A27,[1]Праздники!A:A,0)))),SUM(E27*162.5)*1.5,SUM(E27*162.5))</f>
        <v>0</v>
      </c>
      <c r="L27" s="91">
        <f>IF(OR(WEEKDAY(A27)=1,WEEKDAY(A27)=7,NOT(ISERROR(MATCH(A27,[1]Праздники!A:A,0)))),SUM(F27*162.5)*1.5,SUM(F27*162.5))</f>
        <v>0</v>
      </c>
      <c r="M27" s="91">
        <f t="shared" si="3"/>
        <v>0</v>
      </c>
      <c r="N27" s="91">
        <f t="shared" si="4"/>
        <v>0</v>
      </c>
      <c r="O27" s="91">
        <f t="shared" si="5"/>
        <v>0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1">
        <v>45619</v>
      </c>
      <c r="B28" s="222"/>
      <c r="C28" s="99">
        <f>IF(A28="",0,[3]TDSheet!D29)</f>
        <v>0</v>
      </c>
      <c r="D28" s="100">
        <f>IF(A28="",0,[3]TDSheet!F29)</f>
        <v>0</v>
      </c>
      <c r="E28" s="100"/>
      <c r="F28" s="101"/>
      <c r="G28" s="89">
        <f t="shared" si="6"/>
        <v>0</v>
      </c>
      <c r="H28" s="90"/>
      <c r="I28" s="91">
        <f t="shared" si="2"/>
        <v>0</v>
      </c>
      <c r="J28" s="91">
        <f t="shared" si="1"/>
        <v>0</v>
      </c>
      <c r="K28" s="91">
        <f>IF(OR(WEEKDAY(A28)=1,WEEKDAY(A28)=7,NOT(ISERROR(MATCH(A28,[1]Праздники!A:A,0)))),SUM(E28*162.5)*1.5,SUM(E28*162.5))</f>
        <v>0</v>
      </c>
      <c r="L28" s="91">
        <f>IF(OR(WEEKDAY(A28)=1,WEEKDAY(A28)=7,NOT(ISERROR(MATCH(A28,[1]Праздники!A:A,0)))),SUM(F28*162.5)*1.5,SUM(F28*162.5))</f>
        <v>0</v>
      </c>
      <c r="M28" s="91">
        <f t="shared" si="3"/>
        <v>0</v>
      </c>
      <c r="N28" s="91">
        <f t="shared" si="4"/>
        <v>0</v>
      </c>
      <c r="O28" s="91">
        <f t="shared" si="5"/>
        <v>0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1">
        <v>45620</v>
      </c>
      <c r="B29" s="222"/>
      <c r="C29" s="99">
        <f>IF(A29="",0,[3]TDSheet!D30)</f>
        <v>0</v>
      </c>
      <c r="D29" s="100">
        <f>IF(A29="",0,[3]TDSheet!F30)</f>
        <v>0</v>
      </c>
      <c r="E29" s="100"/>
      <c r="F29" s="101"/>
      <c r="G29" s="89">
        <f t="shared" si="6"/>
        <v>0</v>
      </c>
      <c r="H29" s="90"/>
      <c r="I29" s="91">
        <f t="shared" si="2"/>
        <v>0</v>
      </c>
      <c r="J29" s="91">
        <f t="shared" si="1"/>
        <v>0</v>
      </c>
      <c r="K29" s="91">
        <f>IF(OR(WEEKDAY(A29)=1,WEEKDAY(A29)=7,NOT(ISERROR(MATCH(A29,[1]Праздники!A:A,0)))),SUM(E29*162.5)*1.5,SUM(E29*162.5))</f>
        <v>0</v>
      </c>
      <c r="L29" s="91">
        <f>IF(OR(WEEKDAY(A29)=1,WEEKDAY(A29)=7,NOT(ISERROR(MATCH(A29,[1]Праздники!A:A,0)))),SUM(F29*162.5)*1.5,SUM(F29*162.5))</f>
        <v>0</v>
      </c>
      <c r="M29" s="91">
        <f t="shared" si="3"/>
        <v>0</v>
      </c>
      <c r="N29" s="91">
        <f t="shared" si="4"/>
        <v>0</v>
      </c>
      <c r="O29" s="91">
        <f t="shared" si="5"/>
        <v>0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21">
        <v>45621</v>
      </c>
      <c r="B30" s="222"/>
      <c r="C30" s="99">
        <f>IF(A30="",0,[3]TDSheet!D31)</f>
        <v>0</v>
      </c>
      <c r="D30" s="100">
        <f>IF(A30="",0,[3]TDSheet!F31)</f>
        <v>0</v>
      </c>
      <c r="E30" s="100"/>
      <c r="F30" s="101"/>
      <c r="G30" s="89">
        <f t="shared" si="6"/>
        <v>0</v>
      </c>
      <c r="H30" s="90"/>
      <c r="I30" s="91">
        <f t="shared" si="2"/>
        <v>0</v>
      </c>
      <c r="J30" s="91">
        <f t="shared" si="1"/>
        <v>0</v>
      </c>
      <c r="K30" s="91">
        <f>IF(OR(WEEKDAY(A30)=1,WEEKDAY(A30)=7,NOT(ISERROR(MATCH(A30,[1]Праздники!A:A,0)))),SUM(E30*162.5)*1.5,SUM(E30*162.5))</f>
        <v>0</v>
      </c>
      <c r="L30" s="91">
        <f>IF(OR(WEEKDAY(A30)=1,WEEKDAY(A30)=7,NOT(ISERROR(MATCH(A30,[1]Праздники!A:A,0)))),SUM(F30*162.5)*1.5,SUM(F30*162.5))</f>
        <v>0</v>
      </c>
      <c r="M30" s="91">
        <f t="shared" si="3"/>
        <v>0</v>
      </c>
      <c r="N30" s="91">
        <f t="shared" si="4"/>
        <v>0</v>
      </c>
      <c r="O30" s="91">
        <f t="shared" si="5"/>
        <v>0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1">
        <v>45622</v>
      </c>
      <c r="B31" s="222"/>
      <c r="C31" s="99">
        <f>IF(A31="",0,[3]TDSheet!D32)</f>
        <v>0</v>
      </c>
      <c r="D31" s="100">
        <f>IF(A31="",0,[3]TDSheet!F32)</f>
        <v>0</v>
      </c>
      <c r="E31" s="100"/>
      <c r="F31" s="101"/>
      <c r="G31" s="89">
        <f t="shared" si="6"/>
        <v>0</v>
      </c>
      <c r="H31" s="90"/>
      <c r="I31" s="91">
        <f t="shared" si="2"/>
        <v>0</v>
      </c>
      <c r="J31" s="91">
        <f t="shared" si="1"/>
        <v>0</v>
      </c>
      <c r="K31" s="91">
        <f>IF(OR(WEEKDAY(A31)=1,WEEKDAY(A31)=7,NOT(ISERROR(MATCH(A31,[1]Праздники!A:A,0)))),SUM(E31*162.5)*1.5,SUM(E31*162.5))</f>
        <v>0</v>
      </c>
      <c r="L31" s="91">
        <f>IF(OR(WEEKDAY(A31)=1,WEEKDAY(A31)=7,NOT(ISERROR(MATCH(A31,[1]Праздники!A:A,0)))),SUM(F31*162.5)*1.5,SUM(F31*162.5))</f>
        <v>0</v>
      </c>
      <c r="M31" s="91">
        <f t="shared" si="3"/>
        <v>0</v>
      </c>
      <c r="N31" s="91">
        <f t="shared" si="4"/>
        <v>0</v>
      </c>
      <c r="O31" s="91">
        <f t="shared" si="5"/>
        <v>0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1">
        <v>45623</v>
      </c>
      <c r="B32" s="222"/>
      <c r="C32" s="99">
        <f>IF(A32="",0,[3]TDSheet!D33)</f>
        <v>0</v>
      </c>
      <c r="D32" s="100">
        <f>IF(A32="",0,[3]TDSheet!F33)</f>
        <v>0</v>
      </c>
      <c r="E32" s="100"/>
      <c r="F32" s="101"/>
      <c r="G32" s="89">
        <f t="shared" si="6"/>
        <v>0</v>
      </c>
      <c r="H32" s="90"/>
      <c r="I32" s="91">
        <f t="shared" si="2"/>
        <v>0</v>
      </c>
      <c r="J32" s="91">
        <f t="shared" si="1"/>
        <v>0</v>
      </c>
      <c r="K32" s="91">
        <f>IF(OR(WEEKDAY(A32)=1,WEEKDAY(A32)=7,NOT(ISERROR(MATCH(A32,[1]Праздники!A:A,0)))),SUM(E32*162.5)*1.5,SUM(E32*162.5))</f>
        <v>0</v>
      </c>
      <c r="L32" s="91">
        <f>IF(OR(WEEKDAY(A32)=1,WEEKDAY(A32)=7,NOT(ISERROR(MATCH(A32,[1]Праздники!A:A,0)))),SUM(F32*162.5)*1.5,SUM(F32*162.5))</f>
        <v>0</v>
      </c>
      <c r="M32" s="91">
        <f t="shared" si="3"/>
        <v>0</v>
      </c>
      <c r="N32" s="91">
        <f t="shared" si="4"/>
        <v>0</v>
      </c>
      <c r="O32" s="91">
        <f t="shared" si="5"/>
        <v>0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1">
        <v>45624</v>
      </c>
      <c r="B33" s="222"/>
      <c r="C33" s="99">
        <f>IF(A33="",0,[3]TDSheet!D34)</f>
        <v>0</v>
      </c>
      <c r="D33" s="100">
        <f>IF(A33="",0,[3]TDSheet!F34)</f>
        <v>0</v>
      </c>
      <c r="E33" s="100"/>
      <c r="F33" s="101"/>
      <c r="G33" s="89">
        <f t="shared" si="6"/>
        <v>0</v>
      </c>
      <c r="H33" s="90"/>
      <c r="I33" s="91">
        <f t="shared" si="2"/>
        <v>0</v>
      </c>
      <c r="J33" s="91">
        <f t="shared" si="1"/>
        <v>0</v>
      </c>
      <c r="K33" s="91">
        <f>IF(OR(WEEKDAY(A33)=1,WEEKDAY(A33)=7,NOT(ISERROR(MATCH(A33,[1]Праздники!A:A,0)))),SUM(E33*162.5)*1.5,SUM(E33*162.5))</f>
        <v>0</v>
      </c>
      <c r="L33" s="91">
        <f>IF(OR(WEEKDAY(A33)=1,WEEKDAY(A33)=7,NOT(ISERROR(MATCH(A33,[1]Праздники!A:A,0)))),SUM(F33*162.5)*1.5,SUM(F33*162.5))</f>
        <v>0</v>
      </c>
      <c r="M33" s="91">
        <f t="shared" si="3"/>
        <v>0</v>
      </c>
      <c r="N33" s="91">
        <f t="shared" si="4"/>
        <v>0</v>
      </c>
      <c r="O33" s="91">
        <f t="shared" si="5"/>
        <v>0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1">
        <v>45625</v>
      </c>
      <c r="B34" s="222"/>
      <c r="C34" s="99">
        <f>IF(A34="",0,[3]TDSheet!D35)</f>
        <v>0</v>
      </c>
      <c r="D34" s="100">
        <f>IF(A34="",0,[3]TDSheet!F35)</f>
        <v>0</v>
      </c>
      <c r="E34" s="100"/>
      <c r="F34" s="101"/>
      <c r="G34" s="89">
        <f t="shared" si="6"/>
        <v>0</v>
      </c>
      <c r="H34" s="90"/>
      <c r="I34" s="91">
        <f t="shared" si="2"/>
        <v>0</v>
      </c>
      <c r="J34" s="91">
        <f t="shared" si="1"/>
        <v>0</v>
      </c>
      <c r="K34" s="91">
        <f>IF(OR(WEEKDAY(A34)=1,WEEKDAY(A34)=7,NOT(ISERROR(MATCH(A34,[1]Праздники!A:A,0)))),SUM(E34*162.5)*1.5,SUM(E34*162.5))</f>
        <v>0</v>
      </c>
      <c r="L34" s="91">
        <f>IF(OR(WEEKDAY(A34)=1,WEEKDAY(A34)=7,NOT(ISERROR(MATCH(A34,[1]Праздники!A:A,0)))),SUM(F34*162.5)*1.5,SUM(F34*162.5))</f>
        <v>0</v>
      </c>
      <c r="M34" s="91">
        <f t="shared" si="3"/>
        <v>0</v>
      </c>
      <c r="N34" s="91">
        <f t="shared" si="4"/>
        <v>0</v>
      </c>
      <c r="O34" s="91">
        <f t="shared" si="5"/>
        <v>0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1">
        <v>45626</v>
      </c>
      <c r="B35" s="222"/>
      <c r="C35" s="99">
        <f>IF(A35="",0,[3]TDSheet!D36)</f>
        <v>0</v>
      </c>
      <c r="D35" s="100">
        <f>IF(A35="",0,[3]TDSheet!F36)</f>
        <v>0</v>
      </c>
      <c r="E35" s="89"/>
      <c r="F35" s="101"/>
      <c r="G35" s="89">
        <f t="shared" si="6"/>
        <v>0</v>
      </c>
      <c r="H35" s="90"/>
      <c r="I35" s="91">
        <f t="shared" si="2"/>
        <v>0</v>
      </c>
      <c r="J35" s="91">
        <f t="shared" si="1"/>
        <v>0</v>
      </c>
      <c r="K35" s="91">
        <f>IF(OR(WEEKDAY(A35)=1,WEEKDAY(A35)=7,NOT(ISERROR(MATCH(A35,[1]Праздники!A:A,0)))),SUM(E35*162.5)*1.5,SUM(E35*162.5))</f>
        <v>0</v>
      </c>
      <c r="L35" s="91">
        <f>IF(OR(WEEKDAY(A35)=1,WEEKDAY(A35)=7,NOT(ISERROR(MATCH(A35,[1]Праздники!A:A,0)))),SUM(F35*162.5)*1.5,SUM(F35*162.5))</f>
        <v>0</v>
      </c>
      <c r="M35" s="91">
        <f t="shared" si="3"/>
        <v>0</v>
      </c>
      <c r="N35" s="91">
        <f t="shared" si="4"/>
        <v>0</v>
      </c>
      <c r="O35" s="91">
        <f t="shared" si="5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1"/>
      <c r="B36" s="222"/>
      <c r="C36" s="99"/>
      <c r="D36" s="100"/>
      <c r="E36" s="105"/>
      <c r="F36" s="106"/>
      <c r="G36" s="89"/>
      <c r="H36" s="107"/>
      <c r="I36" s="91">
        <f t="shared" si="2"/>
        <v>0</v>
      </c>
      <c r="J36" s="91">
        <f t="shared" si="1"/>
        <v>0</v>
      </c>
      <c r="K36" s="91">
        <f>IF(OR(WEEKDAY(A36)=1,WEEKDAY(A36)=7,NOT(ISERROR(MATCH(A36,[1]Праздники!A:A,0)))),SUM(E36*162.5)*1.5,SUM(E36*162.5))</f>
        <v>0</v>
      </c>
      <c r="L36" s="91">
        <f>IF(OR(WEEKDAY(A36)=1,WEEKDAY(A36)=7,NOT(ISERROR(MATCH(A36,[1]Праздники!A:A,0)))),SUM(F36*162.5)*1.5,SUM(F36*162.5))</f>
        <v>0</v>
      </c>
      <c r="M36" s="91">
        <f t="shared" si="3"/>
        <v>0</v>
      </c>
      <c r="N36" s="91">
        <f t="shared" si="4"/>
        <v>0</v>
      </c>
      <c r="O36" s="91">
        <f t="shared" si="5"/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2">
        <f>SUM(C6:C36)</f>
        <v>0</v>
      </c>
      <c r="D37" s="92">
        <f t="shared" ref="D37:O37" si="7">SUM(D6:D36)</f>
        <v>0</v>
      </c>
      <c r="E37" s="92">
        <f t="shared" si="7"/>
        <v>0</v>
      </c>
      <c r="F37" s="92">
        <f t="shared" si="7"/>
        <v>0</v>
      </c>
      <c r="G37" s="92">
        <f t="shared" si="7"/>
        <v>0</v>
      </c>
      <c r="H37" s="104">
        <f t="shared" si="7"/>
        <v>0</v>
      </c>
      <c r="I37" s="93">
        <f t="shared" si="7"/>
        <v>0</v>
      </c>
      <c r="J37" s="93">
        <f t="shared" si="7"/>
        <v>0</v>
      </c>
      <c r="K37" s="93">
        <f t="shared" si="7"/>
        <v>0</v>
      </c>
      <c r="L37" s="93">
        <f t="shared" si="7"/>
        <v>0</v>
      </c>
      <c r="M37" s="93">
        <f t="shared" si="7"/>
        <v>0</v>
      </c>
      <c r="N37" s="93">
        <f t="shared" si="7"/>
        <v>0</v>
      </c>
      <c r="O37" s="94">
        <f t="shared" si="7"/>
        <v>0</v>
      </c>
    </row>
    <row r="38" spans="1:17" ht="15.75" thickBot="1">
      <c r="G38" s="88"/>
      <c r="L38" s="16"/>
      <c r="M38" s="88"/>
      <c r="N38" s="104" t="s">
        <v>110</v>
      </c>
      <c r="O38" s="95">
        <f>O37*1.2</f>
        <v>0</v>
      </c>
      <c r="Q38" s="96"/>
    </row>
    <row r="39" spans="1:17">
      <c r="G39" s="88"/>
      <c r="M39" s="88"/>
    </row>
    <row r="40" spans="1:17">
      <c r="G40" s="88"/>
      <c r="M40" s="88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A435-E00E-48DA-85FC-D84103FE11B7}">
  <dimension ref="A1:P40"/>
  <sheetViews>
    <sheetView workbookViewId="0">
      <selection activeCell="G37" sqref="G37"/>
    </sheetView>
  </sheetViews>
  <sheetFormatPr defaultRowHeight="15"/>
  <cols>
    <col min="1" max="2" width="8.796875" style="2"/>
    <col min="3" max="3" width="7.796875" style="2" customWidth="1"/>
    <col min="4" max="4" width="7.296875" style="2" customWidth="1"/>
    <col min="5" max="5" width="7.796875" style="2" customWidth="1"/>
    <col min="6" max="6" width="7.8984375" style="2" customWidth="1"/>
    <col min="7" max="7" width="6.796875" style="2" customWidth="1"/>
    <col min="8" max="8" width="11.5" style="2" customWidth="1"/>
    <col min="9" max="9" width="12.59765625" style="2" customWidth="1"/>
    <col min="10" max="11" width="11.5" style="2" customWidth="1"/>
    <col min="12" max="12" width="11.19921875" style="2" customWidth="1"/>
    <col min="13" max="13" width="8.796875" style="2"/>
    <col min="14" max="14" width="12.796875" style="2" customWidth="1"/>
    <col min="15" max="16384" width="8.796875" style="2"/>
  </cols>
  <sheetData>
    <row r="1" spans="1:16">
      <c r="H1" s="88"/>
      <c r="I1" s="88"/>
      <c r="J1" s="88"/>
      <c r="K1" s="88"/>
      <c r="N1" s="78"/>
      <c r="O1" s="78"/>
      <c r="P1" s="78"/>
    </row>
    <row r="2" spans="1:16">
      <c r="H2" s="88"/>
      <c r="I2" s="88"/>
      <c r="J2" s="88"/>
      <c r="K2" s="88"/>
      <c r="N2" s="78"/>
      <c r="O2" s="78"/>
      <c r="P2" s="78"/>
    </row>
    <row r="3" spans="1:16" ht="21">
      <c r="A3" s="76" t="str">
        <f>"Отчет по хранению  товара  РВ " &amp; TEXT(A6,"ММММ ") &amp; YEAR(A6)</f>
        <v>Отчет по хранению  товара  РВ Май 2025</v>
      </c>
      <c r="C3" s="88"/>
      <c r="H3" s="88"/>
      <c r="I3" s="88"/>
      <c r="J3" s="88"/>
      <c r="K3" s="88"/>
      <c r="N3" s="78"/>
      <c r="O3" s="78"/>
      <c r="P3" s="78"/>
    </row>
    <row r="4" spans="1:16">
      <c r="A4" s="202" t="s">
        <v>1</v>
      </c>
      <c r="B4" s="203"/>
      <c r="C4" s="223" t="s">
        <v>4</v>
      </c>
      <c r="D4" s="198" t="s">
        <v>93</v>
      </c>
      <c r="E4" s="198" t="s">
        <v>94</v>
      </c>
      <c r="F4" s="198" t="s">
        <v>95</v>
      </c>
      <c r="G4" s="198" t="s">
        <v>96</v>
      </c>
      <c r="H4" s="223" t="s">
        <v>13</v>
      </c>
      <c r="I4" s="223" t="s">
        <v>97</v>
      </c>
      <c r="J4" s="223" t="s">
        <v>98</v>
      </c>
      <c r="K4" s="223" t="s">
        <v>99</v>
      </c>
      <c r="L4" s="198" t="s">
        <v>18</v>
      </c>
    </row>
    <row r="5" spans="1:16">
      <c r="A5" s="204"/>
      <c r="B5" s="205"/>
      <c r="C5" s="224"/>
      <c r="D5" s="199"/>
      <c r="E5" s="199"/>
      <c r="F5" s="199"/>
      <c r="G5" s="199"/>
      <c r="H5" s="224"/>
      <c r="I5" s="224"/>
      <c r="J5" s="224"/>
      <c r="K5" s="224"/>
      <c r="L5" s="199"/>
    </row>
    <row r="6" spans="1:16">
      <c r="A6" s="221">
        <v>45778</v>
      </c>
      <c r="B6" s="222"/>
      <c r="C6" s="89" t="e">
        <f>'[1]РВ Баумана'!G6+#REF!+'[1]РВ ГАЗ'!G6+#REF!+'[1]РВ Новикова-Прибоя'!G6+#REF!</f>
        <v>#REF!</v>
      </c>
      <c r="D6" s="90" t="e">
        <f>IF(C6 &lt; 8000,8000-C6,0)</f>
        <v>#REF!</v>
      </c>
      <c r="E6" s="90" t="e">
        <f>'[1]РВ Баумана'!C6+#REF!+'[1]РВ ГАЗ'!C6+#REF!+'[1]РВ Новикова-Прибоя'!C6+#REF!</f>
        <v>#REF!</v>
      </c>
      <c r="F6" s="90" t="e">
        <f>'[1]РВ Баумана'!D6+#REF!+'[1]РВ ГАЗ'!D6+#REF!+'[1]РВ Новикова-Прибоя'!D6+#REF!</f>
        <v>#REF!</v>
      </c>
      <c r="G6" s="90" t="e">
        <f>IF(E6+F6 &lt; 300,300-E6-F6,0)</f>
        <v>#REF!</v>
      </c>
      <c r="H6" s="91" t="e">
        <f>C6*15</f>
        <v>#REF!</v>
      </c>
      <c r="I6" s="91" t="e">
        <f>D6*15</f>
        <v>#REF!</v>
      </c>
      <c r="J6" s="91" t="e">
        <f>IF(M6="Выходной",(E6+G6)*150*1.5,(E6+G6)*150)</f>
        <v>#REF!</v>
      </c>
      <c r="K6" s="91" t="e">
        <f>IF(M6="Выходной",F6*150,F6*150)</f>
        <v>#REF!</v>
      </c>
      <c r="L6" s="91" t="e">
        <f>SUM(H6:K6)</f>
        <v>#REF!</v>
      </c>
      <c r="M6" s="2" t="str">
        <f>IF(OR(WEEKDAY(A6)=1,WEEKDAY(A6)=7,NOT(ISERROR(MATCH(A6,[1]Праздники!A:A,0)))),"Выходной","Рабочий")</f>
        <v>Выходной</v>
      </c>
    </row>
    <row r="7" spans="1:16">
      <c r="A7" s="221">
        <v>45779</v>
      </c>
      <c r="B7" s="222"/>
      <c r="C7" s="89" t="e">
        <f>'[1]РВ Баумана'!G7+#REF!+'[1]РВ ГАЗ'!G7+#REF!+'[1]РВ Новикова-Прибоя'!G7+#REF!</f>
        <v>#REF!</v>
      </c>
      <c r="D7" s="90" t="e">
        <f t="shared" ref="D7:D36" si="0">IF(C7 &lt; 8000,8000-C7,0)</f>
        <v>#REF!</v>
      </c>
      <c r="E7" s="90" t="e">
        <f>'[1]РВ Баумана'!C7+#REF!+'[1]РВ ГАЗ'!C7+#REF!+'[1]РВ Новикова-Прибоя'!C7+#REF!</f>
        <v>#REF!</v>
      </c>
      <c r="F7" s="90" t="e">
        <f>'[1]РВ Баумана'!D7+#REF!+'[1]РВ ГАЗ'!D7+#REF!+'[1]РВ Новикова-Прибоя'!D7+#REF!</f>
        <v>#REF!</v>
      </c>
      <c r="G7" s="90" t="e">
        <f t="shared" ref="G7:G36" si="1">IF(E7+F7 &lt; 300,300-E7-F7,0)</f>
        <v>#REF!</v>
      </c>
      <c r="H7" s="91" t="e">
        <f t="shared" ref="H7:I36" si="2">C7*15</f>
        <v>#REF!</v>
      </c>
      <c r="I7" s="91" t="e">
        <f t="shared" si="2"/>
        <v>#REF!</v>
      </c>
      <c r="J7" s="91" t="e">
        <f t="shared" ref="J7:J36" si="3">IF(M7="Выходной",(E7+G7+F7)*150*1.5,(E7+G7+F7)*150)</f>
        <v>#REF!</v>
      </c>
      <c r="K7" s="91" t="e">
        <f t="shared" ref="K7:K36" si="4">IF(M7="Выходной",F7*150,F7*150)</f>
        <v>#REF!</v>
      </c>
      <c r="L7" s="91" t="e">
        <f t="shared" ref="L7:L36" si="5">SUM(H7:K7)</f>
        <v>#REF!</v>
      </c>
      <c r="M7" s="2" t="str">
        <f>IF(OR(WEEKDAY(A7)=1,WEEKDAY(A7)=7,NOT(ISERROR(MATCH(A7,[1]Праздники!A:A,0)))),"Выходной","Рабочий")</f>
        <v>Выходной</v>
      </c>
    </row>
    <row r="8" spans="1:16">
      <c r="A8" s="221">
        <v>45780</v>
      </c>
      <c r="B8" s="222"/>
      <c r="C8" s="89" t="e">
        <f>'[1]РВ Баумана'!G8+#REF!+'[1]РВ ГАЗ'!G8+#REF!+'[1]РВ Новикова-Прибоя'!G8+#REF!</f>
        <v>#REF!</v>
      </c>
      <c r="D8" s="90" t="e">
        <f t="shared" si="0"/>
        <v>#REF!</v>
      </c>
      <c r="E8" s="90" t="e">
        <f>'[1]РВ Баумана'!C8+#REF!+'[1]РВ ГАЗ'!C8+#REF!+'[1]РВ Новикова-Прибоя'!C8+#REF!</f>
        <v>#REF!</v>
      </c>
      <c r="F8" s="90" t="e">
        <f>'[1]РВ Баумана'!D8+#REF!+'[1]РВ ГАЗ'!D8+#REF!+'[1]РВ Новикова-Прибоя'!D8+#REF!</f>
        <v>#REF!</v>
      </c>
      <c r="G8" s="90" t="e">
        <f t="shared" si="1"/>
        <v>#REF!</v>
      </c>
      <c r="H8" s="91" t="e">
        <f t="shared" si="2"/>
        <v>#REF!</v>
      </c>
      <c r="I8" s="91" t="e">
        <f t="shared" si="2"/>
        <v>#REF!</v>
      </c>
      <c r="J8" s="91" t="e">
        <f t="shared" si="3"/>
        <v>#REF!</v>
      </c>
      <c r="K8" s="91" t="e">
        <f t="shared" si="4"/>
        <v>#REF!</v>
      </c>
      <c r="L8" s="91" t="e">
        <f t="shared" si="5"/>
        <v>#REF!</v>
      </c>
      <c r="M8" s="2" t="str">
        <f>IF(OR(WEEKDAY(A8)=1,WEEKDAY(A8)=7,NOT(ISERROR(MATCH(A8,[1]Праздники!A:A,0)))),"Выходной","Рабочий")</f>
        <v>Выходной</v>
      </c>
    </row>
    <row r="9" spans="1:16">
      <c r="A9" s="221">
        <v>45781</v>
      </c>
      <c r="B9" s="222"/>
      <c r="C9" s="89" t="e">
        <f>'[1]РВ Баумана'!G9+#REF!+'[1]РВ ГАЗ'!G9+#REF!+'[1]РВ Новикова-Прибоя'!G9+#REF!</f>
        <v>#REF!</v>
      </c>
      <c r="D9" s="90" t="e">
        <f t="shared" si="0"/>
        <v>#REF!</v>
      </c>
      <c r="E9" s="90" t="e">
        <f>'[1]РВ Баумана'!C9+#REF!+'[1]РВ ГАЗ'!C9+#REF!+'[1]РВ Новикова-Прибоя'!C9+#REF!</f>
        <v>#REF!</v>
      </c>
      <c r="F9" s="90" t="e">
        <f>'[1]РВ Баумана'!D9+#REF!+'[1]РВ ГАЗ'!D9+#REF!+'[1]РВ Новикова-Прибоя'!D9+#REF!</f>
        <v>#REF!</v>
      </c>
      <c r="G9" s="90" t="e">
        <f t="shared" si="1"/>
        <v>#REF!</v>
      </c>
      <c r="H9" s="91" t="e">
        <f t="shared" si="2"/>
        <v>#REF!</v>
      </c>
      <c r="I9" s="91" t="e">
        <f t="shared" si="2"/>
        <v>#REF!</v>
      </c>
      <c r="J9" s="91" t="e">
        <f t="shared" si="3"/>
        <v>#REF!</v>
      </c>
      <c r="K9" s="91" t="e">
        <f t="shared" si="4"/>
        <v>#REF!</v>
      </c>
      <c r="L9" s="91" t="e">
        <f t="shared" si="5"/>
        <v>#REF!</v>
      </c>
      <c r="M9" s="2" t="str">
        <f>IF(OR(WEEKDAY(A9)=1,WEEKDAY(A9)=7,NOT(ISERROR(MATCH(A9,[1]Праздники!A:A,0)))),"Выходной","Рабочий")</f>
        <v>Выходной</v>
      </c>
    </row>
    <row r="10" spans="1:16">
      <c r="A10" s="221">
        <v>45782</v>
      </c>
      <c r="B10" s="222"/>
      <c r="C10" s="89" t="e">
        <f>'[1]РВ Баумана'!G10+#REF!+'[1]РВ ГАЗ'!G10+#REF!+'[1]РВ Новикова-Прибоя'!G10+#REF!</f>
        <v>#REF!</v>
      </c>
      <c r="D10" s="90" t="e">
        <f t="shared" si="0"/>
        <v>#REF!</v>
      </c>
      <c r="E10" s="90" t="e">
        <f>'[1]РВ Баумана'!C10+#REF!+'[1]РВ ГАЗ'!C10+#REF!+'[1]РВ Новикова-Прибоя'!C10+#REF!</f>
        <v>#REF!</v>
      </c>
      <c r="F10" s="90" t="e">
        <f>'[1]РВ Баумана'!D10+#REF!+'[1]РВ ГАЗ'!D10+#REF!+'[1]РВ Новикова-Прибоя'!D10+#REF!</f>
        <v>#REF!</v>
      </c>
      <c r="G10" s="90" t="e">
        <f t="shared" si="1"/>
        <v>#REF!</v>
      </c>
      <c r="H10" s="91" t="e">
        <f t="shared" si="2"/>
        <v>#REF!</v>
      </c>
      <c r="I10" s="91" t="e">
        <f t="shared" si="2"/>
        <v>#REF!</v>
      </c>
      <c r="J10" s="91" t="e">
        <f t="shared" si="3"/>
        <v>#REF!</v>
      </c>
      <c r="K10" s="91" t="e">
        <f t="shared" si="4"/>
        <v>#REF!</v>
      </c>
      <c r="L10" s="91" t="e">
        <f t="shared" si="5"/>
        <v>#REF!</v>
      </c>
      <c r="M10" s="2" t="str">
        <f>IF(OR(WEEKDAY(A10)=1,WEEKDAY(A10)=7,NOT(ISERROR(MATCH(A10,[1]Праздники!A:A,0)))),"Выходной","Рабочий")</f>
        <v>Рабочий</v>
      </c>
    </row>
    <row r="11" spans="1:16">
      <c r="A11" s="221">
        <v>45783</v>
      </c>
      <c r="B11" s="222"/>
      <c r="C11" s="89" t="e">
        <f>'[1]РВ Баумана'!G11+#REF!+'[1]РВ ГАЗ'!G11+#REF!+'[1]РВ Новикова-Прибоя'!G11+#REF!</f>
        <v>#REF!</v>
      </c>
      <c r="D11" s="90" t="e">
        <f t="shared" si="0"/>
        <v>#REF!</v>
      </c>
      <c r="E11" s="90" t="e">
        <f>'[1]РВ Баумана'!C11+#REF!+'[1]РВ ГАЗ'!C11+#REF!+'[1]РВ Новикова-Прибоя'!C11+#REF!</f>
        <v>#REF!</v>
      </c>
      <c r="F11" s="90" t="e">
        <f>'[1]РВ Баумана'!D11+#REF!+'[1]РВ ГАЗ'!D11+#REF!+'[1]РВ Новикова-Прибоя'!D11+#REF!</f>
        <v>#REF!</v>
      </c>
      <c r="G11" s="90" t="e">
        <f t="shared" si="1"/>
        <v>#REF!</v>
      </c>
      <c r="H11" s="91" t="e">
        <f t="shared" si="2"/>
        <v>#REF!</v>
      </c>
      <c r="I11" s="91" t="e">
        <f t="shared" si="2"/>
        <v>#REF!</v>
      </c>
      <c r="J11" s="91" t="e">
        <f t="shared" si="3"/>
        <v>#REF!</v>
      </c>
      <c r="K11" s="91" t="e">
        <f t="shared" si="4"/>
        <v>#REF!</v>
      </c>
      <c r="L11" s="91" t="e">
        <f t="shared" si="5"/>
        <v>#REF!</v>
      </c>
      <c r="M11" s="2" t="str">
        <f>IF(OR(WEEKDAY(A11)=1,WEEKDAY(A11)=7,NOT(ISERROR(MATCH(A11,[1]Праздники!A:A,0)))),"Выходной","Рабочий")</f>
        <v>Рабочий</v>
      </c>
    </row>
    <row r="12" spans="1:16">
      <c r="A12" s="221">
        <v>45784</v>
      </c>
      <c r="B12" s="222"/>
      <c r="C12" s="89" t="e">
        <f>'[1]РВ Баумана'!G12+#REF!+'[1]РВ ГАЗ'!G12+#REF!+'[1]РВ Новикова-Прибоя'!G12+#REF!</f>
        <v>#REF!</v>
      </c>
      <c r="D12" s="90" t="e">
        <f t="shared" si="0"/>
        <v>#REF!</v>
      </c>
      <c r="E12" s="90" t="e">
        <f>'[1]РВ Баумана'!C12+#REF!+'[1]РВ ГАЗ'!C12+#REF!+'[1]РВ Новикова-Прибоя'!C12+#REF!</f>
        <v>#REF!</v>
      </c>
      <c r="F12" s="90" t="e">
        <f>'[1]РВ Баумана'!D12+#REF!+'[1]РВ ГАЗ'!D12+#REF!+'[1]РВ Новикова-Прибоя'!D12+#REF!</f>
        <v>#REF!</v>
      </c>
      <c r="G12" s="90" t="e">
        <f t="shared" si="1"/>
        <v>#REF!</v>
      </c>
      <c r="H12" s="91" t="e">
        <f t="shared" si="2"/>
        <v>#REF!</v>
      </c>
      <c r="I12" s="91" t="e">
        <f t="shared" si="2"/>
        <v>#REF!</v>
      </c>
      <c r="J12" s="91" t="e">
        <f t="shared" si="3"/>
        <v>#REF!</v>
      </c>
      <c r="K12" s="91" t="e">
        <f t="shared" si="4"/>
        <v>#REF!</v>
      </c>
      <c r="L12" s="91" t="e">
        <f t="shared" si="5"/>
        <v>#REF!</v>
      </c>
      <c r="M12" s="2" t="str">
        <f>IF(OR(WEEKDAY(A12)=1,WEEKDAY(A12)=7,NOT(ISERROR(MATCH(A12,[1]Праздники!A:A,0)))),"Выходной","Рабочий")</f>
        <v>Рабочий</v>
      </c>
    </row>
    <row r="13" spans="1:16">
      <c r="A13" s="221">
        <v>45785</v>
      </c>
      <c r="B13" s="222"/>
      <c r="C13" s="89" t="e">
        <f>'[1]РВ Баумана'!G13+#REF!+'[1]РВ ГАЗ'!G13+#REF!+'[1]РВ Новикова-Прибоя'!G13+#REF!</f>
        <v>#REF!</v>
      </c>
      <c r="D13" s="90" t="e">
        <f t="shared" si="0"/>
        <v>#REF!</v>
      </c>
      <c r="E13" s="90" t="e">
        <f>'[1]РВ Баумана'!C13+#REF!+'[1]РВ ГАЗ'!C13+#REF!+'[1]РВ Новикова-Прибоя'!C13+#REF!</f>
        <v>#REF!</v>
      </c>
      <c r="F13" s="90" t="e">
        <f>'[1]РВ Баумана'!D13+#REF!+'[1]РВ ГАЗ'!D13+#REF!+'[1]РВ Новикова-Прибоя'!D13+#REF!</f>
        <v>#REF!</v>
      </c>
      <c r="G13" s="90" t="e">
        <f t="shared" si="1"/>
        <v>#REF!</v>
      </c>
      <c r="H13" s="91" t="e">
        <f t="shared" si="2"/>
        <v>#REF!</v>
      </c>
      <c r="I13" s="91" t="e">
        <f t="shared" si="2"/>
        <v>#REF!</v>
      </c>
      <c r="J13" s="91" t="e">
        <f t="shared" si="3"/>
        <v>#REF!</v>
      </c>
      <c r="K13" s="91" t="e">
        <f t="shared" si="4"/>
        <v>#REF!</v>
      </c>
      <c r="L13" s="91" t="e">
        <f t="shared" si="5"/>
        <v>#REF!</v>
      </c>
      <c r="M13" s="2" t="str">
        <f>IF(OR(WEEKDAY(A13)=1,WEEKDAY(A13)=7,NOT(ISERROR(MATCH(A13,[1]Праздники!A:A,0)))),"Выходной","Рабочий")</f>
        <v>Выходной</v>
      </c>
    </row>
    <row r="14" spans="1:16">
      <c r="A14" s="221">
        <v>45786</v>
      </c>
      <c r="B14" s="222"/>
      <c r="C14" s="89" t="e">
        <f>'[1]РВ Баумана'!G14+#REF!+'[1]РВ ГАЗ'!G14+#REF!+'[1]РВ Новикова-Прибоя'!G14+#REF!</f>
        <v>#REF!</v>
      </c>
      <c r="D14" s="90" t="e">
        <f t="shared" si="0"/>
        <v>#REF!</v>
      </c>
      <c r="E14" s="90" t="e">
        <f>'[1]РВ Баумана'!C14+#REF!+'[1]РВ ГАЗ'!C14+#REF!+'[1]РВ Новикова-Прибоя'!C14+#REF!</f>
        <v>#REF!</v>
      </c>
      <c r="F14" s="90" t="e">
        <f>'[1]РВ Баумана'!D14+#REF!+'[1]РВ ГАЗ'!D14+#REF!+'[1]РВ Новикова-Прибоя'!D14+#REF!</f>
        <v>#REF!</v>
      </c>
      <c r="G14" s="90" t="e">
        <f t="shared" si="1"/>
        <v>#REF!</v>
      </c>
      <c r="H14" s="91" t="e">
        <f t="shared" si="2"/>
        <v>#REF!</v>
      </c>
      <c r="I14" s="91" t="e">
        <f t="shared" si="2"/>
        <v>#REF!</v>
      </c>
      <c r="J14" s="91" t="e">
        <f t="shared" si="3"/>
        <v>#REF!</v>
      </c>
      <c r="K14" s="91" t="e">
        <f t="shared" si="4"/>
        <v>#REF!</v>
      </c>
      <c r="L14" s="91" t="e">
        <f t="shared" si="5"/>
        <v>#REF!</v>
      </c>
      <c r="M14" s="2" t="str">
        <f>IF(OR(WEEKDAY(A14)=1,WEEKDAY(A14)=7,NOT(ISERROR(MATCH(A14,[1]Праздники!A:A,0)))),"Выходной","Рабочий")</f>
        <v>Выходной</v>
      </c>
    </row>
    <row r="15" spans="1:16">
      <c r="A15" s="221">
        <v>45787</v>
      </c>
      <c r="B15" s="222"/>
      <c r="C15" s="89" t="e">
        <f>'[1]РВ Баумана'!G15+#REF!+'[1]РВ ГАЗ'!G15+#REF!+'[1]РВ Новикова-Прибоя'!G15+#REF!</f>
        <v>#REF!</v>
      </c>
      <c r="D15" s="90" t="e">
        <f t="shared" si="0"/>
        <v>#REF!</v>
      </c>
      <c r="E15" s="90" t="e">
        <f>'[1]РВ Баумана'!C15+#REF!+'[1]РВ ГАЗ'!C15+#REF!+'[1]РВ Новикова-Прибоя'!C15+#REF!</f>
        <v>#REF!</v>
      </c>
      <c r="F15" s="90" t="e">
        <f>'[1]РВ Баумана'!D15+#REF!+'[1]РВ ГАЗ'!D15+#REF!+'[1]РВ Новикова-Прибоя'!D15+#REF!</f>
        <v>#REF!</v>
      </c>
      <c r="G15" s="90" t="e">
        <f t="shared" si="1"/>
        <v>#REF!</v>
      </c>
      <c r="H15" s="91" t="e">
        <f t="shared" si="2"/>
        <v>#REF!</v>
      </c>
      <c r="I15" s="91" t="e">
        <f t="shared" si="2"/>
        <v>#REF!</v>
      </c>
      <c r="J15" s="91" t="e">
        <f t="shared" si="3"/>
        <v>#REF!</v>
      </c>
      <c r="K15" s="91" t="e">
        <f t="shared" si="4"/>
        <v>#REF!</v>
      </c>
      <c r="L15" s="91" t="e">
        <f t="shared" si="5"/>
        <v>#REF!</v>
      </c>
      <c r="M15" s="2" t="str">
        <f>IF(OR(WEEKDAY(A15)=1,WEEKDAY(A15)=7,NOT(ISERROR(MATCH(A15,[1]Праздники!A:A,0)))),"Выходной","Рабочий")</f>
        <v>Выходной</v>
      </c>
    </row>
    <row r="16" spans="1:16">
      <c r="A16" s="221">
        <v>45788</v>
      </c>
      <c r="B16" s="222"/>
      <c r="C16" s="89" t="e">
        <f>'[1]РВ Баумана'!G16+#REF!+'[1]РВ ГАЗ'!G16+#REF!+'[1]РВ Новикова-Прибоя'!G16+#REF!</f>
        <v>#REF!</v>
      </c>
      <c r="D16" s="90" t="e">
        <f t="shared" si="0"/>
        <v>#REF!</v>
      </c>
      <c r="E16" s="90" t="e">
        <f>'[1]РВ Баумана'!C16+#REF!+'[1]РВ ГАЗ'!C16+#REF!+'[1]РВ Новикова-Прибоя'!C16+#REF!</f>
        <v>#REF!</v>
      </c>
      <c r="F16" s="90" t="e">
        <f>'[1]РВ Баумана'!D16+#REF!+'[1]РВ ГАЗ'!D16+#REF!+'[1]РВ Новикова-Прибоя'!D16+#REF!</f>
        <v>#REF!</v>
      </c>
      <c r="G16" s="90" t="e">
        <f t="shared" si="1"/>
        <v>#REF!</v>
      </c>
      <c r="H16" s="91" t="e">
        <f t="shared" si="2"/>
        <v>#REF!</v>
      </c>
      <c r="I16" s="91" t="e">
        <f t="shared" si="2"/>
        <v>#REF!</v>
      </c>
      <c r="J16" s="91" t="e">
        <f t="shared" si="3"/>
        <v>#REF!</v>
      </c>
      <c r="K16" s="91" t="e">
        <f t="shared" si="4"/>
        <v>#REF!</v>
      </c>
      <c r="L16" s="91" t="e">
        <f t="shared" si="5"/>
        <v>#REF!</v>
      </c>
      <c r="M16" s="2" t="str">
        <f>IF(OR(WEEKDAY(A16)=1,WEEKDAY(A16)=7,NOT(ISERROR(MATCH(A16,[1]Праздники!A:A,0)))),"Выходной","Рабочий")</f>
        <v>Выходной</v>
      </c>
    </row>
    <row r="17" spans="1:13">
      <c r="A17" s="221">
        <v>45789</v>
      </c>
      <c r="B17" s="222"/>
      <c r="C17" s="89" t="e">
        <f>'[1]РВ Баумана'!G17+#REF!+'[1]РВ ГАЗ'!G17+#REF!+'[1]РВ Новикова-Прибоя'!G17+#REF!</f>
        <v>#REF!</v>
      </c>
      <c r="D17" s="90" t="e">
        <f t="shared" si="0"/>
        <v>#REF!</v>
      </c>
      <c r="E17" s="90" t="e">
        <f>'[1]РВ Баумана'!C17+#REF!+'[1]РВ ГАЗ'!C17+#REF!+'[1]РВ Новикова-Прибоя'!C17+#REF!</f>
        <v>#REF!</v>
      </c>
      <c r="F17" s="90" t="e">
        <f>'[1]РВ Баумана'!D17+#REF!+'[1]РВ ГАЗ'!D17+#REF!+'[1]РВ Новикова-Прибоя'!D17+#REF!</f>
        <v>#REF!</v>
      </c>
      <c r="G17" s="90" t="e">
        <f t="shared" si="1"/>
        <v>#REF!</v>
      </c>
      <c r="H17" s="91" t="e">
        <f t="shared" si="2"/>
        <v>#REF!</v>
      </c>
      <c r="I17" s="91" t="e">
        <f t="shared" si="2"/>
        <v>#REF!</v>
      </c>
      <c r="J17" s="91" t="e">
        <f t="shared" si="3"/>
        <v>#REF!</v>
      </c>
      <c r="K17" s="91" t="e">
        <f t="shared" si="4"/>
        <v>#REF!</v>
      </c>
      <c r="L17" s="91" t="e">
        <f t="shared" si="5"/>
        <v>#REF!</v>
      </c>
      <c r="M17" s="2" t="str">
        <f>IF(OR(WEEKDAY(A17)=1,WEEKDAY(A17)=7,NOT(ISERROR(MATCH(A17,[1]Праздники!A:A,0)))),"Выходной","Рабочий")</f>
        <v>Рабочий</v>
      </c>
    </row>
    <row r="18" spans="1:13">
      <c r="A18" s="221">
        <v>45790</v>
      </c>
      <c r="B18" s="222"/>
      <c r="C18" s="89" t="e">
        <f>'[1]РВ Баумана'!G18+#REF!+'[1]РВ ГАЗ'!G18+#REF!+'[1]РВ Новикова-Прибоя'!G18+#REF!</f>
        <v>#REF!</v>
      </c>
      <c r="D18" s="90" t="e">
        <f t="shared" si="0"/>
        <v>#REF!</v>
      </c>
      <c r="E18" s="90" t="e">
        <f>'[1]РВ Баумана'!C18+#REF!+'[1]РВ ГАЗ'!C18+#REF!+'[1]РВ Новикова-Прибоя'!C18+#REF!</f>
        <v>#REF!</v>
      </c>
      <c r="F18" s="90" t="e">
        <f>'[1]РВ Баумана'!D18+#REF!+'[1]РВ ГАЗ'!D18+#REF!+'[1]РВ Новикова-Прибоя'!D18+#REF!</f>
        <v>#REF!</v>
      </c>
      <c r="G18" s="90" t="e">
        <f t="shared" si="1"/>
        <v>#REF!</v>
      </c>
      <c r="H18" s="91" t="e">
        <f t="shared" si="2"/>
        <v>#REF!</v>
      </c>
      <c r="I18" s="91" t="e">
        <f t="shared" si="2"/>
        <v>#REF!</v>
      </c>
      <c r="J18" s="91" t="e">
        <f t="shared" si="3"/>
        <v>#REF!</v>
      </c>
      <c r="K18" s="91" t="e">
        <f t="shared" si="4"/>
        <v>#REF!</v>
      </c>
      <c r="L18" s="91" t="e">
        <f t="shared" si="5"/>
        <v>#REF!</v>
      </c>
      <c r="M18" s="2" t="str">
        <f>IF(OR(WEEKDAY(A18)=1,WEEKDAY(A18)=7,NOT(ISERROR(MATCH(A18,[1]Праздники!A:A,0)))),"Выходной","Рабочий")</f>
        <v>Рабочий</v>
      </c>
    </row>
    <row r="19" spans="1:13">
      <c r="A19" s="221">
        <v>45791</v>
      </c>
      <c r="B19" s="222"/>
      <c r="C19" s="89" t="e">
        <f>'[1]РВ Баумана'!G19+#REF!+'[1]РВ ГАЗ'!G19+#REF!+'[1]РВ Новикова-Прибоя'!G19+#REF!</f>
        <v>#REF!</v>
      </c>
      <c r="D19" s="90" t="e">
        <f t="shared" si="0"/>
        <v>#REF!</v>
      </c>
      <c r="E19" s="90" t="e">
        <f>'[1]РВ Баумана'!C19+#REF!+'[1]РВ ГАЗ'!C19+#REF!+'[1]РВ Новикова-Прибоя'!C19+#REF!</f>
        <v>#REF!</v>
      </c>
      <c r="F19" s="90" t="e">
        <f>'[1]РВ Баумана'!D19+#REF!+'[1]РВ ГАЗ'!D19+#REF!+'[1]РВ Новикова-Прибоя'!D19+#REF!</f>
        <v>#REF!</v>
      </c>
      <c r="G19" s="90" t="e">
        <f t="shared" si="1"/>
        <v>#REF!</v>
      </c>
      <c r="H19" s="91" t="e">
        <f t="shared" si="2"/>
        <v>#REF!</v>
      </c>
      <c r="I19" s="91" t="e">
        <f t="shared" si="2"/>
        <v>#REF!</v>
      </c>
      <c r="J19" s="91" t="e">
        <f t="shared" si="3"/>
        <v>#REF!</v>
      </c>
      <c r="K19" s="91" t="e">
        <f t="shared" si="4"/>
        <v>#REF!</v>
      </c>
      <c r="L19" s="91" t="e">
        <f t="shared" si="5"/>
        <v>#REF!</v>
      </c>
      <c r="M19" s="2" t="str">
        <f>IF(OR(WEEKDAY(A19)=1,WEEKDAY(A19)=7,NOT(ISERROR(MATCH(A19,[1]Праздники!A:A,0)))),"Выходной","Рабочий")</f>
        <v>Рабочий</v>
      </c>
    </row>
    <row r="20" spans="1:13">
      <c r="A20" s="221">
        <v>45792</v>
      </c>
      <c r="B20" s="222"/>
      <c r="C20" s="89" t="e">
        <f>'[1]РВ Баумана'!G20+#REF!+'[1]РВ ГАЗ'!G20+#REF!+'[1]РВ Новикова-Прибоя'!G20+#REF!</f>
        <v>#REF!</v>
      </c>
      <c r="D20" s="90" t="e">
        <f t="shared" si="0"/>
        <v>#REF!</v>
      </c>
      <c r="E20" s="90" t="e">
        <f>'[1]РВ Баумана'!C20+#REF!+'[1]РВ ГАЗ'!C20+#REF!+'[1]РВ Новикова-Прибоя'!C20+#REF!</f>
        <v>#REF!</v>
      </c>
      <c r="F20" s="90" t="e">
        <f>'[1]РВ Баумана'!D20+#REF!+'[1]РВ ГАЗ'!D20+#REF!+'[1]РВ Новикова-Прибоя'!D20+#REF!</f>
        <v>#REF!</v>
      </c>
      <c r="G20" s="90" t="e">
        <f t="shared" si="1"/>
        <v>#REF!</v>
      </c>
      <c r="H20" s="91" t="e">
        <f t="shared" si="2"/>
        <v>#REF!</v>
      </c>
      <c r="I20" s="91" t="e">
        <f t="shared" si="2"/>
        <v>#REF!</v>
      </c>
      <c r="J20" s="91" t="e">
        <f t="shared" si="3"/>
        <v>#REF!</v>
      </c>
      <c r="K20" s="91" t="e">
        <f t="shared" si="4"/>
        <v>#REF!</v>
      </c>
      <c r="L20" s="91" t="e">
        <f t="shared" si="5"/>
        <v>#REF!</v>
      </c>
      <c r="M20" s="2" t="str">
        <f>IF(OR(WEEKDAY(A20)=1,WEEKDAY(A20)=7,NOT(ISERROR(MATCH(A20,[1]Праздники!A:A,0)))),"Выходной","Рабочий")</f>
        <v>Рабочий</v>
      </c>
    </row>
    <row r="21" spans="1:13">
      <c r="A21" s="221">
        <v>45793</v>
      </c>
      <c r="B21" s="222"/>
      <c r="C21" s="89" t="e">
        <f>'[1]РВ Баумана'!G21+#REF!+'[1]РВ ГАЗ'!G21+#REF!+'[1]РВ Новикова-Прибоя'!G21+#REF!</f>
        <v>#REF!</v>
      </c>
      <c r="D21" s="90" t="e">
        <f t="shared" si="0"/>
        <v>#REF!</v>
      </c>
      <c r="E21" s="90" t="e">
        <f>'[1]РВ Баумана'!C21+#REF!+'[1]РВ ГАЗ'!C21+#REF!+'[1]РВ Новикова-Прибоя'!C21+#REF!</f>
        <v>#REF!</v>
      </c>
      <c r="F21" s="90" t="e">
        <f>'[1]РВ Баумана'!D21+#REF!+'[1]РВ ГАЗ'!D21+#REF!+'[1]РВ Новикова-Прибоя'!D21+#REF!</f>
        <v>#REF!</v>
      </c>
      <c r="G21" s="90" t="e">
        <f t="shared" si="1"/>
        <v>#REF!</v>
      </c>
      <c r="H21" s="91" t="e">
        <f t="shared" si="2"/>
        <v>#REF!</v>
      </c>
      <c r="I21" s="91" t="e">
        <f t="shared" si="2"/>
        <v>#REF!</v>
      </c>
      <c r="J21" s="91" t="e">
        <f t="shared" si="3"/>
        <v>#REF!</v>
      </c>
      <c r="K21" s="91" t="e">
        <f t="shared" si="4"/>
        <v>#REF!</v>
      </c>
      <c r="L21" s="91" t="e">
        <f t="shared" si="5"/>
        <v>#REF!</v>
      </c>
      <c r="M21" s="2" t="str">
        <f>IF(OR(WEEKDAY(A21)=1,WEEKDAY(A21)=7,NOT(ISERROR(MATCH(A21,[1]Праздники!A:A,0)))),"Выходной","Рабочий")</f>
        <v>Рабочий</v>
      </c>
    </row>
    <row r="22" spans="1:13">
      <c r="A22" s="221">
        <v>45794</v>
      </c>
      <c r="B22" s="222"/>
      <c r="C22" s="89" t="e">
        <f>'[1]РВ Баумана'!G22+#REF!+'[1]РВ ГАЗ'!G22+#REF!+'[1]РВ Новикова-Прибоя'!G22+#REF!</f>
        <v>#REF!</v>
      </c>
      <c r="D22" s="90" t="e">
        <f t="shared" si="0"/>
        <v>#REF!</v>
      </c>
      <c r="E22" s="90" t="e">
        <f>'[1]РВ Баумана'!C22+#REF!+'[1]РВ ГАЗ'!C22+#REF!+'[1]РВ Новикова-Прибоя'!C22+#REF!</f>
        <v>#REF!</v>
      </c>
      <c r="F22" s="90" t="e">
        <f>'[1]РВ Баумана'!D22+#REF!+'[1]РВ ГАЗ'!D22+#REF!+'[1]РВ Новикова-Прибоя'!D22+#REF!</f>
        <v>#REF!</v>
      </c>
      <c r="G22" s="90" t="e">
        <f t="shared" si="1"/>
        <v>#REF!</v>
      </c>
      <c r="H22" s="91" t="e">
        <f t="shared" si="2"/>
        <v>#REF!</v>
      </c>
      <c r="I22" s="91" t="e">
        <f t="shared" si="2"/>
        <v>#REF!</v>
      </c>
      <c r="J22" s="91" t="e">
        <f t="shared" si="3"/>
        <v>#REF!</v>
      </c>
      <c r="K22" s="91" t="e">
        <f t="shared" si="4"/>
        <v>#REF!</v>
      </c>
      <c r="L22" s="91" t="e">
        <f t="shared" si="5"/>
        <v>#REF!</v>
      </c>
      <c r="M22" s="2" t="str">
        <f>IF(OR(WEEKDAY(A22)=1,WEEKDAY(A22)=7,NOT(ISERROR(MATCH(A22,[1]Праздники!A:A,0)))),"Выходной","Рабочий")</f>
        <v>Выходной</v>
      </c>
    </row>
    <row r="23" spans="1:13">
      <c r="A23" s="221">
        <v>45795</v>
      </c>
      <c r="B23" s="222"/>
      <c r="C23" s="89" t="e">
        <f>'[1]РВ Баумана'!G23+#REF!+'[1]РВ ГАЗ'!G23+#REF!+'[1]РВ Новикова-Прибоя'!G23+#REF!</f>
        <v>#REF!</v>
      </c>
      <c r="D23" s="90" t="e">
        <f t="shared" si="0"/>
        <v>#REF!</v>
      </c>
      <c r="E23" s="90" t="e">
        <f>'[1]РВ Баумана'!C23+#REF!+'[1]РВ ГАЗ'!C23+#REF!+'[1]РВ Новикова-Прибоя'!C23+#REF!</f>
        <v>#REF!</v>
      </c>
      <c r="F23" s="90" t="e">
        <f>'[1]РВ Баумана'!D23+#REF!+'[1]РВ ГАЗ'!D23+#REF!+'[1]РВ Новикова-Прибоя'!D23+#REF!</f>
        <v>#REF!</v>
      </c>
      <c r="G23" s="90" t="e">
        <f t="shared" si="1"/>
        <v>#REF!</v>
      </c>
      <c r="H23" s="91" t="e">
        <f t="shared" si="2"/>
        <v>#REF!</v>
      </c>
      <c r="I23" s="91" t="e">
        <f t="shared" si="2"/>
        <v>#REF!</v>
      </c>
      <c r="J23" s="91" t="e">
        <f t="shared" si="3"/>
        <v>#REF!</v>
      </c>
      <c r="K23" s="91" t="e">
        <f t="shared" si="4"/>
        <v>#REF!</v>
      </c>
      <c r="L23" s="91" t="e">
        <f t="shared" si="5"/>
        <v>#REF!</v>
      </c>
      <c r="M23" s="2" t="str">
        <f>IF(OR(WEEKDAY(A23)=1,WEEKDAY(A23)=7,NOT(ISERROR(MATCH(A23,[1]Праздники!A:A,0)))),"Выходной","Рабочий")</f>
        <v>Выходной</v>
      </c>
    </row>
    <row r="24" spans="1:13">
      <c r="A24" s="221">
        <v>45796</v>
      </c>
      <c r="B24" s="222"/>
      <c r="C24" s="89" t="e">
        <f>'[1]РВ Баумана'!G24+#REF!+'[1]РВ ГАЗ'!G24+#REF!+'[1]РВ Новикова-Прибоя'!G24+#REF!</f>
        <v>#REF!</v>
      </c>
      <c r="D24" s="90" t="e">
        <f t="shared" si="0"/>
        <v>#REF!</v>
      </c>
      <c r="E24" s="90" t="e">
        <f>'[1]РВ Баумана'!C24+#REF!+'[1]РВ ГАЗ'!C24+#REF!+'[1]РВ Новикова-Прибоя'!C24+#REF!</f>
        <v>#REF!</v>
      </c>
      <c r="F24" s="90" t="e">
        <f>'[1]РВ Баумана'!D24+#REF!+'[1]РВ ГАЗ'!D24+#REF!+'[1]РВ Новикова-Прибоя'!D24+#REF!</f>
        <v>#REF!</v>
      </c>
      <c r="G24" s="90" t="e">
        <f t="shared" si="1"/>
        <v>#REF!</v>
      </c>
      <c r="H24" s="91" t="e">
        <f t="shared" si="2"/>
        <v>#REF!</v>
      </c>
      <c r="I24" s="91" t="e">
        <f t="shared" si="2"/>
        <v>#REF!</v>
      </c>
      <c r="J24" s="91" t="e">
        <f t="shared" si="3"/>
        <v>#REF!</v>
      </c>
      <c r="K24" s="91" t="e">
        <f t="shared" si="4"/>
        <v>#REF!</v>
      </c>
      <c r="L24" s="91" t="e">
        <f t="shared" si="5"/>
        <v>#REF!</v>
      </c>
      <c r="M24" s="2" t="str">
        <f>IF(OR(WEEKDAY(A24)=1,WEEKDAY(A24)=7,NOT(ISERROR(MATCH(A24,[1]Праздники!A:A,0)))),"Выходной","Рабочий")</f>
        <v>Рабочий</v>
      </c>
    </row>
    <row r="25" spans="1:13">
      <c r="A25" s="221">
        <v>45797</v>
      </c>
      <c r="B25" s="222"/>
      <c r="C25" s="89" t="e">
        <f>'[1]РВ Баумана'!G25+#REF!+'[1]РВ ГАЗ'!G25+#REF!+'[1]РВ Новикова-Прибоя'!G25+#REF!</f>
        <v>#REF!</v>
      </c>
      <c r="D25" s="90" t="e">
        <f t="shared" si="0"/>
        <v>#REF!</v>
      </c>
      <c r="E25" s="90" t="e">
        <f>'[1]РВ Баумана'!C25+#REF!+'[1]РВ ГАЗ'!C25+#REF!+'[1]РВ Новикова-Прибоя'!C25+#REF!</f>
        <v>#REF!</v>
      </c>
      <c r="F25" s="90" t="e">
        <f>'[1]РВ Баумана'!D25+#REF!+'[1]РВ ГАЗ'!D25+#REF!+'[1]РВ Новикова-Прибоя'!D25+#REF!</f>
        <v>#REF!</v>
      </c>
      <c r="G25" s="90" t="e">
        <f t="shared" si="1"/>
        <v>#REF!</v>
      </c>
      <c r="H25" s="91" t="e">
        <f t="shared" si="2"/>
        <v>#REF!</v>
      </c>
      <c r="I25" s="91" t="e">
        <f t="shared" si="2"/>
        <v>#REF!</v>
      </c>
      <c r="J25" s="91" t="e">
        <f t="shared" si="3"/>
        <v>#REF!</v>
      </c>
      <c r="K25" s="91" t="e">
        <f t="shared" si="4"/>
        <v>#REF!</v>
      </c>
      <c r="L25" s="91" t="e">
        <f t="shared" si="5"/>
        <v>#REF!</v>
      </c>
      <c r="M25" s="2" t="str">
        <f>IF(OR(WEEKDAY(A25)=1,WEEKDAY(A25)=7,NOT(ISERROR(MATCH(A25,[1]Праздники!A:A,0)))),"Выходной","Рабочий")</f>
        <v>Рабочий</v>
      </c>
    </row>
    <row r="26" spans="1:13">
      <c r="A26" s="221">
        <v>45798</v>
      </c>
      <c r="B26" s="222"/>
      <c r="C26" s="89" t="e">
        <f>'[1]РВ Баумана'!G26+#REF!+'[1]РВ ГАЗ'!G26+#REF!+'[1]РВ Новикова-Прибоя'!G26+#REF!</f>
        <v>#REF!</v>
      </c>
      <c r="D26" s="90" t="e">
        <f t="shared" si="0"/>
        <v>#REF!</v>
      </c>
      <c r="E26" s="90" t="e">
        <f>'[1]РВ Баумана'!C26+#REF!+'[1]РВ ГАЗ'!C26+#REF!+'[1]РВ Новикова-Прибоя'!C26+#REF!</f>
        <v>#REF!</v>
      </c>
      <c r="F26" s="90" t="e">
        <f>'[1]РВ Баумана'!D26+#REF!+'[1]РВ ГАЗ'!D26+#REF!+'[1]РВ Новикова-Прибоя'!D26+#REF!</f>
        <v>#REF!</v>
      </c>
      <c r="G26" s="90" t="e">
        <f t="shared" si="1"/>
        <v>#REF!</v>
      </c>
      <c r="H26" s="91" t="e">
        <f t="shared" si="2"/>
        <v>#REF!</v>
      </c>
      <c r="I26" s="91" t="e">
        <f t="shared" si="2"/>
        <v>#REF!</v>
      </c>
      <c r="J26" s="91" t="e">
        <f t="shared" si="3"/>
        <v>#REF!</v>
      </c>
      <c r="K26" s="91" t="e">
        <f t="shared" si="4"/>
        <v>#REF!</v>
      </c>
      <c r="L26" s="91" t="e">
        <f t="shared" si="5"/>
        <v>#REF!</v>
      </c>
      <c r="M26" s="2" t="str">
        <f>IF(OR(WEEKDAY(A26)=1,WEEKDAY(A26)=7,NOT(ISERROR(MATCH(A26,[1]Праздники!A:A,0)))),"Выходной","Рабочий")</f>
        <v>Рабочий</v>
      </c>
    </row>
    <row r="27" spans="1:13" ht="15" customHeight="1">
      <c r="A27" s="221">
        <v>45799</v>
      </c>
      <c r="B27" s="222"/>
      <c r="C27" s="89" t="e">
        <f>'[1]РВ Баумана'!G27+#REF!+'[1]РВ ГАЗ'!G27+#REF!+'[1]РВ Новикова-Прибоя'!G27+#REF!</f>
        <v>#REF!</v>
      </c>
      <c r="D27" s="90" t="e">
        <f t="shared" si="0"/>
        <v>#REF!</v>
      </c>
      <c r="E27" s="90" t="e">
        <f>'[1]РВ Баумана'!C27+#REF!+'[1]РВ ГАЗ'!C27+#REF!+'[1]РВ Новикова-Прибоя'!C27+#REF!</f>
        <v>#REF!</v>
      </c>
      <c r="F27" s="90" t="e">
        <f>'[1]РВ Баумана'!D27+#REF!+'[1]РВ ГАЗ'!D27+#REF!+'[1]РВ Новикова-Прибоя'!D27+#REF!</f>
        <v>#REF!</v>
      </c>
      <c r="G27" s="90" t="e">
        <f t="shared" si="1"/>
        <v>#REF!</v>
      </c>
      <c r="H27" s="91" t="e">
        <f t="shared" si="2"/>
        <v>#REF!</v>
      </c>
      <c r="I27" s="91" t="e">
        <f t="shared" si="2"/>
        <v>#REF!</v>
      </c>
      <c r="J27" s="91" t="e">
        <f t="shared" si="3"/>
        <v>#REF!</v>
      </c>
      <c r="K27" s="91" t="e">
        <f t="shared" si="4"/>
        <v>#REF!</v>
      </c>
      <c r="L27" s="91" t="e">
        <f t="shared" si="5"/>
        <v>#REF!</v>
      </c>
      <c r="M27" s="2" t="str">
        <f>IF(OR(WEEKDAY(A27)=1,WEEKDAY(A27)=7,NOT(ISERROR(MATCH(A27,[1]Праздники!A:A,0)))),"Выходной","Рабочий")</f>
        <v>Рабочий</v>
      </c>
    </row>
    <row r="28" spans="1:13">
      <c r="A28" s="221">
        <v>45800</v>
      </c>
      <c r="B28" s="222"/>
      <c r="C28" s="89" t="e">
        <f>'[1]РВ Баумана'!G28+#REF!+'[1]РВ ГАЗ'!G28+#REF!+'[1]РВ Новикова-Прибоя'!G28+#REF!</f>
        <v>#REF!</v>
      </c>
      <c r="D28" s="90" t="e">
        <f t="shared" si="0"/>
        <v>#REF!</v>
      </c>
      <c r="E28" s="90" t="e">
        <f>'[1]РВ Баумана'!C28+#REF!+'[1]РВ ГАЗ'!C28+#REF!+'[1]РВ Новикова-Прибоя'!C28+#REF!</f>
        <v>#REF!</v>
      </c>
      <c r="F28" s="90" t="e">
        <f>'[1]РВ Баумана'!D28+#REF!+'[1]РВ ГАЗ'!D28+#REF!+'[1]РВ Новикова-Прибоя'!D28+#REF!</f>
        <v>#REF!</v>
      </c>
      <c r="G28" s="90" t="e">
        <f t="shared" si="1"/>
        <v>#REF!</v>
      </c>
      <c r="H28" s="91" t="e">
        <f t="shared" si="2"/>
        <v>#REF!</v>
      </c>
      <c r="I28" s="91" t="e">
        <f t="shared" si="2"/>
        <v>#REF!</v>
      </c>
      <c r="J28" s="91" t="e">
        <f t="shared" si="3"/>
        <v>#REF!</v>
      </c>
      <c r="K28" s="91" t="e">
        <f t="shared" si="4"/>
        <v>#REF!</v>
      </c>
      <c r="L28" s="91" t="e">
        <f t="shared" si="5"/>
        <v>#REF!</v>
      </c>
      <c r="M28" s="2" t="str">
        <f>IF(OR(WEEKDAY(A28)=1,WEEKDAY(A28)=7,NOT(ISERROR(MATCH(A28,[1]Праздники!A:A,0)))),"Выходной","Рабочий")</f>
        <v>Рабочий</v>
      </c>
    </row>
    <row r="29" spans="1:13">
      <c r="A29" s="221">
        <v>45801</v>
      </c>
      <c r="B29" s="222"/>
      <c r="C29" s="89" t="e">
        <f>'[1]РВ Баумана'!G29+#REF!+'[1]РВ ГАЗ'!G29+#REF!+'[1]РВ Новикова-Прибоя'!G29+#REF!</f>
        <v>#REF!</v>
      </c>
      <c r="D29" s="90" t="e">
        <f t="shared" si="0"/>
        <v>#REF!</v>
      </c>
      <c r="E29" s="90" t="e">
        <f>'[1]РВ Баумана'!C29+#REF!+'[1]РВ ГАЗ'!C29+#REF!+'[1]РВ Новикова-Прибоя'!C29+#REF!</f>
        <v>#REF!</v>
      </c>
      <c r="F29" s="90" t="e">
        <f>'[1]РВ Баумана'!D29+#REF!+'[1]РВ ГАЗ'!D29+#REF!+'[1]РВ Новикова-Прибоя'!D29+#REF!</f>
        <v>#REF!</v>
      </c>
      <c r="G29" s="90" t="e">
        <f t="shared" si="1"/>
        <v>#REF!</v>
      </c>
      <c r="H29" s="91" t="e">
        <f t="shared" si="2"/>
        <v>#REF!</v>
      </c>
      <c r="I29" s="91" t="e">
        <f t="shared" si="2"/>
        <v>#REF!</v>
      </c>
      <c r="J29" s="91" t="e">
        <f t="shared" si="3"/>
        <v>#REF!</v>
      </c>
      <c r="K29" s="91" t="e">
        <f t="shared" si="4"/>
        <v>#REF!</v>
      </c>
      <c r="L29" s="91" t="e">
        <f t="shared" si="5"/>
        <v>#REF!</v>
      </c>
      <c r="M29" s="2" t="str">
        <f>IF(OR(WEEKDAY(A29)=1,WEEKDAY(A29)=7,NOT(ISERROR(MATCH(A29,[1]Праздники!A:A,0)))),"Выходной","Рабочий")</f>
        <v>Выходной</v>
      </c>
    </row>
    <row r="30" spans="1:13">
      <c r="A30" s="221">
        <v>45802</v>
      </c>
      <c r="B30" s="222"/>
      <c r="C30" s="89" t="e">
        <f>'[1]РВ Баумана'!G30+#REF!+'[1]РВ ГАЗ'!G30+#REF!+'[1]РВ Новикова-Прибоя'!G30+#REF!</f>
        <v>#REF!</v>
      </c>
      <c r="D30" s="90" t="e">
        <f t="shared" si="0"/>
        <v>#REF!</v>
      </c>
      <c r="E30" s="90" t="e">
        <f>'[1]РВ Баумана'!C30+#REF!+'[1]РВ ГАЗ'!C30+#REF!+'[1]РВ Новикова-Прибоя'!C30+#REF!</f>
        <v>#REF!</v>
      </c>
      <c r="F30" s="90" t="e">
        <f>'[1]РВ Баумана'!D30+#REF!+'[1]РВ ГАЗ'!D30+#REF!+'[1]РВ Новикова-Прибоя'!D30+#REF!</f>
        <v>#REF!</v>
      </c>
      <c r="G30" s="90" t="e">
        <f t="shared" si="1"/>
        <v>#REF!</v>
      </c>
      <c r="H30" s="91" t="e">
        <f t="shared" si="2"/>
        <v>#REF!</v>
      </c>
      <c r="I30" s="91" t="e">
        <f t="shared" si="2"/>
        <v>#REF!</v>
      </c>
      <c r="J30" s="91" t="e">
        <f t="shared" si="3"/>
        <v>#REF!</v>
      </c>
      <c r="K30" s="91" t="e">
        <f t="shared" si="4"/>
        <v>#REF!</v>
      </c>
      <c r="L30" s="91" t="e">
        <f t="shared" si="5"/>
        <v>#REF!</v>
      </c>
      <c r="M30" s="2" t="str">
        <f>IF(OR(WEEKDAY(A30)=1,WEEKDAY(A30)=7,NOT(ISERROR(MATCH(A30,[1]Праздники!A:A,0)))),"Выходной","Рабочий")</f>
        <v>Выходной</v>
      </c>
    </row>
    <row r="31" spans="1:13">
      <c r="A31" s="221">
        <v>45803</v>
      </c>
      <c r="B31" s="222"/>
      <c r="C31" s="89" t="e">
        <f>'[1]РВ Баумана'!G31+#REF!+'[1]РВ ГАЗ'!G31+#REF!+'[1]РВ Новикова-Прибоя'!G31+#REF!</f>
        <v>#REF!</v>
      </c>
      <c r="D31" s="90" t="e">
        <f t="shared" si="0"/>
        <v>#REF!</v>
      </c>
      <c r="E31" s="90" t="e">
        <f>'[1]РВ Баумана'!C31+#REF!+'[1]РВ ГАЗ'!C31+#REF!+'[1]РВ Новикова-Прибоя'!C31+#REF!</f>
        <v>#REF!</v>
      </c>
      <c r="F31" s="90" t="e">
        <f>'[1]РВ Баумана'!D31+#REF!+'[1]РВ ГАЗ'!D31+#REF!+'[1]РВ Новикова-Прибоя'!D31+#REF!</f>
        <v>#REF!</v>
      </c>
      <c r="G31" s="90" t="e">
        <f t="shared" si="1"/>
        <v>#REF!</v>
      </c>
      <c r="H31" s="91" t="e">
        <f t="shared" si="2"/>
        <v>#REF!</v>
      </c>
      <c r="I31" s="91" t="e">
        <f t="shared" si="2"/>
        <v>#REF!</v>
      </c>
      <c r="J31" s="91" t="e">
        <f t="shared" si="3"/>
        <v>#REF!</v>
      </c>
      <c r="K31" s="91" t="e">
        <f t="shared" si="4"/>
        <v>#REF!</v>
      </c>
      <c r="L31" s="91" t="e">
        <f t="shared" si="5"/>
        <v>#REF!</v>
      </c>
      <c r="M31" s="2" t="str">
        <f>IF(OR(WEEKDAY(A31)=1,WEEKDAY(A31)=7,NOT(ISERROR(MATCH(A31,[1]Праздники!A:A,0)))),"Выходной","Рабочий")</f>
        <v>Рабочий</v>
      </c>
    </row>
    <row r="32" spans="1:13">
      <c r="A32" s="221">
        <v>45804</v>
      </c>
      <c r="B32" s="222"/>
      <c r="C32" s="89" t="e">
        <f>'[1]РВ Баумана'!G32+#REF!+'[1]РВ ГАЗ'!G32+#REF!+'[1]РВ Новикова-Прибоя'!G32+#REF!</f>
        <v>#REF!</v>
      </c>
      <c r="D32" s="90" t="e">
        <f t="shared" si="0"/>
        <v>#REF!</v>
      </c>
      <c r="E32" s="90" t="e">
        <f>'[1]РВ Баумана'!C32+#REF!+'[1]РВ ГАЗ'!C32+#REF!+'[1]РВ Новикова-Прибоя'!C32+#REF!</f>
        <v>#REF!</v>
      </c>
      <c r="F32" s="90" t="e">
        <f>'[1]РВ Баумана'!D32+#REF!+'[1]РВ ГАЗ'!D32+#REF!+'[1]РВ Новикова-Прибоя'!D32+#REF!</f>
        <v>#REF!</v>
      </c>
      <c r="G32" s="90" t="e">
        <f t="shared" si="1"/>
        <v>#REF!</v>
      </c>
      <c r="H32" s="91" t="e">
        <f t="shared" si="2"/>
        <v>#REF!</v>
      </c>
      <c r="I32" s="91" t="e">
        <f t="shared" si="2"/>
        <v>#REF!</v>
      </c>
      <c r="J32" s="91" t="e">
        <f t="shared" si="3"/>
        <v>#REF!</v>
      </c>
      <c r="K32" s="91" t="e">
        <f t="shared" si="4"/>
        <v>#REF!</v>
      </c>
      <c r="L32" s="91" t="e">
        <f t="shared" si="5"/>
        <v>#REF!</v>
      </c>
      <c r="M32" s="2" t="str">
        <f>IF(OR(WEEKDAY(A32)=1,WEEKDAY(A32)=7,NOT(ISERROR(MATCH(A32,[1]Праздники!A:A,0)))),"Выходной","Рабочий")</f>
        <v>Рабочий</v>
      </c>
    </row>
    <row r="33" spans="1:14">
      <c r="A33" s="221">
        <v>45805</v>
      </c>
      <c r="B33" s="222"/>
      <c r="C33" s="89" t="e">
        <f>'[1]РВ Баумана'!G33+#REF!+'[1]РВ ГАЗ'!G33+#REF!+'[1]РВ Новикова-Прибоя'!G33+#REF!</f>
        <v>#REF!</v>
      </c>
      <c r="D33" s="90" t="e">
        <f t="shared" si="0"/>
        <v>#REF!</v>
      </c>
      <c r="E33" s="90" t="e">
        <f>'[1]РВ Баумана'!C33+#REF!+'[1]РВ ГАЗ'!C33+#REF!+'[1]РВ Новикова-Прибоя'!C33+#REF!</f>
        <v>#REF!</v>
      </c>
      <c r="F33" s="90" t="e">
        <f>'[1]РВ Баумана'!D33+#REF!+'[1]РВ ГАЗ'!D33+#REF!+'[1]РВ Новикова-Прибоя'!D33+#REF!</f>
        <v>#REF!</v>
      </c>
      <c r="G33" s="90" t="e">
        <f t="shared" si="1"/>
        <v>#REF!</v>
      </c>
      <c r="H33" s="91" t="e">
        <f t="shared" si="2"/>
        <v>#REF!</v>
      </c>
      <c r="I33" s="91" t="e">
        <f t="shared" si="2"/>
        <v>#REF!</v>
      </c>
      <c r="J33" s="91" t="e">
        <f t="shared" si="3"/>
        <v>#REF!</v>
      </c>
      <c r="K33" s="91" t="e">
        <f t="shared" si="4"/>
        <v>#REF!</v>
      </c>
      <c r="L33" s="91" t="e">
        <f t="shared" si="5"/>
        <v>#REF!</v>
      </c>
      <c r="M33" s="2" t="str">
        <f>IF(OR(WEEKDAY(A33)=1,WEEKDAY(A33)=7,NOT(ISERROR(MATCH(A33,[1]Праздники!A:A,0)))),"Выходной","Рабочий")</f>
        <v>Рабочий</v>
      </c>
    </row>
    <row r="34" spans="1:14">
      <c r="A34" s="221">
        <v>45806</v>
      </c>
      <c r="B34" s="222"/>
      <c r="C34" s="89" t="e">
        <f>'[1]РВ Баумана'!G34+#REF!+'[1]РВ ГАЗ'!G34+#REF!+'[1]РВ Новикова-Прибоя'!G34+#REF!</f>
        <v>#REF!</v>
      </c>
      <c r="D34" s="90" t="e">
        <f t="shared" si="0"/>
        <v>#REF!</v>
      </c>
      <c r="E34" s="90" t="e">
        <f>'[1]РВ Баумана'!C34+#REF!+'[1]РВ ГАЗ'!C34+#REF!+'[1]РВ Новикова-Прибоя'!C34+#REF!</f>
        <v>#REF!</v>
      </c>
      <c r="F34" s="90" t="e">
        <f>'[1]РВ Баумана'!D34+#REF!+'[1]РВ ГАЗ'!D34+#REF!+'[1]РВ Новикова-Прибоя'!D34+#REF!</f>
        <v>#REF!</v>
      </c>
      <c r="G34" s="90" t="e">
        <f t="shared" si="1"/>
        <v>#REF!</v>
      </c>
      <c r="H34" s="91" t="e">
        <f t="shared" si="2"/>
        <v>#REF!</v>
      </c>
      <c r="I34" s="91" t="e">
        <f t="shared" si="2"/>
        <v>#REF!</v>
      </c>
      <c r="J34" s="91" t="e">
        <f t="shared" si="3"/>
        <v>#REF!</v>
      </c>
      <c r="K34" s="91" t="e">
        <f t="shared" si="4"/>
        <v>#REF!</v>
      </c>
      <c r="L34" s="91" t="e">
        <f t="shared" si="5"/>
        <v>#REF!</v>
      </c>
      <c r="M34" s="2" t="str">
        <f>IF(OR(WEEKDAY(A34)=1,WEEKDAY(A34)=7,NOT(ISERROR(MATCH(A34,[1]Праздники!A:A,0)))),"Выходной","Рабочий")</f>
        <v>Рабочий</v>
      </c>
    </row>
    <row r="35" spans="1:14">
      <c r="A35" s="221">
        <v>45807</v>
      </c>
      <c r="B35" s="222"/>
      <c r="C35" s="89" t="e">
        <f>'[1]РВ Баумана'!G35+#REF!+'[1]РВ ГАЗ'!G35+#REF!+'[1]РВ Новикова-Прибоя'!G35+#REF!</f>
        <v>#REF!</v>
      </c>
      <c r="D35" s="90" t="e">
        <f t="shared" si="0"/>
        <v>#REF!</v>
      </c>
      <c r="E35" s="90" t="e">
        <f>'[1]РВ Баумана'!C35+#REF!+'[1]РВ ГАЗ'!C35+#REF!+'[1]РВ Новикова-Прибоя'!C35+#REF!</f>
        <v>#REF!</v>
      </c>
      <c r="F35" s="90" t="e">
        <f>'[1]РВ Баумана'!D35+#REF!+'[1]РВ ГАЗ'!D35+#REF!+'[1]РВ Новикова-Прибоя'!D35+#REF!</f>
        <v>#REF!</v>
      </c>
      <c r="G35" s="90" t="e">
        <f t="shared" si="1"/>
        <v>#REF!</v>
      </c>
      <c r="H35" s="91" t="e">
        <f t="shared" si="2"/>
        <v>#REF!</v>
      </c>
      <c r="I35" s="91" t="e">
        <f t="shared" si="2"/>
        <v>#REF!</v>
      </c>
      <c r="J35" s="91" t="e">
        <f t="shared" si="3"/>
        <v>#REF!</v>
      </c>
      <c r="K35" s="91" t="e">
        <f t="shared" si="4"/>
        <v>#REF!</v>
      </c>
      <c r="L35" s="91" t="e">
        <f t="shared" si="5"/>
        <v>#REF!</v>
      </c>
      <c r="M35" s="2" t="str">
        <f>IF(OR(WEEKDAY(A35)=1,WEEKDAY(A35)=7,NOT(ISERROR(MATCH(A35,[1]Праздники!A:A,0)))),"Выходной","Рабочий")</f>
        <v>Рабочий</v>
      </c>
    </row>
    <row r="36" spans="1:14" ht="15.75" thickBot="1">
      <c r="A36" s="221">
        <v>45808</v>
      </c>
      <c r="B36" s="222"/>
      <c r="C36" s="89" t="e">
        <f>'[1]РВ Баумана'!G36+#REF!+'[1]РВ ГАЗ'!G36+#REF!+'[1]РВ Новикова-Прибоя'!G36+#REF!</f>
        <v>#REF!</v>
      </c>
      <c r="D36" s="90" t="e">
        <f t="shared" si="0"/>
        <v>#REF!</v>
      </c>
      <c r="E36" s="90" t="e">
        <f>'[1]РВ Баумана'!C36+#REF!+'[1]РВ ГАЗ'!C36+#REF!+'[1]РВ Новикова-Прибоя'!C36+#REF!</f>
        <v>#REF!</v>
      </c>
      <c r="F36" s="90" t="e">
        <f>'[1]РВ Баумана'!D36+#REF!+'[1]РВ ГАЗ'!D36+#REF!+'[1]РВ Новикова-Прибоя'!D36+#REF!</f>
        <v>#REF!</v>
      </c>
      <c r="G36" s="90" t="e">
        <f t="shared" si="1"/>
        <v>#REF!</v>
      </c>
      <c r="H36" s="91" t="e">
        <f t="shared" si="2"/>
        <v>#REF!</v>
      </c>
      <c r="I36" s="91" t="e">
        <f t="shared" si="2"/>
        <v>#REF!</v>
      </c>
      <c r="J36" s="91" t="e">
        <f t="shared" si="3"/>
        <v>#REF!</v>
      </c>
      <c r="K36" s="91" t="e">
        <f t="shared" si="4"/>
        <v>#REF!</v>
      </c>
      <c r="L36" s="91" t="e">
        <f t="shared" si="5"/>
        <v>#REF!</v>
      </c>
      <c r="M36" s="2" t="str">
        <f>IF(OR(WEEKDAY(A36)=1,WEEKDAY(A36)=7,NOT(ISERROR(MATCH(A36,[1]Праздники!A:A,0)))),"Выходной","Рабочий")</f>
        <v>Выходной</v>
      </c>
    </row>
    <row r="37" spans="1:14" ht="15.75" thickBot="1">
      <c r="C37" s="92" t="e">
        <f t="shared" ref="C37:L37" si="6">SUM(C6:C36)</f>
        <v>#REF!</v>
      </c>
      <c r="D37" s="92" t="e">
        <f t="shared" si="6"/>
        <v>#REF!</v>
      </c>
      <c r="E37" s="92" t="e">
        <f t="shared" si="6"/>
        <v>#REF!</v>
      </c>
      <c r="F37" s="92" t="e">
        <f t="shared" si="6"/>
        <v>#REF!</v>
      </c>
      <c r="G37" s="92" t="e">
        <f t="shared" si="6"/>
        <v>#REF!</v>
      </c>
      <c r="H37" s="93" t="e">
        <f t="shared" si="6"/>
        <v>#REF!</v>
      </c>
      <c r="I37" s="93" t="e">
        <f t="shared" si="6"/>
        <v>#REF!</v>
      </c>
      <c r="J37" s="93" t="e">
        <f t="shared" si="6"/>
        <v>#REF!</v>
      </c>
      <c r="K37" s="93" t="e">
        <f t="shared" si="6"/>
        <v>#REF!</v>
      </c>
      <c r="L37" s="94" t="e">
        <f t="shared" si="6"/>
        <v>#REF!</v>
      </c>
    </row>
    <row r="38" spans="1:14" ht="15.75" thickBot="1">
      <c r="C38" s="88"/>
      <c r="H38" s="88"/>
      <c r="I38" s="88"/>
      <c r="J38" s="88"/>
      <c r="K38" s="88"/>
      <c r="L38" s="95" t="e">
        <f>L37*1.2</f>
        <v>#REF!</v>
      </c>
      <c r="N38" s="96"/>
    </row>
    <row r="39" spans="1:14">
      <c r="C39" s="88"/>
      <c r="H39" s="88"/>
      <c r="I39" s="88"/>
      <c r="J39" s="88"/>
      <c r="K39" s="88"/>
    </row>
    <row r="40" spans="1:14">
      <c r="C40" s="88"/>
      <c r="H40" s="88"/>
      <c r="I40" s="88"/>
      <c r="J40" s="88"/>
      <c r="K40" s="88"/>
    </row>
  </sheetData>
  <mergeCells count="42">
    <mergeCell ref="L4:L5"/>
    <mergeCell ref="A6:B6"/>
    <mergeCell ref="A4:B5"/>
    <mergeCell ref="C4:C5"/>
    <mergeCell ref="D4:D5"/>
    <mergeCell ref="E4:E5"/>
    <mergeCell ref="F4:F5"/>
    <mergeCell ref="G4:G5"/>
    <mergeCell ref="A12:B12"/>
    <mergeCell ref="H4:H5"/>
    <mergeCell ref="I4:I5"/>
    <mergeCell ref="J4:J5"/>
    <mergeCell ref="K4:K5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РВ Баумана</vt:lpstr>
      <vt:lpstr>РВ ГАЗ</vt:lpstr>
      <vt:lpstr>РВ Новикова-Прибоя</vt:lpstr>
      <vt:lpstr>Нижнекамск экспорт</vt:lpstr>
      <vt:lpstr>Баумана экспорт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Доктор Франк</vt:lpstr>
      <vt:lpstr>Ергарда</vt:lpstr>
      <vt:lpstr>Зеленодольск Доп услуги</vt:lpstr>
      <vt:lpstr>Казань_Приволжская экспорт</vt:lpstr>
      <vt:lpstr>Казань_Автосервисная экспорт</vt:lpstr>
      <vt:lpstr>Казань_Автосервисная Доп услуги</vt:lpstr>
      <vt:lpstr>Казань_Приволжская Доп услуги</vt:lpstr>
      <vt:lpstr>Новикова-Прибоя Доп услуги</vt:lpstr>
      <vt:lpstr>Екатеринбург экспорт</vt:lpstr>
      <vt:lpstr>Нижнекамск Доп услуги</vt:lpstr>
      <vt:lpstr>Баумана KPI</vt:lpstr>
      <vt:lpstr>Баумана Полимеры</vt:lpstr>
      <vt:lpstr>Баумана Полиом</vt:lpstr>
      <vt:lpstr>Баумана Каучук</vt:lpstr>
      <vt:lpstr>Екатеринбург KPI</vt:lpstr>
      <vt:lpstr>Екатеринбург Полимеры</vt:lpstr>
      <vt:lpstr>Екатеринбург Полиом</vt:lpstr>
      <vt:lpstr>Зеленодольск Полимеры</vt:lpstr>
      <vt:lpstr>Данафлекс Зеленодольск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Каучук</vt:lpstr>
      <vt:lpstr>Нижнекамск НПЭГ</vt:lpstr>
      <vt:lpstr>Нижнекамск ПСОН</vt:lpstr>
      <vt:lpstr>Нижнекамск СБС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  <vt:lpstr>АВР Ленина</vt:lpstr>
      <vt:lpstr>АВР Новикова</vt:lpstr>
      <vt:lpstr>АВР Баумана</vt:lpstr>
      <vt:lpstr>Окская Мешки</vt:lpstr>
      <vt:lpstr>Общее и 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2025-12-26T13:37:12Z</dcterms:created>
  <dcterms:modified xsi:type="dcterms:W3CDTF">2025-12-26T13:49:37Z</dcterms:modified>
</cp:coreProperties>
</file>
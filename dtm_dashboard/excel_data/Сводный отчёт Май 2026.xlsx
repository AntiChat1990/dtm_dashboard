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ebstormProjects\dtm\dtm_dashboard\excel_data\"/>
    </mc:Choice>
  </mc:AlternateContent>
  <xr:revisionPtr revIDLastSave="0" documentId="8_{2C092172-4FFC-485E-ACD3-EC5481218545}" xr6:coauthVersionLast="47" xr6:coauthVersionMax="47" xr10:uidLastSave="{00000000-0000-0000-0000-000000000000}"/>
  <bookViews>
    <workbookView xWindow="-120" yWindow="-120" windowWidth="29040" windowHeight="15840" firstSheet="2" activeTab="2" xr2:uid="{C17CD275-1CDE-4089-92C8-4CC84D48AF0C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Сводка" sheetId="6" r:id="rId6"/>
    <sheet name="Литейные решения" sheetId="7" r:id="rId7"/>
    <sheet name="ЛС-Техномет" sheetId="8" r:id="rId8"/>
    <sheet name="Сандекс" sheetId="9" r:id="rId9"/>
    <sheet name="СтройТех" sheetId="10" r:id="rId10"/>
    <sheet name="Ергарда" sheetId="11" r:id="rId11"/>
    <sheet name="Казань_Приволжская экспорт" sheetId="12" r:id="rId12"/>
    <sheet name="Казань_Автосервисная экспорт" sheetId="13" r:id="rId13"/>
    <sheet name="Екатеринбург экспорт" sheetId="14" r:id="rId14"/>
    <sheet name="Баумана KPI" sheetId="15" r:id="rId15"/>
    <sheet name="Баумана Полимеры" sheetId="16" r:id="rId16"/>
    <sheet name="Баумана Полиом" sheetId="17" r:id="rId17"/>
    <sheet name="Екатеринбург KPI" sheetId="18" r:id="rId18"/>
    <sheet name="Екатеринбург НПЭГ" sheetId="19" r:id="rId19"/>
    <sheet name="Екатеринбург Полимеры" sheetId="20" r:id="rId20"/>
    <sheet name="Екатеринбург Полиом" sheetId="21" r:id="rId21"/>
    <sheet name="Зеленодольск Данафлекс" sheetId="22" r:id="rId22"/>
    <sheet name="Зеленодольск Полимеры" sheetId="23" r:id="rId23"/>
    <sheet name="Казань_Автосервисная Полимеры" sheetId="24" r:id="rId24"/>
    <sheet name="Казань_Автосервисная Полиом" sheetId="25" r:id="rId25"/>
    <sheet name="Казань_Приволжская Полимеры" sheetId="26" r:id="rId26"/>
    <sheet name="Новикова-Прибоя KPI" sheetId="27" r:id="rId27"/>
    <sheet name="Новикова-Прибоя Полимеры" sheetId="28" r:id="rId28"/>
    <sheet name="Новикова-Прибоя Полиом" sheetId="29" r:id="rId29"/>
    <sheet name="Новосибирск KPI" sheetId="30" r:id="rId30"/>
    <sheet name="Новосибирск Полимеры" sheetId="31" r:id="rId31"/>
    <sheet name="Новосибирск Полиом" sheetId="32" r:id="rId32"/>
    <sheet name="Новосибирск Порошок" sheetId="33" r:id="rId33"/>
    <sheet name="Новосибирск_Пасечная Порошок" sheetId="34" r:id="rId34"/>
    <sheet name="Праздники" sheetId="35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4" l="1"/>
  <c r="F11" i="14"/>
  <c r="G11" i="14" s="1"/>
  <c r="F10" i="14"/>
  <c r="G10" i="14" s="1"/>
  <c r="G12" i="14" s="1"/>
  <c r="A7" i="14"/>
  <c r="A4" i="14"/>
  <c r="A3" i="14"/>
  <c r="F12" i="14" l="1"/>
  <c r="B14" i="13" l="1"/>
  <c r="F11" i="13"/>
  <c r="G11" i="13" s="1"/>
  <c r="F10" i="13"/>
  <c r="G10" i="13" s="1"/>
  <c r="G12" i="13" s="1"/>
  <c r="A7" i="13"/>
  <c r="A4" i="13"/>
  <c r="A3" i="13"/>
  <c r="F12" i="13" l="1"/>
  <c r="B14" i="12"/>
  <c r="F11" i="12"/>
  <c r="G11" i="12" s="1"/>
  <c r="F10" i="12"/>
  <c r="F12" i="12" s="1"/>
  <c r="A7" i="12"/>
  <c r="A4" i="12"/>
  <c r="A3" i="12"/>
  <c r="G10" i="12" l="1"/>
  <c r="G12" i="12" s="1"/>
  <c r="I34" i="11" l="1"/>
  <c r="H34" i="11"/>
  <c r="G34" i="11"/>
  <c r="J34" i="11" s="1"/>
  <c r="I33" i="11"/>
  <c r="H33" i="11"/>
  <c r="G33" i="11"/>
  <c r="J33" i="11" s="1"/>
  <c r="I32" i="11"/>
  <c r="H32" i="11"/>
  <c r="G32" i="11"/>
  <c r="J32" i="11" s="1"/>
  <c r="I31" i="11"/>
  <c r="H31" i="11"/>
  <c r="G31" i="11"/>
  <c r="J31" i="11" s="1"/>
  <c r="I30" i="11"/>
  <c r="H30" i="11"/>
  <c r="G30" i="11"/>
  <c r="J30" i="11" s="1"/>
  <c r="I29" i="11"/>
  <c r="H29" i="11"/>
  <c r="G29" i="11"/>
  <c r="J29" i="11" s="1"/>
  <c r="I28" i="11"/>
  <c r="H28" i="11"/>
  <c r="G28" i="11"/>
  <c r="J28" i="11" s="1"/>
  <c r="I27" i="11"/>
  <c r="H27" i="11"/>
  <c r="G27" i="11"/>
  <c r="J27" i="11" s="1"/>
  <c r="I26" i="11"/>
  <c r="H26" i="11"/>
  <c r="G26" i="11"/>
  <c r="J26" i="11" s="1"/>
  <c r="I25" i="11"/>
  <c r="H25" i="11"/>
  <c r="G25" i="11"/>
  <c r="J25" i="11" s="1"/>
  <c r="I24" i="11"/>
  <c r="H24" i="11"/>
  <c r="G24" i="11"/>
  <c r="J24" i="11" s="1"/>
  <c r="I23" i="11"/>
  <c r="H23" i="11"/>
  <c r="G23" i="11"/>
  <c r="J23" i="11" s="1"/>
  <c r="I22" i="11"/>
  <c r="H22" i="11"/>
  <c r="G22" i="11"/>
  <c r="J22" i="11" s="1"/>
  <c r="I21" i="11"/>
  <c r="H21" i="11"/>
  <c r="G21" i="11"/>
  <c r="J21" i="11" s="1"/>
  <c r="I20" i="11"/>
  <c r="H20" i="11"/>
  <c r="G20" i="11"/>
  <c r="J20" i="11" s="1"/>
  <c r="I19" i="11"/>
  <c r="H19" i="11"/>
  <c r="G19" i="11"/>
  <c r="J19" i="11" s="1"/>
  <c r="I18" i="11"/>
  <c r="H18" i="11"/>
  <c r="G18" i="11"/>
  <c r="J18" i="11" s="1"/>
  <c r="I17" i="11"/>
  <c r="H17" i="11"/>
  <c r="G17" i="11"/>
  <c r="J17" i="11" s="1"/>
  <c r="I16" i="11"/>
  <c r="H16" i="11"/>
  <c r="G16" i="11"/>
  <c r="J16" i="11" s="1"/>
  <c r="I15" i="11"/>
  <c r="H15" i="11"/>
  <c r="G15" i="11"/>
  <c r="J15" i="11" s="1"/>
  <c r="I14" i="11"/>
  <c r="H14" i="11"/>
  <c r="G14" i="11"/>
  <c r="J14" i="11" s="1"/>
  <c r="I13" i="11"/>
  <c r="H13" i="11"/>
  <c r="G13" i="11"/>
  <c r="J13" i="11" s="1"/>
  <c r="I12" i="11"/>
  <c r="H12" i="11"/>
  <c r="G12" i="11"/>
  <c r="J12" i="11" s="1"/>
  <c r="I11" i="11"/>
  <c r="H11" i="11"/>
  <c r="G11" i="11"/>
  <c r="J11" i="11" s="1"/>
  <c r="I10" i="11"/>
  <c r="H10" i="11"/>
  <c r="G10" i="11"/>
  <c r="J10" i="11" s="1"/>
  <c r="I9" i="11"/>
  <c r="H9" i="11"/>
  <c r="G9" i="11"/>
  <c r="J9" i="11" s="1"/>
  <c r="I8" i="11"/>
  <c r="H8" i="11"/>
  <c r="G8" i="11"/>
  <c r="J8" i="11" s="1"/>
  <c r="I7" i="11"/>
  <c r="H7" i="11"/>
  <c r="G7" i="11"/>
  <c r="J7" i="11" s="1"/>
  <c r="I6" i="11"/>
  <c r="H6" i="11"/>
  <c r="G6" i="11"/>
  <c r="J6" i="11" s="1"/>
  <c r="I5" i="11"/>
  <c r="H5" i="11"/>
  <c r="G5" i="11"/>
  <c r="J5" i="11" s="1"/>
  <c r="I4" i="11"/>
  <c r="I35" i="11" s="1"/>
  <c r="H4" i="11"/>
  <c r="H35" i="11" s="1"/>
  <c r="G4" i="11"/>
  <c r="G35" i="11" s="1"/>
  <c r="G36" i="10"/>
  <c r="J35" i="10"/>
  <c r="I35" i="10"/>
  <c r="H35" i="10"/>
  <c r="K35" i="10" s="1"/>
  <c r="J34" i="10"/>
  <c r="I34" i="10"/>
  <c r="H34" i="10"/>
  <c r="K34" i="10" s="1"/>
  <c r="J33" i="10"/>
  <c r="I33" i="10"/>
  <c r="K33" i="10" s="1"/>
  <c r="H33" i="10"/>
  <c r="J32" i="10"/>
  <c r="I32" i="10"/>
  <c r="H32" i="10"/>
  <c r="K32" i="10" s="1"/>
  <c r="J31" i="10"/>
  <c r="I31" i="10"/>
  <c r="H31" i="10"/>
  <c r="K31" i="10" s="1"/>
  <c r="K30" i="10"/>
  <c r="J30" i="10"/>
  <c r="I30" i="10"/>
  <c r="H30" i="10"/>
  <c r="J29" i="10"/>
  <c r="I29" i="10"/>
  <c r="K29" i="10" s="1"/>
  <c r="H29" i="10"/>
  <c r="J28" i="10"/>
  <c r="I28" i="10"/>
  <c r="H28" i="10"/>
  <c r="K28" i="10" s="1"/>
  <c r="J27" i="10"/>
  <c r="I27" i="10"/>
  <c r="H27" i="10"/>
  <c r="K27" i="10" s="1"/>
  <c r="K26" i="10"/>
  <c r="J26" i="10"/>
  <c r="I26" i="10"/>
  <c r="H26" i="10"/>
  <c r="J25" i="10"/>
  <c r="I25" i="10"/>
  <c r="K25" i="10" s="1"/>
  <c r="H25" i="10"/>
  <c r="J24" i="10"/>
  <c r="I24" i="10"/>
  <c r="H24" i="10"/>
  <c r="K24" i="10" s="1"/>
  <c r="J23" i="10"/>
  <c r="I23" i="10"/>
  <c r="H23" i="10"/>
  <c r="K23" i="10" s="1"/>
  <c r="K22" i="10"/>
  <c r="J22" i="10"/>
  <c r="I22" i="10"/>
  <c r="H22" i="10"/>
  <c r="J21" i="10"/>
  <c r="I21" i="10"/>
  <c r="K21" i="10" s="1"/>
  <c r="H21" i="10"/>
  <c r="J20" i="10"/>
  <c r="I20" i="10"/>
  <c r="H20" i="10"/>
  <c r="K20" i="10" s="1"/>
  <c r="J19" i="10"/>
  <c r="I19" i="10"/>
  <c r="H19" i="10"/>
  <c r="K19" i="10" s="1"/>
  <c r="K18" i="10"/>
  <c r="J18" i="10"/>
  <c r="I18" i="10"/>
  <c r="H18" i="10"/>
  <c r="J17" i="10"/>
  <c r="I17" i="10"/>
  <c r="K17" i="10" s="1"/>
  <c r="H17" i="10"/>
  <c r="J16" i="10"/>
  <c r="I16" i="10"/>
  <c r="H16" i="10"/>
  <c r="K16" i="10" s="1"/>
  <c r="J15" i="10"/>
  <c r="I15" i="10"/>
  <c r="H15" i="10"/>
  <c r="K15" i="10" s="1"/>
  <c r="K14" i="10"/>
  <c r="J14" i="10"/>
  <c r="I14" i="10"/>
  <c r="H14" i="10"/>
  <c r="J13" i="10"/>
  <c r="I13" i="10"/>
  <c r="K13" i="10" s="1"/>
  <c r="H13" i="10"/>
  <c r="J12" i="10"/>
  <c r="I12" i="10"/>
  <c r="H12" i="10"/>
  <c r="K12" i="10" s="1"/>
  <c r="J11" i="10"/>
  <c r="I11" i="10"/>
  <c r="H11" i="10"/>
  <c r="K11" i="10" s="1"/>
  <c r="J10" i="10"/>
  <c r="I10" i="10"/>
  <c r="K10" i="10" s="1"/>
  <c r="H10" i="10"/>
  <c r="J9" i="10"/>
  <c r="I9" i="10"/>
  <c r="K9" i="10" s="1"/>
  <c r="H9" i="10"/>
  <c r="J8" i="10"/>
  <c r="I8" i="10"/>
  <c r="H8" i="10"/>
  <c r="K8" i="10" s="1"/>
  <c r="J7" i="10"/>
  <c r="I7" i="10"/>
  <c r="H7" i="10"/>
  <c r="K7" i="10" s="1"/>
  <c r="K6" i="10"/>
  <c r="J6" i="10"/>
  <c r="I6" i="10"/>
  <c r="H6" i="10"/>
  <c r="J5" i="10"/>
  <c r="J36" i="10" s="1"/>
  <c r="I5" i="10"/>
  <c r="I36" i="10" s="1"/>
  <c r="H5" i="10"/>
  <c r="H36" i="10" s="1"/>
  <c r="K38" i="9"/>
  <c r="J38" i="9"/>
  <c r="I38" i="9"/>
  <c r="H38" i="9"/>
  <c r="G38" i="9"/>
  <c r="F38" i="9"/>
  <c r="E38" i="9"/>
  <c r="D38" i="9"/>
  <c r="C38" i="9"/>
  <c r="R37" i="9"/>
  <c r="Q37" i="9"/>
  <c r="P37" i="9"/>
  <c r="O37" i="9"/>
  <c r="N37" i="9"/>
  <c r="M37" i="9"/>
  <c r="L37" i="9"/>
  <c r="S37" i="9" s="1"/>
  <c r="R36" i="9"/>
  <c r="Q36" i="9"/>
  <c r="P36" i="9"/>
  <c r="O36" i="9"/>
  <c r="N36" i="9"/>
  <c r="S36" i="9" s="1"/>
  <c r="M36" i="9"/>
  <c r="L36" i="9"/>
  <c r="R35" i="9"/>
  <c r="Q35" i="9"/>
  <c r="P35" i="9"/>
  <c r="O35" i="9"/>
  <c r="N35" i="9"/>
  <c r="M35" i="9"/>
  <c r="L35" i="9"/>
  <c r="S35" i="9" s="1"/>
  <c r="R34" i="9"/>
  <c r="Q34" i="9"/>
  <c r="P34" i="9"/>
  <c r="O34" i="9"/>
  <c r="N34" i="9"/>
  <c r="S34" i="9" s="1"/>
  <c r="M34" i="9"/>
  <c r="L34" i="9"/>
  <c r="R33" i="9"/>
  <c r="Q33" i="9"/>
  <c r="P33" i="9"/>
  <c r="O33" i="9"/>
  <c r="N33" i="9"/>
  <c r="M33" i="9"/>
  <c r="L33" i="9"/>
  <c r="S33" i="9" s="1"/>
  <c r="R32" i="9"/>
  <c r="Q32" i="9"/>
  <c r="P32" i="9"/>
  <c r="O32" i="9"/>
  <c r="N32" i="9"/>
  <c r="S32" i="9" s="1"/>
  <c r="M32" i="9"/>
  <c r="L32" i="9"/>
  <c r="R31" i="9"/>
  <c r="Q31" i="9"/>
  <c r="P31" i="9"/>
  <c r="O31" i="9"/>
  <c r="N31" i="9"/>
  <c r="M31" i="9"/>
  <c r="L31" i="9"/>
  <c r="S31" i="9" s="1"/>
  <c r="R30" i="9"/>
  <c r="Q30" i="9"/>
  <c r="P30" i="9"/>
  <c r="O30" i="9"/>
  <c r="N30" i="9"/>
  <c r="S30" i="9" s="1"/>
  <c r="M30" i="9"/>
  <c r="L30" i="9"/>
  <c r="R29" i="9"/>
  <c r="Q29" i="9"/>
  <c r="P29" i="9"/>
  <c r="O29" i="9"/>
  <c r="N29" i="9"/>
  <c r="M29" i="9"/>
  <c r="L29" i="9"/>
  <c r="S29" i="9" s="1"/>
  <c r="R28" i="9"/>
  <c r="Q28" i="9"/>
  <c r="P28" i="9"/>
  <c r="O28" i="9"/>
  <c r="N28" i="9"/>
  <c r="S28" i="9" s="1"/>
  <c r="M28" i="9"/>
  <c r="L28" i="9"/>
  <c r="R27" i="9"/>
  <c r="Q27" i="9"/>
  <c r="P27" i="9"/>
  <c r="O27" i="9"/>
  <c r="N27" i="9"/>
  <c r="M27" i="9"/>
  <c r="L27" i="9"/>
  <c r="S27" i="9" s="1"/>
  <c r="R26" i="9"/>
  <c r="Q26" i="9"/>
  <c r="P26" i="9"/>
  <c r="O26" i="9"/>
  <c r="N26" i="9"/>
  <c r="S26" i="9" s="1"/>
  <c r="M26" i="9"/>
  <c r="L26" i="9"/>
  <c r="R25" i="9"/>
  <c r="Q25" i="9"/>
  <c r="P25" i="9"/>
  <c r="O25" i="9"/>
  <c r="N25" i="9"/>
  <c r="M25" i="9"/>
  <c r="L25" i="9"/>
  <c r="S25" i="9" s="1"/>
  <c r="R24" i="9"/>
  <c r="Q24" i="9"/>
  <c r="P24" i="9"/>
  <c r="O24" i="9"/>
  <c r="N24" i="9"/>
  <c r="S24" i="9" s="1"/>
  <c r="M24" i="9"/>
  <c r="L24" i="9"/>
  <c r="R23" i="9"/>
  <c r="Q23" i="9"/>
  <c r="P23" i="9"/>
  <c r="O23" i="9"/>
  <c r="N23" i="9"/>
  <c r="M23" i="9"/>
  <c r="L23" i="9"/>
  <c r="S23" i="9" s="1"/>
  <c r="R22" i="9"/>
  <c r="Q22" i="9"/>
  <c r="P22" i="9"/>
  <c r="O22" i="9"/>
  <c r="N22" i="9"/>
  <c r="S22" i="9" s="1"/>
  <c r="M22" i="9"/>
  <c r="L22" i="9"/>
  <c r="R21" i="9"/>
  <c r="Q21" i="9"/>
  <c r="P21" i="9"/>
  <c r="O21" i="9"/>
  <c r="N21" i="9"/>
  <c r="M21" i="9"/>
  <c r="L21" i="9"/>
  <c r="S21" i="9" s="1"/>
  <c r="R20" i="9"/>
  <c r="Q20" i="9"/>
  <c r="P20" i="9"/>
  <c r="O20" i="9"/>
  <c r="N20" i="9"/>
  <c r="S20" i="9" s="1"/>
  <c r="M20" i="9"/>
  <c r="L20" i="9"/>
  <c r="R19" i="9"/>
  <c r="Q19" i="9"/>
  <c r="P19" i="9"/>
  <c r="O19" i="9"/>
  <c r="N19" i="9"/>
  <c r="M19" i="9"/>
  <c r="L19" i="9"/>
  <c r="S19" i="9" s="1"/>
  <c r="R18" i="9"/>
  <c r="Q18" i="9"/>
  <c r="P18" i="9"/>
  <c r="O18" i="9"/>
  <c r="N18" i="9"/>
  <c r="S18" i="9" s="1"/>
  <c r="M18" i="9"/>
  <c r="L18" i="9"/>
  <c r="R17" i="9"/>
  <c r="Q17" i="9"/>
  <c r="P17" i="9"/>
  <c r="O17" i="9"/>
  <c r="N17" i="9"/>
  <c r="M17" i="9"/>
  <c r="L17" i="9"/>
  <c r="S17" i="9" s="1"/>
  <c r="R16" i="9"/>
  <c r="Q16" i="9"/>
  <c r="P16" i="9"/>
  <c r="O16" i="9"/>
  <c r="N16" i="9"/>
  <c r="S16" i="9" s="1"/>
  <c r="M16" i="9"/>
  <c r="L16" i="9"/>
  <c r="R15" i="9"/>
  <c r="Q15" i="9"/>
  <c r="P15" i="9"/>
  <c r="O15" i="9"/>
  <c r="N15" i="9"/>
  <c r="M15" i="9"/>
  <c r="L15" i="9"/>
  <c r="S15" i="9" s="1"/>
  <c r="R14" i="9"/>
  <c r="Q14" i="9"/>
  <c r="P14" i="9"/>
  <c r="O14" i="9"/>
  <c r="N14" i="9"/>
  <c r="S14" i="9" s="1"/>
  <c r="M14" i="9"/>
  <c r="L14" i="9"/>
  <c r="R13" i="9"/>
  <c r="Q13" i="9"/>
  <c r="P13" i="9"/>
  <c r="O13" i="9"/>
  <c r="N13" i="9"/>
  <c r="M13" i="9"/>
  <c r="L13" i="9"/>
  <c r="S13" i="9" s="1"/>
  <c r="R12" i="9"/>
  <c r="Q12" i="9"/>
  <c r="P12" i="9"/>
  <c r="O12" i="9"/>
  <c r="N12" i="9"/>
  <c r="S12" i="9" s="1"/>
  <c r="M12" i="9"/>
  <c r="L12" i="9"/>
  <c r="R11" i="9"/>
  <c r="Q11" i="9"/>
  <c r="P11" i="9"/>
  <c r="O11" i="9"/>
  <c r="N11" i="9"/>
  <c r="M11" i="9"/>
  <c r="L11" i="9"/>
  <c r="S11" i="9" s="1"/>
  <c r="R10" i="9"/>
  <c r="Q10" i="9"/>
  <c r="P10" i="9"/>
  <c r="O10" i="9"/>
  <c r="N10" i="9"/>
  <c r="S10" i="9" s="1"/>
  <c r="M10" i="9"/>
  <c r="L10" i="9"/>
  <c r="R9" i="9"/>
  <c r="Q9" i="9"/>
  <c r="P9" i="9"/>
  <c r="O9" i="9"/>
  <c r="N9" i="9"/>
  <c r="M9" i="9"/>
  <c r="L9" i="9"/>
  <c r="S9" i="9" s="1"/>
  <c r="R8" i="9"/>
  <c r="Q8" i="9"/>
  <c r="P8" i="9"/>
  <c r="O8" i="9"/>
  <c r="N8" i="9"/>
  <c r="S8" i="9" s="1"/>
  <c r="M8" i="9"/>
  <c r="L8" i="9"/>
  <c r="R7" i="9"/>
  <c r="R38" i="9" s="1"/>
  <c r="Q7" i="9"/>
  <c r="Q38" i="9" s="1"/>
  <c r="P7" i="9"/>
  <c r="P38" i="9" s="1"/>
  <c r="O7" i="9"/>
  <c r="O38" i="9" s="1"/>
  <c r="N7" i="9"/>
  <c r="N38" i="9" s="1"/>
  <c r="M7" i="9"/>
  <c r="M38" i="9" s="1"/>
  <c r="L7" i="9"/>
  <c r="S7" i="9" s="1"/>
  <c r="H36" i="8"/>
  <c r="F36" i="8"/>
  <c r="E36" i="8"/>
  <c r="D36" i="8"/>
  <c r="Q35" i="8"/>
  <c r="P35" i="8"/>
  <c r="O35" i="8"/>
  <c r="R35" i="8" s="1"/>
  <c r="N35" i="8"/>
  <c r="M35" i="8"/>
  <c r="L35" i="8"/>
  <c r="K35" i="8"/>
  <c r="Q34" i="8"/>
  <c r="P34" i="8"/>
  <c r="O34" i="8"/>
  <c r="N34" i="8"/>
  <c r="M34" i="8"/>
  <c r="L34" i="8"/>
  <c r="K34" i="8"/>
  <c r="R34" i="8" s="1"/>
  <c r="Q33" i="8"/>
  <c r="P33" i="8"/>
  <c r="O33" i="8"/>
  <c r="R33" i="8" s="1"/>
  <c r="N33" i="8"/>
  <c r="M33" i="8"/>
  <c r="L33" i="8"/>
  <c r="K33" i="8"/>
  <c r="Q32" i="8"/>
  <c r="P32" i="8"/>
  <c r="O32" i="8"/>
  <c r="N32" i="8"/>
  <c r="M32" i="8"/>
  <c r="L32" i="8"/>
  <c r="K32" i="8"/>
  <c r="R32" i="8" s="1"/>
  <c r="Q31" i="8"/>
  <c r="P31" i="8"/>
  <c r="O31" i="8"/>
  <c r="R31" i="8" s="1"/>
  <c r="N31" i="8"/>
  <c r="M31" i="8"/>
  <c r="L31" i="8"/>
  <c r="K31" i="8"/>
  <c r="Q30" i="8"/>
  <c r="P30" i="8"/>
  <c r="O30" i="8"/>
  <c r="N30" i="8"/>
  <c r="M30" i="8"/>
  <c r="L30" i="8"/>
  <c r="K30" i="8"/>
  <c r="R30" i="8" s="1"/>
  <c r="Q29" i="8"/>
  <c r="P29" i="8"/>
  <c r="O29" i="8"/>
  <c r="R29" i="8" s="1"/>
  <c r="N29" i="8"/>
  <c r="M29" i="8"/>
  <c r="L29" i="8"/>
  <c r="K29" i="8"/>
  <c r="Q28" i="8"/>
  <c r="P28" i="8"/>
  <c r="O28" i="8"/>
  <c r="N28" i="8"/>
  <c r="M28" i="8"/>
  <c r="L28" i="8"/>
  <c r="K28" i="8"/>
  <c r="R28" i="8" s="1"/>
  <c r="Q27" i="8"/>
  <c r="P27" i="8"/>
  <c r="O27" i="8"/>
  <c r="R27" i="8" s="1"/>
  <c r="N27" i="8"/>
  <c r="M27" i="8"/>
  <c r="L27" i="8"/>
  <c r="K27" i="8"/>
  <c r="Q26" i="8"/>
  <c r="P26" i="8"/>
  <c r="O26" i="8"/>
  <c r="N26" i="8"/>
  <c r="M26" i="8"/>
  <c r="L26" i="8"/>
  <c r="K26" i="8"/>
  <c r="R26" i="8" s="1"/>
  <c r="Q25" i="8"/>
  <c r="P25" i="8"/>
  <c r="O25" i="8"/>
  <c r="R25" i="8" s="1"/>
  <c r="N25" i="8"/>
  <c r="M25" i="8"/>
  <c r="L25" i="8"/>
  <c r="K25" i="8"/>
  <c r="Q24" i="8"/>
  <c r="P24" i="8"/>
  <c r="O24" i="8"/>
  <c r="N24" i="8"/>
  <c r="M24" i="8"/>
  <c r="L24" i="8"/>
  <c r="K24" i="8"/>
  <c r="R24" i="8" s="1"/>
  <c r="Q23" i="8"/>
  <c r="P23" i="8"/>
  <c r="O23" i="8"/>
  <c r="R23" i="8" s="1"/>
  <c r="N23" i="8"/>
  <c r="M23" i="8"/>
  <c r="L23" i="8"/>
  <c r="K23" i="8"/>
  <c r="Q22" i="8"/>
  <c r="P22" i="8"/>
  <c r="O22" i="8"/>
  <c r="N22" i="8"/>
  <c r="M22" i="8"/>
  <c r="L22" i="8"/>
  <c r="K22" i="8"/>
  <c r="R22" i="8" s="1"/>
  <c r="Q21" i="8"/>
  <c r="P21" i="8"/>
  <c r="O21" i="8"/>
  <c r="R21" i="8" s="1"/>
  <c r="N21" i="8"/>
  <c r="M21" i="8"/>
  <c r="L21" i="8"/>
  <c r="K21" i="8"/>
  <c r="Q20" i="8"/>
  <c r="P20" i="8"/>
  <c r="O20" i="8"/>
  <c r="N20" i="8"/>
  <c r="M20" i="8"/>
  <c r="L20" i="8"/>
  <c r="K20" i="8"/>
  <c r="R20" i="8" s="1"/>
  <c r="Q19" i="8"/>
  <c r="P19" i="8"/>
  <c r="O19" i="8"/>
  <c r="R19" i="8" s="1"/>
  <c r="N19" i="8"/>
  <c r="M19" i="8"/>
  <c r="L19" i="8"/>
  <c r="K19" i="8"/>
  <c r="Q18" i="8"/>
  <c r="P18" i="8"/>
  <c r="O18" i="8"/>
  <c r="N18" i="8"/>
  <c r="M18" i="8"/>
  <c r="L18" i="8"/>
  <c r="K18" i="8"/>
  <c r="R18" i="8" s="1"/>
  <c r="Q17" i="8"/>
  <c r="P17" i="8"/>
  <c r="O17" i="8"/>
  <c r="R17" i="8" s="1"/>
  <c r="N17" i="8"/>
  <c r="M17" i="8"/>
  <c r="L17" i="8"/>
  <c r="K17" i="8"/>
  <c r="Q16" i="8"/>
  <c r="P16" i="8"/>
  <c r="O16" i="8"/>
  <c r="N16" i="8"/>
  <c r="M16" i="8"/>
  <c r="L16" i="8"/>
  <c r="K16" i="8"/>
  <c r="R16" i="8" s="1"/>
  <c r="Q15" i="8"/>
  <c r="P15" i="8"/>
  <c r="O15" i="8"/>
  <c r="R15" i="8" s="1"/>
  <c r="N15" i="8"/>
  <c r="M15" i="8"/>
  <c r="L15" i="8"/>
  <c r="K15" i="8"/>
  <c r="Q14" i="8"/>
  <c r="P14" i="8"/>
  <c r="O14" i="8"/>
  <c r="N14" i="8"/>
  <c r="M14" i="8"/>
  <c r="L14" i="8"/>
  <c r="K14" i="8"/>
  <c r="R14" i="8" s="1"/>
  <c r="Q13" i="8"/>
  <c r="P13" i="8"/>
  <c r="O13" i="8"/>
  <c r="R13" i="8" s="1"/>
  <c r="N13" i="8"/>
  <c r="M13" i="8"/>
  <c r="L13" i="8"/>
  <c r="K13" i="8"/>
  <c r="Q12" i="8"/>
  <c r="P12" i="8"/>
  <c r="O12" i="8"/>
  <c r="N12" i="8"/>
  <c r="M12" i="8"/>
  <c r="L12" i="8"/>
  <c r="K12" i="8"/>
  <c r="R12" i="8" s="1"/>
  <c r="Q11" i="8"/>
  <c r="P11" i="8"/>
  <c r="O11" i="8"/>
  <c r="R11" i="8" s="1"/>
  <c r="N11" i="8"/>
  <c r="M11" i="8"/>
  <c r="L11" i="8"/>
  <c r="K11" i="8"/>
  <c r="Q10" i="8"/>
  <c r="P10" i="8"/>
  <c r="O10" i="8"/>
  <c r="N10" i="8"/>
  <c r="M10" i="8"/>
  <c r="L10" i="8"/>
  <c r="K10" i="8"/>
  <c r="R10" i="8" s="1"/>
  <c r="Q9" i="8"/>
  <c r="P9" i="8"/>
  <c r="O9" i="8"/>
  <c r="R9" i="8" s="1"/>
  <c r="N9" i="8"/>
  <c r="M9" i="8"/>
  <c r="L9" i="8"/>
  <c r="K9" i="8"/>
  <c r="Q8" i="8"/>
  <c r="P8" i="8"/>
  <c r="O8" i="8"/>
  <c r="N8" i="8"/>
  <c r="M8" i="8"/>
  <c r="L8" i="8"/>
  <c r="K8" i="8"/>
  <c r="R8" i="8" s="1"/>
  <c r="Q7" i="8"/>
  <c r="P7" i="8"/>
  <c r="O7" i="8"/>
  <c r="R7" i="8" s="1"/>
  <c r="N7" i="8"/>
  <c r="M7" i="8"/>
  <c r="L7" i="8"/>
  <c r="K7" i="8"/>
  <c r="Q6" i="8"/>
  <c r="P6" i="8"/>
  <c r="O6" i="8"/>
  <c r="N6" i="8"/>
  <c r="M6" i="8"/>
  <c r="L6" i="8"/>
  <c r="L36" i="8" s="1"/>
  <c r="K6" i="8"/>
  <c r="R6" i="8" s="1"/>
  <c r="Q5" i="8"/>
  <c r="Q36" i="8" s="1"/>
  <c r="P5" i="8"/>
  <c r="P36" i="8" s="1"/>
  <c r="O5" i="8"/>
  <c r="O36" i="8" s="1"/>
  <c r="N5" i="8"/>
  <c r="N36" i="8" s="1"/>
  <c r="M5" i="8"/>
  <c r="M36" i="8" s="1"/>
  <c r="L5" i="8"/>
  <c r="K5" i="8"/>
  <c r="K36" i="8" s="1"/>
  <c r="F36" i="7"/>
  <c r="E36" i="7"/>
  <c r="D36" i="7"/>
  <c r="Q35" i="7"/>
  <c r="P35" i="7"/>
  <c r="N35" i="7"/>
  <c r="M35" i="7"/>
  <c r="L35" i="7"/>
  <c r="K35" i="7"/>
  <c r="Q34" i="7"/>
  <c r="P34" i="7"/>
  <c r="N34" i="7"/>
  <c r="M34" i="7"/>
  <c r="L34" i="7"/>
  <c r="K34" i="7"/>
  <c r="Q33" i="7"/>
  <c r="P33" i="7"/>
  <c r="N33" i="7"/>
  <c r="M33" i="7"/>
  <c r="L33" i="7"/>
  <c r="K33" i="7"/>
  <c r="Q32" i="7"/>
  <c r="P32" i="7"/>
  <c r="N32" i="7"/>
  <c r="M32" i="7"/>
  <c r="L32" i="7"/>
  <c r="K32" i="7"/>
  <c r="Q31" i="7"/>
  <c r="P31" i="7"/>
  <c r="N31" i="7"/>
  <c r="M31" i="7"/>
  <c r="L31" i="7"/>
  <c r="K31" i="7"/>
  <c r="Q30" i="7"/>
  <c r="P30" i="7"/>
  <c r="N30" i="7"/>
  <c r="M30" i="7"/>
  <c r="L30" i="7"/>
  <c r="K30" i="7"/>
  <c r="Q29" i="7"/>
  <c r="P29" i="7"/>
  <c r="N29" i="7"/>
  <c r="M29" i="7"/>
  <c r="L29" i="7"/>
  <c r="K29" i="7"/>
  <c r="Q28" i="7"/>
  <c r="P28" i="7"/>
  <c r="N28" i="7"/>
  <c r="M28" i="7"/>
  <c r="L28" i="7"/>
  <c r="K28" i="7"/>
  <c r="Q27" i="7"/>
  <c r="P27" i="7"/>
  <c r="N27" i="7"/>
  <c r="M27" i="7"/>
  <c r="L27" i="7"/>
  <c r="K27" i="7"/>
  <c r="Q26" i="7"/>
  <c r="P26" i="7"/>
  <c r="N26" i="7"/>
  <c r="M26" i="7"/>
  <c r="L26" i="7"/>
  <c r="K26" i="7"/>
  <c r="Q25" i="7"/>
  <c r="P25" i="7"/>
  <c r="N25" i="7"/>
  <c r="M25" i="7"/>
  <c r="L25" i="7"/>
  <c r="K25" i="7"/>
  <c r="Q24" i="7"/>
  <c r="P24" i="7"/>
  <c r="N24" i="7"/>
  <c r="M24" i="7"/>
  <c r="L24" i="7"/>
  <c r="K24" i="7"/>
  <c r="Q23" i="7"/>
  <c r="P23" i="7"/>
  <c r="N23" i="7"/>
  <c r="M23" i="7"/>
  <c r="L23" i="7"/>
  <c r="K23" i="7"/>
  <c r="Q22" i="7"/>
  <c r="P22" i="7"/>
  <c r="N22" i="7"/>
  <c r="M22" i="7"/>
  <c r="L22" i="7"/>
  <c r="K22" i="7"/>
  <c r="Q21" i="7"/>
  <c r="P21" i="7"/>
  <c r="N21" i="7"/>
  <c r="M21" i="7"/>
  <c r="L21" i="7"/>
  <c r="K21" i="7"/>
  <c r="Q20" i="7"/>
  <c r="P20" i="7"/>
  <c r="N20" i="7"/>
  <c r="M20" i="7"/>
  <c r="L20" i="7"/>
  <c r="K20" i="7"/>
  <c r="Q19" i="7"/>
  <c r="P19" i="7"/>
  <c r="N19" i="7"/>
  <c r="M19" i="7"/>
  <c r="L19" i="7"/>
  <c r="K19" i="7"/>
  <c r="Q18" i="7"/>
  <c r="P18" i="7"/>
  <c r="N18" i="7"/>
  <c r="M18" i="7"/>
  <c r="L18" i="7"/>
  <c r="K18" i="7"/>
  <c r="Q17" i="7"/>
  <c r="P17" i="7"/>
  <c r="N17" i="7"/>
  <c r="M17" i="7"/>
  <c r="L17" i="7"/>
  <c r="K17" i="7"/>
  <c r="Q16" i="7"/>
  <c r="P16" i="7"/>
  <c r="N16" i="7"/>
  <c r="M16" i="7"/>
  <c r="L16" i="7"/>
  <c r="K16" i="7"/>
  <c r="Q15" i="7"/>
  <c r="P15" i="7"/>
  <c r="N15" i="7"/>
  <c r="M15" i="7"/>
  <c r="L15" i="7"/>
  <c r="K15" i="7"/>
  <c r="Q14" i="7"/>
  <c r="P14" i="7"/>
  <c r="N14" i="7"/>
  <c r="M14" i="7"/>
  <c r="L14" i="7"/>
  <c r="K14" i="7"/>
  <c r="Q13" i="7"/>
  <c r="P13" i="7"/>
  <c r="N13" i="7"/>
  <c r="M13" i="7"/>
  <c r="L13" i="7"/>
  <c r="K13" i="7"/>
  <c r="Q12" i="7"/>
  <c r="P12" i="7"/>
  <c r="N12" i="7"/>
  <c r="M12" i="7"/>
  <c r="L12" i="7"/>
  <c r="K12" i="7"/>
  <c r="Q11" i="7"/>
  <c r="P11" i="7"/>
  <c r="N11" i="7"/>
  <c r="M11" i="7"/>
  <c r="L11" i="7"/>
  <c r="K11" i="7"/>
  <c r="Q10" i="7"/>
  <c r="P10" i="7"/>
  <c r="N10" i="7"/>
  <c r="M10" i="7"/>
  <c r="L10" i="7"/>
  <c r="K10" i="7"/>
  <c r="Q9" i="7"/>
  <c r="P9" i="7"/>
  <c r="N9" i="7"/>
  <c r="M9" i="7"/>
  <c r="L9" i="7"/>
  <c r="K9" i="7"/>
  <c r="Q8" i="7"/>
  <c r="P8" i="7"/>
  <c r="N8" i="7"/>
  <c r="M8" i="7"/>
  <c r="L8" i="7"/>
  <c r="K8" i="7"/>
  <c r="Q7" i="7"/>
  <c r="P7" i="7"/>
  <c r="N7" i="7"/>
  <c r="N36" i="7" s="1"/>
  <c r="M7" i="7"/>
  <c r="L7" i="7"/>
  <c r="K7" i="7"/>
  <c r="Q6" i="7"/>
  <c r="P6" i="7"/>
  <c r="O6" i="7"/>
  <c r="R6" i="7" s="1"/>
  <c r="N6" i="7"/>
  <c r="M6" i="7"/>
  <c r="L6" i="7"/>
  <c r="K6" i="7"/>
  <c r="H6" i="7"/>
  <c r="H7" i="7" s="1"/>
  <c r="Q5" i="7"/>
  <c r="Q36" i="7" s="1"/>
  <c r="P5" i="7"/>
  <c r="P36" i="7" s="1"/>
  <c r="O5" i="7"/>
  <c r="N5" i="7"/>
  <c r="M5" i="7"/>
  <c r="M36" i="7" s="1"/>
  <c r="L5" i="7"/>
  <c r="L36" i="7" s="1"/>
  <c r="K5" i="7"/>
  <c r="K36" i="7" s="1"/>
  <c r="J4" i="11" l="1"/>
  <c r="J35" i="11" s="1"/>
  <c r="A1" i="11" s="1"/>
  <c r="K5" i="10"/>
  <c r="K36" i="10" s="1"/>
  <c r="A1" i="10" s="1"/>
  <c r="S38" i="9"/>
  <c r="S39" i="9" s="1"/>
  <c r="A1" i="9" s="1"/>
  <c r="L38" i="9"/>
  <c r="R5" i="8"/>
  <c r="R36" i="8" s="1"/>
  <c r="A1" i="8" s="1"/>
  <c r="R7" i="7"/>
  <c r="H8" i="7"/>
  <c r="O7" i="7"/>
  <c r="R5" i="7"/>
  <c r="H9" i="7" l="1"/>
  <c r="O8" i="7"/>
  <c r="R8" i="7" l="1"/>
  <c r="H10" i="7"/>
  <c r="O9" i="7"/>
  <c r="R9" i="7" s="1"/>
  <c r="O10" i="7" l="1"/>
  <c r="H11" i="7"/>
  <c r="R10" i="7" l="1"/>
  <c r="O11" i="7"/>
  <c r="R11" i="7" s="1"/>
  <c r="H12" i="7"/>
  <c r="H13" i="7" l="1"/>
  <c r="O12" i="7"/>
  <c r="R12" i="7" l="1"/>
  <c r="H14" i="7"/>
  <c r="O13" i="7"/>
  <c r="R13" i="7" s="1"/>
  <c r="O14" i="7" l="1"/>
  <c r="R14" i="7" s="1"/>
  <c r="H15" i="7"/>
  <c r="O15" i="7" l="1"/>
  <c r="R15" i="7" s="1"/>
  <c r="H16" i="7"/>
  <c r="H17" i="7" l="1"/>
  <c r="O16" i="7"/>
  <c r="R16" i="7" s="1"/>
  <c r="H18" i="7" l="1"/>
  <c r="O17" i="7"/>
  <c r="R17" i="7" s="1"/>
  <c r="O18" i="7" l="1"/>
  <c r="R18" i="7" s="1"/>
  <c r="H19" i="7"/>
  <c r="H20" i="7" l="1"/>
  <c r="O19" i="7"/>
  <c r="R19" i="7" s="1"/>
  <c r="H21" i="7" l="1"/>
  <c r="O20" i="7"/>
  <c r="R20" i="7" s="1"/>
  <c r="H22" i="7" l="1"/>
  <c r="O21" i="7"/>
  <c r="R21" i="7" s="1"/>
  <c r="H23" i="7" l="1"/>
  <c r="O22" i="7"/>
  <c r="R22" i="7" s="1"/>
  <c r="H24" i="7" l="1"/>
  <c r="O23" i="7"/>
  <c r="R23" i="7" s="1"/>
  <c r="H25" i="7" l="1"/>
  <c r="O24" i="7"/>
  <c r="R24" i="7" s="1"/>
  <c r="H26" i="7" l="1"/>
  <c r="O25" i="7"/>
  <c r="R25" i="7" s="1"/>
  <c r="O26" i="7" l="1"/>
  <c r="R26" i="7" s="1"/>
  <c r="H27" i="7"/>
  <c r="O27" i="7" l="1"/>
  <c r="R27" i="7" s="1"/>
  <c r="H28" i="7"/>
  <c r="H29" i="7" l="1"/>
  <c r="O28" i="7"/>
  <c r="R28" i="7" s="1"/>
  <c r="H30" i="7" l="1"/>
  <c r="O29" i="7"/>
  <c r="R29" i="7" s="1"/>
  <c r="H31" i="7" l="1"/>
  <c r="O30" i="7"/>
  <c r="R30" i="7" s="1"/>
  <c r="O31" i="7" l="1"/>
  <c r="R31" i="7" s="1"/>
  <c r="H32" i="7"/>
  <c r="H33" i="7" l="1"/>
  <c r="O32" i="7"/>
  <c r="R32" i="7" s="1"/>
  <c r="O33" i="7" l="1"/>
  <c r="R33" i="7" s="1"/>
  <c r="H34" i="7"/>
  <c r="H35" i="7" l="1"/>
  <c r="O34" i="7"/>
  <c r="R34" i="7" s="1"/>
  <c r="O35" i="7" l="1"/>
  <c r="H36" i="7"/>
  <c r="R35" i="7" l="1"/>
  <c r="R36" i="7" s="1"/>
  <c r="A1" i="7" s="1"/>
  <c r="O36" i="7"/>
  <c r="F20" i="5" l="1"/>
  <c r="F14" i="5"/>
  <c r="F15" i="5" s="1"/>
  <c r="F16" i="5" s="1"/>
  <c r="C37" i="3"/>
  <c r="F15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C110" i="6" a="1"/>
  <c r="C109" i="6" a="1"/>
  <c r="E53" i="3" a="1"/>
  <c r="L51" i="3" a="1"/>
  <c r="D51" i="3" a="1"/>
  <c r="K49" i="3" a="1"/>
  <c r="C49" i="3" a="1"/>
  <c r="J47" i="3" a="1"/>
  <c r="B47" i="3" a="1"/>
  <c r="I45" i="3" a="1"/>
  <c r="G34" i="3" a="1"/>
  <c r="G30" i="3" a="1"/>
  <c r="B68" i="3" a="1"/>
  <c r="B60" i="3" a="1"/>
  <c r="I54" i="3" a="1"/>
  <c r="H52" i="3" a="1"/>
  <c r="G50" i="3" a="1"/>
  <c r="F48" i="3" a="1"/>
  <c r="E46" i="3" a="1"/>
  <c r="G41" i="3" a="1"/>
  <c r="G25" i="3" a="1"/>
  <c r="G21" i="3" a="1"/>
  <c r="L53" i="3" a="1"/>
  <c r="D53" i="3" a="1"/>
  <c r="K51" i="3" a="1"/>
  <c r="C51" i="3" a="1"/>
  <c r="J49" i="3" a="1"/>
  <c r="B49" i="3" a="1"/>
  <c r="I47" i="3" a="1"/>
  <c r="H45" i="3" a="1"/>
  <c r="C34" i="3" a="1"/>
  <c r="C30" i="3" a="1"/>
  <c r="B67" i="3" a="1"/>
  <c r="B59" i="3" a="1"/>
  <c r="H54" i="3" a="1"/>
  <c r="G52" i="3" a="1"/>
  <c r="F50" i="3" a="1"/>
  <c r="E48" i="3" a="1"/>
  <c r="L46" i="3" a="1"/>
  <c r="D46" i="3" a="1"/>
  <c r="G40" i="3" a="1"/>
  <c r="C25" i="3" a="1"/>
  <c r="C21" i="3" a="1"/>
  <c r="K53" i="3" a="1"/>
  <c r="C53" i="3" a="1"/>
  <c r="J51" i="3" a="1"/>
  <c r="B51" i="3" a="1"/>
  <c r="I49" i="3" a="1"/>
  <c r="H47" i="3" a="1"/>
  <c r="G45" i="3" a="1"/>
  <c r="G33" i="3" a="1"/>
  <c r="G29" i="3" a="1"/>
  <c r="B66" i="3" a="1"/>
  <c r="B58" i="3" a="1"/>
  <c r="G54" i="3" a="1"/>
  <c r="F52" i="3" a="1"/>
  <c r="E50" i="3" a="1"/>
  <c r="L48" i="3" a="1"/>
  <c r="D48" i="3" a="1"/>
  <c r="K46" i="3" a="1"/>
  <c r="C46" i="3" a="1"/>
  <c r="G39" i="3" a="1"/>
  <c r="G24" i="3" a="1"/>
  <c r="G20" i="3" a="1"/>
  <c r="J53" i="3" a="1"/>
  <c r="B53" i="3" a="1"/>
  <c r="I51" i="3" a="1"/>
  <c r="H49" i="3" a="1"/>
  <c r="G47" i="3" a="1"/>
  <c r="F45" i="3" a="1"/>
  <c r="C33" i="3" a="1"/>
  <c r="B65" i="3" a="1"/>
  <c r="B57" i="3" a="1"/>
  <c r="F54" i="3" a="1"/>
  <c r="E52" i="3" a="1"/>
  <c r="L50" i="3" a="1"/>
  <c r="D50" i="3" a="1"/>
  <c r="K48" i="3" a="1"/>
  <c r="C48" i="3" a="1"/>
  <c r="J46" i="3" a="1"/>
  <c r="B46" i="3" a="1"/>
  <c r="G38" i="3" a="1"/>
  <c r="G28" i="3" a="1"/>
  <c r="C24" i="3" a="1"/>
  <c r="C20" i="3" a="1"/>
  <c r="I53" i="3" a="1"/>
  <c r="H51" i="3" a="1"/>
  <c r="G49" i="3" a="1"/>
  <c r="F47" i="3" a="1"/>
  <c r="E45" i="3" a="1"/>
  <c r="G32" i="3" a="1"/>
  <c r="B64" i="3" a="1"/>
  <c r="E54" i="3" a="1"/>
  <c r="L52" i="3" a="1"/>
  <c r="D52" i="3" a="1"/>
  <c r="K50" i="3" a="1"/>
  <c r="C50" i="3" a="1"/>
  <c r="J48" i="3" a="1"/>
  <c r="B48" i="3" a="1"/>
  <c r="I46" i="3" a="1"/>
  <c r="G37" i="3" a="1"/>
  <c r="G27" i="3" a="1"/>
  <c r="G23" i="3" a="1"/>
  <c r="G19" i="3" a="1"/>
  <c r="H53" i="3" a="1"/>
  <c r="G51" i="3" a="1"/>
  <c r="F49" i="3" a="1"/>
  <c r="E47" i="3" a="1"/>
  <c r="L45" i="3" a="1"/>
  <c r="D45" i="3" a="1"/>
  <c r="C32" i="3" a="1"/>
  <c r="B63" i="3" a="1"/>
  <c r="L54" i="3" a="1"/>
  <c r="D54" i="3" a="1"/>
  <c r="K52" i="3" a="1"/>
  <c r="C52" i="3" a="1"/>
  <c r="J50" i="3" a="1"/>
  <c r="B50" i="3" a="1"/>
  <c r="I48" i="3" a="1"/>
  <c r="H46" i="3" a="1"/>
  <c r="C27" i="3" a="1"/>
  <c r="C23" i="3" a="1"/>
  <c r="C19" i="3" a="1"/>
  <c r="G53" i="3" a="1"/>
  <c r="F51" i="3" a="1"/>
  <c r="E49" i="3" a="1"/>
  <c r="L47" i="3" a="1"/>
  <c r="D47" i="3" a="1"/>
  <c r="K45" i="3" a="1"/>
  <c r="C45" i="3" a="1"/>
  <c r="G36" i="3" a="1"/>
  <c r="G31" i="3" a="1"/>
  <c r="B62" i="3" a="1"/>
  <c r="K54" i="3" a="1"/>
  <c r="C54" i="3" a="1"/>
  <c r="J52" i="3" a="1"/>
  <c r="B52" i="3" a="1"/>
  <c r="I50" i="3" a="1"/>
  <c r="H48" i="3" a="1"/>
  <c r="G46" i="3" a="1"/>
  <c r="G26" i="3" a="1"/>
  <c r="G22" i="3" a="1"/>
  <c r="F53" i="3" a="1"/>
  <c r="E51" i="3" a="1"/>
  <c r="L49" i="3" a="1"/>
  <c r="D49" i="3" a="1"/>
  <c r="K47" i="3" a="1"/>
  <c r="C47" i="3" a="1"/>
  <c r="J45" i="3" a="1"/>
  <c r="B45" i="3" a="1"/>
  <c r="C35" i="3" a="1"/>
  <c r="C31" i="3" a="1"/>
  <c r="B61" i="3" a="1"/>
  <c r="J54" i="3" a="1"/>
  <c r="B54" i="3" a="1"/>
  <c r="I52" i="3" a="1"/>
  <c r="H50" i="3" a="1"/>
  <c r="G48" i="3" a="1"/>
  <c r="F46" i="3" a="1"/>
  <c r="C26" i="3" a="1"/>
  <c r="C22" i="3" a="1"/>
  <c r="C109" i="6" l="1"/>
  <c r="C110" i="6"/>
  <c r="C22" i="3"/>
  <c r="C26" i="3"/>
  <c r="F46" i="3"/>
  <c r="G48" i="3"/>
  <c r="H50" i="3"/>
  <c r="I52" i="3"/>
  <c r="B54" i="3"/>
  <c r="J54" i="3"/>
  <c r="B61" i="3"/>
  <c r="D7" i="3" s="1"/>
  <c r="C31" i="3"/>
  <c r="C35" i="3"/>
  <c r="B45" i="3"/>
  <c r="J45" i="3"/>
  <c r="C47" i="3"/>
  <c r="K47" i="3"/>
  <c r="D49" i="3"/>
  <c r="L49" i="3"/>
  <c r="E51" i="3"/>
  <c r="F53" i="3"/>
  <c r="G22" i="3"/>
  <c r="G26" i="3"/>
  <c r="G46" i="3"/>
  <c r="H48" i="3"/>
  <c r="I50" i="3"/>
  <c r="B52" i="3"/>
  <c r="J52" i="3"/>
  <c r="C54" i="3"/>
  <c r="K54" i="3"/>
  <c r="B62" i="3"/>
  <c r="D10" i="3" s="1"/>
  <c r="G31" i="3"/>
  <c r="G36" i="3"/>
  <c r="C45" i="3"/>
  <c r="K45" i="3"/>
  <c r="D47" i="3"/>
  <c r="L47" i="3"/>
  <c r="E49" i="3"/>
  <c r="F51" i="3"/>
  <c r="G53" i="3"/>
  <c r="C19" i="3"/>
  <c r="C23" i="3"/>
  <c r="C27" i="3"/>
  <c r="H46" i="3"/>
  <c r="I48" i="3"/>
  <c r="B50" i="3"/>
  <c r="J50" i="3"/>
  <c r="C52" i="3"/>
  <c r="K52" i="3"/>
  <c r="D54" i="3"/>
  <c r="L54" i="3"/>
  <c r="B63" i="3"/>
  <c r="D9" i="3" s="1"/>
  <c r="C32" i="3"/>
  <c r="D45" i="3"/>
  <c r="L45" i="3"/>
  <c r="E47" i="3"/>
  <c r="F49" i="3"/>
  <c r="G51" i="3"/>
  <c r="H53" i="3"/>
  <c r="G19" i="3"/>
  <c r="G23" i="3"/>
  <c r="G27" i="3"/>
  <c r="G37" i="3"/>
  <c r="I46" i="3"/>
  <c r="B48" i="3"/>
  <c r="J48" i="3"/>
  <c r="C50" i="3"/>
  <c r="K50" i="3"/>
  <c r="D52" i="3"/>
  <c r="L52" i="3"/>
  <c r="E54" i="3"/>
  <c r="B64" i="3"/>
  <c r="D11" i="3" s="1"/>
  <c r="G32" i="3"/>
  <c r="E45" i="3"/>
  <c r="F47" i="3"/>
  <c r="G49" i="3"/>
  <c r="H51" i="3"/>
  <c r="I53" i="3"/>
  <c r="C20" i="3"/>
  <c r="C24" i="3"/>
  <c r="G28" i="3"/>
  <c r="G38" i="3"/>
  <c r="B46" i="3"/>
  <c r="J46" i="3"/>
  <c r="C48" i="3"/>
  <c r="K48" i="3"/>
  <c r="D50" i="3"/>
  <c r="L50" i="3"/>
  <c r="E52" i="3"/>
  <c r="F54" i="3"/>
  <c r="B57" i="3"/>
  <c r="B65" i="3"/>
  <c r="D12" i="3" s="1"/>
  <c r="C33" i="3"/>
  <c r="F45" i="3"/>
  <c r="G47" i="3"/>
  <c r="H49" i="3"/>
  <c r="I51" i="3"/>
  <c r="B53" i="3"/>
  <c r="J53" i="3"/>
  <c r="G20" i="3"/>
  <c r="G24" i="3"/>
  <c r="G39" i="3"/>
  <c r="C46" i="3"/>
  <c r="K46" i="3"/>
  <c r="D48" i="3"/>
  <c r="L48" i="3"/>
  <c r="E50" i="3"/>
  <c r="F52" i="3"/>
  <c r="G54" i="3"/>
  <c r="B58" i="3"/>
  <c r="B66" i="3"/>
  <c r="D13" i="3" s="1"/>
  <c r="G29" i="3"/>
  <c r="G33" i="3"/>
  <c r="G45" i="3"/>
  <c r="H47" i="3"/>
  <c r="I49" i="3"/>
  <c r="B51" i="3"/>
  <c r="J51" i="3"/>
  <c r="C53" i="3"/>
  <c r="K53" i="3"/>
  <c r="C21" i="3"/>
  <c r="C25" i="3"/>
  <c r="F5" i="3" s="1"/>
  <c r="G40" i="3"/>
  <c r="D46" i="3"/>
  <c r="L46" i="3"/>
  <c r="E48" i="3"/>
  <c r="F50" i="3"/>
  <c r="G52" i="3"/>
  <c r="H54" i="3"/>
  <c r="B59" i="3"/>
  <c r="D14" i="3" s="1"/>
  <c r="G14" i="3" s="1"/>
  <c r="B67" i="3"/>
  <c r="C30" i="3"/>
  <c r="C34" i="3"/>
  <c r="H45" i="3"/>
  <c r="I47" i="3"/>
  <c r="B49" i="3"/>
  <c r="J49" i="3"/>
  <c r="C51" i="3"/>
  <c r="K51" i="3"/>
  <c r="D53" i="3"/>
  <c r="L53" i="3"/>
  <c r="G21" i="3"/>
  <c r="G25" i="3"/>
  <c r="G41" i="3"/>
  <c r="E46" i="3"/>
  <c r="F48" i="3"/>
  <c r="G50" i="3"/>
  <c r="H52" i="3"/>
  <c r="I54" i="3"/>
  <c r="B60" i="3"/>
  <c r="D6" i="3" s="1"/>
  <c r="B68" i="3"/>
  <c r="D8" i="3" s="1"/>
  <c r="G30" i="3"/>
  <c r="G34" i="3"/>
  <c r="I45" i="3"/>
  <c r="B47" i="3"/>
  <c r="J47" i="3"/>
  <c r="C49" i="3"/>
  <c r="K49" i="3"/>
  <c r="D51" i="3"/>
  <c r="L51" i="3"/>
  <c r="E53" i="3"/>
  <c r="C43" i="6"/>
  <c r="C132" i="6" a="1"/>
  <c r="C54" i="6"/>
  <c r="C56" i="6"/>
  <c r="C125" i="6" a="1"/>
  <c r="C96" i="6"/>
  <c r="C130" i="6" a="1"/>
  <c r="C15" i="6"/>
  <c r="C26" i="6"/>
  <c r="C69" i="6"/>
  <c r="C64" i="6"/>
  <c r="C134" i="6" a="1"/>
  <c r="C23" i="6"/>
  <c r="C6" i="6"/>
  <c r="C58" i="6"/>
  <c r="C8" i="6"/>
  <c r="C81" i="6"/>
  <c r="C2" i="6"/>
  <c r="C60" i="6"/>
  <c r="C117" i="6" a="1"/>
  <c r="C114" i="6" a="1"/>
  <c r="C77" i="6"/>
  <c r="C10" i="6"/>
  <c r="C79" i="6"/>
  <c r="C12" i="6"/>
  <c r="C31" i="6"/>
  <c r="C40" i="6"/>
  <c r="C102" i="6" a="1"/>
  <c r="C83" i="6"/>
  <c r="C36" i="6"/>
  <c r="C87" i="6"/>
  <c r="C20" i="6"/>
  <c r="C74" i="6"/>
  <c r="C103" i="6" a="1"/>
  <c r="C51" i="6"/>
  <c r="C13" i="6"/>
  <c r="C28" i="6"/>
  <c r="C32" i="6"/>
  <c r="C129" i="6" a="1"/>
  <c r="C94" i="6"/>
  <c r="C90" i="6"/>
  <c r="C100" i="6" a="1"/>
  <c r="C34" i="6"/>
  <c r="C116" i="6" a="1"/>
  <c r="C42" i="6"/>
  <c r="C95" i="6"/>
  <c r="C78" i="6"/>
  <c r="C101" i="6" a="1"/>
  <c r="C133" i="6" a="1"/>
  <c r="C19" i="6"/>
  <c r="C73" i="6"/>
  <c r="C99" i="6"/>
  <c r="C92" i="6"/>
  <c r="C131" i="6" a="1"/>
  <c r="C115" i="6" a="1"/>
  <c r="C53" i="6"/>
  <c r="C14" i="6"/>
  <c r="C1" i="6"/>
  <c r="C39" i="6"/>
  <c r="C91" i="6"/>
  <c r="C46" i="6"/>
  <c r="C126" i="6" a="1"/>
  <c r="C16" i="6"/>
  <c r="C27" i="6"/>
  <c r="C44" i="6"/>
  <c r="C105" i="6" a="1"/>
  <c r="C47" i="6"/>
  <c r="C57" i="6"/>
  <c r="C121" i="6" a="1"/>
  <c r="C89" i="6"/>
  <c r="C107" i="6" a="1"/>
  <c r="C3" i="6"/>
  <c r="C135" i="6" a="1"/>
  <c r="C7" i="6"/>
  <c r="C123" i="6" a="1"/>
  <c r="C41" i="6"/>
  <c r="C37" i="6"/>
  <c r="C88" i="6"/>
  <c r="C21" i="6"/>
  <c r="C127" i="6" a="1"/>
  <c r="C62" i="6"/>
  <c r="C113" i="6" a="1"/>
  <c r="C4" i="6"/>
  <c r="C38" i="6"/>
  <c r="C136" i="6" a="1"/>
  <c r="C18" i="6"/>
  <c r="C25" i="6"/>
  <c r="C106" i="6" a="1"/>
  <c r="C33" i="6"/>
  <c r="C59" i="6"/>
  <c r="C82" i="6"/>
  <c r="C35" i="6"/>
  <c r="C50" i="6"/>
  <c r="C61" i="6"/>
  <c r="C119" i="6" a="1"/>
  <c r="C70" i="6"/>
  <c r="C55" i="6"/>
  <c r="C65" i="6"/>
  <c r="C97" i="6"/>
  <c r="C122" i="6" a="1"/>
  <c r="C128" i="6" a="1"/>
  <c r="C84" i="6"/>
  <c r="C93" i="6"/>
  <c r="C11" i="6"/>
  <c r="C80" i="6"/>
  <c r="C24" i="6"/>
  <c r="C17" i="6"/>
  <c r="C67" i="6"/>
  <c r="C71" i="6"/>
  <c r="C48" i="6"/>
  <c r="C85" i="6"/>
  <c r="C52" i="6"/>
  <c r="C29" i="6"/>
  <c r="C49" i="6"/>
  <c r="C63" i="6"/>
  <c r="C22" i="6"/>
  <c r="C30" i="6"/>
  <c r="C76" i="6"/>
  <c r="C111" i="6" a="1"/>
  <c r="C75" i="6"/>
  <c r="C66" i="6"/>
  <c r="C45" i="6"/>
  <c r="C98" i="6"/>
  <c r="C72" i="6"/>
  <c r="C120" i="6" a="1"/>
  <c r="C124" i="6" a="1"/>
  <c r="C5" i="6"/>
  <c r="C86" i="6"/>
  <c r="C108" i="6" a="1"/>
  <c r="C68" i="6"/>
  <c r="C118" i="6" a="1"/>
  <c r="C9" i="6"/>
  <c r="C137" i="6" a="1"/>
  <c r="C104" i="6" a="1"/>
  <c r="C112" i="6" a="1"/>
  <c r="C112" i="6" l="1"/>
  <c r="C104" i="6"/>
  <c r="C137" i="6"/>
  <c r="C118" i="6"/>
  <c r="C108" i="6"/>
  <c r="C124" i="6"/>
  <c r="C120" i="6"/>
  <c r="C111" i="6"/>
  <c r="C128" i="6"/>
  <c r="C122" i="6"/>
  <c r="C119" i="6"/>
  <c r="C106" i="6"/>
  <c r="C136" i="6"/>
  <c r="C113" i="6"/>
  <c r="C127" i="6"/>
  <c r="C123" i="6"/>
  <c r="C135" i="6"/>
  <c r="C107" i="6"/>
  <c r="C121" i="6"/>
  <c r="C105" i="6"/>
  <c r="C126" i="6"/>
  <c r="C115" i="6"/>
  <c r="C131" i="6"/>
  <c r="C133" i="6"/>
  <c r="C101" i="6"/>
  <c r="C116" i="6"/>
  <c r="C100" i="6"/>
  <c r="C129" i="6"/>
  <c r="C103" i="6"/>
  <c r="C102" i="6"/>
  <c r="C114" i="6"/>
  <c r="C117" i="6"/>
  <c r="C134" i="6"/>
  <c r="C130" i="6"/>
  <c r="C125" i="6"/>
  <c r="C132" i="6"/>
  <c r="E12" i="3"/>
  <c r="E11" i="3"/>
  <c r="E9" i="3"/>
  <c r="D5" i="3"/>
  <c r="E7" i="3"/>
  <c r="D15" i="3"/>
  <c r="M53" i="3"/>
  <c r="B12" i="3" s="1"/>
  <c r="E10" i="3"/>
  <c r="E5" i="3"/>
  <c r="C29" i="3"/>
  <c r="C13" i="3" s="1"/>
  <c r="G13" i="3" s="1"/>
  <c r="M48" i="3"/>
  <c r="B7" i="3" s="1"/>
  <c r="M50" i="3"/>
  <c r="B9" i="3" s="1"/>
  <c r="G9" i="3" s="1"/>
  <c r="E4" i="3"/>
  <c r="G18" i="3"/>
  <c r="M45" i="3"/>
  <c r="M54" i="3"/>
  <c r="B15" i="3" s="1"/>
  <c r="B56" i="3"/>
  <c r="D4" i="3"/>
  <c r="M47" i="3"/>
  <c r="B6" i="3" s="1"/>
  <c r="E6" i="3"/>
  <c r="M52" i="3"/>
  <c r="B11" i="3" s="1"/>
  <c r="M51" i="3"/>
  <c r="B10" i="3" s="1"/>
  <c r="F4" i="3"/>
  <c r="F16" i="3" s="1"/>
  <c r="C18" i="3"/>
  <c r="M49" i="3"/>
  <c r="B8" i="3" s="1"/>
  <c r="G8" i="3" s="1"/>
  <c r="M46" i="3"/>
  <c r="B5" i="3" s="1"/>
  <c r="G12" i="3" l="1"/>
  <c r="G7" i="3"/>
  <c r="C16" i="3"/>
  <c r="G11" i="3"/>
  <c r="G15" i="3"/>
  <c r="D16" i="3"/>
  <c r="G10" i="3"/>
  <c r="G5" i="3"/>
  <c r="G6" i="3"/>
  <c r="B4" i="3"/>
  <c r="K43" i="3"/>
  <c r="E16" i="3"/>
  <c r="B16" i="3" l="1"/>
  <c r="G4" i="3"/>
  <c r="G16" i="3" s="1"/>
  <c r="A1" i="3" s="1"/>
  <c r="K36" i="2" l="1"/>
  <c r="J36" i="2"/>
  <c r="I36" i="2"/>
  <c r="H36" i="2"/>
  <c r="S35" i="2"/>
  <c r="R35" i="2"/>
  <c r="Q35" i="2"/>
  <c r="N35" i="2"/>
  <c r="M35" i="2"/>
  <c r="L35" i="2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Q36" i="2" s="1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R36" i="2" s="1"/>
  <c r="Q10" i="2"/>
  <c r="N10" i="2"/>
  <c r="M10" i="2"/>
  <c r="L10" i="2"/>
  <c r="S9" i="2"/>
  <c r="R9" i="2"/>
  <c r="Q9" i="2"/>
  <c r="N9" i="2"/>
  <c r="M9" i="2"/>
  <c r="L9" i="2"/>
  <c r="S8" i="2"/>
  <c r="R8" i="2"/>
  <c r="Q8" i="2"/>
  <c r="N8" i="2"/>
  <c r="M8" i="2"/>
  <c r="L8" i="2"/>
  <c r="S7" i="2"/>
  <c r="S36" i="2" s="1"/>
  <c r="R7" i="2"/>
  <c r="Q7" i="2"/>
  <c r="N7" i="2"/>
  <c r="M7" i="2"/>
  <c r="L7" i="2"/>
  <c r="S6" i="2"/>
  <c r="R6" i="2"/>
  <c r="Q6" i="2"/>
  <c r="N6" i="2"/>
  <c r="M6" i="2"/>
  <c r="L6" i="2"/>
  <c r="S5" i="2"/>
  <c r="R5" i="2"/>
  <c r="Q5" i="2"/>
  <c r="N5" i="2"/>
  <c r="N36" i="2" s="1"/>
  <c r="M5" i="2"/>
  <c r="M36" i="2" s="1"/>
  <c r="L5" i="2"/>
  <c r="F5" i="2"/>
  <c r="F6" i="2" s="1"/>
  <c r="A2" i="2"/>
  <c r="F7" i="2" l="1"/>
  <c r="O6" i="2"/>
  <c r="O5" i="2"/>
  <c r="G5" i="2"/>
  <c r="G7" i="2"/>
  <c r="P7" i="2" s="1"/>
  <c r="L36" i="2"/>
  <c r="G6" i="2"/>
  <c r="P6" i="2" s="1"/>
  <c r="T6" i="2" s="1"/>
  <c r="F8" i="2" l="1"/>
  <c r="O7" i="2"/>
  <c r="T7" i="2" s="1"/>
  <c r="P5" i="2"/>
  <c r="T5" i="2" l="1"/>
  <c r="F9" i="2"/>
  <c r="O8" i="2"/>
  <c r="G8" i="2"/>
  <c r="P8" i="2" l="1"/>
  <c r="O9" i="2"/>
  <c r="F10" i="2"/>
  <c r="G9" i="2"/>
  <c r="P9" i="2" s="1"/>
  <c r="F11" i="2" l="1"/>
  <c r="O10" i="2"/>
  <c r="G10" i="2"/>
  <c r="P10" i="2" s="1"/>
  <c r="T9" i="2"/>
  <c r="T8" i="2"/>
  <c r="F12" i="2" l="1"/>
  <c r="O11" i="2"/>
  <c r="G11" i="2"/>
  <c r="P11" i="2" s="1"/>
  <c r="T10" i="2"/>
  <c r="F13" i="2" l="1"/>
  <c r="O12" i="2"/>
  <c r="G12" i="2"/>
  <c r="P12" i="2" s="1"/>
  <c r="T11" i="2"/>
  <c r="F14" i="2" l="1"/>
  <c r="O13" i="2"/>
  <c r="G13" i="2"/>
  <c r="P13" i="2" s="1"/>
  <c r="T12" i="2"/>
  <c r="T13" i="2" l="1"/>
  <c r="F15" i="2"/>
  <c r="O14" i="2"/>
  <c r="G14" i="2"/>
  <c r="P14" i="2" s="1"/>
  <c r="F16" i="2" l="1"/>
  <c r="O15" i="2"/>
  <c r="G15" i="2"/>
  <c r="P15" i="2" s="1"/>
  <c r="T14" i="2"/>
  <c r="T15" i="2" l="1"/>
  <c r="O16" i="2"/>
  <c r="F17" i="2"/>
  <c r="G16" i="2"/>
  <c r="P16" i="2" s="1"/>
  <c r="F18" i="2" l="1"/>
  <c r="O17" i="2"/>
  <c r="G17" i="2"/>
  <c r="P17" i="2" s="1"/>
  <c r="T16" i="2"/>
  <c r="T17" i="2" l="1"/>
  <c r="O18" i="2"/>
  <c r="F19" i="2"/>
  <c r="G18" i="2"/>
  <c r="P18" i="2" s="1"/>
  <c r="O19" i="2" l="1"/>
  <c r="F20" i="2"/>
  <c r="G19" i="2"/>
  <c r="P19" i="2" s="1"/>
  <c r="T18" i="2"/>
  <c r="F21" i="2" l="1"/>
  <c r="O20" i="2"/>
  <c r="G20" i="2"/>
  <c r="P20" i="2" s="1"/>
  <c r="T19" i="2"/>
  <c r="T20" i="2" l="1"/>
  <c r="F22" i="2"/>
  <c r="O21" i="2"/>
  <c r="G21" i="2"/>
  <c r="P21" i="2" s="1"/>
  <c r="F23" i="2" l="1"/>
  <c r="O22" i="2"/>
  <c r="G22" i="2"/>
  <c r="P22" i="2" s="1"/>
  <c r="T21" i="2"/>
  <c r="T22" i="2" l="1"/>
  <c r="O23" i="2"/>
  <c r="F24" i="2"/>
  <c r="G23" i="2"/>
  <c r="P23" i="2" s="1"/>
  <c r="O24" i="2" l="1"/>
  <c r="F25" i="2"/>
  <c r="G24" i="2"/>
  <c r="P24" i="2" s="1"/>
  <c r="T23" i="2"/>
  <c r="O25" i="2" l="1"/>
  <c r="F26" i="2"/>
  <c r="G25" i="2"/>
  <c r="P25" i="2" s="1"/>
  <c r="T24" i="2"/>
  <c r="O26" i="2" l="1"/>
  <c r="F27" i="2"/>
  <c r="G26" i="2"/>
  <c r="P26" i="2" s="1"/>
  <c r="T25" i="2"/>
  <c r="F28" i="2" l="1"/>
  <c r="O27" i="2"/>
  <c r="G27" i="2"/>
  <c r="P27" i="2" s="1"/>
  <c r="T26" i="2"/>
  <c r="T27" i="2" l="1"/>
  <c r="O28" i="2"/>
  <c r="F29" i="2"/>
  <c r="G28" i="2"/>
  <c r="P28" i="2" s="1"/>
  <c r="T28" i="2" l="1"/>
  <c r="O29" i="2"/>
  <c r="F30" i="2"/>
  <c r="G29" i="2"/>
  <c r="P29" i="2" s="1"/>
  <c r="T29" i="2" l="1"/>
  <c r="F31" i="2"/>
  <c r="O30" i="2"/>
  <c r="G30" i="2"/>
  <c r="P30" i="2" s="1"/>
  <c r="T30" i="2" l="1"/>
  <c r="O31" i="2"/>
  <c r="F32" i="2"/>
  <c r="G31" i="2"/>
  <c r="P31" i="2" s="1"/>
  <c r="F33" i="2" l="1"/>
  <c r="O32" i="2"/>
  <c r="G32" i="2"/>
  <c r="P32" i="2" s="1"/>
  <c r="T31" i="2"/>
  <c r="T32" i="2" l="1"/>
  <c r="F34" i="2"/>
  <c r="O33" i="2"/>
  <c r="G33" i="2"/>
  <c r="P33" i="2" s="1"/>
  <c r="T33" i="2" l="1"/>
  <c r="O34" i="2"/>
  <c r="F35" i="2"/>
  <c r="G34" i="2"/>
  <c r="P34" i="2" s="1"/>
  <c r="O35" i="2" l="1"/>
  <c r="G35" i="2"/>
  <c r="F36" i="2"/>
  <c r="T34" i="2"/>
  <c r="P35" i="2" l="1"/>
  <c r="P36" i="2" s="1"/>
  <c r="G36" i="2"/>
  <c r="T35" i="2"/>
  <c r="T36" i="2" s="1"/>
  <c r="T37" i="2" s="1"/>
  <c r="A1" i="2" s="1"/>
  <c r="O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<sst xmlns="http://schemas.openxmlformats.org/spreadsheetml/2006/main" count="1629" uniqueCount="203">
  <si>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</si>
  <si>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</si>
  <si>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</si>
  <si>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</si>
  <si>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</si>
  <si>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</si>
  <si>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</si>
  <si>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</si>
  <si>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</si>
  <si>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</si>
  <si>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</si>
  <si>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</si>
  <si>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</si>
  <si>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</si>
  <si>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</si>
  <si>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</si>
  <si>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</si>
  <si>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</si>
  <si>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</si>
  <si>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</si>
  <si>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</si>
  <si>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</si>
  <si>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</si>
  <si>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</si>
  <si>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</si>
  <si>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</si>
  <si>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</si>
  <si>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</si>
  <si>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</si>
  <si>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</si>
  <si>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</si>
  <si>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</si>
  <si>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</si>
  <si>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</si>
  <si>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</si>
  <si>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</si>
  <si>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</si>
  <si>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</si>
  <si>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Монастырка</t>
  </si>
  <si>
    <t>Березовая Пойма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</si>
  <si>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</si>
  <si>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</si>
  <si>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</si>
  <si>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</si>
  <si>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</si>
  <si>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</si>
  <si>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</si>
  <si>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</si>
  <si>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</si>
  <si>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</si>
  <si>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</si>
  <si>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</si>
  <si>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</si>
  <si>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</si>
  <si>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</si>
  <si>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</si>
  <si>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</si>
  <si>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</si>
  <si>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</si>
  <si>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</si>
  <si>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</si>
  <si>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</si>
  <si>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МТО 2520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</si>
  <si>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</si>
  <si>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</si>
  <si>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</si>
  <si>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</si>
  <si>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</si>
  <si>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</si>
  <si>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</si>
  <si>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</si>
  <si>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</si>
  <si>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</si>
  <si>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</si>
  <si>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</si>
  <si>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</si>
  <si>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</si>
  <si>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</si>
  <si>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</si>
  <si>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</si>
  <si>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</si>
  <si>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</si>
  <si>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</si>
  <si>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</si>
  <si>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</si>
  <si>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</si>
  <si>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</si>
  <si>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</si>
  <si>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</si>
  <si>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</si>
  <si>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</si>
  <si>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</si>
  <si>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</si>
  <si>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</si>
  <si>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КП КОС</t>
  </si>
  <si>
    <t>КП Нижнекамск</t>
  </si>
  <si>
    <t>Отчет по хранению  товара  за Май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</si>
  <si>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</si>
  <si>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</si>
  <si>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</si>
  <si>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</si>
  <si>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</si>
  <si>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</si>
  <si>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</si>
  <si>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</si>
  <si>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</si>
  <si>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</si>
  <si>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</si>
  <si>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Май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</si>
  <si>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</si>
  <si>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</si>
  <si>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</si>
  <si>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</si>
  <si>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</si>
  <si>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</si>
  <si>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</si>
  <si>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</si>
  <si>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</si>
  <si>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Май</t>
  </si>
  <si>
    <t>ручная загрузка</t>
  </si>
  <si>
    <t>стоимость загр.. Работ</t>
  </si>
  <si>
    <t>мультипак</t>
  </si>
  <si>
    <t>шт,.</t>
  </si>
  <si>
    <t>Отчет по хранению  товара  Ергарда за Май</t>
  </si>
  <si>
    <t xml:space="preserve">по Договору хранения № СХ.47103 от «10» апреля 2025 г.      </t>
  </si>
  <si>
    <t xml:space="preserve">     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</si>
  <si>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</si>
  <si>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</si>
  <si>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</si>
  <si>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</si>
  <si>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</si>
  <si>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</si>
  <si>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двадцать шесть тысяч рублей ноль копеек</t>
  </si>
  <si>
    <t xml:space="preserve">Без налога (НДС): </t>
  </si>
  <si>
    <t>тридцать одна тысяча семьсот двадцать рублей ноль копеек</t>
  </si>
  <si>
    <t>ПАО "СИБУР Холдинг"</t>
  </si>
  <si>
    <t>____________________Расстегаев Д.О.</t>
  </si>
  <si>
    <t>две тысячи рублей ноль копеек</t>
  </si>
  <si>
    <t>две тысячи четыреста сорок рублей ноль копеек</t>
  </si>
  <si>
    <t>Отчет по хранению товара за Май 2026 Баумана KPI</t>
  </si>
  <si>
    <t>Резервирование 0</t>
  </si>
  <si>
    <t>Мин. Суточный резерв 0</t>
  </si>
  <si>
    <t>Взвешивание</t>
  </si>
  <si>
    <t>стоимость взвешивания</t>
  </si>
  <si>
    <t>стоимость выгрузки за 1 месяц</t>
  </si>
  <si>
    <t>стоимость загрузки за 1 месяц</t>
  </si>
  <si>
    <t>стоимость хранения 
за 1 месяц</t>
  </si>
  <si>
    <t>Доплата за хранение за 1 месяц</t>
  </si>
  <si>
    <t>Доплата за ПРР за 1 месяц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</si>
  <si>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</si>
  <si>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</si>
  <si>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</si>
  <si>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</si>
  <si>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</si>
  <si>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</si>
  <si>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</si>
  <si>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</si>
  <si>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</si>
  <si>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</si>
  <si>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</si>
  <si>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</si>
  <si>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</si>
  <si>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</si>
  <si>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</si>
  <si>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</si>
  <si>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</si>
  <si>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</si>
  <si>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</si>
  <si>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</si>
  <si>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</si>
  <si>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</si>
  <si>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</si>
  <si>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</si>
  <si>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</si>
  <si>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</si>
  <si>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</si>
  <si>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</si>
  <si>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</si>
  <si>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</si>
  <si>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</si>
  <si>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Отчет по хранению товара за Май 2026 Баумана Полимеры</t>
  </si>
  <si>
    <t>Отчет по хранению товара за Май 2026 Баумана Полиом</t>
  </si>
  <si>
    <t>Отчет по хранению товара за Май 2026 Екатеринбург KPI</t>
  </si>
  <si>
    <t>Отчет по хранению товара за Май 2026 Екатеринбург НПЭГ</t>
  </si>
  <si>
    <t>Отчет по хранению товара за Май 2026 Екатеринбург Полимеры</t>
  </si>
  <si>
    <t>Отчет по хранению товара за Май 2026 Екатеринбург Полиом</t>
  </si>
  <si>
    <t>Отчет по хранению товара за Май 2026 Зеленодольск Данафлекс</t>
  </si>
  <si>
    <t>Отчет по хранению товара за Май 2026 Зеленодольск Полимеры</t>
  </si>
  <si>
    <t>Отчет по хранению товара за Май 2026 Казань_Автосервисная Полимеры</t>
  </si>
  <si>
    <t>Резервирование 0 т</t>
  </si>
  <si>
    <t>стоимость хранения за 1 месяц</t>
  </si>
  <si>
    <t>Отчет по хранению товара за Май 2026 Казань_Автосервисная Полиом</t>
  </si>
  <si>
    <t>Отчет по хранению товара за Май 2026 Казань_Приволжская Полимеры</t>
  </si>
  <si>
    <t>Отчет по хранению товара за Май 2026 Новикова-Прибоя KPI</t>
  </si>
  <si>
    <t>Отчет по хранению товара за Май 2026 Новикова-Прибоя Полимеры</t>
  </si>
  <si>
    <t>Отчет по хранению товара за Май 2026 Новикова-Прибоя Полиом</t>
  </si>
  <si>
    <t>Отчет по хранению товара за Май 2026 Новосибирск KPI</t>
  </si>
  <si>
    <t>Отчет по хранению товара за Май 2026 Новосибирск Полимеры</t>
  </si>
  <si>
    <t>Отчет по хранению товара за Май 2026 Новосибирск Полиом</t>
  </si>
  <si>
    <t>Отчет по хранению товара за Май 2026 Новосибирск Порошок Порошок</t>
  </si>
  <si>
    <t>Отчет по хранению товара за Май 2026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</si>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</sst>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₽&quot;#,##0.00_);\(&quot;₽&quot;#,##0.00\)"/>
    <numFmt numFmtId="44" formatCode="_(&quot;₽&quot;* #,##0.00_);_(&quot;₽&quot;* \(#,##0.00\);_(&quot;₽&quot;* &quot;-&quot;??_);_(@_)"/>
    <numFmt numFmtId="164" formatCode="0.000000"/>
    <numFmt numFmtId="165" formatCode="0.000"/>
    <numFmt numFmtId="166" formatCode="0.0000"/>
    <numFmt numFmtId="167" formatCode="#,##0.00\ &quot;₽&quot;"/>
    <numFmt numFmtId="168" formatCode="_-* #,##0.00\ &quot;₽&quot;_-;\-* #,##0.00\ &quot;₽&quot;_-;_-* &quot;-&quot;??\ &quot;₽&quot;_-;_-@"/>
  </numFmts>
  <fonts count="12">
    <font>
      <sz val="11"/>
      <color theme="1"/>
      <name val="Calibri"/>
      <family val="2"/>
      <charset val="204"/>
    </font>
    <font>
      <sz val="12"/>
      <color theme="1"/>
      <name val="0xProto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ptos Narrow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72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44" fontId="3" fillId="0" borderId="0" applyFont="0" applyFill="0" applyBorder="0" applyAlignment="0" applyProtection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</cellStyleXfs>
  <cellXfs count="184">
    <xf numFmtId="0" fontId="0" fillId="0" borderId="0" xfId="0"/>
    <xf numFmtId="0" fontId="6" fillId="0" borderId="9" xfId="6" applyFont="1" applyBorder="1" applyAlignment="1">
      <alignment horizontal="center"/>
    </xf>
    <xf numFmtId="0" fontId="6" fillId="0" borderId="24" xfId="6" applyFont="1" applyBorder="1" applyAlignment="1">
      <alignment horizontal="center"/>
    </xf>
    <xf numFmtId="0" fontId="6" fillId="0" borderId="16" xfId="6" applyFont="1" applyBorder="1"/>
    <xf numFmtId="0" fontId="6" fillId="0" borderId="0" xfId="6" applyFont="1"/>
    <xf numFmtId="0" fontId="6" fillId="0" borderId="5" xfId="6" applyFont="1" applyBorder="1"/>
    <xf numFmtId="167" fontId="6" fillId="0" borderId="5" xfId="6" applyNumberFormat="1" applyFont="1" applyBorder="1"/>
    <xf numFmtId="167" fontId="7" fillId="0" borderId="5" xfId="5" applyNumberFormat="1" applyFont="1" applyBorder="1" applyAlignment="1">
      <alignment horizontal="right" vertical="center" wrapText="1"/>
    </xf>
    <xf numFmtId="167" fontId="7" fillId="0" borderId="8" xfId="5" applyNumberFormat="1" applyFont="1" applyBorder="1" applyAlignment="1">
      <alignment horizontal="right" vertical="center" wrapText="1"/>
    </xf>
    <xf numFmtId="44" fontId="7" fillId="0" borderId="0" xfId="5" applyFont="1" applyBorder="1" applyAlignment="1">
      <alignment horizontal="center" vertical="center" wrapText="1"/>
    </xf>
    <xf numFmtId="0" fontId="6" fillId="0" borderId="8" xfId="6" applyFont="1" applyBorder="1"/>
    <xf numFmtId="167" fontId="6" fillId="0" borderId="8" xfId="6" applyNumberFormat="1" applyFont="1" applyBorder="1"/>
    <xf numFmtId="167" fontId="6" fillId="0" borderId="0" xfId="6" applyNumberFormat="1" applyFont="1"/>
    <xf numFmtId="0" fontId="6" fillId="0" borderId="31" xfId="6" applyFont="1" applyBorder="1" applyAlignment="1">
      <alignment horizontal="center"/>
    </xf>
    <xf numFmtId="0" fontId="6" fillId="0" borderId="32" xfId="6" applyFont="1" applyBorder="1" applyAlignment="1">
      <alignment horizontal="center"/>
    </xf>
    <xf numFmtId="0" fontId="6" fillId="0" borderId="33" xfId="6" applyFont="1" applyBorder="1" applyAlignment="1">
      <alignment horizontal="center"/>
    </xf>
    <xf numFmtId="0" fontId="6" fillId="0" borderId="34" xfId="6" applyFont="1" applyBorder="1" applyAlignment="1">
      <alignment horizontal="center"/>
    </xf>
    <xf numFmtId="0" fontId="6" fillId="0" borderId="0" xfId="6" applyFont="1" applyAlignment="1">
      <alignment horizontal="center"/>
    </xf>
    <xf numFmtId="167" fontId="7" fillId="0" borderId="0" xfId="5" applyNumberFormat="1" applyFont="1" applyBorder="1" applyAlignment="1">
      <alignment horizontal="right" vertical="center" wrapText="1"/>
    </xf>
    <xf numFmtId="167" fontId="7" fillId="0" borderId="0" xfId="5" applyNumberFormat="1" applyFont="1" applyBorder="1" applyAlignment="1">
      <alignment horizontal="center" vertical="center" wrapText="1"/>
    </xf>
    <xf numFmtId="0" fontId="7" fillId="0" borderId="8" xfId="6" applyFont="1" applyBorder="1" applyAlignment="1">
      <alignment horizontal="center"/>
    </xf>
    <xf numFmtId="0" fontId="6" fillId="0" borderId="38" xfId="1" applyFont="1" applyBorder="1"/>
    <xf numFmtId="0" fontId="6" fillId="0" borderId="36" xfId="1" applyFont="1" applyBorder="1"/>
    <xf numFmtId="0" fontId="8" fillId="0" borderId="14" xfId="1" applyFont="1" applyBorder="1" applyAlignment="1">
      <alignment horizontal="center" vertical="center" wrapText="1"/>
    </xf>
    <xf numFmtId="0" fontId="6" fillId="0" borderId="39" xfId="1" applyFont="1" applyBorder="1"/>
    <xf numFmtId="0" fontId="8" fillId="0" borderId="40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  <xf numFmtId="168" fontId="8" fillId="0" borderId="43" xfId="1" applyNumberFormat="1" applyFont="1" applyBorder="1" applyAlignment="1">
      <alignment horizontal="center" vertical="center" wrapText="1"/>
    </xf>
    <xf numFmtId="0" fontId="6" fillId="0" borderId="44" xfId="1" applyFont="1" applyBorder="1"/>
    <xf numFmtId="0" fontId="6" fillId="0" borderId="45" xfId="1" applyFont="1" applyBorder="1"/>
    <xf numFmtId="0" fontId="6" fillId="0" borderId="46" xfId="1" applyFont="1" applyBorder="1"/>
    <xf numFmtId="0" fontId="8" fillId="0" borderId="46" xfId="1" applyFont="1" applyBorder="1" applyAlignment="1">
      <alignment horizontal="center" vertical="center" wrapText="1"/>
    </xf>
    <xf numFmtId="0" fontId="8" fillId="0" borderId="47" xfId="1" applyFont="1" applyBorder="1" applyAlignment="1">
      <alignment horizontal="center" vertical="center" wrapText="1"/>
    </xf>
    <xf numFmtId="0" fontId="6" fillId="0" borderId="48" xfId="1" applyFont="1" applyBorder="1"/>
    <xf numFmtId="0" fontId="6" fillId="0" borderId="49" xfId="1" applyFont="1" applyBorder="1"/>
    <xf numFmtId="0" fontId="6" fillId="0" borderId="51" xfId="1" applyFont="1" applyBorder="1"/>
    <xf numFmtId="167" fontId="2" fillId="0" borderId="5" xfId="1" applyNumberFormat="1" applyFont="1" applyBorder="1" applyAlignment="1">
      <alignment horizontal="right"/>
    </xf>
    <xf numFmtId="168" fontId="8" fillId="0" borderId="5" xfId="1" applyNumberFormat="1" applyFont="1" applyBorder="1" applyAlignment="1">
      <alignment horizontal="right"/>
    </xf>
    <xf numFmtId="168" fontId="8" fillId="0" borderId="8" xfId="1" applyNumberFormat="1" applyFont="1" applyBorder="1" applyAlignment="1">
      <alignment horizontal="right"/>
    </xf>
    <xf numFmtId="0" fontId="6" fillId="0" borderId="53" xfId="1" applyFont="1" applyBorder="1"/>
    <xf numFmtId="0" fontId="8" fillId="0" borderId="16" xfId="1" applyFont="1" applyBorder="1" applyAlignment="1">
      <alignment horizontal="center"/>
    </xf>
    <xf numFmtId="167" fontId="8" fillId="0" borderId="17" xfId="1" applyNumberFormat="1" applyFont="1" applyBorder="1" applyAlignment="1">
      <alignment horizontal="right"/>
    </xf>
    <xf numFmtId="167" fontId="8" fillId="0" borderId="54" xfId="1" applyNumberFormat="1" applyFont="1" applyBorder="1" applyAlignment="1">
      <alignment horizontal="right"/>
    </xf>
    <xf numFmtId="168" fontId="8" fillId="0" borderId="55" xfId="1" applyNumberFormat="1" applyFont="1" applyBorder="1" applyAlignment="1">
      <alignment horizontal="right"/>
    </xf>
    <xf numFmtId="0" fontId="0" fillId="0" borderId="0" xfId="0" applyFont="1"/>
    <xf numFmtId="44" fontId="2" fillId="0" borderId="0" xfId="1" applyNumberFormat="1" applyFont="1"/>
    <xf numFmtId="0" fontId="2" fillId="0" borderId="0" xfId="1" applyFont="1"/>
    <xf numFmtId="0" fontId="2" fillId="0" borderId="0" xfId="1" quotePrefix="1" applyFont="1"/>
    <xf numFmtId="0" fontId="8" fillId="0" borderId="2" xfId="1" applyFont="1" applyBorder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  <xf numFmtId="0" fontId="8" fillId="0" borderId="2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8" fillId="0" borderId="6" xfId="1" applyFont="1" applyBorder="1" applyAlignment="1">
      <alignment horizontal="center" wrapText="1"/>
    </xf>
    <xf numFmtId="0" fontId="8" fillId="0" borderId="7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/>
    </xf>
    <xf numFmtId="0" fontId="6" fillId="0" borderId="10" xfId="3" applyFont="1" applyBorder="1" applyAlignment="1">
      <alignment vertical="top"/>
    </xf>
    <xf numFmtId="164" fontId="6" fillId="0" borderId="10" xfId="4" applyNumberFormat="1" applyFont="1" applyBorder="1" applyAlignment="1">
      <alignment horizontal="right" vertical="top"/>
    </xf>
    <xf numFmtId="164" fontId="6" fillId="0" borderId="11" xfId="2" applyNumberFormat="1" applyFont="1" applyBorder="1" applyAlignment="1">
      <alignment horizontal="right" vertical="top"/>
    </xf>
    <xf numFmtId="165" fontId="2" fillId="0" borderId="11" xfId="1" applyNumberFormat="1" applyFont="1" applyBorder="1"/>
    <xf numFmtId="0" fontId="2" fillId="0" borderId="11" xfId="1" applyFont="1" applyBorder="1"/>
    <xf numFmtId="44" fontId="2" fillId="0" borderId="11" xfId="1" applyNumberFormat="1" applyFont="1" applyBorder="1"/>
    <xf numFmtId="0" fontId="2" fillId="0" borderId="11" xfId="1" applyFont="1" applyBorder="1" applyAlignment="1">
      <alignment horizontal="center"/>
    </xf>
    <xf numFmtId="0" fontId="6" fillId="0" borderId="10" xfId="3" applyFont="1" applyBorder="1" applyAlignment="1">
      <alignment horizontal="right" vertical="top"/>
    </xf>
    <xf numFmtId="166" fontId="6" fillId="0" borderId="10" xfId="3" applyNumberFormat="1" applyFont="1" applyBorder="1" applyAlignment="1">
      <alignment horizontal="right" vertical="top"/>
    </xf>
    <xf numFmtId="0" fontId="2" fillId="0" borderId="12" xfId="1" applyFont="1" applyBorder="1"/>
    <xf numFmtId="165" fontId="6" fillId="0" borderId="10" xfId="3" applyNumberFormat="1" applyFont="1" applyBorder="1" applyAlignment="1">
      <alignment horizontal="right" vertical="top"/>
    </xf>
    <xf numFmtId="165" fontId="8" fillId="0" borderId="11" xfId="1" applyNumberFormat="1" applyFont="1" applyBorder="1"/>
    <xf numFmtId="1" fontId="8" fillId="0" borderId="11" xfId="1" applyNumberFormat="1" applyFont="1" applyBorder="1"/>
    <xf numFmtId="44" fontId="8" fillId="0" borderId="11" xfId="1" applyNumberFormat="1" applyFont="1" applyBorder="1"/>
    <xf numFmtId="0" fontId="8" fillId="0" borderId="0" xfId="1" applyFont="1"/>
    <xf numFmtId="44" fontId="9" fillId="0" borderId="11" xfId="1" applyNumberFormat="1" applyFont="1" applyBorder="1"/>
    <xf numFmtId="164" fontId="2" fillId="0" borderId="0" xfId="1" applyNumberFormat="1" applyFont="1"/>
    <xf numFmtId="0" fontId="8" fillId="0" borderId="1" xfId="1" applyFont="1" applyBorder="1" applyAlignment="1">
      <alignment horizontal="center"/>
    </xf>
    <xf numFmtId="14" fontId="7" fillId="2" borderId="9" xfId="2" applyNumberFormat="1" applyFont="1" applyFill="1" applyBorder="1" applyAlignment="1">
      <alignment horizontal="center" vertical="top"/>
    </xf>
    <xf numFmtId="0" fontId="7" fillId="2" borderId="9" xfId="2" applyFont="1" applyFill="1" applyBorder="1" applyAlignment="1">
      <alignment horizontal="center" vertical="top"/>
    </xf>
    <xf numFmtId="0" fontId="7" fillId="0" borderId="14" xfId="6" applyFont="1" applyBorder="1" applyAlignment="1">
      <alignment horizontal="center"/>
    </xf>
    <xf numFmtId="0" fontId="7" fillId="0" borderId="15" xfId="6" applyFont="1" applyBorder="1" applyAlignment="1">
      <alignment horizontal="center"/>
    </xf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0" fontId="7" fillId="0" borderId="18" xfId="6" applyFont="1" applyBorder="1" applyAlignment="1">
      <alignment horizontal="center"/>
    </xf>
    <xf numFmtId="44" fontId="6" fillId="0" borderId="19" xfId="5" applyFont="1" applyBorder="1"/>
    <xf numFmtId="167" fontId="6" fillId="0" borderId="20" xfId="5" applyNumberFormat="1" applyFont="1" applyBorder="1"/>
    <xf numFmtId="0" fontId="6" fillId="0" borderId="21" xfId="6" applyFont="1" applyBorder="1" applyAlignment="1">
      <alignment horizontal="center"/>
    </xf>
    <xf numFmtId="167" fontId="6" fillId="0" borderId="5" xfId="5" applyNumberFormat="1" applyFont="1" applyBorder="1" applyAlignment="1">
      <alignment horizontal="right"/>
    </xf>
    <xf numFmtId="167" fontId="9" fillId="0" borderId="22" xfId="5" applyNumberFormat="1" applyFont="1" applyBorder="1" applyAlignment="1">
      <alignment horizontal="right"/>
    </xf>
    <xf numFmtId="44" fontId="6" fillId="0" borderId="9" xfId="5" applyFont="1" applyBorder="1"/>
    <xf numFmtId="167" fontId="6" fillId="0" borderId="23" xfId="5" applyNumberFormat="1" applyFont="1" applyBorder="1"/>
    <xf numFmtId="44" fontId="6" fillId="0" borderId="25" xfId="5" applyFont="1" applyBorder="1"/>
    <xf numFmtId="167" fontId="6" fillId="0" borderId="26" xfId="5" applyNumberFormat="1" applyFont="1" applyBorder="1"/>
    <xf numFmtId="167" fontId="8" fillId="0" borderId="27" xfId="5" applyNumberFormat="1" applyFont="1" applyBorder="1" applyAlignment="1">
      <alignment horizontal="right" vertical="center"/>
    </xf>
    <xf numFmtId="44" fontId="8" fillId="0" borderId="0" xfId="5" applyFont="1" applyBorder="1" applyAlignment="1"/>
    <xf numFmtId="0" fontId="7" fillId="0" borderId="28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167" fontId="9" fillId="0" borderId="30" xfId="6" applyNumberFormat="1" applyFont="1" applyBorder="1" applyAlignment="1">
      <alignment horizontal="right"/>
    </xf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167" fontId="9" fillId="0" borderId="18" xfId="6" applyNumberFormat="1" applyFont="1" applyBorder="1" applyAlignment="1">
      <alignment horizontal="right"/>
    </xf>
    <xf numFmtId="44" fontId="9" fillId="0" borderId="0" xfId="6" applyNumberFormat="1" applyFont="1"/>
    <xf numFmtId="0" fontId="7" fillId="0" borderId="0" xfId="6" applyFont="1" applyAlignment="1">
      <alignment horizontal="center"/>
    </xf>
    <xf numFmtId="0" fontId="7" fillId="0" borderId="30" xfId="6" applyFont="1" applyBorder="1" applyAlignment="1">
      <alignment horizontal="center"/>
    </xf>
    <xf numFmtId="167" fontId="9" fillId="0" borderId="28" xfId="6" applyNumberFormat="1" applyFont="1" applyBorder="1" applyAlignment="1">
      <alignment horizontal="center"/>
    </xf>
    <xf numFmtId="167" fontId="9" fillId="0" borderId="29" xfId="6" applyNumberFormat="1" applyFont="1" applyBorder="1" applyAlignment="1">
      <alignment horizontal="center"/>
    </xf>
    <xf numFmtId="167" fontId="9" fillId="0" borderId="30" xfId="6" applyNumberFormat="1" applyFont="1" applyBorder="1" applyAlignment="1">
      <alignment horizontal="center"/>
    </xf>
    <xf numFmtId="0" fontId="7" fillId="0" borderId="35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0" fontId="7" fillId="0" borderId="27" xfId="6" applyFont="1" applyBorder="1" applyAlignment="1">
      <alignment horizontal="center"/>
    </xf>
    <xf numFmtId="0" fontId="7" fillId="0" borderId="5" xfId="6" applyFont="1" applyBorder="1" applyAlignment="1">
      <alignment horizontal="center"/>
    </xf>
    <xf numFmtId="167" fontId="6" fillId="0" borderId="5" xfId="5" applyNumberFormat="1" applyFont="1" applyBorder="1"/>
    <xf numFmtId="167" fontId="7" fillId="0" borderId="5" xfId="6" applyNumberFormat="1" applyFont="1" applyBorder="1"/>
    <xf numFmtId="44" fontId="6" fillId="0" borderId="0" xfId="5" applyFont="1" applyBorder="1"/>
    <xf numFmtId="44" fontId="7" fillId="0" borderId="0" xfId="6" applyNumberFormat="1" applyFont="1"/>
    <xf numFmtId="0" fontId="7" fillId="0" borderId="28" xfId="6" applyFont="1" applyBorder="1" applyAlignment="1">
      <alignment horizontal="center"/>
    </xf>
    <xf numFmtId="167" fontId="7" fillId="0" borderId="0" xfId="5" applyNumberFormat="1" applyFont="1" applyBorder="1" applyAlignment="1">
      <alignment horizontal="center" vertical="center"/>
    </xf>
    <xf numFmtId="44" fontId="7" fillId="0" borderId="13" xfId="6" applyNumberFormat="1" applyFont="1" applyBorder="1" applyAlignment="1">
      <alignment vertical="center"/>
    </xf>
    <xf numFmtId="0" fontId="7" fillId="0" borderId="13" xfId="6" applyFont="1" applyBorder="1" applyAlignment="1">
      <alignment vertical="center"/>
    </xf>
    <xf numFmtId="167" fontId="9" fillId="0" borderId="27" xfId="5" applyNumberFormat="1" applyFont="1" applyBorder="1" applyAlignment="1">
      <alignment horizontal="right" vertical="center"/>
    </xf>
    <xf numFmtId="44" fontId="9" fillId="0" borderId="0" xfId="5" applyFont="1" applyBorder="1" applyAlignment="1"/>
    <xf numFmtId="44" fontId="2" fillId="0" borderId="0" xfId="5" applyFont="1"/>
    <xf numFmtId="0" fontId="10" fillId="0" borderId="0" xfId="1" applyFont="1"/>
    <xf numFmtId="0" fontId="2" fillId="0" borderId="8" xfId="1" applyFont="1" applyBorder="1"/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wrapText="1"/>
    </xf>
    <xf numFmtId="1" fontId="2" fillId="0" borderId="8" xfId="1" applyNumberFormat="1" applyFont="1" applyBorder="1" applyAlignment="1">
      <alignment horizontal="center" vertical="center"/>
    </xf>
    <xf numFmtId="44" fontId="2" fillId="0" borderId="8" xfId="5" applyFont="1" applyBorder="1" applyAlignment="1">
      <alignment vertical="center"/>
    </xf>
    <xf numFmtId="0" fontId="2" fillId="0" borderId="36" xfId="1" applyFont="1" applyBorder="1" applyAlignment="1">
      <alignment vertical="center" wrapText="1"/>
    </xf>
    <xf numFmtId="0" fontId="2" fillId="0" borderId="8" xfId="1" applyFont="1" applyBorder="1" applyAlignment="1">
      <alignment horizontal="left" vertical="top" wrapText="1"/>
    </xf>
    <xf numFmtId="44" fontId="2" fillId="0" borderId="8" xfId="5" applyFont="1" applyBorder="1"/>
    <xf numFmtId="44" fontId="8" fillId="0" borderId="0" xfId="5" applyFont="1"/>
    <xf numFmtId="44" fontId="8" fillId="0" borderId="0" xfId="5" applyFont="1" applyFill="1" applyBorder="1"/>
    <xf numFmtId="44" fontId="2" fillId="0" borderId="0" xfId="8" applyFont="1"/>
    <xf numFmtId="0" fontId="2" fillId="0" borderId="0" xfId="7" applyFont="1"/>
    <xf numFmtId="167" fontId="2" fillId="0" borderId="8" xfId="1" applyNumberFormat="1" applyFont="1" applyBorder="1" applyAlignment="1">
      <alignment horizontal="center"/>
    </xf>
    <xf numFmtId="0" fontId="2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center" vertical="center"/>
    </xf>
    <xf numFmtId="0" fontId="2" fillId="3" borderId="8" xfId="1" applyFont="1" applyFill="1" applyBorder="1"/>
    <xf numFmtId="0" fontId="8" fillId="0" borderId="16" xfId="1" applyFont="1" applyBorder="1"/>
    <xf numFmtId="0" fontId="8" fillId="0" borderId="17" xfId="1" applyFont="1" applyBorder="1"/>
    <xf numFmtId="1" fontId="8" fillId="0" borderId="17" xfId="1" applyNumberFormat="1" applyFont="1" applyBorder="1"/>
    <xf numFmtId="165" fontId="8" fillId="0" borderId="17" xfId="1" applyNumberFormat="1" applyFont="1" applyBorder="1"/>
    <xf numFmtId="167" fontId="9" fillId="0" borderId="18" xfId="1" applyNumberFormat="1" applyFont="1" applyBorder="1"/>
    <xf numFmtId="14" fontId="7" fillId="3" borderId="9" xfId="9" applyNumberFormat="1" applyFont="1" applyFill="1" applyBorder="1" applyAlignment="1">
      <alignment horizontal="center" vertical="top"/>
    </xf>
    <xf numFmtId="0" fontId="7" fillId="3" borderId="9" xfId="9" applyFont="1" applyFill="1" applyBorder="1" applyAlignment="1">
      <alignment horizontal="center" vertical="top"/>
    </xf>
    <xf numFmtId="0" fontId="6" fillId="0" borderId="8" xfId="10" applyFont="1" applyBorder="1" applyAlignment="1">
      <alignment horizontal="center" vertical="top"/>
    </xf>
    <xf numFmtId="0" fontId="6" fillId="3" borderId="8" xfId="10" applyFont="1" applyFill="1" applyBorder="1" applyAlignment="1">
      <alignment horizontal="center" vertical="top"/>
    </xf>
    <xf numFmtId="168" fontId="2" fillId="0" borderId="0" xfId="1" applyNumberFormat="1" applyFont="1"/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5" xfId="1" applyFont="1" applyBorder="1" applyAlignment="1">
      <alignment horizontal="center" vertical="top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 vertical="top"/>
    </xf>
    <xf numFmtId="0" fontId="2" fillId="0" borderId="8" xfId="1" applyFont="1" applyBorder="1" applyAlignment="1">
      <alignment horizontal="center" wrapText="1"/>
    </xf>
    <xf numFmtId="0" fontId="2" fillId="5" borderId="8" xfId="1" applyFont="1" applyFill="1" applyBorder="1" applyAlignment="1">
      <alignment horizontal="center" vertical="top"/>
    </xf>
    <xf numFmtId="0" fontId="2" fillId="5" borderId="8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wrapText="1"/>
    </xf>
    <xf numFmtId="0" fontId="8" fillId="0" borderId="19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14" fontId="8" fillId="4" borderId="50" xfId="1" applyNumberFormat="1" applyFont="1" applyFill="1" applyBorder="1" applyAlignment="1">
      <alignment horizontal="center" vertical="top"/>
    </xf>
    <xf numFmtId="14" fontId="8" fillId="4" borderId="52" xfId="1" applyNumberFormat="1" applyFont="1" applyFill="1" applyBorder="1" applyAlignment="1">
      <alignment horizontal="center" vertical="top"/>
    </xf>
    <xf numFmtId="168" fontId="9" fillId="0" borderId="20" xfId="1" applyNumberFormat="1" applyFont="1" applyBorder="1" applyAlignment="1">
      <alignment horizontal="center"/>
    </xf>
    <xf numFmtId="4" fontId="2" fillId="0" borderId="0" xfId="1" applyNumberFormat="1" applyFont="1"/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4" fontId="2" fillId="0" borderId="8" xfId="1" applyNumberFormat="1" applyFont="1" applyBorder="1"/>
    <xf numFmtId="0" fontId="6" fillId="0" borderId="8" xfId="11" applyFont="1" applyBorder="1" applyAlignment="1">
      <alignment horizontal="center" vertical="top"/>
    </xf>
    <xf numFmtId="0" fontId="6" fillId="0" borderId="8" xfId="12" applyFont="1" applyBorder="1" applyAlignment="1">
      <alignment horizontal="center" vertical="top"/>
    </xf>
    <xf numFmtId="0" fontId="2" fillId="0" borderId="0" xfId="1" applyFont="1" applyAlignment="1">
      <alignment horizontal="center" vertical="center"/>
    </xf>
    <xf numFmtId="1" fontId="2" fillId="0" borderId="0" xfId="1" applyNumberFormat="1" applyFont="1"/>
    <xf numFmtId="165" fontId="6" fillId="0" borderId="10" xfId="4" applyNumberFormat="1" applyFont="1" applyBorder="1" applyAlignment="1">
      <alignment horizontal="right" vertical="top"/>
    </xf>
    <xf numFmtId="165" fontId="6" fillId="0" borderId="11" xfId="2" applyNumberFormat="1" applyFont="1" applyBorder="1" applyAlignment="1">
      <alignment horizontal="right" vertical="top"/>
    </xf>
    <xf numFmtId="7" fontId="2" fillId="0" borderId="11" xfId="1" applyNumberFormat="1" applyFont="1" applyBorder="1"/>
    <xf numFmtId="7" fontId="8" fillId="0" borderId="11" xfId="1" applyNumberFormat="1" applyFont="1" applyBorder="1"/>
    <xf numFmtId="7" fontId="9" fillId="0" borderId="11" xfId="1" applyNumberFormat="1" applyFont="1" applyBorder="1"/>
    <xf numFmtId="165" fontId="6" fillId="0" borderId="56" xfId="4" applyNumberFormat="1" applyFont="1" applyBorder="1" applyAlignment="1">
      <alignment horizontal="right" vertical="top"/>
    </xf>
    <xf numFmtId="2" fontId="2" fillId="0" borderId="0" xfId="1" applyNumberFormat="1" applyFont="1"/>
    <xf numFmtId="14" fontId="2" fillId="0" borderId="0" xfId="1" applyNumberFormat="1" applyFont="1"/>
    <xf numFmtId="167" fontId="11" fillId="0" borderId="0" xfId="5" applyNumberFormat="1" applyFont="1" applyBorder="1" applyAlignment="1">
      <alignment horizontal="center" vertical="center"/>
    </xf>
  </cellXfs>
  <cellStyles count="13">
    <cellStyle name="Денежный 2" xfId="5" xr:uid="{E9B11843-BE8F-46DF-8A6D-DD2BFDD17BA2}"/>
    <cellStyle name="Денежный 2 2" xfId="8" xr:uid="{68397C33-1306-4397-B113-2FE6CBD26AE1}"/>
    <cellStyle name="Обычный" xfId="0" builtinId="0" customBuiltin="1"/>
    <cellStyle name="Обычный 2" xfId="1" xr:uid="{151D1A41-026A-45B8-9F26-DD9B5A2D5843}"/>
    <cellStyle name="Обычный 5" xfId="6" xr:uid="{60BE4093-6D63-4B25-B629-8D6FCC6C2E2D}"/>
    <cellStyle name="Обычный 6" xfId="7" xr:uid="{8B55831D-0AD5-41FE-8CE2-71A06DA5BA47}"/>
    <cellStyle name="Обычный_Биаксплен Новосибирск" xfId="3" xr:uid="{4D92ED94-3A5F-4ADA-A90E-1824C8056673}"/>
    <cellStyle name="Обычный_Ергарда" xfId="12" xr:uid="{79E71A83-CD84-4BFC-9626-D8C439FC26B5}"/>
    <cellStyle name="Обычный_Лист1" xfId="10" xr:uid="{6B6D85D6-0E85-4AB1-AB46-CB78B84D3DA1}"/>
    <cellStyle name="Обычный_РусВинил ББ" xfId="9" xr:uid="{0F2B000F-66C4-445C-9AA2-72C0AFEF0148}"/>
    <cellStyle name="Обычный_Сибур" xfId="2" xr:uid="{F0247EA9-88C2-41D4-9B88-8600356A2761}"/>
    <cellStyle name="Обычный_Сибур 1" xfId="4" xr:uid="{6A4A18E5-684B-4257-B00B-75F378F254C9}"/>
    <cellStyle name="Обычный_СтройТех" xfId="11" xr:uid="{B004E136-11AC-4DAA-B384-36AA27C2F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38AF-A998-42E5-BE65-51D2BCFA8C59}">
  <dimension ref="A1"/>
  <sheetViews>
    <sheetView workbookViewId="0"/>
  </sheetViews>
  <sheetFormatPr defaultRowHeight="15"/>
  <cols>
    <col min="1" max="16384" width="9.140625" style="45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5DAA-330F-4983-8092-276DF0A77AC4}">
  <dimension ref="A1:T40"/>
  <sheetViews>
    <sheetView topLeftCell="A11" workbookViewId="0">
      <selection activeCell="E19" sqref="E19"/>
    </sheetView>
  </sheetViews>
  <sheetFormatPr defaultRowHeight="15"/>
  <cols>
    <col min="1" max="1" width="13.140625" style="47" bestFit="1" customWidth="1"/>
    <col min="2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A1" s="46">
        <f>T37</f>
        <v>143189.06735999999</v>
      </c>
      <c r="I1" s="48"/>
    </row>
    <row r="2" spans="1:20" ht="28.9" customHeight="1">
      <c r="A2" s="76" t="str">
        <f>"Отчет по хранению товара за " &amp; TEXT(B5,"ММММ ГГГГ")</f>
        <v>Отчет по хранению товара за Май 2026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5</v>
      </c>
      <c r="H3" s="49" t="s">
        <v>6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58">
        <v>1</v>
      </c>
      <c r="B5" s="77">
        <v>46143</v>
      </c>
      <c r="C5" s="78"/>
      <c r="D5" s="59"/>
      <c r="E5" s="59"/>
      <c r="F5" s="60">
        <f>1.5674+D5-E5</f>
        <v>1.5673999999999999</v>
      </c>
      <c r="G5" s="61">
        <f>IF(OR(B5="",NOT(ISERROR(SEARCH("KPI",$A$2))),NOT(ISERROR(SEARCH("Полиом",$A$2)))),0,IF(70-F5&lt;=0,0,70-F5))</f>
        <v>68.432599999999994</v>
      </c>
      <c r="H5" s="61"/>
      <c r="I5" s="62"/>
      <c r="J5" s="62"/>
      <c r="K5" s="63"/>
      <c r="L5" s="64">
        <f>SUM(K5*240)</f>
        <v>0</v>
      </c>
      <c r="M5" s="64">
        <f>SUM(D5*120)</f>
        <v>0</v>
      </c>
      <c r="N5" s="64">
        <f>SUM(E5*120)</f>
        <v>0</v>
      </c>
      <c r="O5" s="64">
        <f>SUM(F5*54)</f>
        <v>84.639600000000002</v>
      </c>
      <c r="P5" s="64">
        <f>SUM(G5*54)</f>
        <v>3695.3603999999996</v>
      </c>
      <c r="Q5" s="64">
        <f>SUM(H5*120)</f>
        <v>0</v>
      </c>
      <c r="R5" s="64">
        <f>SUM(I5*1000)</f>
        <v>0</v>
      </c>
      <c r="S5" s="64">
        <f>SUM(J5*140)</f>
        <v>0</v>
      </c>
      <c r="T5" s="64">
        <f>SUM(L5:S5)</f>
        <v>3779.9999999999995</v>
      </c>
    </row>
    <row r="6" spans="1:20">
      <c r="A6" s="65">
        <v>2</v>
      </c>
      <c r="B6" s="77">
        <v>46144</v>
      </c>
      <c r="C6" s="78"/>
      <c r="D6" s="66"/>
      <c r="E6" s="67"/>
      <c r="F6" s="60">
        <f>F5-E6+D6</f>
        <v>1.5673999999999999</v>
      </c>
      <c r="G6" s="61">
        <f t="shared" ref="G6:G33" si="0">IF(OR(B6="",NOT(ISERROR(SEARCH("KPI",$A$2))),NOT(ISERROR(SEARCH("Полиом",$A$2)))),0,IF(70-F6&lt;=0,0,70-F6))</f>
        <v>68.432599999999994</v>
      </c>
      <c r="H6" s="61"/>
      <c r="I6" s="62"/>
      <c r="J6" s="62"/>
      <c r="K6" s="63"/>
      <c r="L6" s="64">
        <f t="shared" ref="L6:L35" si="1">SUM(K6*240)</f>
        <v>0</v>
      </c>
      <c r="M6" s="64">
        <f t="shared" ref="M6:N35" si="2">SUM(D6*120)</f>
        <v>0</v>
      </c>
      <c r="N6" s="64">
        <f t="shared" si="2"/>
        <v>0</v>
      </c>
      <c r="O6" s="64">
        <f t="shared" ref="O6:P35" si="3">SUM(F6*54)</f>
        <v>84.639600000000002</v>
      </c>
      <c r="P6" s="64">
        <f t="shared" si="3"/>
        <v>3695.3603999999996</v>
      </c>
      <c r="Q6" s="64">
        <f t="shared" ref="Q6:Q35" si="4">SUM(H6*120)</f>
        <v>0</v>
      </c>
      <c r="R6" s="64">
        <f t="shared" ref="R6:R35" si="5">SUM(I6*1000)</f>
        <v>0</v>
      </c>
      <c r="S6" s="64">
        <f t="shared" ref="S6:S35" si="6">SUM(J6*140)</f>
        <v>0</v>
      </c>
      <c r="T6" s="64">
        <f t="shared" ref="T6:T35" si="7">SUM(L6:S6)</f>
        <v>3779.9999999999995</v>
      </c>
    </row>
    <row r="7" spans="1:20">
      <c r="A7" s="65">
        <v>3</v>
      </c>
      <c r="B7" s="77">
        <v>46145</v>
      </c>
      <c r="C7" s="78"/>
      <c r="D7" s="67"/>
      <c r="E7" s="66"/>
      <c r="F7" s="60">
        <f t="shared" ref="F7:F31" si="8">F6-E7+D7</f>
        <v>1.5673999999999999</v>
      </c>
      <c r="G7" s="61">
        <f t="shared" si="0"/>
        <v>68.432599999999994</v>
      </c>
      <c r="H7" s="61"/>
      <c r="I7" s="62"/>
      <c r="J7" s="62"/>
      <c r="K7" s="63"/>
      <c r="L7" s="64">
        <f t="shared" si="1"/>
        <v>0</v>
      </c>
      <c r="M7" s="64">
        <f t="shared" si="2"/>
        <v>0</v>
      </c>
      <c r="N7" s="64">
        <f t="shared" si="2"/>
        <v>0</v>
      </c>
      <c r="O7" s="64">
        <f t="shared" si="3"/>
        <v>84.639600000000002</v>
      </c>
      <c r="P7" s="64">
        <f t="shared" si="3"/>
        <v>3695.3603999999996</v>
      </c>
      <c r="Q7" s="64">
        <f t="shared" si="4"/>
        <v>0</v>
      </c>
      <c r="R7" s="64">
        <f t="shared" si="5"/>
        <v>0</v>
      </c>
      <c r="S7" s="64">
        <f t="shared" si="6"/>
        <v>0</v>
      </c>
      <c r="T7" s="64">
        <f t="shared" si="7"/>
        <v>3779.9999999999995</v>
      </c>
    </row>
    <row r="8" spans="1:20">
      <c r="A8" s="65">
        <v>4</v>
      </c>
      <c r="B8" s="77">
        <v>46146</v>
      </c>
      <c r="C8" s="78"/>
      <c r="D8" s="59"/>
      <c r="E8" s="59"/>
      <c r="F8" s="60">
        <f t="shared" si="8"/>
        <v>1.5673999999999999</v>
      </c>
      <c r="G8" s="61">
        <f t="shared" si="0"/>
        <v>68.432599999999994</v>
      </c>
      <c r="H8" s="61"/>
      <c r="I8" s="62"/>
      <c r="J8" s="62"/>
      <c r="K8" s="63"/>
      <c r="L8" s="64">
        <f t="shared" si="1"/>
        <v>0</v>
      </c>
      <c r="M8" s="64">
        <f t="shared" si="2"/>
        <v>0</v>
      </c>
      <c r="N8" s="64">
        <f t="shared" si="2"/>
        <v>0</v>
      </c>
      <c r="O8" s="64">
        <f t="shared" si="3"/>
        <v>84.639600000000002</v>
      </c>
      <c r="P8" s="64">
        <f t="shared" si="3"/>
        <v>3695.3603999999996</v>
      </c>
      <c r="Q8" s="64">
        <f t="shared" si="4"/>
        <v>0</v>
      </c>
      <c r="R8" s="64">
        <f t="shared" si="5"/>
        <v>0</v>
      </c>
      <c r="S8" s="64">
        <f t="shared" si="6"/>
        <v>0</v>
      </c>
      <c r="T8" s="64">
        <f t="shared" si="7"/>
        <v>3779.9999999999995</v>
      </c>
    </row>
    <row r="9" spans="1:20">
      <c r="A9" s="65">
        <v>5</v>
      </c>
      <c r="B9" s="77">
        <v>46147</v>
      </c>
      <c r="C9" s="78"/>
      <c r="D9" s="66"/>
      <c r="E9" s="67"/>
      <c r="F9" s="60">
        <f t="shared" si="8"/>
        <v>1.5673999999999999</v>
      </c>
      <c r="G9" s="61">
        <f t="shared" si="0"/>
        <v>68.432599999999994</v>
      </c>
      <c r="H9" s="61"/>
      <c r="I9" s="62"/>
      <c r="J9" s="62"/>
      <c r="K9" s="63"/>
      <c r="L9" s="64">
        <f t="shared" si="1"/>
        <v>0</v>
      </c>
      <c r="M9" s="64">
        <f t="shared" si="2"/>
        <v>0</v>
      </c>
      <c r="N9" s="64">
        <f t="shared" si="2"/>
        <v>0</v>
      </c>
      <c r="O9" s="64">
        <f t="shared" si="3"/>
        <v>84.639600000000002</v>
      </c>
      <c r="P9" s="64">
        <f t="shared" si="3"/>
        <v>3695.3603999999996</v>
      </c>
      <c r="Q9" s="64">
        <f t="shared" si="4"/>
        <v>0</v>
      </c>
      <c r="R9" s="64">
        <f t="shared" si="5"/>
        <v>0</v>
      </c>
      <c r="S9" s="64">
        <f t="shared" si="6"/>
        <v>0</v>
      </c>
      <c r="T9" s="64">
        <f t="shared" si="7"/>
        <v>3779.9999999999995</v>
      </c>
    </row>
    <row r="10" spans="1:20">
      <c r="A10" s="65">
        <v>6</v>
      </c>
      <c r="B10" s="77">
        <v>46148</v>
      </c>
      <c r="C10" s="78"/>
      <c r="D10" s="66"/>
      <c r="E10" s="67"/>
      <c r="F10" s="60">
        <f t="shared" si="8"/>
        <v>1.5673999999999999</v>
      </c>
      <c r="G10" s="61">
        <f t="shared" si="0"/>
        <v>68.432599999999994</v>
      </c>
      <c r="H10" s="61"/>
      <c r="I10" s="62"/>
      <c r="J10" s="62"/>
      <c r="K10" s="63"/>
      <c r="L10" s="64">
        <f t="shared" si="1"/>
        <v>0</v>
      </c>
      <c r="M10" s="64">
        <f t="shared" si="2"/>
        <v>0</v>
      </c>
      <c r="N10" s="64">
        <f t="shared" si="2"/>
        <v>0</v>
      </c>
      <c r="O10" s="64">
        <f t="shared" si="3"/>
        <v>84.639600000000002</v>
      </c>
      <c r="P10" s="64">
        <f t="shared" si="3"/>
        <v>3695.3603999999996</v>
      </c>
      <c r="Q10" s="64">
        <f t="shared" si="4"/>
        <v>0</v>
      </c>
      <c r="R10" s="64">
        <f t="shared" si="5"/>
        <v>0</v>
      </c>
      <c r="S10" s="64">
        <f t="shared" si="6"/>
        <v>0</v>
      </c>
      <c r="T10" s="64">
        <f t="shared" si="7"/>
        <v>3779.9999999999995</v>
      </c>
    </row>
    <row r="11" spans="1:20">
      <c r="A11" s="65">
        <v>7</v>
      </c>
      <c r="B11" s="77">
        <v>46149</v>
      </c>
      <c r="C11" s="78"/>
      <c r="D11" s="59"/>
      <c r="E11" s="59"/>
      <c r="F11" s="60">
        <f t="shared" si="8"/>
        <v>1.5673999999999999</v>
      </c>
      <c r="G11" s="61">
        <f t="shared" si="0"/>
        <v>68.432599999999994</v>
      </c>
      <c r="H11" s="61"/>
      <c r="I11" s="62"/>
      <c r="J11" s="62"/>
      <c r="K11" s="63"/>
      <c r="L11" s="64">
        <f t="shared" si="1"/>
        <v>0</v>
      </c>
      <c r="M11" s="64">
        <f t="shared" si="2"/>
        <v>0</v>
      </c>
      <c r="N11" s="64">
        <f t="shared" si="2"/>
        <v>0</v>
      </c>
      <c r="O11" s="64">
        <f t="shared" si="3"/>
        <v>84.639600000000002</v>
      </c>
      <c r="P11" s="64">
        <f t="shared" si="3"/>
        <v>3695.3603999999996</v>
      </c>
      <c r="Q11" s="64">
        <f t="shared" si="4"/>
        <v>0</v>
      </c>
      <c r="R11" s="64">
        <f t="shared" si="5"/>
        <v>0</v>
      </c>
      <c r="S11" s="64">
        <f t="shared" si="6"/>
        <v>0</v>
      </c>
      <c r="T11" s="64">
        <f t="shared" si="7"/>
        <v>3779.9999999999995</v>
      </c>
    </row>
    <row r="12" spans="1:20">
      <c r="A12" s="65">
        <v>8</v>
      </c>
      <c r="B12" s="77">
        <v>46150</v>
      </c>
      <c r="C12" s="78"/>
      <c r="D12" s="59"/>
      <c r="E12" s="59"/>
      <c r="F12" s="60">
        <f t="shared" si="8"/>
        <v>1.5673999999999999</v>
      </c>
      <c r="G12" s="61">
        <f t="shared" si="0"/>
        <v>68.432599999999994</v>
      </c>
      <c r="H12" s="61"/>
      <c r="I12" s="62"/>
      <c r="J12" s="62"/>
      <c r="K12" s="63"/>
      <c r="L12" s="64">
        <f t="shared" si="1"/>
        <v>0</v>
      </c>
      <c r="M12" s="64">
        <f t="shared" si="2"/>
        <v>0</v>
      </c>
      <c r="N12" s="64">
        <f t="shared" si="2"/>
        <v>0</v>
      </c>
      <c r="O12" s="64">
        <f t="shared" si="3"/>
        <v>84.639600000000002</v>
      </c>
      <c r="P12" s="64">
        <f t="shared" si="3"/>
        <v>3695.3603999999996</v>
      </c>
      <c r="Q12" s="64">
        <f t="shared" si="4"/>
        <v>0</v>
      </c>
      <c r="R12" s="64">
        <f t="shared" si="5"/>
        <v>0</v>
      </c>
      <c r="S12" s="64">
        <f t="shared" si="6"/>
        <v>0</v>
      </c>
      <c r="T12" s="64">
        <f t="shared" si="7"/>
        <v>3779.9999999999995</v>
      </c>
    </row>
    <row r="13" spans="1:20">
      <c r="A13" s="65">
        <v>9</v>
      </c>
      <c r="B13" s="77">
        <v>46151</v>
      </c>
      <c r="C13" s="78"/>
      <c r="D13" s="59"/>
      <c r="E13" s="59"/>
      <c r="F13" s="60">
        <f t="shared" si="8"/>
        <v>1.5673999999999999</v>
      </c>
      <c r="G13" s="61">
        <f t="shared" si="0"/>
        <v>68.432599999999994</v>
      </c>
      <c r="H13" s="61"/>
      <c r="I13" s="62"/>
      <c r="J13" s="62"/>
      <c r="K13" s="63"/>
      <c r="L13" s="64">
        <f t="shared" si="1"/>
        <v>0</v>
      </c>
      <c r="M13" s="64">
        <f t="shared" si="2"/>
        <v>0</v>
      </c>
      <c r="N13" s="64">
        <f t="shared" si="2"/>
        <v>0</v>
      </c>
      <c r="O13" s="64">
        <f t="shared" si="3"/>
        <v>84.639600000000002</v>
      </c>
      <c r="P13" s="64">
        <f t="shared" si="3"/>
        <v>3695.3603999999996</v>
      </c>
      <c r="Q13" s="64">
        <f t="shared" si="4"/>
        <v>0</v>
      </c>
      <c r="R13" s="64">
        <f t="shared" si="5"/>
        <v>0</v>
      </c>
      <c r="S13" s="64">
        <f t="shared" si="6"/>
        <v>0</v>
      </c>
      <c r="T13" s="64">
        <f t="shared" si="7"/>
        <v>3779.9999999999995</v>
      </c>
    </row>
    <row r="14" spans="1:20">
      <c r="A14" s="65">
        <v>10</v>
      </c>
      <c r="B14" s="77">
        <v>46152</v>
      </c>
      <c r="C14" s="78"/>
      <c r="D14" s="59"/>
      <c r="E14" s="59"/>
      <c r="F14" s="60">
        <f t="shared" si="8"/>
        <v>1.5673999999999999</v>
      </c>
      <c r="G14" s="61">
        <f t="shared" si="0"/>
        <v>68.432599999999994</v>
      </c>
      <c r="H14" s="61"/>
      <c r="I14" s="62"/>
      <c r="J14" s="62"/>
      <c r="K14" s="63"/>
      <c r="L14" s="64">
        <f t="shared" si="1"/>
        <v>0</v>
      </c>
      <c r="M14" s="64">
        <f t="shared" si="2"/>
        <v>0</v>
      </c>
      <c r="N14" s="64">
        <f t="shared" si="2"/>
        <v>0</v>
      </c>
      <c r="O14" s="64">
        <f t="shared" si="3"/>
        <v>84.639600000000002</v>
      </c>
      <c r="P14" s="64">
        <f t="shared" si="3"/>
        <v>3695.3603999999996</v>
      </c>
      <c r="Q14" s="64">
        <f t="shared" si="4"/>
        <v>0</v>
      </c>
      <c r="R14" s="64">
        <f t="shared" si="5"/>
        <v>0</v>
      </c>
      <c r="S14" s="64">
        <f t="shared" si="6"/>
        <v>0</v>
      </c>
      <c r="T14" s="64">
        <f t="shared" si="7"/>
        <v>3779.9999999999995</v>
      </c>
    </row>
    <row r="15" spans="1:20">
      <c r="A15" s="65">
        <v>11</v>
      </c>
      <c r="B15" s="77">
        <v>46153</v>
      </c>
      <c r="C15" s="78"/>
      <c r="D15" s="66"/>
      <c r="E15" s="67"/>
      <c r="F15" s="60">
        <f t="shared" si="8"/>
        <v>1.5673999999999999</v>
      </c>
      <c r="G15" s="61">
        <f t="shared" si="0"/>
        <v>68.432599999999994</v>
      </c>
      <c r="H15" s="61"/>
      <c r="I15" s="62"/>
      <c r="J15" s="62"/>
      <c r="K15" s="63"/>
      <c r="L15" s="64">
        <f t="shared" si="1"/>
        <v>0</v>
      </c>
      <c r="M15" s="64">
        <f t="shared" si="2"/>
        <v>0</v>
      </c>
      <c r="N15" s="64">
        <f t="shared" si="2"/>
        <v>0</v>
      </c>
      <c r="O15" s="64">
        <f t="shared" si="3"/>
        <v>84.639600000000002</v>
      </c>
      <c r="P15" s="64">
        <f t="shared" si="3"/>
        <v>3695.3603999999996</v>
      </c>
      <c r="Q15" s="64">
        <f t="shared" si="4"/>
        <v>0</v>
      </c>
      <c r="R15" s="64">
        <f t="shared" si="5"/>
        <v>0</v>
      </c>
      <c r="S15" s="64">
        <f t="shared" si="6"/>
        <v>0</v>
      </c>
      <c r="T15" s="64">
        <f t="shared" si="7"/>
        <v>3779.9999999999995</v>
      </c>
    </row>
    <row r="16" spans="1:20">
      <c r="A16" s="65">
        <v>12</v>
      </c>
      <c r="B16" s="77">
        <v>46154</v>
      </c>
      <c r="C16" s="78"/>
      <c r="D16" s="59"/>
      <c r="E16" s="59"/>
      <c r="F16" s="60">
        <f t="shared" si="8"/>
        <v>1.5673999999999999</v>
      </c>
      <c r="G16" s="61">
        <f t="shared" si="0"/>
        <v>68.432599999999994</v>
      </c>
      <c r="H16" s="61"/>
      <c r="I16" s="62"/>
      <c r="J16" s="62"/>
      <c r="K16" s="68"/>
      <c r="L16" s="64">
        <f t="shared" si="1"/>
        <v>0</v>
      </c>
      <c r="M16" s="64">
        <f t="shared" si="2"/>
        <v>0</v>
      </c>
      <c r="N16" s="64">
        <f t="shared" si="2"/>
        <v>0</v>
      </c>
      <c r="O16" s="64">
        <f t="shared" si="3"/>
        <v>84.639600000000002</v>
      </c>
      <c r="P16" s="64">
        <f t="shared" si="3"/>
        <v>3695.3603999999996</v>
      </c>
      <c r="Q16" s="64">
        <f t="shared" si="4"/>
        <v>0</v>
      </c>
      <c r="R16" s="64">
        <f t="shared" si="5"/>
        <v>0</v>
      </c>
      <c r="S16" s="64">
        <f t="shared" si="6"/>
        <v>0</v>
      </c>
      <c r="T16" s="64">
        <f t="shared" si="7"/>
        <v>3779.9999999999995</v>
      </c>
    </row>
    <row r="17" spans="1:20">
      <c r="A17" s="65">
        <v>13</v>
      </c>
      <c r="B17" s="77">
        <v>46155</v>
      </c>
      <c r="C17" s="78"/>
      <c r="D17" s="66"/>
      <c r="E17" s="67"/>
      <c r="F17" s="60">
        <f t="shared" si="8"/>
        <v>1.5673999999999999</v>
      </c>
      <c r="G17" s="61">
        <f t="shared" si="0"/>
        <v>68.432599999999994</v>
      </c>
      <c r="H17" s="61"/>
      <c r="I17" s="62"/>
      <c r="J17" s="62"/>
      <c r="K17" s="63"/>
      <c r="L17" s="64">
        <f t="shared" si="1"/>
        <v>0</v>
      </c>
      <c r="M17" s="64">
        <f t="shared" si="2"/>
        <v>0</v>
      </c>
      <c r="N17" s="64">
        <f t="shared" si="2"/>
        <v>0</v>
      </c>
      <c r="O17" s="64">
        <f t="shared" si="3"/>
        <v>84.639600000000002</v>
      </c>
      <c r="P17" s="64">
        <f t="shared" si="3"/>
        <v>3695.3603999999996</v>
      </c>
      <c r="Q17" s="64">
        <f t="shared" si="4"/>
        <v>0</v>
      </c>
      <c r="R17" s="64">
        <f t="shared" si="5"/>
        <v>0</v>
      </c>
      <c r="S17" s="64">
        <f t="shared" si="6"/>
        <v>0</v>
      </c>
      <c r="T17" s="64">
        <f t="shared" si="7"/>
        <v>3779.9999999999995</v>
      </c>
    </row>
    <row r="18" spans="1:20">
      <c r="A18" s="65">
        <v>14</v>
      </c>
      <c r="B18" s="77">
        <v>46156</v>
      </c>
      <c r="C18" s="78"/>
      <c r="D18" s="59"/>
      <c r="E18" s="59">
        <v>1.5673999999999999</v>
      </c>
      <c r="F18" s="60">
        <f t="shared" si="8"/>
        <v>0</v>
      </c>
      <c r="G18" s="61">
        <f t="shared" si="0"/>
        <v>70</v>
      </c>
      <c r="H18" s="61"/>
      <c r="I18" s="62"/>
      <c r="J18" s="62"/>
      <c r="K18" s="63"/>
      <c r="L18" s="64">
        <f t="shared" si="1"/>
        <v>0</v>
      </c>
      <c r="M18" s="64">
        <f t="shared" si="2"/>
        <v>0</v>
      </c>
      <c r="N18" s="64">
        <f t="shared" si="2"/>
        <v>188.08799999999999</v>
      </c>
      <c r="O18" s="64">
        <f t="shared" si="3"/>
        <v>0</v>
      </c>
      <c r="P18" s="64">
        <f t="shared" si="3"/>
        <v>3780</v>
      </c>
      <c r="Q18" s="64">
        <f t="shared" si="4"/>
        <v>0</v>
      </c>
      <c r="R18" s="64">
        <f t="shared" si="5"/>
        <v>0</v>
      </c>
      <c r="S18" s="64">
        <f t="shared" si="6"/>
        <v>0</v>
      </c>
      <c r="T18" s="64">
        <f t="shared" si="7"/>
        <v>3968.0880000000002</v>
      </c>
    </row>
    <row r="19" spans="1:20">
      <c r="A19" s="65">
        <v>15</v>
      </c>
      <c r="B19" s="77">
        <v>46157</v>
      </c>
      <c r="C19" s="78"/>
      <c r="D19" s="59"/>
      <c r="E19" s="59"/>
      <c r="F19" s="60">
        <f t="shared" si="8"/>
        <v>0</v>
      </c>
      <c r="G19" s="61">
        <f t="shared" si="0"/>
        <v>70</v>
      </c>
      <c r="H19" s="61"/>
      <c r="I19" s="62"/>
      <c r="J19" s="62"/>
      <c r="K19" s="63"/>
      <c r="L19" s="64">
        <f t="shared" si="1"/>
        <v>0</v>
      </c>
      <c r="M19" s="64">
        <f t="shared" si="2"/>
        <v>0</v>
      </c>
      <c r="N19" s="64">
        <f t="shared" si="2"/>
        <v>0</v>
      </c>
      <c r="O19" s="64">
        <f t="shared" si="3"/>
        <v>0</v>
      </c>
      <c r="P19" s="64">
        <f t="shared" si="3"/>
        <v>3780</v>
      </c>
      <c r="Q19" s="64">
        <f t="shared" si="4"/>
        <v>0</v>
      </c>
      <c r="R19" s="64">
        <f t="shared" si="5"/>
        <v>0</v>
      </c>
      <c r="S19" s="64">
        <f t="shared" si="6"/>
        <v>0</v>
      </c>
      <c r="T19" s="64">
        <f t="shared" si="7"/>
        <v>3780</v>
      </c>
    </row>
    <row r="20" spans="1:20">
      <c r="A20" s="65">
        <v>16</v>
      </c>
      <c r="B20" s="77">
        <v>46158</v>
      </c>
      <c r="C20" s="78"/>
      <c r="D20" s="59"/>
      <c r="E20" s="59"/>
      <c r="F20" s="60">
        <f t="shared" si="8"/>
        <v>0</v>
      </c>
      <c r="G20" s="61">
        <f t="shared" si="0"/>
        <v>70</v>
      </c>
      <c r="H20" s="61"/>
      <c r="I20" s="62"/>
      <c r="J20" s="62"/>
      <c r="K20" s="63"/>
      <c r="L20" s="64">
        <f t="shared" si="1"/>
        <v>0</v>
      </c>
      <c r="M20" s="64">
        <f t="shared" si="2"/>
        <v>0</v>
      </c>
      <c r="N20" s="64">
        <f t="shared" si="2"/>
        <v>0</v>
      </c>
      <c r="O20" s="64">
        <f t="shared" si="3"/>
        <v>0</v>
      </c>
      <c r="P20" s="64">
        <f t="shared" si="3"/>
        <v>3780</v>
      </c>
      <c r="Q20" s="64">
        <f t="shared" si="4"/>
        <v>0</v>
      </c>
      <c r="R20" s="64">
        <f t="shared" si="5"/>
        <v>0</v>
      </c>
      <c r="S20" s="64">
        <f t="shared" si="6"/>
        <v>0</v>
      </c>
      <c r="T20" s="64">
        <f t="shared" si="7"/>
        <v>3780</v>
      </c>
    </row>
    <row r="21" spans="1:20">
      <c r="A21" s="65">
        <v>17</v>
      </c>
      <c r="B21" s="77">
        <v>46159</v>
      </c>
      <c r="C21" s="78"/>
      <c r="D21" s="66"/>
      <c r="E21" s="67"/>
      <c r="F21" s="60">
        <f t="shared" si="8"/>
        <v>0</v>
      </c>
      <c r="G21" s="61">
        <f t="shared" si="0"/>
        <v>70</v>
      </c>
      <c r="H21" s="61"/>
      <c r="I21" s="62"/>
      <c r="J21" s="62"/>
      <c r="K21" s="63"/>
      <c r="L21" s="64">
        <f t="shared" si="1"/>
        <v>0</v>
      </c>
      <c r="M21" s="64">
        <f t="shared" si="2"/>
        <v>0</v>
      </c>
      <c r="N21" s="64">
        <f t="shared" si="2"/>
        <v>0</v>
      </c>
      <c r="O21" s="64">
        <f t="shared" si="3"/>
        <v>0</v>
      </c>
      <c r="P21" s="64">
        <f t="shared" si="3"/>
        <v>3780</v>
      </c>
      <c r="Q21" s="64">
        <f t="shared" si="4"/>
        <v>0</v>
      </c>
      <c r="R21" s="64">
        <f t="shared" si="5"/>
        <v>0</v>
      </c>
      <c r="S21" s="64">
        <f t="shared" si="6"/>
        <v>0</v>
      </c>
      <c r="T21" s="64">
        <f t="shared" si="7"/>
        <v>3780</v>
      </c>
    </row>
    <row r="22" spans="1:20">
      <c r="A22" s="65">
        <v>18</v>
      </c>
      <c r="B22" s="77">
        <v>46160</v>
      </c>
      <c r="C22" s="78"/>
      <c r="D22" s="66"/>
      <c r="E22" s="67"/>
      <c r="F22" s="60">
        <f t="shared" si="8"/>
        <v>0</v>
      </c>
      <c r="G22" s="61">
        <f t="shared" si="0"/>
        <v>70</v>
      </c>
      <c r="H22" s="61"/>
      <c r="I22" s="62"/>
      <c r="J22" s="62"/>
      <c r="K22" s="63"/>
      <c r="L22" s="64">
        <f t="shared" si="1"/>
        <v>0</v>
      </c>
      <c r="M22" s="64">
        <f t="shared" si="2"/>
        <v>0</v>
      </c>
      <c r="N22" s="64">
        <f t="shared" si="2"/>
        <v>0</v>
      </c>
      <c r="O22" s="64">
        <f t="shared" si="3"/>
        <v>0</v>
      </c>
      <c r="P22" s="64">
        <f t="shared" si="3"/>
        <v>3780</v>
      </c>
      <c r="Q22" s="64">
        <f t="shared" si="4"/>
        <v>0</v>
      </c>
      <c r="R22" s="64">
        <f t="shared" si="5"/>
        <v>0</v>
      </c>
      <c r="S22" s="64">
        <f t="shared" si="6"/>
        <v>0</v>
      </c>
      <c r="T22" s="64">
        <f t="shared" si="7"/>
        <v>3780</v>
      </c>
    </row>
    <row r="23" spans="1:20">
      <c r="A23" s="65">
        <v>19</v>
      </c>
      <c r="B23" s="77">
        <v>46161</v>
      </c>
      <c r="C23" s="78"/>
      <c r="D23" s="59"/>
      <c r="E23" s="59"/>
      <c r="F23" s="60">
        <f t="shared" si="8"/>
        <v>0</v>
      </c>
      <c r="G23" s="61">
        <f t="shared" si="0"/>
        <v>70</v>
      </c>
      <c r="H23" s="61"/>
      <c r="I23" s="62"/>
      <c r="J23" s="62"/>
      <c r="K23" s="63"/>
      <c r="L23" s="64">
        <f t="shared" si="1"/>
        <v>0</v>
      </c>
      <c r="M23" s="64">
        <f t="shared" si="2"/>
        <v>0</v>
      </c>
      <c r="N23" s="64">
        <f t="shared" si="2"/>
        <v>0</v>
      </c>
      <c r="O23" s="64">
        <f t="shared" si="3"/>
        <v>0</v>
      </c>
      <c r="P23" s="64">
        <f t="shared" si="3"/>
        <v>3780</v>
      </c>
      <c r="Q23" s="64">
        <f t="shared" si="4"/>
        <v>0</v>
      </c>
      <c r="R23" s="64">
        <f t="shared" si="5"/>
        <v>0</v>
      </c>
      <c r="S23" s="64">
        <f t="shared" si="6"/>
        <v>0</v>
      </c>
      <c r="T23" s="64">
        <f t="shared" si="7"/>
        <v>3780</v>
      </c>
    </row>
    <row r="24" spans="1:20">
      <c r="A24" s="65">
        <v>20</v>
      </c>
      <c r="B24" s="77">
        <v>46162</v>
      </c>
      <c r="C24" s="78"/>
      <c r="D24" s="59"/>
      <c r="E24" s="59"/>
      <c r="F24" s="60">
        <f t="shared" si="8"/>
        <v>0</v>
      </c>
      <c r="G24" s="61">
        <f t="shared" si="0"/>
        <v>70</v>
      </c>
      <c r="H24" s="61"/>
      <c r="I24" s="62"/>
      <c r="J24" s="62"/>
      <c r="K24" s="63"/>
      <c r="L24" s="64">
        <f t="shared" si="1"/>
        <v>0</v>
      </c>
      <c r="M24" s="64">
        <f t="shared" si="2"/>
        <v>0</v>
      </c>
      <c r="N24" s="64">
        <f t="shared" si="2"/>
        <v>0</v>
      </c>
      <c r="O24" s="64">
        <f t="shared" si="3"/>
        <v>0</v>
      </c>
      <c r="P24" s="64">
        <f t="shared" si="3"/>
        <v>3780</v>
      </c>
      <c r="Q24" s="64">
        <f t="shared" si="4"/>
        <v>0</v>
      </c>
      <c r="R24" s="64">
        <f t="shared" si="5"/>
        <v>0</v>
      </c>
      <c r="S24" s="64">
        <f t="shared" si="6"/>
        <v>0</v>
      </c>
      <c r="T24" s="64">
        <f t="shared" si="7"/>
        <v>3780</v>
      </c>
    </row>
    <row r="25" spans="1:20">
      <c r="A25" s="65">
        <v>21</v>
      </c>
      <c r="B25" s="77">
        <v>46163</v>
      </c>
      <c r="C25" s="78"/>
      <c r="D25" s="59"/>
      <c r="E25" s="59"/>
      <c r="F25" s="60">
        <f t="shared" si="8"/>
        <v>0</v>
      </c>
      <c r="G25" s="61">
        <f t="shared" si="0"/>
        <v>70</v>
      </c>
      <c r="H25" s="61"/>
      <c r="I25" s="62"/>
      <c r="J25" s="62"/>
      <c r="K25" s="63"/>
      <c r="L25" s="64">
        <f t="shared" si="1"/>
        <v>0</v>
      </c>
      <c r="M25" s="64">
        <f t="shared" si="2"/>
        <v>0</v>
      </c>
      <c r="N25" s="64">
        <f t="shared" si="2"/>
        <v>0</v>
      </c>
      <c r="O25" s="64">
        <f t="shared" si="3"/>
        <v>0</v>
      </c>
      <c r="P25" s="64">
        <f t="shared" si="3"/>
        <v>3780</v>
      </c>
      <c r="Q25" s="64">
        <f t="shared" si="4"/>
        <v>0</v>
      </c>
      <c r="R25" s="64">
        <f t="shared" si="5"/>
        <v>0</v>
      </c>
      <c r="S25" s="64">
        <f t="shared" si="6"/>
        <v>0</v>
      </c>
      <c r="T25" s="64">
        <f t="shared" si="7"/>
        <v>3780</v>
      </c>
    </row>
    <row r="26" spans="1:20">
      <c r="A26" s="65">
        <v>22</v>
      </c>
      <c r="B26" s="77">
        <v>46164</v>
      </c>
      <c r="C26" s="78"/>
      <c r="D26" s="59"/>
      <c r="E26" s="59"/>
      <c r="F26" s="60">
        <f t="shared" si="8"/>
        <v>0</v>
      </c>
      <c r="G26" s="61">
        <f t="shared" si="0"/>
        <v>70</v>
      </c>
      <c r="H26" s="61"/>
      <c r="I26" s="62"/>
      <c r="J26" s="62"/>
      <c r="K26" s="63"/>
      <c r="L26" s="64">
        <f t="shared" si="1"/>
        <v>0</v>
      </c>
      <c r="M26" s="64">
        <f t="shared" si="2"/>
        <v>0</v>
      </c>
      <c r="N26" s="64">
        <f t="shared" si="2"/>
        <v>0</v>
      </c>
      <c r="O26" s="64">
        <f t="shared" si="3"/>
        <v>0</v>
      </c>
      <c r="P26" s="64">
        <f t="shared" si="3"/>
        <v>3780</v>
      </c>
      <c r="Q26" s="64">
        <f t="shared" si="4"/>
        <v>0</v>
      </c>
      <c r="R26" s="64">
        <f t="shared" si="5"/>
        <v>0</v>
      </c>
      <c r="S26" s="64">
        <f t="shared" si="6"/>
        <v>0</v>
      </c>
      <c r="T26" s="64">
        <f t="shared" si="7"/>
        <v>3780</v>
      </c>
    </row>
    <row r="27" spans="1:20">
      <c r="A27" s="65">
        <v>23</v>
      </c>
      <c r="B27" s="77">
        <v>46165</v>
      </c>
      <c r="C27" s="78"/>
      <c r="D27" s="59"/>
      <c r="E27" s="59"/>
      <c r="F27" s="60">
        <f t="shared" si="8"/>
        <v>0</v>
      </c>
      <c r="G27" s="61">
        <f t="shared" si="0"/>
        <v>70</v>
      </c>
      <c r="H27" s="61"/>
      <c r="I27" s="62"/>
      <c r="J27" s="62"/>
      <c r="K27" s="63"/>
      <c r="L27" s="64">
        <f t="shared" si="1"/>
        <v>0</v>
      </c>
      <c r="M27" s="64">
        <f t="shared" si="2"/>
        <v>0</v>
      </c>
      <c r="N27" s="64">
        <f t="shared" si="2"/>
        <v>0</v>
      </c>
      <c r="O27" s="64">
        <f t="shared" si="3"/>
        <v>0</v>
      </c>
      <c r="P27" s="64">
        <f t="shared" si="3"/>
        <v>3780</v>
      </c>
      <c r="Q27" s="64">
        <f t="shared" si="4"/>
        <v>0</v>
      </c>
      <c r="R27" s="64">
        <f t="shared" si="5"/>
        <v>0</v>
      </c>
      <c r="S27" s="64">
        <f t="shared" si="6"/>
        <v>0</v>
      </c>
      <c r="T27" s="64">
        <f t="shared" si="7"/>
        <v>3780</v>
      </c>
    </row>
    <row r="28" spans="1:20">
      <c r="A28" s="65">
        <v>24</v>
      </c>
      <c r="B28" s="77">
        <v>46166</v>
      </c>
      <c r="C28" s="78"/>
      <c r="D28" s="59"/>
      <c r="E28" s="59"/>
      <c r="F28" s="60">
        <f t="shared" si="8"/>
        <v>0</v>
      </c>
      <c r="G28" s="61">
        <f t="shared" si="0"/>
        <v>70</v>
      </c>
      <c r="H28" s="61"/>
      <c r="I28" s="62"/>
      <c r="J28" s="62"/>
      <c r="K28" s="63"/>
      <c r="L28" s="64">
        <f t="shared" si="1"/>
        <v>0</v>
      </c>
      <c r="M28" s="64">
        <f t="shared" si="2"/>
        <v>0</v>
      </c>
      <c r="N28" s="64">
        <f t="shared" si="2"/>
        <v>0</v>
      </c>
      <c r="O28" s="64">
        <f t="shared" si="3"/>
        <v>0</v>
      </c>
      <c r="P28" s="64">
        <f t="shared" si="3"/>
        <v>3780</v>
      </c>
      <c r="Q28" s="64">
        <f t="shared" si="4"/>
        <v>0</v>
      </c>
      <c r="R28" s="64">
        <f t="shared" si="5"/>
        <v>0</v>
      </c>
      <c r="S28" s="64">
        <f t="shared" si="6"/>
        <v>0</v>
      </c>
      <c r="T28" s="64">
        <f t="shared" si="7"/>
        <v>3780</v>
      </c>
    </row>
    <row r="29" spans="1:20">
      <c r="A29" s="65">
        <v>25</v>
      </c>
      <c r="B29" s="77">
        <v>46167</v>
      </c>
      <c r="C29" s="78"/>
      <c r="D29" s="69"/>
      <c r="E29" s="67"/>
      <c r="F29" s="60">
        <f t="shared" si="8"/>
        <v>0</v>
      </c>
      <c r="G29" s="61">
        <f t="shared" si="0"/>
        <v>70</v>
      </c>
      <c r="H29" s="61"/>
      <c r="I29" s="62"/>
      <c r="J29" s="62"/>
      <c r="K29" s="63"/>
      <c r="L29" s="64">
        <f t="shared" si="1"/>
        <v>0</v>
      </c>
      <c r="M29" s="64">
        <f t="shared" si="2"/>
        <v>0</v>
      </c>
      <c r="N29" s="64">
        <f t="shared" si="2"/>
        <v>0</v>
      </c>
      <c r="O29" s="64">
        <f t="shared" si="3"/>
        <v>0</v>
      </c>
      <c r="P29" s="64">
        <f t="shared" si="3"/>
        <v>3780</v>
      </c>
      <c r="Q29" s="64">
        <f t="shared" si="4"/>
        <v>0</v>
      </c>
      <c r="R29" s="64">
        <f t="shared" si="5"/>
        <v>0</v>
      </c>
      <c r="S29" s="64">
        <f t="shared" si="6"/>
        <v>0</v>
      </c>
      <c r="T29" s="64">
        <f t="shared" si="7"/>
        <v>3780</v>
      </c>
    </row>
    <row r="30" spans="1:20">
      <c r="A30" s="65">
        <v>26</v>
      </c>
      <c r="B30" s="77">
        <v>46168</v>
      </c>
      <c r="C30" s="78"/>
      <c r="D30" s="66"/>
      <c r="E30" s="67"/>
      <c r="F30" s="60">
        <f t="shared" si="8"/>
        <v>0</v>
      </c>
      <c r="G30" s="61">
        <f t="shared" si="0"/>
        <v>70</v>
      </c>
      <c r="H30" s="61"/>
      <c r="I30" s="62"/>
      <c r="J30" s="62"/>
      <c r="K30" s="63"/>
      <c r="L30" s="64">
        <f t="shared" si="1"/>
        <v>0</v>
      </c>
      <c r="M30" s="64">
        <f t="shared" si="2"/>
        <v>0</v>
      </c>
      <c r="N30" s="64">
        <f t="shared" si="2"/>
        <v>0</v>
      </c>
      <c r="O30" s="64">
        <f t="shared" si="3"/>
        <v>0</v>
      </c>
      <c r="P30" s="64">
        <f t="shared" si="3"/>
        <v>3780</v>
      </c>
      <c r="Q30" s="64">
        <f t="shared" si="4"/>
        <v>0</v>
      </c>
      <c r="R30" s="64">
        <f t="shared" si="5"/>
        <v>0</v>
      </c>
      <c r="S30" s="64">
        <f t="shared" si="6"/>
        <v>0</v>
      </c>
      <c r="T30" s="64">
        <f t="shared" si="7"/>
        <v>3780</v>
      </c>
    </row>
    <row r="31" spans="1:20">
      <c r="A31" s="65">
        <v>27</v>
      </c>
      <c r="B31" s="77">
        <v>46169</v>
      </c>
      <c r="C31" s="78"/>
      <c r="D31" s="59"/>
      <c r="E31" s="59"/>
      <c r="F31" s="60">
        <f t="shared" si="8"/>
        <v>0</v>
      </c>
      <c r="G31" s="61">
        <f t="shared" si="0"/>
        <v>70</v>
      </c>
      <c r="H31" s="61"/>
      <c r="I31" s="62"/>
      <c r="J31" s="62"/>
      <c r="K31" s="63"/>
      <c r="L31" s="64">
        <f t="shared" si="1"/>
        <v>0</v>
      </c>
      <c r="M31" s="64">
        <f t="shared" si="2"/>
        <v>0</v>
      </c>
      <c r="N31" s="64">
        <f t="shared" si="2"/>
        <v>0</v>
      </c>
      <c r="O31" s="64">
        <f t="shared" si="3"/>
        <v>0</v>
      </c>
      <c r="P31" s="64">
        <f t="shared" si="3"/>
        <v>3780</v>
      </c>
      <c r="Q31" s="64">
        <f t="shared" si="4"/>
        <v>0</v>
      </c>
      <c r="R31" s="64">
        <f t="shared" si="5"/>
        <v>0</v>
      </c>
      <c r="S31" s="64">
        <f t="shared" si="6"/>
        <v>0</v>
      </c>
      <c r="T31" s="64">
        <f t="shared" si="7"/>
        <v>3780</v>
      </c>
    </row>
    <row r="32" spans="1:20">
      <c r="A32" s="65">
        <v>28</v>
      </c>
      <c r="B32" s="77">
        <v>46170</v>
      </c>
      <c r="C32" s="78"/>
      <c r="D32" s="59"/>
      <c r="E32" s="59"/>
      <c r="F32" s="60">
        <f>F31-E32+D32</f>
        <v>0</v>
      </c>
      <c r="G32" s="61">
        <f t="shared" si="0"/>
        <v>70</v>
      </c>
      <c r="H32" s="61"/>
      <c r="I32" s="62"/>
      <c r="J32" s="62"/>
      <c r="K32" s="63"/>
      <c r="L32" s="64">
        <f t="shared" si="1"/>
        <v>0</v>
      </c>
      <c r="M32" s="64">
        <f t="shared" si="2"/>
        <v>0</v>
      </c>
      <c r="N32" s="64">
        <f t="shared" si="2"/>
        <v>0</v>
      </c>
      <c r="O32" s="64">
        <f t="shared" si="3"/>
        <v>0</v>
      </c>
      <c r="P32" s="64">
        <f t="shared" si="3"/>
        <v>3780</v>
      </c>
      <c r="Q32" s="64">
        <f t="shared" si="4"/>
        <v>0</v>
      </c>
      <c r="R32" s="64">
        <f t="shared" si="5"/>
        <v>0</v>
      </c>
      <c r="S32" s="64">
        <f t="shared" si="6"/>
        <v>0</v>
      </c>
      <c r="T32" s="64">
        <f t="shared" si="7"/>
        <v>3780</v>
      </c>
    </row>
    <row r="33" spans="1:20">
      <c r="A33" s="65">
        <v>29</v>
      </c>
      <c r="B33" s="77">
        <v>46171</v>
      </c>
      <c r="C33" s="78"/>
      <c r="D33" s="59"/>
      <c r="E33" s="59"/>
      <c r="F33" s="60">
        <f t="shared" ref="F33" si="9">F32-E33+D33</f>
        <v>0</v>
      </c>
      <c r="G33" s="61">
        <f t="shared" si="0"/>
        <v>70</v>
      </c>
      <c r="H33" s="61"/>
      <c r="I33" s="62"/>
      <c r="J33" s="62"/>
      <c r="K33" s="63"/>
      <c r="L33" s="64">
        <f t="shared" si="1"/>
        <v>0</v>
      </c>
      <c r="M33" s="64">
        <f t="shared" si="2"/>
        <v>0</v>
      </c>
      <c r="N33" s="64">
        <f t="shared" si="2"/>
        <v>0</v>
      </c>
      <c r="O33" s="64">
        <f t="shared" si="3"/>
        <v>0</v>
      </c>
      <c r="P33" s="64">
        <f t="shared" si="3"/>
        <v>3780</v>
      </c>
      <c r="Q33" s="64">
        <f t="shared" si="4"/>
        <v>0</v>
      </c>
      <c r="R33" s="64">
        <f t="shared" si="5"/>
        <v>0</v>
      </c>
      <c r="S33" s="64">
        <f t="shared" si="6"/>
        <v>0</v>
      </c>
      <c r="T33" s="64">
        <f t="shared" si="7"/>
        <v>3780</v>
      </c>
    </row>
    <row r="34" spans="1:20">
      <c r="A34" s="65">
        <v>30</v>
      </c>
      <c r="B34" s="77">
        <v>46172</v>
      </c>
      <c r="C34" s="78"/>
      <c r="D34" s="59"/>
      <c r="E34" s="59"/>
      <c r="F34" s="60">
        <f>F33-E34+D34</f>
        <v>0</v>
      </c>
      <c r="G34" s="61">
        <f>IF(OR(B34="",NOT(ISERROR(SEARCH("KPI",$A$2))),NOT(ISERROR(SEARCH("Полиом",$A$2)))),0,IF(70-F34&lt;=0,0,70-F34))</f>
        <v>70</v>
      </c>
      <c r="H34" s="61"/>
      <c r="I34" s="62"/>
      <c r="J34" s="62"/>
      <c r="K34" s="63"/>
      <c r="L34" s="64">
        <f t="shared" si="1"/>
        <v>0</v>
      </c>
      <c r="M34" s="64">
        <f t="shared" si="2"/>
        <v>0</v>
      </c>
      <c r="N34" s="64">
        <f t="shared" si="2"/>
        <v>0</v>
      </c>
      <c r="O34" s="64">
        <f>SUM(F34*54)</f>
        <v>0</v>
      </c>
      <c r="P34" s="64">
        <f t="shared" si="3"/>
        <v>3780</v>
      </c>
      <c r="Q34" s="64">
        <f t="shared" si="4"/>
        <v>0</v>
      </c>
      <c r="R34" s="64">
        <f t="shared" si="5"/>
        <v>0</v>
      </c>
      <c r="S34" s="64">
        <f t="shared" si="6"/>
        <v>0</v>
      </c>
      <c r="T34" s="64">
        <f t="shared" si="7"/>
        <v>3780</v>
      </c>
    </row>
    <row r="35" spans="1:20">
      <c r="A35" s="65"/>
      <c r="B35" s="77">
        <v>46173</v>
      </c>
      <c r="C35" s="78"/>
      <c r="D35" s="66"/>
      <c r="E35" s="67"/>
      <c r="F35" s="60">
        <f>F34-E35+D35</f>
        <v>0</v>
      </c>
      <c r="G35" s="61">
        <f>IF(OR(B35="",NOT(ISERROR(SEARCH("KPI",$A$2))),NOT(ISERROR(SEARCH("Полиом",$A$2)))),0,IF(70-F35&lt;=0,0,70-F35))</f>
        <v>70</v>
      </c>
      <c r="H35" s="61"/>
      <c r="I35" s="62"/>
      <c r="J35" s="62"/>
      <c r="K35" s="63"/>
      <c r="L35" s="64">
        <f t="shared" si="1"/>
        <v>0</v>
      </c>
      <c r="M35" s="64">
        <f t="shared" si="2"/>
        <v>0</v>
      </c>
      <c r="N35" s="64">
        <f t="shared" si="2"/>
        <v>0</v>
      </c>
      <c r="O35" s="64">
        <f>SUM(F35*54)</f>
        <v>0</v>
      </c>
      <c r="P35" s="64">
        <f t="shared" si="3"/>
        <v>3780</v>
      </c>
      <c r="Q35" s="64">
        <f t="shared" si="4"/>
        <v>0</v>
      </c>
      <c r="R35" s="64">
        <f t="shared" si="5"/>
        <v>0</v>
      </c>
      <c r="S35" s="64">
        <f t="shared" si="6"/>
        <v>0</v>
      </c>
      <c r="T35" s="64">
        <f t="shared" si="7"/>
        <v>3780</v>
      </c>
    </row>
    <row r="36" spans="1:20">
      <c r="D36" s="59"/>
      <c r="E36" s="59"/>
      <c r="F36" s="70">
        <f>SUM(F5:F35)</f>
        <v>20.376199999999994</v>
      </c>
      <c r="G36" s="70">
        <f t="shared" ref="G36:T36" si="10">SUM(G5:G35)</f>
        <v>2149.6237999999998</v>
      </c>
      <c r="H36" s="70">
        <f t="shared" si="10"/>
        <v>0</v>
      </c>
      <c r="I36" s="70">
        <f t="shared" si="10"/>
        <v>0</v>
      </c>
      <c r="J36" s="70">
        <f t="shared" si="10"/>
        <v>0</v>
      </c>
      <c r="K36" s="71">
        <f t="shared" si="10"/>
        <v>0</v>
      </c>
      <c r="L36" s="72">
        <f t="shared" si="10"/>
        <v>0</v>
      </c>
      <c r="M36" s="72">
        <f t="shared" si="10"/>
        <v>0</v>
      </c>
      <c r="N36" s="72">
        <f t="shared" si="10"/>
        <v>188.08799999999999</v>
      </c>
      <c r="O36" s="72">
        <f t="shared" si="10"/>
        <v>1100.3147999999999</v>
      </c>
      <c r="P36" s="72">
        <f t="shared" si="10"/>
        <v>116079.68519999998</v>
      </c>
      <c r="Q36" s="72">
        <f t="shared" si="10"/>
        <v>0</v>
      </c>
      <c r="R36" s="72">
        <f t="shared" si="10"/>
        <v>0</v>
      </c>
      <c r="S36" s="72">
        <f t="shared" si="10"/>
        <v>0</v>
      </c>
      <c r="T36" s="72">
        <f t="shared" si="10"/>
        <v>117368.08799999999</v>
      </c>
    </row>
    <row r="37" spans="1:20">
      <c r="R37" s="73"/>
      <c r="S37" s="73"/>
      <c r="T37" s="74">
        <f>T36*1.22</f>
        <v>143189.06735999999</v>
      </c>
    </row>
    <row r="40" spans="1:20">
      <c r="F40" s="75"/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EB26-D414-4C9D-950E-9814E7ECB292}">
  <dimension ref="A1:M125"/>
  <sheetViews>
    <sheetView tabSelected="1" topLeftCell="A12" zoomScaleNormal="100" workbookViewId="0">
      <selection activeCell="C34" sqref="C34"/>
    </sheetView>
  </sheetViews>
  <sheetFormatPr defaultColWidth="14.42578125" defaultRowHeight="15" customHeight="1"/>
  <cols>
    <col min="1" max="1" width="28.5703125" style="4" customWidth="1"/>
    <col min="2" max="2" width="17.7109375" style="4" customWidth="1"/>
    <col min="3" max="3" width="17.140625" style="4" customWidth="1"/>
    <col min="4" max="4" width="18.42578125" style="4" customWidth="1"/>
    <col min="5" max="5" width="20.85546875" style="4" customWidth="1"/>
    <col min="6" max="6" width="21.85546875" style="4" customWidth="1"/>
    <col min="7" max="9" width="22.28515625" style="4" customWidth="1"/>
    <col min="10" max="10" width="19.28515625" style="4" customWidth="1"/>
    <col min="11" max="11" width="22.5703125" style="4" customWidth="1"/>
    <col min="12" max="12" width="30.28515625" style="4" customWidth="1"/>
    <col min="13" max="13" width="31.28515625" style="4" customWidth="1"/>
    <col min="14" max="16384" width="14.42578125" style="4"/>
  </cols>
  <sheetData>
    <row r="1" spans="1:10" ht="161.25" customHeight="1" thickBot="1">
      <c r="A1" s="183">
        <f ca="1">G16</f>
        <v>129244044.34736</v>
      </c>
      <c r="B1" s="116"/>
      <c r="C1" s="116"/>
      <c r="D1" s="116"/>
      <c r="E1" s="116"/>
      <c r="F1" s="116"/>
      <c r="G1" s="116"/>
    </row>
    <row r="2" spans="1:10" ht="12.75" customHeight="1" thickBot="1">
      <c r="A2" s="117"/>
      <c r="B2" s="118"/>
      <c r="C2" s="118"/>
      <c r="D2" s="118"/>
      <c r="E2" s="118"/>
      <c r="F2" s="118"/>
      <c r="I2" s="79" t="s">
        <v>19</v>
      </c>
      <c r="J2" s="80"/>
    </row>
    <row r="3" spans="1:10" ht="14.25" customHeight="1" thickBot="1">
      <c r="A3" s="81" t="s">
        <v>20</v>
      </c>
      <c r="B3" s="82" t="s">
        <v>21</v>
      </c>
      <c r="C3" s="82" t="s">
        <v>22</v>
      </c>
      <c r="D3" s="82" t="s">
        <v>23</v>
      </c>
      <c r="E3" s="82" t="s">
        <v>24</v>
      </c>
      <c r="F3" s="82" t="s">
        <v>25</v>
      </c>
      <c r="G3" s="83" t="s">
        <v>26</v>
      </c>
      <c r="I3" s="84" t="s">
        <v>27</v>
      </c>
      <c r="J3" s="85">
        <v>23143268.370000001</v>
      </c>
    </row>
    <row r="4" spans="1:10" ht="14.25" customHeight="1">
      <c r="A4" s="86" t="s">
        <v>28</v>
      </c>
      <c r="B4" s="87">
        <f t="shared" ref="B4:B12" ca="1" si="0">INDEX($M$45:$M$54,MATCH(A4,$A$45:$A$54,0),1)</f>
        <v>8383542.0300000003</v>
      </c>
      <c r="C4" s="87">
        <v>0</v>
      </c>
      <c r="D4" s="87">
        <f t="shared" ref="D4:D15" ca="1" si="1">INDEX($B$57:$B$73,MATCH(A4,$A$57:$A$73,0),1)</f>
        <v>0</v>
      </c>
      <c r="E4" s="87">
        <f t="shared" ref="E4:E15" ca="1" si="2">SUMIF($F$19:$F$42,A4,$G$19:$G$42)</f>
        <v>0</v>
      </c>
      <c r="F4" s="87">
        <f t="shared" ref="F4:F15" ca="1" si="3">SUMIF($B$19:$B$27,A4,$C$19:$C$27)</f>
        <v>88704</v>
      </c>
      <c r="G4" s="88">
        <f t="shared" ref="G4:G13" ca="1" si="4">SUM(B4:F4)</f>
        <v>8472246.0300000012</v>
      </c>
      <c r="I4" s="89" t="s">
        <v>29</v>
      </c>
      <c r="J4" s="90">
        <v>19482962</v>
      </c>
    </row>
    <row r="5" spans="1:10" ht="14.25" customHeight="1">
      <c r="A5" s="1" t="s">
        <v>30</v>
      </c>
      <c r="B5" s="87">
        <f t="shared" ca="1" si="0"/>
        <v>10573996.189999999</v>
      </c>
      <c r="C5" s="87">
        <v>0</v>
      </c>
      <c r="D5" s="87">
        <f t="shared" ca="1" si="1"/>
        <v>0</v>
      </c>
      <c r="E5" s="87">
        <f t="shared" ca="1" si="2"/>
        <v>0</v>
      </c>
      <c r="F5" s="87">
        <f t="shared" ca="1" si="3"/>
        <v>0</v>
      </c>
      <c r="G5" s="88">
        <f t="shared" ca="1" si="4"/>
        <v>10573996.189999999</v>
      </c>
      <c r="I5" s="89" t="s">
        <v>30</v>
      </c>
      <c r="J5" s="90">
        <v>14483152.129999999</v>
      </c>
    </row>
    <row r="6" spans="1:10" ht="14.25" customHeight="1">
      <c r="A6" s="1" t="s">
        <v>31</v>
      </c>
      <c r="B6" s="87">
        <f t="shared" ca="1" si="0"/>
        <v>12268824.52</v>
      </c>
      <c r="C6" s="87">
        <v>0</v>
      </c>
      <c r="D6" s="87">
        <f t="shared" ca="1" si="1"/>
        <v>0</v>
      </c>
      <c r="E6" s="87">
        <f t="shared" ca="1" si="2"/>
        <v>0</v>
      </c>
      <c r="F6" s="87">
        <f t="shared" si="3"/>
        <v>0</v>
      </c>
      <c r="G6" s="88">
        <f t="shared" ca="1" si="4"/>
        <v>12268824.52</v>
      </c>
      <c r="I6" s="89" t="s">
        <v>31</v>
      </c>
      <c r="J6" s="90">
        <v>11908608.83</v>
      </c>
    </row>
    <row r="7" spans="1:10" ht="14.25" customHeight="1">
      <c r="A7" s="1" t="s">
        <v>32</v>
      </c>
      <c r="B7" s="87">
        <f t="shared" ca="1" si="0"/>
        <v>6118133.6500000004</v>
      </c>
      <c r="C7" s="87">
        <v>0</v>
      </c>
      <c r="D7" s="87">
        <f t="shared" ca="1" si="1"/>
        <v>0</v>
      </c>
      <c r="E7" s="87">
        <f t="shared" ca="1" si="2"/>
        <v>143189.06735999999</v>
      </c>
      <c r="F7" s="87">
        <f t="shared" si="3"/>
        <v>0</v>
      </c>
      <c r="G7" s="88">
        <f t="shared" ca="1" si="4"/>
        <v>6261322.7173600001</v>
      </c>
      <c r="I7" s="89" t="s">
        <v>28</v>
      </c>
      <c r="J7" s="90">
        <v>11544503.229999999</v>
      </c>
    </row>
    <row r="8" spans="1:10" ht="14.25" customHeight="1">
      <c r="A8" s="1" t="s">
        <v>33</v>
      </c>
      <c r="B8" s="87">
        <f t="shared" ca="1" si="0"/>
        <v>5137648.6399999997</v>
      </c>
      <c r="C8" s="87">
        <v>0</v>
      </c>
      <c r="D8" s="87">
        <f t="shared" ca="1" si="1"/>
        <v>0</v>
      </c>
      <c r="E8" s="87">
        <f t="shared" si="2"/>
        <v>0</v>
      </c>
      <c r="F8" s="87">
        <f t="shared" si="3"/>
        <v>0</v>
      </c>
      <c r="G8" s="88">
        <f t="shared" ca="1" si="4"/>
        <v>5137648.6399999997</v>
      </c>
      <c r="I8" s="89"/>
      <c r="J8" s="90"/>
    </row>
    <row r="9" spans="1:10" ht="14.25" customHeight="1">
      <c r="A9" s="1" t="s">
        <v>27</v>
      </c>
      <c r="B9" s="87">
        <f t="shared" ca="1" si="0"/>
        <v>18487984.609999999</v>
      </c>
      <c r="C9" s="87">
        <v>0</v>
      </c>
      <c r="D9" s="87">
        <f t="shared" ca="1" si="1"/>
        <v>0</v>
      </c>
      <c r="E9" s="87">
        <f t="shared" ca="1" si="2"/>
        <v>0</v>
      </c>
      <c r="F9" s="87">
        <f t="shared" si="3"/>
        <v>0</v>
      </c>
      <c r="G9" s="88">
        <f t="shared" ca="1" si="4"/>
        <v>18487984.609999999</v>
      </c>
      <c r="I9" s="89" t="s">
        <v>34</v>
      </c>
      <c r="J9" s="90">
        <v>9900926.8800000008</v>
      </c>
    </row>
    <row r="10" spans="1:10" ht="14.25" customHeight="1">
      <c r="A10" s="1" t="s">
        <v>34</v>
      </c>
      <c r="B10" s="87">
        <f t="shared" ca="1" si="0"/>
        <v>9559792.9000000004</v>
      </c>
      <c r="C10" s="87">
        <v>0</v>
      </c>
      <c r="D10" s="87">
        <f t="shared" ca="1" si="1"/>
        <v>0</v>
      </c>
      <c r="E10" s="87">
        <f t="shared" ca="1" si="2"/>
        <v>0</v>
      </c>
      <c r="F10" s="87">
        <f t="shared" si="3"/>
        <v>0</v>
      </c>
      <c r="G10" s="88">
        <f t="shared" ca="1" si="4"/>
        <v>9559792.9000000004</v>
      </c>
      <c r="I10" s="89" t="s">
        <v>35</v>
      </c>
      <c r="J10" s="90">
        <v>9082789.1400000006</v>
      </c>
    </row>
    <row r="11" spans="1:10" ht="14.25" customHeight="1">
      <c r="A11" s="1" t="s">
        <v>35</v>
      </c>
      <c r="B11" s="87">
        <f t="shared" ca="1" si="0"/>
        <v>8659496.7400000002</v>
      </c>
      <c r="C11" s="87">
        <v>0</v>
      </c>
      <c r="D11" s="87">
        <f t="shared" ca="1" si="1"/>
        <v>0</v>
      </c>
      <c r="E11" s="87">
        <f t="shared" ca="1" si="2"/>
        <v>0</v>
      </c>
      <c r="F11" s="87">
        <f t="shared" si="3"/>
        <v>0</v>
      </c>
      <c r="G11" s="88">
        <f t="shared" ca="1" si="4"/>
        <v>8659496.7400000002</v>
      </c>
      <c r="I11" s="89" t="s">
        <v>32</v>
      </c>
      <c r="J11" s="90">
        <v>7932975.6470719995</v>
      </c>
    </row>
    <row r="12" spans="1:10" ht="14.25" customHeight="1">
      <c r="A12" s="1" t="s">
        <v>36</v>
      </c>
      <c r="B12" s="87">
        <f t="shared" ca="1" si="0"/>
        <v>0</v>
      </c>
      <c r="C12" s="87">
        <v>0</v>
      </c>
      <c r="D12" s="87">
        <f t="shared" ca="1" si="1"/>
        <v>0</v>
      </c>
      <c r="E12" s="87">
        <f t="shared" ca="1" si="2"/>
        <v>0</v>
      </c>
      <c r="F12" s="87">
        <f t="shared" si="3"/>
        <v>0</v>
      </c>
      <c r="G12" s="88">
        <f t="shared" ca="1" si="4"/>
        <v>0</v>
      </c>
      <c r="I12" s="89" t="s">
        <v>36</v>
      </c>
      <c r="J12" s="90">
        <v>7580244.574</v>
      </c>
    </row>
    <row r="13" spans="1:10" ht="14.25" customHeight="1">
      <c r="A13" s="2" t="s">
        <v>29</v>
      </c>
      <c r="B13" s="87">
        <v>0</v>
      </c>
      <c r="C13" s="87">
        <f ca="1">C29+C37</f>
        <v>49822732</v>
      </c>
      <c r="D13" s="87">
        <f t="shared" ca="1" si="1"/>
        <v>0</v>
      </c>
      <c r="E13" s="87">
        <f t="shared" si="2"/>
        <v>0</v>
      </c>
      <c r="F13" s="87">
        <f t="shared" si="3"/>
        <v>0</v>
      </c>
      <c r="G13" s="88">
        <f t="shared" ca="1" si="4"/>
        <v>49822732</v>
      </c>
      <c r="I13" s="89" t="s">
        <v>37</v>
      </c>
      <c r="J13" s="90">
        <v>6720000</v>
      </c>
    </row>
    <row r="14" spans="1:10" ht="14.25" customHeight="1" thickBot="1">
      <c r="A14" s="2" t="s">
        <v>38</v>
      </c>
      <c r="B14" s="87">
        <v>0</v>
      </c>
      <c r="C14" s="87">
        <v>0</v>
      </c>
      <c r="D14" s="87">
        <f t="shared" ca="1" si="1"/>
        <v>0</v>
      </c>
      <c r="E14" s="87">
        <f t="shared" si="2"/>
        <v>0</v>
      </c>
      <c r="F14" s="87">
        <f t="shared" si="3"/>
        <v>0</v>
      </c>
      <c r="G14" s="88">
        <f ca="1">SUM(B14:F14)</f>
        <v>0</v>
      </c>
      <c r="I14" s="91" t="s">
        <v>38</v>
      </c>
      <c r="J14" s="92">
        <v>2464921.6199999992</v>
      </c>
    </row>
    <row r="15" spans="1:10" ht="14.25" customHeight="1" thickBot="1">
      <c r="A15" s="20" t="s">
        <v>39</v>
      </c>
      <c r="B15" s="87">
        <f ca="1">INDEX($M$45:$M$54,MATCH(A15,$A$45:$A$54,0),1)</f>
        <v>0</v>
      </c>
      <c r="C15" s="87">
        <v>0</v>
      </c>
      <c r="D15" s="87">
        <f t="shared" ca="1" si="1"/>
        <v>0</v>
      </c>
      <c r="E15" s="87">
        <f t="shared" si="2"/>
        <v>0</v>
      </c>
      <c r="F15" s="87">
        <f t="shared" si="3"/>
        <v>0</v>
      </c>
      <c r="G15" s="88">
        <f ca="1">SUM(B15:F15)</f>
        <v>0</v>
      </c>
    </row>
    <row r="16" spans="1:10" ht="14.25" customHeight="1" thickBot="1">
      <c r="A16" s="3"/>
      <c r="B16" s="93">
        <f t="shared" ref="B16:G16" ca="1" si="5">SUM(B4:B15)</f>
        <v>79189419.280000001</v>
      </c>
      <c r="C16" s="93">
        <f t="shared" ca="1" si="5"/>
        <v>49822732</v>
      </c>
      <c r="D16" s="93">
        <f t="shared" ca="1" si="5"/>
        <v>0</v>
      </c>
      <c r="E16" s="93">
        <f t="shared" ca="1" si="5"/>
        <v>143189.06735999999</v>
      </c>
      <c r="F16" s="93">
        <f t="shared" ca="1" si="5"/>
        <v>88704</v>
      </c>
      <c r="G16" s="119">
        <f t="shared" ca="1" si="5"/>
        <v>129244044.34736</v>
      </c>
    </row>
    <row r="17" spans="1:9" ht="14.25" customHeight="1" thickBot="1">
      <c r="B17" s="94"/>
      <c r="C17" s="94"/>
      <c r="D17" s="94"/>
      <c r="E17" s="94"/>
      <c r="F17" s="120"/>
    </row>
    <row r="18" spans="1:9" ht="14.25" customHeight="1" thickBot="1">
      <c r="A18" s="95" t="s">
        <v>40</v>
      </c>
      <c r="B18" s="96"/>
      <c r="C18" s="97">
        <f ca="1">SUM(C19:C27)</f>
        <v>88704</v>
      </c>
      <c r="E18" s="98" t="s">
        <v>24</v>
      </c>
      <c r="F18" s="99"/>
      <c r="G18" s="100">
        <f ca="1">SUM(G19:G41)</f>
        <v>143189.06735999999</v>
      </c>
      <c r="H18" s="101"/>
      <c r="I18" s="102"/>
    </row>
    <row r="19" spans="1:9" ht="14.25" customHeight="1">
      <c r="A19" s="5" t="s">
        <v>41</v>
      </c>
      <c r="B19" s="6" t="s">
        <v>28</v>
      </c>
      <c r="C19" s="7" cm="1">
        <f t="array" aca="1" ref="C19" ca="1">IFERROR(INDIRECT("'" &amp; A19 &amp; "'!A1"),)</f>
        <v>26403</v>
      </c>
      <c r="E19" s="5" t="s">
        <v>42</v>
      </c>
      <c r="F19" s="6" t="s">
        <v>28</v>
      </c>
      <c r="G19" s="8" cm="1">
        <f t="array" aca="1" ref="G19" ca="1">IFERROR(INDIRECT("'" &amp; E19 &amp; " "  &amp; F19 &amp; "'!A1"),0)</f>
        <v>0</v>
      </c>
      <c r="H19" s="9"/>
      <c r="I19" s="9"/>
    </row>
    <row r="20" spans="1:9" ht="14.25" customHeight="1">
      <c r="A20" s="10" t="s">
        <v>43</v>
      </c>
      <c r="B20" s="11" t="s">
        <v>28</v>
      </c>
      <c r="C20" s="7" cm="1">
        <f t="array" aca="1" ref="C20" ca="1">IFERROR(INDIRECT("'" &amp; A20 &amp; "'!A1"),)</f>
        <v>8928</v>
      </c>
      <c r="E20" s="10" t="s">
        <v>44</v>
      </c>
      <c r="F20" s="11" t="s">
        <v>28</v>
      </c>
      <c r="G20" s="8" cm="1">
        <f t="array" aca="1" ref="G20" ca="1">IFERROR(INDIRECT("'" &amp; E20 &amp; " "  &amp; F20 &amp; "'!A1"),0)</f>
        <v>0</v>
      </c>
      <c r="H20" s="9"/>
      <c r="I20" s="9"/>
    </row>
    <row r="21" spans="1:9" ht="14.25" customHeight="1">
      <c r="A21" s="10" t="s">
        <v>45</v>
      </c>
      <c r="B21" s="11" t="s">
        <v>28</v>
      </c>
      <c r="C21" s="7" cm="1">
        <f t="array" aca="1" ref="C21" ca="1">IFERROR(INDIRECT("'" &amp; A21 &amp; "'!A1"),)</f>
        <v>27921</v>
      </c>
      <c r="E21" s="5" t="s">
        <v>46</v>
      </c>
      <c r="F21" s="6" t="s">
        <v>28</v>
      </c>
      <c r="G21" s="8" cm="1">
        <f t="array" aca="1" ref="G21" ca="1">IFERROR(INDIRECT("'" &amp; E21 &amp; " "  &amp; F21 &amp; "'!A1"),0)</f>
        <v>0</v>
      </c>
      <c r="H21" s="9"/>
      <c r="I21" s="9"/>
    </row>
    <row r="22" spans="1:9" ht="14.25" customHeight="1">
      <c r="A22" s="10" t="s">
        <v>47</v>
      </c>
      <c r="B22" s="11" t="s">
        <v>28</v>
      </c>
      <c r="C22" s="7" cm="1">
        <f t="array" aca="1" ref="C22" ca="1">IFERROR(INDIRECT("'" &amp; A22 &amp; "'!A1"),)</f>
        <v>20640.000000000004</v>
      </c>
      <c r="E22" s="5" t="s">
        <v>48</v>
      </c>
      <c r="F22" s="6" t="s">
        <v>31</v>
      </c>
      <c r="G22" s="8" cm="1">
        <f t="array" aca="1" ref="G22" ca="1">IFERROR(INDIRECT("'" &amp; E22 &amp; " "  &amp; F22 &amp; "'!A1"),0)</f>
        <v>0</v>
      </c>
      <c r="H22" s="9"/>
      <c r="I22" s="9"/>
    </row>
    <row r="23" spans="1:9" ht="14.25" customHeight="1">
      <c r="A23" s="10" t="s">
        <v>49</v>
      </c>
      <c r="B23" s="11" t="s">
        <v>28</v>
      </c>
      <c r="C23" s="7" cm="1">
        <f t="array" aca="1" ref="C23" ca="1">IFERROR(INDIRECT("'" &amp; A23 &amp; "'!A1"),)</f>
        <v>4811.9999999999982</v>
      </c>
      <c r="E23" s="10" t="s">
        <v>42</v>
      </c>
      <c r="F23" s="11" t="s">
        <v>31</v>
      </c>
      <c r="G23" s="8" cm="1">
        <f t="array" aca="1" ref="G23" ca="1">IFERROR(INDIRECT("'" &amp; E23 &amp; " "  &amp; F23 &amp; "'!A1"),0)</f>
        <v>0</v>
      </c>
      <c r="H23" s="9"/>
      <c r="I23" s="9"/>
    </row>
    <row r="24" spans="1:9" ht="14.25" customHeight="1">
      <c r="A24" s="10" t="s">
        <v>50</v>
      </c>
      <c r="B24" s="11" t="s">
        <v>37</v>
      </c>
      <c r="C24" s="7" cm="1">
        <f t="array" aca="1" ref="C24" ca="1">IFERROR(INDIRECT("'" &amp; A24 &amp; "'!A1"),)</f>
        <v>0</v>
      </c>
      <c r="E24" s="10" t="s">
        <v>44</v>
      </c>
      <c r="F24" s="11" t="s">
        <v>31</v>
      </c>
      <c r="G24" s="8" cm="1">
        <f t="array" aca="1" ref="G24" ca="1">IFERROR(INDIRECT("'" &amp; E24 &amp; " "  &amp; F24 &amp; "'!A1"),0)</f>
        <v>0</v>
      </c>
      <c r="H24" s="9"/>
      <c r="I24" s="9"/>
    </row>
    <row r="25" spans="1:9" ht="14.25" customHeight="1">
      <c r="A25" s="10" t="s">
        <v>51</v>
      </c>
      <c r="B25" s="11" t="s">
        <v>30</v>
      </c>
      <c r="C25" s="7" cm="1">
        <f t="array" aca="1" ref="C25" ca="1">IFERROR(INDIRECT("'" &amp; A25 &amp; "'!A1"),)</f>
        <v>0</v>
      </c>
      <c r="E25" s="10" t="s">
        <v>42</v>
      </c>
      <c r="F25" s="11" t="s">
        <v>35</v>
      </c>
      <c r="G25" s="8" cm="1">
        <f t="array" aca="1" ref="G25" ca="1">IFERROR(INDIRECT("'" &amp; E25 &amp; " "  &amp; F25 &amp; "'!A1"),0)</f>
        <v>0</v>
      </c>
      <c r="H25" s="9"/>
      <c r="I25" s="9"/>
    </row>
    <row r="26" spans="1:9" ht="14.25" customHeight="1">
      <c r="A26" s="10" t="s">
        <v>52</v>
      </c>
      <c r="B26" s="11" t="s">
        <v>30</v>
      </c>
      <c r="C26" s="7" cm="1">
        <f t="array" aca="1" ref="C26" ca="1">IFERROR(INDIRECT("'" &amp; A26 &amp; "'!A1"),)</f>
        <v>0</v>
      </c>
      <c r="E26" s="10" t="s">
        <v>53</v>
      </c>
      <c r="F26" s="11" t="s">
        <v>35</v>
      </c>
      <c r="G26" s="8" cm="1">
        <f t="array" aca="1" ref="G26" ca="1">IFERROR(INDIRECT("'" &amp; E26 &amp; " "  &amp; F26 &amp; "'!t37"),0)</f>
        <v>0</v>
      </c>
      <c r="H26" s="9"/>
      <c r="I26" s="9"/>
    </row>
    <row r="27" spans="1:9" ht="14.25" customHeight="1">
      <c r="A27" s="10" t="s">
        <v>54</v>
      </c>
      <c r="B27" s="11" t="s">
        <v>30</v>
      </c>
      <c r="C27" s="7" cm="1">
        <f t="array" aca="1" ref="C27" ca="1">IFERROR(INDIRECT("'" &amp; A27 &amp; "'!A1"),)</f>
        <v>0</v>
      </c>
      <c r="E27" s="10" t="s">
        <v>55</v>
      </c>
      <c r="F27" s="11" t="s">
        <v>36</v>
      </c>
      <c r="G27" s="8" cm="1">
        <f t="array" aca="1" ref="G27" ca="1">IFERROR(INDIRECT("'" &amp; E27 &amp; " "  &amp; F27 &amp; "'!A1"),0)</f>
        <v>0</v>
      </c>
      <c r="H27" s="9"/>
      <c r="I27" s="9"/>
    </row>
    <row r="28" spans="1:9" ht="14.25" customHeight="1" thickBot="1">
      <c r="B28" s="12"/>
      <c r="C28" s="9"/>
      <c r="E28" s="10" t="s">
        <v>44</v>
      </c>
      <c r="F28" s="11" t="s">
        <v>30</v>
      </c>
      <c r="G28" s="8" cm="1">
        <f t="array" aca="1" ref="G28" ca="1">IFERROR(INDIRECT("'" &amp; E28 &amp; " "  &amp; F28 &amp; "'!A1"),0)</f>
        <v>0</v>
      </c>
      <c r="H28" s="9"/>
      <c r="I28" s="9"/>
    </row>
    <row r="29" spans="1:9" ht="14.25" customHeight="1" thickBot="1">
      <c r="A29" s="95" t="s">
        <v>29</v>
      </c>
      <c r="B29" s="96"/>
      <c r="C29" s="97">
        <f ca="1">SUM(C30:C35)</f>
        <v>39955133</v>
      </c>
      <c r="E29" s="10" t="s">
        <v>48</v>
      </c>
      <c r="F29" s="11" t="s">
        <v>30</v>
      </c>
      <c r="G29" s="8" cm="1">
        <f t="array" aca="1" ref="G29" ca="1">IFERROR(INDIRECT("'" &amp; E29 &amp; " "  &amp; F29 &amp; "'!A1"),0)</f>
        <v>0</v>
      </c>
      <c r="H29" s="9"/>
      <c r="I29" s="9"/>
    </row>
    <row r="30" spans="1:9" ht="14.25" customHeight="1">
      <c r="A30" s="13" t="s">
        <v>56</v>
      </c>
      <c r="B30" s="14"/>
      <c r="C30" s="7" cm="1">
        <f t="array" aca="1" ref="C30" ca="1">INDIRECT("'" &amp; A29 &amp; "'!F17")+80377</f>
        <v>16247867</v>
      </c>
      <c r="E30" s="10" t="s">
        <v>46</v>
      </c>
      <c r="F30" s="11" t="s">
        <v>30</v>
      </c>
      <c r="G30" s="8" cm="1">
        <f t="array" aca="1" ref="G30" ca="1">IFERROR(INDIRECT("'" &amp; E30 &amp; " "  &amp; F30 &amp; "'!A1"),0)</f>
        <v>0</v>
      </c>
      <c r="H30" s="9"/>
      <c r="I30" s="9"/>
    </row>
    <row r="31" spans="1:9" ht="14.25" customHeight="1">
      <c r="A31" s="15" t="s">
        <v>57</v>
      </c>
      <c r="B31" s="16"/>
      <c r="C31" s="8" cm="1">
        <f t="array" aca="1" ref="C31" ca="1">INDIRECT("'" &amp; A29 &amp; "'!F16")</f>
        <v>0</v>
      </c>
      <c r="E31" s="10" t="s">
        <v>42</v>
      </c>
      <c r="F31" s="11" t="s">
        <v>30</v>
      </c>
      <c r="G31" s="8" cm="1">
        <f t="array" aca="1" ref="G31" ca="1">IFERROR(INDIRECT("'" &amp; E31 &amp; " "  &amp; F31 &amp; "'!A1"),0)</f>
        <v>0</v>
      </c>
      <c r="H31" s="9"/>
      <c r="I31" s="9"/>
    </row>
    <row r="32" spans="1:9" ht="14.25" customHeight="1">
      <c r="A32" s="15" t="s">
        <v>58</v>
      </c>
      <c r="B32" s="16"/>
      <c r="C32" s="8" cm="1">
        <f t="array" aca="1" ref="C32" ca="1">INDIRECT("'" &amp; A29 &amp; "'!F18")</f>
        <v>799100</v>
      </c>
      <c r="E32" s="5" t="s">
        <v>59</v>
      </c>
      <c r="F32" s="6" t="s">
        <v>32</v>
      </c>
      <c r="G32" s="8" cm="1">
        <f t="array" aca="1" ref="G32" ca="1">IFERROR(INDIRECT("'" &amp; E32 &amp; " "  &amp; F32 &amp; "'!A1"),0)</f>
        <v>143189.06735999999</v>
      </c>
      <c r="H32" s="9"/>
      <c r="I32" s="9"/>
    </row>
    <row r="33" spans="1:13" ht="14.25" customHeight="1">
      <c r="A33" s="15" t="s">
        <v>60</v>
      </c>
      <c r="B33" s="16"/>
      <c r="C33" s="8" cm="1">
        <f t="array" aca="1" ref="C33" ca="1">INDIRECT("'" &amp; A29 &amp; "'!F19")</f>
        <v>1217379</v>
      </c>
      <c r="E33" s="5" t="s">
        <v>48</v>
      </c>
      <c r="F33" s="6" t="s">
        <v>32</v>
      </c>
      <c r="G33" s="8" cm="1">
        <f t="array" aca="1" ref="G33" ca="1">IFERROR(INDIRECT("'" &amp; E33 &amp; " "  &amp; F33 &amp; "'!A1"),0)</f>
        <v>0</v>
      </c>
      <c r="H33" s="9"/>
      <c r="I33" s="9"/>
    </row>
    <row r="34" spans="1:13" ht="14.25" customHeight="1">
      <c r="A34" s="15" t="s">
        <v>61</v>
      </c>
      <c r="B34" s="16"/>
      <c r="C34" s="8" cm="1">
        <f t="array" aca="1" ref="C34" ca="1">INDIRECT("'" &amp; A29 &amp; "'!F20")</f>
        <v>17003203</v>
      </c>
      <c r="E34" s="10" t="s">
        <v>44</v>
      </c>
      <c r="F34" s="11" t="s">
        <v>32</v>
      </c>
      <c r="G34" s="8" cm="1">
        <f t="array" aca="1" ref="G34" ca="1">IFERROR(INDIRECT("'" &amp; E34 &amp; " "  &amp; F34 &amp; "'!A1"),0)</f>
        <v>0</v>
      </c>
      <c r="H34" s="9"/>
      <c r="I34" s="9"/>
    </row>
    <row r="35" spans="1:13" ht="14.25" customHeight="1">
      <c r="A35" s="15" t="s">
        <v>62</v>
      </c>
      <c r="B35" s="16"/>
      <c r="C35" s="8" cm="1">
        <f t="array" aca="1" ref="C35" ca="1">INDIRECT("'" &amp; A29 &amp; "'!F21")</f>
        <v>4687584</v>
      </c>
      <c r="E35" s="10"/>
      <c r="F35" s="11"/>
      <c r="G35" s="8"/>
      <c r="H35" s="9"/>
      <c r="I35" s="9"/>
    </row>
    <row r="36" spans="1:13" ht="14.25" customHeight="1" thickBot="1">
      <c r="A36" s="17"/>
      <c r="B36" s="17"/>
      <c r="C36" s="18"/>
      <c r="E36" s="10" t="s">
        <v>46</v>
      </c>
      <c r="F36" s="11" t="s">
        <v>35</v>
      </c>
      <c r="G36" s="8" cm="1">
        <f t="array" aca="1" ref="G36" ca="1">IFERROR(INDIRECT("'" &amp; E36 &amp; " "  &amp; F36 &amp; "'!A1"),0)</f>
        <v>0</v>
      </c>
      <c r="H36" s="9"/>
      <c r="I36" s="9"/>
    </row>
    <row r="37" spans="1:13" ht="14.25" customHeight="1" thickBot="1">
      <c r="A37" s="95" t="s">
        <v>63</v>
      </c>
      <c r="B37" s="96"/>
      <c r="C37" s="97">
        <f>SUM(C38:C42)</f>
        <v>9867599</v>
      </c>
      <c r="E37" s="10" t="s">
        <v>44</v>
      </c>
      <c r="F37" s="11" t="s">
        <v>27</v>
      </c>
      <c r="G37" s="8" cm="1">
        <f t="array" aca="1" ref="G37" ca="1">IFERROR(INDIRECT("'" &amp; E37 &amp; " "  &amp; F37 &amp; "'!A1"),0)</f>
        <v>0</v>
      </c>
      <c r="H37" s="9"/>
      <c r="I37" s="9"/>
    </row>
    <row r="38" spans="1:13" ht="14.25" customHeight="1">
      <c r="A38" s="13" t="s">
        <v>64</v>
      </c>
      <c r="B38" s="14"/>
      <c r="C38" s="7">
        <v>2803379</v>
      </c>
      <c r="E38" s="10" t="s">
        <v>42</v>
      </c>
      <c r="F38" s="11" t="s">
        <v>34</v>
      </c>
      <c r="G38" s="8" cm="1">
        <f t="array" aca="1" ref="G38" ca="1">IFERROR(INDIRECT("'" &amp; E38 &amp; " "  &amp; F38 &amp; "'!A1"),0)</f>
        <v>0</v>
      </c>
      <c r="H38" s="9"/>
      <c r="I38" s="9"/>
    </row>
    <row r="39" spans="1:13" ht="14.25" customHeight="1">
      <c r="A39" s="15" t="s">
        <v>36</v>
      </c>
      <c r="B39" s="16"/>
      <c r="C39" s="8">
        <v>7064220</v>
      </c>
      <c r="E39" s="10" t="s">
        <v>48</v>
      </c>
      <c r="F39" s="11" t="s">
        <v>28</v>
      </c>
      <c r="G39" s="8" cm="1">
        <f t="array" aca="1" ref="G39" ca="1">IFERROR(INDIRECT("'" &amp; E39 &amp; " "  &amp; F39 &amp; "'!A1"),0)</f>
        <v>0</v>
      </c>
      <c r="H39" s="9"/>
      <c r="I39" s="9"/>
    </row>
    <row r="40" spans="1:13" ht="14.25" customHeight="1">
      <c r="A40" s="15"/>
      <c r="B40" s="16"/>
      <c r="C40" s="8"/>
      <c r="E40" s="10" t="s">
        <v>42</v>
      </c>
      <c r="F40" s="11" t="s">
        <v>27</v>
      </c>
      <c r="G40" s="8" cm="1">
        <f t="array" aca="1" ref="G40" ca="1">IFERROR(INDIRECT("'" &amp; E40 &amp; " "  &amp; F40 &amp; "'!A1"),0)</f>
        <v>0</v>
      </c>
      <c r="H40" s="9"/>
      <c r="I40" s="9"/>
    </row>
    <row r="41" spans="1:13" ht="14.25" customHeight="1">
      <c r="A41" s="15"/>
      <c r="B41" s="16"/>
      <c r="C41" s="8"/>
      <c r="E41" s="10" t="s">
        <v>65</v>
      </c>
      <c r="F41" s="11" t="s">
        <v>36</v>
      </c>
      <c r="G41" s="8" cm="1">
        <f t="array" aca="1" ref="G41" ca="1">IFERROR(INDIRECT("'" &amp; E41 &amp; " "  &amp; F41 &amp; "'!A1"),0)</f>
        <v>0</v>
      </c>
      <c r="H41" s="9"/>
      <c r="I41" s="9"/>
    </row>
    <row r="42" spans="1:13" ht="14.25" customHeight="1" thickBot="1">
      <c r="A42" s="15"/>
      <c r="B42" s="16"/>
      <c r="C42" s="8"/>
      <c r="F42" s="12"/>
      <c r="G42" s="19"/>
      <c r="H42" s="9"/>
      <c r="I42" s="9"/>
    </row>
    <row r="43" spans="1:13" ht="14.25" customHeight="1" thickBot="1">
      <c r="A43" s="95" t="s">
        <v>66</v>
      </c>
      <c r="B43" s="96"/>
      <c r="C43" s="96"/>
      <c r="D43" s="96"/>
      <c r="E43" s="96"/>
      <c r="F43" s="96"/>
      <c r="G43" s="96"/>
      <c r="H43" s="96"/>
      <c r="I43" s="96"/>
      <c r="J43" s="103"/>
      <c r="K43" s="104">
        <f ca="1">SUM(M45:M54)</f>
        <v>79189419.280000001</v>
      </c>
      <c r="L43" s="105"/>
      <c r="M43" s="106"/>
    </row>
    <row r="44" spans="1:13" ht="14.25" customHeight="1" thickBot="1">
      <c r="A44" s="3"/>
      <c r="B44" s="82" t="s">
        <v>67</v>
      </c>
      <c r="C44" s="82" t="s">
        <v>68</v>
      </c>
      <c r="D44" s="82" t="s">
        <v>69</v>
      </c>
      <c r="E44" s="82" t="s">
        <v>70</v>
      </c>
      <c r="F44" s="82" t="s">
        <v>71</v>
      </c>
      <c r="G44" s="107" t="s">
        <v>53</v>
      </c>
      <c r="H44" s="107" t="s">
        <v>72</v>
      </c>
      <c r="I44" s="107" t="s">
        <v>73</v>
      </c>
      <c r="J44" s="108" t="s">
        <v>74</v>
      </c>
      <c r="K44" s="108" t="s">
        <v>75</v>
      </c>
      <c r="L44" s="108" t="s">
        <v>76</v>
      </c>
      <c r="M44" s="109" t="s">
        <v>77</v>
      </c>
    </row>
    <row r="45" spans="1:13" ht="14.25" customHeight="1">
      <c r="A45" s="110" t="s">
        <v>28</v>
      </c>
      <c r="B45" s="111" cm="1">
        <f t="array" aca="1" ref="B45" ca="1">IFERROR(INDIRECT("'" &amp; $A45 &amp; " " &amp; B$44 &amp; "'!T37"),)</f>
        <v>3096.29</v>
      </c>
      <c r="C45" s="111" cm="1">
        <f t="array" aca="1" ref="C45" ca="1">IFERROR(INDIRECT("'" &amp; $A45 &amp; " " &amp; C$44 &amp; "'!T37"),)</f>
        <v>537086.71</v>
      </c>
      <c r="D45" s="111" cm="1">
        <f t="array" aca="1" ref="D45" ca="1">IFERROR(INDIRECT("'" &amp; $A45 &amp; " " &amp; D$44 &amp; "'!T37"),)</f>
        <v>7843359.0300000003</v>
      </c>
      <c r="E45" s="111" cm="1">
        <f t="array" aca="1" ref="E45" ca="1">IFERROR(INDIRECT("'" &amp; $A45 &amp; " " &amp; E$44 &amp; "'!T37"),)</f>
        <v>0</v>
      </c>
      <c r="F45" s="111" cm="1">
        <f t="array" aca="1" ref="F45" ca="1">IFERROR(INDIRECT("'" &amp; $A45 &amp; " " &amp; F$44 &amp; "'!T37"),)</f>
        <v>0</v>
      </c>
      <c r="G45" s="111" cm="1">
        <f t="array" aca="1" ref="G45" ca="1">IFERROR(INDIRECT("'" &amp; $A45 &amp; " " &amp; G$44 &amp; "'!T37"),)</f>
        <v>0</v>
      </c>
      <c r="H45" s="111" cm="1">
        <f t="array" aca="1" ref="H45" ca="1">IFERROR(INDIRECT("'" &amp; $A45 &amp; " " &amp; H$44 &amp; "'!T37"),)</f>
        <v>0</v>
      </c>
      <c r="I45" s="111" cm="1">
        <f t="array" aca="1" ref="I45" ca="1">IFERROR(INDIRECT("'" &amp; $A45 &amp; " " &amp; I$44 &amp; "'!T37"),)</f>
        <v>0</v>
      </c>
      <c r="J45" s="111" cm="1">
        <f t="array" aca="1" ref="J45" ca="1">IFERROR(INDIRECT("'" &amp; $A45 &amp; " " &amp; J$44 &amp; "'!T37"),)</f>
        <v>0</v>
      </c>
      <c r="K45" s="111" cm="1">
        <f t="array" aca="1" ref="K45" ca="1">IFERROR(INDIRECT("'" &amp; $A45 &amp; " " &amp; K$44 &amp; "'!G12"),)</f>
        <v>0</v>
      </c>
      <c r="L45" s="111" cm="1">
        <f t="array" aca="1" ref="L45" ca="1">IFERROR(INDIRECT("'" &amp; $A45 &amp; " " &amp; L$44 &amp; "'!F14"),)</f>
        <v>0</v>
      </c>
      <c r="M45" s="112">
        <f ca="1">SUM(B45:L45)</f>
        <v>8383542.0300000003</v>
      </c>
    </row>
    <row r="46" spans="1:13" ht="14.25" customHeight="1">
      <c r="A46" s="20" t="s">
        <v>30</v>
      </c>
      <c r="B46" s="111" cm="1">
        <f t="array" aca="1" ref="B46" ca="1">IFERROR(INDIRECT("'" &amp; $A46 &amp; " " &amp; B$44 &amp; "'!T37"),)</f>
        <v>21861.83</v>
      </c>
      <c r="C46" s="111" cm="1">
        <f t="array" aca="1" ref="C46" ca="1">IFERROR(INDIRECT("'" &amp; $A46 &amp; " " &amp; C$44 &amp; "'!T37"),)</f>
        <v>132081.46</v>
      </c>
      <c r="D46" s="111" cm="1">
        <f t="array" aca="1" ref="D46" ca="1">IFERROR(INDIRECT("'" &amp; $A46 &amp; " " &amp; D$44 &amp; "'!T37"),)</f>
        <v>10420052.9</v>
      </c>
      <c r="E46" s="111" cm="1">
        <f t="array" aca="1" ref="E46" ca="1">IFERROR(INDIRECT("'" &amp; $A46 &amp; " " &amp; E$44 &amp; "'!T37"),)</f>
        <v>0</v>
      </c>
      <c r="F46" s="111" cm="1">
        <f t="array" aca="1" ref="F46" ca="1">IFERROR(INDIRECT("'" &amp; $A46 &amp; " " &amp; F$44 &amp; "'!T37"),)</f>
        <v>0</v>
      </c>
      <c r="G46" s="111" cm="1">
        <f t="array" aca="1" ref="G46" ca="1">IFERROR(INDIRECT("'" &amp; $A46 &amp; " " &amp; G$44 &amp; "'!T37"),)</f>
        <v>0</v>
      </c>
      <c r="H46" s="111" cm="1">
        <f t="array" aca="1" ref="H46" ca="1">IFERROR(INDIRECT("'" &amp; $A46 &amp; " " &amp; H$44 &amp; "'!T37"),)</f>
        <v>0</v>
      </c>
      <c r="I46" s="111" cm="1">
        <f t="array" aca="1" ref="I46" ca="1">IFERROR(INDIRECT("'" &amp; $A46 &amp; " " &amp; I$44 &amp; "'!T37"),)</f>
        <v>0</v>
      </c>
      <c r="J46" s="111" cm="1">
        <f t="array" aca="1" ref="J46" ca="1">IFERROR(INDIRECT("'" &amp; $A46 &amp; " " &amp; J$44 &amp; "'!T37"),)</f>
        <v>0</v>
      </c>
      <c r="K46" s="111" cm="1">
        <f t="array" aca="1" ref="K46" ca="1">IFERROR(INDIRECT("'" &amp; $A46 &amp; " " &amp; K$44 &amp; "'!G12"),)</f>
        <v>0</v>
      </c>
      <c r="L46" s="111" cm="1">
        <f t="array" aca="1" ref="L46" ca="1">IFERROR(INDIRECT("'" &amp; $A46 &amp; " " &amp; L$44 &amp; "'!F14"),)</f>
        <v>0</v>
      </c>
      <c r="M46" s="112">
        <f t="shared" ref="M46:M54" ca="1" si="6">SUM(B46:L46)</f>
        <v>10573996.189999999</v>
      </c>
    </row>
    <row r="47" spans="1:13" ht="14.25" customHeight="1">
      <c r="A47" s="20" t="s">
        <v>31</v>
      </c>
      <c r="B47" s="111" cm="1">
        <f t="array" aca="1" ref="B47" ca="1">IFERROR(INDIRECT("'" &amp; $A47 &amp; " " &amp; B$44 &amp; "'!T37"),)</f>
        <v>13118</v>
      </c>
      <c r="C47" s="111" cm="1">
        <f t="array" aca="1" ref="C47" ca="1">IFERROR(INDIRECT("'" &amp; $A47 &amp; " " &amp; C$44 &amp; "'!T37"),)</f>
        <v>1297778.6100000001</v>
      </c>
      <c r="D47" s="111" cm="1">
        <f t="array" aca="1" ref="D47" ca="1">IFERROR(INDIRECT("'" &amp; $A47 &amp; " " &amp; D$44 &amp; "'!T37"),)</f>
        <v>10882959.890000001</v>
      </c>
      <c r="E47" s="111" cm="1">
        <f t="array" aca="1" ref="E47" ca="1">IFERROR(INDIRECT("'" &amp; $A47 &amp; " " &amp; E$44 &amp; "'!T37"),)</f>
        <v>0</v>
      </c>
      <c r="F47" s="111" cm="1">
        <f t="array" aca="1" ref="F47" ca="1">IFERROR(INDIRECT("'" &amp; $A47 &amp; " " &amp; F$44 &amp; "'!T37"),)</f>
        <v>0</v>
      </c>
      <c r="G47" s="111" cm="1">
        <f t="array" aca="1" ref="G47" ca="1">IFERROR(INDIRECT("'" &amp; $A47 &amp; " " &amp; G$44 &amp; "'!T37"),)</f>
        <v>0</v>
      </c>
      <c r="H47" s="111" cm="1">
        <f t="array" aca="1" ref="H47" ca="1">IFERROR(INDIRECT("'" &amp; $A47 &amp; " " &amp; H$44 &amp; "'!T37"),)</f>
        <v>0</v>
      </c>
      <c r="I47" s="111" cm="1">
        <f t="array" aca="1" ref="I47" ca="1">IFERROR(INDIRECT("'" &amp; $A47 &amp; " " &amp; I$44 &amp; "'!T37"),)</f>
        <v>0</v>
      </c>
      <c r="J47" s="111" cm="1">
        <f t="array" aca="1" ref="J47" ca="1">IFERROR(INDIRECT("'" &amp; $A47 &amp; " " &amp; J$44 &amp; "'!T37"),)</f>
        <v>72528.02</v>
      </c>
      <c r="K47" s="111" cm="1">
        <f t="array" aca="1" ref="K47" ca="1">IFERROR(INDIRECT("'" &amp; $A47 &amp; " " &amp; K$44 &amp; "'!G12"),)</f>
        <v>2440</v>
      </c>
      <c r="L47" s="111" cm="1">
        <f t="array" aca="1" ref="L47" ca="1">IFERROR(INDIRECT("'" &amp; $A47 &amp; " " &amp; L$44 &amp; "'!F14"),)</f>
        <v>0</v>
      </c>
      <c r="M47" s="112">
        <f t="shared" ca="1" si="6"/>
        <v>12268824.52</v>
      </c>
    </row>
    <row r="48" spans="1:13" ht="14.25" customHeight="1">
      <c r="A48" s="20" t="s">
        <v>32</v>
      </c>
      <c r="B48" s="111" cm="1">
        <f t="array" aca="1" ref="B48" ca="1">IFERROR(INDIRECT("'" &amp; $A48 &amp; " " &amp; B$44 &amp; "'!T37"),)</f>
        <v>29488.57</v>
      </c>
      <c r="C48" s="111" cm="1">
        <f t="array" aca="1" ref="C48" ca="1">IFERROR(INDIRECT("'" &amp; $A48 &amp; " " &amp; C$44 &amp; "'!T37"),)</f>
        <v>384734.86</v>
      </c>
      <c r="D48" s="111" cm="1">
        <f t="array" aca="1" ref="D48" ca="1">IFERROR(INDIRECT("'" &amp; $A48 &amp; " " &amp; D$44 &amp; "'!T37"),)</f>
        <v>3914653.77</v>
      </c>
      <c r="E48" s="111" cm="1">
        <f t="array" aca="1" ref="E48" ca="1">IFERROR(INDIRECT("'" &amp; $A48 &amp; " " &amp; E$44 &amp; "'!T37"),)</f>
        <v>0</v>
      </c>
      <c r="F48" s="111" cm="1">
        <f t="array" aca="1" ref="F48" ca="1">IFERROR(INDIRECT("'" &amp; $A48 &amp; " " &amp; F$44 &amp; "'!T37"),)</f>
        <v>0</v>
      </c>
      <c r="G48" s="111" cm="1">
        <f t="array" aca="1" ref="G48" ca="1">IFERROR(INDIRECT("'" &amp; $A48 &amp; " " &amp; G$44 &amp; "'!T37"),)</f>
        <v>0</v>
      </c>
      <c r="H48" s="111" cm="1">
        <f t="array" aca="1" ref="H48" ca="1">IFERROR(INDIRECT("'" &amp; $A48 &amp; " " &amp; H$44 &amp; "'!T37"),)</f>
        <v>0</v>
      </c>
      <c r="I48" s="111" cm="1">
        <f t="array" aca="1" ref="I48" ca="1">IFERROR(INDIRECT("'" &amp; $A48 &amp; " " &amp; I$44 &amp; "'!T37"),)</f>
        <v>1789256.45</v>
      </c>
      <c r="J48" s="111" cm="1">
        <f t="array" aca="1" ref="J48" ca="1">IFERROR(INDIRECT("'" &amp; $A48 &amp; " " &amp; J$44 &amp; "'!T37"),)</f>
        <v>0</v>
      </c>
      <c r="K48" s="111" cm="1">
        <f t="array" aca="1" ref="K48" ca="1">IFERROR(INDIRECT("'" &amp; $A48 &amp; " " &amp; K$44 &amp; "'!G12"),)</f>
        <v>0</v>
      </c>
      <c r="L48" s="111" cm="1">
        <f t="array" aca="1" ref="L48" ca="1">IFERROR(INDIRECT("'" &amp; $A48 &amp; " " &amp; L$44 &amp; "'!F14"),)</f>
        <v>0</v>
      </c>
      <c r="M48" s="112">
        <f t="shared" ca="1" si="6"/>
        <v>6118133.6500000004</v>
      </c>
    </row>
    <row r="49" spans="1:13" ht="14.25" customHeight="1">
      <c r="A49" s="20" t="s">
        <v>33</v>
      </c>
      <c r="B49" s="111" cm="1">
        <f t="array" aca="1" ref="B49" ca="1">IFERROR(INDIRECT("'" &amp; $A49 &amp; " " &amp; B$44 &amp; "'!T37"),)</f>
        <v>0</v>
      </c>
      <c r="C49" s="111" cm="1">
        <f t="array" aca="1" ref="C49" ca="1">IFERROR(INDIRECT("'" &amp; $A49 &amp; " " &amp; C$44 &amp; "'!T37"),)</f>
        <v>0</v>
      </c>
      <c r="D49" s="111" cm="1">
        <f t="array" aca="1" ref="D49" ca="1">IFERROR(INDIRECT("'" &amp; $A49 &amp; " " &amp; D$44 &amp; "'!T37"),)</f>
        <v>0</v>
      </c>
      <c r="E49" s="111" cm="1">
        <f t="array" aca="1" ref="E49" ca="1">IFERROR(INDIRECT("'" &amp; $A49 &amp; " " &amp; E$44 &amp; "'!T37"),)</f>
        <v>0</v>
      </c>
      <c r="F49" s="111" cm="1">
        <f t="array" aca="1" ref="F49" ca="1">IFERROR(INDIRECT("'" &amp; $A49 &amp; " " &amp; F$44 &amp; "'!T37"),)</f>
        <v>0</v>
      </c>
      <c r="G49" s="111" cm="1">
        <f t="array" aca="1" ref="G49" ca="1">IFERROR(INDIRECT("'" &amp; $A49 &amp; " " &amp; G$44 &amp; "'!T37"),)</f>
        <v>0</v>
      </c>
      <c r="H49" s="111" cm="1">
        <f t="array" aca="1" ref="H49" ca="1">IFERROR(INDIRECT("'" &amp; $A49 &amp; " " &amp; H$44 &amp; "'!T37"),)</f>
        <v>0</v>
      </c>
      <c r="I49" s="111" cm="1">
        <f t="array" aca="1" ref="I49" ca="1">IFERROR(INDIRECT("'" &amp; $A49 &amp; " " &amp; I$44 &amp; "'!T37"),)</f>
        <v>5137648.6399999997</v>
      </c>
      <c r="J49" s="111" cm="1">
        <f t="array" aca="1" ref="J49" ca="1">IFERROR(INDIRECT("'" &amp; $A49 &amp; " " &amp; J$44 &amp; "'!T37"),)</f>
        <v>0</v>
      </c>
      <c r="K49" s="111" cm="1">
        <f t="array" aca="1" ref="K49" ca="1">IFERROR(INDIRECT("'" &amp; $A49 &amp; " " &amp; K$44 &amp; "'!G12"),)</f>
        <v>0</v>
      </c>
      <c r="L49" s="111" cm="1">
        <f t="array" aca="1" ref="L49" ca="1">IFERROR(INDIRECT("'" &amp; $A49 &amp; " " &amp; L$44 &amp; "'!F14"),)</f>
        <v>0</v>
      </c>
      <c r="M49" s="112">
        <f t="shared" ca="1" si="6"/>
        <v>5137648.6399999997</v>
      </c>
    </row>
    <row r="50" spans="1:13" ht="14.25" customHeight="1">
      <c r="A50" s="20" t="s">
        <v>27</v>
      </c>
      <c r="B50" s="111" cm="1">
        <f t="array" aca="1" ref="B50" ca="1">IFERROR(INDIRECT("'" &amp; $A50 &amp; " " &amp; B$44 &amp; "'!T37"),)</f>
        <v>0</v>
      </c>
      <c r="C50" s="111" cm="1">
        <f t="array" aca="1" ref="C50" ca="1">IFERROR(INDIRECT("'" &amp; $A50 &amp; " " &amp; C$44 &amp; "'!T37"),)</f>
        <v>218445.4</v>
      </c>
      <c r="D50" s="111" cm="1">
        <f t="array" aca="1" ref="D50" ca="1">IFERROR(INDIRECT("'" &amp; $A50 &amp; " " &amp; D$44 &amp; "'!T37"),)</f>
        <v>18237819.210000001</v>
      </c>
      <c r="E50" s="111" cm="1">
        <f t="array" aca="1" ref="E50" ca="1">IFERROR(INDIRECT("'" &amp; $A50 &amp; " " &amp; E$44 &amp; "'!T37"),)</f>
        <v>0</v>
      </c>
      <c r="F50" s="111" cm="1">
        <f t="array" aca="1" ref="F50" ca="1">IFERROR(INDIRECT("'" &amp; $A50 &amp; " " &amp; F$44 &amp; "'!T37"),)</f>
        <v>0</v>
      </c>
      <c r="G50" s="111" cm="1">
        <f t="array" aca="1" ref="G50" ca="1">IFERROR(INDIRECT("'" &amp; $A50 &amp; " " &amp; G$44 &amp; "'!T37"),)</f>
        <v>0</v>
      </c>
      <c r="H50" s="111" cm="1">
        <f t="array" aca="1" ref="H50" ca="1">IFERROR(INDIRECT("'" &amp; $A50 &amp; " " &amp; H$44 &amp; "'!T37"),)</f>
        <v>0</v>
      </c>
      <c r="I50" s="111" cm="1">
        <f t="array" aca="1" ref="I50" ca="1">IFERROR(INDIRECT("'" &amp; $A50 &amp; " " &amp; I$44 &amp; "'!T37"),)</f>
        <v>0</v>
      </c>
      <c r="J50" s="111" cm="1">
        <f t="array" aca="1" ref="J50" ca="1">IFERROR(INDIRECT("'" &amp; $A50 &amp; " " &amp; J$44 &amp; "'!T37"),)</f>
        <v>0</v>
      </c>
      <c r="K50" s="111" cm="1">
        <f t="array" aca="1" ref="K50" ca="1">IFERROR(INDIRECT("'" &amp; $A50 &amp; " " &amp; K$44 &amp; "'!G12"),)</f>
        <v>31720</v>
      </c>
      <c r="L50" s="111" cm="1">
        <f t="array" aca="1" ref="L50" ca="1">IFERROR(INDIRECT("'" &amp; $A50 &amp; " " &amp; L$44 &amp; "'!F14"),)</f>
        <v>0</v>
      </c>
      <c r="M50" s="112">
        <f t="shared" ca="1" si="6"/>
        <v>18487984.609999999</v>
      </c>
    </row>
    <row r="51" spans="1:13" ht="14.25" customHeight="1">
      <c r="A51" s="20" t="s">
        <v>34</v>
      </c>
      <c r="B51" s="111" cm="1">
        <f t="array" aca="1" ref="B51" ca="1">IFERROR(INDIRECT("'" &amp; $A51 &amp; " " &amp; B$44 &amp; "'!T37"),)</f>
        <v>0</v>
      </c>
      <c r="C51" s="111" cm="1">
        <f t="array" aca="1" ref="C51" ca="1">IFERROR(INDIRECT("'" &amp; $A51 &amp; " " &amp; C$44 &amp; "'!T37"),)</f>
        <v>0</v>
      </c>
      <c r="D51" s="111" cm="1">
        <f t="array" aca="1" ref="D51" ca="1">IFERROR(INDIRECT("'" &amp; $A51 &amp; " " &amp; D$44 &amp; "'!T37"),)</f>
        <v>9528072.9000000004</v>
      </c>
      <c r="E51" s="111" cm="1">
        <f t="array" aca="1" ref="E51" ca="1">IFERROR(INDIRECT("'" &amp; $A51 &amp; " " &amp; E$44 &amp; "'!T37"),)</f>
        <v>0</v>
      </c>
      <c r="F51" s="111" cm="1">
        <f t="array" aca="1" ref="F51" ca="1">IFERROR(INDIRECT("'" &amp; $A51 &amp; " " &amp; F$44 &amp; "'!T37"),)</f>
        <v>0</v>
      </c>
      <c r="G51" s="111" cm="1">
        <f t="array" aca="1" ref="G51" ca="1">IFERROR(INDIRECT("'" &amp; $A51 &amp; " " &amp; G$44 &amp; "'!T37"),)</f>
        <v>0</v>
      </c>
      <c r="H51" s="111" cm="1">
        <f t="array" aca="1" ref="H51" ca="1">IFERROR(INDIRECT("'" &amp; $A51 &amp; " " &amp; H$44 &amp; "'!T37"),)</f>
        <v>0</v>
      </c>
      <c r="I51" s="111" cm="1">
        <f t="array" aca="1" ref="I51" ca="1">IFERROR(INDIRECT("'" &amp; $A51 &amp; " " &amp; I$44 &amp; "'!T37"),)</f>
        <v>0</v>
      </c>
      <c r="J51" s="111" cm="1">
        <f t="array" aca="1" ref="J51" ca="1">IFERROR(INDIRECT("'" &amp; $A51 &amp; " " &amp; J$44 &amp; "'!T37"),)</f>
        <v>0</v>
      </c>
      <c r="K51" s="111" cm="1">
        <f t="array" aca="1" ref="K51" ca="1">IFERROR(INDIRECT("'" &amp; $A51 &amp; " " &amp; K$44 &amp; "'!G12"),)</f>
        <v>31720</v>
      </c>
      <c r="L51" s="111" cm="1">
        <f t="array" aca="1" ref="L51" ca="1">IFERROR(INDIRECT("'" &amp; $A51 &amp; " " &amp; L$44 &amp; "'!F14"),)</f>
        <v>0</v>
      </c>
      <c r="M51" s="112">
        <f t="shared" ca="1" si="6"/>
        <v>9559792.9000000004</v>
      </c>
    </row>
    <row r="52" spans="1:13" ht="14.25" customHeight="1">
      <c r="A52" s="20" t="s">
        <v>35</v>
      </c>
      <c r="B52" s="111" cm="1">
        <f t="array" aca="1" ref="B52" ca="1">IFERROR(INDIRECT("'" &amp; $A52 &amp; " " &amp; B$44 &amp; "'!T37"),)</f>
        <v>0</v>
      </c>
      <c r="C52" s="111" cm="1">
        <f t="array" aca="1" ref="C52" ca="1">IFERROR(INDIRECT("'" &amp; $A52 &amp; " " &amp; C$44 &amp; "'!T37"),)</f>
        <v>0</v>
      </c>
      <c r="D52" s="111" cm="1">
        <f t="array" aca="1" ref="D52" ca="1">IFERROR(INDIRECT("'" &amp; $A52 &amp; " " &amp; D$44 &amp; "'!T37"),)</f>
        <v>7817976.3799999999</v>
      </c>
      <c r="E52" s="111" cm="1">
        <f t="array" aca="1" ref="E52" ca="1">IFERROR(INDIRECT("'" &amp; $A52 &amp; " " &amp; E$44 &amp; "'!T37"),)</f>
        <v>0</v>
      </c>
      <c r="F52" s="111" cm="1">
        <f t="array" aca="1" ref="F52" ca="1">IFERROR(INDIRECT("'" &amp; $A52 &amp; " " &amp; F$44 &amp; "'!T37"),)</f>
        <v>0</v>
      </c>
      <c r="G52" s="111" cm="1">
        <f t="array" aca="1" ref="G52" ca="1">IFERROR(INDIRECT("'" &amp; $A52 &amp; " " &amp; G$44 &amp; "'!T37"),)</f>
        <v>841520.36</v>
      </c>
      <c r="H52" s="111" cm="1">
        <f t="array" aca="1" ref="H52" ca="1">IFERROR(INDIRECT("'" &amp; $A52 &amp; " " &amp; H$44 &amp; "'!T37"),)</f>
        <v>0</v>
      </c>
      <c r="I52" s="111" cm="1">
        <f t="array" aca="1" ref="I52" ca="1">IFERROR(INDIRECT("'" &amp; $A52 &amp; " " &amp; I$44 &amp; "'!T37"),)</f>
        <v>0</v>
      </c>
      <c r="J52" s="111" cm="1">
        <f t="array" aca="1" ref="J52" ca="1">IFERROR(INDIRECT("'" &amp; $A52 &amp; " " &amp; J$44 &amp; "'!T37"),)</f>
        <v>0</v>
      </c>
      <c r="K52" s="111" cm="1">
        <f t="array" aca="1" ref="K52" ca="1">IFERROR(INDIRECT("'" &amp; $A52 &amp; " " &amp; K$44 &amp; "'!G12"),)</f>
        <v>0</v>
      </c>
      <c r="L52" s="111" cm="1">
        <f t="array" aca="1" ref="L52" ca="1">IFERROR(INDIRECT("'" &amp; $A52 &amp; " " &amp; L$44 &amp; "'!F14"),)</f>
        <v>0</v>
      </c>
      <c r="M52" s="112">
        <f t="shared" ca="1" si="6"/>
        <v>8659496.7400000002</v>
      </c>
    </row>
    <row r="53" spans="1:13" ht="14.25" customHeight="1">
      <c r="A53" s="20" t="s">
        <v>36</v>
      </c>
      <c r="B53" s="111" cm="1">
        <f t="array" aca="1" ref="B53" ca="1">IFERROR(INDIRECT("'" &amp; $A53 &amp; " " &amp; B$44 &amp; "'!T37"),)</f>
        <v>0</v>
      </c>
      <c r="C53" s="111" cm="1">
        <f t="array" aca="1" ref="C53" ca="1">IFERROR(INDIRECT("'" &amp; $A53 &amp; " " &amp; C$44 &amp; "'!T37"),)</f>
        <v>0</v>
      </c>
      <c r="D53" s="111" cm="1">
        <f t="array" aca="1" ref="D53" ca="1">IFERROR(INDIRECT("'" &amp; $A53 &amp; " " &amp; D$44 &amp; "'!T37"),)</f>
        <v>0</v>
      </c>
      <c r="E53" s="111" cm="1">
        <f t="array" aca="1" ref="E53" ca="1">IFERROR(INDIRECT("'" &amp; $A53 &amp; " " &amp; E$44 &amp; "'!T37"),)</f>
        <v>0</v>
      </c>
      <c r="F53" s="111" cm="1">
        <f t="array" aca="1" ref="F53" ca="1">IFERROR(INDIRECT("'" &amp; $A53 &amp; " " &amp; F$44 &amp; "'!T37"),)</f>
        <v>0</v>
      </c>
      <c r="G53" s="111" cm="1">
        <f t="array" aca="1" ref="G53" ca="1">IFERROR(INDIRECT("'" &amp; $A53 &amp; " " &amp; G$44 &amp; "'!T37"),)</f>
        <v>0</v>
      </c>
      <c r="H53" s="111" cm="1">
        <f t="array" aca="1" ref="H53" ca="1">IFERROR(INDIRECT("'" &amp; $A53 &amp; " " &amp; H$44 &amp; "'!T37"),)</f>
        <v>0</v>
      </c>
      <c r="I53" s="111" cm="1">
        <f t="array" aca="1" ref="I53" ca="1">IFERROR(INDIRECT("'" &amp; $A53 &amp; " " &amp; I$44 &amp; "'!T37"),)</f>
        <v>0</v>
      </c>
      <c r="J53" s="111" cm="1">
        <f t="array" aca="1" ref="J53" ca="1">IFERROR(INDIRECT("'" &amp; $A53 &amp; " " &amp; J$44 &amp; "'!T37"),)</f>
        <v>0</v>
      </c>
      <c r="K53" s="111" cm="1">
        <f t="array" aca="1" ref="K53" ca="1">IFERROR(INDIRECT("'" &amp; $A53 &amp; " " &amp; K$44 &amp; "'!G12"),)</f>
        <v>0</v>
      </c>
      <c r="L53" s="111" cm="1">
        <f t="array" aca="1" ref="L53" ca="1">IFERROR(INDIRECT("'" &amp; $A53 &amp; " " &amp; L$44 &amp; "'!F14"),)</f>
        <v>0</v>
      </c>
      <c r="M53" s="112">
        <f t="shared" ca="1" si="6"/>
        <v>0</v>
      </c>
    </row>
    <row r="54" spans="1:13" ht="14.25" customHeight="1">
      <c r="A54" s="20" t="s">
        <v>39</v>
      </c>
      <c r="B54" s="111" cm="1">
        <f t="array" aca="1" ref="B54" ca="1">IFERROR(INDIRECT("'" &amp; $A54 &amp; "'!F16"),) + IFERROR(INDIRECT("'" &amp; $A54 &amp; "'!F17"),)</f>
        <v>0</v>
      </c>
      <c r="C54" s="111" cm="1">
        <f t="array" aca="1" ref="C54" ca="1">IFERROR(INDIRECT("'" &amp; $A54 &amp; "'!F16"),) + IFERROR(INDIRECT("'" &amp; $A54 &amp; "'!F17"),)</f>
        <v>0</v>
      </c>
      <c r="D54" s="111" cm="1">
        <f t="array" aca="1" ref="D54" ca="1">IFERROR(INDIRECT("'" &amp; $A54 &amp; "'!F16"),) + IFERROR(INDIRECT("'" &amp; $A54 &amp; "'!F17"),)</f>
        <v>0</v>
      </c>
      <c r="E54" s="111" cm="1">
        <f t="array" aca="1" ref="E54" ca="1">IFERROR(INDIRECT("'" &amp; $A54 &amp; "'!F16"),) + IFERROR(INDIRECT("'" &amp; $A54 &amp; "'!F17"),)</f>
        <v>0</v>
      </c>
      <c r="F54" s="111" cm="1">
        <f t="array" aca="1" ref="F54" ca="1">IFERROR(INDIRECT("'" &amp; $A54 &amp; "'!F16"),) + IFERROR(INDIRECT("'" &amp; $A54 &amp; "'!F17"),)</f>
        <v>0</v>
      </c>
      <c r="G54" s="111" cm="1">
        <f t="array" aca="1" ref="G54" ca="1">IFERROR(INDIRECT("'" &amp; $A54 &amp; "'!F16"),) + IFERROR(INDIRECT("'" &amp; $A54 &amp; "'!F17"),)</f>
        <v>0</v>
      </c>
      <c r="H54" s="111" cm="1">
        <f t="array" aca="1" ref="H54" ca="1">IFERROR(INDIRECT("'" &amp; $A54 &amp; "'!F16"),) + IFERROR(INDIRECT("'" &amp; $A54 &amp; "'!F17"),)</f>
        <v>0</v>
      </c>
      <c r="I54" s="111" cm="1">
        <f t="array" aca="1" ref="I54" ca="1">IFERROR(INDIRECT("'" &amp; $A54 &amp; "'!F16"),) + IFERROR(INDIRECT("'" &amp; $A54 &amp; "'!F17"),)</f>
        <v>0</v>
      </c>
      <c r="J54" s="111" cm="1">
        <f t="array" aca="1" ref="J54" ca="1">IFERROR(INDIRECT("'" &amp; $A54 &amp; "'!F16"),) + IFERROR(INDIRECT("'" &amp; $A54 &amp; "'!F17"),)</f>
        <v>0</v>
      </c>
      <c r="K54" s="111" cm="1">
        <f t="array" aca="1" ref="K54" ca="1">IFERROR(INDIRECT("'" &amp; $A54 &amp; " " &amp; K$44 &amp; "'!G12"),)</f>
        <v>0</v>
      </c>
      <c r="L54" s="111" cm="1">
        <f t="array" aca="1" ref="L54" ca="1">IFERROR(INDIRECT("'" &amp; $A54 &amp; " " &amp; L$44 &amp; "'!F14"),)</f>
        <v>0</v>
      </c>
      <c r="M54" s="112">
        <f t="shared" ca="1" si="6"/>
        <v>0</v>
      </c>
    </row>
    <row r="55" spans="1:13" ht="14.25" customHeight="1" thickBot="1">
      <c r="A55" s="102"/>
      <c r="B55" s="113"/>
      <c r="C55" s="113"/>
      <c r="D55" s="113"/>
      <c r="E55" s="113"/>
      <c r="F55" s="113"/>
      <c r="G55" s="113"/>
      <c r="H55" s="113"/>
      <c r="I55" s="113"/>
      <c r="J55" s="114"/>
    </row>
    <row r="56" spans="1:13" ht="14.25" customHeight="1" thickBot="1">
      <c r="A56" s="115" t="s">
        <v>23</v>
      </c>
      <c r="B56" s="97">
        <f ca="1">SUM(B57:B67)</f>
        <v>0</v>
      </c>
    </row>
    <row r="57" spans="1:13" ht="14.25" customHeight="1">
      <c r="A57" s="110" t="s">
        <v>28</v>
      </c>
      <c r="B57" s="87" cm="1">
        <f t="array" aca="1" ref="B57" ca="1">IFERROR(INDIRECT("'РВ " &amp; A57 &amp; "'!O38"),0)</f>
        <v>0</v>
      </c>
    </row>
    <row r="58" spans="1:13" ht="14.25" customHeight="1">
      <c r="A58" s="20" t="s">
        <v>30</v>
      </c>
      <c r="B58" s="87" cm="1">
        <f t="array" aca="1" ref="B58" ca="1">IFERROR(INDIRECT("'РВ " &amp; A58 &amp; "'!O38"),0)</f>
        <v>0</v>
      </c>
    </row>
    <row r="59" spans="1:13" ht="14.25" customHeight="1">
      <c r="A59" s="20" t="s">
        <v>38</v>
      </c>
      <c r="B59" s="87" cm="1">
        <f t="array" aca="1" ref="B59" ca="1">IFERROR(INDIRECT("'РВ " &amp; A59 &amp; "'!O38"),0)</f>
        <v>0</v>
      </c>
    </row>
    <row r="60" spans="1:13" ht="14.25" customHeight="1">
      <c r="A60" s="20" t="s">
        <v>31</v>
      </c>
      <c r="B60" s="87" cm="1">
        <f t="array" aca="1" ref="B60" ca="1">IFERROR(INDIRECT("'РВ " &amp; A60 &amp; "'!O38"),0)</f>
        <v>0</v>
      </c>
    </row>
    <row r="61" spans="1:13" ht="14.25" customHeight="1">
      <c r="A61" s="20" t="s">
        <v>32</v>
      </c>
      <c r="B61" s="87" cm="1">
        <f t="array" aca="1" ref="B61" ca="1">IFERROR(INDIRECT("'РВ " &amp; A61 &amp; "'!O38"),0)</f>
        <v>0</v>
      </c>
    </row>
    <row r="62" spans="1:13" ht="14.25" customHeight="1">
      <c r="A62" s="20" t="s">
        <v>34</v>
      </c>
      <c r="B62" s="87" cm="1">
        <f t="array" aca="1" ref="B62" ca="1">IFERROR(INDIRECT("'РВ " &amp; A62 &amp; "'!O38"),0)</f>
        <v>0</v>
      </c>
    </row>
    <row r="63" spans="1:13" ht="14.25" customHeight="1">
      <c r="A63" s="20" t="s">
        <v>27</v>
      </c>
      <c r="B63" s="87" cm="1">
        <f t="array" aca="1" ref="B63" ca="1">IFERROR(INDIRECT("'РВ " &amp; A63 &amp; "'!O38"),0)</f>
        <v>0</v>
      </c>
    </row>
    <row r="64" spans="1:13" ht="14.25" customHeight="1">
      <c r="A64" s="20" t="s">
        <v>35</v>
      </c>
      <c r="B64" s="87" cm="1">
        <f t="array" aca="1" ref="B64" ca="1">IFERROR(INDIRECT("'РВ " &amp; A64 &amp; "'!O38"),0)</f>
        <v>0</v>
      </c>
    </row>
    <row r="65" spans="1:2" ht="14.25" customHeight="1">
      <c r="A65" s="20" t="s">
        <v>36</v>
      </c>
      <c r="B65" s="87" cm="1">
        <f t="array" aca="1" ref="B65" ca="1">IFERROR(INDIRECT("'РВ " &amp; A65 &amp; "'!O38"),0)</f>
        <v>0</v>
      </c>
    </row>
    <row r="66" spans="1:2" ht="14.25" customHeight="1">
      <c r="A66" s="20" t="s">
        <v>29</v>
      </c>
      <c r="B66" s="87" cm="1">
        <f t="array" aca="1" ref="B66" ca="1">IFERROR(INDIRECT("'РВ " &amp; A66 &amp; "'!O38"),0)</f>
        <v>0</v>
      </c>
    </row>
    <row r="67" spans="1:2" ht="14.25" customHeight="1">
      <c r="A67" s="20" t="s">
        <v>39</v>
      </c>
      <c r="B67" s="87" cm="1">
        <f t="array" aca="1" ref="B67" ca="1">IFERROR(INDIRECT("'РВ " &amp; A67 &amp; "'!O38"),0)+IFERROR(INDIRECT("Резерв!i38"),0)</f>
        <v>0</v>
      </c>
    </row>
    <row r="68" spans="1:2" ht="14.25" customHeight="1">
      <c r="A68" s="20" t="s">
        <v>33</v>
      </c>
      <c r="B68" s="87" cm="1">
        <f t="array" aca="1" ref="B68" ca="1">IFERROR(INDIRECT("'РВ " &amp; A68 &amp; "'!O38"),0)</f>
        <v>0</v>
      </c>
    </row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s="4" customFormat="1" ht="14.25" customHeight="1"/>
    <row r="82" s="4" customFormat="1" ht="14.25" customHeight="1"/>
    <row r="83" s="4" customFormat="1" ht="14.25" customHeight="1"/>
    <row r="84" s="4" customFormat="1" ht="14.25" customHeight="1"/>
    <row r="85" s="4" customFormat="1" ht="14.25" customHeight="1"/>
    <row r="86" s="4" customFormat="1" ht="14.25" customHeight="1"/>
    <row r="87" s="4" customFormat="1" ht="14.25" customHeight="1"/>
    <row r="88" s="4" customFormat="1" ht="14.25" customHeight="1"/>
    <row r="89" s="4" customFormat="1" ht="14.25" customHeight="1"/>
    <row r="90" s="4" customFormat="1" ht="14.25" customHeight="1"/>
    <row r="91" s="4" customFormat="1" ht="14.25" customHeight="1"/>
    <row r="92" s="4" customFormat="1" ht="14.25" customHeight="1"/>
    <row r="93" s="4" customFormat="1" ht="14.25" customHeight="1"/>
    <row r="94" s="4" customFormat="1" ht="14.25" customHeight="1"/>
    <row r="95" s="4" customFormat="1" ht="14.25" customHeight="1"/>
    <row r="96" s="4" customFormat="1" ht="14.25" customHeight="1"/>
    <row r="97" s="4" customFormat="1" ht="14.25" customHeight="1"/>
    <row r="98" s="4" customFormat="1" ht="14.25" customHeight="1"/>
    <row r="99" s="4" customFormat="1" ht="14.25" customHeight="1"/>
    <row r="100" s="4" customFormat="1" ht="14.25" customHeight="1"/>
    <row r="101" s="4" customFormat="1" ht="14.25" customHeight="1"/>
    <row r="102" s="4" customFormat="1" ht="14.25" customHeight="1"/>
    <row r="103" s="4" customFormat="1" ht="14.25" customHeight="1"/>
    <row r="104" s="4" customFormat="1" ht="14.25" customHeight="1"/>
    <row r="105" s="4" customFormat="1" ht="14.25" customHeight="1"/>
    <row r="106" s="4" customFormat="1" ht="14.25" customHeight="1"/>
    <row r="107" s="4" customFormat="1" ht="14.25" customHeight="1"/>
    <row r="108" s="4" customFormat="1" ht="14.25" customHeight="1"/>
    <row r="109" s="4" customFormat="1" ht="14.25" customHeight="1"/>
    <row r="110" s="4" customFormat="1" ht="14.25" customHeight="1"/>
    <row r="111" s="4" customFormat="1" ht="14.25" customHeight="1"/>
    <row r="112" s="4" customFormat="1" ht="14.25" customHeight="1"/>
    <row r="113" s="4" customFormat="1" ht="14.25" customHeight="1"/>
    <row r="114" s="4" customFormat="1" ht="14.25" customHeight="1"/>
    <row r="115" s="4" customFormat="1" ht="14.25" customHeight="1"/>
    <row r="116" s="4" customFormat="1" ht="14.25" customHeight="1"/>
    <row r="117" s="4" customFormat="1" ht="14.25" customHeight="1"/>
    <row r="118" s="4" customFormat="1" ht="14.25" customHeight="1"/>
    <row r="119" s="4" customFormat="1" ht="14.25" customHeight="1"/>
    <row r="120" s="4" customFormat="1" ht="14.25" customHeight="1"/>
    <row r="121" s="4" customFormat="1" ht="14.25" customHeight="1"/>
    <row r="122" s="4" customFormat="1" ht="14.25" customHeight="1"/>
    <row r="123" s="4" customFormat="1" ht="14.25" customHeight="1"/>
    <row r="124" s="4" customFormat="1" ht="14.25" customHeight="1"/>
    <row r="125" s="4" customFormat="1" ht="14.25" customHeight="1"/>
  </sheetData>
  <mergeCells count="19">
    <mergeCell ref="K43:M43"/>
    <mergeCell ref="A38:B38"/>
    <mergeCell ref="A39:B39"/>
    <mergeCell ref="A40:B40"/>
    <mergeCell ref="A41:B41"/>
    <mergeCell ref="A42:B42"/>
    <mergeCell ref="A43:J43"/>
    <mergeCell ref="A31:B31"/>
    <mergeCell ref="A32:B32"/>
    <mergeCell ref="A33:B33"/>
    <mergeCell ref="A34:B34"/>
    <mergeCell ref="A35:B35"/>
    <mergeCell ref="A37:B37"/>
    <mergeCell ref="A1:G1"/>
    <mergeCell ref="I2:J2"/>
    <mergeCell ref="A18:B18"/>
    <mergeCell ref="E18:F18"/>
    <mergeCell ref="A29:B29"/>
    <mergeCell ref="A30:B30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087D-0C91-4772-8804-2060C5238A0D}">
  <dimension ref="A1:F9"/>
  <sheetViews>
    <sheetView workbookViewId="0">
      <selection activeCell="A29" sqref="A29"/>
    </sheetView>
  </sheetViews>
  <sheetFormatPr defaultRowHeight="15"/>
  <cols>
    <col min="1" max="1" width="38.28515625" style="47" customWidth="1"/>
    <col min="2" max="2" width="41.28515625" style="47" customWidth="1"/>
    <col min="3" max="3" width="9.140625" style="47"/>
    <col min="4" max="4" width="13.28515625" style="47" customWidth="1"/>
    <col min="5" max="5" width="14.5703125" style="47" bestFit="1" customWidth="1"/>
    <col min="6" max="6" width="16.140625" style="47" customWidth="1"/>
    <col min="7" max="16384" width="9.140625" style="47"/>
  </cols>
  <sheetData>
    <row r="1" spans="1:6">
      <c r="A1" s="46"/>
      <c r="B1" s="121"/>
    </row>
    <row r="3" spans="1:6">
      <c r="A3" s="73"/>
    </row>
    <row r="4" spans="1:6">
      <c r="A4" s="73"/>
      <c r="B4" s="73"/>
      <c r="C4" s="73"/>
    </row>
    <row r="5" spans="1:6">
      <c r="A5" s="73"/>
      <c r="B5" s="73"/>
      <c r="C5" s="73"/>
    </row>
    <row r="7" spans="1:6">
      <c r="A7" s="122"/>
    </row>
    <row r="9" spans="1:6">
      <c r="E9" s="73"/>
      <c r="F9" s="73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9353-45B6-461B-8698-3E3410659DD2}">
  <dimension ref="A3:F24"/>
  <sheetViews>
    <sheetView workbookViewId="0">
      <selection activeCell="F21" sqref="F21"/>
    </sheetView>
  </sheetViews>
  <sheetFormatPr defaultRowHeight="15"/>
  <cols>
    <col min="1" max="1" width="9.140625" style="47"/>
    <col min="2" max="2" width="41.28515625" style="47" customWidth="1"/>
    <col min="3" max="3" width="9.140625" style="47"/>
    <col min="4" max="4" width="13.28515625" style="47" customWidth="1"/>
    <col min="5" max="5" width="17" style="47" customWidth="1"/>
    <col min="6" max="6" width="16.140625" style="47" customWidth="1"/>
    <col min="7" max="16384" width="9.140625" style="47"/>
  </cols>
  <sheetData>
    <row r="3" spans="1:6">
      <c r="A3" s="73"/>
    </row>
    <row r="4" spans="1:6">
      <c r="A4" s="73"/>
      <c r="B4" s="73"/>
      <c r="C4" s="73"/>
    </row>
    <row r="5" spans="1:6">
      <c r="A5" s="73"/>
      <c r="B5" s="73"/>
      <c r="C5" s="73"/>
    </row>
    <row r="7" spans="1:6">
      <c r="A7" s="122"/>
    </row>
    <row r="9" spans="1:6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82</v>
      </c>
    </row>
    <row r="10" spans="1:6" ht="15.75" thickBot="1">
      <c r="A10" s="124"/>
      <c r="B10" s="125"/>
      <c r="C10" s="124"/>
      <c r="D10" s="126"/>
      <c r="E10" s="127"/>
      <c r="F10" s="127"/>
    </row>
    <row r="11" spans="1:6">
      <c r="A11" s="124"/>
      <c r="B11" s="128"/>
      <c r="C11" s="124"/>
      <c r="D11" s="124"/>
      <c r="E11" s="127"/>
      <c r="F11" s="127"/>
    </row>
    <row r="12" spans="1:6">
      <c r="A12" s="124"/>
      <c r="B12" s="129"/>
      <c r="C12" s="124"/>
      <c r="D12" s="124"/>
      <c r="E12" s="127"/>
      <c r="F12" s="127"/>
    </row>
    <row r="13" spans="1:6">
      <c r="A13" s="124"/>
      <c r="B13" s="125"/>
      <c r="C13" s="124"/>
      <c r="D13" s="124"/>
      <c r="E13" s="127"/>
      <c r="F13" s="127"/>
    </row>
    <row r="14" spans="1:6">
      <c r="A14" s="47" t="s">
        <v>83</v>
      </c>
      <c r="E14" s="121"/>
      <c r="F14" s="130">
        <f>SUM(F10:F13)</f>
        <v>0</v>
      </c>
    </row>
    <row r="15" spans="1:6">
      <c r="A15" s="47" t="s">
        <v>84</v>
      </c>
      <c r="E15" s="121"/>
      <c r="F15" s="130">
        <f>SUM(F14)</f>
        <v>0</v>
      </c>
    </row>
    <row r="16" spans="1:6">
      <c r="A16" s="47" t="s">
        <v>85</v>
      </c>
      <c r="E16" s="121"/>
      <c r="F16" s="130">
        <f>SUM(F15)*1.2</f>
        <v>0</v>
      </c>
    </row>
    <row r="17" spans="1:6">
      <c r="A17" s="47" t="s">
        <v>86</v>
      </c>
      <c r="E17" s="131" t="s">
        <v>56</v>
      </c>
      <c r="F17" s="131">
        <v>16167490</v>
      </c>
    </row>
    <row r="18" spans="1:6">
      <c r="A18" s="47" t="s">
        <v>87</v>
      </c>
      <c r="E18" s="73" t="s">
        <v>58</v>
      </c>
      <c r="F18" s="131">
        <v>799100</v>
      </c>
    </row>
    <row r="19" spans="1:6">
      <c r="E19" s="73" t="s">
        <v>88</v>
      </c>
      <c r="F19" s="131">
        <v>1217379</v>
      </c>
    </row>
    <row r="20" spans="1:6">
      <c r="E20" s="47" t="s">
        <v>61</v>
      </c>
      <c r="F20" s="132">
        <f>17003203</f>
        <v>17003203</v>
      </c>
    </row>
    <row r="21" spans="1:6">
      <c r="E21" s="47" t="s">
        <v>62</v>
      </c>
      <c r="F21" s="132">
        <v>4687584</v>
      </c>
    </row>
    <row r="22" spans="1:6">
      <c r="A22" s="47" t="s">
        <v>89</v>
      </c>
      <c r="D22" s="47" t="s">
        <v>90</v>
      </c>
    </row>
    <row r="24" spans="1:6">
      <c r="A24" s="47" t="s">
        <v>91</v>
      </c>
      <c r="B24" s="47" t="s">
        <v>92</v>
      </c>
      <c r="D24" s="47" t="s">
        <v>93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E947-4E48-4988-A39B-3D70E72A8B33}">
  <dimension ref="A1:C137"/>
  <sheetViews>
    <sheetView topLeftCell="A115" workbookViewId="0">
      <selection activeCell="C110" sqref="C110"/>
    </sheetView>
  </sheetViews>
  <sheetFormatPr defaultRowHeight="15"/>
  <cols>
    <col min="1" max="2" width="9.140625" style="134"/>
    <col min="3" max="3" width="32" style="134" customWidth="1"/>
    <col min="4" max="16384" width="9.140625" style="134"/>
  </cols>
  <sheetData>
    <row r="1" spans="1:3">
      <c r="A1" s="134" t="s">
        <v>67</v>
      </c>
      <c r="B1" s="134" t="s">
        <v>28</v>
      </c>
      <c r="C1" s="133">
        <f ca="1">INDEX(INDIRECT("ИТОГО!$B$45:$L$54"),MATCH(Сводка!B1,INDIRECT("ИТОГО!$A$45:$A$54"),0),MATCH(Сводка!A1,INDIRECT("ИТОГО!$B$44:$L$44"),0))</f>
        <v>3096.29</v>
      </c>
    </row>
    <row r="2" spans="1:3">
      <c r="A2" s="134" t="s">
        <v>68</v>
      </c>
      <c r="B2" s="134" t="s">
        <v>28</v>
      </c>
      <c r="C2" s="133">
        <f ca="1">INDEX(INDIRECT("ИТОГО!$B$45:$L$54"),MATCH(Сводка!B2,INDIRECT("ИТОГО!$A$45:$A$54"),0),MATCH(Сводка!A2,INDIRECT("ИТОГО!$B$44:$L$44"),0))</f>
        <v>537086.71</v>
      </c>
    </row>
    <row r="3" spans="1:3">
      <c r="A3" s="134" t="s">
        <v>69</v>
      </c>
      <c r="B3" s="134" t="s">
        <v>28</v>
      </c>
      <c r="C3" s="133">
        <f ca="1">INDEX(INDIRECT("ИТОГО!$B$45:$L$54"),MATCH(Сводка!B3,INDIRECT("ИТОГО!$A$45:$A$54"),0),MATCH(Сводка!A3,INDIRECT("ИТОГО!$B$44:$L$44"),0))</f>
        <v>7843359.0300000003</v>
      </c>
    </row>
    <row r="4" spans="1:3">
      <c r="A4" s="134" t="s">
        <v>70</v>
      </c>
      <c r="B4" s="134" t="s">
        <v>28</v>
      </c>
      <c r="C4" s="133">
        <f ca="1">INDEX(INDIRECT("ИТОГО!$B$45:$L$54"),MATCH(Сводка!B4,INDIRECT("ИТОГО!$A$45:$A$54"),0),MATCH(Сводка!A4,INDIRECT("ИТОГО!$B$44:$L$44"),0))</f>
        <v>0</v>
      </c>
    </row>
    <row r="5" spans="1:3">
      <c r="A5" s="134" t="s">
        <v>71</v>
      </c>
      <c r="B5" s="134" t="s">
        <v>28</v>
      </c>
      <c r="C5" s="133">
        <f ca="1">INDEX(INDIRECT("ИТОГО!$B$45:$L$54"),MATCH(Сводка!B5,INDIRECT("ИТОГО!$A$45:$A$54"),0),MATCH(Сводка!A5,INDIRECT("ИТОГО!$B$44:$L$44"),0))</f>
        <v>0</v>
      </c>
    </row>
    <row r="6" spans="1:3">
      <c r="A6" s="134" t="s">
        <v>53</v>
      </c>
      <c r="B6" s="134" t="s">
        <v>28</v>
      </c>
      <c r="C6" s="133">
        <f ca="1">INDEX(INDIRECT("ИТОГО!$B$45:$L$54"),MATCH(Сводка!B6,INDIRECT("ИТОГО!$A$45:$A$54"),0),MATCH(Сводка!A6,INDIRECT("ИТОГО!$B$44:$L$44"),0))</f>
        <v>0</v>
      </c>
    </row>
    <row r="7" spans="1:3">
      <c r="A7" s="134" t="s">
        <v>72</v>
      </c>
      <c r="B7" s="134" t="s">
        <v>28</v>
      </c>
      <c r="C7" s="133">
        <f ca="1">INDEX(INDIRECT("ИТОГО!$B$45:$L$54"),MATCH(Сводка!B7,INDIRECT("ИТОГО!$A$45:$A$54"),0),MATCH(Сводка!A7,INDIRECT("ИТОГО!$B$44:$L$44"),0))</f>
        <v>0</v>
      </c>
    </row>
    <row r="8" spans="1:3">
      <c r="A8" s="134" t="s">
        <v>73</v>
      </c>
      <c r="B8" s="134" t="s">
        <v>28</v>
      </c>
      <c r="C8" s="133">
        <f ca="1">INDEX(INDIRECT("ИТОГО!$B$45:$L$54"),MATCH(Сводка!B8,INDIRECT("ИТОГО!$A$45:$A$54"),0),MATCH(Сводка!A8,INDIRECT("ИТОГО!$B$44:$L$44"),0))</f>
        <v>0</v>
      </c>
    </row>
    <row r="9" spans="1:3">
      <c r="A9" s="134" t="s">
        <v>74</v>
      </c>
      <c r="B9" s="134" t="s">
        <v>28</v>
      </c>
      <c r="C9" s="133">
        <f ca="1">INDEX(INDIRECT("ИТОГО!$B$45:$L$54"),MATCH(Сводка!B9,INDIRECT("ИТОГО!$A$45:$A$54"),0),MATCH(Сводка!A9,INDIRECT("ИТОГО!$B$44:$L$44"),0))</f>
        <v>0</v>
      </c>
    </row>
    <row r="10" spans="1:3">
      <c r="A10" s="134" t="s">
        <v>75</v>
      </c>
      <c r="B10" s="134" t="s">
        <v>28</v>
      </c>
      <c r="C10" s="133">
        <f ca="1">INDEX(INDIRECT("ИТОГО!$B$45:$L$54"),MATCH(Сводка!B10,INDIRECT("ИТОГО!$A$45:$A$54"),0),MATCH(Сводка!A10,INDIRECT("ИТОГО!$B$44:$L$44"),0))</f>
        <v>0</v>
      </c>
    </row>
    <row r="11" spans="1:3">
      <c r="A11" s="134" t="s">
        <v>76</v>
      </c>
      <c r="B11" s="134" t="s">
        <v>28</v>
      </c>
      <c r="C11" s="133">
        <f ca="1">INDEX(INDIRECT("ИТОГО!$B$45:$L$54"),MATCH(Сводка!B11,INDIRECT("ИТОГО!$A$45:$A$54"),0),MATCH(Сводка!A11,INDIRECT("ИТОГО!$B$44:$L$44"),0))</f>
        <v>0</v>
      </c>
    </row>
    <row r="12" spans="1:3">
      <c r="A12" s="134" t="s">
        <v>67</v>
      </c>
      <c r="B12" s="134" t="s">
        <v>30</v>
      </c>
      <c r="C12" s="133">
        <f ca="1">INDEX(INDIRECT("ИТОГО!$B$45:$L$54"),MATCH(Сводка!B12,INDIRECT("ИТОГО!$A$45:$A$54"),0),MATCH(Сводка!A12,INDIRECT("ИТОГО!$B$44:$L$44"),0))</f>
        <v>21861.83</v>
      </c>
    </row>
    <row r="13" spans="1:3">
      <c r="A13" s="134" t="s">
        <v>68</v>
      </c>
      <c r="B13" s="134" t="s">
        <v>30</v>
      </c>
      <c r="C13" s="133">
        <f ca="1">INDEX(INDIRECT("ИТОГО!$B$45:$L$54"),MATCH(Сводка!B13,INDIRECT("ИТОГО!$A$45:$A$54"),0),MATCH(Сводка!A13,INDIRECT("ИТОГО!$B$44:$L$44"),0))</f>
        <v>132081.46</v>
      </c>
    </row>
    <row r="14" spans="1:3">
      <c r="A14" s="134" t="s">
        <v>69</v>
      </c>
      <c r="B14" s="134" t="s">
        <v>30</v>
      </c>
      <c r="C14" s="133">
        <f ca="1">INDEX(INDIRECT("ИТОГО!$B$45:$L$54"),MATCH(Сводка!B14,INDIRECT("ИТОГО!$A$45:$A$54"),0),MATCH(Сводка!A14,INDIRECT("ИТОГО!$B$44:$L$44"),0))</f>
        <v>10420052.9</v>
      </c>
    </row>
    <row r="15" spans="1:3">
      <c r="A15" s="134" t="s">
        <v>70</v>
      </c>
      <c r="B15" s="134" t="s">
        <v>30</v>
      </c>
      <c r="C15" s="133">
        <f ca="1">INDEX(INDIRECT("ИТОГО!$B$45:$L$54"),MATCH(Сводка!B15,INDIRECT("ИТОГО!$A$45:$A$54"),0),MATCH(Сводка!A15,INDIRECT("ИТОГО!$B$44:$L$44"),0))</f>
        <v>0</v>
      </c>
    </row>
    <row r="16" spans="1:3">
      <c r="A16" s="134" t="s">
        <v>71</v>
      </c>
      <c r="B16" s="134" t="s">
        <v>30</v>
      </c>
      <c r="C16" s="133">
        <f ca="1">INDEX(INDIRECT("ИТОГО!$B$45:$L$54"),MATCH(Сводка!B16,INDIRECT("ИТОГО!$A$45:$A$54"),0),MATCH(Сводка!A16,INDIRECT("ИТОГО!$B$44:$L$44"),0))</f>
        <v>0</v>
      </c>
    </row>
    <row r="17" spans="1:3">
      <c r="A17" s="134" t="s">
        <v>53</v>
      </c>
      <c r="B17" s="134" t="s">
        <v>30</v>
      </c>
      <c r="C17" s="133">
        <f ca="1">INDEX(INDIRECT("ИТОГО!$B$45:$L$54"),MATCH(Сводка!B17,INDIRECT("ИТОГО!$A$45:$A$54"),0),MATCH(Сводка!A17,INDIRECT("ИТОГО!$B$44:$L$44"),0))</f>
        <v>0</v>
      </c>
    </row>
    <row r="18" spans="1:3">
      <c r="A18" s="134" t="s">
        <v>72</v>
      </c>
      <c r="B18" s="134" t="s">
        <v>30</v>
      </c>
      <c r="C18" s="133">
        <f ca="1">INDEX(INDIRECT("ИТОГО!$B$45:$L$54"),MATCH(Сводка!B18,INDIRECT("ИТОГО!$A$45:$A$54"),0),MATCH(Сводка!A18,INDIRECT("ИТОГО!$B$44:$L$44"),0))</f>
        <v>0</v>
      </c>
    </row>
    <row r="19" spans="1:3">
      <c r="A19" s="134" t="s">
        <v>73</v>
      </c>
      <c r="B19" s="134" t="s">
        <v>30</v>
      </c>
      <c r="C19" s="133">
        <f ca="1">INDEX(INDIRECT("ИТОГО!$B$45:$L$54"),MATCH(Сводка!B19,INDIRECT("ИТОГО!$A$45:$A$54"),0),MATCH(Сводка!A19,INDIRECT("ИТОГО!$B$44:$L$44"),0))</f>
        <v>0</v>
      </c>
    </row>
    <row r="20" spans="1:3">
      <c r="A20" s="134" t="s">
        <v>74</v>
      </c>
      <c r="B20" s="134" t="s">
        <v>30</v>
      </c>
      <c r="C20" s="133">
        <f ca="1">INDEX(INDIRECT("ИТОГО!$B$45:$L$54"),MATCH(Сводка!B20,INDIRECT("ИТОГО!$A$45:$A$54"),0),MATCH(Сводка!A20,INDIRECT("ИТОГО!$B$44:$L$44"),0))</f>
        <v>0</v>
      </c>
    </row>
    <row r="21" spans="1:3">
      <c r="A21" s="134" t="s">
        <v>75</v>
      </c>
      <c r="B21" s="134" t="s">
        <v>30</v>
      </c>
      <c r="C21" s="133">
        <f ca="1">INDEX(INDIRECT("ИТОГО!$B$45:$L$54"),MATCH(Сводка!B21,INDIRECT("ИТОГО!$A$45:$A$54"),0),MATCH(Сводка!A21,INDIRECT("ИТОГО!$B$44:$L$44"),0))</f>
        <v>0</v>
      </c>
    </row>
    <row r="22" spans="1:3">
      <c r="A22" s="134" t="s">
        <v>76</v>
      </c>
      <c r="B22" s="134" t="s">
        <v>30</v>
      </c>
      <c r="C22" s="133">
        <f ca="1">INDEX(INDIRECT("ИТОГО!$B$45:$L$54"),MATCH(Сводка!B22,INDIRECT("ИТОГО!$A$45:$A$54"),0),MATCH(Сводка!A22,INDIRECT("ИТОГО!$B$44:$L$44"),0))</f>
        <v>0</v>
      </c>
    </row>
    <row r="23" spans="1:3">
      <c r="A23" s="134" t="s">
        <v>67</v>
      </c>
      <c r="B23" s="134" t="s">
        <v>36</v>
      </c>
      <c r="C23" s="133">
        <f ca="1">INDEX(INDIRECT("ИТОГО!$B$45:$L$54"),MATCH(Сводка!B23,INDIRECT("ИТОГО!$A$45:$A$54"),0),MATCH(Сводка!A23,INDIRECT("ИТОГО!$B$44:$L$44"),0))</f>
        <v>0</v>
      </c>
    </row>
    <row r="24" spans="1:3">
      <c r="A24" s="134" t="s">
        <v>68</v>
      </c>
      <c r="B24" s="134" t="s">
        <v>36</v>
      </c>
      <c r="C24" s="133">
        <f ca="1">INDEX(INDIRECT("ИТОГО!$B$45:$L$54"),MATCH(Сводка!B24,INDIRECT("ИТОГО!$A$45:$A$54"),0),MATCH(Сводка!A24,INDIRECT("ИТОГО!$B$44:$L$44"),0))</f>
        <v>0</v>
      </c>
    </row>
    <row r="25" spans="1:3">
      <c r="A25" s="134" t="s">
        <v>69</v>
      </c>
      <c r="B25" s="134" t="s">
        <v>36</v>
      </c>
      <c r="C25" s="133">
        <f ca="1">INDEX(INDIRECT("ИТОГО!$B$45:$L$54"),MATCH(Сводка!B25,INDIRECT("ИТОГО!$A$45:$A$54"),0),MATCH(Сводка!A25,INDIRECT("ИТОГО!$B$44:$L$44"),0))</f>
        <v>0</v>
      </c>
    </row>
    <row r="26" spans="1:3">
      <c r="A26" s="134" t="s">
        <v>70</v>
      </c>
      <c r="B26" s="134" t="s">
        <v>36</v>
      </c>
      <c r="C26" s="133">
        <f ca="1">INDEX(INDIRECT("ИТОГО!$B$45:$L$54"),MATCH(Сводка!B26,INDIRECT("ИТОГО!$A$45:$A$54"),0),MATCH(Сводка!A26,INDIRECT("ИТОГО!$B$44:$L$44"),0))</f>
        <v>0</v>
      </c>
    </row>
    <row r="27" spans="1:3">
      <c r="A27" s="134" t="s">
        <v>71</v>
      </c>
      <c r="B27" s="134" t="s">
        <v>36</v>
      </c>
      <c r="C27" s="133">
        <f ca="1">INDEX(INDIRECT("ИТОГО!$B$45:$L$54"),MATCH(Сводка!B27,INDIRECT("ИТОГО!$A$45:$A$54"),0),MATCH(Сводка!A27,INDIRECT("ИТОГО!$B$44:$L$44"),0))</f>
        <v>0</v>
      </c>
    </row>
    <row r="28" spans="1:3">
      <c r="A28" s="134" t="s">
        <v>53</v>
      </c>
      <c r="B28" s="134" t="s">
        <v>36</v>
      </c>
      <c r="C28" s="133">
        <f ca="1">INDEX(INDIRECT("ИТОГО!$B$45:$L$54"),MATCH(Сводка!B28,INDIRECT("ИТОГО!$A$45:$A$54"),0),MATCH(Сводка!A28,INDIRECT("ИТОГО!$B$44:$L$44"),0))</f>
        <v>0</v>
      </c>
    </row>
    <row r="29" spans="1:3">
      <c r="A29" s="134" t="s">
        <v>72</v>
      </c>
      <c r="B29" s="134" t="s">
        <v>36</v>
      </c>
      <c r="C29" s="133">
        <f ca="1">INDEX(INDIRECT("ИТОГО!$B$45:$L$54"),MATCH(Сводка!B29,INDIRECT("ИТОГО!$A$45:$A$54"),0),MATCH(Сводка!A29,INDIRECT("ИТОГО!$B$44:$L$44"),0))</f>
        <v>0</v>
      </c>
    </row>
    <row r="30" spans="1:3">
      <c r="A30" s="134" t="s">
        <v>73</v>
      </c>
      <c r="B30" s="134" t="s">
        <v>36</v>
      </c>
      <c r="C30" s="133">
        <f ca="1">INDEX(INDIRECT("ИТОГО!$B$45:$L$54"),MATCH(Сводка!B30,INDIRECT("ИТОГО!$A$45:$A$54"),0),MATCH(Сводка!A30,INDIRECT("ИТОГО!$B$44:$L$44"),0))</f>
        <v>0</v>
      </c>
    </row>
    <row r="31" spans="1:3">
      <c r="A31" s="134" t="s">
        <v>74</v>
      </c>
      <c r="B31" s="134" t="s">
        <v>36</v>
      </c>
      <c r="C31" s="133">
        <f ca="1">INDEX(INDIRECT("ИТОГО!$B$45:$L$54"),MATCH(Сводка!B31,INDIRECT("ИТОГО!$A$45:$A$54"),0),MATCH(Сводка!A31,INDIRECT("ИТОГО!$B$44:$L$44"),0))</f>
        <v>0</v>
      </c>
    </row>
    <row r="32" spans="1:3">
      <c r="A32" s="134" t="s">
        <v>75</v>
      </c>
      <c r="B32" s="134" t="s">
        <v>36</v>
      </c>
      <c r="C32" s="133">
        <f ca="1">INDEX(INDIRECT("ИТОГО!$B$45:$L$54"),MATCH(Сводка!B32,INDIRECT("ИТОГО!$A$45:$A$54"),0),MATCH(Сводка!A32,INDIRECT("ИТОГО!$B$44:$L$44"),0))</f>
        <v>0</v>
      </c>
    </row>
    <row r="33" spans="1:3">
      <c r="A33" s="134" t="s">
        <v>76</v>
      </c>
      <c r="B33" s="134" t="s">
        <v>36</v>
      </c>
      <c r="C33" s="133">
        <f ca="1">INDEX(INDIRECT("ИТОГО!$B$45:$L$54"),MATCH(Сводка!B33,INDIRECT("ИТОГО!$A$45:$A$54"),0),MATCH(Сводка!A33,INDIRECT("ИТОГО!$B$44:$L$44"),0))</f>
        <v>0</v>
      </c>
    </row>
    <row r="34" spans="1:3">
      <c r="A34" s="134" t="s">
        <v>67</v>
      </c>
      <c r="B34" s="134" t="s">
        <v>31</v>
      </c>
      <c r="C34" s="133">
        <f ca="1">INDEX(INDIRECT("ИТОГО!$B$45:$L$54"),MATCH(Сводка!B34,INDIRECT("ИТОГО!$A$45:$A$54"),0),MATCH(Сводка!A34,INDIRECT("ИТОГО!$B$44:$L$44"),0))</f>
        <v>13118</v>
      </c>
    </row>
    <row r="35" spans="1:3">
      <c r="A35" s="134" t="s">
        <v>68</v>
      </c>
      <c r="B35" s="134" t="s">
        <v>31</v>
      </c>
      <c r="C35" s="133">
        <f ca="1">INDEX(INDIRECT("ИТОГО!$B$45:$L$54"),MATCH(Сводка!B35,INDIRECT("ИТОГО!$A$45:$A$54"),0),MATCH(Сводка!A35,INDIRECT("ИТОГО!$B$44:$L$44"),0))</f>
        <v>1297778.6100000001</v>
      </c>
    </row>
    <row r="36" spans="1:3">
      <c r="A36" s="134" t="s">
        <v>69</v>
      </c>
      <c r="B36" s="134" t="s">
        <v>31</v>
      </c>
      <c r="C36" s="133">
        <f ca="1">INDEX(INDIRECT("ИТОГО!$B$45:$L$54"),MATCH(Сводка!B36,INDIRECT("ИТОГО!$A$45:$A$54"),0),MATCH(Сводка!A36,INDIRECT("ИТОГО!$B$44:$L$44"),0))</f>
        <v>10882959.890000001</v>
      </c>
    </row>
    <row r="37" spans="1:3">
      <c r="A37" s="134" t="s">
        <v>70</v>
      </c>
      <c r="B37" s="134" t="s">
        <v>31</v>
      </c>
      <c r="C37" s="133">
        <f ca="1">INDEX(INDIRECT("ИТОГО!$B$45:$L$54"),MATCH(Сводка!B37,INDIRECT("ИТОГО!$A$45:$A$54"),0),MATCH(Сводка!A37,INDIRECT("ИТОГО!$B$44:$L$44"),0))</f>
        <v>0</v>
      </c>
    </row>
    <row r="38" spans="1:3">
      <c r="A38" s="134" t="s">
        <v>71</v>
      </c>
      <c r="B38" s="134" t="s">
        <v>31</v>
      </c>
      <c r="C38" s="133">
        <f ca="1">INDEX(INDIRECT("ИТОГО!$B$45:$L$54"),MATCH(Сводка!B38,INDIRECT("ИТОГО!$A$45:$A$54"),0),MATCH(Сводка!A38,INDIRECT("ИТОГО!$B$44:$L$44"),0))</f>
        <v>0</v>
      </c>
    </row>
    <row r="39" spans="1:3">
      <c r="A39" s="134" t="s">
        <v>53</v>
      </c>
      <c r="B39" s="134" t="s">
        <v>31</v>
      </c>
      <c r="C39" s="133">
        <f ca="1">INDEX(INDIRECT("ИТОГО!$B$45:$L$54"),MATCH(Сводка!B39,INDIRECT("ИТОГО!$A$45:$A$54"),0),MATCH(Сводка!A39,INDIRECT("ИТОГО!$B$44:$L$44"),0))</f>
        <v>0</v>
      </c>
    </row>
    <row r="40" spans="1:3">
      <c r="A40" s="134" t="s">
        <v>72</v>
      </c>
      <c r="B40" s="134" t="s">
        <v>31</v>
      </c>
      <c r="C40" s="133">
        <f ca="1">INDEX(INDIRECT("ИТОГО!$B$45:$L$54"),MATCH(Сводка!B40,INDIRECT("ИТОГО!$A$45:$A$54"),0),MATCH(Сводка!A40,INDIRECT("ИТОГО!$B$44:$L$44"),0))</f>
        <v>0</v>
      </c>
    </row>
    <row r="41" spans="1:3">
      <c r="A41" s="134" t="s">
        <v>73</v>
      </c>
      <c r="B41" s="134" t="s">
        <v>31</v>
      </c>
      <c r="C41" s="133">
        <f ca="1">INDEX(INDIRECT("ИТОГО!$B$45:$L$54"),MATCH(Сводка!B41,INDIRECT("ИТОГО!$A$45:$A$54"),0),MATCH(Сводка!A41,INDIRECT("ИТОГО!$B$44:$L$44"),0))</f>
        <v>0</v>
      </c>
    </row>
    <row r="42" spans="1:3">
      <c r="A42" s="134" t="s">
        <v>74</v>
      </c>
      <c r="B42" s="134" t="s">
        <v>31</v>
      </c>
      <c r="C42" s="133">
        <f ca="1">INDEX(INDIRECT("ИТОГО!$B$45:$L$54"),MATCH(Сводка!B42,INDIRECT("ИТОГО!$A$45:$A$54"),0),MATCH(Сводка!A42,INDIRECT("ИТОГО!$B$44:$L$44"),0))</f>
        <v>72528.02</v>
      </c>
    </row>
    <row r="43" spans="1:3">
      <c r="A43" s="134" t="s">
        <v>75</v>
      </c>
      <c r="B43" s="134" t="s">
        <v>31</v>
      </c>
      <c r="C43" s="133">
        <f ca="1">INDEX(INDIRECT("ИТОГО!$B$45:$L$54"),MATCH(Сводка!B43,INDIRECT("ИТОГО!$A$45:$A$54"),0),MATCH(Сводка!A43,INDIRECT("ИТОГО!$B$44:$L$44"),0))</f>
        <v>2440</v>
      </c>
    </row>
    <row r="44" spans="1:3">
      <c r="A44" s="134" t="s">
        <v>76</v>
      </c>
      <c r="B44" s="134" t="s">
        <v>31</v>
      </c>
      <c r="C44" s="133">
        <f ca="1">INDEX(INDIRECT("ИТОГО!$B$45:$L$54"),MATCH(Сводка!B44,INDIRECT("ИТОГО!$A$45:$A$54"),0),MATCH(Сводка!A44,INDIRECT("ИТОГО!$B$44:$L$44"),0))</f>
        <v>0</v>
      </c>
    </row>
    <row r="45" spans="1:3">
      <c r="A45" s="134" t="s">
        <v>67</v>
      </c>
      <c r="B45" s="134" t="s">
        <v>35</v>
      </c>
      <c r="C45" s="133">
        <f ca="1">INDEX(INDIRECT("ИТОГО!$B$45:$L$54"),MATCH(Сводка!B45,INDIRECT("ИТОГО!$A$45:$A$54"),0),MATCH(Сводка!A45,INDIRECT("ИТОГО!$B$44:$L$44"),0))</f>
        <v>0</v>
      </c>
    </row>
    <row r="46" spans="1:3">
      <c r="A46" s="134" t="s">
        <v>68</v>
      </c>
      <c r="B46" s="134" t="s">
        <v>35</v>
      </c>
      <c r="C46" s="133">
        <f ca="1">INDEX(INDIRECT("ИТОГО!$B$45:$L$54"),MATCH(Сводка!B46,INDIRECT("ИТОГО!$A$45:$A$54"),0),MATCH(Сводка!A46,INDIRECT("ИТОГО!$B$44:$L$44"),0))</f>
        <v>0</v>
      </c>
    </row>
    <row r="47" spans="1:3">
      <c r="A47" s="134" t="s">
        <v>69</v>
      </c>
      <c r="B47" s="134" t="s">
        <v>35</v>
      </c>
      <c r="C47" s="133">
        <f ca="1">INDEX(INDIRECT("ИТОГО!$B$45:$L$54"),MATCH(Сводка!B47,INDIRECT("ИТОГО!$A$45:$A$54"),0),MATCH(Сводка!A47,INDIRECT("ИТОГО!$B$44:$L$44"),0))</f>
        <v>7817976.3799999999</v>
      </c>
    </row>
    <row r="48" spans="1:3">
      <c r="A48" s="134" t="s">
        <v>70</v>
      </c>
      <c r="B48" s="134" t="s">
        <v>35</v>
      </c>
      <c r="C48" s="133">
        <f ca="1">INDEX(INDIRECT("ИТОГО!$B$45:$L$54"),MATCH(Сводка!B48,INDIRECT("ИТОГО!$A$45:$A$54"),0),MATCH(Сводка!A48,INDIRECT("ИТОГО!$B$44:$L$44"),0))</f>
        <v>0</v>
      </c>
    </row>
    <row r="49" spans="1:3">
      <c r="A49" s="134" t="s">
        <v>71</v>
      </c>
      <c r="B49" s="134" t="s">
        <v>35</v>
      </c>
      <c r="C49" s="133">
        <f ca="1">INDEX(INDIRECT("ИТОГО!$B$45:$L$54"),MATCH(Сводка!B49,INDIRECT("ИТОГО!$A$45:$A$54"),0),MATCH(Сводка!A49,INDIRECT("ИТОГО!$B$44:$L$44"),0))</f>
        <v>0</v>
      </c>
    </row>
    <row r="50" spans="1:3">
      <c r="A50" s="134" t="s">
        <v>53</v>
      </c>
      <c r="B50" s="134" t="s">
        <v>35</v>
      </c>
      <c r="C50" s="133">
        <f ca="1">INDEX(INDIRECT("ИТОГО!$B$45:$L$54"),MATCH(Сводка!B50,INDIRECT("ИТОГО!$A$45:$A$54"),0),MATCH(Сводка!A50,INDIRECT("ИТОГО!$B$44:$L$44"),0))</f>
        <v>841520.36</v>
      </c>
    </row>
    <row r="51" spans="1:3">
      <c r="A51" s="134" t="s">
        <v>72</v>
      </c>
      <c r="B51" s="134" t="s">
        <v>35</v>
      </c>
      <c r="C51" s="133">
        <f ca="1">INDEX(INDIRECT("ИТОГО!$B$45:$L$54"),MATCH(Сводка!B51,INDIRECT("ИТОГО!$A$45:$A$54"),0),MATCH(Сводка!A51,INDIRECT("ИТОГО!$B$44:$L$44"),0))</f>
        <v>0</v>
      </c>
    </row>
    <row r="52" spans="1:3">
      <c r="A52" s="134" t="s">
        <v>73</v>
      </c>
      <c r="B52" s="134" t="s">
        <v>35</v>
      </c>
      <c r="C52" s="133">
        <f ca="1">INDEX(INDIRECT("ИТОГО!$B$45:$L$54"),MATCH(Сводка!B52,INDIRECT("ИТОГО!$A$45:$A$54"),0),MATCH(Сводка!A52,INDIRECT("ИТОГО!$B$44:$L$44"),0))</f>
        <v>0</v>
      </c>
    </row>
    <row r="53" spans="1:3">
      <c r="A53" s="134" t="s">
        <v>74</v>
      </c>
      <c r="B53" s="134" t="s">
        <v>35</v>
      </c>
      <c r="C53" s="133">
        <f ca="1">INDEX(INDIRECT("ИТОГО!$B$45:$L$54"),MATCH(Сводка!B53,INDIRECT("ИТОГО!$A$45:$A$54"),0),MATCH(Сводка!A53,INDIRECT("ИТОГО!$B$44:$L$44"),0))</f>
        <v>0</v>
      </c>
    </row>
    <row r="54" spans="1:3">
      <c r="A54" s="134" t="s">
        <v>75</v>
      </c>
      <c r="B54" s="134" t="s">
        <v>35</v>
      </c>
      <c r="C54" s="133">
        <f ca="1">INDEX(INDIRECT("ИТОГО!$B$45:$L$54"),MATCH(Сводка!B54,INDIRECT("ИТОГО!$A$45:$A$54"),0),MATCH(Сводка!A54,INDIRECT("ИТОГО!$B$44:$L$44"),0))</f>
        <v>0</v>
      </c>
    </row>
    <row r="55" spans="1:3">
      <c r="A55" s="134" t="s">
        <v>76</v>
      </c>
      <c r="B55" s="134" t="s">
        <v>35</v>
      </c>
      <c r="C55" s="133">
        <f ca="1">INDEX(INDIRECT("ИТОГО!$B$45:$L$54"),MATCH(Сводка!B55,INDIRECT("ИТОГО!$A$45:$A$54"),0),MATCH(Сводка!A55,INDIRECT("ИТОГО!$B$44:$L$44"),0))</f>
        <v>0</v>
      </c>
    </row>
    <row r="56" spans="1:3">
      <c r="A56" s="134" t="s">
        <v>67</v>
      </c>
      <c r="B56" s="134" t="s">
        <v>32</v>
      </c>
      <c r="C56" s="133">
        <f ca="1">INDEX(INDIRECT("ИТОГО!$B$45:$L$54"),MATCH(Сводка!B56,INDIRECT("ИТОГО!$A$45:$A$54"),0),MATCH(Сводка!A56,INDIRECT("ИТОГО!$B$44:$L$44"),0))</f>
        <v>29488.57</v>
      </c>
    </row>
    <row r="57" spans="1:3">
      <c r="A57" s="134" t="s">
        <v>68</v>
      </c>
      <c r="B57" s="134" t="s">
        <v>32</v>
      </c>
      <c r="C57" s="133">
        <f ca="1">INDEX(INDIRECT("ИТОГО!$B$45:$L$54"),MATCH(Сводка!B57,INDIRECT("ИТОГО!$A$45:$A$54"),0),MATCH(Сводка!A57,INDIRECT("ИТОГО!$B$44:$L$44"),0))</f>
        <v>384734.86</v>
      </c>
    </row>
    <row r="58" spans="1:3">
      <c r="A58" s="134" t="s">
        <v>69</v>
      </c>
      <c r="B58" s="134" t="s">
        <v>32</v>
      </c>
      <c r="C58" s="133">
        <f ca="1">INDEX(INDIRECT("ИТОГО!$B$45:$L$54"),MATCH(Сводка!B58,INDIRECT("ИТОГО!$A$45:$A$54"),0),MATCH(Сводка!A58,INDIRECT("ИТОГО!$B$44:$L$44"),0))</f>
        <v>3914653.77</v>
      </c>
    </row>
    <row r="59" spans="1:3">
      <c r="A59" s="134" t="s">
        <v>70</v>
      </c>
      <c r="B59" s="134" t="s">
        <v>32</v>
      </c>
      <c r="C59" s="133">
        <f ca="1">INDEX(INDIRECT("ИТОГО!$B$45:$L$54"),MATCH(Сводка!B59,INDIRECT("ИТОГО!$A$45:$A$54"),0),MATCH(Сводка!A59,INDIRECT("ИТОГО!$B$44:$L$44"),0))</f>
        <v>0</v>
      </c>
    </row>
    <row r="60" spans="1:3">
      <c r="A60" s="134" t="s">
        <v>71</v>
      </c>
      <c r="B60" s="134" t="s">
        <v>32</v>
      </c>
      <c r="C60" s="133">
        <f ca="1">INDEX(INDIRECT("ИТОГО!$B$45:$L$54"),MATCH(Сводка!B60,INDIRECT("ИТОГО!$A$45:$A$54"),0),MATCH(Сводка!A60,INDIRECT("ИТОГО!$B$44:$L$44"),0))</f>
        <v>0</v>
      </c>
    </row>
    <row r="61" spans="1:3">
      <c r="A61" s="134" t="s">
        <v>53</v>
      </c>
      <c r="B61" s="134" t="s">
        <v>32</v>
      </c>
      <c r="C61" s="133">
        <f ca="1">INDEX(INDIRECT("ИТОГО!$B$45:$L$54"),MATCH(Сводка!B61,INDIRECT("ИТОГО!$A$45:$A$54"),0),MATCH(Сводка!A61,INDIRECT("ИТОГО!$B$44:$L$44"),0))</f>
        <v>0</v>
      </c>
    </row>
    <row r="62" spans="1:3">
      <c r="A62" s="134" t="s">
        <v>72</v>
      </c>
      <c r="B62" s="134" t="s">
        <v>32</v>
      </c>
      <c r="C62" s="133">
        <f ca="1">INDEX(INDIRECT("ИТОГО!$B$45:$L$54"),MATCH(Сводка!B62,INDIRECT("ИТОГО!$A$45:$A$54"),0),MATCH(Сводка!A62,INDIRECT("ИТОГО!$B$44:$L$44"),0))</f>
        <v>0</v>
      </c>
    </row>
    <row r="63" spans="1:3">
      <c r="A63" s="134" t="s">
        <v>73</v>
      </c>
      <c r="B63" s="134" t="s">
        <v>32</v>
      </c>
      <c r="C63" s="133">
        <f ca="1">INDEX(INDIRECT("ИТОГО!$B$45:$L$54"),MATCH(Сводка!B63,INDIRECT("ИТОГО!$A$45:$A$54"),0),MATCH(Сводка!A63,INDIRECT("ИТОГО!$B$44:$L$44"),0))</f>
        <v>1789256.45</v>
      </c>
    </row>
    <row r="64" spans="1:3">
      <c r="A64" s="134" t="s">
        <v>74</v>
      </c>
      <c r="B64" s="134" t="s">
        <v>32</v>
      </c>
      <c r="C64" s="133">
        <f ca="1">INDEX(INDIRECT("ИТОГО!$B$45:$L$54"),MATCH(Сводка!B64,INDIRECT("ИТОГО!$A$45:$A$54"),0),MATCH(Сводка!A64,INDIRECT("ИТОГО!$B$44:$L$44"),0))</f>
        <v>0</v>
      </c>
    </row>
    <row r="65" spans="1:3">
      <c r="A65" s="134" t="s">
        <v>75</v>
      </c>
      <c r="B65" s="134" t="s">
        <v>32</v>
      </c>
      <c r="C65" s="133">
        <f ca="1">INDEX(INDIRECT("ИТОГО!$B$45:$L$54"),MATCH(Сводка!B65,INDIRECT("ИТОГО!$A$45:$A$54"),0),MATCH(Сводка!A65,INDIRECT("ИТОГО!$B$44:$L$44"),0))</f>
        <v>0</v>
      </c>
    </row>
    <row r="66" spans="1:3">
      <c r="A66" s="134" t="s">
        <v>76</v>
      </c>
      <c r="B66" s="134" t="s">
        <v>32</v>
      </c>
      <c r="C66" s="133">
        <f ca="1">INDEX(INDIRECT("ИТОГО!$B$45:$L$54"),MATCH(Сводка!B66,INDIRECT("ИТОГО!$A$45:$A$54"),0),MATCH(Сводка!A66,INDIRECT("ИТОГО!$B$44:$L$44"),0))</f>
        <v>0</v>
      </c>
    </row>
    <row r="67" spans="1:3">
      <c r="A67" s="134" t="s">
        <v>67</v>
      </c>
      <c r="B67" s="134" t="s">
        <v>33</v>
      </c>
      <c r="C67" s="133">
        <f ca="1">INDEX(INDIRECT("ИТОГО!$B$45:$L$54"),MATCH(Сводка!B67,INDIRECT("ИТОГО!$A$45:$A$54"),0),MATCH(Сводка!A67,INDIRECT("ИТОГО!$B$44:$L$44"),0))</f>
        <v>0</v>
      </c>
    </row>
    <row r="68" spans="1:3">
      <c r="A68" s="134" t="s">
        <v>68</v>
      </c>
      <c r="B68" s="134" t="s">
        <v>33</v>
      </c>
      <c r="C68" s="133">
        <f ca="1">INDEX(INDIRECT("ИТОГО!$B$45:$L$54"),MATCH(Сводка!B68,INDIRECT("ИТОГО!$A$45:$A$54"),0),MATCH(Сводка!A68,INDIRECT("ИТОГО!$B$44:$L$44"),0))</f>
        <v>0</v>
      </c>
    </row>
    <row r="69" spans="1:3">
      <c r="A69" s="134" t="s">
        <v>69</v>
      </c>
      <c r="B69" s="134" t="s">
        <v>33</v>
      </c>
      <c r="C69" s="133">
        <f ca="1">INDEX(INDIRECT("ИТОГО!$B$45:$L$54"),MATCH(Сводка!B69,INDIRECT("ИТОГО!$A$45:$A$54"),0),MATCH(Сводка!A69,INDIRECT("ИТОГО!$B$44:$L$44"),0))</f>
        <v>0</v>
      </c>
    </row>
    <row r="70" spans="1:3">
      <c r="A70" s="134" t="s">
        <v>70</v>
      </c>
      <c r="B70" s="134" t="s">
        <v>33</v>
      </c>
      <c r="C70" s="133">
        <f ca="1">INDEX(INDIRECT("ИТОГО!$B$45:$L$54"),MATCH(Сводка!B70,INDIRECT("ИТОГО!$A$45:$A$54"),0),MATCH(Сводка!A70,INDIRECT("ИТОГО!$B$44:$L$44"),0))</f>
        <v>0</v>
      </c>
    </row>
    <row r="71" spans="1:3">
      <c r="A71" s="134" t="s">
        <v>71</v>
      </c>
      <c r="B71" s="134" t="s">
        <v>33</v>
      </c>
      <c r="C71" s="133">
        <f ca="1">INDEX(INDIRECT("ИТОГО!$B$45:$L$54"),MATCH(Сводка!B71,INDIRECT("ИТОГО!$A$45:$A$54"),0),MATCH(Сводка!A71,INDIRECT("ИТОГО!$B$44:$L$44"),0))</f>
        <v>0</v>
      </c>
    </row>
    <row r="72" spans="1:3">
      <c r="A72" s="134" t="s">
        <v>53</v>
      </c>
      <c r="B72" s="134" t="s">
        <v>33</v>
      </c>
      <c r="C72" s="133">
        <f ca="1">INDEX(INDIRECT("ИТОГО!$B$45:$L$54"),MATCH(Сводка!B72,INDIRECT("ИТОГО!$A$45:$A$54"),0),MATCH(Сводка!A72,INDIRECT("ИТОГО!$B$44:$L$44"),0))</f>
        <v>0</v>
      </c>
    </row>
    <row r="73" spans="1:3">
      <c r="A73" s="134" t="s">
        <v>72</v>
      </c>
      <c r="B73" s="134" t="s">
        <v>33</v>
      </c>
      <c r="C73" s="133">
        <f ca="1">INDEX(INDIRECT("ИТОГО!$B$45:$L$54"),MATCH(Сводка!B73,INDIRECT("ИТОГО!$A$45:$A$54"),0),MATCH(Сводка!A73,INDIRECT("ИТОГО!$B$44:$L$44"),0))</f>
        <v>0</v>
      </c>
    </row>
    <row r="74" spans="1:3">
      <c r="A74" s="134" t="s">
        <v>73</v>
      </c>
      <c r="B74" s="134" t="s">
        <v>33</v>
      </c>
      <c r="C74" s="133">
        <f ca="1">INDEX(INDIRECT("ИТОГО!$B$45:$L$54"),MATCH(Сводка!B74,INDIRECT("ИТОГО!$A$45:$A$54"),0),MATCH(Сводка!A74,INDIRECT("ИТОГО!$B$44:$L$44"),0))</f>
        <v>5137648.6399999997</v>
      </c>
    </row>
    <row r="75" spans="1:3">
      <c r="A75" s="134" t="s">
        <v>74</v>
      </c>
      <c r="B75" s="134" t="s">
        <v>33</v>
      </c>
      <c r="C75" s="133">
        <f ca="1">INDEX(INDIRECT("ИТОГО!$B$45:$L$54"),MATCH(Сводка!B75,INDIRECT("ИТОГО!$A$45:$A$54"),0),MATCH(Сводка!A75,INDIRECT("ИТОГО!$B$44:$L$44"),0))</f>
        <v>0</v>
      </c>
    </row>
    <row r="76" spans="1:3">
      <c r="A76" s="134" t="s">
        <v>75</v>
      </c>
      <c r="B76" s="134" t="s">
        <v>33</v>
      </c>
      <c r="C76" s="133">
        <f ca="1">INDEX(INDIRECT("ИТОГО!$B$45:$L$54"),MATCH(Сводка!B76,INDIRECT("ИТОГО!$A$45:$A$54"),0),MATCH(Сводка!A76,INDIRECT("ИТОГО!$B$44:$L$44"),0))</f>
        <v>0</v>
      </c>
    </row>
    <row r="77" spans="1:3">
      <c r="A77" s="134" t="s">
        <v>76</v>
      </c>
      <c r="B77" s="134" t="s">
        <v>33</v>
      </c>
      <c r="C77" s="133">
        <f ca="1">INDEX(INDIRECT("ИТОГО!$B$45:$L$54"),MATCH(Сводка!B77,INDIRECT("ИТОГО!$A$45:$A$54"),0),MATCH(Сводка!A77,INDIRECT("ИТОГО!$B$44:$L$44"),0))</f>
        <v>0</v>
      </c>
    </row>
    <row r="78" spans="1:3">
      <c r="A78" s="134" t="s">
        <v>67</v>
      </c>
      <c r="B78" s="134" t="s">
        <v>27</v>
      </c>
      <c r="C78" s="133">
        <f ca="1">INDEX(INDIRECT("ИТОГО!$B$45:$L$54"),MATCH(Сводка!B78,INDIRECT("ИТОГО!$A$45:$A$54"),0),MATCH(Сводка!A78,INDIRECT("ИТОГО!$B$44:$L$44"),0))</f>
        <v>0</v>
      </c>
    </row>
    <row r="79" spans="1:3">
      <c r="A79" s="134" t="s">
        <v>68</v>
      </c>
      <c r="B79" s="134" t="s">
        <v>27</v>
      </c>
      <c r="C79" s="133">
        <f ca="1">INDEX(INDIRECT("ИТОГО!$B$45:$L$54"),MATCH(Сводка!B79,INDIRECT("ИТОГО!$A$45:$A$54"),0),MATCH(Сводка!A79,INDIRECT("ИТОГО!$B$44:$L$44"),0))</f>
        <v>218445.4</v>
      </c>
    </row>
    <row r="80" spans="1:3">
      <c r="A80" s="134" t="s">
        <v>69</v>
      </c>
      <c r="B80" s="134" t="s">
        <v>27</v>
      </c>
      <c r="C80" s="133">
        <f ca="1">INDEX(INDIRECT("ИТОГО!$B$45:$L$54"),MATCH(Сводка!B80,INDIRECT("ИТОГО!$A$45:$A$54"),0),MATCH(Сводка!A80,INDIRECT("ИТОГО!$B$44:$L$44"),0))</f>
        <v>18237819.210000001</v>
      </c>
    </row>
    <row r="81" spans="1:3">
      <c r="A81" s="134" t="s">
        <v>70</v>
      </c>
      <c r="B81" s="134" t="s">
        <v>27</v>
      </c>
      <c r="C81" s="133">
        <f ca="1">INDEX(INDIRECT("ИТОГО!$B$45:$L$54"),MATCH(Сводка!B81,INDIRECT("ИТОГО!$A$45:$A$54"),0),MATCH(Сводка!A81,INDIRECT("ИТОГО!$B$44:$L$44"),0))</f>
        <v>0</v>
      </c>
    </row>
    <row r="82" spans="1:3">
      <c r="A82" s="134" t="s">
        <v>71</v>
      </c>
      <c r="B82" s="134" t="s">
        <v>27</v>
      </c>
      <c r="C82" s="133">
        <f ca="1">INDEX(INDIRECT("ИТОГО!$B$45:$L$54"),MATCH(Сводка!B82,INDIRECT("ИТОГО!$A$45:$A$54"),0),MATCH(Сводка!A82,INDIRECT("ИТОГО!$B$44:$L$44"),0))</f>
        <v>0</v>
      </c>
    </row>
    <row r="83" spans="1:3">
      <c r="A83" s="134" t="s">
        <v>53</v>
      </c>
      <c r="B83" s="134" t="s">
        <v>27</v>
      </c>
      <c r="C83" s="133">
        <f ca="1">INDEX(INDIRECT("ИТОГО!$B$45:$L$54"),MATCH(Сводка!B83,INDIRECT("ИТОГО!$A$45:$A$54"),0),MATCH(Сводка!A83,INDIRECT("ИТОГО!$B$44:$L$44"),0))</f>
        <v>0</v>
      </c>
    </row>
    <row r="84" spans="1:3">
      <c r="A84" s="134" t="s">
        <v>72</v>
      </c>
      <c r="B84" s="134" t="s">
        <v>27</v>
      </c>
      <c r="C84" s="133">
        <f ca="1">INDEX(INDIRECT("ИТОГО!$B$45:$L$54"),MATCH(Сводка!B84,INDIRECT("ИТОГО!$A$45:$A$54"),0),MATCH(Сводка!A84,INDIRECT("ИТОГО!$B$44:$L$44"),0))</f>
        <v>0</v>
      </c>
    </row>
    <row r="85" spans="1:3">
      <c r="A85" s="134" t="s">
        <v>73</v>
      </c>
      <c r="B85" s="134" t="s">
        <v>27</v>
      </c>
      <c r="C85" s="133">
        <f ca="1">INDEX(INDIRECT("ИТОГО!$B$45:$L$54"),MATCH(Сводка!B85,INDIRECT("ИТОГО!$A$45:$A$54"),0),MATCH(Сводка!A85,INDIRECT("ИТОГО!$B$44:$L$44"),0))</f>
        <v>0</v>
      </c>
    </row>
    <row r="86" spans="1:3">
      <c r="A86" s="134" t="s">
        <v>74</v>
      </c>
      <c r="B86" s="134" t="s">
        <v>27</v>
      </c>
      <c r="C86" s="133">
        <f ca="1">INDEX(INDIRECT("ИТОГО!$B$45:$L$54"),MATCH(Сводка!B86,INDIRECT("ИТОГО!$A$45:$A$54"),0),MATCH(Сводка!A86,INDIRECT("ИТОГО!$B$44:$L$44"),0))</f>
        <v>0</v>
      </c>
    </row>
    <row r="87" spans="1:3">
      <c r="A87" s="134" t="s">
        <v>75</v>
      </c>
      <c r="B87" s="134" t="s">
        <v>27</v>
      </c>
      <c r="C87" s="133">
        <f ca="1">INDEX(INDIRECT("ИТОГО!$B$45:$L$54"),MATCH(Сводка!B87,INDIRECT("ИТОГО!$A$45:$A$54"),0),MATCH(Сводка!A87,INDIRECT("ИТОГО!$B$44:$L$44"),0))</f>
        <v>31720</v>
      </c>
    </row>
    <row r="88" spans="1:3">
      <c r="A88" s="134" t="s">
        <v>76</v>
      </c>
      <c r="B88" s="134" t="s">
        <v>27</v>
      </c>
      <c r="C88" s="133">
        <f ca="1">INDEX(INDIRECT("ИТОГО!$B$45:$L$54"),MATCH(Сводка!B88,INDIRECT("ИТОГО!$A$45:$A$54"),0),MATCH(Сводка!A88,INDIRECT("ИТОГО!$B$44:$L$44"),0))</f>
        <v>0</v>
      </c>
    </row>
    <row r="89" spans="1:3">
      <c r="A89" s="134" t="s">
        <v>67</v>
      </c>
      <c r="B89" s="134" t="s">
        <v>34</v>
      </c>
      <c r="C89" s="133">
        <f ca="1">INDEX(INDIRECT("ИТОГО!$B$45:$L$54"),MATCH(Сводка!B89,INDIRECT("ИТОГО!$A$45:$A$54"),0),MATCH(Сводка!A89,INDIRECT("ИТОГО!$B$44:$L$44"),0))</f>
        <v>0</v>
      </c>
    </row>
    <row r="90" spans="1:3">
      <c r="A90" s="134" t="s">
        <v>68</v>
      </c>
      <c r="B90" s="134" t="s">
        <v>34</v>
      </c>
      <c r="C90" s="133">
        <f ca="1">INDEX(INDIRECT("ИТОГО!$B$45:$L$54"),MATCH(Сводка!B90,INDIRECT("ИТОГО!$A$45:$A$54"),0),MATCH(Сводка!A90,INDIRECT("ИТОГО!$B$44:$L$44"),0))</f>
        <v>0</v>
      </c>
    </row>
    <row r="91" spans="1:3">
      <c r="A91" s="134" t="s">
        <v>69</v>
      </c>
      <c r="B91" s="134" t="s">
        <v>34</v>
      </c>
      <c r="C91" s="133">
        <f ca="1">INDEX(INDIRECT("ИТОГО!$B$45:$L$54"),MATCH(Сводка!B91,INDIRECT("ИТОГО!$A$45:$A$54"),0),MATCH(Сводка!A91,INDIRECT("ИТОГО!$B$44:$L$44"),0))</f>
        <v>9528072.9000000004</v>
      </c>
    </row>
    <row r="92" spans="1:3">
      <c r="A92" s="134" t="s">
        <v>70</v>
      </c>
      <c r="B92" s="134" t="s">
        <v>34</v>
      </c>
      <c r="C92" s="133">
        <f ca="1">INDEX(INDIRECT("ИТОГО!$B$45:$L$54"),MATCH(Сводка!B92,INDIRECT("ИТОГО!$A$45:$A$54"),0),MATCH(Сводка!A92,INDIRECT("ИТОГО!$B$44:$L$44"),0))</f>
        <v>0</v>
      </c>
    </row>
    <row r="93" spans="1:3">
      <c r="A93" s="134" t="s">
        <v>71</v>
      </c>
      <c r="B93" s="134" t="s">
        <v>34</v>
      </c>
      <c r="C93" s="133">
        <f ca="1">INDEX(INDIRECT("ИТОГО!$B$45:$L$54"),MATCH(Сводка!B93,INDIRECT("ИТОГО!$A$45:$A$54"),0),MATCH(Сводка!A93,INDIRECT("ИТОГО!$B$44:$L$44"),0))</f>
        <v>0</v>
      </c>
    </row>
    <row r="94" spans="1:3">
      <c r="A94" s="134" t="s">
        <v>53</v>
      </c>
      <c r="B94" s="134" t="s">
        <v>34</v>
      </c>
      <c r="C94" s="133">
        <f ca="1">INDEX(INDIRECT("ИТОГО!$B$45:$L$54"),MATCH(Сводка!B94,INDIRECT("ИТОГО!$A$45:$A$54"),0),MATCH(Сводка!A94,INDIRECT("ИТОГО!$B$44:$L$44"),0))</f>
        <v>0</v>
      </c>
    </row>
    <row r="95" spans="1:3">
      <c r="A95" s="134" t="s">
        <v>72</v>
      </c>
      <c r="B95" s="134" t="s">
        <v>34</v>
      </c>
      <c r="C95" s="133">
        <f ca="1">INDEX(INDIRECT("ИТОГО!$B$45:$L$54"),MATCH(Сводка!B95,INDIRECT("ИТОГО!$A$45:$A$54"),0),MATCH(Сводка!A95,INDIRECT("ИТОГО!$B$44:$L$44"),0))</f>
        <v>0</v>
      </c>
    </row>
    <row r="96" spans="1:3">
      <c r="A96" s="134" t="s">
        <v>73</v>
      </c>
      <c r="B96" s="134" t="s">
        <v>34</v>
      </c>
      <c r="C96" s="133">
        <f ca="1">INDEX(INDIRECT("ИТОГО!$B$45:$L$54"),MATCH(Сводка!B96,INDIRECT("ИТОГО!$A$45:$A$54"),0),MATCH(Сводка!A96,INDIRECT("ИТОГО!$B$44:$L$44"),0))</f>
        <v>0</v>
      </c>
    </row>
    <row r="97" spans="1:3">
      <c r="A97" s="134" t="s">
        <v>74</v>
      </c>
      <c r="B97" s="134" t="s">
        <v>34</v>
      </c>
      <c r="C97" s="133">
        <f ca="1">INDEX(INDIRECT("ИТОГО!$B$45:$L$54"),MATCH(Сводка!B97,INDIRECT("ИТОГО!$A$45:$A$54"),0),MATCH(Сводка!A97,INDIRECT("ИТОГО!$B$44:$L$44"),0))</f>
        <v>0</v>
      </c>
    </row>
    <row r="98" spans="1:3">
      <c r="A98" s="134" t="s">
        <v>75</v>
      </c>
      <c r="B98" s="134" t="s">
        <v>34</v>
      </c>
      <c r="C98" s="133">
        <f ca="1">INDEX(INDIRECT("ИТОГО!$B$45:$L$54"),MATCH(Сводка!B98,INDIRECT("ИТОГО!$A$45:$A$54"),0),MATCH(Сводка!A98,INDIRECT("ИТОГО!$B$44:$L$44"),0))</f>
        <v>31720</v>
      </c>
    </row>
    <row r="99" spans="1:3">
      <c r="A99" s="134" t="s">
        <v>76</v>
      </c>
      <c r="B99" s="134" t="s">
        <v>34</v>
      </c>
      <c r="C99" s="133">
        <f ca="1">INDEX(INDIRECT("ИТОГО!$B$45:$L$54"),MATCH(Сводка!B99,INDIRECT("ИТОГО!$A$45:$A$54"),0),MATCH(Сводка!A99,INDIRECT("ИТОГО!$B$44:$L$44"),0))</f>
        <v>0</v>
      </c>
    </row>
    <row r="100" spans="1:3">
      <c r="A100" s="134" t="s">
        <v>23</v>
      </c>
      <c r="B100" s="134" t="s">
        <v>28</v>
      </c>
      <c r="C100" s="133" cm="1">
        <f t="array" aca="1" ref="C100" ca="1">INDIRECT("ИТОГО!B57")</f>
        <v>0</v>
      </c>
    </row>
    <row r="101" spans="1:3">
      <c r="A101" s="134" t="s">
        <v>23</v>
      </c>
      <c r="B101" s="134" t="s">
        <v>30</v>
      </c>
      <c r="C101" s="133" cm="1">
        <f t="array" aca="1" ref="C101" ca="1">INDIRECT("ИТОГО!B58")</f>
        <v>0</v>
      </c>
    </row>
    <row r="102" spans="1:3">
      <c r="A102" s="134" t="s">
        <v>23</v>
      </c>
      <c r="B102" s="134" t="s">
        <v>39</v>
      </c>
      <c r="C102" s="133" cm="1">
        <f t="array" aca="1" ref="C102" ca="1">INDIRECT("ИТОГО!B67")</f>
        <v>0</v>
      </c>
    </row>
    <row r="103" spans="1:3">
      <c r="A103" s="134" t="s">
        <v>56</v>
      </c>
      <c r="B103" s="134" t="s">
        <v>29</v>
      </c>
      <c r="C103" s="133" cm="1">
        <f t="array" aca="1" ref="C103" ca="1">INDIRECT("ИТОГО!C30")</f>
        <v>16247867</v>
      </c>
    </row>
    <row r="104" spans="1:3">
      <c r="A104" s="134" t="s">
        <v>57</v>
      </c>
      <c r="B104" s="134" t="s">
        <v>29</v>
      </c>
      <c r="C104" s="133" cm="1">
        <f t="array" aca="1" ref="C104" ca="1">INDIRECT("ИТОГО!C31")</f>
        <v>0</v>
      </c>
    </row>
    <row r="105" spans="1:3">
      <c r="A105" s="134" t="s">
        <v>58</v>
      </c>
      <c r="B105" s="134" t="s">
        <v>29</v>
      </c>
      <c r="C105" s="133" cm="1">
        <f t="array" aca="1" ref="C105" ca="1">INDIRECT("ИТОГО!C32")</f>
        <v>799100</v>
      </c>
    </row>
    <row r="106" spans="1:3">
      <c r="A106" s="134" t="s">
        <v>60</v>
      </c>
      <c r="B106" s="134" t="s">
        <v>29</v>
      </c>
      <c r="C106" s="133" cm="1">
        <f t="array" aca="1" ref="C106" ca="1">INDIRECT("ИТОГО!C33")</f>
        <v>1217379</v>
      </c>
    </row>
    <row r="107" spans="1:3">
      <c r="A107" s="134" t="s">
        <v>61</v>
      </c>
      <c r="B107" s="134" t="s">
        <v>29</v>
      </c>
      <c r="C107" s="133" cm="1">
        <f t="array" aca="1" ref="C107" ca="1">INDIRECT("ИТОГО!C34")</f>
        <v>17003203</v>
      </c>
    </row>
    <row r="108" spans="1:3">
      <c r="A108" s="134" t="s">
        <v>62</v>
      </c>
      <c r="B108" s="134" t="s">
        <v>29</v>
      </c>
      <c r="C108" s="133" cm="1">
        <f t="array" aca="1" ref="C108" ca="1">INDIRECT("ИТОГО!C35")</f>
        <v>4687584</v>
      </c>
    </row>
    <row r="109" spans="1:3">
      <c r="A109" s="134" t="s">
        <v>94</v>
      </c>
      <c r="B109" s="134" t="s">
        <v>29</v>
      </c>
      <c r="C109" s="133" cm="1">
        <f t="array" aca="1" ref="C109" ca="1">INDIRECT("ИТОГО!C38")</f>
        <v>2803379</v>
      </c>
    </row>
    <row r="110" spans="1:3">
      <c r="A110" s="134" t="s">
        <v>95</v>
      </c>
      <c r="B110" s="134" t="s">
        <v>29</v>
      </c>
      <c r="C110" s="133" cm="1">
        <f t="array" aca="1" ref="C110" ca="1">INDIRECT("ИТОГО!C39")</f>
        <v>7064220</v>
      </c>
    </row>
    <row r="111" spans="1:3">
      <c r="A111" s="134" t="s">
        <v>41</v>
      </c>
      <c r="B111" s="134" t="s">
        <v>28</v>
      </c>
      <c r="C111" s="133" cm="1">
        <f t="array" aca="1" ref="C111" ca="1">INDIRECT("ИТОГО!C19")</f>
        <v>26403</v>
      </c>
    </row>
    <row r="112" spans="1:3">
      <c r="A112" s="134" t="s">
        <v>43</v>
      </c>
      <c r="B112" s="134" t="s">
        <v>28</v>
      </c>
      <c r="C112" s="133" cm="1">
        <f t="array" aca="1" ref="C112" ca="1">INDIRECT("ИТОГО!C20")</f>
        <v>8928</v>
      </c>
    </row>
    <row r="113" spans="1:3">
      <c r="A113" s="134" t="s">
        <v>45</v>
      </c>
      <c r="B113" s="134" t="s">
        <v>28</v>
      </c>
      <c r="C113" s="133" cm="1">
        <f t="array" aca="1" ref="C113" ca="1">INDIRECT("ИТОГО!C21")</f>
        <v>27921</v>
      </c>
    </row>
    <row r="114" spans="1:3">
      <c r="A114" s="134" t="s">
        <v>47</v>
      </c>
      <c r="B114" s="134" t="s">
        <v>28</v>
      </c>
      <c r="C114" s="133" cm="1">
        <f t="array" aca="1" ref="C114" ca="1">INDIRECT("ИТОГО!C22")</f>
        <v>20640.000000000004</v>
      </c>
    </row>
    <row r="115" spans="1:3">
      <c r="A115" s="134" t="s">
        <v>49</v>
      </c>
      <c r="B115" s="134" t="s">
        <v>28</v>
      </c>
      <c r="C115" s="133" cm="1">
        <f t="array" aca="1" ref="C115" ca="1">INDIRECT("ИТОГО!C23")</f>
        <v>4811.9999999999982</v>
      </c>
    </row>
    <row r="116" spans="1:3">
      <c r="A116" s="134" t="s">
        <v>42</v>
      </c>
      <c r="B116" s="134" t="s">
        <v>28</v>
      </c>
      <c r="C116" s="133" cm="1">
        <f t="array" aca="1" ref="C116" ca="1">INDIRECT("ИТОГО!G19")</f>
        <v>0</v>
      </c>
    </row>
    <row r="117" spans="1:3">
      <c r="A117" s="134" t="s">
        <v>44</v>
      </c>
      <c r="B117" s="134" t="s">
        <v>28</v>
      </c>
      <c r="C117" s="133" cm="1">
        <f t="array" aca="1" ref="C117" ca="1">INDIRECT("ИТОГО!G20")</f>
        <v>0</v>
      </c>
    </row>
    <row r="118" spans="1:3">
      <c r="A118" s="134" t="s">
        <v>46</v>
      </c>
      <c r="B118" s="134" t="s">
        <v>28</v>
      </c>
      <c r="C118" s="133" cm="1">
        <f t="array" aca="1" ref="C118" ca="1">INDIRECT("ИТОГО!G21")</f>
        <v>0</v>
      </c>
    </row>
    <row r="119" spans="1:3">
      <c r="A119" s="134" t="s">
        <v>48</v>
      </c>
      <c r="B119" s="134" t="s">
        <v>31</v>
      </c>
      <c r="C119" s="133" cm="1">
        <f t="array" aca="1" ref="C119" ca="1">INDIRECT("ИТОГО!G22")</f>
        <v>0</v>
      </c>
    </row>
    <row r="120" spans="1:3">
      <c r="A120" s="134" t="s">
        <v>42</v>
      </c>
      <c r="B120" s="134" t="s">
        <v>31</v>
      </c>
      <c r="C120" s="133" cm="1">
        <f t="array" aca="1" ref="C120" ca="1">INDIRECT("ИТОГО!G23")</f>
        <v>0</v>
      </c>
    </row>
    <row r="121" spans="1:3">
      <c r="A121" s="134" t="s">
        <v>44</v>
      </c>
      <c r="B121" s="134" t="s">
        <v>31</v>
      </c>
      <c r="C121" s="133" cm="1">
        <f t="array" aca="1" ref="C121" ca="1">INDIRECT("ИТОГО!G24")</f>
        <v>0</v>
      </c>
    </row>
    <row r="122" spans="1:3">
      <c r="A122" s="134" t="s">
        <v>42</v>
      </c>
      <c r="B122" s="134" t="s">
        <v>35</v>
      </c>
      <c r="C122" s="133" cm="1">
        <f t="array" aca="1" ref="C122" ca="1">INDIRECT("ИТОГО!G25")</f>
        <v>0</v>
      </c>
    </row>
    <row r="123" spans="1:3">
      <c r="A123" s="134" t="s">
        <v>53</v>
      </c>
      <c r="B123" s="134" t="s">
        <v>35</v>
      </c>
      <c r="C123" s="133" cm="1">
        <f t="array" aca="1" ref="C123" ca="1">INDIRECT("ИТОГО!G26")</f>
        <v>0</v>
      </c>
    </row>
    <row r="124" spans="1:3">
      <c r="A124" s="134" t="s">
        <v>55</v>
      </c>
      <c r="B124" s="134" t="s">
        <v>36</v>
      </c>
      <c r="C124" s="133" cm="1">
        <f t="array" aca="1" ref="C124" ca="1">INDIRECT("ИТОГО!G27")</f>
        <v>0</v>
      </c>
    </row>
    <row r="125" spans="1:3">
      <c r="A125" s="134" t="s">
        <v>44</v>
      </c>
      <c r="B125" s="134" t="s">
        <v>30</v>
      </c>
      <c r="C125" s="133" cm="1">
        <f t="array" aca="1" ref="C125" ca="1">INDIRECT("ИТОГО!G28")</f>
        <v>0</v>
      </c>
    </row>
    <row r="126" spans="1:3">
      <c r="A126" s="134" t="s">
        <v>48</v>
      </c>
      <c r="B126" s="134" t="s">
        <v>30</v>
      </c>
      <c r="C126" s="133" cm="1">
        <f t="array" aca="1" ref="C126" ca="1">INDIRECT("ИТОГО!G29")</f>
        <v>0</v>
      </c>
    </row>
    <row r="127" spans="1:3">
      <c r="A127" s="134" t="s">
        <v>46</v>
      </c>
      <c r="B127" s="134" t="s">
        <v>30</v>
      </c>
      <c r="C127" s="133" cm="1">
        <f t="array" aca="1" ref="C127" ca="1">INDIRECT("ИТОГО!G30")</f>
        <v>0</v>
      </c>
    </row>
    <row r="128" spans="1:3">
      <c r="A128" s="134" t="s">
        <v>42</v>
      </c>
      <c r="B128" s="134" t="s">
        <v>30</v>
      </c>
      <c r="C128" s="133" cm="1">
        <f t="array" aca="1" ref="C128" ca="1">INDIRECT("ИТОГО!G31")</f>
        <v>0</v>
      </c>
    </row>
    <row r="129" spans="1:3">
      <c r="A129" s="134" t="s">
        <v>59</v>
      </c>
      <c r="B129" s="134" t="s">
        <v>32</v>
      </c>
      <c r="C129" s="133" cm="1">
        <f t="array" aca="1" ref="C129" ca="1">INDIRECT("ИТОГО!G32")</f>
        <v>143189.06735999999</v>
      </c>
    </row>
    <row r="130" spans="1:3">
      <c r="A130" s="134" t="s">
        <v>48</v>
      </c>
      <c r="B130" s="134" t="s">
        <v>32</v>
      </c>
      <c r="C130" s="133" cm="1">
        <f t="array" aca="1" ref="C130" ca="1">INDIRECT("ИТОГО!G33")</f>
        <v>0</v>
      </c>
    </row>
    <row r="131" spans="1:3">
      <c r="A131" s="134" t="s">
        <v>44</v>
      </c>
      <c r="B131" s="134" t="s">
        <v>32</v>
      </c>
      <c r="C131" s="133" cm="1">
        <f t="array" aca="1" ref="C131" ca="1">INDIRECT("ИТОГО!G34")</f>
        <v>0</v>
      </c>
    </row>
    <row r="132" spans="1:3">
      <c r="A132" s="134" t="s">
        <v>46</v>
      </c>
      <c r="B132" s="134" t="s">
        <v>35</v>
      </c>
      <c r="C132" s="133" cm="1">
        <f t="array" aca="1" ref="C132" ca="1">INDIRECT("ИТОГО!G36")</f>
        <v>0</v>
      </c>
    </row>
    <row r="133" spans="1:3">
      <c r="A133" s="134" t="s">
        <v>44</v>
      </c>
      <c r="B133" s="134" t="s">
        <v>27</v>
      </c>
      <c r="C133" s="133" cm="1">
        <f t="array" aca="1" ref="C133" ca="1">INDIRECT("ИТОГО!G37")</f>
        <v>0</v>
      </c>
    </row>
    <row r="134" spans="1:3">
      <c r="A134" s="134" t="s">
        <v>42</v>
      </c>
      <c r="B134" s="134" t="s">
        <v>34</v>
      </c>
      <c r="C134" s="133" cm="1">
        <f t="array" aca="1" ref="C134" ca="1">INDIRECT("ИТОГО!G38")</f>
        <v>0</v>
      </c>
    </row>
    <row r="135" spans="1:3">
      <c r="A135" s="134" t="s">
        <v>48</v>
      </c>
      <c r="B135" s="134" t="s">
        <v>28</v>
      </c>
      <c r="C135" s="133" cm="1">
        <f t="array" aca="1" ref="C135" ca="1">INDIRECT("ИТОГО!G39")</f>
        <v>0</v>
      </c>
    </row>
    <row r="136" spans="1:3">
      <c r="A136" s="134" t="s">
        <v>42</v>
      </c>
      <c r="B136" s="134" t="s">
        <v>27</v>
      </c>
      <c r="C136" s="133" cm="1">
        <f t="array" aca="1" ref="C136" ca="1">INDIRECT("ИТОГО!G40")</f>
        <v>0</v>
      </c>
    </row>
    <row r="137" spans="1:3">
      <c r="A137" s="134" t="s">
        <v>65</v>
      </c>
      <c r="B137" s="134" t="s">
        <v>36</v>
      </c>
      <c r="C137" s="133" cm="1">
        <f t="array" aca="1" ref="C137" ca="1">INDIRECT("ИТОГО!G41")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8CE8-04E7-4CF4-B0CA-15DAC0680EA1}">
  <dimension ref="A1:R36"/>
  <sheetViews>
    <sheetView topLeftCell="A19" zoomScaleNormal="100" workbookViewId="0">
      <selection activeCell="M7" sqref="M7"/>
    </sheetView>
  </sheetViews>
  <sheetFormatPr defaultRowHeight="15"/>
  <cols>
    <col min="1" max="1" width="12.28515625" style="47" customWidth="1"/>
    <col min="2" max="17" width="9.140625" style="47"/>
    <col min="18" max="18" width="10.42578125" style="47" customWidth="1"/>
    <col min="19" max="16384" width="9.140625" style="47"/>
  </cols>
  <sheetData>
    <row r="1" spans="1:18">
      <c r="A1" s="135">
        <f>R36</f>
        <v>27921</v>
      </c>
    </row>
    <row r="2" spans="1:18">
      <c r="B2" s="73" t="s">
        <v>96</v>
      </c>
    </row>
    <row r="3" spans="1:18" ht="28.9" customHeight="1">
      <c r="A3" s="49" t="s">
        <v>0</v>
      </c>
      <c r="B3" s="50" t="s">
        <v>1</v>
      </c>
      <c r="C3" s="51"/>
      <c r="D3" s="49" t="s">
        <v>97</v>
      </c>
      <c r="E3" s="49" t="s">
        <v>98</v>
      </c>
      <c r="F3" s="49" t="s">
        <v>99</v>
      </c>
      <c r="G3" s="49" t="s">
        <v>100</v>
      </c>
      <c r="H3" s="52" t="s">
        <v>4</v>
      </c>
      <c r="I3" s="49" t="s">
        <v>101</v>
      </c>
      <c r="J3" s="49" t="s">
        <v>102</v>
      </c>
      <c r="K3" s="49" t="s">
        <v>11</v>
      </c>
      <c r="L3" s="49" t="s">
        <v>12</v>
      </c>
      <c r="M3" s="49" t="s">
        <v>103</v>
      </c>
      <c r="N3" s="49" t="s">
        <v>104</v>
      </c>
      <c r="O3" s="49" t="s">
        <v>13</v>
      </c>
      <c r="P3" s="49" t="s">
        <v>105</v>
      </c>
      <c r="Q3" s="49" t="s">
        <v>106</v>
      </c>
      <c r="R3" s="49" t="s">
        <v>18</v>
      </c>
    </row>
    <row r="4" spans="1:18" ht="30">
      <c r="A4" s="53"/>
      <c r="B4" s="54"/>
      <c r="C4" s="55"/>
      <c r="D4" s="53"/>
      <c r="E4" s="53"/>
      <c r="F4" s="53"/>
      <c r="G4" s="53"/>
      <c r="H4" s="56" t="s">
        <v>107</v>
      </c>
      <c r="I4" s="53"/>
      <c r="J4" s="53"/>
      <c r="K4" s="53"/>
      <c r="L4" s="53"/>
      <c r="M4" s="53"/>
      <c r="N4" s="53"/>
      <c r="O4" s="53"/>
      <c r="P4" s="53"/>
      <c r="Q4" s="53"/>
      <c r="R4" s="53"/>
    </row>
    <row r="5" spans="1:18">
      <c r="A5" s="58">
        <v>1</v>
      </c>
      <c r="B5" s="144">
        <v>46143</v>
      </c>
      <c r="C5" s="145"/>
      <c r="D5" s="146"/>
      <c r="E5" s="124"/>
      <c r="F5" s="124"/>
      <c r="G5" s="124"/>
      <c r="H5" s="123">
        <v>27</v>
      </c>
      <c r="I5" s="123"/>
      <c r="J5" s="123"/>
      <c r="K5" s="123">
        <f>SUM(D5*171)</f>
        <v>0</v>
      </c>
      <c r="L5" s="123">
        <f>SUM(E5*171)</f>
        <v>0</v>
      </c>
      <c r="M5" s="123">
        <f>F5*1018</f>
        <v>0</v>
      </c>
      <c r="N5" s="123">
        <f>G5*1018</f>
        <v>0</v>
      </c>
      <c r="O5" s="123">
        <f>SUM(H5*22)</f>
        <v>594</v>
      </c>
      <c r="P5" s="123">
        <f>I5*509</f>
        <v>0</v>
      </c>
      <c r="Q5" s="123">
        <f>SUM(J5)*610</f>
        <v>0</v>
      </c>
      <c r="R5" s="123">
        <f>SUM(K5:Q5)</f>
        <v>594</v>
      </c>
    </row>
    <row r="6" spans="1:18">
      <c r="A6" s="58">
        <v>2</v>
      </c>
      <c r="B6" s="144">
        <v>46144</v>
      </c>
      <c r="C6" s="145"/>
      <c r="D6" s="146"/>
      <c r="E6" s="124"/>
      <c r="F6" s="124"/>
      <c r="G6" s="124"/>
      <c r="H6" s="123">
        <f>H5+D6-E5</f>
        <v>27</v>
      </c>
      <c r="I6" s="123"/>
      <c r="J6" s="123"/>
      <c r="K6" s="123">
        <f t="shared" ref="K6:K35" si="0">SUM(D6*171)</f>
        <v>0</v>
      </c>
      <c r="L6" s="123">
        <f t="shared" ref="L6:L35" si="1">SUM(E6*171)</f>
        <v>0</v>
      </c>
      <c r="M6" s="123">
        <f t="shared" ref="M6:N35" si="2">F6*1018</f>
        <v>0</v>
      </c>
      <c r="N6" s="123">
        <f t="shared" si="2"/>
        <v>0</v>
      </c>
      <c r="O6" s="123">
        <f t="shared" ref="O6:O35" si="3">SUM(H6*22)</f>
        <v>594</v>
      </c>
      <c r="P6" s="123">
        <f t="shared" ref="P6:P35" si="4">I6*509</f>
        <v>0</v>
      </c>
      <c r="Q6" s="123">
        <f t="shared" ref="Q6:Q35" si="5">SUM(J6)*610</f>
        <v>0</v>
      </c>
      <c r="R6" s="123">
        <f t="shared" ref="R6:R34" si="6">SUM(K6:Q6)</f>
        <v>594</v>
      </c>
    </row>
    <row r="7" spans="1:18">
      <c r="A7" s="58">
        <v>3</v>
      </c>
      <c r="B7" s="144">
        <v>46145</v>
      </c>
      <c r="C7" s="145"/>
      <c r="D7" s="146"/>
      <c r="E7" s="124"/>
      <c r="F7" s="124"/>
      <c r="G7" s="124"/>
      <c r="H7" s="123">
        <f t="shared" ref="H7:H35" si="7">H6+D7-E6</f>
        <v>27</v>
      </c>
      <c r="I7" s="123"/>
      <c r="J7" s="123"/>
      <c r="K7" s="123">
        <f t="shared" si="0"/>
        <v>0</v>
      </c>
      <c r="L7" s="123">
        <f t="shared" si="1"/>
        <v>0</v>
      </c>
      <c r="M7" s="123">
        <f t="shared" si="2"/>
        <v>0</v>
      </c>
      <c r="N7" s="123">
        <f t="shared" si="2"/>
        <v>0</v>
      </c>
      <c r="O7" s="123">
        <f t="shared" si="3"/>
        <v>594</v>
      </c>
      <c r="P7" s="123">
        <f t="shared" si="4"/>
        <v>0</v>
      </c>
      <c r="Q7" s="123">
        <f t="shared" si="5"/>
        <v>0</v>
      </c>
      <c r="R7" s="123">
        <f t="shared" si="6"/>
        <v>594</v>
      </c>
    </row>
    <row r="8" spans="1:18">
      <c r="A8" s="58">
        <v>4</v>
      </c>
      <c r="B8" s="144">
        <v>46146</v>
      </c>
      <c r="C8" s="145"/>
      <c r="D8" s="146"/>
      <c r="E8" s="124"/>
      <c r="F8" s="124"/>
      <c r="G8" s="124"/>
      <c r="H8" s="123">
        <f t="shared" si="7"/>
        <v>27</v>
      </c>
      <c r="I8" s="123"/>
      <c r="J8" s="123"/>
      <c r="K8" s="123">
        <f t="shared" si="0"/>
        <v>0</v>
      </c>
      <c r="L8" s="123">
        <f t="shared" si="1"/>
        <v>0</v>
      </c>
      <c r="M8" s="123">
        <f t="shared" si="2"/>
        <v>0</v>
      </c>
      <c r="N8" s="123">
        <f t="shared" si="2"/>
        <v>0</v>
      </c>
      <c r="O8" s="123">
        <f t="shared" si="3"/>
        <v>594</v>
      </c>
      <c r="P8" s="123">
        <f t="shared" si="4"/>
        <v>0</v>
      </c>
      <c r="Q8" s="123">
        <f t="shared" si="5"/>
        <v>0</v>
      </c>
      <c r="R8" s="123">
        <f t="shared" si="6"/>
        <v>594</v>
      </c>
    </row>
    <row r="9" spans="1:18">
      <c r="A9" s="136">
        <v>5</v>
      </c>
      <c r="B9" s="144">
        <v>46147</v>
      </c>
      <c r="C9" s="145"/>
      <c r="D9" s="147"/>
      <c r="E9" s="137"/>
      <c r="F9" s="137"/>
      <c r="G9" s="137"/>
      <c r="H9" s="123">
        <f t="shared" si="7"/>
        <v>27</v>
      </c>
      <c r="I9" s="123"/>
      <c r="J9" s="138"/>
      <c r="K9" s="123">
        <f t="shared" si="0"/>
        <v>0</v>
      </c>
      <c r="L9" s="123">
        <f t="shared" si="1"/>
        <v>0</v>
      </c>
      <c r="M9" s="123">
        <f t="shared" si="2"/>
        <v>0</v>
      </c>
      <c r="N9" s="123">
        <f t="shared" si="2"/>
        <v>0</v>
      </c>
      <c r="O9" s="123">
        <f t="shared" si="3"/>
        <v>594</v>
      </c>
      <c r="P9" s="123">
        <f t="shared" si="4"/>
        <v>0</v>
      </c>
      <c r="Q9" s="123">
        <f t="shared" si="5"/>
        <v>0</v>
      </c>
      <c r="R9" s="138">
        <f t="shared" si="6"/>
        <v>594</v>
      </c>
    </row>
    <row r="10" spans="1:18">
      <c r="A10" s="136">
        <v>6</v>
      </c>
      <c r="B10" s="144">
        <v>46148</v>
      </c>
      <c r="C10" s="145"/>
      <c r="D10" s="147">
        <v>1</v>
      </c>
      <c r="E10" s="137">
        <v>2</v>
      </c>
      <c r="F10" s="137"/>
      <c r="G10" s="137"/>
      <c r="H10" s="123">
        <f t="shared" si="7"/>
        <v>28</v>
      </c>
      <c r="I10" s="123"/>
      <c r="J10" s="138"/>
      <c r="K10" s="123">
        <f t="shared" si="0"/>
        <v>171</v>
      </c>
      <c r="L10" s="123">
        <f t="shared" si="1"/>
        <v>342</v>
      </c>
      <c r="M10" s="123">
        <f t="shared" si="2"/>
        <v>0</v>
      </c>
      <c r="N10" s="123">
        <f t="shared" si="2"/>
        <v>0</v>
      </c>
      <c r="O10" s="123">
        <f t="shared" si="3"/>
        <v>616</v>
      </c>
      <c r="P10" s="123">
        <f t="shared" si="4"/>
        <v>0</v>
      </c>
      <c r="Q10" s="123">
        <f t="shared" si="5"/>
        <v>0</v>
      </c>
      <c r="R10" s="138">
        <f t="shared" si="6"/>
        <v>1129</v>
      </c>
    </row>
    <row r="11" spans="1:18">
      <c r="A11" s="136">
        <v>7</v>
      </c>
      <c r="B11" s="144">
        <v>46149</v>
      </c>
      <c r="C11" s="145"/>
      <c r="D11" s="147"/>
      <c r="E11" s="137"/>
      <c r="F11" s="137"/>
      <c r="G11" s="137"/>
      <c r="H11" s="123">
        <f t="shared" si="7"/>
        <v>26</v>
      </c>
      <c r="I11" s="123"/>
      <c r="J11" s="138"/>
      <c r="K11" s="123">
        <f t="shared" si="0"/>
        <v>0</v>
      </c>
      <c r="L11" s="123">
        <f t="shared" si="1"/>
        <v>0</v>
      </c>
      <c r="M11" s="123">
        <f t="shared" si="2"/>
        <v>0</v>
      </c>
      <c r="N11" s="123">
        <f t="shared" si="2"/>
        <v>0</v>
      </c>
      <c r="O11" s="123">
        <f t="shared" si="3"/>
        <v>572</v>
      </c>
      <c r="P11" s="123">
        <f t="shared" si="4"/>
        <v>0</v>
      </c>
      <c r="Q11" s="123">
        <f t="shared" si="5"/>
        <v>0</v>
      </c>
      <c r="R11" s="138">
        <f t="shared" si="6"/>
        <v>572</v>
      </c>
    </row>
    <row r="12" spans="1:18">
      <c r="A12" s="136">
        <v>8</v>
      </c>
      <c r="B12" s="144">
        <v>46150</v>
      </c>
      <c r="C12" s="145"/>
      <c r="D12" s="147"/>
      <c r="E12" s="137"/>
      <c r="F12" s="137"/>
      <c r="G12" s="137"/>
      <c r="H12" s="123">
        <f t="shared" si="7"/>
        <v>26</v>
      </c>
      <c r="I12" s="123"/>
      <c r="J12" s="138"/>
      <c r="K12" s="123">
        <f t="shared" si="0"/>
        <v>0</v>
      </c>
      <c r="L12" s="123">
        <f t="shared" si="1"/>
        <v>0</v>
      </c>
      <c r="M12" s="123">
        <f t="shared" si="2"/>
        <v>0</v>
      </c>
      <c r="N12" s="123">
        <f t="shared" si="2"/>
        <v>0</v>
      </c>
      <c r="O12" s="123">
        <f t="shared" si="3"/>
        <v>572</v>
      </c>
      <c r="P12" s="123">
        <f t="shared" si="4"/>
        <v>0</v>
      </c>
      <c r="Q12" s="123">
        <f t="shared" si="5"/>
        <v>0</v>
      </c>
      <c r="R12" s="138">
        <f t="shared" si="6"/>
        <v>572</v>
      </c>
    </row>
    <row r="13" spans="1:18">
      <c r="A13" s="58">
        <v>9</v>
      </c>
      <c r="B13" s="144">
        <v>46151</v>
      </c>
      <c r="C13" s="145"/>
      <c r="D13" s="146"/>
      <c r="E13" s="124"/>
      <c r="F13" s="124"/>
      <c r="G13" s="124"/>
      <c r="H13" s="123">
        <f t="shared" si="7"/>
        <v>26</v>
      </c>
      <c r="I13" s="123"/>
      <c r="J13" s="123"/>
      <c r="K13" s="123">
        <f t="shared" si="0"/>
        <v>0</v>
      </c>
      <c r="L13" s="123">
        <f t="shared" si="1"/>
        <v>0</v>
      </c>
      <c r="M13" s="123">
        <f t="shared" si="2"/>
        <v>0</v>
      </c>
      <c r="N13" s="123">
        <f t="shared" si="2"/>
        <v>0</v>
      </c>
      <c r="O13" s="123">
        <f t="shared" si="3"/>
        <v>572</v>
      </c>
      <c r="P13" s="123">
        <f t="shared" si="4"/>
        <v>0</v>
      </c>
      <c r="Q13" s="123">
        <f t="shared" si="5"/>
        <v>0</v>
      </c>
      <c r="R13" s="123">
        <f t="shared" si="6"/>
        <v>572</v>
      </c>
    </row>
    <row r="14" spans="1:18">
      <c r="A14" s="58">
        <v>10</v>
      </c>
      <c r="B14" s="144">
        <v>46152</v>
      </c>
      <c r="C14" s="145"/>
      <c r="D14" s="146"/>
      <c r="E14" s="124"/>
      <c r="F14" s="124"/>
      <c r="G14" s="124"/>
      <c r="H14" s="123">
        <f t="shared" si="7"/>
        <v>26</v>
      </c>
      <c r="I14" s="123"/>
      <c r="J14" s="123"/>
      <c r="K14" s="123">
        <f t="shared" si="0"/>
        <v>0</v>
      </c>
      <c r="L14" s="123">
        <f t="shared" si="1"/>
        <v>0</v>
      </c>
      <c r="M14" s="123">
        <f t="shared" si="2"/>
        <v>0</v>
      </c>
      <c r="N14" s="123">
        <f t="shared" si="2"/>
        <v>0</v>
      </c>
      <c r="O14" s="123">
        <f t="shared" si="3"/>
        <v>572</v>
      </c>
      <c r="P14" s="123">
        <f t="shared" si="4"/>
        <v>0</v>
      </c>
      <c r="Q14" s="123">
        <f t="shared" si="5"/>
        <v>0</v>
      </c>
      <c r="R14" s="123">
        <f t="shared" si="6"/>
        <v>572</v>
      </c>
    </row>
    <row r="15" spans="1:18">
      <c r="A15" s="136">
        <v>11</v>
      </c>
      <c r="B15" s="144">
        <v>46153</v>
      </c>
      <c r="C15" s="145"/>
      <c r="D15" s="147"/>
      <c r="E15" s="137"/>
      <c r="F15" s="137"/>
      <c r="G15" s="124"/>
      <c r="H15" s="123">
        <f t="shared" si="7"/>
        <v>26</v>
      </c>
      <c r="I15" s="123"/>
      <c r="J15" s="138"/>
      <c r="K15" s="123">
        <f t="shared" si="0"/>
        <v>0</v>
      </c>
      <c r="L15" s="123">
        <f t="shared" si="1"/>
        <v>0</v>
      </c>
      <c r="M15" s="123">
        <f t="shared" si="2"/>
        <v>0</v>
      </c>
      <c r="N15" s="123">
        <f t="shared" si="2"/>
        <v>0</v>
      </c>
      <c r="O15" s="123">
        <f t="shared" si="3"/>
        <v>572</v>
      </c>
      <c r="P15" s="123">
        <f t="shared" si="4"/>
        <v>0</v>
      </c>
      <c r="Q15" s="123">
        <f t="shared" si="5"/>
        <v>0</v>
      </c>
      <c r="R15" s="138">
        <f t="shared" si="6"/>
        <v>572</v>
      </c>
    </row>
    <row r="16" spans="1:18">
      <c r="A16" s="136">
        <v>12</v>
      </c>
      <c r="B16" s="144">
        <v>46154</v>
      </c>
      <c r="C16" s="145"/>
      <c r="D16" s="147"/>
      <c r="E16" s="137">
        <v>2</v>
      </c>
      <c r="F16" s="137"/>
      <c r="G16" s="124"/>
      <c r="H16" s="123">
        <f t="shared" si="7"/>
        <v>26</v>
      </c>
      <c r="I16" s="123"/>
      <c r="J16" s="138"/>
      <c r="K16" s="123">
        <f t="shared" si="0"/>
        <v>0</v>
      </c>
      <c r="L16" s="123">
        <f t="shared" si="1"/>
        <v>342</v>
      </c>
      <c r="M16" s="123">
        <f t="shared" si="2"/>
        <v>0</v>
      </c>
      <c r="N16" s="123">
        <f t="shared" si="2"/>
        <v>0</v>
      </c>
      <c r="O16" s="123">
        <f t="shared" si="3"/>
        <v>572</v>
      </c>
      <c r="P16" s="123">
        <f t="shared" si="4"/>
        <v>0</v>
      </c>
      <c r="Q16" s="123">
        <f t="shared" si="5"/>
        <v>0</v>
      </c>
      <c r="R16" s="138">
        <f t="shared" si="6"/>
        <v>914</v>
      </c>
    </row>
    <row r="17" spans="1:18">
      <c r="A17" s="136">
        <v>13</v>
      </c>
      <c r="B17" s="144">
        <v>46155</v>
      </c>
      <c r="C17" s="145"/>
      <c r="D17" s="147"/>
      <c r="E17" s="137"/>
      <c r="F17" s="137"/>
      <c r="G17" s="124"/>
      <c r="H17" s="123">
        <f t="shared" si="7"/>
        <v>24</v>
      </c>
      <c r="I17" s="123"/>
      <c r="J17" s="138"/>
      <c r="K17" s="123">
        <f t="shared" si="0"/>
        <v>0</v>
      </c>
      <c r="L17" s="123">
        <f t="shared" si="1"/>
        <v>0</v>
      </c>
      <c r="M17" s="123">
        <f t="shared" si="2"/>
        <v>0</v>
      </c>
      <c r="N17" s="123">
        <f t="shared" si="2"/>
        <v>0</v>
      </c>
      <c r="O17" s="123">
        <f t="shared" si="3"/>
        <v>528</v>
      </c>
      <c r="P17" s="123">
        <f t="shared" si="4"/>
        <v>0</v>
      </c>
      <c r="Q17" s="123">
        <f t="shared" si="5"/>
        <v>0</v>
      </c>
      <c r="R17" s="138">
        <f t="shared" si="6"/>
        <v>528</v>
      </c>
    </row>
    <row r="18" spans="1:18">
      <c r="A18" s="136">
        <v>14</v>
      </c>
      <c r="B18" s="144">
        <v>46156</v>
      </c>
      <c r="C18" s="145"/>
      <c r="D18" s="147"/>
      <c r="E18" s="137"/>
      <c r="F18" s="137"/>
      <c r="G18" s="124"/>
      <c r="H18" s="123">
        <f t="shared" si="7"/>
        <v>24</v>
      </c>
      <c r="I18" s="123"/>
      <c r="J18" s="138"/>
      <c r="K18" s="123">
        <f t="shared" si="0"/>
        <v>0</v>
      </c>
      <c r="L18" s="123">
        <f t="shared" si="1"/>
        <v>0</v>
      </c>
      <c r="M18" s="123">
        <f t="shared" si="2"/>
        <v>0</v>
      </c>
      <c r="N18" s="123">
        <f t="shared" si="2"/>
        <v>0</v>
      </c>
      <c r="O18" s="123">
        <f t="shared" si="3"/>
        <v>528</v>
      </c>
      <c r="P18" s="123">
        <f t="shared" si="4"/>
        <v>0</v>
      </c>
      <c r="Q18" s="123">
        <f t="shared" si="5"/>
        <v>0</v>
      </c>
      <c r="R18" s="138">
        <f t="shared" si="6"/>
        <v>528</v>
      </c>
    </row>
    <row r="19" spans="1:18">
      <c r="A19" s="136">
        <v>15</v>
      </c>
      <c r="B19" s="144">
        <v>46157</v>
      </c>
      <c r="C19" s="145"/>
      <c r="D19" s="147"/>
      <c r="E19" s="137"/>
      <c r="F19" s="137"/>
      <c r="G19" s="124"/>
      <c r="H19" s="123">
        <f t="shared" si="7"/>
        <v>24</v>
      </c>
      <c r="I19" s="123"/>
      <c r="J19" s="138"/>
      <c r="K19" s="123">
        <f t="shared" si="0"/>
        <v>0</v>
      </c>
      <c r="L19" s="123">
        <f t="shared" si="1"/>
        <v>0</v>
      </c>
      <c r="M19" s="123">
        <f t="shared" si="2"/>
        <v>0</v>
      </c>
      <c r="N19" s="123">
        <f t="shared" si="2"/>
        <v>0</v>
      </c>
      <c r="O19" s="123">
        <f t="shared" si="3"/>
        <v>528</v>
      </c>
      <c r="P19" s="123">
        <f t="shared" si="4"/>
        <v>0</v>
      </c>
      <c r="Q19" s="123">
        <f t="shared" si="5"/>
        <v>0</v>
      </c>
      <c r="R19" s="138">
        <f t="shared" si="6"/>
        <v>528</v>
      </c>
    </row>
    <row r="20" spans="1:18">
      <c r="A20" s="58">
        <v>16</v>
      </c>
      <c r="B20" s="144">
        <v>46158</v>
      </c>
      <c r="C20" s="145"/>
      <c r="D20" s="146"/>
      <c r="E20" s="124"/>
      <c r="F20" s="124"/>
      <c r="G20" s="137"/>
      <c r="H20" s="123">
        <f t="shared" si="7"/>
        <v>24</v>
      </c>
      <c r="I20" s="123"/>
      <c r="J20" s="123"/>
      <c r="K20" s="123">
        <f t="shared" si="0"/>
        <v>0</v>
      </c>
      <c r="L20" s="123">
        <f t="shared" si="1"/>
        <v>0</v>
      </c>
      <c r="M20" s="123">
        <f t="shared" si="2"/>
        <v>0</v>
      </c>
      <c r="N20" s="123">
        <f t="shared" si="2"/>
        <v>0</v>
      </c>
      <c r="O20" s="123">
        <f t="shared" si="3"/>
        <v>528</v>
      </c>
      <c r="P20" s="123">
        <f t="shared" si="4"/>
        <v>0</v>
      </c>
      <c r="Q20" s="123">
        <f t="shared" si="5"/>
        <v>0</v>
      </c>
      <c r="R20" s="123">
        <f t="shared" si="6"/>
        <v>528</v>
      </c>
    </row>
    <row r="21" spans="1:18">
      <c r="A21" s="58">
        <v>17</v>
      </c>
      <c r="B21" s="144">
        <v>46159</v>
      </c>
      <c r="C21" s="145"/>
      <c r="D21" s="146"/>
      <c r="E21" s="124"/>
      <c r="F21" s="124"/>
      <c r="G21" s="137"/>
      <c r="H21" s="123">
        <f t="shared" si="7"/>
        <v>24</v>
      </c>
      <c r="I21" s="123"/>
      <c r="J21" s="123"/>
      <c r="K21" s="123">
        <f t="shared" si="0"/>
        <v>0</v>
      </c>
      <c r="L21" s="123">
        <f t="shared" si="1"/>
        <v>0</v>
      </c>
      <c r="M21" s="123">
        <f t="shared" si="2"/>
        <v>0</v>
      </c>
      <c r="N21" s="123">
        <f t="shared" si="2"/>
        <v>0</v>
      </c>
      <c r="O21" s="123">
        <f t="shared" si="3"/>
        <v>528</v>
      </c>
      <c r="P21" s="123">
        <f t="shared" si="4"/>
        <v>0</v>
      </c>
      <c r="Q21" s="123">
        <f t="shared" si="5"/>
        <v>0</v>
      </c>
      <c r="R21" s="123">
        <f t="shared" si="6"/>
        <v>528</v>
      </c>
    </row>
    <row r="22" spans="1:18">
      <c r="A22" s="136">
        <v>18</v>
      </c>
      <c r="B22" s="144">
        <v>46160</v>
      </c>
      <c r="C22" s="145"/>
      <c r="D22" s="147">
        <v>3</v>
      </c>
      <c r="E22" s="137">
        <v>3</v>
      </c>
      <c r="F22" s="137"/>
      <c r="G22" s="137"/>
      <c r="H22" s="123">
        <f t="shared" si="7"/>
        <v>27</v>
      </c>
      <c r="I22" s="138"/>
      <c r="J22" s="138"/>
      <c r="K22" s="123">
        <f t="shared" si="0"/>
        <v>513</v>
      </c>
      <c r="L22" s="123">
        <f t="shared" si="1"/>
        <v>513</v>
      </c>
      <c r="M22" s="123">
        <f t="shared" si="2"/>
        <v>0</v>
      </c>
      <c r="N22" s="123">
        <f t="shared" si="2"/>
        <v>0</v>
      </c>
      <c r="O22" s="123">
        <f t="shared" si="3"/>
        <v>594</v>
      </c>
      <c r="P22" s="123">
        <f t="shared" si="4"/>
        <v>0</v>
      </c>
      <c r="Q22" s="123">
        <f t="shared" si="5"/>
        <v>0</v>
      </c>
      <c r="R22" s="138">
        <f t="shared" si="6"/>
        <v>1620</v>
      </c>
    </row>
    <row r="23" spans="1:18">
      <c r="A23" s="136">
        <v>19</v>
      </c>
      <c r="B23" s="144">
        <v>46161</v>
      </c>
      <c r="C23" s="145"/>
      <c r="D23" s="147"/>
      <c r="E23" s="137"/>
      <c r="F23" s="137"/>
      <c r="G23" s="137"/>
      <c r="H23" s="123">
        <f t="shared" si="7"/>
        <v>24</v>
      </c>
      <c r="I23" s="138"/>
      <c r="J23" s="138"/>
      <c r="K23" s="123">
        <f t="shared" si="0"/>
        <v>0</v>
      </c>
      <c r="L23" s="123">
        <f t="shared" si="1"/>
        <v>0</v>
      </c>
      <c r="M23" s="123">
        <f t="shared" si="2"/>
        <v>0</v>
      </c>
      <c r="N23" s="123">
        <f t="shared" si="2"/>
        <v>0</v>
      </c>
      <c r="O23" s="123">
        <f t="shared" si="3"/>
        <v>528</v>
      </c>
      <c r="P23" s="123">
        <f t="shared" si="4"/>
        <v>0</v>
      </c>
      <c r="Q23" s="123">
        <f t="shared" si="5"/>
        <v>0</v>
      </c>
      <c r="R23" s="138">
        <f t="shared" si="6"/>
        <v>528</v>
      </c>
    </row>
    <row r="24" spans="1:18">
      <c r="A24" s="136">
        <v>20</v>
      </c>
      <c r="B24" s="144">
        <v>46162</v>
      </c>
      <c r="C24" s="145"/>
      <c r="D24" s="147"/>
      <c r="E24" s="137"/>
      <c r="F24" s="137"/>
      <c r="G24" s="137"/>
      <c r="H24" s="123">
        <f t="shared" si="7"/>
        <v>24</v>
      </c>
      <c r="I24" s="138"/>
      <c r="J24" s="138"/>
      <c r="K24" s="123">
        <f t="shared" si="0"/>
        <v>0</v>
      </c>
      <c r="L24" s="123">
        <f t="shared" si="1"/>
        <v>0</v>
      </c>
      <c r="M24" s="123">
        <f t="shared" si="2"/>
        <v>0</v>
      </c>
      <c r="N24" s="123">
        <f t="shared" si="2"/>
        <v>0</v>
      </c>
      <c r="O24" s="123">
        <f t="shared" si="3"/>
        <v>528</v>
      </c>
      <c r="P24" s="123">
        <f t="shared" si="4"/>
        <v>0</v>
      </c>
      <c r="Q24" s="123">
        <f t="shared" si="5"/>
        <v>0</v>
      </c>
      <c r="R24" s="138">
        <f t="shared" si="6"/>
        <v>528</v>
      </c>
    </row>
    <row r="25" spans="1:18">
      <c r="A25" s="136">
        <v>21</v>
      </c>
      <c r="B25" s="144">
        <v>46163</v>
      </c>
      <c r="C25" s="145"/>
      <c r="D25" s="147">
        <v>20</v>
      </c>
      <c r="E25" s="137"/>
      <c r="F25" s="137"/>
      <c r="G25" s="137"/>
      <c r="H25" s="123">
        <f t="shared" si="7"/>
        <v>44</v>
      </c>
      <c r="I25" s="138"/>
      <c r="J25" s="138"/>
      <c r="K25" s="123">
        <f t="shared" si="0"/>
        <v>3420</v>
      </c>
      <c r="L25" s="123">
        <f t="shared" si="1"/>
        <v>0</v>
      </c>
      <c r="M25" s="123">
        <f t="shared" si="2"/>
        <v>0</v>
      </c>
      <c r="N25" s="123">
        <f t="shared" si="2"/>
        <v>0</v>
      </c>
      <c r="O25" s="123">
        <f t="shared" si="3"/>
        <v>968</v>
      </c>
      <c r="P25" s="123">
        <f t="shared" si="4"/>
        <v>0</v>
      </c>
      <c r="Q25" s="123">
        <f t="shared" si="5"/>
        <v>0</v>
      </c>
      <c r="R25" s="138">
        <f t="shared" si="6"/>
        <v>4388</v>
      </c>
    </row>
    <row r="26" spans="1:18">
      <c r="A26" s="136">
        <v>22</v>
      </c>
      <c r="B26" s="144">
        <v>46164</v>
      </c>
      <c r="C26" s="145"/>
      <c r="D26" s="147"/>
      <c r="E26" s="137"/>
      <c r="F26" s="137"/>
      <c r="G26" s="137"/>
      <c r="H26" s="123">
        <f t="shared" si="7"/>
        <v>44</v>
      </c>
      <c r="I26" s="123"/>
      <c r="J26" s="138"/>
      <c r="K26" s="123">
        <f t="shared" si="0"/>
        <v>0</v>
      </c>
      <c r="L26" s="123">
        <f t="shared" si="1"/>
        <v>0</v>
      </c>
      <c r="M26" s="123">
        <f t="shared" si="2"/>
        <v>0</v>
      </c>
      <c r="N26" s="123">
        <f t="shared" si="2"/>
        <v>0</v>
      </c>
      <c r="O26" s="123">
        <f t="shared" si="3"/>
        <v>968</v>
      </c>
      <c r="P26" s="123">
        <f t="shared" si="4"/>
        <v>0</v>
      </c>
      <c r="Q26" s="123">
        <f t="shared" si="5"/>
        <v>0</v>
      </c>
      <c r="R26" s="138">
        <f t="shared" si="6"/>
        <v>968</v>
      </c>
    </row>
    <row r="27" spans="1:18">
      <c r="A27" s="58">
        <v>23</v>
      </c>
      <c r="B27" s="144">
        <v>46165</v>
      </c>
      <c r="C27" s="145"/>
      <c r="D27" s="146"/>
      <c r="E27" s="124"/>
      <c r="F27" s="124"/>
      <c r="G27" s="124"/>
      <c r="H27" s="123">
        <f t="shared" si="7"/>
        <v>44</v>
      </c>
      <c r="I27" s="123"/>
      <c r="J27" s="123"/>
      <c r="K27" s="123">
        <f t="shared" si="0"/>
        <v>0</v>
      </c>
      <c r="L27" s="123">
        <f t="shared" si="1"/>
        <v>0</v>
      </c>
      <c r="M27" s="123">
        <f t="shared" si="2"/>
        <v>0</v>
      </c>
      <c r="N27" s="123">
        <f t="shared" si="2"/>
        <v>0</v>
      </c>
      <c r="O27" s="123">
        <f t="shared" si="3"/>
        <v>968</v>
      </c>
      <c r="P27" s="123">
        <f t="shared" si="4"/>
        <v>0</v>
      </c>
      <c r="Q27" s="123">
        <f t="shared" si="5"/>
        <v>0</v>
      </c>
      <c r="R27" s="123">
        <f t="shared" si="6"/>
        <v>968</v>
      </c>
    </row>
    <row r="28" spans="1:18">
      <c r="A28" s="58">
        <v>24</v>
      </c>
      <c r="B28" s="144">
        <v>46166</v>
      </c>
      <c r="C28" s="145"/>
      <c r="D28" s="146"/>
      <c r="E28" s="124"/>
      <c r="F28" s="124"/>
      <c r="G28" s="124"/>
      <c r="H28" s="123">
        <f t="shared" si="7"/>
        <v>44</v>
      </c>
      <c r="I28" s="123"/>
      <c r="J28" s="123"/>
      <c r="K28" s="123">
        <f t="shared" si="0"/>
        <v>0</v>
      </c>
      <c r="L28" s="123">
        <f t="shared" si="1"/>
        <v>0</v>
      </c>
      <c r="M28" s="123">
        <f t="shared" si="2"/>
        <v>0</v>
      </c>
      <c r="N28" s="123">
        <f t="shared" si="2"/>
        <v>0</v>
      </c>
      <c r="O28" s="123">
        <f t="shared" si="3"/>
        <v>968</v>
      </c>
      <c r="P28" s="123">
        <f t="shared" si="4"/>
        <v>0</v>
      </c>
      <c r="Q28" s="123">
        <f t="shared" si="5"/>
        <v>0</v>
      </c>
      <c r="R28" s="123">
        <f t="shared" si="6"/>
        <v>968</v>
      </c>
    </row>
    <row r="29" spans="1:18">
      <c r="A29" s="136">
        <v>25</v>
      </c>
      <c r="B29" s="144">
        <v>46167</v>
      </c>
      <c r="C29" s="145"/>
      <c r="D29" s="147"/>
      <c r="E29" s="137"/>
      <c r="F29" s="137"/>
      <c r="G29" s="137"/>
      <c r="H29" s="123">
        <f t="shared" si="7"/>
        <v>44</v>
      </c>
      <c r="I29" s="123"/>
      <c r="J29" s="138"/>
      <c r="K29" s="123">
        <f t="shared" si="0"/>
        <v>0</v>
      </c>
      <c r="L29" s="123">
        <f t="shared" si="1"/>
        <v>0</v>
      </c>
      <c r="M29" s="123">
        <f t="shared" si="2"/>
        <v>0</v>
      </c>
      <c r="N29" s="123">
        <f t="shared" si="2"/>
        <v>0</v>
      </c>
      <c r="O29" s="123">
        <f t="shared" si="3"/>
        <v>968</v>
      </c>
      <c r="P29" s="123">
        <f t="shared" si="4"/>
        <v>0</v>
      </c>
      <c r="Q29" s="123">
        <f t="shared" si="5"/>
        <v>0</v>
      </c>
      <c r="R29" s="138">
        <f t="shared" si="6"/>
        <v>968</v>
      </c>
    </row>
    <row r="30" spans="1:18">
      <c r="A30" s="136">
        <v>26</v>
      </c>
      <c r="B30" s="144">
        <v>46168</v>
      </c>
      <c r="C30" s="145"/>
      <c r="D30" s="147"/>
      <c r="E30" s="137"/>
      <c r="F30" s="137"/>
      <c r="G30" s="137"/>
      <c r="H30" s="123">
        <f t="shared" si="7"/>
        <v>44</v>
      </c>
      <c r="I30" s="123"/>
      <c r="J30" s="138"/>
      <c r="K30" s="123">
        <f t="shared" si="0"/>
        <v>0</v>
      </c>
      <c r="L30" s="123">
        <f t="shared" si="1"/>
        <v>0</v>
      </c>
      <c r="M30" s="123">
        <f t="shared" si="2"/>
        <v>0</v>
      </c>
      <c r="N30" s="123">
        <f t="shared" si="2"/>
        <v>0</v>
      </c>
      <c r="O30" s="123">
        <f t="shared" si="3"/>
        <v>968</v>
      </c>
      <c r="P30" s="123">
        <f t="shared" si="4"/>
        <v>0</v>
      </c>
      <c r="Q30" s="123">
        <f t="shared" si="5"/>
        <v>0</v>
      </c>
      <c r="R30" s="138">
        <f t="shared" si="6"/>
        <v>968</v>
      </c>
    </row>
    <row r="31" spans="1:18">
      <c r="A31" s="136">
        <v>27</v>
      </c>
      <c r="B31" s="144">
        <v>46169</v>
      </c>
      <c r="C31" s="145"/>
      <c r="D31" s="147"/>
      <c r="E31" s="137">
        <v>8</v>
      </c>
      <c r="F31" s="137"/>
      <c r="G31" s="137"/>
      <c r="H31" s="123">
        <f t="shared" si="7"/>
        <v>44</v>
      </c>
      <c r="I31" s="123"/>
      <c r="J31" s="138"/>
      <c r="K31" s="123">
        <f t="shared" si="0"/>
        <v>0</v>
      </c>
      <c r="L31" s="123">
        <f t="shared" si="1"/>
        <v>1368</v>
      </c>
      <c r="M31" s="123">
        <f t="shared" si="2"/>
        <v>0</v>
      </c>
      <c r="N31" s="123">
        <f t="shared" si="2"/>
        <v>0</v>
      </c>
      <c r="O31" s="123">
        <f t="shared" si="3"/>
        <v>968</v>
      </c>
      <c r="P31" s="123">
        <f t="shared" si="4"/>
        <v>0</v>
      </c>
      <c r="Q31" s="123">
        <f t="shared" si="5"/>
        <v>0</v>
      </c>
      <c r="R31" s="138">
        <f t="shared" si="6"/>
        <v>2336</v>
      </c>
    </row>
    <row r="32" spans="1:18">
      <c r="A32" s="136">
        <v>28</v>
      </c>
      <c r="B32" s="144">
        <v>46170</v>
      </c>
      <c r="C32" s="145"/>
      <c r="D32" s="147"/>
      <c r="E32" s="137"/>
      <c r="F32" s="137"/>
      <c r="G32" s="137"/>
      <c r="H32" s="123">
        <f t="shared" si="7"/>
        <v>36</v>
      </c>
      <c r="I32" s="123"/>
      <c r="J32" s="138"/>
      <c r="K32" s="123">
        <f t="shared" si="0"/>
        <v>0</v>
      </c>
      <c r="L32" s="123">
        <f t="shared" si="1"/>
        <v>0</v>
      </c>
      <c r="M32" s="123">
        <f t="shared" si="2"/>
        <v>0</v>
      </c>
      <c r="N32" s="123">
        <f t="shared" si="2"/>
        <v>0</v>
      </c>
      <c r="O32" s="123">
        <f t="shared" si="3"/>
        <v>792</v>
      </c>
      <c r="P32" s="123">
        <f t="shared" si="4"/>
        <v>0</v>
      </c>
      <c r="Q32" s="123">
        <f t="shared" si="5"/>
        <v>0</v>
      </c>
      <c r="R32" s="138">
        <f t="shared" si="6"/>
        <v>792</v>
      </c>
    </row>
    <row r="33" spans="1:18">
      <c r="A33" s="136">
        <v>29</v>
      </c>
      <c r="B33" s="144">
        <v>46171</v>
      </c>
      <c r="C33" s="145"/>
      <c r="D33" s="147"/>
      <c r="E33" s="137"/>
      <c r="F33" s="137"/>
      <c r="G33" s="137"/>
      <c r="H33" s="123">
        <f t="shared" si="7"/>
        <v>36</v>
      </c>
      <c r="I33" s="123"/>
      <c r="J33" s="138"/>
      <c r="K33" s="123">
        <f t="shared" si="0"/>
        <v>0</v>
      </c>
      <c r="L33" s="123">
        <f t="shared" si="1"/>
        <v>0</v>
      </c>
      <c r="M33" s="123">
        <f t="shared" si="2"/>
        <v>0</v>
      </c>
      <c r="N33" s="123">
        <f t="shared" si="2"/>
        <v>0</v>
      </c>
      <c r="O33" s="123">
        <f t="shared" si="3"/>
        <v>792</v>
      </c>
      <c r="P33" s="123">
        <f t="shared" si="4"/>
        <v>0</v>
      </c>
      <c r="Q33" s="123">
        <f t="shared" si="5"/>
        <v>0</v>
      </c>
      <c r="R33" s="138">
        <f t="shared" si="6"/>
        <v>792</v>
      </c>
    </row>
    <row r="34" spans="1:18">
      <c r="A34" s="136">
        <v>30</v>
      </c>
      <c r="B34" s="144">
        <v>46172</v>
      </c>
      <c r="C34" s="145"/>
      <c r="D34" s="147"/>
      <c r="E34" s="137"/>
      <c r="F34" s="137"/>
      <c r="G34" s="137"/>
      <c r="H34" s="123">
        <f t="shared" si="7"/>
        <v>36</v>
      </c>
      <c r="I34" s="123"/>
      <c r="J34" s="138"/>
      <c r="K34" s="123">
        <f t="shared" si="0"/>
        <v>0</v>
      </c>
      <c r="L34" s="123">
        <f t="shared" si="1"/>
        <v>0</v>
      </c>
      <c r="M34" s="123">
        <f t="shared" si="2"/>
        <v>0</v>
      </c>
      <c r="N34" s="123">
        <f t="shared" si="2"/>
        <v>0</v>
      </c>
      <c r="O34" s="123">
        <f t="shared" si="3"/>
        <v>792</v>
      </c>
      <c r="P34" s="123">
        <f t="shared" si="4"/>
        <v>0</v>
      </c>
      <c r="Q34" s="123">
        <f t="shared" si="5"/>
        <v>0</v>
      </c>
      <c r="R34" s="138">
        <f t="shared" si="6"/>
        <v>792</v>
      </c>
    </row>
    <row r="35" spans="1:18" ht="15.75" thickBot="1">
      <c r="A35" s="136">
        <v>31</v>
      </c>
      <c r="B35" s="144">
        <v>46173</v>
      </c>
      <c r="C35" s="145"/>
      <c r="D35" s="147"/>
      <c r="E35" s="137"/>
      <c r="F35" s="137"/>
      <c r="G35" s="137"/>
      <c r="H35" s="123">
        <f t="shared" si="7"/>
        <v>36</v>
      </c>
      <c r="I35" s="123"/>
      <c r="J35" s="138"/>
      <c r="K35" s="123">
        <f t="shared" si="0"/>
        <v>0</v>
      </c>
      <c r="L35" s="123">
        <f t="shared" si="1"/>
        <v>0</v>
      </c>
      <c r="M35" s="123">
        <f t="shared" si="2"/>
        <v>0</v>
      </c>
      <c r="N35" s="123">
        <f t="shared" si="2"/>
        <v>0</v>
      </c>
      <c r="O35" s="123">
        <f t="shared" si="3"/>
        <v>792</v>
      </c>
      <c r="P35" s="123">
        <f t="shared" si="4"/>
        <v>0</v>
      </c>
      <c r="Q35" s="123">
        <f t="shared" si="5"/>
        <v>0</v>
      </c>
      <c r="R35" s="138">
        <f t="shared" ref="R35" si="8">SUM(K35:Q35)</f>
        <v>792</v>
      </c>
    </row>
    <row r="36" spans="1:18" ht="15.75" thickBot="1">
      <c r="D36" s="139">
        <f>SUM(D5:D35)</f>
        <v>24</v>
      </c>
      <c r="E36" s="140">
        <f>SUM(E5:E35)</f>
        <v>15</v>
      </c>
      <c r="F36" s="140">
        <f>SUM(F5:F35)</f>
        <v>0</v>
      </c>
      <c r="G36" s="140"/>
      <c r="H36" s="141">
        <f>SUM(H5:H35)</f>
        <v>966</v>
      </c>
      <c r="I36" s="142"/>
      <c r="J36" s="140"/>
      <c r="K36" s="140">
        <f>SUM(K5:K35)</f>
        <v>4104</v>
      </c>
      <c r="L36" s="140">
        <f t="shared" ref="L36:Q36" si="9">SUM(L5:L35)</f>
        <v>2565</v>
      </c>
      <c r="M36" s="140">
        <f t="shared" si="9"/>
        <v>0</v>
      </c>
      <c r="N36" s="140">
        <f t="shared" si="9"/>
        <v>0</v>
      </c>
      <c r="O36" s="140">
        <f t="shared" si="9"/>
        <v>21252</v>
      </c>
      <c r="P36" s="140">
        <f t="shared" si="9"/>
        <v>0</v>
      </c>
      <c r="Q36" s="140">
        <f t="shared" si="9"/>
        <v>0</v>
      </c>
      <c r="R36" s="143">
        <f>SUM(R5:R35)</f>
        <v>27921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551D-A752-496D-B8FA-722A48AFE30C}">
  <dimension ref="A1:R36"/>
  <sheetViews>
    <sheetView workbookViewId="0">
      <selection activeCell="H36" sqref="H36"/>
    </sheetView>
  </sheetViews>
  <sheetFormatPr defaultRowHeight="15"/>
  <cols>
    <col min="1" max="1" width="9.85546875" style="47" customWidth="1"/>
    <col min="2" max="17" width="9.140625" style="47"/>
    <col min="18" max="18" width="10.42578125" style="47" customWidth="1"/>
    <col min="19" max="16384" width="9.140625" style="47"/>
  </cols>
  <sheetData>
    <row r="1" spans="1:18">
      <c r="A1" s="135">
        <f>R36</f>
        <v>4811.9999999999982</v>
      </c>
    </row>
    <row r="2" spans="1:18">
      <c r="B2" s="73" t="s">
        <v>96</v>
      </c>
    </row>
    <row r="3" spans="1:18" ht="28.9" customHeight="1">
      <c r="A3" s="49" t="s">
        <v>0</v>
      </c>
      <c r="B3" s="50" t="s">
        <v>1</v>
      </c>
      <c r="C3" s="51"/>
      <c r="D3" s="49" t="s">
        <v>97</v>
      </c>
      <c r="E3" s="49" t="s">
        <v>98</v>
      </c>
      <c r="F3" s="49" t="s">
        <v>99</v>
      </c>
      <c r="G3" s="49" t="s">
        <v>100</v>
      </c>
      <c r="H3" s="52" t="s">
        <v>4</v>
      </c>
      <c r="I3" s="49" t="s">
        <v>101</v>
      </c>
      <c r="J3" s="49" t="s">
        <v>102</v>
      </c>
      <c r="K3" s="49" t="s">
        <v>11</v>
      </c>
      <c r="L3" s="49" t="s">
        <v>12</v>
      </c>
      <c r="M3" s="49" t="s">
        <v>103</v>
      </c>
      <c r="N3" s="49" t="s">
        <v>104</v>
      </c>
      <c r="O3" s="49" t="s">
        <v>13</v>
      </c>
      <c r="P3" s="49" t="s">
        <v>105</v>
      </c>
      <c r="Q3" s="49" t="s">
        <v>106</v>
      </c>
      <c r="R3" s="49" t="s">
        <v>18</v>
      </c>
    </row>
    <row r="4" spans="1:18" ht="30">
      <c r="A4" s="53"/>
      <c r="B4" s="54"/>
      <c r="C4" s="55"/>
      <c r="D4" s="53"/>
      <c r="E4" s="53"/>
      <c r="F4" s="53"/>
      <c r="G4" s="53"/>
      <c r="H4" s="56" t="s">
        <v>107</v>
      </c>
      <c r="I4" s="53"/>
      <c r="J4" s="53"/>
      <c r="K4" s="53"/>
      <c r="L4" s="53"/>
      <c r="M4" s="53"/>
      <c r="N4" s="53"/>
      <c r="O4" s="53"/>
      <c r="P4" s="53"/>
      <c r="Q4" s="53"/>
      <c r="R4" s="53"/>
    </row>
    <row r="5" spans="1:18">
      <c r="A5" s="58">
        <v>1</v>
      </c>
      <c r="B5" s="144">
        <v>46143</v>
      </c>
      <c r="C5" s="145"/>
      <c r="D5" s="146"/>
      <c r="E5" s="124"/>
      <c r="F5" s="124"/>
      <c r="G5" s="124"/>
      <c r="H5" s="123">
        <v>7</v>
      </c>
      <c r="I5" s="123"/>
      <c r="J5" s="123"/>
      <c r="K5" s="123">
        <f t="shared" ref="K5:K29" si="0">SUM(D5*168)</f>
        <v>0</v>
      </c>
      <c r="L5" s="123">
        <f>SUM(E5*168)</f>
        <v>0</v>
      </c>
      <c r="M5" s="123">
        <f>F5*1000</f>
        <v>0</v>
      </c>
      <c r="N5" s="123">
        <f>G5*1000</f>
        <v>0</v>
      </c>
      <c r="O5" s="123">
        <f>SUM(H5*21.6)</f>
        <v>151.20000000000002</v>
      </c>
      <c r="P5" s="123">
        <f>I5*500</f>
        <v>0</v>
      </c>
      <c r="Q5" s="123">
        <f>SUM(J5)*600</f>
        <v>0</v>
      </c>
      <c r="R5" s="123">
        <f>SUM(K5:Q5)</f>
        <v>151.20000000000002</v>
      </c>
    </row>
    <row r="6" spans="1:18">
      <c r="A6" s="58">
        <v>2</v>
      </c>
      <c r="B6" s="144">
        <v>46144</v>
      </c>
      <c r="C6" s="145"/>
      <c r="D6" s="146"/>
      <c r="E6" s="124"/>
      <c r="F6" s="124"/>
      <c r="G6" s="124"/>
      <c r="H6" s="123">
        <v>7</v>
      </c>
      <c r="I6" s="123"/>
      <c r="J6" s="123"/>
      <c r="K6" s="123">
        <f t="shared" si="0"/>
        <v>0</v>
      </c>
      <c r="L6" s="123">
        <f t="shared" ref="L6:L34" si="1">SUM(E6*168)</f>
        <v>0</v>
      </c>
      <c r="M6" s="123">
        <f t="shared" ref="M6:N34" si="2">F6*1000</f>
        <v>0</v>
      </c>
      <c r="N6" s="123">
        <f t="shared" si="2"/>
        <v>0</v>
      </c>
      <c r="O6" s="123">
        <f t="shared" ref="O6:O35" si="3">SUM(H6*21.6)</f>
        <v>151.20000000000002</v>
      </c>
      <c r="P6" s="123">
        <f t="shared" ref="P6:P35" si="4">I6*500</f>
        <v>0</v>
      </c>
      <c r="Q6" s="123">
        <f t="shared" ref="Q6:Q35" si="5">SUM(J6)*600</f>
        <v>0</v>
      </c>
      <c r="R6" s="123">
        <f t="shared" ref="R6:R35" si="6">SUM(K6:Q6)</f>
        <v>151.20000000000002</v>
      </c>
    </row>
    <row r="7" spans="1:18">
      <c r="A7" s="58">
        <v>3</v>
      </c>
      <c r="B7" s="144">
        <v>46145</v>
      </c>
      <c r="C7" s="145"/>
      <c r="D7" s="146"/>
      <c r="E7" s="124"/>
      <c r="F7" s="124"/>
      <c r="G7" s="124"/>
      <c r="H7" s="123">
        <v>7</v>
      </c>
      <c r="I7" s="123"/>
      <c r="J7" s="123"/>
      <c r="K7" s="123">
        <f t="shared" si="0"/>
        <v>0</v>
      </c>
      <c r="L7" s="123">
        <f t="shared" si="1"/>
        <v>0</v>
      </c>
      <c r="M7" s="123">
        <f t="shared" si="2"/>
        <v>0</v>
      </c>
      <c r="N7" s="123">
        <f t="shared" si="2"/>
        <v>0</v>
      </c>
      <c r="O7" s="123">
        <f t="shared" si="3"/>
        <v>151.20000000000002</v>
      </c>
      <c r="P7" s="123">
        <f t="shared" si="4"/>
        <v>0</v>
      </c>
      <c r="Q7" s="123">
        <f t="shared" si="5"/>
        <v>0</v>
      </c>
      <c r="R7" s="123">
        <f t="shared" si="6"/>
        <v>151.20000000000002</v>
      </c>
    </row>
    <row r="8" spans="1:18">
      <c r="A8" s="58">
        <v>4</v>
      </c>
      <c r="B8" s="144">
        <v>46146</v>
      </c>
      <c r="C8" s="145"/>
      <c r="D8" s="146"/>
      <c r="E8" s="124"/>
      <c r="F8" s="124"/>
      <c r="G8" s="124"/>
      <c r="H8" s="123">
        <v>7</v>
      </c>
      <c r="I8" s="123"/>
      <c r="J8" s="123"/>
      <c r="K8" s="123">
        <f t="shared" si="0"/>
        <v>0</v>
      </c>
      <c r="L8" s="123">
        <f t="shared" si="1"/>
        <v>0</v>
      </c>
      <c r="M8" s="123">
        <f t="shared" si="2"/>
        <v>0</v>
      </c>
      <c r="N8" s="123">
        <f t="shared" si="2"/>
        <v>0</v>
      </c>
      <c r="O8" s="123">
        <f t="shared" si="3"/>
        <v>151.20000000000002</v>
      </c>
      <c r="P8" s="123">
        <f t="shared" si="4"/>
        <v>0</v>
      </c>
      <c r="Q8" s="123">
        <f t="shared" si="5"/>
        <v>0</v>
      </c>
      <c r="R8" s="123">
        <f t="shared" si="6"/>
        <v>151.20000000000002</v>
      </c>
    </row>
    <row r="9" spans="1:18">
      <c r="A9" s="136">
        <v>5</v>
      </c>
      <c r="B9" s="144">
        <v>46147</v>
      </c>
      <c r="C9" s="145"/>
      <c r="D9" s="147"/>
      <c r="E9" s="137"/>
      <c r="F9" s="137"/>
      <c r="G9" s="137"/>
      <c r="H9" s="123">
        <v>7</v>
      </c>
      <c r="I9" s="123"/>
      <c r="J9" s="138"/>
      <c r="K9" s="123">
        <f t="shared" si="0"/>
        <v>0</v>
      </c>
      <c r="L9" s="123">
        <f t="shared" si="1"/>
        <v>0</v>
      </c>
      <c r="M9" s="123">
        <f t="shared" si="2"/>
        <v>0</v>
      </c>
      <c r="N9" s="123">
        <f t="shared" si="2"/>
        <v>0</v>
      </c>
      <c r="O9" s="123">
        <f t="shared" si="3"/>
        <v>151.20000000000002</v>
      </c>
      <c r="P9" s="123">
        <f t="shared" si="4"/>
        <v>0</v>
      </c>
      <c r="Q9" s="123">
        <f t="shared" si="5"/>
        <v>0</v>
      </c>
      <c r="R9" s="138">
        <f t="shared" si="6"/>
        <v>151.20000000000002</v>
      </c>
    </row>
    <row r="10" spans="1:18">
      <c r="A10" s="136">
        <v>6</v>
      </c>
      <c r="B10" s="144">
        <v>46148</v>
      </c>
      <c r="C10" s="145"/>
      <c r="D10" s="147"/>
      <c r="E10" s="137"/>
      <c r="F10" s="137"/>
      <c r="G10" s="137"/>
      <c r="H10" s="123">
        <v>7</v>
      </c>
      <c r="I10" s="123"/>
      <c r="J10" s="138"/>
      <c r="K10" s="123">
        <f t="shared" si="0"/>
        <v>0</v>
      </c>
      <c r="L10" s="123">
        <f t="shared" si="1"/>
        <v>0</v>
      </c>
      <c r="M10" s="123">
        <f t="shared" si="2"/>
        <v>0</v>
      </c>
      <c r="N10" s="123">
        <f t="shared" si="2"/>
        <v>0</v>
      </c>
      <c r="O10" s="123">
        <f t="shared" si="3"/>
        <v>151.20000000000002</v>
      </c>
      <c r="P10" s="123">
        <f t="shared" si="4"/>
        <v>0</v>
      </c>
      <c r="Q10" s="123">
        <f t="shared" si="5"/>
        <v>0</v>
      </c>
      <c r="R10" s="138">
        <f t="shared" si="6"/>
        <v>151.20000000000002</v>
      </c>
    </row>
    <row r="11" spans="1:18">
      <c r="A11" s="136">
        <v>7</v>
      </c>
      <c r="B11" s="144">
        <v>46149</v>
      </c>
      <c r="C11" s="145"/>
      <c r="D11" s="147"/>
      <c r="E11" s="137"/>
      <c r="F11" s="137"/>
      <c r="G11" s="137"/>
      <c r="H11" s="123">
        <v>7</v>
      </c>
      <c r="I11" s="123"/>
      <c r="J11" s="138"/>
      <c r="K11" s="123">
        <f t="shared" si="0"/>
        <v>0</v>
      </c>
      <c r="L11" s="123">
        <f t="shared" si="1"/>
        <v>0</v>
      </c>
      <c r="M11" s="123">
        <f t="shared" si="2"/>
        <v>0</v>
      </c>
      <c r="N11" s="123">
        <f t="shared" si="2"/>
        <v>0</v>
      </c>
      <c r="O11" s="123">
        <f t="shared" si="3"/>
        <v>151.20000000000002</v>
      </c>
      <c r="P11" s="123">
        <f t="shared" si="4"/>
        <v>0</v>
      </c>
      <c r="Q11" s="123">
        <f t="shared" si="5"/>
        <v>0</v>
      </c>
      <c r="R11" s="138">
        <f t="shared" si="6"/>
        <v>151.20000000000002</v>
      </c>
    </row>
    <row r="12" spans="1:18">
      <c r="A12" s="136">
        <v>8</v>
      </c>
      <c r="B12" s="144">
        <v>46150</v>
      </c>
      <c r="C12" s="145"/>
      <c r="D12" s="147"/>
      <c r="E12" s="137"/>
      <c r="F12" s="137"/>
      <c r="G12" s="137"/>
      <c r="H12" s="123">
        <v>7</v>
      </c>
      <c r="I12" s="123"/>
      <c r="J12" s="138"/>
      <c r="K12" s="123">
        <f t="shared" si="0"/>
        <v>0</v>
      </c>
      <c r="L12" s="123">
        <f t="shared" si="1"/>
        <v>0</v>
      </c>
      <c r="M12" s="123">
        <f t="shared" si="2"/>
        <v>0</v>
      </c>
      <c r="N12" s="123">
        <f t="shared" si="2"/>
        <v>0</v>
      </c>
      <c r="O12" s="123">
        <f t="shared" si="3"/>
        <v>151.20000000000002</v>
      </c>
      <c r="P12" s="123">
        <f t="shared" si="4"/>
        <v>0</v>
      </c>
      <c r="Q12" s="123">
        <f t="shared" si="5"/>
        <v>0</v>
      </c>
      <c r="R12" s="138">
        <f t="shared" si="6"/>
        <v>151.20000000000002</v>
      </c>
    </row>
    <row r="13" spans="1:18">
      <c r="A13" s="58">
        <v>9</v>
      </c>
      <c r="B13" s="144">
        <v>46151</v>
      </c>
      <c r="C13" s="145"/>
      <c r="D13" s="146"/>
      <c r="E13" s="124"/>
      <c r="F13" s="124"/>
      <c r="G13" s="124"/>
      <c r="H13" s="123">
        <v>7</v>
      </c>
      <c r="I13" s="123"/>
      <c r="J13" s="123"/>
      <c r="K13" s="123">
        <f t="shared" si="0"/>
        <v>0</v>
      </c>
      <c r="L13" s="123">
        <f t="shared" si="1"/>
        <v>0</v>
      </c>
      <c r="M13" s="123">
        <f t="shared" si="2"/>
        <v>0</v>
      </c>
      <c r="N13" s="123">
        <f t="shared" si="2"/>
        <v>0</v>
      </c>
      <c r="O13" s="123">
        <f t="shared" si="3"/>
        <v>151.20000000000002</v>
      </c>
      <c r="P13" s="123">
        <f t="shared" si="4"/>
        <v>0</v>
      </c>
      <c r="Q13" s="123">
        <f t="shared" si="5"/>
        <v>0</v>
      </c>
      <c r="R13" s="123">
        <f t="shared" si="6"/>
        <v>151.20000000000002</v>
      </c>
    </row>
    <row r="14" spans="1:18">
      <c r="A14" s="58">
        <v>10</v>
      </c>
      <c r="B14" s="144">
        <v>46152</v>
      </c>
      <c r="C14" s="145"/>
      <c r="D14" s="146"/>
      <c r="E14" s="124"/>
      <c r="F14" s="124"/>
      <c r="G14" s="124"/>
      <c r="H14" s="123">
        <v>7</v>
      </c>
      <c r="I14" s="123"/>
      <c r="J14" s="123"/>
      <c r="K14" s="123">
        <f t="shared" si="0"/>
        <v>0</v>
      </c>
      <c r="L14" s="123">
        <f t="shared" si="1"/>
        <v>0</v>
      </c>
      <c r="M14" s="123">
        <f t="shared" si="2"/>
        <v>0</v>
      </c>
      <c r="N14" s="123">
        <f t="shared" si="2"/>
        <v>0</v>
      </c>
      <c r="O14" s="123">
        <f t="shared" si="3"/>
        <v>151.20000000000002</v>
      </c>
      <c r="P14" s="123">
        <f t="shared" si="4"/>
        <v>0</v>
      </c>
      <c r="Q14" s="123">
        <f t="shared" si="5"/>
        <v>0</v>
      </c>
      <c r="R14" s="123">
        <f t="shared" si="6"/>
        <v>151.20000000000002</v>
      </c>
    </row>
    <row r="15" spans="1:18">
      <c r="A15" s="136">
        <v>11</v>
      </c>
      <c r="B15" s="144">
        <v>46153</v>
      </c>
      <c r="C15" s="145"/>
      <c r="D15" s="147"/>
      <c r="E15" s="137"/>
      <c r="F15" s="137"/>
      <c r="G15" s="124"/>
      <c r="H15" s="123">
        <v>7</v>
      </c>
      <c r="I15" s="123"/>
      <c r="J15" s="138"/>
      <c r="K15" s="123">
        <f t="shared" si="0"/>
        <v>0</v>
      </c>
      <c r="L15" s="123">
        <f t="shared" si="1"/>
        <v>0</v>
      </c>
      <c r="M15" s="123">
        <f t="shared" si="2"/>
        <v>0</v>
      </c>
      <c r="N15" s="123">
        <f t="shared" si="2"/>
        <v>0</v>
      </c>
      <c r="O15" s="123">
        <f t="shared" si="3"/>
        <v>151.20000000000002</v>
      </c>
      <c r="P15" s="123">
        <f t="shared" si="4"/>
        <v>0</v>
      </c>
      <c r="Q15" s="123">
        <f t="shared" si="5"/>
        <v>0</v>
      </c>
      <c r="R15" s="138">
        <f t="shared" si="6"/>
        <v>151.20000000000002</v>
      </c>
    </row>
    <row r="16" spans="1:18">
      <c r="A16" s="136">
        <v>12</v>
      </c>
      <c r="B16" s="144">
        <v>46154</v>
      </c>
      <c r="C16" s="145"/>
      <c r="D16" s="147"/>
      <c r="E16" s="137"/>
      <c r="F16" s="137"/>
      <c r="G16" s="124"/>
      <c r="H16" s="123">
        <v>7</v>
      </c>
      <c r="I16" s="123"/>
      <c r="J16" s="138"/>
      <c r="K16" s="123">
        <f t="shared" si="0"/>
        <v>0</v>
      </c>
      <c r="L16" s="123">
        <f t="shared" si="1"/>
        <v>0</v>
      </c>
      <c r="M16" s="123">
        <f t="shared" si="2"/>
        <v>0</v>
      </c>
      <c r="N16" s="123">
        <f t="shared" si="2"/>
        <v>0</v>
      </c>
      <c r="O16" s="123">
        <f t="shared" si="3"/>
        <v>151.20000000000002</v>
      </c>
      <c r="P16" s="123">
        <f t="shared" si="4"/>
        <v>0</v>
      </c>
      <c r="Q16" s="123">
        <f t="shared" si="5"/>
        <v>0</v>
      </c>
      <c r="R16" s="138">
        <f t="shared" si="6"/>
        <v>151.20000000000002</v>
      </c>
    </row>
    <row r="17" spans="1:18">
      <c r="A17" s="136">
        <v>13</v>
      </c>
      <c r="B17" s="144">
        <v>46155</v>
      </c>
      <c r="C17" s="145"/>
      <c r="D17" s="147"/>
      <c r="E17" s="137"/>
      <c r="F17" s="137"/>
      <c r="G17" s="124"/>
      <c r="H17" s="123">
        <v>7</v>
      </c>
      <c r="I17" s="123"/>
      <c r="J17" s="138"/>
      <c r="K17" s="123">
        <f t="shared" si="0"/>
        <v>0</v>
      </c>
      <c r="L17" s="123">
        <f t="shared" si="1"/>
        <v>0</v>
      </c>
      <c r="M17" s="123">
        <f t="shared" si="2"/>
        <v>0</v>
      </c>
      <c r="N17" s="123">
        <f t="shared" si="2"/>
        <v>0</v>
      </c>
      <c r="O17" s="123">
        <f t="shared" si="3"/>
        <v>151.20000000000002</v>
      </c>
      <c r="P17" s="123">
        <f t="shared" si="4"/>
        <v>0</v>
      </c>
      <c r="Q17" s="123">
        <f t="shared" si="5"/>
        <v>0</v>
      </c>
      <c r="R17" s="138">
        <f t="shared" si="6"/>
        <v>151.20000000000002</v>
      </c>
    </row>
    <row r="18" spans="1:18">
      <c r="A18" s="136">
        <v>14</v>
      </c>
      <c r="B18" s="144">
        <v>46156</v>
      </c>
      <c r="C18" s="145"/>
      <c r="D18" s="147"/>
      <c r="E18" s="137"/>
      <c r="F18" s="137"/>
      <c r="G18" s="124"/>
      <c r="H18" s="123">
        <v>7</v>
      </c>
      <c r="I18" s="123"/>
      <c r="J18" s="138"/>
      <c r="K18" s="123">
        <f t="shared" si="0"/>
        <v>0</v>
      </c>
      <c r="L18" s="123">
        <f t="shared" si="1"/>
        <v>0</v>
      </c>
      <c r="M18" s="123">
        <f t="shared" si="2"/>
        <v>0</v>
      </c>
      <c r="N18" s="123">
        <f t="shared" si="2"/>
        <v>0</v>
      </c>
      <c r="O18" s="123">
        <f t="shared" si="3"/>
        <v>151.20000000000002</v>
      </c>
      <c r="P18" s="123">
        <f t="shared" si="4"/>
        <v>0</v>
      </c>
      <c r="Q18" s="123">
        <f t="shared" si="5"/>
        <v>0</v>
      </c>
      <c r="R18" s="138">
        <f t="shared" si="6"/>
        <v>151.20000000000002</v>
      </c>
    </row>
    <row r="19" spans="1:18">
      <c r="A19" s="136">
        <v>15</v>
      </c>
      <c r="B19" s="144">
        <v>46157</v>
      </c>
      <c r="C19" s="145"/>
      <c r="D19" s="147"/>
      <c r="E19" s="137"/>
      <c r="F19" s="137"/>
      <c r="G19" s="124"/>
      <c r="H19" s="123">
        <v>7</v>
      </c>
      <c r="I19" s="123"/>
      <c r="J19" s="138"/>
      <c r="K19" s="123">
        <f t="shared" si="0"/>
        <v>0</v>
      </c>
      <c r="L19" s="123">
        <f t="shared" si="1"/>
        <v>0</v>
      </c>
      <c r="M19" s="123">
        <f t="shared" si="2"/>
        <v>0</v>
      </c>
      <c r="N19" s="123">
        <f t="shared" si="2"/>
        <v>0</v>
      </c>
      <c r="O19" s="123">
        <f t="shared" si="3"/>
        <v>151.20000000000002</v>
      </c>
      <c r="P19" s="123">
        <f t="shared" si="4"/>
        <v>0</v>
      </c>
      <c r="Q19" s="123">
        <f t="shared" si="5"/>
        <v>0</v>
      </c>
      <c r="R19" s="138">
        <f t="shared" si="6"/>
        <v>151.20000000000002</v>
      </c>
    </row>
    <row r="20" spans="1:18">
      <c r="A20" s="58">
        <v>16</v>
      </c>
      <c r="B20" s="144">
        <v>46158</v>
      </c>
      <c r="C20" s="145"/>
      <c r="D20" s="146"/>
      <c r="E20" s="124"/>
      <c r="F20" s="124"/>
      <c r="G20" s="137"/>
      <c r="H20" s="123">
        <v>7</v>
      </c>
      <c r="I20" s="123"/>
      <c r="J20" s="123"/>
      <c r="K20" s="123">
        <f t="shared" si="0"/>
        <v>0</v>
      </c>
      <c r="L20" s="123">
        <f t="shared" si="1"/>
        <v>0</v>
      </c>
      <c r="M20" s="123">
        <f t="shared" si="2"/>
        <v>0</v>
      </c>
      <c r="N20" s="123">
        <f t="shared" si="2"/>
        <v>0</v>
      </c>
      <c r="O20" s="123">
        <f t="shared" si="3"/>
        <v>151.20000000000002</v>
      </c>
      <c r="P20" s="123">
        <f t="shared" si="4"/>
        <v>0</v>
      </c>
      <c r="Q20" s="123">
        <f t="shared" si="5"/>
        <v>0</v>
      </c>
      <c r="R20" s="123">
        <f t="shared" si="6"/>
        <v>151.20000000000002</v>
      </c>
    </row>
    <row r="21" spans="1:18">
      <c r="A21" s="58">
        <v>17</v>
      </c>
      <c r="B21" s="144">
        <v>46159</v>
      </c>
      <c r="C21" s="145"/>
      <c r="D21" s="146"/>
      <c r="E21" s="124"/>
      <c r="F21" s="124"/>
      <c r="G21" s="137"/>
      <c r="H21" s="123">
        <v>7</v>
      </c>
      <c r="I21" s="123"/>
      <c r="J21" s="123"/>
      <c r="K21" s="123">
        <f t="shared" si="0"/>
        <v>0</v>
      </c>
      <c r="L21" s="123">
        <f t="shared" si="1"/>
        <v>0</v>
      </c>
      <c r="M21" s="123">
        <f t="shared" si="2"/>
        <v>0</v>
      </c>
      <c r="N21" s="123">
        <f t="shared" si="2"/>
        <v>0</v>
      </c>
      <c r="O21" s="123">
        <f t="shared" si="3"/>
        <v>151.20000000000002</v>
      </c>
      <c r="P21" s="123">
        <f t="shared" si="4"/>
        <v>0</v>
      </c>
      <c r="Q21" s="123">
        <f t="shared" si="5"/>
        <v>0</v>
      </c>
      <c r="R21" s="123">
        <f t="shared" si="6"/>
        <v>151.20000000000002</v>
      </c>
    </row>
    <row r="22" spans="1:18">
      <c r="A22" s="136">
        <v>18</v>
      </c>
      <c r="B22" s="144">
        <v>46160</v>
      </c>
      <c r="C22" s="145"/>
      <c r="D22" s="147"/>
      <c r="E22" s="137"/>
      <c r="F22" s="137"/>
      <c r="G22" s="137"/>
      <c r="H22" s="123">
        <v>7</v>
      </c>
      <c r="I22" s="138"/>
      <c r="J22" s="138"/>
      <c r="K22" s="123">
        <f t="shared" si="0"/>
        <v>0</v>
      </c>
      <c r="L22" s="123">
        <f t="shared" si="1"/>
        <v>0</v>
      </c>
      <c r="M22" s="123">
        <f t="shared" si="2"/>
        <v>0</v>
      </c>
      <c r="N22" s="123">
        <f t="shared" si="2"/>
        <v>0</v>
      </c>
      <c r="O22" s="123">
        <f t="shared" si="3"/>
        <v>151.20000000000002</v>
      </c>
      <c r="P22" s="123">
        <f t="shared" si="4"/>
        <v>0</v>
      </c>
      <c r="Q22" s="123">
        <f t="shared" si="5"/>
        <v>0</v>
      </c>
      <c r="R22" s="138">
        <f t="shared" si="6"/>
        <v>151.20000000000002</v>
      </c>
    </row>
    <row r="23" spans="1:18">
      <c r="A23" s="136">
        <v>19</v>
      </c>
      <c r="B23" s="144">
        <v>46161</v>
      </c>
      <c r="C23" s="145"/>
      <c r="D23" s="147"/>
      <c r="E23" s="137"/>
      <c r="F23" s="137"/>
      <c r="G23" s="137"/>
      <c r="H23" s="123">
        <v>7</v>
      </c>
      <c r="I23" s="138"/>
      <c r="J23" s="138"/>
      <c r="K23" s="123">
        <f t="shared" si="0"/>
        <v>0</v>
      </c>
      <c r="L23" s="123">
        <f t="shared" si="1"/>
        <v>0</v>
      </c>
      <c r="M23" s="123">
        <f t="shared" si="2"/>
        <v>0</v>
      </c>
      <c r="N23" s="123">
        <f t="shared" si="2"/>
        <v>0</v>
      </c>
      <c r="O23" s="123">
        <f t="shared" si="3"/>
        <v>151.20000000000002</v>
      </c>
      <c r="P23" s="123">
        <f t="shared" si="4"/>
        <v>0</v>
      </c>
      <c r="Q23" s="123">
        <f t="shared" si="5"/>
        <v>0</v>
      </c>
      <c r="R23" s="138">
        <f t="shared" si="6"/>
        <v>151.20000000000002</v>
      </c>
    </row>
    <row r="24" spans="1:18">
      <c r="A24" s="136">
        <v>20</v>
      </c>
      <c r="B24" s="144">
        <v>46162</v>
      </c>
      <c r="C24" s="145"/>
      <c r="D24" s="147"/>
      <c r="E24" s="137"/>
      <c r="F24" s="137"/>
      <c r="G24" s="137"/>
      <c r="H24" s="123">
        <v>7</v>
      </c>
      <c r="I24" s="138"/>
      <c r="J24" s="138"/>
      <c r="K24" s="123">
        <f t="shared" si="0"/>
        <v>0</v>
      </c>
      <c r="L24" s="123">
        <f t="shared" si="1"/>
        <v>0</v>
      </c>
      <c r="M24" s="123">
        <f t="shared" si="2"/>
        <v>0</v>
      </c>
      <c r="N24" s="123">
        <f t="shared" si="2"/>
        <v>0</v>
      </c>
      <c r="O24" s="123">
        <f t="shared" si="3"/>
        <v>151.20000000000002</v>
      </c>
      <c r="P24" s="123">
        <f t="shared" si="4"/>
        <v>0</v>
      </c>
      <c r="Q24" s="123">
        <f t="shared" si="5"/>
        <v>0</v>
      </c>
      <c r="R24" s="138">
        <f t="shared" si="6"/>
        <v>151.20000000000002</v>
      </c>
    </row>
    <row r="25" spans="1:18">
      <c r="A25" s="136">
        <v>21</v>
      </c>
      <c r="B25" s="144">
        <v>46163</v>
      </c>
      <c r="C25" s="145"/>
      <c r="D25" s="147"/>
      <c r="E25" s="137"/>
      <c r="F25" s="137"/>
      <c r="G25" s="137"/>
      <c r="H25" s="123">
        <v>7</v>
      </c>
      <c r="I25" s="138"/>
      <c r="J25" s="138"/>
      <c r="K25" s="123">
        <f t="shared" si="0"/>
        <v>0</v>
      </c>
      <c r="L25" s="123">
        <f t="shared" si="1"/>
        <v>0</v>
      </c>
      <c r="M25" s="123">
        <f t="shared" si="2"/>
        <v>0</v>
      </c>
      <c r="N25" s="123">
        <f t="shared" si="2"/>
        <v>0</v>
      </c>
      <c r="O25" s="123">
        <f t="shared" si="3"/>
        <v>151.20000000000002</v>
      </c>
      <c r="P25" s="123">
        <f t="shared" si="4"/>
        <v>0</v>
      </c>
      <c r="Q25" s="123">
        <f t="shared" si="5"/>
        <v>0</v>
      </c>
      <c r="R25" s="138">
        <f t="shared" si="6"/>
        <v>151.20000000000002</v>
      </c>
    </row>
    <row r="26" spans="1:18">
      <c r="A26" s="136">
        <v>22</v>
      </c>
      <c r="B26" s="144">
        <v>46164</v>
      </c>
      <c r="C26" s="145"/>
      <c r="D26" s="147"/>
      <c r="E26" s="137"/>
      <c r="F26" s="137"/>
      <c r="G26" s="137"/>
      <c r="H26" s="123">
        <v>7</v>
      </c>
      <c r="I26" s="123"/>
      <c r="J26" s="138"/>
      <c r="K26" s="123">
        <f t="shared" si="0"/>
        <v>0</v>
      </c>
      <c r="L26" s="123">
        <f t="shared" si="1"/>
        <v>0</v>
      </c>
      <c r="M26" s="123">
        <f t="shared" si="2"/>
        <v>0</v>
      </c>
      <c r="N26" s="123">
        <f t="shared" si="2"/>
        <v>0</v>
      </c>
      <c r="O26" s="123">
        <f t="shared" si="3"/>
        <v>151.20000000000002</v>
      </c>
      <c r="P26" s="123">
        <f t="shared" si="4"/>
        <v>0</v>
      </c>
      <c r="Q26" s="123">
        <f t="shared" si="5"/>
        <v>0</v>
      </c>
      <c r="R26" s="138">
        <f t="shared" si="6"/>
        <v>151.20000000000002</v>
      </c>
    </row>
    <row r="27" spans="1:18">
      <c r="A27" s="58">
        <v>23</v>
      </c>
      <c r="B27" s="144">
        <v>46165</v>
      </c>
      <c r="C27" s="145"/>
      <c r="D27" s="146"/>
      <c r="E27" s="124"/>
      <c r="F27" s="124"/>
      <c r="G27" s="124"/>
      <c r="H27" s="123">
        <v>7</v>
      </c>
      <c r="I27" s="123"/>
      <c r="J27" s="123"/>
      <c r="K27" s="123">
        <f t="shared" si="0"/>
        <v>0</v>
      </c>
      <c r="L27" s="123">
        <f t="shared" si="1"/>
        <v>0</v>
      </c>
      <c r="M27" s="123">
        <f t="shared" si="2"/>
        <v>0</v>
      </c>
      <c r="N27" s="123">
        <f t="shared" si="2"/>
        <v>0</v>
      </c>
      <c r="O27" s="123">
        <f t="shared" si="3"/>
        <v>151.20000000000002</v>
      </c>
      <c r="P27" s="123">
        <f t="shared" si="4"/>
        <v>0</v>
      </c>
      <c r="Q27" s="123">
        <f t="shared" si="5"/>
        <v>0</v>
      </c>
      <c r="R27" s="123">
        <f t="shared" si="6"/>
        <v>151.20000000000002</v>
      </c>
    </row>
    <row r="28" spans="1:18">
      <c r="A28" s="58">
        <v>24</v>
      </c>
      <c r="B28" s="144">
        <v>46166</v>
      </c>
      <c r="C28" s="145"/>
      <c r="D28" s="146"/>
      <c r="E28" s="124"/>
      <c r="F28" s="124"/>
      <c r="G28" s="124"/>
      <c r="H28" s="123">
        <v>7</v>
      </c>
      <c r="I28" s="123"/>
      <c r="J28" s="123"/>
      <c r="K28" s="123">
        <f t="shared" si="0"/>
        <v>0</v>
      </c>
      <c r="L28" s="123">
        <f t="shared" si="1"/>
        <v>0</v>
      </c>
      <c r="M28" s="123">
        <f t="shared" si="2"/>
        <v>0</v>
      </c>
      <c r="N28" s="123">
        <f t="shared" si="2"/>
        <v>0</v>
      </c>
      <c r="O28" s="123">
        <f t="shared" si="3"/>
        <v>151.20000000000002</v>
      </c>
      <c r="P28" s="123">
        <f t="shared" si="4"/>
        <v>0</v>
      </c>
      <c r="Q28" s="123">
        <f t="shared" si="5"/>
        <v>0</v>
      </c>
      <c r="R28" s="123">
        <f t="shared" si="6"/>
        <v>151.20000000000002</v>
      </c>
    </row>
    <row r="29" spans="1:18">
      <c r="A29" s="136">
        <v>25</v>
      </c>
      <c r="B29" s="144">
        <v>46167</v>
      </c>
      <c r="C29" s="145"/>
      <c r="D29" s="147"/>
      <c r="E29" s="137"/>
      <c r="F29" s="137"/>
      <c r="G29" s="137"/>
      <c r="H29" s="123">
        <v>7</v>
      </c>
      <c r="I29" s="123"/>
      <c r="J29" s="138"/>
      <c r="K29" s="123">
        <f t="shared" si="0"/>
        <v>0</v>
      </c>
      <c r="L29" s="123">
        <f t="shared" si="1"/>
        <v>0</v>
      </c>
      <c r="M29" s="123">
        <f>F29*1000</f>
        <v>0</v>
      </c>
      <c r="N29" s="123">
        <f t="shared" si="2"/>
        <v>0</v>
      </c>
      <c r="O29" s="123">
        <f t="shared" si="3"/>
        <v>151.20000000000002</v>
      </c>
      <c r="P29" s="123">
        <f t="shared" si="4"/>
        <v>0</v>
      </c>
      <c r="Q29" s="123">
        <f t="shared" si="5"/>
        <v>0</v>
      </c>
      <c r="R29" s="138">
        <f t="shared" si="6"/>
        <v>151.20000000000002</v>
      </c>
    </row>
    <row r="30" spans="1:18">
      <c r="A30" s="136">
        <v>26</v>
      </c>
      <c r="B30" s="144">
        <v>46168</v>
      </c>
      <c r="C30" s="145"/>
      <c r="D30" s="147"/>
      <c r="E30" s="137"/>
      <c r="F30" s="137"/>
      <c r="G30" s="137"/>
      <c r="H30" s="123">
        <v>7</v>
      </c>
      <c r="I30" s="123"/>
      <c r="J30" s="138"/>
      <c r="K30" s="123">
        <f>SUM(D30*168)</f>
        <v>0</v>
      </c>
      <c r="L30" s="123">
        <f t="shared" si="1"/>
        <v>0</v>
      </c>
      <c r="M30" s="123">
        <f t="shared" si="2"/>
        <v>0</v>
      </c>
      <c r="N30" s="123">
        <f t="shared" si="2"/>
        <v>0</v>
      </c>
      <c r="O30" s="123">
        <f t="shared" si="3"/>
        <v>151.20000000000002</v>
      </c>
      <c r="P30" s="123">
        <f t="shared" si="4"/>
        <v>0</v>
      </c>
      <c r="Q30" s="123">
        <f t="shared" si="5"/>
        <v>0</v>
      </c>
      <c r="R30" s="138">
        <f t="shared" si="6"/>
        <v>151.20000000000002</v>
      </c>
    </row>
    <row r="31" spans="1:18">
      <c r="A31" s="136">
        <v>27</v>
      </c>
      <c r="B31" s="144">
        <v>46169</v>
      </c>
      <c r="C31" s="145"/>
      <c r="D31" s="147"/>
      <c r="E31" s="137"/>
      <c r="F31" s="137"/>
      <c r="G31" s="137"/>
      <c r="H31" s="123">
        <v>7</v>
      </c>
      <c r="I31" s="123"/>
      <c r="J31" s="138"/>
      <c r="K31" s="123">
        <f t="shared" ref="K31:L35" si="7">SUM(D31*168)</f>
        <v>0</v>
      </c>
      <c r="L31" s="123">
        <f t="shared" si="1"/>
        <v>0</v>
      </c>
      <c r="M31" s="123">
        <f t="shared" si="2"/>
        <v>0</v>
      </c>
      <c r="N31" s="123">
        <f t="shared" si="2"/>
        <v>0</v>
      </c>
      <c r="O31" s="123">
        <f t="shared" si="3"/>
        <v>151.20000000000002</v>
      </c>
      <c r="P31" s="123">
        <f t="shared" si="4"/>
        <v>0</v>
      </c>
      <c r="Q31" s="123">
        <f t="shared" si="5"/>
        <v>0</v>
      </c>
      <c r="R31" s="138">
        <f t="shared" si="6"/>
        <v>151.20000000000002</v>
      </c>
    </row>
    <row r="32" spans="1:18">
      <c r="A32" s="136">
        <v>28</v>
      </c>
      <c r="B32" s="144">
        <v>46170</v>
      </c>
      <c r="C32" s="145"/>
      <c r="D32" s="147"/>
      <c r="E32" s="137"/>
      <c r="F32" s="137"/>
      <c r="G32" s="137"/>
      <c r="H32" s="123">
        <v>7</v>
      </c>
      <c r="I32" s="123"/>
      <c r="J32" s="138"/>
      <c r="K32" s="123">
        <f t="shared" si="7"/>
        <v>0</v>
      </c>
      <c r="L32" s="123">
        <f t="shared" si="1"/>
        <v>0</v>
      </c>
      <c r="M32" s="123">
        <f t="shared" si="2"/>
        <v>0</v>
      </c>
      <c r="N32" s="123">
        <f t="shared" si="2"/>
        <v>0</v>
      </c>
      <c r="O32" s="123">
        <f t="shared" si="3"/>
        <v>151.20000000000002</v>
      </c>
      <c r="P32" s="123">
        <f t="shared" si="4"/>
        <v>0</v>
      </c>
      <c r="Q32" s="123">
        <f t="shared" si="5"/>
        <v>0</v>
      </c>
      <c r="R32" s="138">
        <f t="shared" si="6"/>
        <v>151.20000000000002</v>
      </c>
    </row>
    <row r="33" spans="1:18">
      <c r="A33" s="136">
        <v>29</v>
      </c>
      <c r="B33" s="144">
        <v>46171</v>
      </c>
      <c r="C33" s="145"/>
      <c r="D33" s="147"/>
      <c r="E33" s="137">
        <v>1</v>
      </c>
      <c r="F33" s="137"/>
      <c r="G33" s="137"/>
      <c r="H33" s="123">
        <v>7</v>
      </c>
      <c r="I33" s="123"/>
      <c r="J33" s="138"/>
      <c r="K33" s="123">
        <f t="shared" si="7"/>
        <v>0</v>
      </c>
      <c r="L33" s="123">
        <f t="shared" si="1"/>
        <v>168</v>
      </c>
      <c r="M33" s="123">
        <f t="shared" si="2"/>
        <v>0</v>
      </c>
      <c r="N33" s="123">
        <f t="shared" si="2"/>
        <v>0</v>
      </c>
      <c r="O33" s="123">
        <f t="shared" si="3"/>
        <v>151.20000000000002</v>
      </c>
      <c r="P33" s="123">
        <f t="shared" si="4"/>
        <v>0</v>
      </c>
      <c r="Q33" s="123">
        <f t="shared" si="5"/>
        <v>0</v>
      </c>
      <c r="R33" s="138">
        <f t="shared" si="6"/>
        <v>319.20000000000005</v>
      </c>
    </row>
    <row r="34" spans="1:18">
      <c r="A34" s="136">
        <v>30</v>
      </c>
      <c r="B34" s="144">
        <v>46172</v>
      </c>
      <c r="C34" s="145"/>
      <c r="D34" s="147"/>
      <c r="E34" s="137"/>
      <c r="F34" s="137"/>
      <c r="G34" s="137"/>
      <c r="H34" s="123">
        <v>6</v>
      </c>
      <c r="I34" s="123"/>
      <c r="J34" s="138"/>
      <c r="K34" s="123">
        <f t="shared" si="7"/>
        <v>0</v>
      </c>
      <c r="L34" s="123">
        <f t="shared" si="1"/>
        <v>0</v>
      </c>
      <c r="M34" s="123">
        <f t="shared" si="2"/>
        <v>0</v>
      </c>
      <c r="N34" s="123">
        <f t="shared" si="2"/>
        <v>0</v>
      </c>
      <c r="O34" s="123">
        <f t="shared" si="3"/>
        <v>129.60000000000002</v>
      </c>
      <c r="P34" s="123">
        <f t="shared" si="4"/>
        <v>0</v>
      </c>
      <c r="Q34" s="123">
        <f t="shared" si="5"/>
        <v>0</v>
      </c>
      <c r="R34" s="138">
        <f t="shared" si="6"/>
        <v>129.60000000000002</v>
      </c>
    </row>
    <row r="35" spans="1:18" ht="15.75" thickBot="1">
      <c r="A35" s="136"/>
      <c r="B35" s="144">
        <v>46173</v>
      </c>
      <c r="C35" s="145"/>
      <c r="D35" s="147"/>
      <c r="E35" s="137"/>
      <c r="F35" s="137"/>
      <c r="G35" s="137"/>
      <c r="H35" s="123">
        <v>6</v>
      </c>
      <c r="I35" s="123"/>
      <c r="J35" s="138"/>
      <c r="K35" s="123">
        <f t="shared" si="7"/>
        <v>0</v>
      </c>
      <c r="L35" s="123">
        <f t="shared" si="7"/>
        <v>0</v>
      </c>
      <c r="M35" s="123">
        <f t="shared" ref="M35:N35" si="8">F35*1000</f>
        <v>0</v>
      </c>
      <c r="N35" s="123">
        <f t="shared" si="8"/>
        <v>0</v>
      </c>
      <c r="O35" s="123">
        <f t="shared" si="3"/>
        <v>129.60000000000002</v>
      </c>
      <c r="P35" s="123">
        <f t="shared" si="4"/>
        <v>0</v>
      </c>
      <c r="Q35" s="123">
        <f t="shared" si="5"/>
        <v>0</v>
      </c>
      <c r="R35" s="138">
        <f t="shared" si="6"/>
        <v>129.60000000000002</v>
      </c>
    </row>
    <row r="36" spans="1:18" ht="15.75" thickBot="1">
      <c r="D36" s="139">
        <f>SUM(D5:D35)</f>
        <v>0</v>
      </c>
      <c r="E36" s="140">
        <f>SUM(E5:E35)</f>
        <v>1</v>
      </c>
      <c r="F36" s="140">
        <f>SUM(F5:F35)</f>
        <v>0</v>
      </c>
      <c r="G36" s="140"/>
      <c r="H36" s="141">
        <f>SUM(H5:H35)</f>
        <v>215</v>
      </c>
      <c r="I36" s="142"/>
      <c r="J36" s="140"/>
      <c r="K36" s="140">
        <f>SUM(K5:K35)</f>
        <v>0</v>
      </c>
      <c r="L36" s="140">
        <f t="shared" ref="L36:Q36" si="9">SUM(L5:L35)</f>
        <v>168</v>
      </c>
      <c r="M36" s="140">
        <f t="shared" si="9"/>
        <v>0</v>
      </c>
      <c r="N36" s="140">
        <f t="shared" si="9"/>
        <v>0</v>
      </c>
      <c r="O36" s="140">
        <f t="shared" si="9"/>
        <v>4643.9999999999982</v>
      </c>
      <c r="P36" s="140">
        <f t="shared" si="9"/>
        <v>0</v>
      </c>
      <c r="Q36" s="140">
        <f t="shared" si="9"/>
        <v>0</v>
      </c>
      <c r="R36" s="143">
        <f>SUM(R5:R35)</f>
        <v>4811.9999999999982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0400-F8F4-4C7D-9CCA-EA0D1D449DE0}">
  <dimension ref="A1:S39"/>
  <sheetViews>
    <sheetView topLeftCell="A17" zoomScaleNormal="100" workbookViewId="0">
      <selection activeCell="K33" sqref="K33:K37"/>
    </sheetView>
  </sheetViews>
  <sheetFormatPr defaultRowHeight="15"/>
  <cols>
    <col min="1" max="1" width="12" style="47" bestFit="1" customWidth="1"/>
    <col min="2" max="11" width="9.140625" style="47"/>
    <col min="12" max="12" width="11.7109375" style="47" customWidth="1"/>
    <col min="13" max="13" width="9.140625" style="47"/>
    <col min="14" max="14" width="11.7109375" style="47" customWidth="1"/>
    <col min="15" max="16" width="9.140625" style="47"/>
    <col min="17" max="17" width="11.7109375" style="47" customWidth="1"/>
    <col min="18" max="18" width="11.28515625" style="47" customWidth="1"/>
    <col min="19" max="19" width="15" style="47" customWidth="1"/>
    <col min="20" max="16384" width="9.140625" style="47"/>
  </cols>
  <sheetData>
    <row r="1" spans="1:19">
      <c r="A1" s="148">
        <f>S39</f>
        <v>20640.000000000004</v>
      </c>
      <c r="C1" s="149"/>
      <c r="D1" s="149"/>
      <c r="E1" s="149"/>
      <c r="F1" s="149"/>
      <c r="G1" s="149"/>
      <c r="H1" s="160"/>
      <c r="I1" s="160"/>
      <c r="J1" s="149"/>
      <c r="K1" s="149"/>
      <c r="S1" s="148"/>
    </row>
    <row r="2" spans="1:19">
      <c r="C2" s="149"/>
      <c r="D2" s="149"/>
      <c r="E2" s="149"/>
      <c r="F2" s="149"/>
      <c r="G2" s="149"/>
      <c r="H2" s="160"/>
      <c r="I2" s="160"/>
      <c r="J2" s="149"/>
      <c r="K2" s="149"/>
      <c r="S2" s="148"/>
    </row>
    <row r="3" spans="1:19" ht="15.75" thickBot="1">
      <c r="C3" s="149"/>
      <c r="D3" s="149"/>
      <c r="E3" s="149"/>
      <c r="F3" s="149"/>
      <c r="G3" s="149"/>
      <c r="H3" s="160"/>
      <c r="I3" s="160"/>
      <c r="J3" s="149"/>
      <c r="K3" s="149"/>
      <c r="S3" s="148"/>
    </row>
    <row r="4" spans="1:19" ht="15.75" thickBot="1">
      <c r="A4" s="160" t="s">
        <v>108</v>
      </c>
      <c r="B4" s="150"/>
      <c r="C4" s="150"/>
      <c r="D4" s="150"/>
      <c r="E4" s="150"/>
      <c r="F4" s="150"/>
      <c r="G4" s="150"/>
      <c r="H4" s="161"/>
      <c r="I4" s="161"/>
      <c r="J4" s="149"/>
      <c r="K4" s="149"/>
      <c r="L4" s="162" t="s">
        <v>109</v>
      </c>
      <c r="M4" s="21"/>
      <c r="N4" s="21"/>
      <c r="O4" s="21"/>
      <c r="P4" s="21"/>
      <c r="Q4" s="21"/>
      <c r="R4" s="21"/>
      <c r="S4" s="22"/>
    </row>
    <row r="5" spans="1:19" ht="30">
      <c r="A5" s="23" t="s">
        <v>1</v>
      </c>
      <c r="B5" s="24"/>
      <c r="C5" s="25" t="s">
        <v>110</v>
      </c>
      <c r="D5" s="25" t="s">
        <v>111</v>
      </c>
      <c r="E5" s="25" t="s">
        <v>112</v>
      </c>
      <c r="F5" s="25" t="s">
        <v>113</v>
      </c>
      <c r="G5" s="25" t="s">
        <v>114</v>
      </c>
      <c r="H5" s="25"/>
      <c r="I5" s="25"/>
      <c r="J5" s="25" t="s">
        <v>115</v>
      </c>
      <c r="K5" s="26" t="s">
        <v>4</v>
      </c>
      <c r="L5" s="27" t="s">
        <v>116</v>
      </c>
      <c r="M5" s="25" t="s">
        <v>111</v>
      </c>
      <c r="N5" s="25" t="s">
        <v>112</v>
      </c>
      <c r="O5" s="25" t="s">
        <v>113</v>
      </c>
      <c r="P5" s="25" t="s">
        <v>117</v>
      </c>
      <c r="Q5" s="25" t="s">
        <v>8</v>
      </c>
      <c r="R5" s="25" t="s">
        <v>4</v>
      </c>
      <c r="S5" s="28" t="s">
        <v>18</v>
      </c>
    </row>
    <row r="6" spans="1:19" ht="15.75" thickBot="1">
      <c r="A6" s="29"/>
      <c r="B6" s="30"/>
      <c r="C6" s="31"/>
      <c r="D6" s="31"/>
      <c r="E6" s="31"/>
      <c r="F6" s="31"/>
      <c r="G6" s="31"/>
      <c r="H6" s="32"/>
      <c r="I6" s="32"/>
      <c r="J6" s="31"/>
      <c r="K6" s="33">
        <v>38</v>
      </c>
      <c r="L6" s="34"/>
      <c r="M6" s="31"/>
      <c r="N6" s="31"/>
      <c r="O6" s="31"/>
      <c r="P6" s="31"/>
      <c r="Q6" s="31"/>
      <c r="R6" s="31"/>
      <c r="S6" s="35"/>
    </row>
    <row r="7" spans="1:19">
      <c r="A7" s="163">
        <v>46143</v>
      </c>
      <c r="B7" s="36"/>
      <c r="C7" s="151"/>
      <c r="D7" s="151"/>
      <c r="E7" s="152"/>
      <c r="F7" s="152"/>
      <c r="G7" s="153"/>
      <c r="H7" s="153"/>
      <c r="I7" s="152"/>
      <c r="J7" s="152">
        <v>0</v>
      </c>
      <c r="K7" s="154">
        <v>30</v>
      </c>
      <c r="L7" s="37">
        <f t="shared" ref="L7:L37" si="0">C7*168</f>
        <v>0</v>
      </c>
      <c r="M7" s="37">
        <f t="shared" ref="M7:M37" si="1">D7*4</f>
        <v>0</v>
      </c>
      <c r="N7" s="37">
        <f t="shared" ref="N7:N37" si="2">E7*168</f>
        <v>0</v>
      </c>
      <c r="O7" s="37">
        <f t="shared" ref="O7:P37" si="3">F7*4</f>
        <v>0</v>
      </c>
      <c r="P7" s="37">
        <f t="shared" si="3"/>
        <v>0</v>
      </c>
      <c r="Q7" s="37">
        <f>J7*600</f>
        <v>0</v>
      </c>
      <c r="R7" s="37">
        <f>K7*21.6</f>
        <v>648</v>
      </c>
      <c r="S7" s="38">
        <f t="shared" ref="S7:S37" si="4">SUM(L7:R7)</f>
        <v>648</v>
      </c>
    </row>
    <row r="8" spans="1:19">
      <c r="A8" s="163">
        <v>46144</v>
      </c>
      <c r="B8" s="36"/>
      <c r="C8" s="154"/>
      <c r="D8" s="154"/>
      <c r="E8" s="124"/>
      <c r="F8" s="124"/>
      <c r="G8" s="155"/>
      <c r="H8" s="155"/>
      <c r="I8" s="124"/>
      <c r="J8" s="152">
        <v>0</v>
      </c>
      <c r="K8" s="154">
        <v>30</v>
      </c>
      <c r="L8" s="37">
        <f t="shared" si="0"/>
        <v>0</v>
      </c>
      <c r="M8" s="37">
        <f t="shared" si="1"/>
        <v>0</v>
      </c>
      <c r="N8" s="37">
        <f t="shared" si="2"/>
        <v>0</v>
      </c>
      <c r="O8" s="37">
        <f t="shared" si="3"/>
        <v>0</v>
      </c>
      <c r="P8" s="37">
        <f t="shared" si="3"/>
        <v>0</v>
      </c>
      <c r="Q8" s="37">
        <f t="shared" ref="Q8:Q37" si="5">J8*600</f>
        <v>0</v>
      </c>
      <c r="R8" s="37">
        <f t="shared" ref="R8:R37" si="6">K8*21.6</f>
        <v>648</v>
      </c>
      <c r="S8" s="39">
        <f t="shared" si="4"/>
        <v>648</v>
      </c>
    </row>
    <row r="9" spans="1:19">
      <c r="A9" s="163">
        <v>46145</v>
      </c>
      <c r="B9" s="36"/>
      <c r="C9" s="154"/>
      <c r="D9" s="154"/>
      <c r="E9" s="124"/>
      <c r="F9" s="124"/>
      <c r="G9" s="155"/>
      <c r="H9" s="155"/>
      <c r="I9" s="124"/>
      <c r="J9" s="152">
        <v>0</v>
      </c>
      <c r="K9" s="154">
        <v>30</v>
      </c>
      <c r="L9" s="37">
        <f t="shared" si="0"/>
        <v>0</v>
      </c>
      <c r="M9" s="37">
        <f t="shared" si="1"/>
        <v>0</v>
      </c>
      <c r="N9" s="37">
        <f t="shared" si="2"/>
        <v>0</v>
      </c>
      <c r="O9" s="37">
        <f t="shared" si="3"/>
        <v>0</v>
      </c>
      <c r="P9" s="37">
        <f t="shared" si="3"/>
        <v>0</v>
      </c>
      <c r="Q9" s="37">
        <f t="shared" si="5"/>
        <v>0</v>
      </c>
      <c r="R9" s="37">
        <f t="shared" si="6"/>
        <v>648</v>
      </c>
      <c r="S9" s="39">
        <f t="shared" si="4"/>
        <v>648</v>
      </c>
    </row>
    <row r="10" spans="1:19">
      <c r="A10" s="163">
        <v>46146</v>
      </c>
      <c r="B10" s="36"/>
      <c r="C10" s="154"/>
      <c r="D10" s="154"/>
      <c r="E10" s="124"/>
      <c r="F10" s="124"/>
      <c r="G10" s="155"/>
      <c r="H10" s="155"/>
      <c r="I10" s="124"/>
      <c r="J10" s="152">
        <v>0</v>
      </c>
      <c r="K10" s="154">
        <v>30</v>
      </c>
      <c r="L10" s="37">
        <f t="shared" si="0"/>
        <v>0</v>
      </c>
      <c r="M10" s="37">
        <f t="shared" si="1"/>
        <v>0</v>
      </c>
      <c r="N10" s="37">
        <f t="shared" si="2"/>
        <v>0</v>
      </c>
      <c r="O10" s="37">
        <f t="shared" si="3"/>
        <v>0</v>
      </c>
      <c r="P10" s="37">
        <f t="shared" si="3"/>
        <v>0</v>
      </c>
      <c r="Q10" s="37">
        <f t="shared" si="5"/>
        <v>0</v>
      </c>
      <c r="R10" s="37">
        <f t="shared" si="6"/>
        <v>648</v>
      </c>
      <c r="S10" s="39">
        <f t="shared" si="4"/>
        <v>648</v>
      </c>
    </row>
    <row r="11" spans="1:19">
      <c r="A11" s="163">
        <v>46147</v>
      </c>
      <c r="B11" s="36"/>
      <c r="C11" s="154"/>
      <c r="D11" s="154"/>
      <c r="E11" s="124"/>
      <c r="F11" s="124"/>
      <c r="G11" s="155"/>
      <c r="H11" s="155"/>
      <c r="I11" s="124"/>
      <c r="J11" s="152">
        <v>0</v>
      </c>
      <c r="K11" s="154">
        <v>30</v>
      </c>
      <c r="L11" s="37">
        <f t="shared" si="0"/>
        <v>0</v>
      </c>
      <c r="M11" s="37">
        <f t="shared" si="1"/>
        <v>0</v>
      </c>
      <c r="N11" s="37">
        <f t="shared" si="2"/>
        <v>0</v>
      </c>
      <c r="O11" s="37">
        <f t="shared" si="3"/>
        <v>0</v>
      </c>
      <c r="P11" s="37">
        <f t="shared" si="3"/>
        <v>0</v>
      </c>
      <c r="Q11" s="37">
        <f t="shared" si="5"/>
        <v>0</v>
      </c>
      <c r="R11" s="37">
        <f t="shared" si="6"/>
        <v>648</v>
      </c>
      <c r="S11" s="39">
        <f t="shared" si="4"/>
        <v>648</v>
      </c>
    </row>
    <row r="12" spans="1:19">
      <c r="A12" s="163">
        <v>46148</v>
      </c>
      <c r="B12" s="36"/>
      <c r="C12" s="154"/>
      <c r="D12" s="154"/>
      <c r="E12" s="124"/>
      <c r="F12" s="124"/>
      <c r="G12" s="155"/>
      <c r="H12" s="155"/>
      <c r="I12" s="124"/>
      <c r="J12" s="152">
        <v>0</v>
      </c>
      <c r="K12" s="154">
        <v>30</v>
      </c>
      <c r="L12" s="37">
        <f t="shared" si="0"/>
        <v>0</v>
      </c>
      <c r="M12" s="37">
        <f t="shared" si="1"/>
        <v>0</v>
      </c>
      <c r="N12" s="37">
        <f t="shared" si="2"/>
        <v>0</v>
      </c>
      <c r="O12" s="37">
        <f t="shared" si="3"/>
        <v>0</v>
      </c>
      <c r="P12" s="37">
        <f t="shared" si="3"/>
        <v>0</v>
      </c>
      <c r="Q12" s="37">
        <f t="shared" si="5"/>
        <v>0</v>
      </c>
      <c r="R12" s="37">
        <f t="shared" si="6"/>
        <v>648</v>
      </c>
      <c r="S12" s="39">
        <f t="shared" si="4"/>
        <v>648</v>
      </c>
    </row>
    <row r="13" spans="1:19">
      <c r="A13" s="163">
        <v>46149</v>
      </c>
      <c r="B13" s="36"/>
      <c r="C13" s="154"/>
      <c r="D13" s="154"/>
      <c r="E13" s="124"/>
      <c r="F13" s="124"/>
      <c r="G13" s="155"/>
      <c r="H13" s="155"/>
      <c r="I13" s="124"/>
      <c r="J13" s="152">
        <v>0</v>
      </c>
      <c r="K13" s="154">
        <v>30</v>
      </c>
      <c r="L13" s="37">
        <f t="shared" si="0"/>
        <v>0</v>
      </c>
      <c r="M13" s="37">
        <f t="shared" si="1"/>
        <v>0</v>
      </c>
      <c r="N13" s="37">
        <f t="shared" si="2"/>
        <v>0</v>
      </c>
      <c r="O13" s="37">
        <f t="shared" si="3"/>
        <v>0</v>
      </c>
      <c r="P13" s="37">
        <f t="shared" si="3"/>
        <v>0</v>
      </c>
      <c r="Q13" s="37">
        <f t="shared" si="5"/>
        <v>0</v>
      </c>
      <c r="R13" s="37">
        <f t="shared" si="6"/>
        <v>648</v>
      </c>
      <c r="S13" s="39">
        <f t="shared" si="4"/>
        <v>648</v>
      </c>
    </row>
    <row r="14" spans="1:19">
      <c r="A14" s="163">
        <v>46150</v>
      </c>
      <c r="B14" s="36"/>
      <c r="C14" s="154"/>
      <c r="D14" s="154"/>
      <c r="E14" s="124"/>
      <c r="F14" s="124"/>
      <c r="G14" s="155"/>
      <c r="H14" s="155"/>
      <c r="I14" s="124"/>
      <c r="J14" s="152">
        <v>0</v>
      </c>
      <c r="K14" s="154">
        <v>30</v>
      </c>
      <c r="L14" s="37">
        <f t="shared" si="0"/>
        <v>0</v>
      </c>
      <c r="M14" s="37">
        <f t="shared" si="1"/>
        <v>0</v>
      </c>
      <c r="N14" s="37">
        <f t="shared" si="2"/>
        <v>0</v>
      </c>
      <c r="O14" s="37">
        <f t="shared" si="3"/>
        <v>0</v>
      </c>
      <c r="P14" s="37">
        <f t="shared" si="3"/>
        <v>0</v>
      </c>
      <c r="Q14" s="37">
        <f t="shared" si="5"/>
        <v>0</v>
      </c>
      <c r="R14" s="37">
        <f t="shared" si="6"/>
        <v>648</v>
      </c>
      <c r="S14" s="39">
        <f t="shared" si="4"/>
        <v>648</v>
      </c>
    </row>
    <row r="15" spans="1:19">
      <c r="A15" s="163">
        <v>46151</v>
      </c>
      <c r="B15" s="36"/>
      <c r="C15" s="154"/>
      <c r="D15" s="154"/>
      <c r="E15" s="124"/>
      <c r="F15" s="124"/>
      <c r="G15" s="155"/>
      <c r="H15" s="155"/>
      <c r="I15" s="124"/>
      <c r="J15" s="152">
        <v>0</v>
      </c>
      <c r="K15" s="154">
        <v>30</v>
      </c>
      <c r="L15" s="37">
        <f t="shared" si="0"/>
        <v>0</v>
      </c>
      <c r="M15" s="37">
        <f t="shared" si="1"/>
        <v>0</v>
      </c>
      <c r="N15" s="37">
        <f t="shared" si="2"/>
        <v>0</v>
      </c>
      <c r="O15" s="37">
        <f t="shared" si="3"/>
        <v>0</v>
      </c>
      <c r="P15" s="37">
        <f t="shared" si="3"/>
        <v>0</v>
      </c>
      <c r="Q15" s="37">
        <f t="shared" si="5"/>
        <v>0</v>
      </c>
      <c r="R15" s="37">
        <f t="shared" si="6"/>
        <v>648</v>
      </c>
      <c r="S15" s="39">
        <f t="shared" si="4"/>
        <v>648</v>
      </c>
    </row>
    <row r="16" spans="1:19">
      <c r="A16" s="163">
        <v>46152</v>
      </c>
      <c r="B16" s="36"/>
      <c r="C16" s="154"/>
      <c r="D16" s="154"/>
      <c r="E16" s="124"/>
      <c r="F16" s="124"/>
      <c r="G16" s="155"/>
      <c r="H16" s="155"/>
      <c r="I16" s="124"/>
      <c r="J16" s="152">
        <v>0</v>
      </c>
      <c r="K16" s="154">
        <v>30</v>
      </c>
      <c r="L16" s="37">
        <f t="shared" si="0"/>
        <v>0</v>
      </c>
      <c r="M16" s="37">
        <f t="shared" si="1"/>
        <v>0</v>
      </c>
      <c r="N16" s="37">
        <f t="shared" si="2"/>
        <v>0</v>
      </c>
      <c r="O16" s="37">
        <f t="shared" si="3"/>
        <v>0</v>
      </c>
      <c r="P16" s="37">
        <f t="shared" si="3"/>
        <v>0</v>
      </c>
      <c r="Q16" s="37">
        <f t="shared" si="5"/>
        <v>0</v>
      </c>
      <c r="R16" s="37">
        <f t="shared" si="6"/>
        <v>648</v>
      </c>
      <c r="S16" s="39">
        <f t="shared" si="4"/>
        <v>648</v>
      </c>
    </row>
    <row r="17" spans="1:19">
      <c r="A17" s="163">
        <v>46153</v>
      </c>
      <c r="B17" s="36"/>
      <c r="C17" s="154"/>
      <c r="D17" s="154"/>
      <c r="E17" s="124"/>
      <c r="F17" s="124"/>
      <c r="G17" s="155"/>
      <c r="H17" s="155"/>
      <c r="I17" s="124"/>
      <c r="J17" s="152">
        <v>0</v>
      </c>
      <c r="K17" s="154">
        <v>30</v>
      </c>
      <c r="L17" s="37">
        <f t="shared" si="0"/>
        <v>0</v>
      </c>
      <c r="M17" s="37">
        <f t="shared" si="1"/>
        <v>0</v>
      </c>
      <c r="N17" s="37">
        <f t="shared" si="2"/>
        <v>0</v>
      </c>
      <c r="O17" s="37">
        <f t="shared" si="3"/>
        <v>0</v>
      </c>
      <c r="P17" s="37">
        <f t="shared" si="3"/>
        <v>0</v>
      </c>
      <c r="Q17" s="37">
        <f t="shared" si="5"/>
        <v>0</v>
      </c>
      <c r="R17" s="37">
        <f t="shared" si="6"/>
        <v>648</v>
      </c>
      <c r="S17" s="39">
        <f t="shared" si="4"/>
        <v>648</v>
      </c>
    </row>
    <row r="18" spans="1:19">
      <c r="A18" s="163">
        <v>46154</v>
      </c>
      <c r="B18" s="36"/>
      <c r="C18" s="156"/>
      <c r="D18" s="156"/>
      <c r="E18" s="157"/>
      <c r="F18" s="157"/>
      <c r="G18" s="158"/>
      <c r="H18" s="158"/>
      <c r="I18" s="157"/>
      <c r="J18" s="152">
        <v>0</v>
      </c>
      <c r="K18" s="154">
        <v>30</v>
      </c>
      <c r="L18" s="37">
        <f t="shared" si="0"/>
        <v>0</v>
      </c>
      <c r="M18" s="37">
        <f t="shared" si="1"/>
        <v>0</v>
      </c>
      <c r="N18" s="37">
        <f t="shared" si="2"/>
        <v>0</v>
      </c>
      <c r="O18" s="37">
        <f t="shared" si="3"/>
        <v>0</v>
      </c>
      <c r="P18" s="37">
        <f t="shared" si="3"/>
        <v>0</v>
      </c>
      <c r="Q18" s="37">
        <f t="shared" si="5"/>
        <v>0</v>
      </c>
      <c r="R18" s="37">
        <f t="shared" si="6"/>
        <v>648</v>
      </c>
      <c r="S18" s="39">
        <f t="shared" si="4"/>
        <v>648</v>
      </c>
    </row>
    <row r="19" spans="1:19">
      <c r="A19" s="163">
        <v>46155</v>
      </c>
      <c r="B19" s="36"/>
      <c r="C19" s="154"/>
      <c r="D19" s="154"/>
      <c r="E19" s="124"/>
      <c r="F19" s="124"/>
      <c r="G19" s="155"/>
      <c r="H19" s="155"/>
      <c r="I19" s="124"/>
      <c r="J19" s="152">
        <v>0</v>
      </c>
      <c r="K19" s="154">
        <v>30</v>
      </c>
      <c r="L19" s="37">
        <f t="shared" si="0"/>
        <v>0</v>
      </c>
      <c r="M19" s="37">
        <f t="shared" si="1"/>
        <v>0</v>
      </c>
      <c r="N19" s="37">
        <f t="shared" si="2"/>
        <v>0</v>
      </c>
      <c r="O19" s="37">
        <f t="shared" si="3"/>
        <v>0</v>
      </c>
      <c r="P19" s="37">
        <f t="shared" si="3"/>
        <v>0</v>
      </c>
      <c r="Q19" s="37">
        <f t="shared" si="5"/>
        <v>0</v>
      </c>
      <c r="R19" s="37">
        <f t="shared" si="6"/>
        <v>648</v>
      </c>
      <c r="S19" s="39">
        <f t="shared" si="4"/>
        <v>648</v>
      </c>
    </row>
    <row r="20" spans="1:19">
      <c r="A20" s="163">
        <v>46156</v>
      </c>
      <c r="B20" s="36"/>
      <c r="C20" s="154"/>
      <c r="D20" s="154"/>
      <c r="E20" s="124"/>
      <c r="F20" s="124"/>
      <c r="G20" s="155"/>
      <c r="H20" s="155"/>
      <c r="I20" s="124"/>
      <c r="J20" s="152">
        <v>0</v>
      </c>
      <c r="K20" s="154">
        <v>30</v>
      </c>
      <c r="L20" s="37">
        <f t="shared" si="0"/>
        <v>0</v>
      </c>
      <c r="M20" s="37">
        <f t="shared" si="1"/>
        <v>0</v>
      </c>
      <c r="N20" s="37">
        <f t="shared" si="2"/>
        <v>0</v>
      </c>
      <c r="O20" s="37">
        <f t="shared" si="3"/>
        <v>0</v>
      </c>
      <c r="P20" s="37">
        <f t="shared" si="3"/>
        <v>0</v>
      </c>
      <c r="Q20" s="37">
        <f t="shared" si="5"/>
        <v>0</v>
      </c>
      <c r="R20" s="37">
        <f t="shared" si="6"/>
        <v>648</v>
      </c>
      <c r="S20" s="39">
        <f t="shared" si="4"/>
        <v>648</v>
      </c>
    </row>
    <row r="21" spans="1:19">
      <c r="A21" s="163">
        <v>46157</v>
      </c>
      <c r="B21" s="36"/>
      <c r="C21" s="154"/>
      <c r="D21" s="154"/>
      <c r="E21" s="124"/>
      <c r="F21" s="124"/>
      <c r="G21" s="155"/>
      <c r="H21" s="155"/>
      <c r="I21" s="124"/>
      <c r="J21" s="152">
        <v>0</v>
      </c>
      <c r="K21" s="154">
        <v>30</v>
      </c>
      <c r="L21" s="37">
        <f t="shared" si="0"/>
        <v>0</v>
      </c>
      <c r="M21" s="37">
        <f t="shared" si="1"/>
        <v>0</v>
      </c>
      <c r="N21" s="37">
        <f t="shared" si="2"/>
        <v>0</v>
      </c>
      <c r="O21" s="37">
        <f t="shared" si="3"/>
        <v>0</v>
      </c>
      <c r="P21" s="37">
        <f t="shared" si="3"/>
        <v>0</v>
      </c>
      <c r="Q21" s="37">
        <f t="shared" si="5"/>
        <v>0</v>
      </c>
      <c r="R21" s="37">
        <f t="shared" si="6"/>
        <v>648</v>
      </c>
      <c r="S21" s="39">
        <f t="shared" si="4"/>
        <v>648</v>
      </c>
    </row>
    <row r="22" spans="1:19">
      <c r="A22" s="163">
        <v>46158</v>
      </c>
      <c r="B22" s="36"/>
      <c r="C22" s="154"/>
      <c r="D22" s="154"/>
      <c r="E22" s="124"/>
      <c r="F22" s="124"/>
      <c r="G22" s="155"/>
      <c r="H22" s="155"/>
      <c r="I22" s="124"/>
      <c r="J22" s="152">
        <v>0</v>
      </c>
      <c r="K22" s="154">
        <v>30</v>
      </c>
      <c r="L22" s="37">
        <f t="shared" si="0"/>
        <v>0</v>
      </c>
      <c r="M22" s="37">
        <f t="shared" si="1"/>
        <v>0</v>
      </c>
      <c r="N22" s="37">
        <f t="shared" si="2"/>
        <v>0</v>
      </c>
      <c r="O22" s="37">
        <f t="shared" si="3"/>
        <v>0</v>
      </c>
      <c r="P22" s="37">
        <f t="shared" si="3"/>
        <v>0</v>
      </c>
      <c r="Q22" s="37">
        <f t="shared" si="5"/>
        <v>0</v>
      </c>
      <c r="R22" s="37">
        <f t="shared" si="6"/>
        <v>648</v>
      </c>
      <c r="S22" s="39">
        <f t="shared" si="4"/>
        <v>648</v>
      </c>
    </row>
    <row r="23" spans="1:19">
      <c r="A23" s="163">
        <v>46159</v>
      </c>
      <c r="B23" s="36"/>
      <c r="C23" s="154"/>
      <c r="D23" s="154"/>
      <c r="E23" s="124"/>
      <c r="F23" s="124"/>
      <c r="G23" s="155"/>
      <c r="H23" s="155"/>
      <c r="I23" s="124"/>
      <c r="J23" s="152">
        <v>0</v>
      </c>
      <c r="K23" s="154">
        <v>30</v>
      </c>
      <c r="L23" s="37">
        <f t="shared" si="0"/>
        <v>0</v>
      </c>
      <c r="M23" s="37">
        <f t="shared" si="1"/>
        <v>0</v>
      </c>
      <c r="N23" s="37">
        <f t="shared" si="2"/>
        <v>0</v>
      </c>
      <c r="O23" s="37">
        <f t="shared" si="3"/>
        <v>0</v>
      </c>
      <c r="P23" s="37">
        <f t="shared" si="3"/>
        <v>0</v>
      </c>
      <c r="Q23" s="37">
        <f t="shared" si="5"/>
        <v>0</v>
      </c>
      <c r="R23" s="37">
        <f t="shared" si="6"/>
        <v>648</v>
      </c>
      <c r="S23" s="39">
        <f t="shared" si="4"/>
        <v>648</v>
      </c>
    </row>
    <row r="24" spans="1:19">
      <c r="A24" s="163">
        <v>46160</v>
      </c>
      <c r="B24" s="36"/>
      <c r="C24" s="154"/>
      <c r="D24" s="154"/>
      <c r="E24" s="124"/>
      <c r="F24" s="124"/>
      <c r="G24" s="155"/>
      <c r="H24" s="155"/>
      <c r="I24" s="124"/>
      <c r="J24" s="152">
        <v>0</v>
      </c>
      <c r="K24" s="154">
        <v>30</v>
      </c>
      <c r="L24" s="37">
        <f t="shared" si="0"/>
        <v>0</v>
      </c>
      <c r="M24" s="37">
        <f t="shared" si="1"/>
        <v>0</v>
      </c>
      <c r="N24" s="37">
        <f t="shared" si="2"/>
        <v>0</v>
      </c>
      <c r="O24" s="37">
        <f t="shared" si="3"/>
        <v>0</v>
      </c>
      <c r="P24" s="37">
        <f t="shared" si="3"/>
        <v>0</v>
      </c>
      <c r="Q24" s="37">
        <f t="shared" si="5"/>
        <v>0</v>
      </c>
      <c r="R24" s="37">
        <f t="shared" si="6"/>
        <v>648</v>
      </c>
      <c r="S24" s="39">
        <f t="shared" si="4"/>
        <v>648</v>
      </c>
    </row>
    <row r="25" spans="1:19">
      <c r="A25" s="163">
        <v>46161</v>
      </c>
      <c r="B25" s="36"/>
      <c r="C25" s="154"/>
      <c r="D25" s="154"/>
      <c r="E25" s="124"/>
      <c r="F25" s="124"/>
      <c r="G25" s="155"/>
      <c r="H25" s="155"/>
      <c r="I25" s="124"/>
      <c r="J25" s="152">
        <v>0</v>
      </c>
      <c r="K25" s="154">
        <v>30</v>
      </c>
      <c r="L25" s="37">
        <f t="shared" si="0"/>
        <v>0</v>
      </c>
      <c r="M25" s="37">
        <f t="shared" si="1"/>
        <v>0</v>
      </c>
      <c r="N25" s="37">
        <f t="shared" si="2"/>
        <v>0</v>
      </c>
      <c r="O25" s="37">
        <f t="shared" si="3"/>
        <v>0</v>
      </c>
      <c r="P25" s="37">
        <f t="shared" si="3"/>
        <v>0</v>
      </c>
      <c r="Q25" s="37">
        <f t="shared" si="5"/>
        <v>0</v>
      </c>
      <c r="R25" s="37">
        <f t="shared" si="6"/>
        <v>648</v>
      </c>
      <c r="S25" s="39">
        <f t="shared" si="4"/>
        <v>648</v>
      </c>
    </row>
    <row r="26" spans="1:19">
      <c r="A26" s="163">
        <v>46162</v>
      </c>
      <c r="B26" s="36"/>
      <c r="C26" s="154"/>
      <c r="D26" s="154"/>
      <c r="E26" s="124"/>
      <c r="F26" s="124"/>
      <c r="G26" s="155"/>
      <c r="H26" s="155"/>
      <c r="I26" s="124"/>
      <c r="J26" s="152">
        <v>0</v>
      </c>
      <c r="K26" s="154">
        <v>30</v>
      </c>
      <c r="L26" s="37">
        <f t="shared" si="0"/>
        <v>0</v>
      </c>
      <c r="M26" s="37">
        <f t="shared" si="1"/>
        <v>0</v>
      </c>
      <c r="N26" s="37">
        <f t="shared" si="2"/>
        <v>0</v>
      </c>
      <c r="O26" s="37">
        <f t="shared" si="3"/>
        <v>0</v>
      </c>
      <c r="P26" s="37">
        <f t="shared" si="3"/>
        <v>0</v>
      </c>
      <c r="Q26" s="37">
        <f t="shared" si="5"/>
        <v>0</v>
      </c>
      <c r="R26" s="37">
        <f t="shared" si="6"/>
        <v>648</v>
      </c>
      <c r="S26" s="39">
        <f t="shared" si="4"/>
        <v>648</v>
      </c>
    </row>
    <row r="27" spans="1:19">
      <c r="A27" s="163">
        <v>46163</v>
      </c>
      <c r="B27" s="36"/>
      <c r="C27" s="154"/>
      <c r="D27" s="154"/>
      <c r="E27" s="124"/>
      <c r="F27" s="124"/>
      <c r="G27" s="155"/>
      <c r="H27" s="155"/>
      <c r="I27" s="124"/>
      <c r="J27" s="152">
        <v>0</v>
      </c>
      <c r="K27" s="154">
        <v>30</v>
      </c>
      <c r="L27" s="37">
        <f t="shared" si="0"/>
        <v>0</v>
      </c>
      <c r="M27" s="37">
        <f t="shared" si="1"/>
        <v>0</v>
      </c>
      <c r="N27" s="37">
        <f t="shared" si="2"/>
        <v>0</v>
      </c>
      <c r="O27" s="37">
        <f t="shared" si="3"/>
        <v>0</v>
      </c>
      <c r="P27" s="37">
        <f t="shared" si="3"/>
        <v>0</v>
      </c>
      <c r="Q27" s="37">
        <f t="shared" si="5"/>
        <v>0</v>
      </c>
      <c r="R27" s="37">
        <f t="shared" si="6"/>
        <v>648</v>
      </c>
      <c r="S27" s="39">
        <f t="shared" si="4"/>
        <v>648</v>
      </c>
    </row>
    <row r="28" spans="1:19">
      <c r="A28" s="163">
        <v>46164</v>
      </c>
      <c r="B28" s="36"/>
      <c r="C28" s="154"/>
      <c r="D28" s="154"/>
      <c r="E28" s="124"/>
      <c r="F28" s="124"/>
      <c r="G28" s="155"/>
      <c r="H28" s="155"/>
      <c r="I28" s="124"/>
      <c r="J28" s="152">
        <v>0</v>
      </c>
      <c r="K28" s="154">
        <v>30</v>
      </c>
      <c r="L28" s="37">
        <f t="shared" si="0"/>
        <v>0</v>
      </c>
      <c r="M28" s="37">
        <f t="shared" si="1"/>
        <v>0</v>
      </c>
      <c r="N28" s="37">
        <f t="shared" si="2"/>
        <v>0</v>
      </c>
      <c r="O28" s="37">
        <f t="shared" si="3"/>
        <v>0</v>
      </c>
      <c r="P28" s="37">
        <f t="shared" si="3"/>
        <v>0</v>
      </c>
      <c r="Q28" s="37">
        <f t="shared" si="5"/>
        <v>0</v>
      </c>
      <c r="R28" s="37">
        <f t="shared" si="6"/>
        <v>648</v>
      </c>
      <c r="S28" s="39">
        <f t="shared" si="4"/>
        <v>648</v>
      </c>
    </row>
    <row r="29" spans="1:19">
      <c r="A29" s="163">
        <v>46165</v>
      </c>
      <c r="B29" s="36"/>
      <c r="C29" s="58"/>
      <c r="D29" s="58"/>
      <c r="E29" s="58"/>
      <c r="F29" s="58"/>
      <c r="G29" s="58"/>
      <c r="H29" s="58"/>
      <c r="I29" s="58"/>
      <c r="J29" s="152">
        <v>0</v>
      </c>
      <c r="K29" s="154">
        <v>30</v>
      </c>
      <c r="L29" s="37">
        <f t="shared" si="0"/>
        <v>0</v>
      </c>
      <c r="M29" s="37">
        <f t="shared" si="1"/>
        <v>0</v>
      </c>
      <c r="N29" s="37">
        <f t="shared" si="2"/>
        <v>0</v>
      </c>
      <c r="O29" s="37">
        <f t="shared" si="3"/>
        <v>0</v>
      </c>
      <c r="P29" s="37">
        <f t="shared" si="3"/>
        <v>0</v>
      </c>
      <c r="Q29" s="37">
        <f t="shared" si="5"/>
        <v>0</v>
      </c>
      <c r="R29" s="37">
        <f t="shared" si="6"/>
        <v>648</v>
      </c>
      <c r="S29" s="39">
        <f t="shared" si="4"/>
        <v>648</v>
      </c>
    </row>
    <row r="30" spans="1:19">
      <c r="A30" s="163">
        <v>46166</v>
      </c>
      <c r="B30" s="36"/>
      <c r="C30" s="154"/>
      <c r="D30" s="154"/>
      <c r="E30" s="124"/>
      <c r="F30" s="124"/>
      <c r="G30" s="155"/>
      <c r="H30" s="155"/>
      <c r="I30" s="124"/>
      <c r="J30" s="152">
        <v>0</v>
      </c>
      <c r="K30" s="154">
        <v>30</v>
      </c>
      <c r="L30" s="37">
        <f t="shared" si="0"/>
        <v>0</v>
      </c>
      <c r="M30" s="37">
        <f t="shared" si="1"/>
        <v>0</v>
      </c>
      <c r="N30" s="37">
        <f t="shared" si="2"/>
        <v>0</v>
      </c>
      <c r="O30" s="37">
        <f t="shared" si="3"/>
        <v>0</v>
      </c>
      <c r="P30" s="37">
        <f t="shared" si="3"/>
        <v>0</v>
      </c>
      <c r="Q30" s="37">
        <f t="shared" si="5"/>
        <v>0</v>
      </c>
      <c r="R30" s="37">
        <f t="shared" si="6"/>
        <v>648</v>
      </c>
      <c r="S30" s="39">
        <f t="shared" si="4"/>
        <v>648</v>
      </c>
    </row>
    <row r="31" spans="1:19">
      <c r="A31" s="163">
        <v>46167</v>
      </c>
      <c r="B31" s="36"/>
      <c r="C31" s="154"/>
      <c r="D31" s="154"/>
      <c r="E31" s="124"/>
      <c r="F31" s="124"/>
      <c r="G31" s="155"/>
      <c r="H31" s="155"/>
      <c r="I31" s="124"/>
      <c r="J31" s="152">
        <v>0</v>
      </c>
      <c r="K31" s="154">
        <v>30</v>
      </c>
      <c r="L31" s="37">
        <f t="shared" si="0"/>
        <v>0</v>
      </c>
      <c r="M31" s="37">
        <f t="shared" si="1"/>
        <v>0</v>
      </c>
      <c r="N31" s="37">
        <f t="shared" si="2"/>
        <v>0</v>
      </c>
      <c r="O31" s="37">
        <f t="shared" si="3"/>
        <v>0</v>
      </c>
      <c r="P31" s="37">
        <f t="shared" si="3"/>
        <v>0</v>
      </c>
      <c r="Q31" s="37">
        <f t="shared" si="5"/>
        <v>0</v>
      </c>
      <c r="R31" s="37">
        <f t="shared" si="6"/>
        <v>648</v>
      </c>
      <c r="S31" s="39">
        <f t="shared" si="4"/>
        <v>648</v>
      </c>
    </row>
    <row r="32" spans="1:19">
      <c r="A32" s="163">
        <v>46168</v>
      </c>
      <c r="B32" s="36"/>
      <c r="C32" s="154"/>
      <c r="D32" s="154"/>
      <c r="E32" s="124"/>
      <c r="F32" s="124"/>
      <c r="G32" s="155"/>
      <c r="H32" s="155"/>
      <c r="I32" s="124"/>
      <c r="J32" s="152">
        <v>0</v>
      </c>
      <c r="K32" s="154">
        <v>30</v>
      </c>
      <c r="L32" s="37">
        <f t="shared" si="0"/>
        <v>0</v>
      </c>
      <c r="M32" s="37">
        <f t="shared" si="1"/>
        <v>0</v>
      </c>
      <c r="N32" s="37">
        <f t="shared" si="2"/>
        <v>0</v>
      </c>
      <c r="O32" s="37">
        <f t="shared" si="3"/>
        <v>0</v>
      </c>
      <c r="P32" s="37">
        <f t="shared" si="3"/>
        <v>0</v>
      </c>
      <c r="Q32" s="37">
        <f t="shared" si="5"/>
        <v>0</v>
      </c>
      <c r="R32" s="37">
        <f t="shared" si="6"/>
        <v>648</v>
      </c>
      <c r="S32" s="39">
        <f t="shared" si="4"/>
        <v>648</v>
      </c>
    </row>
    <row r="33" spans="1:19">
      <c r="A33" s="163">
        <v>46169</v>
      </c>
      <c r="B33" s="36"/>
      <c r="C33" s="154">
        <v>2</v>
      </c>
      <c r="D33" s="154"/>
      <c r="E33" s="124"/>
      <c r="F33" s="124"/>
      <c r="G33" s="155"/>
      <c r="H33" s="155"/>
      <c r="I33" s="124"/>
      <c r="J33" s="152">
        <v>0</v>
      </c>
      <c r="K33" s="154">
        <v>32</v>
      </c>
      <c r="L33" s="37">
        <f t="shared" si="0"/>
        <v>336</v>
      </c>
      <c r="M33" s="37">
        <f t="shared" si="1"/>
        <v>0</v>
      </c>
      <c r="N33" s="37">
        <f t="shared" si="2"/>
        <v>0</v>
      </c>
      <c r="O33" s="37">
        <f t="shared" si="3"/>
        <v>0</v>
      </c>
      <c r="P33" s="37">
        <f t="shared" si="3"/>
        <v>0</v>
      </c>
      <c r="Q33" s="37">
        <f t="shared" si="5"/>
        <v>0</v>
      </c>
      <c r="R33" s="37">
        <f t="shared" si="6"/>
        <v>691.2</v>
      </c>
      <c r="S33" s="39">
        <f t="shared" si="4"/>
        <v>1027.2</v>
      </c>
    </row>
    <row r="34" spans="1:19">
      <c r="A34" s="163">
        <v>46170</v>
      </c>
      <c r="B34" s="36"/>
      <c r="C34" s="154"/>
      <c r="D34" s="154"/>
      <c r="E34" s="124"/>
      <c r="F34" s="124"/>
      <c r="G34" s="124"/>
      <c r="H34" s="155"/>
      <c r="I34" s="124"/>
      <c r="J34" s="152">
        <v>0</v>
      </c>
      <c r="K34" s="154">
        <v>32</v>
      </c>
      <c r="L34" s="37">
        <f t="shared" si="0"/>
        <v>0</v>
      </c>
      <c r="M34" s="37">
        <f t="shared" si="1"/>
        <v>0</v>
      </c>
      <c r="N34" s="37">
        <f t="shared" si="2"/>
        <v>0</v>
      </c>
      <c r="O34" s="37">
        <f t="shared" si="3"/>
        <v>0</v>
      </c>
      <c r="P34" s="37">
        <f t="shared" si="3"/>
        <v>0</v>
      </c>
      <c r="Q34" s="37">
        <f t="shared" si="5"/>
        <v>0</v>
      </c>
      <c r="R34" s="37">
        <f t="shared" si="6"/>
        <v>691.2</v>
      </c>
      <c r="S34" s="39">
        <f t="shared" si="4"/>
        <v>691.2</v>
      </c>
    </row>
    <row r="35" spans="1:19">
      <c r="A35" s="163">
        <v>46171</v>
      </c>
      <c r="B35" s="36"/>
      <c r="C35" s="154"/>
      <c r="D35" s="154"/>
      <c r="E35" s="124"/>
      <c r="F35" s="124"/>
      <c r="G35" s="124"/>
      <c r="H35" s="155"/>
      <c r="I35" s="124"/>
      <c r="J35" s="152"/>
      <c r="K35" s="154">
        <v>32</v>
      </c>
      <c r="L35" s="37">
        <f t="shared" si="0"/>
        <v>0</v>
      </c>
      <c r="M35" s="37">
        <f t="shared" si="1"/>
        <v>0</v>
      </c>
      <c r="N35" s="37">
        <f t="shared" si="2"/>
        <v>0</v>
      </c>
      <c r="O35" s="37">
        <f t="shared" si="3"/>
        <v>0</v>
      </c>
      <c r="P35" s="37">
        <f t="shared" si="3"/>
        <v>0</v>
      </c>
      <c r="Q35" s="37">
        <f t="shared" si="5"/>
        <v>0</v>
      </c>
      <c r="R35" s="37">
        <f t="shared" si="6"/>
        <v>691.2</v>
      </c>
      <c r="S35" s="39">
        <f t="shared" si="4"/>
        <v>691.2</v>
      </c>
    </row>
    <row r="36" spans="1:19">
      <c r="A36" s="163">
        <v>46172</v>
      </c>
      <c r="B36" s="36"/>
      <c r="C36" s="154"/>
      <c r="D36" s="154"/>
      <c r="E36" s="124"/>
      <c r="F36" s="124"/>
      <c r="G36" s="124"/>
      <c r="H36" s="155"/>
      <c r="I36" s="124"/>
      <c r="J36" s="152"/>
      <c r="K36" s="154">
        <v>32</v>
      </c>
      <c r="L36" s="37">
        <f t="shared" si="0"/>
        <v>0</v>
      </c>
      <c r="M36" s="37">
        <f t="shared" si="1"/>
        <v>0</v>
      </c>
      <c r="N36" s="37">
        <f t="shared" si="2"/>
        <v>0</v>
      </c>
      <c r="O36" s="37">
        <f t="shared" si="3"/>
        <v>0</v>
      </c>
      <c r="P36" s="37">
        <f t="shared" si="3"/>
        <v>0</v>
      </c>
      <c r="Q36" s="37">
        <f t="shared" si="5"/>
        <v>0</v>
      </c>
      <c r="R36" s="37">
        <f t="shared" si="6"/>
        <v>691.2</v>
      </c>
      <c r="S36" s="39">
        <f t="shared" si="4"/>
        <v>691.2</v>
      </c>
    </row>
    <row r="37" spans="1:19" ht="15.75" thickBot="1">
      <c r="A37" s="163">
        <v>46173</v>
      </c>
      <c r="B37" s="36"/>
      <c r="C37" s="154"/>
      <c r="D37" s="154"/>
      <c r="E37" s="124"/>
      <c r="F37" s="124"/>
      <c r="G37" s="124"/>
      <c r="H37" s="155"/>
      <c r="I37" s="124"/>
      <c r="J37" s="152"/>
      <c r="K37" s="154">
        <v>32</v>
      </c>
      <c r="L37" s="37">
        <f t="shared" si="0"/>
        <v>0</v>
      </c>
      <c r="M37" s="37">
        <f t="shared" si="1"/>
        <v>0</v>
      </c>
      <c r="N37" s="37">
        <f t="shared" si="2"/>
        <v>0</v>
      </c>
      <c r="O37" s="37">
        <f t="shared" si="3"/>
        <v>0</v>
      </c>
      <c r="P37" s="37">
        <f t="shared" si="3"/>
        <v>0</v>
      </c>
      <c r="Q37" s="37">
        <f t="shared" si="5"/>
        <v>0</v>
      </c>
      <c r="R37" s="37">
        <f t="shared" si="6"/>
        <v>691.2</v>
      </c>
      <c r="S37" s="39">
        <f t="shared" si="4"/>
        <v>691.2</v>
      </c>
    </row>
    <row r="38" spans="1:19" ht="15.75" thickBot="1">
      <c r="A38" s="164" t="s">
        <v>26</v>
      </c>
      <c r="B38" s="40"/>
      <c r="C38" s="41">
        <f t="shared" ref="C38:K38" si="7">SUM(C7:C37)</f>
        <v>2</v>
      </c>
      <c r="D38" s="41">
        <f t="shared" si="7"/>
        <v>0</v>
      </c>
      <c r="E38" s="41">
        <f t="shared" si="7"/>
        <v>0</v>
      </c>
      <c r="F38" s="41">
        <f t="shared" si="7"/>
        <v>0</v>
      </c>
      <c r="G38" s="41">
        <f t="shared" si="7"/>
        <v>0</v>
      </c>
      <c r="H38" s="41">
        <f t="shared" si="7"/>
        <v>0</v>
      </c>
      <c r="I38" s="41">
        <f t="shared" si="7"/>
        <v>0</v>
      </c>
      <c r="J38" s="41">
        <f t="shared" si="7"/>
        <v>0</v>
      </c>
      <c r="K38" s="41">
        <f t="shared" si="7"/>
        <v>940</v>
      </c>
      <c r="L38" s="42">
        <f>SUM(L7:L37)</f>
        <v>336</v>
      </c>
      <c r="M38" s="42">
        <f t="shared" ref="M38:R38" si="8">SUM(M7:M37)</f>
        <v>0</v>
      </c>
      <c r="N38" s="42">
        <f t="shared" si="8"/>
        <v>0</v>
      </c>
      <c r="O38" s="42">
        <f t="shared" si="8"/>
        <v>0</v>
      </c>
      <c r="P38" s="42">
        <f t="shared" si="8"/>
        <v>0</v>
      </c>
      <c r="Q38" s="42">
        <f t="shared" si="8"/>
        <v>0</v>
      </c>
      <c r="R38" s="43">
        <f t="shared" si="8"/>
        <v>20304.000000000004</v>
      </c>
      <c r="S38" s="44">
        <f>SUM(S7:S37)</f>
        <v>20640.000000000004</v>
      </c>
    </row>
    <row r="39" spans="1:19">
      <c r="C39" s="149"/>
      <c r="D39" s="149"/>
      <c r="E39" s="149"/>
      <c r="F39" s="149"/>
      <c r="G39" s="149"/>
      <c r="H39" s="149"/>
      <c r="I39" s="149"/>
      <c r="J39" s="149"/>
      <c r="K39" s="149"/>
      <c r="R39" s="159" t="s">
        <v>26</v>
      </c>
      <c r="S39" s="165">
        <f>S38</f>
        <v>20640.000000000004</v>
      </c>
    </row>
  </sheetData>
  <mergeCells count="55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O5:O6"/>
    <mergeCell ref="P5:P6"/>
    <mergeCell ref="Q5:Q6"/>
    <mergeCell ref="R5:R6"/>
    <mergeCell ref="S5:S6"/>
    <mergeCell ref="A7:B7"/>
    <mergeCell ref="H5:H6"/>
    <mergeCell ref="I5:I6"/>
    <mergeCell ref="J5:J6"/>
    <mergeCell ref="L5:L6"/>
    <mergeCell ref="M5:M6"/>
    <mergeCell ref="N5:N6"/>
    <mergeCell ref="A5:B6"/>
    <mergeCell ref="C5:C6"/>
    <mergeCell ref="D5:D6"/>
    <mergeCell ref="E5:E6"/>
    <mergeCell ref="F5:F6"/>
    <mergeCell ref="G5:G6"/>
    <mergeCell ref="H1:I1"/>
    <mergeCell ref="H2:I2"/>
    <mergeCell ref="H3:I3"/>
    <mergeCell ref="A4:G4"/>
    <mergeCell ref="H4:I4"/>
    <mergeCell ref="L4:S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783B-E3FA-43AE-9CD2-2E393F5E6F47}">
  <dimension ref="A1:K36"/>
  <sheetViews>
    <sheetView topLeftCell="A22" workbookViewId="0">
      <selection activeCell="G36" sqref="G36"/>
    </sheetView>
  </sheetViews>
  <sheetFormatPr defaultRowHeight="15"/>
  <cols>
    <col min="1" max="4" width="9.140625" style="47"/>
    <col min="5" max="5" width="12.85546875" style="47" customWidth="1"/>
    <col min="6" max="10" width="9.140625" style="47"/>
    <col min="11" max="11" width="10.85546875" style="47" customWidth="1"/>
    <col min="12" max="16384" width="9.140625" style="47"/>
  </cols>
  <sheetData>
    <row r="1" spans="1:11">
      <c r="A1" s="166">
        <f>K36</f>
        <v>26403</v>
      </c>
    </row>
    <row r="2" spans="1:11">
      <c r="A2" s="76" t="s">
        <v>118</v>
      </c>
      <c r="B2" s="76"/>
      <c r="C2" s="76"/>
      <c r="D2" s="76"/>
      <c r="E2" s="76"/>
      <c r="F2" s="76"/>
      <c r="G2" s="76"/>
      <c r="H2" s="76"/>
    </row>
    <row r="3" spans="1:11" ht="28.9" customHeight="1">
      <c r="A3" s="49" t="s">
        <v>0</v>
      </c>
      <c r="B3" s="50" t="s">
        <v>1</v>
      </c>
      <c r="C3" s="51"/>
      <c r="D3" s="49" t="s">
        <v>97</v>
      </c>
      <c r="E3" s="167" t="s">
        <v>119</v>
      </c>
      <c r="F3" s="168"/>
      <c r="G3" s="52" t="s">
        <v>4</v>
      </c>
      <c r="H3" s="49" t="s">
        <v>11</v>
      </c>
      <c r="I3" s="49" t="s">
        <v>120</v>
      </c>
      <c r="J3" s="49" t="s">
        <v>13</v>
      </c>
      <c r="K3" s="49" t="s">
        <v>18</v>
      </c>
    </row>
    <row r="4" spans="1:11" ht="30">
      <c r="A4" s="53"/>
      <c r="B4" s="54"/>
      <c r="C4" s="55"/>
      <c r="D4" s="53"/>
      <c r="E4" s="169" t="s">
        <v>121</v>
      </c>
      <c r="F4" s="169" t="s">
        <v>122</v>
      </c>
      <c r="G4" s="56" t="s">
        <v>107</v>
      </c>
      <c r="H4" s="53"/>
      <c r="I4" s="53"/>
      <c r="J4" s="53"/>
      <c r="K4" s="53"/>
    </row>
    <row r="5" spans="1:11">
      <c r="A5" s="58">
        <v>1</v>
      </c>
      <c r="B5" s="77">
        <v>46143</v>
      </c>
      <c r="C5" s="78"/>
      <c r="D5" s="146"/>
      <c r="E5" s="123"/>
      <c r="F5" s="123"/>
      <c r="G5" s="171">
        <v>45</v>
      </c>
      <c r="H5" s="123">
        <f t="shared" ref="H5:H35" si="0">SUM(D5*60)</f>
        <v>0</v>
      </c>
      <c r="I5" s="123">
        <f>SUM(E5*25+F5*7)</f>
        <v>0</v>
      </c>
      <c r="J5" s="123">
        <f t="shared" ref="J5:J35" si="1">SUM(G5*15)</f>
        <v>675</v>
      </c>
      <c r="K5" s="123">
        <f t="shared" ref="K5:K35" si="2">SUM(H5:J5)</f>
        <v>675</v>
      </c>
    </row>
    <row r="6" spans="1:11">
      <c r="A6" s="58">
        <v>2</v>
      </c>
      <c r="B6" s="77">
        <v>46144</v>
      </c>
      <c r="C6" s="78"/>
      <c r="D6" s="146"/>
      <c r="E6" s="123"/>
      <c r="F6" s="123"/>
      <c r="G6" s="171">
        <v>45</v>
      </c>
      <c r="H6" s="123">
        <f t="shared" si="0"/>
        <v>0</v>
      </c>
      <c r="I6" s="123">
        <f>SUM(E6*25+F6*7)</f>
        <v>0</v>
      </c>
      <c r="J6" s="123">
        <f t="shared" si="1"/>
        <v>675</v>
      </c>
      <c r="K6" s="123">
        <f t="shared" si="2"/>
        <v>675</v>
      </c>
    </row>
    <row r="7" spans="1:11">
      <c r="A7" s="58">
        <v>3</v>
      </c>
      <c r="B7" s="77">
        <v>46145</v>
      </c>
      <c r="C7" s="78"/>
      <c r="D7" s="146"/>
      <c r="E7" s="123"/>
      <c r="F7" s="123"/>
      <c r="G7" s="171">
        <v>45</v>
      </c>
      <c r="H7" s="123">
        <f t="shared" si="0"/>
        <v>0</v>
      </c>
      <c r="I7" s="123">
        <f>SUM(E7*25+F7*7)</f>
        <v>0</v>
      </c>
      <c r="J7" s="123">
        <f t="shared" si="1"/>
        <v>675</v>
      </c>
      <c r="K7" s="123">
        <f t="shared" si="2"/>
        <v>675</v>
      </c>
    </row>
    <row r="8" spans="1:11">
      <c r="A8" s="58">
        <v>4</v>
      </c>
      <c r="B8" s="77">
        <v>46146</v>
      </c>
      <c r="C8" s="78"/>
      <c r="D8" s="146"/>
      <c r="E8" s="123"/>
      <c r="F8" s="123"/>
      <c r="G8" s="171">
        <v>45</v>
      </c>
      <c r="H8" s="123">
        <f t="shared" si="0"/>
        <v>0</v>
      </c>
      <c r="I8" s="123">
        <f t="shared" ref="I8:I35" si="3">SUM(E8*25+F8*7)</f>
        <v>0</v>
      </c>
      <c r="J8" s="123">
        <f t="shared" si="1"/>
        <v>675</v>
      </c>
      <c r="K8" s="123">
        <f t="shared" si="2"/>
        <v>675</v>
      </c>
    </row>
    <row r="9" spans="1:11">
      <c r="A9" s="58">
        <v>5</v>
      </c>
      <c r="B9" s="77">
        <v>46147</v>
      </c>
      <c r="C9" s="78"/>
      <c r="D9" s="146"/>
      <c r="E9" s="123"/>
      <c r="F9" s="123"/>
      <c r="G9" s="171">
        <v>45</v>
      </c>
      <c r="H9" s="123">
        <f t="shared" si="0"/>
        <v>0</v>
      </c>
      <c r="I9" s="123">
        <f t="shared" si="3"/>
        <v>0</v>
      </c>
      <c r="J9" s="123">
        <f t="shared" si="1"/>
        <v>675</v>
      </c>
      <c r="K9" s="123">
        <f t="shared" si="2"/>
        <v>675</v>
      </c>
    </row>
    <row r="10" spans="1:11">
      <c r="A10" s="58">
        <v>6</v>
      </c>
      <c r="B10" s="77">
        <v>46148</v>
      </c>
      <c r="C10" s="78"/>
      <c r="D10" s="146"/>
      <c r="E10" s="123"/>
      <c r="F10" s="123"/>
      <c r="G10" s="171">
        <v>45</v>
      </c>
      <c r="H10" s="123">
        <f t="shared" si="0"/>
        <v>0</v>
      </c>
      <c r="I10" s="123">
        <f t="shared" si="3"/>
        <v>0</v>
      </c>
      <c r="J10" s="123">
        <f t="shared" si="1"/>
        <v>675</v>
      </c>
      <c r="K10" s="123">
        <f t="shared" si="2"/>
        <v>675</v>
      </c>
    </row>
    <row r="11" spans="1:11">
      <c r="A11" s="58">
        <v>7</v>
      </c>
      <c r="B11" s="77">
        <v>46149</v>
      </c>
      <c r="C11" s="78"/>
      <c r="D11" s="146"/>
      <c r="E11" s="123"/>
      <c r="F11" s="123"/>
      <c r="G11" s="171">
        <v>45</v>
      </c>
      <c r="H11" s="123">
        <f t="shared" si="0"/>
        <v>0</v>
      </c>
      <c r="I11" s="123">
        <f t="shared" si="3"/>
        <v>0</v>
      </c>
      <c r="J11" s="123">
        <f t="shared" si="1"/>
        <v>675</v>
      </c>
      <c r="K11" s="123">
        <f t="shared" si="2"/>
        <v>675</v>
      </c>
    </row>
    <row r="12" spans="1:11">
      <c r="A12" s="58">
        <v>8</v>
      </c>
      <c r="B12" s="77">
        <v>46150</v>
      </c>
      <c r="C12" s="78"/>
      <c r="D12" s="146"/>
      <c r="E12" s="123"/>
      <c r="F12" s="123"/>
      <c r="G12" s="171">
        <v>45</v>
      </c>
      <c r="H12" s="123">
        <f t="shared" si="0"/>
        <v>0</v>
      </c>
      <c r="I12" s="123">
        <f t="shared" si="3"/>
        <v>0</v>
      </c>
      <c r="J12" s="123">
        <f t="shared" si="1"/>
        <v>675</v>
      </c>
      <c r="K12" s="123">
        <f t="shared" si="2"/>
        <v>675</v>
      </c>
    </row>
    <row r="13" spans="1:11">
      <c r="A13" s="58">
        <v>9</v>
      </c>
      <c r="B13" s="77">
        <v>46151</v>
      </c>
      <c r="C13" s="78"/>
      <c r="D13" s="146"/>
      <c r="E13" s="123"/>
      <c r="F13" s="123"/>
      <c r="G13" s="171">
        <v>45</v>
      </c>
      <c r="H13" s="123">
        <f t="shared" si="0"/>
        <v>0</v>
      </c>
      <c r="I13" s="123">
        <f t="shared" si="3"/>
        <v>0</v>
      </c>
      <c r="J13" s="123">
        <f t="shared" si="1"/>
        <v>675</v>
      </c>
      <c r="K13" s="123">
        <f t="shared" si="2"/>
        <v>675</v>
      </c>
    </row>
    <row r="14" spans="1:11">
      <c r="A14" s="58">
        <v>10</v>
      </c>
      <c r="B14" s="77">
        <v>46152</v>
      </c>
      <c r="C14" s="78"/>
      <c r="D14" s="146"/>
      <c r="E14" s="123"/>
      <c r="F14" s="123"/>
      <c r="G14" s="171">
        <v>45</v>
      </c>
      <c r="H14" s="123">
        <f t="shared" si="0"/>
        <v>0</v>
      </c>
      <c r="I14" s="123">
        <f t="shared" si="3"/>
        <v>0</v>
      </c>
      <c r="J14" s="123">
        <f t="shared" si="1"/>
        <v>675</v>
      </c>
      <c r="K14" s="123">
        <f t="shared" si="2"/>
        <v>675</v>
      </c>
    </row>
    <row r="15" spans="1:11">
      <c r="A15" s="58">
        <v>11</v>
      </c>
      <c r="B15" s="77">
        <v>46153</v>
      </c>
      <c r="C15" s="78"/>
      <c r="D15" s="146"/>
      <c r="E15" s="123"/>
      <c r="F15" s="123"/>
      <c r="G15" s="171">
        <v>45</v>
      </c>
      <c r="H15" s="123">
        <f t="shared" si="0"/>
        <v>0</v>
      </c>
      <c r="I15" s="123">
        <f t="shared" si="3"/>
        <v>0</v>
      </c>
      <c r="J15" s="123">
        <f t="shared" si="1"/>
        <v>675</v>
      </c>
      <c r="K15" s="123">
        <f t="shared" si="2"/>
        <v>675</v>
      </c>
    </row>
    <row r="16" spans="1:11">
      <c r="A16" s="58">
        <v>12</v>
      </c>
      <c r="B16" s="77">
        <v>46154</v>
      </c>
      <c r="C16" s="78"/>
      <c r="D16" s="146"/>
      <c r="E16" s="123"/>
      <c r="F16" s="123"/>
      <c r="G16" s="171">
        <v>45</v>
      </c>
      <c r="H16" s="123">
        <f t="shared" si="0"/>
        <v>0</v>
      </c>
      <c r="I16" s="123">
        <f t="shared" si="3"/>
        <v>0</v>
      </c>
      <c r="J16" s="123">
        <f t="shared" si="1"/>
        <v>675</v>
      </c>
      <c r="K16" s="123">
        <f t="shared" si="2"/>
        <v>675</v>
      </c>
    </row>
    <row r="17" spans="1:11">
      <c r="A17" s="58">
        <v>13</v>
      </c>
      <c r="B17" s="77">
        <v>46155</v>
      </c>
      <c r="C17" s="78"/>
      <c r="D17" s="146"/>
      <c r="E17" s="123"/>
      <c r="F17" s="123"/>
      <c r="G17" s="171">
        <v>45</v>
      </c>
      <c r="H17" s="123">
        <f t="shared" si="0"/>
        <v>0</v>
      </c>
      <c r="I17" s="123">
        <f t="shared" si="3"/>
        <v>0</v>
      </c>
      <c r="J17" s="123">
        <f t="shared" si="1"/>
        <v>675</v>
      </c>
      <c r="K17" s="123">
        <f t="shared" si="2"/>
        <v>675</v>
      </c>
    </row>
    <row r="18" spans="1:11">
      <c r="A18" s="58">
        <v>14</v>
      </c>
      <c r="B18" s="77">
        <v>46156</v>
      </c>
      <c r="C18" s="78"/>
      <c r="D18" s="146"/>
      <c r="E18" s="123"/>
      <c r="F18" s="123"/>
      <c r="G18" s="171">
        <v>45</v>
      </c>
      <c r="H18" s="123">
        <f t="shared" si="0"/>
        <v>0</v>
      </c>
      <c r="I18" s="123">
        <f t="shared" si="3"/>
        <v>0</v>
      </c>
      <c r="J18" s="123">
        <f t="shared" si="1"/>
        <v>675</v>
      </c>
      <c r="K18" s="123">
        <f t="shared" si="2"/>
        <v>675</v>
      </c>
    </row>
    <row r="19" spans="1:11">
      <c r="A19" s="58">
        <v>15</v>
      </c>
      <c r="B19" s="77">
        <v>46157</v>
      </c>
      <c r="C19" s="78"/>
      <c r="D19" s="146"/>
      <c r="E19" s="123"/>
      <c r="F19" s="123"/>
      <c r="G19" s="171">
        <v>45</v>
      </c>
      <c r="H19" s="123">
        <f t="shared" si="0"/>
        <v>0</v>
      </c>
      <c r="I19" s="123">
        <f t="shared" si="3"/>
        <v>0</v>
      </c>
      <c r="J19" s="123">
        <f t="shared" si="1"/>
        <v>675</v>
      </c>
      <c r="K19" s="123">
        <f t="shared" si="2"/>
        <v>675</v>
      </c>
    </row>
    <row r="20" spans="1:11">
      <c r="A20" s="58">
        <v>16</v>
      </c>
      <c r="B20" s="77">
        <v>46158</v>
      </c>
      <c r="C20" s="78"/>
      <c r="D20" s="146"/>
      <c r="E20" s="123"/>
      <c r="F20" s="123"/>
      <c r="G20" s="171">
        <v>45</v>
      </c>
      <c r="H20" s="123">
        <f t="shared" si="0"/>
        <v>0</v>
      </c>
      <c r="I20" s="123">
        <f t="shared" si="3"/>
        <v>0</v>
      </c>
      <c r="J20" s="123">
        <f t="shared" si="1"/>
        <v>675</v>
      </c>
      <c r="K20" s="123">
        <f t="shared" si="2"/>
        <v>675</v>
      </c>
    </row>
    <row r="21" spans="1:11">
      <c r="A21" s="58">
        <v>17</v>
      </c>
      <c r="B21" s="77">
        <v>46159</v>
      </c>
      <c r="C21" s="78"/>
      <c r="D21" s="146"/>
      <c r="E21" s="123"/>
      <c r="F21" s="123"/>
      <c r="G21" s="171">
        <v>45</v>
      </c>
      <c r="H21" s="123">
        <f t="shared" si="0"/>
        <v>0</v>
      </c>
      <c r="I21" s="123">
        <f t="shared" si="3"/>
        <v>0</v>
      </c>
      <c r="J21" s="123">
        <f t="shared" si="1"/>
        <v>675</v>
      </c>
      <c r="K21" s="123">
        <f t="shared" si="2"/>
        <v>675</v>
      </c>
    </row>
    <row r="22" spans="1:11">
      <c r="A22" s="58">
        <v>18</v>
      </c>
      <c r="B22" s="77">
        <v>46160</v>
      </c>
      <c r="C22" s="78"/>
      <c r="D22" s="146">
        <v>20</v>
      </c>
      <c r="E22" s="123"/>
      <c r="F22" s="123"/>
      <c r="G22" s="171">
        <v>65</v>
      </c>
      <c r="H22" s="123">
        <f t="shared" si="0"/>
        <v>1200</v>
      </c>
      <c r="I22" s="123">
        <f t="shared" si="3"/>
        <v>0</v>
      </c>
      <c r="J22" s="123">
        <f t="shared" si="1"/>
        <v>975</v>
      </c>
      <c r="K22" s="123">
        <f t="shared" si="2"/>
        <v>2175</v>
      </c>
    </row>
    <row r="23" spans="1:11">
      <c r="A23" s="58">
        <v>19</v>
      </c>
      <c r="B23" s="77">
        <v>46161</v>
      </c>
      <c r="C23" s="78"/>
      <c r="D23" s="146"/>
      <c r="E23" s="123"/>
      <c r="F23" s="123"/>
      <c r="G23" s="171">
        <v>65</v>
      </c>
      <c r="H23" s="123">
        <f t="shared" si="0"/>
        <v>0</v>
      </c>
      <c r="I23" s="123">
        <f t="shared" si="3"/>
        <v>0</v>
      </c>
      <c r="J23" s="123">
        <f t="shared" si="1"/>
        <v>975</v>
      </c>
      <c r="K23" s="123">
        <f t="shared" si="2"/>
        <v>975</v>
      </c>
    </row>
    <row r="24" spans="1:11">
      <c r="A24" s="58">
        <v>20</v>
      </c>
      <c r="B24" s="77">
        <v>46162</v>
      </c>
      <c r="C24" s="78"/>
      <c r="D24" s="146"/>
      <c r="E24" s="123"/>
      <c r="F24" s="123"/>
      <c r="G24" s="171">
        <v>65</v>
      </c>
      <c r="H24" s="123">
        <f t="shared" si="0"/>
        <v>0</v>
      </c>
      <c r="I24" s="123">
        <f t="shared" si="3"/>
        <v>0</v>
      </c>
      <c r="J24" s="123">
        <f t="shared" si="1"/>
        <v>975</v>
      </c>
      <c r="K24" s="123">
        <f t="shared" si="2"/>
        <v>975</v>
      </c>
    </row>
    <row r="25" spans="1:11">
      <c r="A25" s="58">
        <v>21</v>
      </c>
      <c r="B25" s="77">
        <v>46163</v>
      </c>
      <c r="C25" s="78"/>
      <c r="D25" s="146"/>
      <c r="E25" s="123"/>
      <c r="F25" s="123"/>
      <c r="G25" s="171">
        <v>65</v>
      </c>
      <c r="H25" s="123">
        <f t="shared" si="0"/>
        <v>0</v>
      </c>
      <c r="I25" s="123">
        <f t="shared" si="3"/>
        <v>0</v>
      </c>
      <c r="J25" s="123">
        <f t="shared" si="1"/>
        <v>975</v>
      </c>
      <c r="K25" s="123">
        <f t="shared" si="2"/>
        <v>975</v>
      </c>
    </row>
    <row r="26" spans="1:11">
      <c r="A26" s="58">
        <v>22</v>
      </c>
      <c r="B26" s="77">
        <v>46164</v>
      </c>
      <c r="C26" s="78"/>
      <c r="D26" s="146"/>
      <c r="E26" s="123">
        <v>1</v>
      </c>
      <c r="F26" s="123">
        <v>5</v>
      </c>
      <c r="G26" s="171">
        <v>65</v>
      </c>
      <c r="H26" s="123">
        <f t="shared" si="0"/>
        <v>0</v>
      </c>
      <c r="I26" s="123">
        <f t="shared" si="3"/>
        <v>60</v>
      </c>
      <c r="J26" s="123">
        <f t="shared" si="1"/>
        <v>975</v>
      </c>
      <c r="K26" s="123">
        <f t="shared" si="2"/>
        <v>1035</v>
      </c>
    </row>
    <row r="27" spans="1:11">
      <c r="A27" s="58">
        <v>23</v>
      </c>
      <c r="B27" s="77">
        <v>46165</v>
      </c>
      <c r="C27" s="78"/>
      <c r="D27" s="146"/>
      <c r="E27" s="123"/>
      <c r="F27" s="123"/>
      <c r="G27" s="171">
        <v>65</v>
      </c>
      <c r="H27" s="123">
        <f t="shared" si="0"/>
        <v>0</v>
      </c>
      <c r="I27" s="123">
        <f t="shared" si="3"/>
        <v>0</v>
      </c>
      <c r="J27" s="123">
        <f t="shared" si="1"/>
        <v>975</v>
      </c>
      <c r="K27" s="123">
        <f t="shared" si="2"/>
        <v>975</v>
      </c>
    </row>
    <row r="28" spans="1:11">
      <c r="A28" s="58">
        <v>24</v>
      </c>
      <c r="B28" s="77">
        <v>46166</v>
      </c>
      <c r="C28" s="78"/>
      <c r="D28" s="146"/>
      <c r="E28" s="123"/>
      <c r="F28" s="123"/>
      <c r="G28" s="171">
        <v>65</v>
      </c>
      <c r="H28" s="123">
        <f t="shared" si="0"/>
        <v>0</v>
      </c>
      <c r="I28" s="123">
        <f t="shared" si="3"/>
        <v>0</v>
      </c>
      <c r="J28" s="123">
        <f t="shared" si="1"/>
        <v>975</v>
      </c>
      <c r="K28" s="123">
        <f t="shared" si="2"/>
        <v>975</v>
      </c>
    </row>
    <row r="29" spans="1:11">
      <c r="A29" s="58">
        <v>25</v>
      </c>
      <c r="B29" s="77">
        <v>46167</v>
      </c>
      <c r="C29" s="78"/>
      <c r="D29" s="146"/>
      <c r="E29" s="123"/>
      <c r="F29" s="123"/>
      <c r="G29" s="171">
        <v>65</v>
      </c>
      <c r="H29" s="123">
        <f t="shared" si="0"/>
        <v>0</v>
      </c>
      <c r="I29" s="123">
        <f t="shared" si="3"/>
        <v>0</v>
      </c>
      <c r="J29" s="123">
        <f t="shared" si="1"/>
        <v>975</v>
      </c>
      <c r="K29" s="123">
        <f t="shared" si="2"/>
        <v>975</v>
      </c>
    </row>
    <row r="30" spans="1:11">
      <c r="A30" s="58">
        <v>26</v>
      </c>
      <c r="B30" s="77">
        <v>46168</v>
      </c>
      <c r="C30" s="78"/>
      <c r="D30" s="146"/>
      <c r="E30" s="123"/>
      <c r="F30" s="123"/>
      <c r="G30" s="171">
        <v>65</v>
      </c>
      <c r="H30" s="123">
        <f t="shared" si="0"/>
        <v>0</v>
      </c>
      <c r="I30" s="123">
        <f t="shared" si="3"/>
        <v>0</v>
      </c>
      <c r="J30" s="123">
        <f t="shared" si="1"/>
        <v>975</v>
      </c>
      <c r="K30" s="123">
        <f t="shared" si="2"/>
        <v>975</v>
      </c>
    </row>
    <row r="31" spans="1:11">
      <c r="A31" s="58">
        <v>27</v>
      </c>
      <c r="B31" s="77">
        <v>46169</v>
      </c>
      <c r="C31" s="78"/>
      <c r="D31" s="146"/>
      <c r="E31" s="123"/>
      <c r="F31" s="123"/>
      <c r="G31" s="171">
        <v>65</v>
      </c>
      <c r="H31" s="123">
        <f t="shared" si="0"/>
        <v>0</v>
      </c>
      <c r="I31" s="123">
        <f t="shared" si="3"/>
        <v>0</v>
      </c>
      <c r="J31" s="123">
        <f t="shared" si="1"/>
        <v>975</v>
      </c>
      <c r="K31" s="123">
        <f t="shared" si="2"/>
        <v>975</v>
      </c>
    </row>
    <row r="32" spans="1:11">
      <c r="A32" s="58">
        <v>28</v>
      </c>
      <c r="B32" s="77">
        <v>46170</v>
      </c>
      <c r="C32" s="78"/>
      <c r="D32" s="146"/>
      <c r="E32" s="123"/>
      <c r="F32" s="123">
        <v>9</v>
      </c>
      <c r="G32" s="171">
        <v>65</v>
      </c>
      <c r="H32" s="123">
        <f t="shared" si="0"/>
        <v>0</v>
      </c>
      <c r="I32" s="123">
        <f t="shared" si="3"/>
        <v>63</v>
      </c>
      <c r="J32" s="123">
        <f t="shared" si="1"/>
        <v>975</v>
      </c>
      <c r="K32" s="123">
        <f t="shared" si="2"/>
        <v>1038</v>
      </c>
    </row>
    <row r="33" spans="1:11">
      <c r="A33" s="58">
        <v>29</v>
      </c>
      <c r="B33" s="77">
        <v>46171</v>
      </c>
      <c r="C33" s="78"/>
      <c r="D33" s="146"/>
      <c r="E33" s="123"/>
      <c r="F33" s="123"/>
      <c r="G33" s="171">
        <v>64</v>
      </c>
      <c r="H33" s="123">
        <f t="shared" si="0"/>
        <v>0</v>
      </c>
      <c r="I33" s="123">
        <f t="shared" si="3"/>
        <v>0</v>
      </c>
      <c r="J33" s="123">
        <f t="shared" si="1"/>
        <v>960</v>
      </c>
      <c r="K33" s="123">
        <f t="shared" si="2"/>
        <v>960</v>
      </c>
    </row>
    <row r="34" spans="1:11">
      <c r="A34" s="58">
        <v>30</v>
      </c>
      <c r="B34" s="77">
        <v>46172</v>
      </c>
      <c r="C34" s="78"/>
      <c r="D34" s="146"/>
      <c r="E34" s="123"/>
      <c r="F34" s="123"/>
      <c r="G34" s="171">
        <v>64</v>
      </c>
      <c r="H34" s="123">
        <f t="shared" si="0"/>
        <v>0</v>
      </c>
      <c r="I34" s="123">
        <f t="shared" si="3"/>
        <v>0</v>
      </c>
      <c r="J34" s="123">
        <f t="shared" si="1"/>
        <v>960</v>
      </c>
      <c r="K34" s="123">
        <f t="shared" si="2"/>
        <v>960</v>
      </c>
    </row>
    <row r="35" spans="1:11">
      <c r="A35" s="58"/>
      <c r="B35" s="77">
        <v>46173</v>
      </c>
      <c r="C35" s="78"/>
      <c r="D35" s="146"/>
      <c r="E35" s="123"/>
      <c r="F35" s="123"/>
      <c r="G35" s="171">
        <v>64</v>
      </c>
      <c r="H35" s="123">
        <f t="shared" si="0"/>
        <v>0</v>
      </c>
      <c r="I35" s="123">
        <f t="shared" si="3"/>
        <v>0</v>
      </c>
      <c r="J35" s="123">
        <f t="shared" si="1"/>
        <v>960</v>
      </c>
      <c r="K35" s="123">
        <f t="shared" si="2"/>
        <v>960</v>
      </c>
    </row>
    <row r="36" spans="1:11">
      <c r="D36" s="123"/>
      <c r="E36" s="123"/>
      <c r="F36" s="123"/>
      <c r="G36" s="123">
        <f>SUM(G5:G35)</f>
        <v>1672</v>
      </c>
      <c r="H36" s="123">
        <f>SUM(H5:H35)</f>
        <v>1200</v>
      </c>
      <c r="I36" s="123">
        <f>SUM(I5:I35)</f>
        <v>123</v>
      </c>
      <c r="J36" s="123">
        <f>SUM(J5:J35)</f>
        <v>25080</v>
      </c>
      <c r="K36" s="170">
        <f>SUM(K5:K35)</f>
        <v>26403</v>
      </c>
    </row>
  </sheetData>
  <mergeCells count="4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I3:I4"/>
    <mergeCell ref="J3:J4"/>
    <mergeCell ref="K3:K4"/>
    <mergeCell ref="B5:C5"/>
    <mergeCell ref="B6:C6"/>
    <mergeCell ref="B7:C7"/>
    <mergeCell ref="A2:H2"/>
    <mergeCell ref="A3:A4"/>
    <mergeCell ref="B3:C4"/>
    <mergeCell ref="D3:D4"/>
    <mergeCell ref="E3:F3"/>
    <mergeCell ref="H3:H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6E72-CFBC-4710-8196-1548394AF8ED}">
  <dimension ref="A1:J35"/>
  <sheetViews>
    <sheetView workbookViewId="0">
      <selection activeCell="E28" sqref="E28"/>
    </sheetView>
  </sheetViews>
  <sheetFormatPr defaultRowHeight="15"/>
  <cols>
    <col min="1" max="16384" width="9.140625" style="47"/>
  </cols>
  <sheetData>
    <row r="1" spans="1:10">
      <c r="A1" s="166">
        <f>J35</f>
        <v>8928</v>
      </c>
      <c r="B1" s="76" t="s">
        <v>123</v>
      </c>
      <c r="C1" s="76"/>
      <c r="D1" s="76"/>
      <c r="E1" s="76"/>
      <c r="F1" s="76"/>
      <c r="G1" s="76"/>
      <c r="H1" s="76"/>
    </row>
    <row r="2" spans="1:10" ht="28.9" customHeight="1">
      <c r="A2" s="49" t="s">
        <v>0</v>
      </c>
      <c r="B2" s="50" t="s">
        <v>1</v>
      </c>
      <c r="C2" s="51"/>
      <c r="D2" s="49" t="s">
        <v>97</v>
      </c>
      <c r="E2" s="49" t="s">
        <v>98</v>
      </c>
      <c r="F2" s="52" t="s">
        <v>4</v>
      </c>
      <c r="G2" s="49" t="s">
        <v>11</v>
      </c>
      <c r="H2" s="49" t="s">
        <v>12</v>
      </c>
      <c r="I2" s="49" t="s">
        <v>13</v>
      </c>
      <c r="J2" s="49" t="s">
        <v>18</v>
      </c>
    </row>
    <row r="3" spans="1:10" ht="30">
      <c r="A3" s="53"/>
      <c r="B3" s="54"/>
      <c r="C3" s="55"/>
      <c r="D3" s="53"/>
      <c r="E3" s="53"/>
      <c r="F3" s="56" t="s">
        <v>107</v>
      </c>
      <c r="G3" s="53"/>
      <c r="H3" s="53"/>
      <c r="I3" s="53"/>
      <c r="J3" s="53"/>
    </row>
    <row r="4" spans="1:10">
      <c r="A4" s="58">
        <v>1</v>
      </c>
      <c r="B4" s="77">
        <v>46143</v>
      </c>
      <c r="C4" s="78"/>
      <c r="D4" s="146"/>
      <c r="E4" s="124"/>
      <c r="F4" s="172">
        <v>24</v>
      </c>
      <c r="G4" s="123">
        <f>SUM(D4*120)</f>
        <v>0</v>
      </c>
      <c r="H4" s="123">
        <f>SUM(E4*120)</f>
        <v>0</v>
      </c>
      <c r="I4" s="123">
        <f>SUM(F4*12)</f>
        <v>288</v>
      </c>
      <c r="J4" s="123">
        <f>SUM(G4:I4)</f>
        <v>288</v>
      </c>
    </row>
    <row r="5" spans="1:10">
      <c r="A5" s="58">
        <v>2</v>
      </c>
      <c r="B5" s="77">
        <v>46144</v>
      </c>
      <c r="C5" s="78"/>
      <c r="D5" s="146"/>
      <c r="E5" s="124"/>
      <c r="F5" s="172">
        <v>24</v>
      </c>
      <c r="G5" s="123">
        <f t="shared" ref="G5:G34" si="0">SUM(D5*120)</f>
        <v>0</v>
      </c>
      <c r="H5" s="123">
        <f t="shared" ref="H5:H34" si="1">SUM(E5*120)</f>
        <v>0</v>
      </c>
      <c r="I5" s="123">
        <f t="shared" ref="I5:I34" si="2">SUM(F5*12)</f>
        <v>288</v>
      </c>
      <c r="J5" s="123">
        <f t="shared" ref="J5:J34" si="3">SUM(G5:I5)</f>
        <v>288</v>
      </c>
    </row>
    <row r="6" spans="1:10">
      <c r="A6" s="58">
        <v>3</v>
      </c>
      <c r="B6" s="77">
        <v>46145</v>
      </c>
      <c r="C6" s="78"/>
      <c r="D6" s="146"/>
      <c r="E6" s="124"/>
      <c r="F6" s="172">
        <v>24</v>
      </c>
      <c r="G6" s="123">
        <f t="shared" si="0"/>
        <v>0</v>
      </c>
      <c r="H6" s="123">
        <f t="shared" si="1"/>
        <v>0</v>
      </c>
      <c r="I6" s="123">
        <f t="shared" si="2"/>
        <v>288</v>
      </c>
      <c r="J6" s="123">
        <f t="shared" si="3"/>
        <v>288</v>
      </c>
    </row>
    <row r="7" spans="1:10">
      <c r="A7" s="58">
        <v>4</v>
      </c>
      <c r="B7" s="77">
        <v>46146</v>
      </c>
      <c r="C7" s="78"/>
      <c r="D7" s="146"/>
      <c r="E7" s="124"/>
      <c r="F7" s="172">
        <v>24</v>
      </c>
      <c r="G7" s="123">
        <f t="shared" si="0"/>
        <v>0</v>
      </c>
      <c r="H7" s="123">
        <f t="shared" si="1"/>
        <v>0</v>
      </c>
      <c r="I7" s="123">
        <f t="shared" si="2"/>
        <v>288</v>
      </c>
      <c r="J7" s="123">
        <f t="shared" si="3"/>
        <v>288</v>
      </c>
    </row>
    <row r="8" spans="1:10">
      <c r="A8" s="58">
        <v>5</v>
      </c>
      <c r="B8" s="77">
        <v>46147</v>
      </c>
      <c r="C8" s="78"/>
      <c r="D8" s="146"/>
      <c r="E8" s="124"/>
      <c r="F8" s="172">
        <v>24</v>
      </c>
      <c r="G8" s="123">
        <f t="shared" si="0"/>
        <v>0</v>
      </c>
      <c r="H8" s="123">
        <f t="shared" si="1"/>
        <v>0</v>
      </c>
      <c r="I8" s="123">
        <f t="shared" si="2"/>
        <v>288</v>
      </c>
      <c r="J8" s="123">
        <f t="shared" si="3"/>
        <v>288</v>
      </c>
    </row>
    <row r="9" spans="1:10">
      <c r="A9" s="58">
        <v>6</v>
      </c>
      <c r="B9" s="77">
        <v>46148</v>
      </c>
      <c r="C9" s="78"/>
      <c r="D9" s="146"/>
      <c r="E9" s="124"/>
      <c r="F9" s="172">
        <v>24</v>
      </c>
      <c r="G9" s="123">
        <f t="shared" si="0"/>
        <v>0</v>
      </c>
      <c r="H9" s="123">
        <f t="shared" si="1"/>
        <v>0</v>
      </c>
      <c r="I9" s="123">
        <f t="shared" si="2"/>
        <v>288</v>
      </c>
      <c r="J9" s="123">
        <f t="shared" si="3"/>
        <v>288</v>
      </c>
    </row>
    <row r="10" spans="1:10">
      <c r="A10" s="58">
        <v>7</v>
      </c>
      <c r="B10" s="77">
        <v>46149</v>
      </c>
      <c r="C10" s="78"/>
      <c r="D10" s="146"/>
      <c r="E10" s="124"/>
      <c r="F10" s="172">
        <v>24</v>
      </c>
      <c r="G10" s="123">
        <f t="shared" si="0"/>
        <v>0</v>
      </c>
      <c r="H10" s="123">
        <f t="shared" si="1"/>
        <v>0</v>
      </c>
      <c r="I10" s="123">
        <f t="shared" si="2"/>
        <v>288</v>
      </c>
      <c r="J10" s="123">
        <f t="shared" si="3"/>
        <v>288</v>
      </c>
    </row>
    <row r="11" spans="1:10">
      <c r="A11" s="58">
        <v>8</v>
      </c>
      <c r="B11" s="77">
        <v>46150</v>
      </c>
      <c r="C11" s="78"/>
      <c r="D11" s="146"/>
      <c r="E11" s="124"/>
      <c r="F11" s="172">
        <v>24</v>
      </c>
      <c r="G11" s="123">
        <f t="shared" si="0"/>
        <v>0</v>
      </c>
      <c r="H11" s="123">
        <f t="shared" si="1"/>
        <v>0</v>
      </c>
      <c r="I11" s="123">
        <f t="shared" si="2"/>
        <v>288</v>
      </c>
      <c r="J11" s="123">
        <f t="shared" si="3"/>
        <v>288</v>
      </c>
    </row>
    <row r="12" spans="1:10">
      <c r="A12" s="58">
        <v>9</v>
      </c>
      <c r="B12" s="77">
        <v>46151</v>
      </c>
      <c r="C12" s="78"/>
      <c r="D12" s="146"/>
      <c r="E12" s="124"/>
      <c r="F12" s="172">
        <v>24</v>
      </c>
      <c r="G12" s="123">
        <f t="shared" si="0"/>
        <v>0</v>
      </c>
      <c r="H12" s="123">
        <f t="shared" si="1"/>
        <v>0</v>
      </c>
      <c r="I12" s="123">
        <f t="shared" si="2"/>
        <v>288</v>
      </c>
      <c r="J12" s="123">
        <f t="shared" si="3"/>
        <v>288</v>
      </c>
    </row>
    <row r="13" spans="1:10">
      <c r="A13" s="58">
        <v>10</v>
      </c>
      <c r="B13" s="77">
        <v>46152</v>
      </c>
      <c r="C13" s="78"/>
      <c r="D13" s="146"/>
      <c r="E13" s="124"/>
      <c r="F13" s="172">
        <v>24</v>
      </c>
      <c r="G13" s="123">
        <f t="shared" si="0"/>
        <v>0</v>
      </c>
      <c r="H13" s="123">
        <f t="shared" si="1"/>
        <v>0</v>
      </c>
      <c r="I13" s="123">
        <f t="shared" si="2"/>
        <v>288</v>
      </c>
      <c r="J13" s="123">
        <f t="shared" si="3"/>
        <v>288</v>
      </c>
    </row>
    <row r="14" spans="1:10">
      <c r="A14" s="58">
        <v>11</v>
      </c>
      <c r="B14" s="77">
        <v>46153</v>
      </c>
      <c r="C14" s="78"/>
      <c r="D14" s="146"/>
      <c r="E14" s="124"/>
      <c r="F14" s="172">
        <v>24</v>
      </c>
      <c r="G14" s="123">
        <f t="shared" si="0"/>
        <v>0</v>
      </c>
      <c r="H14" s="123">
        <f t="shared" si="1"/>
        <v>0</v>
      </c>
      <c r="I14" s="123">
        <f t="shared" si="2"/>
        <v>288</v>
      </c>
      <c r="J14" s="123">
        <f t="shared" si="3"/>
        <v>288</v>
      </c>
    </row>
    <row r="15" spans="1:10">
      <c r="A15" s="58">
        <v>12</v>
      </c>
      <c r="B15" s="77">
        <v>46154</v>
      </c>
      <c r="C15" s="78"/>
      <c r="D15" s="146"/>
      <c r="E15" s="124"/>
      <c r="F15" s="172">
        <v>24</v>
      </c>
      <c r="G15" s="123">
        <f t="shared" si="0"/>
        <v>0</v>
      </c>
      <c r="H15" s="123">
        <f t="shared" si="1"/>
        <v>0</v>
      </c>
      <c r="I15" s="123">
        <f t="shared" si="2"/>
        <v>288</v>
      </c>
      <c r="J15" s="123">
        <f t="shared" si="3"/>
        <v>288</v>
      </c>
    </row>
    <row r="16" spans="1:10">
      <c r="A16" s="58">
        <v>13</v>
      </c>
      <c r="B16" s="77">
        <v>46155</v>
      </c>
      <c r="C16" s="78"/>
      <c r="D16" s="146"/>
      <c r="E16" s="124"/>
      <c r="F16" s="172">
        <v>24</v>
      </c>
      <c r="G16" s="123">
        <f t="shared" si="0"/>
        <v>0</v>
      </c>
      <c r="H16" s="123">
        <f t="shared" si="1"/>
        <v>0</v>
      </c>
      <c r="I16" s="123">
        <f t="shared" si="2"/>
        <v>288</v>
      </c>
      <c r="J16" s="123">
        <f t="shared" si="3"/>
        <v>288</v>
      </c>
    </row>
    <row r="17" spans="1:10">
      <c r="A17" s="58">
        <v>14</v>
      </c>
      <c r="B17" s="77">
        <v>46156</v>
      </c>
      <c r="C17" s="78"/>
      <c r="D17" s="146"/>
      <c r="E17" s="124"/>
      <c r="F17" s="172">
        <v>24</v>
      </c>
      <c r="G17" s="123">
        <f t="shared" si="0"/>
        <v>0</v>
      </c>
      <c r="H17" s="123">
        <f t="shared" si="1"/>
        <v>0</v>
      </c>
      <c r="I17" s="123">
        <f t="shared" si="2"/>
        <v>288</v>
      </c>
      <c r="J17" s="123">
        <f t="shared" si="3"/>
        <v>288</v>
      </c>
    </row>
    <row r="18" spans="1:10">
      <c r="A18" s="58">
        <v>15</v>
      </c>
      <c r="B18" s="77">
        <v>46157</v>
      </c>
      <c r="C18" s="78"/>
      <c r="D18" s="146"/>
      <c r="E18" s="124"/>
      <c r="F18" s="172">
        <v>24</v>
      </c>
      <c r="G18" s="123">
        <f t="shared" si="0"/>
        <v>0</v>
      </c>
      <c r="H18" s="123">
        <f t="shared" si="1"/>
        <v>0</v>
      </c>
      <c r="I18" s="123">
        <f t="shared" si="2"/>
        <v>288</v>
      </c>
      <c r="J18" s="123">
        <f t="shared" si="3"/>
        <v>288</v>
      </c>
    </row>
    <row r="19" spans="1:10">
      <c r="A19" s="58">
        <v>16</v>
      </c>
      <c r="B19" s="77">
        <v>46158</v>
      </c>
      <c r="C19" s="78"/>
      <c r="D19" s="146"/>
      <c r="E19" s="124"/>
      <c r="F19" s="172">
        <v>24</v>
      </c>
      <c r="G19" s="123">
        <f t="shared" si="0"/>
        <v>0</v>
      </c>
      <c r="H19" s="123">
        <f t="shared" si="1"/>
        <v>0</v>
      </c>
      <c r="I19" s="123">
        <f t="shared" si="2"/>
        <v>288</v>
      </c>
      <c r="J19" s="123">
        <f t="shared" si="3"/>
        <v>288</v>
      </c>
    </row>
    <row r="20" spans="1:10">
      <c r="A20" s="58">
        <v>17</v>
      </c>
      <c r="B20" s="77">
        <v>46159</v>
      </c>
      <c r="C20" s="78"/>
      <c r="D20" s="146"/>
      <c r="E20" s="124"/>
      <c r="F20" s="172">
        <v>24</v>
      </c>
      <c r="G20" s="123">
        <f t="shared" si="0"/>
        <v>0</v>
      </c>
      <c r="H20" s="123">
        <f t="shared" si="1"/>
        <v>0</v>
      </c>
      <c r="I20" s="123">
        <f t="shared" si="2"/>
        <v>288</v>
      </c>
      <c r="J20" s="123">
        <f t="shared" si="3"/>
        <v>288</v>
      </c>
    </row>
    <row r="21" spans="1:10">
      <c r="A21" s="58">
        <v>18</v>
      </c>
      <c r="B21" s="77">
        <v>46160</v>
      </c>
      <c r="C21" s="78"/>
      <c r="D21" s="146"/>
      <c r="E21" s="124"/>
      <c r="F21" s="172">
        <v>24</v>
      </c>
      <c r="G21" s="123">
        <f t="shared" si="0"/>
        <v>0</v>
      </c>
      <c r="H21" s="123">
        <f t="shared" si="1"/>
        <v>0</v>
      </c>
      <c r="I21" s="123">
        <f t="shared" si="2"/>
        <v>288</v>
      </c>
      <c r="J21" s="123">
        <f t="shared" si="3"/>
        <v>288</v>
      </c>
    </row>
    <row r="22" spans="1:10">
      <c r="A22" s="58">
        <v>19</v>
      </c>
      <c r="B22" s="77">
        <v>46161</v>
      </c>
      <c r="C22" s="78"/>
      <c r="D22" s="146"/>
      <c r="E22" s="124"/>
      <c r="F22" s="172">
        <v>24</v>
      </c>
      <c r="G22" s="123">
        <f t="shared" si="0"/>
        <v>0</v>
      </c>
      <c r="H22" s="123">
        <f t="shared" si="1"/>
        <v>0</v>
      </c>
      <c r="I22" s="123">
        <f t="shared" si="2"/>
        <v>288</v>
      </c>
      <c r="J22" s="123">
        <f t="shared" si="3"/>
        <v>288</v>
      </c>
    </row>
    <row r="23" spans="1:10">
      <c r="A23" s="58">
        <v>20</v>
      </c>
      <c r="B23" s="77">
        <v>46162</v>
      </c>
      <c r="C23" s="78"/>
      <c r="D23" s="146"/>
      <c r="E23" s="124"/>
      <c r="F23" s="172">
        <v>24</v>
      </c>
      <c r="G23" s="123">
        <f t="shared" si="0"/>
        <v>0</v>
      </c>
      <c r="H23" s="123">
        <f t="shared" si="1"/>
        <v>0</v>
      </c>
      <c r="I23" s="123">
        <f t="shared" si="2"/>
        <v>288</v>
      </c>
      <c r="J23" s="123">
        <f t="shared" si="3"/>
        <v>288</v>
      </c>
    </row>
    <row r="24" spans="1:10">
      <c r="A24" s="58">
        <v>21</v>
      </c>
      <c r="B24" s="77">
        <v>46163</v>
      </c>
      <c r="C24" s="78"/>
      <c r="D24" s="146"/>
      <c r="E24" s="124"/>
      <c r="F24" s="172">
        <v>24</v>
      </c>
      <c r="G24" s="123">
        <f t="shared" si="0"/>
        <v>0</v>
      </c>
      <c r="H24" s="123">
        <f t="shared" si="1"/>
        <v>0</v>
      </c>
      <c r="I24" s="123">
        <f t="shared" si="2"/>
        <v>288</v>
      </c>
      <c r="J24" s="123">
        <f t="shared" si="3"/>
        <v>288</v>
      </c>
    </row>
    <row r="25" spans="1:10">
      <c r="A25" s="58">
        <v>22</v>
      </c>
      <c r="B25" s="77">
        <v>46164</v>
      </c>
      <c r="C25" s="78"/>
      <c r="D25" s="146"/>
      <c r="E25" s="124"/>
      <c r="F25" s="172">
        <v>24</v>
      </c>
      <c r="G25" s="123">
        <f t="shared" si="0"/>
        <v>0</v>
      </c>
      <c r="H25" s="123">
        <f t="shared" si="1"/>
        <v>0</v>
      </c>
      <c r="I25" s="123">
        <f t="shared" si="2"/>
        <v>288</v>
      </c>
      <c r="J25" s="123">
        <f t="shared" si="3"/>
        <v>288</v>
      </c>
    </row>
    <row r="26" spans="1:10">
      <c r="A26" s="58">
        <v>23</v>
      </c>
      <c r="B26" s="77">
        <v>46165</v>
      </c>
      <c r="C26" s="78"/>
      <c r="D26" s="146"/>
      <c r="E26" s="124"/>
      <c r="F26" s="172">
        <v>24</v>
      </c>
      <c r="G26" s="123">
        <f t="shared" si="0"/>
        <v>0</v>
      </c>
      <c r="H26" s="123">
        <f t="shared" si="1"/>
        <v>0</v>
      </c>
      <c r="I26" s="123">
        <f t="shared" si="2"/>
        <v>288</v>
      </c>
      <c r="J26" s="123">
        <f t="shared" si="3"/>
        <v>288</v>
      </c>
    </row>
    <row r="27" spans="1:10">
      <c r="A27" s="58">
        <v>24</v>
      </c>
      <c r="B27" s="77">
        <v>46166</v>
      </c>
      <c r="C27" s="78"/>
      <c r="D27" s="146"/>
      <c r="E27" s="124"/>
      <c r="F27" s="172">
        <v>24</v>
      </c>
      <c r="G27" s="123">
        <f t="shared" si="0"/>
        <v>0</v>
      </c>
      <c r="H27" s="123">
        <f t="shared" si="1"/>
        <v>0</v>
      </c>
      <c r="I27" s="123">
        <f t="shared" si="2"/>
        <v>288</v>
      </c>
      <c r="J27" s="123">
        <f t="shared" si="3"/>
        <v>288</v>
      </c>
    </row>
    <row r="28" spans="1:10">
      <c r="A28" s="58">
        <v>25</v>
      </c>
      <c r="B28" s="77">
        <v>46167</v>
      </c>
      <c r="C28" s="78"/>
      <c r="D28" s="146"/>
      <c r="E28" s="124"/>
      <c r="F28" s="172">
        <v>24</v>
      </c>
      <c r="G28" s="123">
        <f t="shared" si="0"/>
        <v>0</v>
      </c>
      <c r="H28" s="123">
        <f t="shared" si="1"/>
        <v>0</v>
      </c>
      <c r="I28" s="123">
        <f t="shared" si="2"/>
        <v>288</v>
      </c>
      <c r="J28" s="123">
        <f t="shared" si="3"/>
        <v>288</v>
      </c>
    </row>
    <row r="29" spans="1:10">
      <c r="A29" s="58">
        <v>26</v>
      </c>
      <c r="B29" s="77">
        <v>46168</v>
      </c>
      <c r="C29" s="78"/>
      <c r="D29" s="146"/>
      <c r="E29" s="124"/>
      <c r="F29" s="172">
        <v>24</v>
      </c>
      <c r="G29" s="123">
        <f t="shared" si="0"/>
        <v>0</v>
      </c>
      <c r="H29" s="123">
        <f t="shared" si="1"/>
        <v>0</v>
      </c>
      <c r="I29" s="123">
        <f t="shared" si="2"/>
        <v>288</v>
      </c>
      <c r="J29" s="123">
        <f t="shared" si="3"/>
        <v>288</v>
      </c>
    </row>
    <row r="30" spans="1:10">
      <c r="A30" s="58">
        <v>27</v>
      </c>
      <c r="B30" s="77">
        <v>46169</v>
      </c>
      <c r="C30" s="78"/>
      <c r="D30" s="146"/>
      <c r="E30" s="124"/>
      <c r="F30" s="172">
        <v>24</v>
      </c>
      <c r="G30" s="123">
        <f t="shared" si="0"/>
        <v>0</v>
      </c>
      <c r="H30" s="123">
        <f t="shared" si="1"/>
        <v>0</v>
      </c>
      <c r="I30" s="123">
        <f t="shared" si="2"/>
        <v>288</v>
      </c>
      <c r="J30" s="123">
        <f t="shared" si="3"/>
        <v>288</v>
      </c>
    </row>
    <row r="31" spans="1:10">
      <c r="A31" s="58">
        <v>28</v>
      </c>
      <c r="B31" s="77">
        <v>46170</v>
      </c>
      <c r="C31" s="78"/>
      <c r="D31" s="146"/>
      <c r="E31" s="124"/>
      <c r="F31" s="172">
        <v>24</v>
      </c>
      <c r="G31" s="123">
        <f t="shared" si="0"/>
        <v>0</v>
      </c>
      <c r="H31" s="123">
        <f t="shared" si="1"/>
        <v>0</v>
      </c>
      <c r="I31" s="123">
        <f t="shared" si="2"/>
        <v>288</v>
      </c>
      <c r="J31" s="123">
        <f t="shared" si="3"/>
        <v>288</v>
      </c>
    </row>
    <row r="32" spans="1:10">
      <c r="A32" s="58">
        <v>29</v>
      </c>
      <c r="B32" s="77">
        <v>46171</v>
      </c>
      <c r="C32" s="78"/>
      <c r="D32" s="146"/>
      <c r="E32" s="124"/>
      <c r="F32" s="172">
        <v>24</v>
      </c>
      <c r="G32" s="123">
        <f t="shared" si="0"/>
        <v>0</v>
      </c>
      <c r="H32" s="123">
        <f t="shared" si="1"/>
        <v>0</v>
      </c>
      <c r="I32" s="123">
        <f t="shared" si="2"/>
        <v>288</v>
      </c>
      <c r="J32" s="123">
        <f t="shared" si="3"/>
        <v>288</v>
      </c>
    </row>
    <row r="33" spans="1:10">
      <c r="A33" s="58">
        <v>30</v>
      </c>
      <c r="B33" s="77">
        <v>46172</v>
      </c>
      <c r="C33" s="78"/>
      <c r="D33" s="146"/>
      <c r="E33" s="124"/>
      <c r="F33" s="172">
        <v>24</v>
      </c>
      <c r="G33" s="123">
        <f t="shared" si="0"/>
        <v>0</v>
      </c>
      <c r="H33" s="123">
        <f t="shared" si="1"/>
        <v>0</v>
      </c>
      <c r="I33" s="123">
        <f t="shared" si="2"/>
        <v>288</v>
      </c>
      <c r="J33" s="123">
        <f t="shared" si="3"/>
        <v>288</v>
      </c>
    </row>
    <row r="34" spans="1:10">
      <c r="A34" s="58">
        <v>31</v>
      </c>
      <c r="B34" s="77">
        <v>46173</v>
      </c>
      <c r="C34" s="78"/>
      <c r="D34" s="146"/>
      <c r="E34" s="124"/>
      <c r="F34" s="172">
        <v>24</v>
      </c>
      <c r="G34" s="123">
        <f t="shared" si="0"/>
        <v>0</v>
      </c>
      <c r="H34" s="123">
        <f t="shared" si="1"/>
        <v>0</v>
      </c>
      <c r="I34" s="123">
        <f t="shared" si="2"/>
        <v>288</v>
      </c>
      <c r="J34" s="123">
        <f t="shared" si="3"/>
        <v>288</v>
      </c>
    </row>
    <row r="35" spans="1:10">
      <c r="D35" s="123"/>
      <c r="E35" s="123"/>
      <c r="F35" s="123"/>
      <c r="G35" s="123">
        <f>SUM(G4:G34)</f>
        <v>0</v>
      </c>
      <c r="H35" s="123">
        <f>SUM(H4:H34)</f>
        <v>0</v>
      </c>
      <c r="I35" s="123">
        <f>SUM(I4:I34)</f>
        <v>8928</v>
      </c>
      <c r="J35" s="170">
        <f>SUM(J4:J34)</f>
        <v>8928</v>
      </c>
    </row>
  </sheetData>
  <mergeCells count="40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I2:I3"/>
    <mergeCell ref="J2:J3"/>
    <mergeCell ref="B4:C4"/>
    <mergeCell ref="B5:C5"/>
    <mergeCell ref="B6:C6"/>
    <mergeCell ref="B7:C7"/>
    <mergeCell ref="B1:H1"/>
    <mergeCell ref="A2:A3"/>
    <mergeCell ref="B2:C3"/>
    <mergeCell ref="D2:D3"/>
    <mergeCell ref="E2:E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FC5A-EF1C-4443-8412-AF4BF06856E1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 &amp; "г. Казань_Приволжская"</f>
        <v>Акт  №    от  31 Май 2026г. Казань_Приволжская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73"/>
      <c r="C4" s="73"/>
    </row>
    <row r="5" spans="1:7">
      <c r="A5" s="73" t="s">
        <v>124</v>
      </c>
      <c r="B5" s="73"/>
      <c r="C5" s="73"/>
    </row>
    <row r="6" spans="1:7">
      <c r="A6" s="47" t="s">
        <v>125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9" spans="1:7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126</v>
      </c>
      <c r="G9" s="123" t="s">
        <v>127</v>
      </c>
    </row>
    <row r="10" spans="1:7">
      <c r="A10" s="124">
        <v>1</v>
      </c>
      <c r="B10" s="123" t="s">
        <v>128</v>
      </c>
      <c r="C10" s="124" t="s">
        <v>129</v>
      </c>
      <c r="D10" s="58">
        <v>13</v>
      </c>
      <c r="E10" s="130">
        <v>2000</v>
      </c>
      <c r="F10" s="130">
        <f>SUM(D10*E10)</f>
        <v>26000</v>
      </c>
      <c r="G10" s="130">
        <f>F10*1.22</f>
        <v>31720</v>
      </c>
    </row>
    <row r="11" spans="1:7">
      <c r="A11" s="124">
        <v>2</v>
      </c>
      <c r="B11" s="123" t="s">
        <v>130</v>
      </c>
      <c r="C11" s="124" t="s">
        <v>129</v>
      </c>
      <c r="D11" s="58"/>
      <c r="E11" s="130"/>
      <c r="F11" s="130">
        <f>SUM(D11*E11)</f>
        <v>0</v>
      </c>
      <c r="G11" s="130">
        <f>F11*1.2</f>
        <v>0</v>
      </c>
    </row>
    <row r="12" spans="1:7">
      <c r="A12" s="173"/>
      <c r="C12" s="173"/>
      <c r="D12" s="149"/>
      <c r="E12" s="121"/>
      <c r="F12" s="130">
        <f>SUM(F10:F11)</f>
        <v>26000</v>
      </c>
      <c r="G12" s="130">
        <f>SUM(G10:G11)</f>
        <v>31720</v>
      </c>
    </row>
    <row r="13" spans="1:7">
      <c r="A13" s="73" t="s">
        <v>131</v>
      </c>
      <c r="B13" s="73" t="s">
        <v>132</v>
      </c>
      <c r="C13" s="73"/>
      <c r="D13" s="73"/>
    </row>
    <row r="14" spans="1:7">
      <c r="A14" s="73" t="s">
        <v>133</v>
      </c>
      <c r="B14" s="73" t="str">
        <f>B13</f>
        <v>двадцать шесть тысяч рублей ноль копеек</v>
      </c>
      <c r="C14" s="73"/>
      <c r="D14" s="73"/>
    </row>
    <row r="15" spans="1:7">
      <c r="A15" s="73" t="s">
        <v>85</v>
      </c>
      <c r="B15" s="73" t="s">
        <v>134</v>
      </c>
      <c r="F15" s="174"/>
      <c r="G15" s="174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135</v>
      </c>
    </row>
    <row r="22" spans="1:4">
      <c r="A22" s="47" t="s">
        <v>136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EB72-054C-42C9-8120-CCFAF9214AE6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31 Май 2026 г. Казань_Автосервисная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73"/>
      <c r="C4" s="73"/>
    </row>
    <row r="5" spans="1:7">
      <c r="A5" s="73" t="s">
        <v>124</v>
      </c>
      <c r="B5" s="73"/>
      <c r="C5" s="73"/>
    </row>
    <row r="6" spans="1:7">
      <c r="A6" s="47" t="s">
        <v>125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9" spans="1:7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126</v>
      </c>
      <c r="G9" s="123" t="s">
        <v>127</v>
      </c>
    </row>
    <row r="10" spans="1:7">
      <c r="A10" s="124">
        <v>1</v>
      </c>
      <c r="B10" s="123" t="s">
        <v>128</v>
      </c>
      <c r="C10" s="124" t="s">
        <v>129</v>
      </c>
      <c r="D10" s="58">
        <v>13</v>
      </c>
      <c r="E10" s="130">
        <v>2000</v>
      </c>
      <c r="F10" s="130">
        <f>SUM(D10*E10)</f>
        <v>26000</v>
      </c>
      <c r="G10" s="130">
        <f>F10*1.22</f>
        <v>31720</v>
      </c>
    </row>
    <row r="11" spans="1:7">
      <c r="A11" s="124">
        <v>2</v>
      </c>
      <c r="B11" s="123" t="s">
        <v>130</v>
      </c>
      <c r="C11" s="124" t="s">
        <v>129</v>
      </c>
      <c r="D11" s="58"/>
      <c r="E11" s="130"/>
      <c r="F11" s="130">
        <f>SUM(D11*E11)</f>
        <v>0</v>
      </c>
      <c r="G11" s="130">
        <f>F11*1.2</f>
        <v>0</v>
      </c>
    </row>
    <row r="12" spans="1:7">
      <c r="A12" s="173"/>
      <c r="C12" s="173"/>
      <c r="D12" s="149"/>
      <c r="E12" s="121"/>
      <c r="F12" s="130">
        <f>SUM(F10:F11)</f>
        <v>26000</v>
      </c>
      <c r="G12" s="130">
        <f>SUM(G10:G11)</f>
        <v>31720</v>
      </c>
    </row>
    <row r="13" spans="1:7">
      <c r="A13" s="73" t="s">
        <v>131</v>
      </c>
      <c r="B13" s="73" t="s">
        <v>132</v>
      </c>
      <c r="C13" s="73"/>
      <c r="D13" s="73"/>
    </row>
    <row r="14" spans="1:7">
      <c r="A14" s="73" t="s">
        <v>133</v>
      </c>
      <c r="B14" s="73" t="str">
        <f>B13</f>
        <v>двадцать шесть тысяч рублей ноль копеек</v>
      </c>
      <c r="C14" s="73"/>
      <c r="D14" s="73"/>
    </row>
    <row r="15" spans="1:7">
      <c r="A15" s="73" t="s">
        <v>85</v>
      </c>
      <c r="B15" s="73" t="s">
        <v>134</v>
      </c>
      <c r="F15" s="174"/>
      <c r="G15" s="174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135</v>
      </c>
    </row>
    <row r="22" spans="1:4">
      <c r="A22" s="47" t="s">
        <v>136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21E7-8A69-450C-862A-B84F32B2FF87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 &amp; " г. Екатеринбург"</f>
        <v>Акт  №    от  31 Май 2026 г. Екатеринбург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73"/>
      <c r="C4" s="73"/>
    </row>
    <row r="5" spans="1:7">
      <c r="A5" s="73" t="s">
        <v>124</v>
      </c>
      <c r="B5" s="73"/>
      <c r="C5" s="73"/>
    </row>
    <row r="6" spans="1:7">
      <c r="A6" s="47" t="s">
        <v>125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9" spans="1:7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126</v>
      </c>
      <c r="G9" s="123" t="s">
        <v>127</v>
      </c>
    </row>
    <row r="10" spans="1:7">
      <c r="A10" s="124">
        <v>1</v>
      </c>
      <c r="B10" s="123" t="s">
        <v>128</v>
      </c>
      <c r="C10" s="124" t="s">
        <v>129</v>
      </c>
      <c r="D10" s="58">
        <v>1</v>
      </c>
      <c r="E10" s="130">
        <v>2000</v>
      </c>
      <c r="F10" s="130">
        <f>SUM(D10*E10)</f>
        <v>2000</v>
      </c>
      <c r="G10" s="130">
        <f>F10*1.22</f>
        <v>2440</v>
      </c>
    </row>
    <row r="11" spans="1:7">
      <c r="A11" s="124">
        <v>2</v>
      </c>
      <c r="B11" s="123" t="s">
        <v>130</v>
      </c>
      <c r="C11" s="124" t="s">
        <v>129</v>
      </c>
      <c r="D11" s="58"/>
      <c r="E11" s="130"/>
      <c r="F11" s="130">
        <f>SUM(D11*E11)</f>
        <v>0</v>
      </c>
      <c r="G11" s="130">
        <f>F11*1.2</f>
        <v>0</v>
      </c>
    </row>
    <row r="12" spans="1:7">
      <c r="A12" s="173"/>
      <c r="C12" s="173"/>
      <c r="D12" s="149"/>
      <c r="E12" s="121"/>
      <c r="F12" s="130">
        <f>SUM(F10:F11)</f>
        <v>2000</v>
      </c>
      <c r="G12" s="130">
        <f>SUM(G10:G11)</f>
        <v>2440</v>
      </c>
    </row>
    <row r="13" spans="1:7">
      <c r="A13" s="73" t="s">
        <v>131</v>
      </c>
      <c r="B13" s="73" t="s">
        <v>137</v>
      </c>
      <c r="C13" s="73"/>
      <c r="D13" s="73"/>
    </row>
    <row r="14" spans="1:7">
      <c r="A14" s="73" t="s">
        <v>133</v>
      </c>
      <c r="B14" s="73" t="str">
        <f>B13</f>
        <v>две тысячи рублей ноль копеек</v>
      </c>
      <c r="C14" s="73"/>
      <c r="D14" s="73"/>
    </row>
    <row r="15" spans="1:7">
      <c r="A15" s="73" t="s">
        <v>85</v>
      </c>
      <c r="B15" s="73" t="s">
        <v>138</v>
      </c>
      <c r="F15" s="174"/>
      <c r="G15" s="174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135</v>
      </c>
    </row>
    <row r="22" spans="1:4">
      <c r="A22" s="47" t="s">
        <v>136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FBD9-78EA-49E4-803A-7B5CA5F6D04C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139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58">
        <v>1</v>
      </c>
      <c r="B5" s="77" t="s">
        <v>149</v>
      </c>
      <c r="C5" s="78"/>
      <c r="D5" s="175">
        <v>0</v>
      </c>
      <c r="E5" s="175">
        <v>0</v>
      </c>
      <c r="F5" s="175">
        <v>8.2249999999999996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75">
        <v>0</v>
      </c>
      <c r="E6" s="175">
        <v>0</v>
      </c>
      <c r="F6" s="175">
        <v>8.2249999999999996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75">
        <v>0</v>
      </c>
      <c r="E7" s="175">
        <v>0</v>
      </c>
      <c r="F7" s="175">
        <v>8.2249999999999996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75">
        <v>0</v>
      </c>
      <c r="E8" s="175">
        <v>0</v>
      </c>
      <c r="F8" s="175">
        <v>8.2249999999999996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75">
        <v>0</v>
      </c>
      <c r="E9" s="175">
        <v>0</v>
      </c>
      <c r="F9" s="175">
        <v>8.2249999999999996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75">
        <v>0</v>
      </c>
      <c r="E10" s="175">
        <v>0</v>
      </c>
      <c r="F10" s="175">
        <v>8.2249999999999996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75">
        <v>0</v>
      </c>
      <c r="E11" s="175">
        <v>0</v>
      </c>
      <c r="F11" s="175">
        <v>8.2249999999999996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75">
        <v>0</v>
      </c>
      <c r="E12" s="175">
        <v>0</v>
      </c>
      <c r="F12" s="175">
        <v>8.2249999999999996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75">
        <v>0</v>
      </c>
      <c r="E13" s="175">
        <v>0</v>
      </c>
      <c r="F13" s="175">
        <v>8.2249999999999996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75">
        <v>0</v>
      </c>
      <c r="E14" s="175">
        <v>0</v>
      </c>
      <c r="F14" s="175">
        <v>8.2249999999999996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75">
        <v>0</v>
      </c>
      <c r="E15" s="175">
        <v>0</v>
      </c>
      <c r="F15" s="175">
        <v>8.2249999999999996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75">
        <v>0</v>
      </c>
      <c r="E16" s="175">
        <v>0</v>
      </c>
      <c r="F16" s="175">
        <v>8.2249999999999996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75">
        <v>0</v>
      </c>
      <c r="E17" s="175">
        <v>0</v>
      </c>
      <c r="F17" s="175">
        <v>8.2249999999999996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75">
        <v>0</v>
      </c>
      <c r="E18" s="175">
        <v>0</v>
      </c>
      <c r="F18" s="175">
        <v>8.2249999999999996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75">
        <v>0</v>
      </c>
      <c r="E19" s="175">
        <v>4.125</v>
      </c>
      <c r="F19" s="175">
        <v>4.0999999999999996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75">
        <v>0</v>
      </c>
      <c r="E20" s="175">
        <v>0</v>
      </c>
      <c r="F20" s="175">
        <v>4.0999999999999996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75">
        <v>0</v>
      </c>
      <c r="E21" s="175">
        <v>0</v>
      </c>
      <c r="F21" s="175">
        <v>4.0999999999999996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75">
        <v>0</v>
      </c>
      <c r="E22" s="175">
        <v>0</v>
      </c>
      <c r="F22" s="175">
        <v>4.0999999999999996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75">
        <v>0</v>
      </c>
      <c r="E23" s="175">
        <v>0</v>
      </c>
      <c r="F23" s="175">
        <v>4.0999999999999996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75">
        <v>0</v>
      </c>
      <c r="E24" s="175">
        <v>0</v>
      </c>
      <c r="F24" s="175">
        <v>4.0999999999999996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75">
        <v>0</v>
      </c>
      <c r="E25" s="175">
        <v>0</v>
      </c>
      <c r="F25" s="175">
        <v>4.0999999999999996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75">
        <v>0</v>
      </c>
      <c r="E26" s="175">
        <v>0</v>
      </c>
      <c r="F26" s="175">
        <v>4.0999999999999996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75">
        <v>0</v>
      </c>
      <c r="E27" s="175">
        <v>0</v>
      </c>
      <c r="F27" s="175">
        <v>4.0999999999999996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75">
        <v>0</v>
      </c>
      <c r="E28" s="175">
        <v>0</v>
      </c>
      <c r="F28" s="175">
        <v>4.0999999999999996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75">
        <v>0</v>
      </c>
      <c r="E29" s="175">
        <v>0</v>
      </c>
      <c r="F29" s="175">
        <v>4.0999999999999996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75">
        <v>0</v>
      </c>
      <c r="E30" s="175">
        <v>0</v>
      </c>
      <c r="F30" s="175">
        <v>4.0999999999999996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75">
        <v>0</v>
      </c>
      <c r="E31" s="175">
        <v>0</v>
      </c>
      <c r="F31" s="175">
        <v>4.0999999999999996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75">
        <v>0</v>
      </c>
      <c r="E32" s="175">
        <v>0</v>
      </c>
      <c r="F32" s="175">
        <v>4.0999999999999996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75">
        <v>0</v>
      </c>
      <c r="E33" s="175">
        <v>0</v>
      </c>
      <c r="F33" s="175">
        <v>4.0999999999999996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75">
        <v>0</v>
      </c>
      <c r="E34" s="175">
        <v>0</v>
      </c>
      <c r="F34" s="175">
        <v>4.0999999999999996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75">
        <v>0</v>
      </c>
      <c r="E35" s="175">
        <v>0</v>
      </c>
      <c r="F35" s="175">
        <v>4.0999999999999996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0</v>
      </c>
      <c r="E36" s="70">
        <v>4.125</v>
      </c>
      <c r="F36" s="70">
        <v>184.84999999999988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0</v>
      </c>
      <c r="N36" s="178">
        <v>861.61</v>
      </c>
      <c r="O36" s="178">
        <v>1676.33</v>
      </c>
      <c r="P36" s="178">
        <v>0</v>
      </c>
      <c r="Q36" s="178">
        <v>0</v>
      </c>
      <c r="R36" s="178">
        <v>0</v>
      </c>
      <c r="S36" s="178">
        <v>0</v>
      </c>
      <c r="T36" s="178">
        <v>2537.94</v>
      </c>
    </row>
    <row r="37" spans="1:20">
      <c r="R37" s="73"/>
      <c r="S37" s="73"/>
      <c r="T37" s="179">
        <v>3096.29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D0AF-4DE2-4834-8752-B81FA54F3A04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180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58">
        <v>1</v>
      </c>
      <c r="B5" s="77" t="s">
        <v>149</v>
      </c>
      <c r="C5" s="78"/>
      <c r="D5" s="175">
        <v>110.5</v>
      </c>
      <c r="E5" s="175">
        <v>289</v>
      </c>
      <c r="F5" s="175">
        <v>6309.9260000000004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75">
        <v>330.5</v>
      </c>
      <c r="E6" s="175">
        <v>151</v>
      </c>
      <c r="F6" s="175">
        <v>6489.4260000000004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75">
        <v>287.5</v>
      </c>
      <c r="E7" s="175">
        <v>200.5</v>
      </c>
      <c r="F7" s="175">
        <v>6576.4260000000004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75">
        <v>649.5</v>
      </c>
      <c r="E8" s="175">
        <v>201</v>
      </c>
      <c r="F8" s="175">
        <v>7024.9260000000004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75">
        <v>445.5</v>
      </c>
      <c r="E9" s="175">
        <v>67</v>
      </c>
      <c r="F9" s="175">
        <v>7403.4260000000004</v>
      </c>
      <c r="G9" s="176">
        <v>0</v>
      </c>
      <c r="H9" s="176">
        <v>0</v>
      </c>
      <c r="I9" s="62">
        <v>1.375</v>
      </c>
      <c r="J9" s="62">
        <v>1.375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343.75</v>
      </c>
      <c r="S9" s="177">
        <v>192.5</v>
      </c>
      <c r="T9" s="177">
        <v>536.25</v>
      </c>
    </row>
    <row r="10" spans="1:20">
      <c r="A10" s="65">
        <v>6</v>
      </c>
      <c r="B10" s="77" t="s">
        <v>154</v>
      </c>
      <c r="C10" s="78"/>
      <c r="D10" s="175">
        <v>247</v>
      </c>
      <c r="E10" s="175">
        <v>120.625</v>
      </c>
      <c r="F10" s="175">
        <v>7529.8010000000004</v>
      </c>
      <c r="G10" s="176">
        <v>0</v>
      </c>
      <c r="H10" s="176">
        <v>0</v>
      </c>
      <c r="I10" s="62">
        <v>2.7250000000000001</v>
      </c>
      <c r="J10" s="62">
        <v>2.7250000000000001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681.25</v>
      </c>
      <c r="S10" s="177">
        <v>381.5</v>
      </c>
      <c r="T10" s="177">
        <v>1062.75</v>
      </c>
    </row>
    <row r="11" spans="1:20">
      <c r="A11" s="65">
        <v>7</v>
      </c>
      <c r="B11" s="77" t="s">
        <v>155</v>
      </c>
      <c r="C11" s="78"/>
      <c r="D11" s="175">
        <v>470</v>
      </c>
      <c r="E11" s="175">
        <v>194.375</v>
      </c>
      <c r="F11" s="175">
        <v>7805.4260000000004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75">
        <v>379</v>
      </c>
      <c r="E12" s="175">
        <v>112.25</v>
      </c>
      <c r="F12" s="175">
        <v>8072.1760000000004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75">
        <v>376</v>
      </c>
      <c r="E13" s="175">
        <v>22.35</v>
      </c>
      <c r="F13" s="175">
        <v>8425.8259999999991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75">
        <v>399</v>
      </c>
      <c r="E14" s="175">
        <v>135</v>
      </c>
      <c r="F14" s="175">
        <v>8689.8259999999991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75">
        <v>468.5</v>
      </c>
      <c r="E15" s="175">
        <v>0</v>
      </c>
      <c r="F15" s="175">
        <v>9158.3259999999991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75">
        <v>668.5</v>
      </c>
      <c r="E16" s="175">
        <v>221.5</v>
      </c>
      <c r="F16" s="175">
        <v>9605.3259999999991</v>
      </c>
      <c r="G16" s="176">
        <v>0</v>
      </c>
      <c r="H16" s="176">
        <v>0</v>
      </c>
      <c r="I16" s="62">
        <v>1.5</v>
      </c>
      <c r="J16" s="62">
        <v>1.5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375</v>
      </c>
      <c r="S16" s="177">
        <v>210</v>
      </c>
      <c r="T16" s="177">
        <v>585</v>
      </c>
    </row>
    <row r="17" spans="1:20">
      <c r="A17" s="65">
        <v>13</v>
      </c>
      <c r="B17" s="77" t="s">
        <v>161</v>
      </c>
      <c r="C17" s="78"/>
      <c r="D17" s="175">
        <v>731.5</v>
      </c>
      <c r="E17" s="175">
        <v>89.075000000000003</v>
      </c>
      <c r="F17" s="175">
        <v>10247.751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75">
        <v>471</v>
      </c>
      <c r="E18" s="175">
        <v>136.375</v>
      </c>
      <c r="F18" s="175">
        <v>10582.376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75">
        <v>332.5</v>
      </c>
      <c r="E19" s="175">
        <v>80</v>
      </c>
      <c r="F19" s="175">
        <v>10834.876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75">
        <v>399</v>
      </c>
      <c r="E20" s="175">
        <v>44</v>
      </c>
      <c r="F20" s="175">
        <v>11189.876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75">
        <v>67.5</v>
      </c>
      <c r="E21" s="175">
        <v>22</v>
      </c>
      <c r="F21" s="175">
        <v>11235.376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75">
        <v>202.5</v>
      </c>
      <c r="E22" s="175">
        <v>22.5</v>
      </c>
      <c r="F22" s="175">
        <v>11415.376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75">
        <v>112.5</v>
      </c>
      <c r="E23" s="175">
        <v>67</v>
      </c>
      <c r="F23" s="175">
        <v>11460.876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75">
        <v>0</v>
      </c>
      <c r="E24" s="175">
        <v>143.40299999999999</v>
      </c>
      <c r="F24" s="175">
        <v>11317.473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75">
        <v>56.381</v>
      </c>
      <c r="E25" s="175">
        <v>111.25</v>
      </c>
      <c r="F25" s="175">
        <v>11262.603999999999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75">
        <v>179.5</v>
      </c>
      <c r="E26" s="175">
        <v>96.875</v>
      </c>
      <c r="F26" s="175">
        <v>11345.228999999999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75">
        <v>201</v>
      </c>
      <c r="E27" s="175">
        <v>22</v>
      </c>
      <c r="F27" s="175">
        <v>11524.228999999999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75">
        <v>265</v>
      </c>
      <c r="E28" s="175">
        <v>22.5</v>
      </c>
      <c r="F28" s="175">
        <v>11766.728999999999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75">
        <v>133.5</v>
      </c>
      <c r="E29" s="175">
        <v>136.02500000000001</v>
      </c>
      <c r="F29" s="175">
        <v>11764.204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75">
        <v>133.5</v>
      </c>
      <c r="E30" s="175">
        <v>311.78800000000001</v>
      </c>
      <c r="F30" s="175">
        <v>11585.915999999999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75">
        <v>176.5</v>
      </c>
      <c r="E31" s="175">
        <v>264.64</v>
      </c>
      <c r="F31" s="175">
        <v>11497.776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75">
        <v>264.5</v>
      </c>
      <c r="E32" s="175">
        <v>341.55900000000003</v>
      </c>
      <c r="F32" s="175">
        <v>11420.717000000001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75">
        <v>265.5</v>
      </c>
      <c r="E33" s="175">
        <v>219.26400000000001</v>
      </c>
      <c r="F33" s="175">
        <v>11466.953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75">
        <v>198</v>
      </c>
      <c r="E34" s="175">
        <v>226.875</v>
      </c>
      <c r="F34" s="175">
        <v>11438.078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75">
        <v>132</v>
      </c>
      <c r="E35" s="175">
        <v>221</v>
      </c>
      <c r="F35" s="175">
        <v>11349.078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9153.3810000000012</v>
      </c>
      <c r="E36" s="70">
        <v>4292.7290000000003</v>
      </c>
      <c r="F36" s="70">
        <v>307796.3299999999</v>
      </c>
      <c r="G36" s="70">
        <v>0</v>
      </c>
      <c r="H36" s="70">
        <v>0</v>
      </c>
      <c r="I36" s="70">
        <v>5.6</v>
      </c>
      <c r="J36" s="70">
        <v>5.6</v>
      </c>
      <c r="K36" s="70">
        <v>0</v>
      </c>
      <c r="L36" s="178">
        <v>0</v>
      </c>
      <c r="M36" s="178">
        <v>917225.58</v>
      </c>
      <c r="N36" s="178">
        <v>896647.23</v>
      </c>
      <c r="O36" s="178">
        <v>2791274.25</v>
      </c>
      <c r="P36" s="178">
        <v>1821651.75</v>
      </c>
      <c r="Q36" s="178">
        <v>0</v>
      </c>
      <c r="R36" s="178">
        <v>1400</v>
      </c>
      <c r="S36" s="178">
        <v>784</v>
      </c>
      <c r="T36" s="178">
        <v>6428982.8099999996</v>
      </c>
    </row>
    <row r="37" spans="1:20">
      <c r="R37" s="73"/>
      <c r="S37" s="73"/>
      <c r="T37" s="179">
        <v>7843359.0300000003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D187-A4B1-4E71-A4A1-6C7288662251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66</v>
      </c>
      <c r="E5" s="180">
        <v>44</v>
      </c>
      <c r="F5" s="180">
        <v>441.375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22</v>
      </c>
      <c r="E6" s="180">
        <v>44</v>
      </c>
      <c r="F6" s="180">
        <v>419.375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44</v>
      </c>
      <c r="E7" s="180">
        <v>44</v>
      </c>
      <c r="F7" s="180">
        <v>419.375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44</v>
      </c>
      <c r="E8" s="180">
        <v>22</v>
      </c>
      <c r="F8" s="180">
        <v>441.375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242</v>
      </c>
      <c r="E9" s="180">
        <v>0</v>
      </c>
      <c r="F9" s="180">
        <v>683.375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153.97499999999999</v>
      </c>
      <c r="E10" s="180">
        <v>0</v>
      </c>
      <c r="F10" s="180">
        <v>837.35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88</v>
      </c>
      <c r="E11" s="180">
        <v>0</v>
      </c>
      <c r="F11" s="180">
        <v>925.35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110</v>
      </c>
      <c r="E12" s="180">
        <v>44</v>
      </c>
      <c r="F12" s="180">
        <v>991.35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22</v>
      </c>
      <c r="E13" s="180">
        <v>22</v>
      </c>
      <c r="F13" s="180">
        <v>991.35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22</v>
      </c>
      <c r="E14" s="180">
        <v>0</v>
      </c>
      <c r="F14" s="180">
        <v>1013.35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44</v>
      </c>
      <c r="E15" s="180">
        <v>0</v>
      </c>
      <c r="F15" s="180">
        <v>1057.3499999999999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1057.3499999999999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1057.3499999999999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1057.3499999999999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1057.3499999999999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1057.3499999999999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1057.3499999999999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1057.3499999999999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1057.3499999999999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22</v>
      </c>
      <c r="F24" s="180">
        <v>1035.3499999999999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44</v>
      </c>
      <c r="F25" s="180">
        <v>991.35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22</v>
      </c>
      <c r="F26" s="180">
        <v>969.35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22</v>
      </c>
      <c r="F27" s="180">
        <v>947.35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947.35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22</v>
      </c>
      <c r="F29" s="180">
        <v>925.35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66</v>
      </c>
      <c r="F30" s="180">
        <v>859.35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22</v>
      </c>
      <c r="F31" s="180">
        <v>837.35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837.35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837.35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66</v>
      </c>
      <c r="F34" s="180">
        <v>771.35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771.35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857.97500000000002</v>
      </c>
      <c r="E36" s="70">
        <v>506</v>
      </c>
      <c r="F36" s="70">
        <v>27409.974999999984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85974.42</v>
      </c>
      <c r="N36" s="178">
        <v>105691.16</v>
      </c>
      <c r="O36" s="178">
        <v>248569.43</v>
      </c>
      <c r="P36" s="178">
        <v>0</v>
      </c>
      <c r="Q36" s="178">
        <v>0</v>
      </c>
      <c r="R36" s="178">
        <v>0</v>
      </c>
      <c r="S36" s="178">
        <v>0</v>
      </c>
      <c r="T36" s="178">
        <v>440235.01</v>
      </c>
    </row>
    <row r="37" spans="1:20">
      <c r="R37" s="73"/>
      <c r="S37" s="73"/>
      <c r="T37" s="179">
        <v>537086.71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E177-8D28-4D4A-A939-BF555B2CC043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3.85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3.85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3.85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3.85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0</v>
      </c>
      <c r="E9" s="180">
        <v>0</v>
      </c>
      <c r="F9" s="180">
        <v>3.85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3.85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3.85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3.85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3.85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3.85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3.85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3.85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3.85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3.85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3.85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3.85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0.15</v>
      </c>
      <c r="E21" s="180">
        <v>0</v>
      </c>
      <c r="F21" s="180">
        <v>4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17.875</v>
      </c>
      <c r="E22" s="180">
        <v>0</v>
      </c>
      <c r="F22" s="180">
        <v>21.875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21.875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21.875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21.875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21.875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21.875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21.875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21.875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21.875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21.875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1.177</v>
      </c>
      <c r="E32" s="180">
        <v>0</v>
      </c>
      <c r="F32" s="180">
        <v>23.052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23.052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23.052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23.052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19.201999999999998</v>
      </c>
      <c r="E36" s="70">
        <v>0</v>
      </c>
      <c r="F36" s="70">
        <v>376.55800000000011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2216.02</v>
      </c>
      <c r="N36" s="178">
        <v>0</v>
      </c>
      <c r="O36" s="178">
        <v>8536.44</v>
      </c>
      <c r="P36" s="178">
        <v>0</v>
      </c>
      <c r="Q36" s="178">
        <v>0</v>
      </c>
      <c r="R36" s="178">
        <v>0</v>
      </c>
      <c r="S36" s="178">
        <v>0</v>
      </c>
      <c r="T36" s="178">
        <v>10752.46</v>
      </c>
    </row>
    <row r="37" spans="1:20">
      <c r="R37" s="73"/>
      <c r="S37" s="73"/>
      <c r="T37" s="179">
        <v>13118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846E-08D9-45E5-BF4B-807EC574950F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183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84.593999999999994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84.593999999999994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84.593999999999994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84.593999999999994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0</v>
      </c>
      <c r="E9" s="180">
        <v>0</v>
      </c>
      <c r="F9" s="180">
        <v>84.593999999999994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84.593999999999994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84.593999999999994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84.593999999999994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84.593999999999994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84.593999999999994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84.593999999999994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84.593999999999994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84.593999999999994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84.593999999999994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84.593999999999994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84.593999999999994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84.593999999999994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84.593999999999994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84.593999999999994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84.593999999999994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84.593999999999994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84.593999999999994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84.593999999999994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84.593999999999994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84.593999999999994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84.593999999999994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84.593999999999994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84.593999999999994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84.593999999999994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84.593999999999994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84.593999999999994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0</v>
      </c>
      <c r="E36" s="70">
        <v>0</v>
      </c>
      <c r="F36" s="70">
        <v>2622.4140000000011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0</v>
      </c>
      <c r="N36" s="178">
        <v>0</v>
      </c>
      <c r="O36" s="178">
        <v>59449.2</v>
      </c>
      <c r="P36" s="178">
        <v>0</v>
      </c>
      <c r="Q36" s="178">
        <v>0</v>
      </c>
      <c r="R36" s="178">
        <v>0</v>
      </c>
      <c r="S36" s="178">
        <v>0</v>
      </c>
      <c r="T36" s="178">
        <v>59449.2</v>
      </c>
    </row>
    <row r="37" spans="1:20">
      <c r="R37" s="73"/>
      <c r="S37" s="73"/>
      <c r="T37" s="179">
        <v>72528.02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79E3-9DDA-44A1-A6C4-E318AE821E79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1" width="9.140625" style="47"/>
    <col min="12" max="12" width="14" style="47" customWidth="1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184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157.173</v>
      </c>
      <c r="E5" s="180">
        <v>0</v>
      </c>
      <c r="F5" s="180">
        <v>5813.0829999999996</v>
      </c>
      <c r="G5" s="176">
        <v>0</v>
      </c>
      <c r="H5" s="176">
        <v>0</v>
      </c>
      <c r="I5" s="62">
        <v>26.599000000000004</v>
      </c>
      <c r="J5" s="62">
        <v>69.224000000000004</v>
      </c>
      <c r="K5" s="63">
        <v>0.123</v>
      </c>
      <c r="L5" s="177">
        <v>18.45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26599</v>
      </c>
      <c r="S5" s="177">
        <v>13844.8</v>
      </c>
      <c r="T5" s="177">
        <v>40462.25</v>
      </c>
    </row>
    <row r="6" spans="1:20">
      <c r="A6" s="65">
        <v>2</v>
      </c>
      <c r="B6" s="77" t="s">
        <v>150</v>
      </c>
      <c r="C6" s="78"/>
      <c r="D6" s="180">
        <v>584.99900000000002</v>
      </c>
      <c r="E6" s="180">
        <v>4.25</v>
      </c>
      <c r="F6" s="180">
        <v>6393.8320000000003</v>
      </c>
      <c r="G6" s="176">
        <v>0</v>
      </c>
      <c r="H6" s="176">
        <v>0</v>
      </c>
      <c r="I6" s="62">
        <v>0</v>
      </c>
      <c r="J6" s="62">
        <v>0.90000000000000013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180</v>
      </c>
      <c r="T6" s="177">
        <v>180</v>
      </c>
    </row>
    <row r="7" spans="1:20">
      <c r="A7" s="65">
        <v>3</v>
      </c>
      <c r="B7" s="77" t="s">
        <v>151</v>
      </c>
      <c r="C7" s="78"/>
      <c r="D7" s="180">
        <v>771.86900000000003</v>
      </c>
      <c r="E7" s="180">
        <v>0</v>
      </c>
      <c r="F7" s="180">
        <v>7165.701</v>
      </c>
      <c r="G7" s="176">
        <v>0</v>
      </c>
      <c r="H7" s="176">
        <v>0</v>
      </c>
      <c r="I7" s="62">
        <v>20.05</v>
      </c>
      <c r="J7" s="62">
        <v>39.85</v>
      </c>
      <c r="K7" s="63">
        <v>9.4E-2</v>
      </c>
      <c r="L7" s="177">
        <v>14.1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20050</v>
      </c>
      <c r="S7" s="177">
        <v>7970</v>
      </c>
      <c r="T7" s="177">
        <v>28034.1</v>
      </c>
    </row>
    <row r="8" spans="1:20">
      <c r="A8" s="65">
        <v>4</v>
      </c>
      <c r="B8" s="77" t="s">
        <v>152</v>
      </c>
      <c r="C8" s="78"/>
      <c r="D8" s="180">
        <v>708.01300000000003</v>
      </c>
      <c r="E8" s="180">
        <v>45</v>
      </c>
      <c r="F8" s="180">
        <v>7828.7139999999999</v>
      </c>
      <c r="G8" s="176">
        <v>0</v>
      </c>
      <c r="H8" s="176">
        <v>0</v>
      </c>
      <c r="I8" s="62">
        <v>4.3499999999999996</v>
      </c>
      <c r="J8" s="62">
        <v>40.499999999999993</v>
      </c>
      <c r="K8" s="63">
        <v>0.05</v>
      </c>
      <c r="L8" s="177">
        <v>7.5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4350</v>
      </c>
      <c r="S8" s="177">
        <v>8100</v>
      </c>
      <c r="T8" s="177">
        <v>12457.5</v>
      </c>
    </row>
    <row r="9" spans="1:20">
      <c r="A9" s="65">
        <v>5</v>
      </c>
      <c r="B9" s="77" t="s">
        <v>153</v>
      </c>
      <c r="C9" s="78"/>
      <c r="D9" s="180">
        <v>763.48299999999995</v>
      </c>
      <c r="E9" s="180">
        <v>67.5</v>
      </c>
      <c r="F9" s="180">
        <v>8524.6970000000001</v>
      </c>
      <c r="G9" s="176">
        <v>0</v>
      </c>
      <c r="H9" s="176">
        <v>0</v>
      </c>
      <c r="I9" s="62">
        <v>7.2309999999999999</v>
      </c>
      <c r="J9" s="62">
        <v>32.780999999999999</v>
      </c>
      <c r="K9" s="63">
        <v>0.10600000000000001</v>
      </c>
      <c r="L9" s="177">
        <v>15.9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7231</v>
      </c>
      <c r="S9" s="177">
        <v>6556.2</v>
      </c>
      <c r="T9" s="177">
        <v>13803.1</v>
      </c>
    </row>
    <row r="10" spans="1:20">
      <c r="A10" s="65">
        <v>6</v>
      </c>
      <c r="B10" s="77" t="s">
        <v>154</v>
      </c>
      <c r="C10" s="78"/>
      <c r="D10" s="180">
        <v>316.85000000000002</v>
      </c>
      <c r="E10" s="180">
        <v>260.75</v>
      </c>
      <c r="F10" s="180">
        <v>8580.7970000000005</v>
      </c>
      <c r="G10" s="176">
        <v>0</v>
      </c>
      <c r="H10" s="176">
        <v>0</v>
      </c>
      <c r="I10" s="62">
        <v>5.2749999999999995</v>
      </c>
      <c r="J10" s="62">
        <v>25.225000000000001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5275</v>
      </c>
      <c r="S10" s="177">
        <v>5045</v>
      </c>
      <c r="T10" s="177">
        <v>10320</v>
      </c>
    </row>
    <row r="11" spans="1:20">
      <c r="A11" s="65">
        <v>7</v>
      </c>
      <c r="B11" s="77" t="s">
        <v>155</v>
      </c>
      <c r="C11" s="78"/>
      <c r="D11" s="180">
        <v>423.14100000000002</v>
      </c>
      <c r="E11" s="180">
        <v>45.05</v>
      </c>
      <c r="F11" s="180">
        <v>8958.8880000000008</v>
      </c>
      <c r="G11" s="176">
        <v>0</v>
      </c>
      <c r="H11" s="176">
        <v>0</v>
      </c>
      <c r="I11" s="62">
        <v>6.6750000000000007</v>
      </c>
      <c r="J11" s="62">
        <v>37.625</v>
      </c>
      <c r="K11" s="63">
        <v>7.5000000000000011E-2</v>
      </c>
      <c r="L11" s="177">
        <v>11.25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6675</v>
      </c>
      <c r="S11" s="177">
        <v>7525</v>
      </c>
      <c r="T11" s="177">
        <v>14211.25</v>
      </c>
    </row>
    <row r="12" spans="1:20">
      <c r="A12" s="65">
        <v>8</v>
      </c>
      <c r="B12" s="77" t="s">
        <v>156</v>
      </c>
      <c r="C12" s="78"/>
      <c r="D12" s="180">
        <v>62.874000000000002</v>
      </c>
      <c r="E12" s="180">
        <v>147</v>
      </c>
      <c r="F12" s="180">
        <v>8874.7620000000006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160.69499999999999</v>
      </c>
      <c r="E13" s="180">
        <v>0</v>
      </c>
      <c r="F13" s="180">
        <v>9035.4570000000003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80.084999999999994</v>
      </c>
      <c r="E14" s="180">
        <v>0</v>
      </c>
      <c r="F14" s="180">
        <v>9115.5419999999995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181.31399999999999</v>
      </c>
      <c r="E15" s="180">
        <v>22.5</v>
      </c>
      <c r="F15" s="180">
        <v>9274.3559999999998</v>
      </c>
      <c r="G15" s="176">
        <v>0</v>
      </c>
      <c r="H15" s="176">
        <v>0</v>
      </c>
      <c r="I15" s="62">
        <v>29.945</v>
      </c>
      <c r="J15" s="62">
        <v>29.945</v>
      </c>
      <c r="K15" s="63">
        <v>0.114</v>
      </c>
      <c r="L15" s="177">
        <v>17.100000000000001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29945</v>
      </c>
      <c r="S15" s="177">
        <v>5989</v>
      </c>
      <c r="T15" s="177">
        <v>35951.1</v>
      </c>
    </row>
    <row r="16" spans="1:20">
      <c r="A16" s="65">
        <v>12</v>
      </c>
      <c r="B16" s="77" t="s">
        <v>160</v>
      </c>
      <c r="C16" s="78"/>
      <c r="D16" s="180">
        <v>576.20000000000005</v>
      </c>
      <c r="E16" s="180">
        <v>67.5</v>
      </c>
      <c r="F16" s="180">
        <v>9783.0560000000005</v>
      </c>
      <c r="G16" s="176">
        <v>0</v>
      </c>
      <c r="H16" s="176">
        <v>0</v>
      </c>
      <c r="I16" s="62">
        <v>61.5</v>
      </c>
      <c r="J16" s="62">
        <v>61.5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61500</v>
      </c>
      <c r="S16" s="177">
        <v>12300</v>
      </c>
      <c r="T16" s="177">
        <v>73800</v>
      </c>
    </row>
    <row r="17" spans="1:20">
      <c r="A17" s="65">
        <v>13</v>
      </c>
      <c r="B17" s="77" t="s">
        <v>161</v>
      </c>
      <c r="C17" s="78"/>
      <c r="D17" s="180">
        <v>819</v>
      </c>
      <c r="E17" s="180">
        <v>67.5</v>
      </c>
      <c r="F17" s="180">
        <v>10534.556</v>
      </c>
      <c r="G17" s="176">
        <v>0</v>
      </c>
      <c r="H17" s="176">
        <v>0</v>
      </c>
      <c r="I17" s="62">
        <v>38.992000000000004</v>
      </c>
      <c r="J17" s="62">
        <v>47.992000000000004</v>
      </c>
      <c r="K17" s="63">
        <v>0.16699999999999998</v>
      </c>
      <c r="L17" s="177">
        <v>25.05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38992</v>
      </c>
      <c r="S17" s="177">
        <v>9598.4</v>
      </c>
      <c r="T17" s="177">
        <v>48615.45</v>
      </c>
    </row>
    <row r="18" spans="1:20">
      <c r="A18" s="65">
        <v>14</v>
      </c>
      <c r="B18" s="77" t="s">
        <v>162</v>
      </c>
      <c r="C18" s="78"/>
      <c r="D18" s="180">
        <v>899.99099999999999</v>
      </c>
      <c r="E18" s="180">
        <v>118.5</v>
      </c>
      <c r="F18" s="180">
        <v>11316.047</v>
      </c>
      <c r="G18" s="176">
        <v>0</v>
      </c>
      <c r="H18" s="176">
        <v>0</v>
      </c>
      <c r="I18" s="62">
        <v>28.475000000000001</v>
      </c>
      <c r="J18" s="62">
        <v>28.475000000000001</v>
      </c>
      <c r="K18" s="63">
        <v>6.6000000000000003E-2</v>
      </c>
      <c r="L18" s="177">
        <v>9.9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28475</v>
      </c>
      <c r="S18" s="177">
        <v>5695</v>
      </c>
      <c r="T18" s="177">
        <v>34179.9</v>
      </c>
    </row>
    <row r="19" spans="1:20">
      <c r="A19" s="65">
        <v>15</v>
      </c>
      <c r="B19" s="77" t="s">
        <v>163</v>
      </c>
      <c r="C19" s="78"/>
      <c r="D19" s="180">
        <v>179.75</v>
      </c>
      <c r="E19" s="180">
        <v>78.75</v>
      </c>
      <c r="F19" s="180">
        <v>11417.047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146.66999999999999</v>
      </c>
      <c r="E20" s="180">
        <v>180</v>
      </c>
      <c r="F20" s="180">
        <v>11383.717000000001</v>
      </c>
      <c r="G20" s="176">
        <v>0</v>
      </c>
      <c r="H20" s="176">
        <v>0</v>
      </c>
      <c r="I20" s="62">
        <v>23.645</v>
      </c>
      <c r="J20" s="62">
        <v>30.570000000000004</v>
      </c>
      <c r="K20" s="63">
        <v>2.77</v>
      </c>
      <c r="L20" s="177">
        <v>415.5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23645</v>
      </c>
      <c r="S20" s="177">
        <v>6114</v>
      </c>
      <c r="T20" s="177">
        <v>30174.5</v>
      </c>
    </row>
    <row r="21" spans="1:20">
      <c r="A21" s="65">
        <v>17</v>
      </c>
      <c r="B21" s="77" t="s">
        <v>165</v>
      </c>
      <c r="C21" s="78"/>
      <c r="D21" s="180">
        <v>142.32900000000001</v>
      </c>
      <c r="E21" s="180">
        <v>67.5</v>
      </c>
      <c r="F21" s="180">
        <v>11458.546</v>
      </c>
      <c r="G21" s="176">
        <v>0</v>
      </c>
      <c r="H21" s="176">
        <v>0</v>
      </c>
      <c r="I21" s="62">
        <v>3.625</v>
      </c>
      <c r="J21" s="62">
        <v>30.9</v>
      </c>
      <c r="K21" s="63">
        <v>0.65</v>
      </c>
      <c r="L21" s="177">
        <v>97.5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3625</v>
      </c>
      <c r="S21" s="177">
        <v>6180</v>
      </c>
      <c r="T21" s="177">
        <v>9902.5</v>
      </c>
    </row>
    <row r="22" spans="1:20">
      <c r="A22" s="65">
        <v>18</v>
      </c>
      <c r="B22" s="77" t="s">
        <v>166</v>
      </c>
      <c r="C22" s="78"/>
      <c r="D22" s="180">
        <v>89.29</v>
      </c>
      <c r="E22" s="180">
        <v>55.5</v>
      </c>
      <c r="F22" s="180">
        <v>11492.335999999999</v>
      </c>
      <c r="G22" s="176">
        <v>0</v>
      </c>
      <c r="H22" s="176">
        <v>0</v>
      </c>
      <c r="I22" s="62">
        <v>7.69</v>
      </c>
      <c r="J22" s="62">
        <v>38.164999999999992</v>
      </c>
      <c r="K22" s="63">
        <v>7.5150000000000006</v>
      </c>
      <c r="L22" s="177">
        <v>1127.25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7690</v>
      </c>
      <c r="S22" s="177">
        <v>7633</v>
      </c>
      <c r="T22" s="177">
        <v>16450.25</v>
      </c>
    </row>
    <row r="23" spans="1:20">
      <c r="A23" s="65">
        <v>19</v>
      </c>
      <c r="B23" s="77" t="s">
        <v>167</v>
      </c>
      <c r="C23" s="78"/>
      <c r="D23" s="180">
        <v>26.375</v>
      </c>
      <c r="E23" s="180">
        <v>157.5</v>
      </c>
      <c r="F23" s="180">
        <v>11361.210999999999</v>
      </c>
      <c r="G23" s="176">
        <v>0</v>
      </c>
      <c r="H23" s="176">
        <v>0</v>
      </c>
      <c r="I23" s="62">
        <v>5.875</v>
      </c>
      <c r="J23" s="62">
        <v>20.299999999999997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5875</v>
      </c>
      <c r="S23" s="177">
        <v>4060</v>
      </c>
      <c r="T23" s="177">
        <v>9935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92.75</v>
      </c>
      <c r="F24" s="180">
        <v>11268.460999999999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167.5</v>
      </c>
      <c r="F25" s="180">
        <v>11100.960999999999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205.7</v>
      </c>
      <c r="F26" s="180">
        <v>10895.261</v>
      </c>
      <c r="G26" s="176">
        <v>0</v>
      </c>
      <c r="H26" s="176">
        <v>0</v>
      </c>
      <c r="I26" s="62">
        <v>0</v>
      </c>
      <c r="J26" s="62">
        <v>2.5000000000000001E-2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5</v>
      </c>
      <c r="T26" s="177">
        <v>5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270</v>
      </c>
      <c r="F27" s="180">
        <v>10625.261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19.25</v>
      </c>
      <c r="E28" s="180">
        <v>266.5</v>
      </c>
      <c r="F28" s="180">
        <v>10378.011</v>
      </c>
      <c r="G28" s="176">
        <v>0</v>
      </c>
      <c r="H28" s="176">
        <v>0</v>
      </c>
      <c r="I28" s="62">
        <v>2.75</v>
      </c>
      <c r="J28" s="62">
        <v>8.25</v>
      </c>
      <c r="K28" s="63">
        <v>1.375</v>
      </c>
      <c r="L28" s="177">
        <v>206.25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2750</v>
      </c>
      <c r="S28" s="177">
        <v>1650</v>
      </c>
      <c r="T28" s="177">
        <v>4606.25</v>
      </c>
    </row>
    <row r="29" spans="1:20">
      <c r="A29" s="65">
        <v>25</v>
      </c>
      <c r="B29" s="77" t="s">
        <v>173</v>
      </c>
      <c r="C29" s="78"/>
      <c r="D29" s="180">
        <v>4.4809999999999999</v>
      </c>
      <c r="E29" s="180">
        <v>318.5</v>
      </c>
      <c r="F29" s="180">
        <v>10063.992</v>
      </c>
      <c r="G29" s="176">
        <v>0</v>
      </c>
      <c r="H29" s="176">
        <v>0</v>
      </c>
      <c r="I29" s="62">
        <v>2.681</v>
      </c>
      <c r="J29" s="62">
        <v>3.1059999999999999</v>
      </c>
      <c r="K29" s="63">
        <v>1.2809999999999999</v>
      </c>
      <c r="L29" s="177">
        <v>192.15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2681</v>
      </c>
      <c r="S29" s="177">
        <v>621.20000000000005</v>
      </c>
      <c r="T29" s="177">
        <v>3494.35</v>
      </c>
    </row>
    <row r="30" spans="1:20">
      <c r="A30" s="65">
        <v>26</v>
      </c>
      <c r="B30" s="77" t="s">
        <v>174</v>
      </c>
      <c r="C30" s="78"/>
      <c r="D30" s="180">
        <v>4.1159999999999997</v>
      </c>
      <c r="E30" s="180">
        <v>323.39999999999998</v>
      </c>
      <c r="F30" s="180">
        <v>9744.7080000000005</v>
      </c>
      <c r="G30" s="176">
        <v>0</v>
      </c>
      <c r="H30" s="176">
        <v>0</v>
      </c>
      <c r="I30" s="62">
        <v>4.1160000000000005</v>
      </c>
      <c r="J30" s="62">
        <v>4.1160000000000005</v>
      </c>
      <c r="K30" s="63">
        <v>4.1160000000000005</v>
      </c>
      <c r="L30" s="177">
        <v>617.4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4116</v>
      </c>
      <c r="S30" s="177">
        <v>823.2</v>
      </c>
      <c r="T30" s="177">
        <v>5556.6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46.674999999999997</v>
      </c>
      <c r="F31" s="180">
        <v>9698.0329999999994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30.899000000000001</v>
      </c>
      <c r="E32" s="180">
        <v>260.5</v>
      </c>
      <c r="F32" s="180">
        <v>9468.4320000000007</v>
      </c>
      <c r="G32" s="176">
        <v>0</v>
      </c>
      <c r="H32" s="176">
        <v>0</v>
      </c>
      <c r="I32" s="62">
        <v>32.075999999999993</v>
      </c>
      <c r="J32" s="62">
        <v>32.075999999999993</v>
      </c>
      <c r="K32" s="63">
        <v>32.075999999999993</v>
      </c>
      <c r="L32" s="177">
        <v>4811.3999999999996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32076</v>
      </c>
      <c r="S32" s="177">
        <v>6415.2</v>
      </c>
      <c r="T32" s="177">
        <v>43302.6</v>
      </c>
    </row>
    <row r="33" spans="1:20">
      <c r="A33" s="65">
        <v>29</v>
      </c>
      <c r="B33" s="77" t="s">
        <v>177</v>
      </c>
      <c r="C33" s="78"/>
      <c r="D33" s="180">
        <v>42.908999999999999</v>
      </c>
      <c r="E33" s="180">
        <v>229</v>
      </c>
      <c r="F33" s="180">
        <v>9282.3410000000003</v>
      </c>
      <c r="G33" s="176">
        <v>0</v>
      </c>
      <c r="H33" s="176">
        <v>0</v>
      </c>
      <c r="I33" s="62">
        <v>21.114000000000004</v>
      </c>
      <c r="J33" s="62">
        <v>21.114000000000004</v>
      </c>
      <c r="K33" s="63">
        <v>21.114000000000004</v>
      </c>
      <c r="L33" s="177">
        <v>3167.1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21114</v>
      </c>
      <c r="S33" s="177">
        <v>4222.8</v>
      </c>
      <c r="T33" s="177">
        <v>28503.9</v>
      </c>
    </row>
    <row r="34" spans="1:20">
      <c r="A34" s="65">
        <v>30</v>
      </c>
      <c r="B34" s="77" t="s">
        <v>178</v>
      </c>
      <c r="C34" s="78"/>
      <c r="D34" s="180">
        <v>5.7290000000000001</v>
      </c>
      <c r="E34" s="180">
        <v>394.5</v>
      </c>
      <c r="F34" s="180">
        <v>8893.57</v>
      </c>
      <c r="G34" s="176">
        <v>0</v>
      </c>
      <c r="H34" s="176">
        <v>0</v>
      </c>
      <c r="I34" s="62">
        <v>7.2919999999999998</v>
      </c>
      <c r="J34" s="62">
        <v>8.2669999999999995</v>
      </c>
      <c r="K34" s="63">
        <v>6.4169999999999998</v>
      </c>
      <c r="L34" s="177">
        <v>962.55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7292</v>
      </c>
      <c r="S34" s="177">
        <v>1653.4</v>
      </c>
      <c r="T34" s="177">
        <v>9907.9500000000007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368.5</v>
      </c>
      <c r="F35" s="180">
        <v>8525.07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7197.4849999999997</v>
      </c>
      <c r="E36" s="70">
        <v>4328.3250000000007</v>
      </c>
      <c r="F36" s="70">
        <v>298256.44600000011</v>
      </c>
      <c r="G36" s="70">
        <v>0</v>
      </c>
      <c r="H36" s="70">
        <v>0</v>
      </c>
      <c r="I36" s="70">
        <v>339.95599999999996</v>
      </c>
      <c r="J36" s="70">
        <v>610.90600000000006</v>
      </c>
      <c r="K36" s="70">
        <v>78.109000000000009</v>
      </c>
      <c r="L36" s="178">
        <v>11716.35</v>
      </c>
      <c r="M36" s="178">
        <v>830630.95</v>
      </c>
      <c r="N36" s="178">
        <v>854605.75</v>
      </c>
      <c r="O36" s="178">
        <v>6761368.6799999997</v>
      </c>
      <c r="P36" s="178">
        <v>0</v>
      </c>
      <c r="Q36" s="178">
        <v>0</v>
      </c>
      <c r="R36" s="178">
        <v>339956</v>
      </c>
      <c r="S36" s="178">
        <v>122181.2</v>
      </c>
      <c r="T36" s="178">
        <v>8920458.9299999997</v>
      </c>
    </row>
    <row r="37" spans="1:20">
      <c r="R37" s="73"/>
      <c r="S37" s="73"/>
      <c r="T37" s="179">
        <v>10882959.890000001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26CA-B99C-449F-B526-E699AAD88A2D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176</v>
      </c>
      <c r="E5" s="180">
        <v>0</v>
      </c>
      <c r="F5" s="180">
        <v>833.57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132</v>
      </c>
      <c r="E6" s="180">
        <v>0</v>
      </c>
      <c r="F6" s="180">
        <v>965.57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965.57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965.57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110</v>
      </c>
      <c r="E9" s="180">
        <v>0</v>
      </c>
      <c r="F9" s="180">
        <v>1075.57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154</v>
      </c>
      <c r="E10" s="180">
        <v>0</v>
      </c>
      <c r="F10" s="180">
        <v>1229.57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176</v>
      </c>
      <c r="E11" s="180">
        <v>0</v>
      </c>
      <c r="F11" s="180">
        <v>1405.57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6.875</v>
      </c>
      <c r="F12" s="180">
        <v>1398.6949999999999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5.5250000000000004</v>
      </c>
      <c r="E13" s="180">
        <v>0</v>
      </c>
      <c r="F13" s="180">
        <v>1404.22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6.875</v>
      </c>
      <c r="E14" s="180">
        <v>0</v>
      </c>
      <c r="F14" s="180">
        <v>1411.095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22</v>
      </c>
      <c r="F15" s="180">
        <v>1389.095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1389.095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1389.095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1389.095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1389.095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0.77500000000000002</v>
      </c>
      <c r="E20" s="180">
        <v>0</v>
      </c>
      <c r="F20" s="180">
        <v>1389.87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1389.87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0.74099999999999999</v>
      </c>
      <c r="E22" s="180">
        <v>0</v>
      </c>
      <c r="F22" s="180">
        <v>1390.6110000000001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0.97499999999999998</v>
      </c>
      <c r="E23" s="180">
        <v>0</v>
      </c>
      <c r="F23" s="180">
        <v>1391.586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1391.586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22</v>
      </c>
      <c r="F25" s="180">
        <v>1369.586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1369.586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1369.586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1369.586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1369.586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1369.586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1369.586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22</v>
      </c>
      <c r="F32" s="180">
        <v>1347.586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0.70499999999999996</v>
      </c>
      <c r="E33" s="180">
        <v>22</v>
      </c>
      <c r="F33" s="180">
        <v>1326.2909999999999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1.2969999999999999</v>
      </c>
      <c r="E34" s="180">
        <v>132</v>
      </c>
      <c r="F34" s="180">
        <v>1195.588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110</v>
      </c>
      <c r="F35" s="180">
        <v>1085.588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764.89300000000003</v>
      </c>
      <c r="E36" s="70">
        <v>336.875</v>
      </c>
      <c r="F36" s="70">
        <v>40096.153000000006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88273.03</v>
      </c>
      <c r="N36" s="178">
        <v>66514.25</v>
      </c>
      <c r="O36" s="178">
        <v>908965.68</v>
      </c>
      <c r="P36" s="178">
        <v>0</v>
      </c>
      <c r="Q36" s="178">
        <v>0</v>
      </c>
      <c r="R36" s="178">
        <v>0</v>
      </c>
      <c r="S36" s="178">
        <v>0</v>
      </c>
      <c r="T36" s="178">
        <v>1063752.96</v>
      </c>
    </row>
    <row r="37" spans="1:20">
      <c r="R37" s="73"/>
      <c r="S37" s="73"/>
      <c r="T37" s="179">
        <v>1297778.6100000001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8E95-54BC-4C38-9DEE-A16EDEECD30B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110.75</v>
      </c>
      <c r="E5" s="180">
        <v>87.75</v>
      </c>
      <c r="F5" s="180">
        <v>905.25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152.5</v>
      </c>
      <c r="E6" s="180">
        <v>44</v>
      </c>
      <c r="F6" s="180">
        <v>1013.75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42.5</v>
      </c>
      <c r="E7" s="180">
        <v>44</v>
      </c>
      <c r="F7" s="180">
        <v>1012.25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22</v>
      </c>
      <c r="E8" s="180">
        <v>65.25</v>
      </c>
      <c r="F8" s="180">
        <v>969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22</v>
      </c>
      <c r="E9" s="180">
        <v>22</v>
      </c>
      <c r="F9" s="180">
        <v>969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66</v>
      </c>
      <c r="E10" s="180">
        <v>44.5</v>
      </c>
      <c r="F10" s="180">
        <v>990.5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22</v>
      </c>
      <c r="E11" s="180">
        <v>21.25</v>
      </c>
      <c r="F11" s="180">
        <v>991.25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220</v>
      </c>
      <c r="E12" s="180">
        <v>65.75</v>
      </c>
      <c r="F12" s="180">
        <v>1145.5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110.5</v>
      </c>
      <c r="F13" s="180">
        <v>1035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44.5</v>
      </c>
      <c r="F14" s="180">
        <v>990.5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65.25</v>
      </c>
      <c r="F15" s="180">
        <v>925.25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44.5</v>
      </c>
      <c r="F16" s="180">
        <v>880.75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44</v>
      </c>
      <c r="E17" s="180">
        <v>65.25</v>
      </c>
      <c r="F17" s="180">
        <v>859.5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66</v>
      </c>
      <c r="E18" s="180">
        <v>66</v>
      </c>
      <c r="F18" s="180">
        <v>859.5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242</v>
      </c>
      <c r="E19" s="180">
        <v>87.25</v>
      </c>
      <c r="F19" s="180">
        <v>1014.25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44</v>
      </c>
      <c r="F20" s="180">
        <v>970.25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43.25</v>
      </c>
      <c r="F21" s="180">
        <v>927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87.75</v>
      </c>
      <c r="F22" s="180">
        <v>839.25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45</v>
      </c>
      <c r="E23" s="180">
        <v>44</v>
      </c>
      <c r="F23" s="180">
        <v>840.25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45</v>
      </c>
      <c r="E24" s="180">
        <v>22</v>
      </c>
      <c r="F24" s="180">
        <v>863.25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22.5</v>
      </c>
      <c r="E25" s="180">
        <v>44</v>
      </c>
      <c r="F25" s="180">
        <v>841.75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44</v>
      </c>
      <c r="F26" s="180">
        <v>797.75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44.5</v>
      </c>
      <c r="F27" s="180">
        <v>753.25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66</v>
      </c>
      <c r="F28" s="180">
        <v>687.25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44</v>
      </c>
      <c r="E29" s="180">
        <v>44.5</v>
      </c>
      <c r="F29" s="180">
        <v>686.75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107.75</v>
      </c>
      <c r="E30" s="180">
        <v>65.25</v>
      </c>
      <c r="F30" s="180">
        <v>729.25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22</v>
      </c>
      <c r="E31" s="180">
        <v>44</v>
      </c>
      <c r="F31" s="180">
        <v>707.25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65.25</v>
      </c>
      <c r="F32" s="180">
        <v>642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220</v>
      </c>
      <c r="E33" s="180">
        <v>67</v>
      </c>
      <c r="F33" s="180">
        <v>795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44</v>
      </c>
      <c r="E34" s="180">
        <v>110.5</v>
      </c>
      <c r="F34" s="180">
        <v>728.5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22</v>
      </c>
      <c r="E35" s="180">
        <v>22.5</v>
      </c>
      <c r="F35" s="180">
        <v>728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1582</v>
      </c>
      <c r="E36" s="70">
        <v>1736.25</v>
      </c>
      <c r="F36" s="70">
        <v>27098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199669.56</v>
      </c>
      <c r="N36" s="178">
        <v>274792.28000000003</v>
      </c>
      <c r="O36" s="178">
        <v>215308.95</v>
      </c>
      <c r="P36" s="178">
        <v>0</v>
      </c>
      <c r="Q36" s="178">
        <v>0</v>
      </c>
      <c r="R36" s="178">
        <v>0</v>
      </c>
      <c r="S36" s="178">
        <v>0</v>
      </c>
      <c r="T36" s="178">
        <v>689770.79</v>
      </c>
    </row>
    <row r="37" spans="1:20">
      <c r="R37" s="73"/>
      <c r="S37" s="73"/>
      <c r="T37" s="179">
        <v>841520.36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67F7-2B02-47DF-AEB4-DC8F301EC282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220</v>
      </c>
      <c r="E5" s="180">
        <v>88</v>
      </c>
      <c r="F5" s="180">
        <v>10489.034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198</v>
      </c>
      <c r="E6" s="180">
        <v>132.97499999999999</v>
      </c>
      <c r="F6" s="180">
        <v>10554.058999999999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88</v>
      </c>
      <c r="E7" s="180">
        <v>45</v>
      </c>
      <c r="F7" s="180">
        <v>10597.058999999999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176</v>
      </c>
      <c r="E8" s="180">
        <v>183.625</v>
      </c>
      <c r="F8" s="180">
        <v>10589.433999999999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198</v>
      </c>
      <c r="E9" s="180">
        <v>113.27500000000001</v>
      </c>
      <c r="F9" s="180">
        <v>10674.159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242</v>
      </c>
      <c r="E10" s="180">
        <v>44.5</v>
      </c>
      <c r="F10" s="180">
        <v>10871.659</v>
      </c>
      <c r="G10" s="176">
        <v>0</v>
      </c>
      <c r="H10" s="176">
        <v>0</v>
      </c>
      <c r="I10" s="62">
        <v>44</v>
      </c>
      <c r="J10" s="62">
        <v>44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41800</v>
      </c>
      <c r="S10" s="177">
        <v>5280</v>
      </c>
      <c r="T10" s="177">
        <v>47080</v>
      </c>
    </row>
    <row r="11" spans="1:20">
      <c r="A11" s="65">
        <v>7</v>
      </c>
      <c r="B11" s="77" t="s">
        <v>155</v>
      </c>
      <c r="C11" s="78"/>
      <c r="D11" s="180">
        <v>397.5</v>
      </c>
      <c r="E11" s="180">
        <v>70.625</v>
      </c>
      <c r="F11" s="180">
        <v>11198.534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310.875</v>
      </c>
      <c r="E12" s="180">
        <v>420.5</v>
      </c>
      <c r="F12" s="180">
        <v>11088.909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556</v>
      </c>
      <c r="E13" s="180">
        <v>72</v>
      </c>
      <c r="F13" s="180">
        <v>11572.909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467.5</v>
      </c>
      <c r="E14" s="180">
        <v>178.5</v>
      </c>
      <c r="F14" s="180">
        <v>11861.909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532.5</v>
      </c>
      <c r="E15" s="180">
        <v>133</v>
      </c>
      <c r="F15" s="180">
        <v>12261.409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622.375</v>
      </c>
      <c r="E16" s="180">
        <v>111</v>
      </c>
      <c r="F16" s="180">
        <v>12772.784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647</v>
      </c>
      <c r="E17" s="180">
        <v>66.5</v>
      </c>
      <c r="F17" s="180">
        <v>13353.284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579.72500000000002</v>
      </c>
      <c r="E18" s="180">
        <v>114.325</v>
      </c>
      <c r="F18" s="180">
        <v>13818.683999999999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493.5</v>
      </c>
      <c r="E19" s="180">
        <v>331.625</v>
      </c>
      <c r="F19" s="180">
        <v>13980.558999999999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225</v>
      </c>
      <c r="E20" s="180">
        <v>110.5</v>
      </c>
      <c r="F20" s="180">
        <v>14095.058999999999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67.5</v>
      </c>
      <c r="E21" s="180">
        <v>132</v>
      </c>
      <c r="F21" s="180">
        <v>14030.558999999999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45</v>
      </c>
      <c r="E22" s="180">
        <v>144.25</v>
      </c>
      <c r="F22" s="180">
        <v>13931.308999999999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22.5</v>
      </c>
      <c r="E23" s="180">
        <v>180.375</v>
      </c>
      <c r="F23" s="180">
        <v>13773.433999999999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301.75</v>
      </c>
      <c r="F24" s="180">
        <v>13471.683999999999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172.95</v>
      </c>
      <c r="F25" s="180">
        <v>13298.734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267</v>
      </c>
      <c r="E26" s="180">
        <v>157</v>
      </c>
      <c r="F26" s="180">
        <v>13408.734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156</v>
      </c>
      <c r="E27" s="180">
        <v>161.52500000000001</v>
      </c>
      <c r="F27" s="180">
        <v>13403.209000000001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311</v>
      </c>
      <c r="E28" s="180">
        <v>154.5</v>
      </c>
      <c r="F28" s="180">
        <v>13559.709000000001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132.5</v>
      </c>
      <c r="E29" s="180">
        <v>319.17500000000001</v>
      </c>
      <c r="F29" s="180">
        <v>13373.034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66</v>
      </c>
      <c r="E30" s="180">
        <v>299.125</v>
      </c>
      <c r="F30" s="180">
        <v>13139.909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198</v>
      </c>
      <c r="E31" s="180">
        <v>353.75</v>
      </c>
      <c r="F31" s="180">
        <v>12984.159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132</v>
      </c>
      <c r="E32" s="180">
        <v>332.65</v>
      </c>
      <c r="F32" s="180">
        <v>12783.509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88</v>
      </c>
      <c r="E33" s="180">
        <v>463.375</v>
      </c>
      <c r="F33" s="180">
        <v>12408.134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22</v>
      </c>
      <c r="E34" s="180">
        <v>152.5</v>
      </c>
      <c r="F34" s="180">
        <v>12277.634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110</v>
      </c>
      <c r="E35" s="180">
        <v>22.475999999999999</v>
      </c>
      <c r="F35" s="180">
        <v>12365.157999999999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7571.4750000000004</v>
      </c>
      <c r="E36" s="70">
        <v>5563.3509999999997</v>
      </c>
      <c r="F36" s="70">
        <v>387988.353</v>
      </c>
      <c r="G36" s="70">
        <v>0</v>
      </c>
      <c r="H36" s="70">
        <v>0</v>
      </c>
      <c r="I36" s="70">
        <v>44</v>
      </c>
      <c r="J36" s="70">
        <v>44</v>
      </c>
      <c r="K36" s="70">
        <v>0</v>
      </c>
      <c r="L36" s="178">
        <v>0</v>
      </c>
      <c r="M36" s="178">
        <v>955621.44</v>
      </c>
      <c r="N36" s="178">
        <v>880498.72</v>
      </c>
      <c r="O36" s="178">
        <v>3082787.05</v>
      </c>
      <c r="P36" s="178">
        <v>1442190.15</v>
      </c>
      <c r="Q36" s="178">
        <v>0</v>
      </c>
      <c r="R36" s="178">
        <v>41800</v>
      </c>
      <c r="S36" s="178">
        <v>5280</v>
      </c>
      <c r="T36" s="178">
        <v>6408177.3600000003</v>
      </c>
    </row>
    <row r="37" spans="1:20">
      <c r="R37" s="73"/>
      <c r="S37" s="73"/>
      <c r="T37" s="179">
        <v>7817976.3799999999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F454-C6D1-4C10-9D48-C66BB80829FC}">
  <sheetPr>
    <pageSetUpPr fitToPage="1"/>
  </sheetPr>
  <dimension ref="A1:T37"/>
  <sheetViews>
    <sheetView workbookViewId="0">
      <selection activeCell="L36" sqref="L36"/>
    </sheetView>
  </sheetViews>
  <sheetFormatPr defaultRowHeight="15"/>
  <cols>
    <col min="1" max="3" width="9.140625" style="47"/>
    <col min="4" max="5" width="9.42578125" style="47" bestFit="1" customWidth="1"/>
    <col min="6" max="6" width="12.42578125" style="47" customWidth="1"/>
    <col min="7" max="7" width="10.5703125" style="47" bestFit="1" customWidth="1"/>
    <col min="8" max="8" width="9.5703125" style="47" bestFit="1" customWidth="1"/>
    <col min="9" max="9" width="10.5703125" style="47" bestFit="1" customWidth="1"/>
    <col min="10" max="12" width="9.140625" style="47"/>
    <col min="13" max="13" width="14.140625" style="47" customWidth="1"/>
    <col min="14" max="14" width="13.5703125" style="47" customWidth="1"/>
    <col min="15" max="15" width="17.5703125" style="47" customWidth="1"/>
    <col min="16" max="16" width="15.85546875" style="47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188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189</v>
      </c>
      <c r="H3" s="49" t="s">
        <v>6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190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176</v>
      </c>
      <c r="E5" s="180">
        <v>77</v>
      </c>
      <c r="F5" s="180">
        <v>12335.662</v>
      </c>
      <c r="G5" s="176">
        <v>0</v>
      </c>
      <c r="H5" s="176">
        <v>0</v>
      </c>
      <c r="I5" s="62">
        <v>0</v>
      </c>
      <c r="J5" s="63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286</v>
      </c>
      <c r="E6" s="180">
        <v>110.5</v>
      </c>
      <c r="F6" s="180">
        <v>12511.162</v>
      </c>
      <c r="G6" s="176">
        <v>0</v>
      </c>
      <c r="H6" s="176">
        <v>0</v>
      </c>
      <c r="I6" s="62">
        <v>0</v>
      </c>
      <c r="J6" s="63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396</v>
      </c>
      <c r="E7" s="180">
        <v>22</v>
      </c>
      <c r="F7" s="180">
        <v>12885.162</v>
      </c>
      <c r="G7" s="176">
        <v>0</v>
      </c>
      <c r="H7" s="176">
        <v>0</v>
      </c>
      <c r="I7" s="62">
        <v>0</v>
      </c>
      <c r="J7" s="63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242</v>
      </c>
      <c r="E8" s="180">
        <v>88</v>
      </c>
      <c r="F8" s="180">
        <v>13039.162</v>
      </c>
      <c r="G8" s="176">
        <v>0</v>
      </c>
      <c r="H8" s="176">
        <v>0</v>
      </c>
      <c r="I8" s="62">
        <v>0</v>
      </c>
      <c r="J8" s="63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264</v>
      </c>
      <c r="E9" s="180">
        <v>22</v>
      </c>
      <c r="F9" s="180">
        <v>13281.162</v>
      </c>
      <c r="G9" s="176">
        <v>0</v>
      </c>
      <c r="H9" s="176">
        <v>0</v>
      </c>
      <c r="I9" s="62">
        <v>0</v>
      </c>
      <c r="J9" s="63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242</v>
      </c>
      <c r="E10" s="180">
        <v>177.375</v>
      </c>
      <c r="F10" s="180">
        <v>13345.787</v>
      </c>
      <c r="G10" s="176">
        <v>0</v>
      </c>
      <c r="H10" s="176">
        <v>0</v>
      </c>
      <c r="I10" s="62">
        <v>0</v>
      </c>
      <c r="J10" s="63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88</v>
      </c>
      <c r="E11" s="180">
        <v>111.375</v>
      </c>
      <c r="F11" s="180">
        <v>13322.412</v>
      </c>
      <c r="G11" s="176">
        <v>0</v>
      </c>
      <c r="H11" s="176">
        <v>0</v>
      </c>
      <c r="I11" s="62">
        <v>0</v>
      </c>
      <c r="J11" s="63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198</v>
      </c>
      <c r="E12" s="180">
        <v>332.75</v>
      </c>
      <c r="F12" s="180">
        <v>13187.662</v>
      </c>
      <c r="G12" s="176">
        <v>0</v>
      </c>
      <c r="H12" s="176">
        <v>0</v>
      </c>
      <c r="I12" s="62">
        <v>0</v>
      </c>
      <c r="J12" s="63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264</v>
      </c>
      <c r="E13" s="180">
        <v>292</v>
      </c>
      <c r="F13" s="180">
        <v>13159.662</v>
      </c>
      <c r="G13" s="176">
        <v>0</v>
      </c>
      <c r="H13" s="176">
        <v>0</v>
      </c>
      <c r="I13" s="62">
        <v>0</v>
      </c>
      <c r="J13" s="63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154</v>
      </c>
      <c r="E14" s="180">
        <v>277.75</v>
      </c>
      <c r="F14" s="180">
        <v>13035.912</v>
      </c>
      <c r="G14" s="176">
        <v>0</v>
      </c>
      <c r="H14" s="176">
        <v>0</v>
      </c>
      <c r="I14" s="62">
        <v>0</v>
      </c>
      <c r="J14" s="63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154</v>
      </c>
      <c r="E15" s="180">
        <v>154.5</v>
      </c>
      <c r="F15" s="180">
        <v>13035.412</v>
      </c>
      <c r="G15" s="176">
        <v>0</v>
      </c>
      <c r="H15" s="176">
        <v>0</v>
      </c>
      <c r="I15" s="62">
        <v>0</v>
      </c>
      <c r="J15" s="63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242</v>
      </c>
      <c r="E16" s="180">
        <v>66</v>
      </c>
      <c r="F16" s="180">
        <v>13211.412</v>
      </c>
      <c r="G16" s="176">
        <v>0</v>
      </c>
      <c r="H16" s="176">
        <v>0</v>
      </c>
      <c r="I16" s="62">
        <v>0</v>
      </c>
      <c r="J16" s="63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220</v>
      </c>
      <c r="E17" s="180">
        <v>119.625</v>
      </c>
      <c r="F17" s="180">
        <v>13311.787</v>
      </c>
      <c r="G17" s="176">
        <v>0</v>
      </c>
      <c r="H17" s="176">
        <v>0</v>
      </c>
      <c r="I17" s="62">
        <v>0</v>
      </c>
      <c r="J17" s="63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110</v>
      </c>
      <c r="E18" s="180">
        <v>88.5</v>
      </c>
      <c r="F18" s="180">
        <v>13333.287</v>
      </c>
      <c r="G18" s="176">
        <v>0</v>
      </c>
      <c r="H18" s="176">
        <v>0</v>
      </c>
      <c r="I18" s="62">
        <v>0</v>
      </c>
      <c r="J18" s="63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198</v>
      </c>
      <c r="E19" s="180">
        <v>88.5</v>
      </c>
      <c r="F19" s="180">
        <v>13442.787</v>
      </c>
      <c r="G19" s="176">
        <v>0</v>
      </c>
      <c r="H19" s="176">
        <v>0</v>
      </c>
      <c r="I19" s="62">
        <v>0</v>
      </c>
      <c r="J19" s="63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220</v>
      </c>
      <c r="E20" s="180">
        <v>184.35</v>
      </c>
      <c r="F20" s="180">
        <v>13478.437</v>
      </c>
      <c r="G20" s="176">
        <v>0</v>
      </c>
      <c r="H20" s="176">
        <v>0</v>
      </c>
      <c r="I20" s="62">
        <v>0</v>
      </c>
      <c r="J20" s="63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308.5</v>
      </c>
      <c r="E21" s="180">
        <v>110</v>
      </c>
      <c r="F21" s="180">
        <v>13676.937</v>
      </c>
      <c r="G21" s="176">
        <v>0</v>
      </c>
      <c r="H21" s="176">
        <v>0</v>
      </c>
      <c r="I21" s="62">
        <v>0</v>
      </c>
      <c r="J21" s="63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377.5</v>
      </c>
      <c r="E22" s="180">
        <v>198</v>
      </c>
      <c r="F22" s="180">
        <v>13856.437</v>
      </c>
      <c r="G22" s="176">
        <v>0</v>
      </c>
      <c r="H22" s="176">
        <v>0</v>
      </c>
      <c r="I22" s="62">
        <v>0</v>
      </c>
      <c r="J22" s="63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105.25</v>
      </c>
      <c r="E23" s="180">
        <v>277.875</v>
      </c>
      <c r="F23" s="180">
        <v>13683.812</v>
      </c>
      <c r="G23" s="176">
        <v>0</v>
      </c>
      <c r="H23" s="176">
        <v>0</v>
      </c>
      <c r="I23" s="62">
        <v>0</v>
      </c>
      <c r="J23" s="63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352</v>
      </c>
      <c r="E24" s="180">
        <v>144.375</v>
      </c>
      <c r="F24" s="180">
        <v>13891.437</v>
      </c>
      <c r="G24" s="176">
        <v>0</v>
      </c>
      <c r="H24" s="176">
        <v>0</v>
      </c>
      <c r="I24" s="62">
        <v>0</v>
      </c>
      <c r="J24" s="63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330</v>
      </c>
      <c r="E25" s="180">
        <v>266.75</v>
      </c>
      <c r="F25" s="180">
        <v>13954.687</v>
      </c>
      <c r="G25" s="176">
        <v>0</v>
      </c>
      <c r="H25" s="176">
        <v>0</v>
      </c>
      <c r="I25" s="62">
        <v>0</v>
      </c>
      <c r="J25" s="63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220</v>
      </c>
      <c r="E26" s="180">
        <v>137.5</v>
      </c>
      <c r="F26" s="180">
        <v>14037.187</v>
      </c>
      <c r="G26" s="176">
        <v>0</v>
      </c>
      <c r="H26" s="176">
        <v>0</v>
      </c>
      <c r="I26" s="62">
        <v>0</v>
      </c>
      <c r="J26" s="63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133</v>
      </c>
      <c r="E27" s="180">
        <v>52.75</v>
      </c>
      <c r="F27" s="180">
        <v>14117.437</v>
      </c>
      <c r="G27" s="176">
        <v>0</v>
      </c>
      <c r="H27" s="176">
        <v>0</v>
      </c>
      <c r="I27" s="62">
        <v>0</v>
      </c>
      <c r="J27" s="63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156</v>
      </c>
      <c r="E28" s="180">
        <v>44</v>
      </c>
      <c r="F28" s="180">
        <v>14229.437</v>
      </c>
      <c r="G28" s="176">
        <v>0</v>
      </c>
      <c r="H28" s="176">
        <v>0</v>
      </c>
      <c r="I28" s="62">
        <v>0</v>
      </c>
      <c r="J28" s="63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87.05</v>
      </c>
      <c r="E29" s="180">
        <v>191.125</v>
      </c>
      <c r="F29" s="180">
        <v>14125.361999999999</v>
      </c>
      <c r="G29" s="176">
        <v>0</v>
      </c>
      <c r="H29" s="176">
        <v>0</v>
      </c>
      <c r="I29" s="62">
        <v>1.375</v>
      </c>
      <c r="J29" s="63">
        <v>1.375</v>
      </c>
      <c r="K29" s="63">
        <v>2.5000000000000001E-2</v>
      </c>
      <c r="L29" s="177">
        <v>3.75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1375</v>
      </c>
      <c r="S29" s="177">
        <v>275</v>
      </c>
      <c r="T29" s="177">
        <v>1653.75</v>
      </c>
    </row>
    <row r="30" spans="1:20">
      <c r="A30" s="65">
        <v>26</v>
      </c>
      <c r="B30" s="77" t="s">
        <v>174</v>
      </c>
      <c r="C30" s="78"/>
      <c r="D30" s="180">
        <v>198.5</v>
      </c>
      <c r="E30" s="180">
        <v>286</v>
      </c>
      <c r="F30" s="180">
        <v>14037.861999999999</v>
      </c>
      <c r="G30" s="176">
        <v>0</v>
      </c>
      <c r="H30" s="176">
        <v>0</v>
      </c>
      <c r="I30" s="62">
        <v>0</v>
      </c>
      <c r="J30" s="63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154</v>
      </c>
      <c r="E31" s="180">
        <v>419.375</v>
      </c>
      <c r="F31" s="180">
        <v>13772.486999999999</v>
      </c>
      <c r="G31" s="176">
        <v>0</v>
      </c>
      <c r="H31" s="176">
        <v>0</v>
      </c>
      <c r="I31" s="62">
        <v>0</v>
      </c>
      <c r="J31" s="63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220</v>
      </c>
      <c r="E32" s="180">
        <v>211.375</v>
      </c>
      <c r="F32" s="180">
        <v>13781.111999999999</v>
      </c>
      <c r="G32" s="176">
        <v>0</v>
      </c>
      <c r="H32" s="176">
        <v>0</v>
      </c>
      <c r="I32" s="62">
        <v>0</v>
      </c>
      <c r="J32" s="63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85.25</v>
      </c>
      <c r="E33" s="180">
        <v>253</v>
      </c>
      <c r="F33" s="180">
        <v>13613.361999999999</v>
      </c>
      <c r="G33" s="176">
        <v>0</v>
      </c>
      <c r="H33" s="176">
        <v>0</v>
      </c>
      <c r="I33" s="62">
        <v>0</v>
      </c>
      <c r="J33" s="63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264</v>
      </c>
      <c r="E34" s="180">
        <v>288.82499999999999</v>
      </c>
      <c r="F34" s="180">
        <v>13588.537</v>
      </c>
      <c r="G34" s="176">
        <v>0</v>
      </c>
      <c r="H34" s="176">
        <v>0</v>
      </c>
      <c r="I34" s="62">
        <v>0</v>
      </c>
      <c r="J34" s="63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132</v>
      </c>
      <c r="E35" s="180">
        <v>330</v>
      </c>
      <c r="F35" s="180">
        <v>13390.537</v>
      </c>
      <c r="G35" s="176">
        <v>0</v>
      </c>
      <c r="H35" s="176">
        <v>0</v>
      </c>
      <c r="I35" s="62">
        <v>0</v>
      </c>
      <c r="J35" s="63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6577.05</v>
      </c>
      <c r="E36" s="70">
        <v>5423.1750000000002</v>
      </c>
      <c r="F36" s="70">
        <v>417673.49700000009</v>
      </c>
      <c r="G36" s="70">
        <v>0</v>
      </c>
      <c r="H36" s="70">
        <v>0</v>
      </c>
      <c r="I36" s="70">
        <v>1.375</v>
      </c>
      <c r="J36" s="71">
        <v>1.375</v>
      </c>
      <c r="K36" s="71">
        <v>2.5000000000000001E-2</v>
      </c>
      <c r="L36" s="178">
        <v>3.75</v>
      </c>
      <c r="M36" s="178">
        <v>1134429.73</v>
      </c>
      <c r="N36" s="178">
        <v>1129422.67</v>
      </c>
      <c r="O36" s="178">
        <v>12683525.99</v>
      </c>
      <c r="P36" s="178">
        <v>0</v>
      </c>
      <c r="Q36" s="178">
        <v>0</v>
      </c>
      <c r="R36" s="178">
        <v>1375</v>
      </c>
      <c r="S36" s="178">
        <v>275</v>
      </c>
      <c r="T36" s="178">
        <v>14949032.140000001</v>
      </c>
    </row>
    <row r="37" spans="1:20">
      <c r="R37" s="73"/>
      <c r="S37" s="73"/>
      <c r="T37" s="179">
        <v>18237819.210000001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9575-6ED4-459C-BC5B-2F9F6028C0EC}">
  <sheetPr>
    <pageSetUpPr fitToPage="1"/>
  </sheetPr>
  <dimension ref="A1:T37"/>
  <sheetViews>
    <sheetView topLeftCell="A11" workbookViewId="0">
      <selection activeCell="L36" sqref="L36"/>
    </sheetView>
  </sheetViews>
  <sheetFormatPr defaultRowHeight="15"/>
  <cols>
    <col min="1" max="3" width="9.140625" style="47"/>
    <col min="4" max="5" width="9.42578125" style="47" bestFit="1" customWidth="1"/>
    <col min="6" max="6" width="12.42578125" style="47" customWidth="1"/>
    <col min="7" max="7" width="10.5703125" style="47" bestFit="1" customWidth="1"/>
    <col min="8" max="8" width="9.5703125" style="47" bestFit="1" customWidth="1"/>
    <col min="9" max="9" width="10.5703125" style="47" bestFit="1" customWidth="1"/>
    <col min="10" max="12" width="9.140625" style="47"/>
    <col min="13" max="13" width="14.140625" style="47" customWidth="1"/>
    <col min="14" max="14" width="13.5703125" style="47" customWidth="1"/>
    <col min="15" max="15" width="17.5703125" style="47" customWidth="1"/>
    <col min="16" max="16" width="15.85546875" style="47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189</v>
      </c>
      <c r="H3" s="49" t="s">
        <v>6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190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10.5</v>
      </c>
      <c r="G5" s="176">
        <v>0</v>
      </c>
      <c r="H5" s="176">
        <v>0</v>
      </c>
      <c r="I5" s="62">
        <v>0</v>
      </c>
      <c r="J5" s="63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10.5</v>
      </c>
      <c r="G6" s="176">
        <v>0</v>
      </c>
      <c r="H6" s="176">
        <v>0</v>
      </c>
      <c r="I6" s="62">
        <v>0</v>
      </c>
      <c r="J6" s="63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10.5</v>
      </c>
      <c r="G7" s="176">
        <v>0</v>
      </c>
      <c r="H7" s="176">
        <v>0</v>
      </c>
      <c r="I7" s="62">
        <v>0</v>
      </c>
      <c r="J7" s="63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22</v>
      </c>
      <c r="E8" s="180">
        <v>0</v>
      </c>
      <c r="F8" s="180">
        <v>32.5</v>
      </c>
      <c r="G8" s="176">
        <v>0</v>
      </c>
      <c r="H8" s="176">
        <v>0</v>
      </c>
      <c r="I8" s="62">
        <v>0</v>
      </c>
      <c r="J8" s="63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66</v>
      </c>
      <c r="E9" s="180">
        <v>0</v>
      </c>
      <c r="F9" s="180">
        <v>98.5</v>
      </c>
      <c r="G9" s="176">
        <v>0</v>
      </c>
      <c r="H9" s="176">
        <v>0</v>
      </c>
      <c r="I9" s="62">
        <v>0</v>
      </c>
      <c r="J9" s="63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22</v>
      </c>
      <c r="E10" s="180">
        <v>0</v>
      </c>
      <c r="F10" s="180">
        <v>120.5</v>
      </c>
      <c r="G10" s="176">
        <v>0</v>
      </c>
      <c r="H10" s="176">
        <v>0</v>
      </c>
      <c r="I10" s="62">
        <v>0</v>
      </c>
      <c r="J10" s="63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22</v>
      </c>
      <c r="E11" s="180">
        <v>0</v>
      </c>
      <c r="F11" s="180">
        <v>142.5</v>
      </c>
      <c r="G11" s="176">
        <v>0</v>
      </c>
      <c r="H11" s="176">
        <v>0</v>
      </c>
      <c r="I11" s="62">
        <v>0</v>
      </c>
      <c r="J11" s="63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22</v>
      </c>
      <c r="E12" s="180">
        <v>0</v>
      </c>
      <c r="F12" s="180">
        <v>164.5</v>
      </c>
      <c r="G12" s="176">
        <v>0</v>
      </c>
      <c r="H12" s="176">
        <v>0</v>
      </c>
      <c r="I12" s="62">
        <v>0</v>
      </c>
      <c r="J12" s="63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44</v>
      </c>
      <c r="E13" s="180">
        <v>0</v>
      </c>
      <c r="F13" s="180">
        <v>208.5</v>
      </c>
      <c r="G13" s="176">
        <v>0</v>
      </c>
      <c r="H13" s="176">
        <v>0</v>
      </c>
      <c r="I13" s="62">
        <v>0</v>
      </c>
      <c r="J13" s="63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22</v>
      </c>
      <c r="E14" s="180">
        <v>66</v>
      </c>
      <c r="F14" s="180">
        <v>164.5</v>
      </c>
      <c r="G14" s="176">
        <v>0</v>
      </c>
      <c r="H14" s="176">
        <v>0</v>
      </c>
      <c r="I14" s="62">
        <v>0</v>
      </c>
      <c r="J14" s="63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164.5</v>
      </c>
      <c r="G15" s="176">
        <v>0</v>
      </c>
      <c r="H15" s="176">
        <v>0</v>
      </c>
      <c r="I15" s="62">
        <v>0</v>
      </c>
      <c r="J15" s="63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22</v>
      </c>
      <c r="F16" s="180">
        <v>142.5</v>
      </c>
      <c r="G16" s="176">
        <v>0</v>
      </c>
      <c r="H16" s="176">
        <v>0</v>
      </c>
      <c r="I16" s="62">
        <v>0</v>
      </c>
      <c r="J16" s="63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142.5</v>
      </c>
      <c r="G17" s="176">
        <v>0</v>
      </c>
      <c r="H17" s="176">
        <v>0</v>
      </c>
      <c r="I17" s="62">
        <v>0</v>
      </c>
      <c r="J17" s="63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142.5</v>
      </c>
      <c r="G18" s="176">
        <v>0</v>
      </c>
      <c r="H18" s="176">
        <v>0</v>
      </c>
      <c r="I18" s="62">
        <v>0</v>
      </c>
      <c r="J18" s="63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142.5</v>
      </c>
      <c r="G19" s="176">
        <v>0</v>
      </c>
      <c r="H19" s="176">
        <v>0</v>
      </c>
      <c r="I19" s="62">
        <v>0</v>
      </c>
      <c r="J19" s="63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142.5</v>
      </c>
      <c r="G20" s="176">
        <v>0</v>
      </c>
      <c r="H20" s="176">
        <v>0</v>
      </c>
      <c r="I20" s="62">
        <v>0</v>
      </c>
      <c r="J20" s="63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142.5</v>
      </c>
      <c r="G21" s="176">
        <v>0</v>
      </c>
      <c r="H21" s="176">
        <v>0</v>
      </c>
      <c r="I21" s="62">
        <v>0</v>
      </c>
      <c r="J21" s="63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22</v>
      </c>
      <c r="F22" s="180">
        <v>120.5</v>
      </c>
      <c r="G22" s="176">
        <v>0</v>
      </c>
      <c r="H22" s="176">
        <v>0</v>
      </c>
      <c r="I22" s="62">
        <v>0</v>
      </c>
      <c r="J22" s="63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120.5</v>
      </c>
      <c r="G23" s="176">
        <v>0</v>
      </c>
      <c r="H23" s="176">
        <v>0</v>
      </c>
      <c r="I23" s="62">
        <v>0</v>
      </c>
      <c r="J23" s="63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120.5</v>
      </c>
      <c r="G24" s="176">
        <v>0</v>
      </c>
      <c r="H24" s="176">
        <v>0</v>
      </c>
      <c r="I24" s="62">
        <v>0</v>
      </c>
      <c r="J24" s="63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120.5</v>
      </c>
      <c r="G25" s="176">
        <v>0</v>
      </c>
      <c r="H25" s="176">
        <v>0</v>
      </c>
      <c r="I25" s="62">
        <v>0</v>
      </c>
      <c r="J25" s="63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120.5</v>
      </c>
      <c r="G26" s="176">
        <v>0</v>
      </c>
      <c r="H26" s="176">
        <v>0</v>
      </c>
      <c r="I26" s="62">
        <v>0</v>
      </c>
      <c r="J26" s="63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22</v>
      </c>
      <c r="F27" s="180">
        <v>98.5</v>
      </c>
      <c r="G27" s="176">
        <v>0</v>
      </c>
      <c r="H27" s="176">
        <v>0</v>
      </c>
      <c r="I27" s="62">
        <v>0</v>
      </c>
      <c r="J27" s="63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98.5</v>
      </c>
      <c r="G28" s="176">
        <v>0</v>
      </c>
      <c r="H28" s="176">
        <v>0</v>
      </c>
      <c r="I28" s="62">
        <v>0</v>
      </c>
      <c r="J28" s="63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98.5</v>
      </c>
      <c r="G29" s="176">
        <v>0</v>
      </c>
      <c r="H29" s="176">
        <v>0</v>
      </c>
      <c r="I29" s="62">
        <v>0</v>
      </c>
      <c r="J29" s="63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98.5</v>
      </c>
      <c r="G30" s="176">
        <v>0</v>
      </c>
      <c r="H30" s="176">
        <v>0</v>
      </c>
      <c r="I30" s="62">
        <v>0</v>
      </c>
      <c r="J30" s="63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30.25</v>
      </c>
      <c r="F31" s="180">
        <v>68.25</v>
      </c>
      <c r="G31" s="176">
        <v>0</v>
      </c>
      <c r="H31" s="176">
        <v>0</v>
      </c>
      <c r="I31" s="62">
        <v>0</v>
      </c>
      <c r="J31" s="63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68.25</v>
      </c>
      <c r="G32" s="176">
        <v>0</v>
      </c>
      <c r="H32" s="176">
        <v>0</v>
      </c>
      <c r="I32" s="62">
        <v>0</v>
      </c>
      <c r="J32" s="63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68.25</v>
      </c>
      <c r="G33" s="176">
        <v>0</v>
      </c>
      <c r="H33" s="176">
        <v>0</v>
      </c>
      <c r="I33" s="62">
        <v>0</v>
      </c>
      <c r="J33" s="63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44</v>
      </c>
      <c r="F34" s="180">
        <v>24.25</v>
      </c>
      <c r="G34" s="176">
        <v>0</v>
      </c>
      <c r="H34" s="176">
        <v>0</v>
      </c>
      <c r="I34" s="62">
        <v>0</v>
      </c>
      <c r="J34" s="63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24.25</v>
      </c>
      <c r="G35" s="176">
        <v>0</v>
      </c>
      <c r="H35" s="176">
        <v>0</v>
      </c>
      <c r="I35" s="62">
        <v>0</v>
      </c>
      <c r="J35" s="63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220</v>
      </c>
      <c r="E36" s="70">
        <v>206.25</v>
      </c>
      <c r="F36" s="70">
        <v>3232.25</v>
      </c>
      <c r="G36" s="70">
        <v>0</v>
      </c>
      <c r="H36" s="70">
        <v>0</v>
      </c>
      <c r="I36" s="70">
        <v>0</v>
      </c>
      <c r="J36" s="71">
        <v>0</v>
      </c>
      <c r="K36" s="71">
        <v>0</v>
      </c>
      <c r="L36" s="178">
        <v>0</v>
      </c>
      <c r="M36" s="178">
        <v>37946.269999999997</v>
      </c>
      <c r="N36" s="178">
        <v>42953.33</v>
      </c>
      <c r="O36" s="178">
        <v>98154.01</v>
      </c>
      <c r="P36" s="178">
        <v>0</v>
      </c>
      <c r="Q36" s="178">
        <v>0</v>
      </c>
      <c r="R36" s="178">
        <v>0</v>
      </c>
      <c r="S36" s="178">
        <v>0</v>
      </c>
      <c r="T36" s="178">
        <v>179053.61</v>
      </c>
    </row>
    <row r="37" spans="1:20">
      <c r="R37" s="73"/>
      <c r="S37" s="73"/>
      <c r="T37" s="179">
        <v>218445.4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309E-70D5-4651-B4F9-777A0FCA2CFF}">
  <sheetPr>
    <pageSetUpPr fitToPage="1"/>
  </sheetPr>
  <dimension ref="A1:T37"/>
  <sheetViews>
    <sheetView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110</v>
      </c>
      <c r="E5" s="180">
        <v>22</v>
      </c>
      <c r="F5" s="180">
        <v>7255.0249999999996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177.5</v>
      </c>
      <c r="F6" s="180">
        <v>7077.5249999999996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67</v>
      </c>
      <c r="F7" s="180">
        <v>7010.5249999999996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88</v>
      </c>
      <c r="E8" s="180">
        <v>22</v>
      </c>
      <c r="F8" s="180">
        <v>7076.5249999999996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22</v>
      </c>
      <c r="E9" s="180">
        <v>132</v>
      </c>
      <c r="F9" s="180">
        <v>6966.5249999999996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110</v>
      </c>
      <c r="E10" s="180">
        <v>22</v>
      </c>
      <c r="F10" s="180">
        <v>7054.5249999999996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66</v>
      </c>
      <c r="E11" s="180">
        <v>88</v>
      </c>
      <c r="F11" s="180">
        <v>7032.5249999999996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242</v>
      </c>
      <c r="E12" s="180">
        <v>82.5</v>
      </c>
      <c r="F12" s="180">
        <v>7192.0249999999996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88</v>
      </c>
      <c r="E13" s="180">
        <v>66</v>
      </c>
      <c r="F13" s="180">
        <v>7214.0249999999996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220</v>
      </c>
      <c r="E14" s="180">
        <v>44.5</v>
      </c>
      <c r="F14" s="180">
        <v>7389.5259999999998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198</v>
      </c>
      <c r="E15" s="180">
        <v>44</v>
      </c>
      <c r="F15" s="180">
        <v>7543.5259999999998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176</v>
      </c>
      <c r="E16" s="180">
        <v>0</v>
      </c>
      <c r="F16" s="180">
        <v>7719.5259999999998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132</v>
      </c>
      <c r="E17" s="180">
        <v>22</v>
      </c>
      <c r="F17" s="180">
        <v>7829.5259999999998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66</v>
      </c>
      <c r="E18" s="180">
        <v>22.5</v>
      </c>
      <c r="F18" s="180">
        <v>7873.0259999999998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66</v>
      </c>
      <c r="F19" s="180">
        <v>7807.0259999999998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264</v>
      </c>
      <c r="F20" s="180">
        <v>7543.0259999999998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89</v>
      </c>
      <c r="F21" s="180">
        <v>7454.0259999999998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110</v>
      </c>
      <c r="F22" s="180">
        <v>7344.0259999999998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22.5</v>
      </c>
      <c r="E23" s="180">
        <v>44</v>
      </c>
      <c r="F23" s="180">
        <v>7322.5259999999998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89.5</v>
      </c>
      <c r="E24" s="180">
        <v>44</v>
      </c>
      <c r="F24" s="180">
        <v>7368.0259999999998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200.5</v>
      </c>
      <c r="E25" s="180">
        <v>198</v>
      </c>
      <c r="F25" s="180">
        <v>7370.5259999999998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154.5</v>
      </c>
      <c r="E26" s="180">
        <v>88</v>
      </c>
      <c r="F26" s="180">
        <v>7437.0259999999998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88</v>
      </c>
      <c r="E27" s="180">
        <v>122.375</v>
      </c>
      <c r="F27" s="180">
        <v>7402.6509999999998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88</v>
      </c>
      <c r="E28" s="180">
        <v>0</v>
      </c>
      <c r="F28" s="180">
        <v>7490.6509999999998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44</v>
      </c>
      <c r="E29" s="180">
        <v>88</v>
      </c>
      <c r="F29" s="180">
        <v>7446.6509999999998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22.5</v>
      </c>
      <c r="E30" s="180">
        <v>22</v>
      </c>
      <c r="F30" s="180">
        <v>7447.1509999999998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177.5</v>
      </c>
      <c r="E31" s="180">
        <v>352</v>
      </c>
      <c r="F31" s="180">
        <v>7272.6509999999998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88</v>
      </c>
      <c r="E32" s="180">
        <v>110</v>
      </c>
      <c r="F32" s="180">
        <v>7250.6509999999998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154</v>
      </c>
      <c r="E33" s="180">
        <v>154</v>
      </c>
      <c r="F33" s="180">
        <v>7250.6509999999998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264</v>
      </c>
      <c r="E34" s="180">
        <v>157.375</v>
      </c>
      <c r="F34" s="180">
        <v>7357.2759999999998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132</v>
      </c>
      <c r="E35" s="180">
        <v>174.75</v>
      </c>
      <c r="F35" s="180">
        <v>7314.5259999999998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3043</v>
      </c>
      <c r="E36" s="70">
        <v>2895.5</v>
      </c>
      <c r="F36" s="70">
        <v>228113.42200000017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711360</v>
      </c>
      <c r="N36" s="178">
        <v>711360</v>
      </c>
      <c r="O36" s="178">
        <v>5107200</v>
      </c>
      <c r="P36" s="178">
        <v>1279975.82</v>
      </c>
      <c r="Q36" s="178">
        <v>0</v>
      </c>
      <c r="R36" s="178">
        <v>0</v>
      </c>
      <c r="S36" s="178">
        <v>0</v>
      </c>
      <c r="T36" s="178">
        <v>7809895.8200000003</v>
      </c>
    </row>
    <row r="37" spans="1:20">
      <c r="R37" s="73"/>
      <c r="S37" s="73"/>
      <c r="T37" s="179">
        <v>9528072.9000000004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7783-B504-458D-829A-55EF8BEC4E45}">
  <sheetPr>
    <pageSetUpPr fitToPage="1"/>
  </sheetPr>
  <dimension ref="A1:T37"/>
  <sheetViews>
    <sheetView topLeftCell="B16" workbookViewId="0">
      <selection activeCell="T37" sqref="T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193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30.452999999999999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30.452999999999999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30.452999999999999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30.452999999999999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0</v>
      </c>
      <c r="E9" s="180">
        <v>0</v>
      </c>
      <c r="F9" s="180">
        <v>30.452999999999999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30.452999999999999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30.452999999999999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30.452999999999999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30.452999999999999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30.452999999999999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30.452999999999999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30.452999999999999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30.452999999999999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30.452999999999999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4.1500000000000004</v>
      </c>
      <c r="F19" s="180">
        <v>26.303000000000001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26.303000000000001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26.303000000000001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26.303000000000001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26.303000000000001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26.303000000000001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26.303000000000001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26.303000000000001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26.303000000000001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26.303000000000001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26.303000000000001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26.303000000000001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26.303000000000001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26.303000000000001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26.303000000000001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26.303000000000001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26.303000000000001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0</v>
      </c>
      <c r="E36" s="70">
        <v>4.1500000000000004</v>
      </c>
      <c r="F36" s="70">
        <v>873.49299999999982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0</v>
      </c>
      <c r="N36" s="178">
        <v>1289.05</v>
      </c>
      <c r="O36" s="178">
        <v>16630.48</v>
      </c>
      <c r="P36" s="178">
        <v>0</v>
      </c>
      <c r="Q36" s="178">
        <v>0</v>
      </c>
      <c r="R36" s="178">
        <v>0</v>
      </c>
      <c r="S36" s="178">
        <v>0</v>
      </c>
      <c r="T36" s="178">
        <v>17919.53</v>
      </c>
    </row>
    <row r="37" spans="1:20">
      <c r="R37" s="73"/>
      <c r="S37" s="73"/>
      <c r="T37" s="179">
        <v>21861.83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F602-1C32-42DB-B9B4-54A5B6FDD692}">
  <sheetPr>
    <pageSetUpPr fitToPage="1"/>
  </sheetPr>
  <dimension ref="A1:T37"/>
  <sheetViews>
    <sheetView topLeftCell="B16" workbookViewId="0">
      <selection activeCell="T37" sqref="T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194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67</v>
      </c>
      <c r="E5" s="180">
        <v>0</v>
      </c>
      <c r="F5" s="180">
        <v>7974.835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89</v>
      </c>
      <c r="E6" s="180">
        <v>66</v>
      </c>
      <c r="F6" s="180">
        <v>7997.835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22</v>
      </c>
      <c r="E7" s="180">
        <v>22.5</v>
      </c>
      <c r="F7" s="180">
        <v>7997.335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334.5</v>
      </c>
      <c r="E8" s="180">
        <v>22</v>
      </c>
      <c r="F8" s="180">
        <v>8309.8349999999991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291</v>
      </c>
      <c r="E9" s="180">
        <v>157</v>
      </c>
      <c r="F9" s="180">
        <v>8443.8349999999991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491.5</v>
      </c>
      <c r="E10" s="180">
        <v>157.5</v>
      </c>
      <c r="F10" s="180">
        <v>8777.8349999999991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444</v>
      </c>
      <c r="E11" s="180">
        <v>202.55</v>
      </c>
      <c r="F11" s="180">
        <v>9019.2849999999999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356</v>
      </c>
      <c r="E12" s="180">
        <v>89</v>
      </c>
      <c r="F12" s="180">
        <v>9286.2849999999999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266</v>
      </c>
      <c r="E13" s="180">
        <v>0</v>
      </c>
      <c r="F13" s="180">
        <v>9552.2849999999999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378</v>
      </c>
      <c r="E14" s="180">
        <v>67</v>
      </c>
      <c r="F14" s="180">
        <v>9863.2849999999999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468.5</v>
      </c>
      <c r="E15" s="180">
        <v>0</v>
      </c>
      <c r="F15" s="180">
        <v>10331.785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489.5</v>
      </c>
      <c r="E16" s="180">
        <v>33.25</v>
      </c>
      <c r="F16" s="180">
        <v>10788.084999999999</v>
      </c>
      <c r="G16" s="176">
        <v>0</v>
      </c>
      <c r="H16" s="176">
        <v>0</v>
      </c>
      <c r="I16" s="62">
        <v>3</v>
      </c>
      <c r="J16" s="62">
        <v>3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2850</v>
      </c>
      <c r="S16" s="177">
        <v>360</v>
      </c>
      <c r="T16" s="177">
        <v>3210</v>
      </c>
    </row>
    <row r="17" spans="1:20">
      <c r="A17" s="65">
        <v>13</v>
      </c>
      <c r="B17" s="77" t="s">
        <v>161</v>
      </c>
      <c r="C17" s="78"/>
      <c r="D17" s="180">
        <v>246</v>
      </c>
      <c r="E17" s="180">
        <v>156</v>
      </c>
      <c r="F17" s="180">
        <v>10878.084999999999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267.5</v>
      </c>
      <c r="E18" s="180">
        <v>66.5</v>
      </c>
      <c r="F18" s="180">
        <v>11079.084999999999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377.5</v>
      </c>
      <c r="E19" s="180">
        <v>77.5</v>
      </c>
      <c r="F19" s="180">
        <v>11379.084999999999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421.5</v>
      </c>
      <c r="E20" s="180">
        <v>200</v>
      </c>
      <c r="F20" s="180">
        <v>11600.584999999999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265</v>
      </c>
      <c r="E21" s="180">
        <v>110</v>
      </c>
      <c r="F21" s="180">
        <v>11755.584999999999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398</v>
      </c>
      <c r="E22" s="180">
        <v>44.3</v>
      </c>
      <c r="F22" s="180">
        <v>12109.29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375.5</v>
      </c>
      <c r="E23" s="180">
        <v>51</v>
      </c>
      <c r="F23" s="180">
        <v>12433.79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265.5</v>
      </c>
      <c r="E24" s="180">
        <v>66.5</v>
      </c>
      <c r="F24" s="180">
        <v>12632.79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400</v>
      </c>
      <c r="E25" s="180">
        <v>67</v>
      </c>
      <c r="F25" s="180">
        <v>12965.725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398</v>
      </c>
      <c r="E26" s="180">
        <v>112</v>
      </c>
      <c r="F26" s="180">
        <v>13251.725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331</v>
      </c>
      <c r="E27" s="180">
        <v>67</v>
      </c>
      <c r="F27" s="180">
        <v>13515.725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375</v>
      </c>
      <c r="E28" s="180">
        <v>44.5</v>
      </c>
      <c r="F28" s="180">
        <v>13846.225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177</v>
      </c>
      <c r="E29" s="180">
        <v>67.875</v>
      </c>
      <c r="F29" s="180">
        <v>13955.35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88.5</v>
      </c>
      <c r="E30" s="180">
        <v>0</v>
      </c>
      <c r="F30" s="180">
        <v>14043.85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220</v>
      </c>
      <c r="E31" s="180">
        <v>133.5</v>
      </c>
      <c r="F31" s="180">
        <v>14130.35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110</v>
      </c>
      <c r="E32" s="180">
        <v>223.5</v>
      </c>
      <c r="F32" s="180">
        <v>14016.85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176</v>
      </c>
      <c r="E33" s="180">
        <v>315</v>
      </c>
      <c r="F33" s="180">
        <v>13877.85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352</v>
      </c>
      <c r="E34" s="180">
        <v>134</v>
      </c>
      <c r="F34" s="180">
        <v>14095.85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22</v>
      </c>
      <c r="E35" s="180">
        <v>179</v>
      </c>
      <c r="F35" s="180">
        <v>13938.85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8963</v>
      </c>
      <c r="E36" s="70">
        <v>2931.9749999999999</v>
      </c>
      <c r="F36" s="70">
        <v>353849.16499999986</v>
      </c>
      <c r="G36" s="70">
        <v>0</v>
      </c>
      <c r="H36" s="70">
        <v>0</v>
      </c>
      <c r="I36" s="70">
        <v>3</v>
      </c>
      <c r="J36" s="70">
        <v>3</v>
      </c>
      <c r="K36" s="70">
        <v>0</v>
      </c>
      <c r="L36" s="178">
        <v>0</v>
      </c>
      <c r="M36" s="178">
        <v>890150.93</v>
      </c>
      <c r="N36" s="178">
        <v>910710.95</v>
      </c>
      <c r="O36" s="178">
        <v>6736955.0899999999</v>
      </c>
      <c r="P36" s="178">
        <v>0</v>
      </c>
      <c r="Q36" s="178">
        <v>0</v>
      </c>
      <c r="R36" s="178">
        <v>2850</v>
      </c>
      <c r="S36" s="178">
        <v>360</v>
      </c>
      <c r="T36" s="178">
        <v>8541026.9700000007</v>
      </c>
    </row>
    <row r="37" spans="1:20">
      <c r="R37" s="73"/>
      <c r="S37" s="73"/>
      <c r="T37" s="179">
        <v>10420052.9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BC6F-7929-423E-817D-A57D0BBA86A7}">
  <sheetPr>
    <pageSetUpPr fitToPage="1"/>
  </sheetPr>
  <dimension ref="A1:T37"/>
  <sheetViews>
    <sheetView topLeftCell="B16" workbookViewId="0">
      <selection activeCell="T37" sqref="T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15.157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15.157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15.157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15.157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0</v>
      </c>
      <c r="E9" s="180">
        <v>0</v>
      </c>
      <c r="F9" s="180">
        <v>15.157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15.157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15.157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15.157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15.157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15.157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15.157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22</v>
      </c>
      <c r="E16" s="180">
        <v>0</v>
      </c>
      <c r="F16" s="180">
        <v>37.106999999999999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88</v>
      </c>
      <c r="E17" s="180">
        <v>0</v>
      </c>
      <c r="F17" s="180">
        <v>125.107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88</v>
      </c>
      <c r="E18" s="180">
        <v>0</v>
      </c>
      <c r="F18" s="180">
        <v>213.107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22</v>
      </c>
      <c r="E19" s="180">
        <v>0</v>
      </c>
      <c r="F19" s="180">
        <v>235.107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235.107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235.107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235.102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235.102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235.102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235.102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235.102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235.102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235.102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235.102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235.102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235.102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235.102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235.102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235.102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235.102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220</v>
      </c>
      <c r="E36" s="70">
        <v>0</v>
      </c>
      <c r="F36" s="70">
        <v>4538.7969999999987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21849.07</v>
      </c>
      <c r="N36" s="178">
        <v>0</v>
      </c>
      <c r="O36" s="178">
        <v>86414.42</v>
      </c>
      <c r="P36" s="178">
        <v>0</v>
      </c>
      <c r="Q36" s="178">
        <v>0</v>
      </c>
      <c r="R36" s="178">
        <v>0</v>
      </c>
      <c r="S36" s="178">
        <v>0</v>
      </c>
      <c r="T36" s="178">
        <v>108263.49</v>
      </c>
    </row>
    <row r="37" spans="1:20">
      <c r="R37" s="73"/>
      <c r="S37" s="73"/>
      <c r="T37" s="179">
        <v>132081.46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A906-7076-43A2-8253-73430B0E12B1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21.91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21.91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21.91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21.91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0</v>
      </c>
      <c r="E9" s="180">
        <v>0</v>
      </c>
      <c r="F9" s="180">
        <v>21.91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21.91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21.91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21.91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21.91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21.91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21.91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20.625</v>
      </c>
      <c r="F16" s="180">
        <v>1.2849999999999999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1.2849999999999999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1.2849999999999999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1.2849999999999999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1.2849999999999999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1.2849999999999999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1.2849999999999999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1.2849999999999999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1.2849999999999999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1.2849999999999999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1.2849999999999999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1.2849999999999999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1.2849999999999999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1.2849999999999999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1.2849999999999999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1.2849999999999999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1.2849999999999999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1.2849999999999999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1.2849999999999999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1.2849999999999999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0</v>
      </c>
      <c r="E36" s="70">
        <v>20.625</v>
      </c>
      <c r="F36" s="70">
        <v>266.71000000000015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0</v>
      </c>
      <c r="N36" s="178">
        <v>16205.03</v>
      </c>
      <c r="O36" s="178">
        <v>7965.93</v>
      </c>
      <c r="P36" s="178">
        <v>0</v>
      </c>
      <c r="Q36" s="178">
        <v>0</v>
      </c>
      <c r="R36" s="178">
        <v>0</v>
      </c>
      <c r="S36" s="178">
        <v>0</v>
      </c>
      <c r="T36" s="178">
        <v>24170.959999999999</v>
      </c>
    </row>
    <row r="37" spans="1:20">
      <c r="R37" s="73"/>
      <c r="S37" s="73"/>
      <c r="T37" s="179">
        <v>29488.57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1078-8B8E-4D35-90C0-78ACF8ED2EC0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2673.422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2673.422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2673.422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2673.422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22</v>
      </c>
      <c r="E9" s="180">
        <v>67.5</v>
      </c>
      <c r="F9" s="180">
        <v>2627.922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22.5</v>
      </c>
      <c r="F10" s="180">
        <v>2605.422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22</v>
      </c>
      <c r="E11" s="180">
        <v>55.5</v>
      </c>
      <c r="F11" s="180">
        <v>2571.922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186</v>
      </c>
      <c r="F12" s="180">
        <v>2385.922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2385.922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2385.922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2385.922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22</v>
      </c>
      <c r="E16" s="180">
        <v>33</v>
      </c>
      <c r="F16" s="180">
        <v>2374.922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33</v>
      </c>
      <c r="F17" s="180">
        <v>2341.922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56.5</v>
      </c>
      <c r="F18" s="180">
        <v>2285.422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10.5</v>
      </c>
      <c r="F19" s="180">
        <v>2274.922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2274.922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2274.922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25.375</v>
      </c>
      <c r="F22" s="180">
        <v>2249.547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5.5</v>
      </c>
      <c r="E23" s="180">
        <v>22.5</v>
      </c>
      <c r="F23" s="180">
        <v>2232.547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2232.547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2232.547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1.5</v>
      </c>
      <c r="F26" s="180">
        <v>2231.047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2231.047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2231.047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242</v>
      </c>
      <c r="E29" s="180">
        <v>22.5</v>
      </c>
      <c r="F29" s="180">
        <v>2450.547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418.25</v>
      </c>
      <c r="E30" s="180">
        <v>22.524999999999999</v>
      </c>
      <c r="F30" s="180">
        <v>2846.2719999999999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286</v>
      </c>
      <c r="E31" s="180">
        <v>0</v>
      </c>
      <c r="F31" s="180">
        <v>3132.2719999999999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132</v>
      </c>
      <c r="E32" s="180">
        <v>0</v>
      </c>
      <c r="F32" s="180">
        <v>3264.2719999999999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66</v>
      </c>
      <c r="E33" s="180">
        <v>22.5</v>
      </c>
      <c r="F33" s="180">
        <v>3307.7719999999999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3307.7719999999999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3307.7719999999999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1215.75</v>
      </c>
      <c r="E36" s="70">
        <v>581.4</v>
      </c>
      <c r="F36" s="70">
        <v>79126.681999999972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388620.99</v>
      </c>
      <c r="N36" s="178">
        <v>456804.97</v>
      </c>
      <c r="O36" s="178">
        <v>2363306.64</v>
      </c>
      <c r="P36" s="178">
        <v>0</v>
      </c>
      <c r="Q36" s="178">
        <v>0</v>
      </c>
      <c r="R36" s="178">
        <v>0</v>
      </c>
      <c r="S36" s="178">
        <v>0</v>
      </c>
      <c r="T36" s="178">
        <v>3208732.6</v>
      </c>
    </row>
    <row r="37" spans="1:20">
      <c r="R37" s="73"/>
      <c r="S37" s="73"/>
      <c r="T37" s="179">
        <v>3914653.77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D51A-79D2-43AB-9112-0C9ABD91BA33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198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140</v>
      </c>
      <c r="H3" s="49" t="s">
        <v>141</v>
      </c>
      <c r="I3" s="49" t="s">
        <v>7</v>
      </c>
      <c r="J3" s="49" t="s">
        <v>8</v>
      </c>
      <c r="K3" s="49" t="s">
        <v>142</v>
      </c>
      <c r="L3" s="49" t="s">
        <v>143</v>
      </c>
      <c r="M3" s="49" t="s">
        <v>144</v>
      </c>
      <c r="N3" s="49" t="s">
        <v>145</v>
      </c>
      <c r="O3" s="49" t="s">
        <v>146</v>
      </c>
      <c r="P3" s="49" t="s">
        <v>147</v>
      </c>
      <c r="Q3" s="49" t="s">
        <v>148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18.100000000000001</v>
      </c>
      <c r="G5" s="176">
        <v>0</v>
      </c>
      <c r="H5" s="176">
        <v>0</v>
      </c>
      <c r="I5" s="62">
        <v>0</v>
      </c>
      <c r="J5" s="62">
        <v>0</v>
      </c>
      <c r="K5" s="63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18.100000000000001</v>
      </c>
      <c r="G6" s="176">
        <v>0</v>
      </c>
      <c r="H6" s="176">
        <v>0</v>
      </c>
      <c r="I6" s="62">
        <v>0</v>
      </c>
      <c r="J6" s="62">
        <v>0</v>
      </c>
      <c r="K6" s="63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18.100000000000001</v>
      </c>
      <c r="G7" s="176">
        <v>0</v>
      </c>
      <c r="H7" s="176">
        <v>0</v>
      </c>
      <c r="I7" s="62">
        <v>0</v>
      </c>
      <c r="J7" s="62">
        <v>0</v>
      </c>
      <c r="K7" s="63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44</v>
      </c>
      <c r="E8" s="180">
        <v>0</v>
      </c>
      <c r="F8" s="180">
        <v>62.1</v>
      </c>
      <c r="G8" s="176">
        <v>0</v>
      </c>
      <c r="H8" s="176">
        <v>0</v>
      </c>
      <c r="I8" s="62">
        <v>0</v>
      </c>
      <c r="J8" s="62">
        <v>0</v>
      </c>
      <c r="K8" s="63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220</v>
      </c>
      <c r="E9" s="180">
        <v>0</v>
      </c>
      <c r="F9" s="180">
        <v>282.10000000000002</v>
      </c>
      <c r="G9" s="176">
        <v>0</v>
      </c>
      <c r="H9" s="176">
        <v>0</v>
      </c>
      <c r="I9" s="62">
        <v>0</v>
      </c>
      <c r="J9" s="62">
        <v>0</v>
      </c>
      <c r="K9" s="63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282.10000000000002</v>
      </c>
      <c r="G10" s="176">
        <v>0</v>
      </c>
      <c r="H10" s="176">
        <v>0</v>
      </c>
      <c r="I10" s="62">
        <v>0</v>
      </c>
      <c r="J10" s="62">
        <v>0</v>
      </c>
      <c r="K10" s="63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282.10000000000002</v>
      </c>
      <c r="G11" s="176">
        <v>0</v>
      </c>
      <c r="H11" s="176">
        <v>0</v>
      </c>
      <c r="I11" s="62">
        <v>0</v>
      </c>
      <c r="J11" s="62">
        <v>0</v>
      </c>
      <c r="K11" s="63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282.10000000000002</v>
      </c>
      <c r="G12" s="176">
        <v>0</v>
      </c>
      <c r="H12" s="176">
        <v>0</v>
      </c>
      <c r="I12" s="62">
        <v>0</v>
      </c>
      <c r="J12" s="62">
        <v>0</v>
      </c>
      <c r="K12" s="63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282.10000000000002</v>
      </c>
      <c r="G13" s="176">
        <v>0</v>
      </c>
      <c r="H13" s="176">
        <v>0</v>
      </c>
      <c r="I13" s="62">
        <v>0</v>
      </c>
      <c r="J13" s="62">
        <v>0</v>
      </c>
      <c r="K13" s="63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282.10000000000002</v>
      </c>
      <c r="G14" s="176">
        <v>0</v>
      </c>
      <c r="H14" s="176">
        <v>0</v>
      </c>
      <c r="I14" s="62">
        <v>0</v>
      </c>
      <c r="J14" s="62">
        <v>0</v>
      </c>
      <c r="K14" s="63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282.10000000000002</v>
      </c>
      <c r="G15" s="176">
        <v>0</v>
      </c>
      <c r="H15" s="176">
        <v>0</v>
      </c>
      <c r="I15" s="62">
        <v>0</v>
      </c>
      <c r="J15" s="62">
        <v>0</v>
      </c>
      <c r="K15" s="63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282.10000000000002</v>
      </c>
      <c r="G16" s="176">
        <v>0</v>
      </c>
      <c r="H16" s="176">
        <v>0</v>
      </c>
      <c r="I16" s="62">
        <v>0</v>
      </c>
      <c r="J16" s="62">
        <v>0</v>
      </c>
      <c r="K16" s="63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282.10000000000002</v>
      </c>
      <c r="G17" s="176">
        <v>0</v>
      </c>
      <c r="H17" s="176">
        <v>0</v>
      </c>
      <c r="I17" s="62">
        <v>0</v>
      </c>
      <c r="J17" s="62">
        <v>0</v>
      </c>
      <c r="K17" s="63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282.10000000000002</v>
      </c>
      <c r="G18" s="176">
        <v>0</v>
      </c>
      <c r="H18" s="176">
        <v>0</v>
      </c>
      <c r="I18" s="62">
        <v>0</v>
      </c>
      <c r="J18" s="62">
        <v>0</v>
      </c>
      <c r="K18" s="63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282.10000000000002</v>
      </c>
      <c r="G19" s="176">
        <v>0</v>
      </c>
      <c r="H19" s="176">
        <v>0</v>
      </c>
      <c r="I19" s="62">
        <v>0</v>
      </c>
      <c r="J19" s="62">
        <v>0</v>
      </c>
      <c r="K19" s="63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282.10000000000002</v>
      </c>
      <c r="G20" s="176">
        <v>0</v>
      </c>
      <c r="H20" s="176">
        <v>0</v>
      </c>
      <c r="I20" s="62">
        <v>0</v>
      </c>
      <c r="J20" s="62">
        <v>0</v>
      </c>
      <c r="K20" s="63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282.10000000000002</v>
      </c>
      <c r="G21" s="176">
        <v>0</v>
      </c>
      <c r="H21" s="176">
        <v>0</v>
      </c>
      <c r="I21" s="62">
        <v>0</v>
      </c>
      <c r="J21" s="62">
        <v>0</v>
      </c>
      <c r="K21" s="63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282.10000000000002</v>
      </c>
      <c r="G22" s="176">
        <v>0</v>
      </c>
      <c r="H22" s="176">
        <v>0</v>
      </c>
      <c r="I22" s="62">
        <v>0</v>
      </c>
      <c r="J22" s="62">
        <v>0</v>
      </c>
      <c r="K22" s="63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282.10000000000002</v>
      </c>
      <c r="G23" s="176">
        <v>0</v>
      </c>
      <c r="H23" s="176">
        <v>0</v>
      </c>
      <c r="I23" s="62">
        <v>0</v>
      </c>
      <c r="J23" s="62">
        <v>0</v>
      </c>
      <c r="K23" s="63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282.10000000000002</v>
      </c>
      <c r="G24" s="176">
        <v>0</v>
      </c>
      <c r="H24" s="176">
        <v>0</v>
      </c>
      <c r="I24" s="62">
        <v>0</v>
      </c>
      <c r="J24" s="62">
        <v>0</v>
      </c>
      <c r="K24" s="63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282.10000000000002</v>
      </c>
      <c r="G25" s="176">
        <v>0</v>
      </c>
      <c r="H25" s="176">
        <v>0</v>
      </c>
      <c r="I25" s="62">
        <v>0</v>
      </c>
      <c r="J25" s="62">
        <v>0</v>
      </c>
      <c r="K25" s="63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282.10000000000002</v>
      </c>
      <c r="G26" s="176">
        <v>0</v>
      </c>
      <c r="H26" s="176">
        <v>0</v>
      </c>
      <c r="I26" s="62">
        <v>0</v>
      </c>
      <c r="J26" s="62">
        <v>0</v>
      </c>
      <c r="K26" s="63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282.10000000000002</v>
      </c>
      <c r="G27" s="176">
        <v>0</v>
      </c>
      <c r="H27" s="176">
        <v>0</v>
      </c>
      <c r="I27" s="62">
        <v>0</v>
      </c>
      <c r="J27" s="62">
        <v>0</v>
      </c>
      <c r="K27" s="63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282.10000000000002</v>
      </c>
      <c r="G28" s="176">
        <v>0</v>
      </c>
      <c r="H28" s="176">
        <v>0</v>
      </c>
      <c r="I28" s="62">
        <v>0</v>
      </c>
      <c r="J28" s="62">
        <v>0</v>
      </c>
      <c r="K28" s="63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282.10000000000002</v>
      </c>
      <c r="G29" s="176">
        <v>0</v>
      </c>
      <c r="H29" s="176">
        <v>0</v>
      </c>
      <c r="I29" s="62">
        <v>0</v>
      </c>
      <c r="J29" s="62">
        <v>0</v>
      </c>
      <c r="K29" s="63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282.10000000000002</v>
      </c>
      <c r="G30" s="176">
        <v>0</v>
      </c>
      <c r="H30" s="176">
        <v>0</v>
      </c>
      <c r="I30" s="62">
        <v>0</v>
      </c>
      <c r="J30" s="62">
        <v>0</v>
      </c>
      <c r="K30" s="63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282.10000000000002</v>
      </c>
      <c r="G31" s="176">
        <v>0</v>
      </c>
      <c r="H31" s="176">
        <v>0</v>
      </c>
      <c r="I31" s="62">
        <v>0</v>
      </c>
      <c r="J31" s="62">
        <v>0</v>
      </c>
      <c r="K31" s="63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282.10000000000002</v>
      </c>
      <c r="G32" s="176">
        <v>0</v>
      </c>
      <c r="H32" s="176">
        <v>0</v>
      </c>
      <c r="I32" s="62">
        <v>0</v>
      </c>
      <c r="J32" s="62">
        <v>0</v>
      </c>
      <c r="K32" s="63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282.10000000000002</v>
      </c>
      <c r="G33" s="176">
        <v>0</v>
      </c>
      <c r="H33" s="176">
        <v>0</v>
      </c>
      <c r="I33" s="62">
        <v>0</v>
      </c>
      <c r="J33" s="62">
        <v>0</v>
      </c>
      <c r="K33" s="63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282.10000000000002</v>
      </c>
      <c r="G34" s="176">
        <v>0</v>
      </c>
      <c r="H34" s="176">
        <v>0</v>
      </c>
      <c r="I34" s="62">
        <v>0</v>
      </c>
      <c r="J34" s="62">
        <v>0</v>
      </c>
      <c r="K34" s="63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282.10000000000002</v>
      </c>
      <c r="G35" s="176">
        <v>0</v>
      </c>
      <c r="H35" s="176">
        <v>0</v>
      </c>
      <c r="I35" s="62">
        <v>0</v>
      </c>
      <c r="J35" s="62">
        <v>0</v>
      </c>
      <c r="K35" s="63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264</v>
      </c>
      <c r="E36" s="70">
        <v>0</v>
      </c>
      <c r="F36" s="70">
        <v>7733.100000000004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178">
        <v>0</v>
      </c>
      <c r="M36" s="178">
        <v>84389.01</v>
      </c>
      <c r="N36" s="178">
        <v>0</v>
      </c>
      <c r="O36" s="178">
        <v>230967.43</v>
      </c>
      <c r="P36" s="178">
        <v>0</v>
      </c>
      <c r="Q36" s="178">
        <v>0</v>
      </c>
      <c r="R36" s="178">
        <v>0</v>
      </c>
      <c r="S36" s="178">
        <v>0</v>
      </c>
      <c r="T36" s="178">
        <v>315356.44</v>
      </c>
    </row>
    <row r="37" spans="1:20">
      <c r="R37" s="73"/>
      <c r="S37" s="73"/>
      <c r="T37" s="179">
        <v>384734.86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9FC9-020F-4261-B440-274A61AAC6D2}">
  <sheetPr>
    <pageSetUpPr fitToPage="1"/>
  </sheetPr>
  <dimension ref="A1:T42"/>
  <sheetViews>
    <sheetView topLeftCell="A17" workbookViewId="0">
      <selection activeCell="P36" sqref="P36"/>
    </sheetView>
  </sheetViews>
  <sheetFormatPr defaultRowHeight="15"/>
  <cols>
    <col min="1" max="3" width="9.140625" style="47"/>
    <col min="4" max="4" width="11.85546875" style="47" customWidth="1"/>
    <col min="5" max="5" width="12.28515625" style="47" customWidth="1"/>
    <col min="6" max="6" width="13.140625" style="47" customWidth="1"/>
    <col min="7" max="7" width="11.42578125" style="47" customWidth="1"/>
    <col min="8" max="8" width="10.7109375" style="47" customWidth="1"/>
    <col min="9" max="9" width="10.5703125" style="47" bestFit="1" customWidth="1"/>
    <col min="10" max="12" width="9.140625" style="47"/>
    <col min="13" max="13" width="13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199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189</v>
      </c>
      <c r="H3" s="49" t="s">
        <v>141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190</v>
      </c>
      <c r="P3" s="49" t="s">
        <v>147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727.84299999999996</v>
      </c>
      <c r="G5" s="176">
        <v>0</v>
      </c>
      <c r="H5" s="176">
        <v>0</v>
      </c>
      <c r="I5" s="62">
        <v>0</v>
      </c>
      <c r="J5" s="63">
        <v>0</v>
      </c>
      <c r="K5" s="63"/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727.84299999999996</v>
      </c>
      <c r="G6" s="176">
        <v>0</v>
      </c>
      <c r="H6" s="176">
        <v>0</v>
      </c>
      <c r="I6" s="62">
        <v>0</v>
      </c>
      <c r="J6" s="63">
        <v>0</v>
      </c>
      <c r="K6" s="63"/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727.84299999999996</v>
      </c>
      <c r="G7" s="176">
        <v>0</v>
      </c>
      <c r="H7" s="176">
        <v>0</v>
      </c>
      <c r="I7" s="62">
        <v>0</v>
      </c>
      <c r="J7" s="63">
        <v>0</v>
      </c>
      <c r="K7" s="63"/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727.84299999999996</v>
      </c>
      <c r="G8" s="176">
        <v>0</v>
      </c>
      <c r="H8" s="176">
        <v>0</v>
      </c>
      <c r="I8" s="62">
        <v>0</v>
      </c>
      <c r="J8" s="63">
        <v>0</v>
      </c>
      <c r="K8" s="63"/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</row>
    <row r="9" spans="1:20">
      <c r="A9" s="65">
        <v>5</v>
      </c>
      <c r="B9" s="77" t="s">
        <v>153</v>
      </c>
      <c r="C9" s="78"/>
      <c r="D9" s="180">
        <v>0</v>
      </c>
      <c r="E9" s="180">
        <v>0</v>
      </c>
      <c r="F9" s="180">
        <v>727.84299999999996</v>
      </c>
      <c r="G9" s="176">
        <v>0</v>
      </c>
      <c r="H9" s="176">
        <v>0</v>
      </c>
      <c r="I9" s="62">
        <v>0</v>
      </c>
      <c r="J9" s="63">
        <v>0</v>
      </c>
      <c r="K9" s="63"/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727.84299999999996</v>
      </c>
      <c r="G10" s="176">
        <v>0</v>
      </c>
      <c r="H10" s="176">
        <v>0</v>
      </c>
      <c r="I10" s="62">
        <v>0</v>
      </c>
      <c r="J10" s="63">
        <v>0</v>
      </c>
      <c r="K10" s="63"/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727.84299999999996</v>
      </c>
      <c r="G11" s="176">
        <v>0</v>
      </c>
      <c r="H11" s="176">
        <v>0</v>
      </c>
      <c r="I11" s="62">
        <v>0</v>
      </c>
      <c r="J11" s="63">
        <v>0</v>
      </c>
      <c r="K11" s="63"/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727.84299999999996</v>
      </c>
      <c r="G12" s="176">
        <v>0</v>
      </c>
      <c r="H12" s="176">
        <v>0</v>
      </c>
      <c r="I12" s="62">
        <v>0</v>
      </c>
      <c r="J12" s="63">
        <v>0</v>
      </c>
      <c r="K12" s="63"/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727.84299999999996</v>
      </c>
      <c r="G13" s="176">
        <v>0</v>
      </c>
      <c r="H13" s="176">
        <v>0</v>
      </c>
      <c r="I13" s="62">
        <v>0</v>
      </c>
      <c r="J13" s="63">
        <v>0</v>
      </c>
      <c r="K13" s="63"/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727.84299999999996</v>
      </c>
      <c r="G14" s="176">
        <v>0</v>
      </c>
      <c r="H14" s="176">
        <v>0</v>
      </c>
      <c r="I14" s="62">
        <v>0</v>
      </c>
      <c r="J14" s="63">
        <v>0</v>
      </c>
      <c r="K14" s="63"/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727.84299999999996</v>
      </c>
      <c r="G15" s="176">
        <v>0</v>
      </c>
      <c r="H15" s="176">
        <v>0</v>
      </c>
      <c r="I15" s="62">
        <v>0</v>
      </c>
      <c r="J15" s="63">
        <v>0</v>
      </c>
      <c r="K15" s="63"/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727.84299999999996</v>
      </c>
      <c r="G16" s="176">
        <v>0</v>
      </c>
      <c r="H16" s="176">
        <v>0</v>
      </c>
      <c r="I16" s="62">
        <v>0</v>
      </c>
      <c r="J16" s="63">
        <v>0</v>
      </c>
      <c r="K16" s="68"/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727.84299999999996</v>
      </c>
      <c r="G17" s="176">
        <v>0</v>
      </c>
      <c r="H17" s="176">
        <v>0</v>
      </c>
      <c r="I17" s="62">
        <v>0</v>
      </c>
      <c r="J17" s="63">
        <v>0</v>
      </c>
      <c r="K17" s="63"/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727.84299999999996</v>
      </c>
      <c r="G18" s="176">
        <v>0</v>
      </c>
      <c r="H18" s="176">
        <v>0</v>
      </c>
      <c r="I18" s="62">
        <v>0</v>
      </c>
      <c r="J18" s="63">
        <v>0</v>
      </c>
      <c r="K18" s="63"/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727.84299999999996</v>
      </c>
      <c r="G19" s="176">
        <v>0</v>
      </c>
      <c r="H19" s="176">
        <v>0</v>
      </c>
      <c r="I19" s="62">
        <v>0</v>
      </c>
      <c r="J19" s="63">
        <v>0</v>
      </c>
      <c r="K19" s="63"/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727.84299999999996</v>
      </c>
      <c r="G20" s="176">
        <v>0</v>
      </c>
      <c r="H20" s="176">
        <v>0</v>
      </c>
      <c r="I20" s="62">
        <v>0</v>
      </c>
      <c r="J20" s="63">
        <v>0</v>
      </c>
      <c r="K20" s="63"/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727.84299999999996</v>
      </c>
      <c r="G21" s="176">
        <v>0</v>
      </c>
      <c r="H21" s="176">
        <v>0</v>
      </c>
      <c r="I21" s="62">
        <v>0</v>
      </c>
      <c r="J21" s="63">
        <v>0</v>
      </c>
      <c r="K21" s="63"/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727.84299999999996</v>
      </c>
      <c r="G22" s="176">
        <v>0</v>
      </c>
      <c r="H22" s="176">
        <v>0</v>
      </c>
      <c r="I22" s="62">
        <v>0</v>
      </c>
      <c r="J22" s="63">
        <v>0</v>
      </c>
      <c r="K22" s="63"/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727.84299999999996</v>
      </c>
      <c r="G23" s="176">
        <v>0</v>
      </c>
      <c r="H23" s="176">
        <v>0</v>
      </c>
      <c r="I23" s="62">
        <v>0</v>
      </c>
      <c r="J23" s="63">
        <v>0</v>
      </c>
      <c r="K23" s="63"/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727.84299999999996</v>
      </c>
      <c r="G24" s="176">
        <v>0</v>
      </c>
      <c r="H24" s="176">
        <v>0</v>
      </c>
      <c r="I24" s="62">
        <v>0</v>
      </c>
      <c r="J24" s="63">
        <v>0</v>
      </c>
      <c r="K24" s="63"/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727.84299999999996</v>
      </c>
      <c r="G25" s="176">
        <v>0</v>
      </c>
      <c r="H25" s="176">
        <v>0</v>
      </c>
      <c r="I25" s="62">
        <v>0</v>
      </c>
      <c r="J25" s="63">
        <v>0</v>
      </c>
      <c r="K25" s="63"/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727.84299999999996</v>
      </c>
      <c r="G26" s="176">
        <v>0</v>
      </c>
      <c r="H26" s="176">
        <v>0</v>
      </c>
      <c r="I26" s="62">
        <v>0</v>
      </c>
      <c r="J26" s="63">
        <v>0</v>
      </c>
      <c r="K26" s="63"/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727.84299999999996</v>
      </c>
      <c r="G27" s="176">
        <v>0</v>
      </c>
      <c r="H27" s="176">
        <v>0</v>
      </c>
      <c r="I27" s="62">
        <v>0</v>
      </c>
      <c r="J27" s="63">
        <v>0</v>
      </c>
      <c r="K27" s="63"/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727.84299999999996</v>
      </c>
      <c r="G28" s="176">
        <v>0</v>
      </c>
      <c r="H28" s="176">
        <v>0</v>
      </c>
      <c r="I28" s="62">
        <v>0</v>
      </c>
      <c r="J28" s="63">
        <v>0</v>
      </c>
      <c r="K28" s="63"/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</row>
    <row r="29" spans="1:20">
      <c r="A29" s="65">
        <v>25</v>
      </c>
      <c r="B29" s="77" t="s">
        <v>173</v>
      </c>
      <c r="C29" s="78"/>
      <c r="D29" s="180">
        <v>0</v>
      </c>
      <c r="E29" s="180">
        <v>0</v>
      </c>
      <c r="F29" s="180">
        <v>727.84299999999996</v>
      </c>
      <c r="G29" s="176">
        <v>0</v>
      </c>
      <c r="H29" s="176">
        <v>0</v>
      </c>
      <c r="I29" s="62">
        <v>0</v>
      </c>
      <c r="J29" s="63">
        <v>0</v>
      </c>
      <c r="K29" s="63"/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</row>
    <row r="30" spans="1:20">
      <c r="A30" s="65">
        <v>26</v>
      </c>
      <c r="B30" s="77" t="s">
        <v>174</v>
      </c>
      <c r="C30" s="78"/>
      <c r="D30" s="180">
        <v>0</v>
      </c>
      <c r="E30" s="180">
        <v>0</v>
      </c>
      <c r="F30" s="180">
        <v>727.84299999999996</v>
      </c>
      <c r="G30" s="176">
        <v>0</v>
      </c>
      <c r="H30" s="176">
        <v>0</v>
      </c>
      <c r="I30" s="62">
        <v>0</v>
      </c>
      <c r="J30" s="63">
        <v>0</v>
      </c>
      <c r="K30" s="63"/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</row>
    <row r="31" spans="1:20">
      <c r="A31" s="65">
        <v>27</v>
      </c>
      <c r="B31" s="77" t="s">
        <v>175</v>
      </c>
      <c r="C31" s="78"/>
      <c r="D31" s="180">
        <v>0</v>
      </c>
      <c r="E31" s="180">
        <v>0</v>
      </c>
      <c r="F31" s="180">
        <v>727.84299999999996</v>
      </c>
      <c r="G31" s="176">
        <v>0</v>
      </c>
      <c r="H31" s="176">
        <v>0</v>
      </c>
      <c r="I31" s="62">
        <v>0</v>
      </c>
      <c r="J31" s="63">
        <v>0</v>
      </c>
      <c r="K31" s="63"/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</row>
    <row r="32" spans="1:20">
      <c r="A32" s="65">
        <v>28</v>
      </c>
      <c r="B32" s="77" t="s">
        <v>176</v>
      </c>
      <c r="C32" s="78"/>
      <c r="D32" s="180">
        <v>0</v>
      </c>
      <c r="E32" s="180">
        <v>0</v>
      </c>
      <c r="F32" s="180">
        <v>727.84299999999996</v>
      </c>
      <c r="G32" s="176">
        <v>0</v>
      </c>
      <c r="H32" s="176">
        <v>0</v>
      </c>
      <c r="I32" s="62">
        <v>0</v>
      </c>
      <c r="J32" s="63">
        <v>0</v>
      </c>
      <c r="K32" s="63"/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727.84299999999996</v>
      </c>
      <c r="G33" s="176">
        <v>0</v>
      </c>
      <c r="H33" s="176">
        <v>0</v>
      </c>
      <c r="I33" s="62">
        <v>0</v>
      </c>
      <c r="J33" s="63">
        <v>0</v>
      </c>
      <c r="K33" s="63"/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727.84299999999996</v>
      </c>
      <c r="G34" s="176">
        <v>0</v>
      </c>
      <c r="H34" s="176">
        <v>0</v>
      </c>
      <c r="I34" s="62">
        <v>0</v>
      </c>
      <c r="J34" s="63">
        <v>0</v>
      </c>
      <c r="K34" s="63"/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727.84299999999996</v>
      </c>
      <c r="G35" s="176">
        <v>0</v>
      </c>
      <c r="H35" s="176">
        <v>0</v>
      </c>
      <c r="I35" s="62">
        <v>0</v>
      </c>
      <c r="J35" s="63">
        <v>0</v>
      </c>
      <c r="K35" s="63"/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</row>
    <row r="36" spans="1:20">
      <c r="D36" s="70">
        <v>0</v>
      </c>
      <c r="E36" s="70">
        <v>0</v>
      </c>
      <c r="F36" s="70">
        <v>22563.133000000013</v>
      </c>
      <c r="G36" s="70">
        <v>0</v>
      </c>
      <c r="H36" s="70">
        <v>0</v>
      </c>
      <c r="I36" s="70">
        <v>0</v>
      </c>
      <c r="J36" s="71">
        <v>0</v>
      </c>
      <c r="K36" s="71">
        <v>0</v>
      </c>
      <c r="L36" s="178">
        <v>0</v>
      </c>
      <c r="M36" s="178">
        <v>0</v>
      </c>
      <c r="N36" s="178">
        <v>0</v>
      </c>
      <c r="O36" s="178">
        <v>1007760</v>
      </c>
      <c r="P36" s="178">
        <v>458843.65</v>
      </c>
      <c r="Q36" s="178">
        <v>0</v>
      </c>
      <c r="R36" s="178">
        <v>0</v>
      </c>
      <c r="S36" s="178">
        <v>0</v>
      </c>
      <c r="T36" s="178">
        <v>1466603.65</v>
      </c>
    </row>
    <row r="37" spans="1:20">
      <c r="R37" s="73"/>
      <c r="S37" s="73"/>
      <c r="T37" s="179">
        <v>1789256.45</v>
      </c>
    </row>
    <row r="42" spans="1:20">
      <c r="J42" s="47">
        <v>7059.1330000000125</v>
      </c>
      <c r="K42" s="181">
        <v>15504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7D52-C17B-41CC-85FC-2C4498F4E5D2}">
  <sheetPr>
    <pageSetUpPr fitToPage="1"/>
  </sheetPr>
  <dimension ref="A1:T37"/>
  <sheetViews>
    <sheetView topLeftCell="A5" workbookViewId="0">
      <selection activeCell="H5" sqref="H5:H35"/>
    </sheetView>
  </sheetViews>
  <sheetFormatPr defaultRowHeight="15"/>
  <cols>
    <col min="1" max="3" width="9.140625" style="47"/>
    <col min="4" max="4" width="11.85546875" style="47" customWidth="1"/>
    <col min="5" max="5" width="12.28515625" style="47" customWidth="1"/>
    <col min="6" max="6" width="13.140625" style="47" customWidth="1"/>
    <col min="7" max="7" width="11.42578125" style="47" customWidth="1"/>
    <col min="8" max="8" width="10.7109375" style="47" customWidth="1"/>
    <col min="9" max="9" width="10.5703125" style="47" bestFit="1" customWidth="1"/>
    <col min="10" max="12" width="9.140625" style="47"/>
    <col min="13" max="13" width="13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200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201</v>
      </c>
      <c r="H3" s="49" t="s">
        <v>202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149</v>
      </c>
      <c r="C5" s="78"/>
      <c r="D5" s="180">
        <v>0</v>
      </c>
      <c r="E5" s="180">
        <v>0</v>
      </c>
      <c r="F5" s="180">
        <v>1893.48</v>
      </c>
      <c r="G5" s="176">
        <v>0</v>
      </c>
      <c r="H5" s="176">
        <v>75</v>
      </c>
      <c r="I5" s="62">
        <v>0</v>
      </c>
      <c r="J5" s="63">
        <v>0</v>
      </c>
      <c r="K5" s="63"/>
      <c r="L5" s="177">
        <v>0</v>
      </c>
      <c r="M5" s="177">
        <v>0</v>
      </c>
      <c r="N5" s="177">
        <v>0</v>
      </c>
      <c r="O5" s="177">
        <v>123076.2</v>
      </c>
      <c r="P5" s="177">
        <v>0</v>
      </c>
      <c r="Q5" s="177">
        <v>11250</v>
      </c>
      <c r="R5" s="177">
        <v>0</v>
      </c>
      <c r="S5" s="177">
        <v>0</v>
      </c>
      <c r="T5" s="177">
        <v>134326.20000000001</v>
      </c>
    </row>
    <row r="6" spans="1:20">
      <c r="A6" s="65">
        <v>2</v>
      </c>
      <c r="B6" s="77" t="s">
        <v>150</v>
      </c>
      <c r="C6" s="78"/>
      <c r="D6" s="180">
        <v>0</v>
      </c>
      <c r="E6" s="180">
        <v>0</v>
      </c>
      <c r="F6" s="180">
        <v>1893.48</v>
      </c>
      <c r="G6" s="176">
        <v>0</v>
      </c>
      <c r="H6" s="176">
        <v>75</v>
      </c>
      <c r="I6" s="62">
        <v>0</v>
      </c>
      <c r="J6" s="63">
        <v>0</v>
      </c>
      <c r="K6" s="63"/>
      <c r="L6" s="177">
        <v>0</v>
      </c>
      <c r="M6" s="177">
        <v>0</v>
      </c>
      <c r="N6" s="177">
        <v>0</v>
      </c>
      <c r="O6" s="177">
        <v>123076.2</v>
      </c>
      <c r="P6" s="177">
        <v>0</v>
      </c>
      <c r="Q6" s="177">
        <v>11250</v>
      </c>
      <c r="R6" s="177">
        <v>0</v>
      </c>
      <c r="S6" s="177">
        <v>0</v>
      </c>
      <c r="T6" s="177">
        <v>134326.20000000001</v>
      </c>
    </row>
    <row r="7" spans="1:20">
      <c r="A7" s="65">
        <v>3</v>
      </c>
      <c r="B7" s="77" t="s">
        <v>151</v>
      </c>
      <c r="C7" s="78"/>
      <c r="D7" s="180">
        <v>0</v>
      </c>
      <c r="E7" s="180">
        <v>0</v>
      </c>
      <c r="F7" s="180">
        <v>1893.48</v>
      </c>
      <c r="G7" s="176">
        <v>0</v>
      </c>
      <c r="H7" s="176">
        <v>75</v>
      </c>
      <c r="I7" s="62">
        <v>0</v>
      </c>
      <c r="J7" s="63">
        <v>0</v>
      </c>
      <c r="K7" s="63"/>
      <c r="L7" s="177">
        <v>0</v>
      </c>
      <c r="M7" s="177">
        <v>0</v>
      </c>
      <c r="N7" s="177">
        <v>0</v>
      </c>
      <c r="O7" s="177">
        <v>123076.2</v>
      </c>
      <c r="P7" s="177">
        <v>0</v>
      </c>
      <c r="Q7" s="177">
        <v>11250</v>
      </c>
      <c r="R7" s="177">
        <v>0</v>
      </c>
      <c r="S7" s="177">
        <v>0</v>
      </c>
      <c r="T7" s="177">
        <v>134326.20000000001</v>
      </c>
    </row>
    <row r="8" spans="1:20">
      <c r="A8" s="65">
        <v>4</v>
      </c>
      <c r="B8" s="77" t="s">
        <v>152</v>
      </c>
      <c r="C8" s="78"/>
      <c r="D8" s="180">
        <v>0</v>
      </c>
      <c r="E8" s="180">
        <v>0</v>
      </c>
      <c r="F8" s="180">
        <v>1893.48</v>
      </c>
      <c r="G8" s="176">
        <v>0</v>
      </c>
      <c r="H8" s="176">
        <v>75</v>
      </c>
      <c r="I8" s="62">
        <v>0</v>
      </c>
      <c r="J8" s="63">
        <v>0</v>
      </c>
      <c r="K8" s="63"/>
      <c r="L8" s="177">
        <v>0</v>
      </c>
      <c r="M8" s="177">
        <v>0</v>
      </c>
      <c r="N8" s="177">
        <v>0</v>
      </c>
      <c r="O8" s="177">
        <v>123076.2</v>
      </c>
      <c r="P8" s="177">
        <v>0</v>
      </c>
      <c r="Q8" s="177">
        <v>11250</v>
      </c>
      <c r="R8" s="177">
        <v>0</v>
      </c>
      <c r="S8" s="177">
        <v>0</v>
      </c>
      <c r="T8" s="177">
        <v>134326.20000000001</v>
      </c>
    </row>
    <row r="9" spans="1:20">
      <c r="A9" s="65">
        <v>5</v>
      </c>
      <c r="B9" s="77" t="s">
        <v>153</v>
      </c>
      <c r="C9" s="78"/>
      <c r="D9" s="180">
        <v>0</v>
      </c>
      <c r="E9" s="180">
        <v>0</v>
      </c>
      <c r="F9" s="180">
        <v>1893.48</v>
      </c>
      <c r="G9" s="176">
        <v>0</v>
      </c>
      <c r="H9" s="176">
        <v>75</v>
      </c>
      <c r="I9" s="62">
        <v>0</v>
      </c>
      <c r="J9" s="63">
        <v>0</v>
      </c>
      <c r="K9" s="63"/>
      <c r="L9" s="177">
        <v>0</v>
      </c>
      <c r="M9" s="177">
        <v>0</v>
      </c>
      <c r="N9" s="177">
        <v>0</v>
      </c>
      <c r="O9" s="177">
        <v>123076.2</v>
      </c>
      <c r="P9" s="177">
        <v>0</v>
      </c>
      <c r="Q9" s="177">
        <v>11250</v>
      </c>
      <c r="R9" s="177">
        <v>0</v>
      </c>
      <c r="S9" s="177">
        <v>0</v>
      </c>
      <c r="T9" s="177">
        <v>134326.20000000001</v>
      </c>
    </row>
    <row r="10" spans="1:20">
      <c r="A10" s="65">
        <v>6</v>
      </c>
      <c r="B10" s="77" t="s">
        <v>154</v>
      </c>
      <c r="C10" s="78"/>
      <c r="D10" s="180">
        <v>0</v>
      </c>
      <c r="E10" s="180">
        <v>0</v>
      </c>
      <c r="F10" s="180">
        <v>1893.48</v>
      </c>
      <c r="G10" s="176">
        <v>0</v>
      </c>
      <c r="H10" s="176">
        <v>75</v>
      </c>
      <c r="I10" s="62">
        <v>0</v>
      </c>
      <c r="J10" s="63">
        <v>0</v>
      </c>
      <c r="K10" s="63"/>
      <c r="L10" s="177">
        <v>0</v>
      </c>
      <c r="M10" s="177">
        <v>0</v>
      </c>
      <c r="N10" s="177">
        <v>0</v>
      </c>
      <c r="O10" s="177">
        <v>123076.2</v>
      </c>
      <c r="P10" s="177">
        <v>0</v>
      </c>
      <c r="Q10" s="177">
        <v>11250</v>
      </c>
      <c r="R10" s="177">
        <v>0</v>
      </c>
      <c r="S10" s="177">
        <v>0</v>
      </c>
      <c r="T10" s="177">
        <v>134326.20000000001</v>
      </c>
    </row>
    <row r="11" spans="1:20">
      <c r="A11" s="65">
        <v>7</v>
      </c>
      <c r="B11" s="77" t="s">
        <v>155</v>
      </c>
      <c r="C11" s="78"/>
      <c r="D11" s="180">
        <v>0</v>
      </c>
      <c r="E11" s="180">
        <v>0</v>
      </c>
      <c r="F11" s="180">
        <v>1893.48</v>
      </c>
      <c r="G11" s="176">
        <v>0</v>
      </c>
      <c r="H11" s="176">
        <v>75</v>
      </c>
      <c r="I11" s="62">
        <v>0</v>
      </c>
      <c r="J11" s="63">
        <v>0</v>
      </c>
      <c r="K11" s="63"/>
      <c r="L11" s="177">
        <v>0</v>
      </c>
      <c r="M11" s="177">
        <v>0</v>
      </c>
      <c r="N11" s="177">
        <v>0</v>
      </c>
      <c r="O11" s="177">
        <v>123076.2</v>
      </c>
      <c r="P11" s="177">
        <v>0</v>
      </c>
      <c r="Q11" s="177">
        <v>11250</v>
      </c>
      <c r="R11" s="177">
        <v>0</v>
      </c>
      <c r="S11" s="177">
        <v>0</v>
      </c>
      <c r="T11" s="177">
        <v>134326.20000000001</v>
      </c>
    </row>
    <row r="12" spans="1:20">
      <c r="A12" s="65">
        <v>8</v>
      </c>
      <c r="B12" s="77" t="s">
        <v>156</v>
      </c>
      <c r="C12" s="78"/>
      <c r="D12" s="180">
        <v>0</v>
      </c>
      <c r="E12" s="180">
        <v>0</v>
      </c>
      <c r="F12" s="180">
        <v>1893.48</v>
      </c>
      <c r="G12" s="176">
        <v>0</v>
      </c>
      <c r="H12" s="176">
        <v>75</v>
      </c>
      <c r="I12" s="62">
        <v>0</v>
      </c>
      <c r="J12" s="63">
        <v>0</v>
      </c>
      <c r="K12" s="63"/>
      <c r="L12" s="177">
        <v>0</v>
      </c>
      <c r="M12" s="177">
        <v>0</v>
      </c>
      <c r="N12" s="177">
        <v>0</v>
      </c>
      <c r="O12" s="177">
        <v>123076.2</v>
      </c>
      <c r="P12" s="177">
        <v>0</v>
      </c>
      <c r="Q12" s="177">
        <v>11250</v>
      </c>
      <c r="R12" s="177">
        <v>0</v>
      </c>
      <c r="S12" s="177">
        <v>0</v>
      </c>
      <c r="T12" s="177">
        <v>134326.20000000001</v>
      </c>
    </row>
    <row r="13" spans="1:20">
      <c r="A13" s="65">
        <v>9</v>
      </c>
      <c r="B13" s="77" t="s">
        <v>157</v>
      </c>
      <c r="C13" s="78"/>
      <c r="D13" s="180">
        <v>0</v>
      </c>
      <c r="E13" s="180">
        <v>0</v>
      </c>
      <c r="F13" s="180">
        <v>1893.48</v>
      </c>
      <c r="G13" s="176">
        <v>0</v>
      </c>
      <c r="H13" s="176">
        <v>75</v>
      </c>
      <c r="I13" s="62">
        <v>0</v>
      </c>
      <c r="J13" s="63">
        <v>0</v>
      </c>
      <c r="K13" s="63"/>
      <c r="L13" s="177">
        <v>0</v>
      </c>
      <c r="M13" s="177">
        <v>0</v>
      </c>
      <c r="N13" s="177">
        <v>0</v>
      </c>
      <c r="O13" s="177">
        <v>123076.2</v>
      </c>
      <c r="P13" s="177">
        <v>0</v>
      </c>
      <c r="Q13" s="177">
        <v>11250</v>
      </c>
      <c r="R13" s="177">
        <v>0</v>
      </c>
      <c r="S13" s="177">
        <v>0</v>
      </c>
      <c r="T13" s="177">
        <v>134326.20000000001</v>
      </c>
    </row>
    <row r="14" spans="1:20">
      <c r="A14" s="65">
        <v>10</v>
      </c>
      <c r="B14" s="77" t="s">
        <v>158</v>
      </c>
      <c r="C14" s="78"/>
      <c r="D14" s="180">
        <v>0</v>
      </c>
      <c r="E14" s="180">
        <v>0</v>
      </c>
      <c r="F14" s="180">
        <v>1893.48</v>
      </c>
      <c r="G14" s="176">
        <v>0</v>
      </c>
      <c r="H14" s="176">
        <v>75</v>
      </c>
      <c r="I14" s="62">
        <v>0</v>
      </c>
      <c r="J14" s="63">
        <v>0</v>
      </c>
      <c r="K14" s="63"/>
      <c r="L14" s="177">
        <v>0</v>
      </c>
      <c r="M14" s="177">
        <v>0</v>
      </c>
      <c r="N14" s="177">
        <v>0</v>
      </c>
      <c r="O14" s="177">
        <v>123076.2</v>
      </c>
      <c r="P14" s="177">
        <v>0</v>
      </c>
      <c r="Q14" s="177">
        <v>11250</v>
      </c>
      <c r="R14" s="177">
        <v>0</v>
      </c>
      <c r="S14" s="177">
        <v>0</v>
      </c>
      <c r="T14" s="177">
        <v>134326.20000000001</v>
      </c>
    </row>
    <row r="15" spans="1:20">
      <c r="A15" s="65">
        <v>11</v>
      </c>
      <c r="B15" s="77" t="s">
        <v>159</v>
      </c>
      <c r="C15" s="78"/>
      <c r="D15" s="180">
        <v>0</v>
      </c>
      <c r="E15" s="180">
        <v>0</v>
      </c>
      <c r="F15" s="180">
        <v>1893.48</v>
      </c>
      <c r="G15" s="176">
        <v>0</v>
      </c>
      <c r="H15" s="176">
        <v>75</v>
      </c>
      <c r="I15" s="62">
        <v>0</v>
      </c>
      <c r="J15" s="63">
        <v>0</v>
      </c>
      <c r="K15" s="63"/>
      <c r="L15" s="177">
        <v>0</v>
      </c>
      <c r="M15" s="177">
        <v>0</v>
      </c>
      <c r="N15" s="177">
        <v>0</v>
      </c>
      <c r="O15" s="177">
        <v>123076.2</v>
      </c>
      <c r="P15" s="177">
        <v>0</v>
      </c>
      <c r="Q15" s="177">
        <v>11250</v>
      </c>
      <c r="R15" s="177">
        <v>0</v>
      </c>
      <c r="S15" s="177">
        <v>0</v>
      </c>
      <c r="T15" s="177">
        <v>134326.20000000001</v>
      </c>
    </row>
    <row r="16" spans="1:20">
      <c r="A16" s="65">
        <v>12</v>
      </c>
      <c r="B16" s="77" t="s">
        <v>160</v>
      </c>
      <c r="C16" s="78"/>
      <c r="D16" s="180">
        <v>0</v>
      </c>
      <c r="E16" s="180">
        <v>0</v>
      </c>
      <c r="F16" s="180">
        <v>1893.48</v>
      </c>
      <c r="G16" s="176">
        <v>0</v>
      </c>
      <c r="H16" s="176">
        <v>75</v>
      </c>
      <c r="I16" s="62">
        <v>0</v>
      </c>
      <c r="J16" s="63">
        <v>0</v>
      </c>
      <c r="K16" s="68"/>
      <c r="L16" s="177">
        <v>0</v>
      </c>
      <c r="M16" s="177">
        <v>0</v>
      </c>
      <c r="N16" s="177">
        <v>0</v>
      </c>
      <c r="O16" s="177">
        <v>123076.2</v>
      </c>
      <c r="P16" s="177">
        <v>0</v>
      </c>
      <c r="Q16" s="177">
        <v>11250</v>
      </c>
      <c r="R16" s="177">
        <v>0</v>
      </c>
      <c r="S16" s="177">
        <v>0</v>
      </c>
      <c r="T16" s="177">
        <v>134326.20000000001</v>
      </c>
    </row>
    <row r="17" spans="1:20">
      <c r="A17" s="65">
        <v>13</v>
      </c>
      <c r="B17" s="77" t="s">
        <v>161</v>
      </c>
      <c r="C17" s="78"/>
      <c r="D17" s="180">
        <v>0</v>
      </c>
      <c r="E17" s="180">
        <v>0</v>
      </c>
      <c r="F17" s="180">
        <v>1893.48</v>
      </c>
      <c r="G17" s="176">
        <v>0</v>
      </c>
      <c r="H17" s="176">
        <v>75</v>
      </c>
      <c r="I17" s="62">
        <v>0</v>
      </c>
      <c r="J17" s="63">
        <v>0</v>
      </c>
      <c r="K17" s="63"/>
      <c r="L17" s="177">
        <v>0</v>
      </c>
      <c r="M17" s="177">
        <v>0</v>
      </c>
      <c r="N17" s="177">
        <v>0</v>
      </c>
      <c r="O17" s="177">
        <v>123076.2</v>
      </c>
      <c r="P17" s="177">
        <v>0</v>
      </c>
      <c r="Q17" s="177">
        <v>11250</v>
      </c>
      <c r="R17" s="177">
        <v>0</v>
      </c>
      <c r="S17" s="177">
        <v>0</v>
      </c>
      <c r="T17" s="177">
        <v>134326.20000000001</v>
      </c>
    </row>
    <row r="18" spans="1:20">
      <c r="A18" s="65">
        <v>14</v>
      </c>
      <c r="B18" s="77" t="s">
        <v>162</v>
      </c>
      <c r="C18" s="78"/>
      <c r="D18" s="180">
        <v>0</v>
      </c>
      <c r="E18" s="180">
        <v>0</v>
      </c>
      <c r="F18" s="180">
        <v>1893.48</v>
      </c>
      <c r="G18" s="176">
        <v>0</v>
      </c>
      <c r="H18" s="176">
        <v>75</v>
      </c>
      <c r="I18" s="62">
        <v>0</v>
      </c>
      <c r="J18" s="63">
        <v>0</v>
      </c>
      <c r="K18" s="63"/>
      <c r="L18" s="177">
        <v>0</v>
      </c>
      <c r="M18" s="177">
        <v>0</v>
      </c>
      <c r="N18" s="177">
        <v>0</v>
      </c>
      <c r="O18" s="177">
        <v>123076.2</v>
      </c>
      <c r="P18" s="177">
        <v>0</v>
      </c>
      <c r="Q18" s="177">
        <v>11250</v>
      </c>
      <c r="R18" s="177">
        <v>0</v>
      </c>
      <c r="S18" s="177">
        <v>0</v>
      </c>
      <c r="T18" s="177">
        <v>134326.20000000001</v>
      </c>
    </row>
    <row r="19" spans="1:20">
      <c r="A19" s="65">
        <v>15</v>
      </c>
      <c r="B19" s="77" t="s">
        <v>163</v>
      </c>
      <c r="C19" s="78"/>
      <c r="D19" s="180">
        <v>0</v>
      </c>
      <c r="E19" s="180">
        <v>0</v>
      </c>
      <c r="F19" s="180">
        <v>1893.48</v>
      </c>
      <c r="G19" s="176">
        <v>0</v>
      </c>
      <c r="H19" s="176">
        <v>75</v>
      </c>
      <c r="I19" s="62">
        <v>0</v>
      </c>
      <c r="J19" s="63">
        <v>0</v>
      </c>
      <c r="K19" s="63"/>
      <c r="L19" s="177">
        <v>0</v>
      </c>
      <c r="M19" s="177">
        <v>0</v>
      </c>
      <c r="N19" s="177">
        <v>0</v>
      </c>
      <c r="O19" s="177">
        <v>123076.2</v>
      </c>
      <c r="P19" s="177">
        <v>0</v>
      </c>
      <c r="Q19" s="177">
        <v>11250</v>
      </c>
      <c r="R19" s="177">
        <v>0</v>
      </c>
      <c r="S19" s="177">
        <v>0</v>
      </c>
      <c r="T19" s="177">
        <v>134326.20000000001</v>
      </c>
    </row>
    <row r="20" spans="1:20">
      <c r="A20" s="65">
        <v>16</v>
      </c>
      <c r="B20" s="77" t="s">
        <v>164</v>
      </c>
      <c r="C20" s="78"/>
      <c r="D20" s="180">
        <v>0</v>
      </c>
      <c r="E20" s="180">
        <v>0</v>
      </c>
      <c r="F20" s="180">
        <v>1893.48</v>
      </c>
      <c r="G20" s="176">
        <v>0</v>
      </c>
      <c r="H20" s="176">
        <v>75</v>
      </c>
      <c r="I20" s="62">
        <v>0</v>
      </c>
      <c r="J20" s="63">
        <v>0</v>
      </c>
      <c r="K20" s="63"/>
      <c r="L20" s="177">
        <v>0</v>
      </c>
      <c r="M20" s="177">
        <v>0</v>
      </c>
      <c r="N20" s="177">
        <v>0</v>
      </c>
      <c r="O20" s="177">
        <v>123076.2</v>
      </c>
      <c r="P20" s="177">
        <v>0</v>
      </c>
      <c r="Q20" s="177">
        <v>11250</v>
      </c>
      <c r="R20" s="177">
        <v>0</v>
      </c>
      <c r="S20" s="177">
        <v>0</v>
      </c>
      <c r="T20" s="177">
        <v>134326.20000000001</v>
      </c>
    </row>
    <row r="21" spans="1:20">
      <c r="A21" s="65">
        <v>17</v>
      </c>
      <c r="B21" s="77" t="s">
        <v>165</v>
      </c>
      <c r="C21" s="78"/>
      <c r="D21" s="180">
        <v>0</v>
      </c>
      <c r="E21" s="180">
        <v>0</v>
      </c>
      <c r="F21" s="180">
        <v>1893.48</v>
      </c>
      <c r="G21" s="176">
        <v>0</v>
      </c>
      <c r="H21" s="176">
        <v>75</v>
      </c>
      <c r="I21" s="62">
        <v>0</v>
      </c>
      <c r="J21" s="63">
        <v>0</v>
      </c>
      <c r="K21" s="63"/>
      <c r="L21" s="177">
        <v>0</v>
      </c>
      <c r="M21" s="177">
        <v>0</v>
      </c>
      <c r="N21" s="177">
        <v>0</v>
      </c>
      <c r="O21" s="177">
        <v>123076.2</v>
      </c>
      <c r="P21" s="177">
        <v>0</v>
      </c>
      <c r="Q21" s="177">
        <v>11250</v>
      </c>
      <c r="R21" s="177">
        <v>0</v>
      </c>
      <c r="S21" s="177">
        <v>0</v>
      </c>
      <c r="T21" s="177">
        <v>134326.20000000001</v>
      </c>
    </row>
    <row r="22" spans="1:20">
      <c r="A22" s="65">
        <v>18</v>
      </c>
      <c r="B22" s="77" t="s">
        <v>166</v>
      </c>
      <c r="C22" s="78"/>
      <c r="D22" s="180">
        <v>0</v>
      </c>
      <c r="E22" s="180">
        <v>0</v>
      </c>
      <c r="F22" s="180">
        <v>1893.48</v>
      </c>
      <c r="G22" s="176">
        <v>0</v>
      </c>
      <c r="H22" s="176">
        <v>75</v>
      </c>
      <c r="I22" s="62">
        <v>0</v>
      </c>
      <c r="J22" s="63">
        <v>0</v>
      </c>
      <c r="K22" s="63"/>
      <c r="L22" s="177">
        <v>0</v>
      </c>
      <c r="M22" s="177">
        <v>0</v>
      </c>
      <c r="N22" s="177">
        <v>0</v>
      </c>
      <c r="O22" s="177">
        <v>123076.2</v>
      </c>
      <c r="P22" s="177">
        <v>0</v>
      </c>
      <c r="Q22" s="177">
        <v>11250</v>
      </c>
      <c r="R22" s="177">
        <v>0</v>
      </c>
      <c r="S22" s="177">
        <v>0</v>
      </c>
      <c r="T22" s="177">
        <v>134326.20000000001</v>
      </c>
    </row>
    <row r="23" spans="1:20">
      <c r="A23" s="65">
        <v>19</v>
      </c>
      <c r="B23" s="77" t="s">
        <v>167</v>
      </c>
      <c r="C23" s="78"/>
      <c r="D23" s="180">
        <v>0</v>
      </c>
      <c r="E23" s="180">
        <v>0</v>
      </c>
      <c r="F23" s="180">
        <v>1893.48</v>
      </c>
      <c r="G23" s="176">
        <v>0</v>
      </c>
      <c r="H23" s="176">
        <v>75</v>
      </c>
      <c r="I23" s="62">
        <v>0</v>
      </c>
      <c r="J23" s="63">
        <v>0</v>
      </c>
      <c r="K23" s="63"/>
      <c r="L23" s="177">
        <v>0</v>
      </c>
      <c r="M23" s="177">
        <v>0</v>
      </c>
      <c r="N23" s="177">
        <v>0</v>
      </c>
      <c r="O23" s="177">
        <v>123076.2</v>
      </c>
      <c r="P23" s="177">
        <v>0</v>
      </c>
      <c r="Q23" s="177">
        <v>11250</v>
      </c>
      <c r="R23" s="177">
        <v>0</v>
      </c>
      <c r="S23" s="177">
        <v>0</v>
      </c>
      <c r="T23" s="177">
        <v>134326.20000000001</v>
      </c>
    </row>
    <row r="24" spans="1:20">
      <c r="A24" s="65">
        <v>20</v>
      </c>
      <c r="B24" s="77" t="s">
        <v>168</v>
      </c>
      <c r="C24" s="78"/>
      <c r="D24" s="180">
        <v>0</v>
      </c>
      <c r="E24" s="180">
        <v>0</v>
      </c>
      <c r="F24" s="180">
        <v>1893.48</v>
      </c>
      <c r="G24" s="176">
        <v>0</v>
      </c>
      <c r="H24" s="176">
        <v>75</v>
      </c>
      <c r="I24" s="62">
        <v>0</v>
      </c>
      <c r="J24" s="63">
        <v>0</v>
      </c>
      <c r="K24" s="63"/>
      <c r="L24" s="177">
        <v>0</v>
      </c>
      <c r="M24" s="177">
        <v>0</v>
      </c>
      <c r="N24" s="177">
        <v>0</v>
      </c>
      <c r="O24" s="177">
        <v>123076.2</v>
      </c>
      <c r="P24" s="177">
        <v>0</v>
      </c>
      <c r="Q24" s="177">
        <v>11250</v>
      </c>
      <c r="R24" s="177">
        <v>0</v>
      </c>
      <c r="S24" s="177">
        <v>0</v>
      </c>
      <c r="T24" s="177">
        <v>134326.20000000001</v>
      </c>
    </row>
    <row r="25" spans="1:20">
      <c r="A25" s="65">
        <v>21</v>
      </c>
      <c r="B25" s="77" t="s">
        <v>169</v>
      </c>
      <c r="C25" s="78"/>
      <c r="D25" s="180">
        <v>0</v>
      </c>
      <c r="E25" s="180">
        <v>0</v>
      </c>
      <c r="F25" s="180">
        <v>1893.48</v>
      </c>
      <c r="G25" s="176">
        <v>0</v>
      </c>
      <c r="H25" s="176">
        <v>75</v>
      </c>
      <c r="I25" s="62">
        <v>0</v>
      </c>
      <c r="J25" s="63">
        <v>0</v>
      </c>
      <c r="K25" s="63"/>
      <c r="L25" s="177">
        <v>0</v>
      </c>
      <c r="M25" s="177">
        <v>0</v>
      </c>
      <c r="N25" s="177">
        <v>0</v>
      </c>
      <c r="O25" s="177">
        <v>123076.2</v>
      </c>
      <c r="P25" s="177">
        <v>0</v>
      </c>
      <c r="Q25" s="177">
        <v>11250</v>
      </c>
      <c r="R25" s="177">
        <v>0</v>
      </c>
      <c r="S25" s="177">
        <v>0</v>
      </c>
      <c r="T25" s="177">
        <v>134326.20000000001</v>
      </c>
    </row>
    <row r="26" spans="1:20">
      <c r="A26" s="65">
        <v>22</v>
      </c>
      <c r="B26" s="77" t="s">
        <v>170</v>
      </c>
      <c r="C26" s="78"/>
      <c r="D26" s="180">
        <v>0</v>
      </c>
      <c r="E26" s="180">
        <v>0</v>
      </c>
      <c r="F26" s="180">
        <v>1893.48</v>
      </c>
      <c r="G26" s="176">
        <v>0</v>
      </c>
      <c r="H26" s="176">
        <v>75</v>
      </c>
      <c r="I26" s="62">
        <v>0</v>
      </c>
      <c r="J26" s="63">
        <v>0</v>
      </c>
      <c r="K26" s="63"/>
      <c r="L26" s="177">
        <v>0</v>
      </c>
      <c r="M26" s="177">
        <v>0</v>
      </c>
      <c r="N26" s="177">
        <v>0</v>
      </c>
      <c r="O26" s="177">
        <v>123076.2</v>
      </c>
      <c r="P26" s="177">
        <v>0</v>
      </c>
      <c r="Q26" s="177">
        <v>11250</v>
      </c>
      <c r="R26" s="177">
        <v>0</v>
      </c>
      <c r="S26" s="177">
        <v>0</v>
      </c>
      <c r="T26" s="177">
        <v>134326.20000000001</v>
      </c>
    </row>
    <row r="27" spans="1:20">
      <c r="A27" s="65">
        <v>23</v>
      </c>
      <c r="B27" s="77" t="s">
        <v>171</v>
      </c>
      <c r="C27" s="78"/>
      <c r="D27" s="180">
        <v>0</v>
      </c>
      <c r="E27" s="180">
        <v>0</v>
      </c>
      <c r="F27" s="180">
        <v>1893.48</v>
      </c>
      <c r="G27" s="176">
        <v>0</v>
      </c>
      <c r="H27" s="176">
        <v>75</v>
      </c>
      <c r="I27" s="62">
        <v>0</v>
      </c>
      <c r="J27" s="63">
        <v>0</v>
      </c>
      <c r="K27" s="63"/>
      <c r="L27" s="177">
        <v>0</v>
      </c>
      <c r="M27" s="177">
        <v>0</v>
      </c>
      <c r="N27" s="177">
        <v>0</v>
      </c>
      <c r="O27" s="177">
        <v>123076.2</v>
      </c>
      <c r="P27" s="177">
        <v>0</v>
      </c>
      <c r="Q27" s="177">
        <v>11250</v>
      </c>
      <c r="R27" s="177">
        <v>0</v>
      </c>
      <c r="S27" s="177">
        <v>0</v>
      </c>
      <c r="T27" s="177">
        <v>134326.20000000001</v>
      </c>
    </row>
    <row r="28" spans="1:20">
      <c r="A28" s="65">
        <v>24</v>
      </c>
      <c r="B28" s="77" t="s">
        <v>172</v>
      </c>
      <c r="C28" s="78"/>
      <c r="D28" s="180">
        <v>0</v>
      </c>
      <c r="E28" s="180">
        <v>0</v>
      </c>
      <c r="F28" s="180">
        <v>1893.48</v>
      </c>
      <c r="G28" s="176">
        <v>0</v>
      </c>
      <c r="H28" s="176">
        <v>75</v>
      </c>
      <c r="I28" s="62">
        <v>0</v>
      </c>
      <c r="J28" s="63">
        <v>0</v>
      </c>
      <c r="K28" s="63"/>
      <c r="L28" s="177">
        <v>0</v>
      </c>
      <c r="M28" s="177">
        <v>0</v>
      </c>
      <c r="N28" s="177">
        <v>0</v>
      </c>
      <c r="O28" s="177">
        <v>123076.2</v>
      </c>
      <c r="P28" s="177">
        <v>0</v>
      </c>
      <c r="Q28" s="177">
        <v>11250</v>
      </c>
      <c r="R28" s="177">
        <v>0</v>
      </c>
      <c r="S28" s="177">
        <v>0</v>
      </c>
      <c r="T28" s="177">
        <v>134326.20000000001</v>
      </c>
    </row>
    <row r="29" spans="1:20">
      <c r="A29" s="65">
        <v>25</v>
      </c>
      <c r="B29" s="77" t="s">
        <v>173</v>
      </c>
      <c r="C29" s="78"/>
      <c r="D29" s="180">
        <v>32.512</v>
      </c>
      <c r="E29" s="180">
        <v>0</v>
      </c>
      <c r="F29" s="180">
        <v>1925.992</v>
      </c>
      <c r="G29" s="176">
        <v>0</v>
      </c>
      <c r="H29" s="176">
        <v>42.488</v>
      </c>
      <c r="I29" s="62">
        <v>0</v>
      </c>
      <c r="J29" s="63">
        <v>0</v>
      </c>
      <c r="K29" s="63"/>
      <c r="L29" s="177">
        <v>0</v>
      </c>
      <c r="M29" s="177">
        <v>4876.8</v>
      </c>
      <c r="N29" s="177">
        <v>0</v>
      </c>
      <c r="O29" s="177">
        <v>125189.48</v>
      </c>
      <c r="P29" s="177">
        <v>0</v>
      </c>
      <c r="Q29" s="177">
        <v>6373.2</v>
      </c>
      <c r="R29" s="177">
        <v>0</v>
      </c>
      <c r="S29" s="177">
        <v>0</v>
      </c>
      <c r="T29" s="177">
        <v>136439.48000000001</v>
      </c>
    </row>
    <row r="30" spans="1:20">
      <c r="A30" s="65">
        <v>26</v>
      </c>
      <c r="B30" s="77" t="s">
        <v>174</v>
      </c>
      <c r="C30" s="78"/>
      <c r="D30" s="180">
        <v>35.915999999999997</v>
      </c>
      <c r="E30" s="180">
        <v>0</v>
      </c>
      <c r="F30" s="180">
        <v>1961.9079999999999</v>
      </c>
      <c r="G30" s="176">
        <v>0</v>
      </c>
      <c r="H30" s="176">
        <v>39.084000000000003</v>
      </c>
      <c r="I30" s="62">
        <v>0</v>
      </c>
      <c r="J30" s="63">
        <v>0</v>
      </c>
      <c r="K30" s="63"/>
      <c r="L30" s="177">
        <v>0</v>
      </c>
      <c r="M30" s="177">
        <v>5387.4</v>
      </c>
      <c r="N30" s="177">
        <v>0</v>
      </c>
      <c r="O30" s="177">
        <v>127524.02</v>
      </c>
      <c r="P30" s="177">
        <v>0</v>
      </c>
      <c r="Q30" s="177">
        <v>5862.6</v>
      </c>
      <c r="R30" s="177">
        <v>0</v>
      </c>
      <c r="S30" s="177">
        <v>0</v>
      </c>
      <c r="T30" s="177">
        <v>138774.01999999999</v>
      </c>
    </row>
    <row r="31" spans="1:20">
      <c r="A31" s="65">
        <v>27</v>
      </c>
      <c r="B31" s="77" t="s">
        <v>175</v>
      </c>
      <c r="C31" s="78"/>
      <c r="D31" s="180">
        <v>16.238</v>
      </c>
      <c r="E31" s="180">
        <v>0</v>
      </c>
      <c r="F31" s="180">
        <v>1978.146</v>
      </c>
      <c r="G31" s="176">
        <v>0</v>
      </c>
      <c r="H31" s="176">
        <v>58.762</v>
      </c>
      <c r="I31" s="62">
        <v>0</v>
      </c>
      <c r="J31" s="63">
        <v>0</v>
      </c>
      <c r="K31" s="63"/>
      <c r="L31" s="177">
        <v>0</v>
      </c>
      <c r="M31" s="177">
        <v>2435.6999999999998</v>
      </c>
      <c r="N31" s="177">
        <v>0</v>
      </c>
      <c r="O31" s="177">
        <v>128579.49</v>
      </c>
      <c r="P31" s="177">
        <v>0</v>
      </c>
      <c r="Q31" s="177">
        <v>8814.2999999999993</v>
      </c>
      <c r="R31" s="177">
        <v>0</v>
      </c>
      <c r="S31" s="177">
        <v>0</v>
      </c>
      <c r="T31" s="177">
        <v>139829.49</v>
      </c>
    </row>
    <row r="32" spans="1:20">
      <c r="A32" s="65">
        <v>28</v>
      </c>
      <c r="B32" s="77" t="s">
        <v>176</v>
      </c>
      <c r="C32" s="78"/>
      <c r="D32" s="180">
        <v>49.991</v>
      </c>
      <c r="E32" s="180">
        <v>0</v>
      </c>
      <c r="F32" s="180">
        <v>2028.1369999999999</v>
      </c>
      <c r="G32" s="176">
        <v>0</v>
      </c>
      <c r="H32" s="176">
        <v>25.009</v>
      </c>
      <c r="I32" s="62">
        <v>0</v>
      </c>
      <c r="J32" s="63">
        <v>0</v>
      </c>
      <c r="K32" s="63"/>
      <c r="L32" s="177">
        <v>0</v>
      </c>
      <c r="M32" s="177">
        <v>7498.65</v>
      </c>
      <c r="N32" s="177">
        <v>0</v>
      </c>
      <c r="O32" s="177">
        <v>131828.91</v>
      </c>
      <c r="P32" s="177">
        <v>0</v>
      </c>
      <c r="Q32" s="177">
        <v>3751.35</v>
      </c>
      <c r="R32" s="177">
        <v>0</v>
      </c>
      <c r="S32" s="177">
        <v>0</v>
      </c>
      <c r="T32" s="177">
        <v>143078.91</v>
      </c>
    </row>
    <row r="33" spans="1:20">
      <c r="A33" s="65">
        <v>29</v>
      </c>
      <c r="B33" s="77" t="s">
        <v>177</v>
      </c>
      <c r="C33" s="78"/>
      <c r="D33" s="180">
        <v>0</v>
      </c>
      <c r="E33" s="180">
        <v>0</v>
      </c>
      <c r="F33" s="180">
        <v>2028.1369999999999</v>
      </c>
      <c r="G33" s="176">
        <v>0</v>
      </c>
      <c r="H33" s="176">
        <v>75</v>
      </c>
      <c r="I33" s="62">
        <v>0</v>
      </c>
      <c r="J33" s="63">
        <v>0</v>
      </c>
      <c r="K33" s="63"/>
      <c r="L33" s="177">
        <v>0</v>
      </c>
      <c r="M33" s="177">
        <v>0</v>
      </c>
      <c r="N33" s="177">
        <v>0</v>
      </c>
      <c r="O33" s="177">
        <v>131828.91</v>
      </c>
      <c r="P33" s="177">
        <v>0</v>
      </c>
      <c r="Q33" s="177">
        <v>11250</v>
      </c>
      <c r="R33" s="177">
        <v>0</v>
      </c>
      <c r="S33" s="177">
        <v>0</v>
      </c>
      <c r="T33" s="177">
        <v>143078.91</v>
      </c>
    </row>
    <row r="34" spans="1:20">
      <c r="A34" s="65">
        <v>30</v>
      </c>
      <c r="B34" s="77" t="s">
        <v>178</v>
      </c>
      <c r="C34" s="78"/>
      <c r="D34" s="180">
        <v>0</v>
      </c>
      <c r="E34" s="180">
        <v>0</v>
      </c>
      <c r="F34" s="180">
        <v>2028.1369999999999</v>
      </c>
      <c r="G34" s="176">
        <v>0</v>
      </c>
      <c r="H34" s="176">
        <v>75</v>
      </c>
      <c r="I34" s="62">
        <v>0</v>
      </c>
      <c r="J34" s="63">
        <v>0</v>
      </c>
      <c r="K34" s="63"/>
      <c r="L34" s="177">
        <v>0</v>
      </c>
      <c r="M34" s="177">
        <v>0</v>
      </c>
      <c r="N34" s="177">
        <v>0</v>
      </c>
      <c r="O34" s="177">
        <v>131828.91</v>
      </c>
      <c r="P34" s="177">
        <v>0</v>
      </c>
      <c r="Q34" s="177">
        <v>11250</v>
      </c>
      <c r="R34" s="177">
        <v>0</v>
      </c>
      <c r="S34" s="177">
        <v>0</v>
      </c>
      <c r="T34" s="177">
        <v>143078.91</v>
      </c>
    </row>
    <row r="35" spans="1:20">
      <c r="A35" s="65">
        <v>31</v>
      </c>
      <c r="B35" s="77" t="s">
        <v>179</v>
      </c>
      <c r="C35" s="78"/>
      <c r="D35" s="180">
        <v>0</v>
      </c>
      <c r="E35" s="180">
        <v>0</v>
      </c>
      <c r="F35" s="180">
        <v>2028.1369999999999</v>
      </c>
      <c r="G35" s="176">
        <v>0</v>
      </c>
      <c r="H35" s="176">
        <v>75</v>
      </c>
      <c r="I35" s="62">
        <v>0</v>
      </c>
      <c r="J35" s="63">
        <v>0</v>
      </c>
      <c r="K35" s="63"/>
      <c r="L35" s="177">
        <v>0</v>
      </c>
      <c r="M35" s="177">
        <v>0</v>
      </c>
      <c r="N35" s="177">
        <v>0</v>
      </c>
      <c r="O35" s="177">
        <v>131828.91</v>
      </c>
      <c r="P35" s="177">
        <v>0</v>
      </c>
      <c r="Q35" s="177">
        <v>11250</v>
      </c>
      <c r="R35" s="177">
        <v>0</v>
      </c>
      <c r="S35" s="177">
        <v>0</v>
      </c>
      <c r="T35" s="177">
        <v>143078.91</v>
      </c>
    </row>
    <row r="36" spans="1:20">
      <c r="D36" s="70">
        <v>134.65699999999998</v>
      </c>
      <c r="E36" s="70">
        <v>0</v>
      </c>
      <c r="F36" s="70">
        <v>59422.114000000031</v>
      </c>
      <c r="G36" s="70">
        <v>0</v>
      </c>
      <c r="H36" s="70">
        <v>2190.3429999999998</v>
      </c>
      <c r="I36" s="70">
        <v>0</v>
      </c>
      <c r="J36" s="71">
        <v>0</v>
      </c>
      <c r="K36" s="71">
        <v>0</v>
      </c>
      <c r="L36" s="178">
        <v>0</v>
      </c>
      <c r="M36" s="178">
        <v>20198.55</v>
      </c>
      <c r="N36" s="178">
        <v>0</v>
      </c>
      <c r="O36" s="178">
        <v>3862437.41</v>
      </c>
      <c r="P36" s="178">
        <v>0</v>
      </c>
      <c r="Q36" s="178">
        <v>328551.45</v>
      </c>
      <c r="R36" s="178">
        <v>0</v>
      </c>
      <c r="S36" s="178">
        <v>0</v>
      </c>
      <c r="T36" s="178">
        <v>4211187.41</v>
      </c>
    </row>
    <row r="37" spans="1:20">
      <c r="R37" s="73"/>
      <c r="S37" s="73"/>
      <c r="T37" s="179">
        <v>5137648.6399999997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0033-409D-4D97-8577-01837D22AD5A}">
  <dimension ref="A1:A18"/>
  <sheetViews>
    <sheetView workbookViewId="0">
      <selection activeCell="D31" sqref="D31"/>
    </sheetView>
  </sheetViews>
  <sheetFormatPr defaultRowHeight="15"/>
  <cols>
    <col min="1" max="1" width="14.140625" style="47" customWidth="1"/>
    <col min="2" max="16384" width="9.140625" style="47"/>
  </cols>
  <sheetData>
    <row r="1" spans="1:1">
      <c r="A1" s="182">
        <v>46023</v>
      </c>
    </row>
    <row r="2" spans="1:1">
      <c r="A2" s="182">
        <v>46024</v>
      </c>
    </row>
    <row r="3" spans="1:1">
      <c r="A3" s="182">
        <v>46025</v>
      </c>
    </row>
    <row r="4" spans="1:1">
      <c r="A4" s="182">
        <v>46026</v>
      </c>
    </row>
    <row r="5" spans="1:1">
      <c r="A5" s="182">
        <v>46027</v>
      </c>
    </row>
    <row r="6" spans="1:1">
      <c r="A6" s="182">
        <v>46028</v>
      </c>
    </row>
    <row r="7" spans="1:1">
      <c r="A7" s="182">
        <v>46029</v>
      </c>
    </row>
    <row r="8" spans="1:1">
      <c r="A8" s="182">
        <v>46030</v>
      </c>
    </row>
    <row r="9" spans="1:1">
      <c r="A9" s="182">
        <v>46031</v>
      </c>
    </row>
    <row r="10" spans="1:1">
      <c r="A10" s="182">
        <v>46032</v>
      </c>
    </row>
    <row r="11" spans="1:1">
      <c r="A11" s="182">
        <v>46033</v>
      </c>
    </row>
    <row r="12" spans="1:1">
      <c r="A12" s="182">
        <v>46076</v>
      </c>
    </row>
    <row r="13" spans="1:1">
      <c r="A13" s="182">
        <v>46090</v>
      </c>
    </row>
    <row r="14" spans="1:1">
      <c r="A14" s="182">
        <v>46143</v>
      </c>
    </row>
    <row r="15" spans="1:1">
      <c r="A15" s="182">
        <v>46153</v>
      </c>
    </row>
    <row r="16" spans="1:1">
      <c r="A16" s="182">
        <v>46185</v>
      </c>
    </row>
    <row r="17" spans="1:1">
      <c r="A17" s="182">
        <v>46330</v>
      </c>
    </row>
    <row r="18" spans="1:1">
      <c r="A18" s="182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Сводка</vt:lpstr>
      <vt:lpstr>Литейные решения</vt:lpstr>
      <vt:lpstr>ЛС-Техномет</vt:lpstr>
      <vt:lpstr>Сандекс</vt:lpstr>
      <vt:lpstr>СтройТех</vt:lpstr>
      <vt:lpstr>Ергарда</vt:lpstr>
      <vt:lpstr>Казань_Приволжская экспорт</vt:lpstr>
      <vt:lpstr>Казань_Автосервисная экспорт</vt:lpstr>
      <vt:lpstr>Екатеринбург экспорт</vt:lpstr>
      <vt:lpstr>Баумана KPI</vt:lpstr>
      <vt:lpstr>Баумана Полимеры</vt:lpstr>
      <vt:lpstr>Баумана Полиом</vt:lpstr>
      <vt:lpstr>Екатеринбург KPI</vt:lpstr>
      <vt:lpstr>Екатеринбург НПЭГ</vt:lpstr>
      <vt:lpstr>Екатеринбург Полимеры</vt:lpstr>
      <vt:lpstr>Екатеринбург Полиом</vt:lpstr>
      <vt:lpstr>Зеленодольск Данафлекс</vt:lpstr>
      <vt:lpstr>Зеленодольск Полимеры</vt:lpstr>
      <vt:lpstr>Казань_Автосервисная Полимеры</vt:lpstr>
      <vt:lpstr>Казань_Автосервисная Полиом</vt:lpstr>
      <vt:lpstr>Казань_Приволжская Полимеры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2026-06-03T14:16:13Z</dcterms:created>
  <dcterms:modified xsi:type="dcterms:W3CDTF">2026-06-03T14:16:18Z</dcterms:modified>
</cp:coreProperties>
</file>
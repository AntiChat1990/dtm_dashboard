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ebstormProjects\dtm\dtm_dashboard\excel_data\"/>
    </mc:Choice>
  </mc:AlternateContent>
  <xr:revisionPtr revIDLastSave="0" documentId="8_{26B2009D-6E13-4C8C-B632-C2D54787A6BE}" xr6:coauthVersionLast="47" xr6:coauthVersionMax="47" xr10:uidLastSave="{00000000-0000-0000-0000-000000000000}"/>
  <bookViews>
    <workbookView xWindow="-120" yWindow="-120" windowWidth="29040" windowHeight="15840" firstSheet="2" activeTab="2" xr2:uid="{B926153B-3D60-4B10-9CBE-5D7CA7067CF4}"/>
  </bookViews>
  <sheets>
    <sheet name="Лист1" sheetId="1" r:id="rId1"/>
    <sheet name="Биаксплен Новосибирск" sheetId="2" r:id="rId2"/>
    <sheet name="ИТОГО" sheetId="3" r:id="rId3"/>
    <sheet name="Другое" sheetId="4" r:id="rId4"/>
    <sheet name="Нижнекамск завод" sheetId="5" r:id="rId5"/>
    <sheet name="Сводка" sheetId="6" r:id="rId6"/>
    <sheet name="Центрополимер Зеленодольск" sheetId="7" r:id="rId7"/>
    <sheet name="Центрополимер Баумана" sheetId="8" r:id="rId8"/>
    <sheet name="Центрополимер Новикова-Прибоя" sheetId="9" r:id="rId9"/>
    <sheet name="Центрополимер Екатеринбург" sheetId="10" r:id="rId10"/>
    <sheet name="Центрополимер Новосибирск" sheetId="11" r:id="rId11"/>
    <sheet name="Юг Полимер Зеленодольск" sheetId="12" r:id="rId12"/>
    <sheet name="Юг Полимер Новикова-Прибоя" sheetId="13" r:id="rId13"/>
    <sheet name="Юг Полимер Баумана" sheetId="14" r:id="rId14"/>
    <sheet name="Приоритет Казань_Автосервисная" sheetId="15" r:id="rId15"/>
    <sheet name="Приоритет Казань_Приволжская" sheetId="16" r:id="rId16"/>
    <sheet name="Приоритет Зеленодольск" sheetId="17" r:id="rId17"/>
    <sheet name="Приоритет Екатеринбург" sheetId="18" r:id="rId18"/>
    <sheet name="Приоритет Новикова-Прибоя" sheetId="19" r:id="rId19"/>
    <sheet name="Приоритет Баумана" sheetId="20" r:id="rId20"/>
    <sheet name="Фармпласт Казань_Автосервисная" sheetId="21" r:id="rId21"/>
    <sheet name="Фармпласт Новосибирск" sheetId="22" r:id="rId22"/>
    <sheet name="Фармпласт Новикова-Прибоя" sheetId="23" r:id="rId23"/>
    <sheet name="Фармпласт Баумана" sheetId="24" r:id="rId24"/>
    <sheet name="Фармпласт Екатеринбург" sheetId="25" r:id="rId25"/>
    <sheet name="Литейные решения" sheetId="26" r:id="rId26"/>
    <sheet name="ЛС-Техномет" sheetId="27" r:id="rId27"/>
    <sheet name="Сандекс" sheetId="28" r:id="rId28"/>
    <sheet name="СтройТех" sheetId="29" r:id="rId29"/>
    <sheet name="Ергарда" sheetId="30" r:id="rId30"/>
    <sheet name="Казань_Приволжская экспорт" sheetId="31" r:id="rId31"/>
    <sheet name="Казань_Автосервисная экспорт" sheetId="32" r:id="rId32"/>
    <sheet name="Казань_Автосервисная Доп услуги" sheetId="33" r:id="rId33"/>
    <sheet name="Екатеринбург экспорт" sheetId="34" r:id="rId34"/>
    <sheet name="Баумана KPI" sheetId="35" r:id="rId35"/>
    <sheet name="Баумана Полимеры" sheetId="36" r:id="rId36"/>
    <sheet name="Баумана Полиом" sheetId="37" r:id="rId37"/>
    <sheet name="Екатеринбург KPI" sheetId="38" r:id="rId38"/>
    <sheet name="Екатеринбург НПЭГ" sheetId="39" r:id="rId39"/>
    <sheet name="Екатеринбург Полимеры" sheetId="40" r:id="rId40"/>
    <sheet name="Екатеринбург Полиом" sheetId="41" r:id="rId41"/>
    <sheet name="ЕкатеринбургЧкаловский KPI" sheetId="42" r:id="rId42"/>
    <sheet name="ЕкатеринбургЧкаловский Полимеры" sheetId="43" r:id="rId43"/>
    <sheet name="ЕкатеринбургЧкаловский Полиом" sheetId="44" r:id="rId44"/>
    <sheet name="Зеленодольск Данафлекс" sheetId="45" r:id="rId45"/>
    <sheet name="Зеленодольск Полимеры" sheetId="46" r:id="rId46"/>
    <sheet name="Зеленодольск Полиом" sheetId="47" r:id="rId47"/>
    <sheet name="Казань_Автосервисная Полимеры" sheetId="48" r:id="rId48"/>
    <sheet name="Казань_Автосервисная Полиом" sheetId="49" r:id="rId49"/>
    <sheet name="Казань_Приволжская Полимеры" sheetId="50" r:id="rId50"/>
    <sheet name="Новикова-Прибоя KPI" sheetId="51" r:id="rId51"/>
    <sheet name="Новикова-Прибоя Полимеры" sheetId="52" r:id="rId52"/>
    <sheet name="Новикова-Прибоя Полиом" sheetId="53" r:id="rId53"/>
    <sheet name="Новосибирск KPI" sheetId="54" r:id="rId54"/>
    <sheet name="Новосибирск Полимеры" sheetId="55" r:id="rId55"/>
    <sheet name="Новосибирск Полиом" sheetId="56" r:id="rId56"/>
    <sheet name="Новосибирск Порошок" sheetId="57" r:id="rId57"/>
    <sheet name="Новосибирск_Пасечная Порошок" sheetId="58" r:id="rId58"/>
    <sheet name="Праздники" sheetId="59" r:id="rId59"/>
  </sheets>
  <externalReferences>
    <externalReference r:id="rId60"/>
    <externalReference r:id="rId6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34" l="1"/>
  <c r="F11" i="34"/>
  <c r="G11" i="34" s="1"/>
  <c r="F10" i="34"/>
  <c r="G10" i="34" s="1"/>
  <c r="G12" i="34" s="1"/>
  <c r="A7" i="34"/>
  <c r="A4" i="34"/>
  <c r="A3" i="34"/>
  <c r="F12" i="34" l="1"/>
  <c r="F11" i="33" l="1"/>
  <c r="D10" i="33"/>
  <c r="F10" i="33" s="1"/>
  <c r="F9" i="33"/>
  <c r="F12" i="33" s="1"/>
  <c r="F13" i="33" s="1"/>
  <c r="F14" i="33" s="1"/>
  <c r="A6" i="33"/>
  <c r="A3" i="33"/>
  <c r="A2" i="33"/>
  <c r="B14" i="32" l="1"/>
  <c r="F11" i="32"/>
  <c r="G11" i="32" s="1"/>
  <c r="F10" i="32"/>
  <c r="G10" i="32" s="1"/>
  <c r="G12" i="32" s="1"/>
  <c r="A7" i="32"/>
  <c r="A4" i="32"/>
  <c r="A3" i="32"/>
  <c r="F12" i="32" l="1"/>
  <c r="B14" i="31"/>
  <c r="F11" i="31"/>
  <c r="G11" i="31" s="1"/>
  <c r="F10" i="31"/>
  <c r="G10" i="31" s="1"/>
  <c r="G12" i="31" s="1"/>
  <c r="A7" i="31"/>
  <c r="A4" i="31"/>
  <c r="A3" i="31"/>
  <c r="F12" i="31" l="1"/>
  <c r="I34" i="30" l="1"/>
  <c r="H34" i="30"/>
  <c r="G34" i="30"/>
  <c r="J34" i="30" s="1"/>
  <c r="I33" i="30"/>
  <c r="H33" i="30"/>
  <c r="G33" i="30"/>
  <c r="J33" i="30" s="1"/>
  <c r="I32" i="30"/>
  <c r="H32" i="30"/>
  <c r="G32" i="30"/>
  <c r="J32" i="30" s="1"/>
  <c r="I31" i="30"/>
  <c r="H31" i="30"/>
  <c r="G31" i="30"/>
  <c r="J31" i="30" s="1"/>
  <c r="I30" i="30"/>
  <c r="H30" i="30"/>
  <c r="G30" i="30"/>
  <c r="J30" i="30" s="1"/>
  <c r="I29" i="30"/>
  <c r="H29" i="30"/>
  <c r="G29" i="30"/>
  <c r="J29" i="30" s="1"/>
  <c r="I28" i="30"/>
  <c r="H28" i="30"/>
  <c r="J28" i="30" s="1"/>
  <c r="G28" i="30"/>
  <c r="I27" i="30"/>
  <c r="H27" i="30"/>
  <c r="G27" i="30"/>
  <c r="J27" i="30" s="1"/>
  <c r="I26" i="30"/>
  <c r="H26" i="30"/>
  <c r="G26" i="30"/>
  <c r="J26" i="30" s="1"/>
  <c r="I25" i="30"/>
  <c r="H25" i="30"/>
  <c r="G25" i="30"/>
  <c r="J25" i="30" s="1"/>
  <c r="J24" i="30"/>
  <c r="I24" i="30"/>
  <c r="H24" i="30"/>
  <c r="G24" i="30"/>
  <c r="I23" i="30"/>
  <c r="H23" i="30"/>
  <c r="G23" i="30"/>
  <c r="J23" i="30" s="1"/>
  <c r="I22" i="30"/>
  <c r="H22" i="30"/>
  <c r="G22" i="30"/>
  <c r="J22" i="30" s="1"/>
  <c r="I21" i="30"/>
  <c r="H21" i="30"/>
  <c r="G21" i="30"/>
  <c r="J21" i="30" s="1"/>
  <c r="J20" i="30"/>
  <c r="I20" i="30"/>
  <c r="H20" i="30"/>
  <c r="G20" i="30"/>
  <c r="I19" i="30"/>
  <c r="H19" i="30"/>
  <c r="G19" i="30"/>
  <c r="J19" i="30" s="1"/>
  <c r="I18" i="30"/>
  <c r="H18" i="30"/>
  <c r="G18" i="30"/>
  <c r="J18" i="30" s="1"/>
  <c r="I17" i="30"/>
  <c r="H17" i="30"/>
  <c r="G17" i="30"/>
  <c r="J17" i="30" s="1"/>
  <c r="J16" i="30"/>
  <c r="I16" i="30"/>
  <c r="H16" i="30"/>
  <c r="G16" i="30"/>
  <c r="I15" i="30"/>
  <c r="H15" i="30"/>
  <c r="G15" i="30"/>
  <c r="J15" i="30" s="1"/>
  <c r="I14" i="30"/>
  <c r="H14" i="30"/>
  <c r="G14" i="30"/>
  <c r="J14" i="30" s="1"/>
  <c r="I13" i="30"/>
  <c r="H13" i="30"/>
  <c r="G13" i="30"/>
  <c r="J13" i="30" s="1"/>
  <c r="I12" i="30"/>
  <c r="H12" i="30"/>
  <c r="J12" i="30" s="1"/>
  <c r="G12" i="30"/>
  <c r="I11" i="30"/>
  <c r="H11" i="30"/>
  <c r="G11" i="30"/>
  <c r="J11" i="30" s="1"/>
  <c r="I10" i="30"/>
  <c r="H10" i="30"/>
  <c r="G10" i="30"/>
  <c r="J10" i="30" s="1"/>
  <c r="I9" i="30"/>
  <c r="H9" i="30"/>
  <c r="G9" i="30"/>
  <c r="J9" i="30" s="1"/>
  <c r="J8" i="30"/>
  <c r="I8" i="30"/>
  <c r="H8" i="30"/>
  <c r="G8" i="30"/>
  <c r="I7" i="30"/>
  <c r="H7" i="30"/>
  <c r="G7" i="30"/>
  <c r="J7" i="30" s="1"/>
  <c r="I6" i="30"/>
  <c r="H6" i="30"/>
  <c r="G6" i="30"/>
  <c r="J6" i="30" s="1"/>
  <c r="I5" i="30"/>
  <c r="H5" i="30"/>
  <c r="G5" i="30"/>
  <c r="J5" i="30" s="1"/>
  <c r="J4" i="30"/>
  <c r="J35" i="30" s="1"/>
  <c r="A1" i="30" s="1"/>
  <c r="I4" i="30"/>
  <c r="I35" i="30" s="1"/>
  <c r="H4" i="30"/>
  <c r="H35" i="30" s="1"/>
  <c r="G4" i="30"/>
  <c r="G35" i="30" s="1"/>
  <c r="G36" i="29"/>
  <c r="J35" i="29"/>
  <c r="I35" i="29"/>
  <c r="H35" i="29"/>
  <c r="K35" i="29" s="1"/>
  <c r="K34" i="29"/>
  <c r="J34" i="29"/>
  <c r="I34" i="29"/>
  <c r="H34" i="29"/>
  <c r="J33" i="29"/>
  <c r="I33" i="29"/>
  <c r="K33" i="29" s="1"/>
  <c r="H33" i="29"/>
  <c r="J32" i="29"/>
  <c r="I32" i="29"/>
  <c r="H32" i="29"/>
  <c r="K32" i="29" s="1"/>
  <c r="J31" i="29"/>
  <c r="I31" i="29"/>
  <c r="H31" i="29"/>
  <c r="K31" i="29" s="1"/>
  <c r="K30" i="29"/>
  <c r="J30" i="29"/>
  <c r="I30" i="29"/>
  <c r="H30" i="29"/>
  <c r="J29" i="29"/>
  <c r="I29" i="29"/>
  <c r="K29" i="29" s="1"/>
  <c r="H29" i="29"/>
  <c r="J28" i="29"/>
  <c r="I28" i="29"/>
  <c r="H28" i="29"/>
  <c r="K28" i="29" s="1"/>
  <c r="J27" i="29"/>
  <c r="I27" i="29"/>
  <c r="H27" i="29"/>
  <c r="K27" i="29" s="1"/>
  <c r="K26" i="29"/>
  <c r="J26" i="29"/>
  <c r="I26" i="29"/>
  <c r="H26" i="29"/>
  <c r="J25" i="29"/>
  <c r="I25" i="29"/>
  <c r="K25" i="29" s="1"/>
  <c r="H25" i="29"/>
  <c r="J24" i="29"/>
  <c r="I24" i="29"/>
  <c r="H24" i="29"/>
  <c r="K24" i="29" s="1"/>
  <c r="J23" i="29"/>
  <c r="I23" i="29"/>
  <c r="H23" i="29"/>
  <c r="K23" i="29" s="1"/>
  <c r="K22" i="29"/>
  <c r="J22" i="29"/>
  <c r="I22" i="29"/>
  <c r="H22" i="29"/>
  <c r="J21" i="29"/>
  <c r="I21" i="29"/>
  <c r="K21" i="29" s="1"/>
  <c r="H21" i="29"/>
  <c r="J20" i="29"/>
  <c r="I20" i="29"/>
  <c r="H20" i="29"/>
  <c r="K20" i="29" s="1"/>
  <c r="J19" i="29"/>
  <c r="I19" i="29"/>
  <c r="H19" i="29"/>
  <c r="K19" i="29" s="1"/>
  <c r="K18" i="29"/>
  <c r="J18" i="29"/>
  <c r="I18" i="29"/>
  <c r="H18" i="29"/>
  <c r="J17" i="29"/>
  <c r="I17" i="29"/>
  <c r="K17" i="29" s="1"/>
  <c r="H17" i="29"/>
  <c r="J16" i="29"/>
  <c r="I16" i="29"/>
  <c r="H16" i="29"/>
  <c r="K16" i="29" s="1"/>
  <c r="J15" i="29"/>
  <c r="I15" i="29"/>
  <c r="H15" i="29"/>
  <c r="K15" i="29" s="1"/>
  <c r="K14" i="29"/>
  <c r="J14" i="29"/>
  <c r="I14" i="29"/>
  <c r="H14" i="29"/>
  <c r="J13" i="29"/>
  <c r="I13" i="29"/>
  <c r="K13" i="29" s="1"/>
  <c r="H13" i="29"/>
  <c r="J12" i="29"/>
  <c r="I12" i="29"/>
  <c r="H12" i="29"/>
  <c r="K12" i="29" s="1"/>
  <c r="J11" i="29"/>
  <c r="I11" i="29"/>
  <c r="H11" i="29"/>
  <c r="K11" i="29" s="1"/>
  <c r="K10" i="29"/>
  <c r="J10" i="29"/>
  <c r="I10" i="29"/>
  <c r="H10" i="29"/>
  <c r="J9" i="29"/>
  <c r="I9" i="29"/>
  <c r="K9" i="29" s="1"/>
  <c r="H9" i="29"/>
  <c r="J8" i="29"/>
  <c r="I8" i="29"/>
  <c r="H8" i="29"/>
  <c r="K8" i="29" s="1"/>
  <c r="J7" i="29"/>
  <c r="I7" i="29"/>
  <c r="H7" i="29"/>
  <c r="K7" i="29" s="1"/>
  <c r="K6" i="29"/>
  <c r="J6" i="29"/>
  <c r="I6" i="29"/>
  <c r="H6" i="29"/>
  <c r="J5" i="29"/>
  <c r="J36" i="29" s="1"/>
  <c r="I5" i="29"/>
  <c r="I36" i="29" s="1"/>
  <c r="H5" i="29"/>
  <c r="H36" i="29" s="1"/>
  <c r="K38" i="28"/>
  <c r="J38" i="28"/>
  <c r="I38" i="28"/>
  <c r="H38" i="28"/>
  <c r="G38" i="28"/>
  <c r="F38" i="28"/>
  <c r="E38" i="28"/>
  <c r="D38" i="28"/>
  <c r="C38" i="28"/>
  <c r="R37" i="28"/>
  <c r="Q37" i="28"/>
  <c r="P37" i="28"/>
  <c r="O37" i="28"/>
  <c r="N37" i="28"/>
  <c r="M37" i="28"/>
  <c r="L37" i="28"/>
  <c r="S37" i="28" s="1"/>
  <c r="R36" i="28"/>
  <c r="Q36" i="28"/>
  <c r="P36" i="28"/>
  <c r="O36" i="28"/>
  <c r="N36" i="28"/>
  <c r="S36" i="28" s="1"/>
  <c r="M36" i="28"/>
  <c r="L36" i="28"/>
  <c r="R35" i="28"/>
  <c r="Q35" i="28"/>
  <c r="P35" i="28"/>
  <c r="O35" i="28"/>
  <c r="N35" i="28"/>
  <c r="M35" i="28"/>
  <c r="L35" i="28"/>
  <c r="S35" i="28" s="1"/>
  <c r="R34" i="28"/>
  <c r="Q34" i="28"/>
  <c r="P34" i="28"/>
  <c r="O34" i="28"/>
  <c r="N34" i="28"/>
  <c r="S34" i="28" s="1"/>
  <c r="M34" i="28"/>
  <c r="L34" i="28"/>
  <c r="R33" i="28"/>
  <c r="Q33" i="28"/>
  <c r="P33" i="28"/>
  <c r="O33" i="28"/>
  <c r="N33" i="28"/>
  <c r="M33" i="28"/>
  <c r="L33" i="28"/>
  <c r="S33" i="28" s="1"/>
  <c r="R32" i="28"/>
  <c r="Q32" i="28"/>
  <c r="P32" i="28"/>
  <c r="O32" i="28"/>
  <c r="N32" i="28"/>
  <c r="S32" i="28" s="1"/>
  <c r="M32" i="28"/>
  <c r="L32" i="28"/>
  <c r="R31" i="28"/>
  <c r="Q31" i="28"/>
  <c r="P31" i="28"/>
  <c r="O31" i="28"/>
  <c r="N31" i="28"/>
  <c r="M31" i="28"/>
  <c r="L31" i="28"/>
  <c r="S31" i="28" s="1"/>
  <c r="R30" i="28"/>
  <c r="Q30" i="28"/>
  <c r="P30" i="28"/>
  <c r="O30" i="28"/>
  <c r="N30" i="28"/>
  <c r="S30" i="28" s="1"/>
  <c r="M30" i="28"/>
  <c r="L30" i="28"/>
  <c r="R29" i="28"/>
  <c r="Q29" i="28"/>
  <c r="P29" i="28"/>
  <c r="O29" i="28"/>
  <c r="N29" i="28"/>
  <c r="M29" i="28"/>
  <c r="L29" i="28"/>
  <c r="S29" i="28" s="1"/>
  <c r="R28" i="28"/>
  <c r="Q28" i="28"/>
  <c r="P28" i="28"/>
  <c r="O28" i="28"/>
  <c r="N28" i="28"/>
  <c r="S28" i="28" s="1"/>
  <c r="M28" i="28"/>
  <c r="L28" i="28"/>
  <c r="R27" i="28"/>
  <c r="Q27" i="28"/>
  <c r="P27" i="28"/>
  <c r="O27" i="28"/>
  <c r="N27" i="28"/>
  <c r="M27" i="28"/>
  <c r="L27" i="28"/>
  <c r="S27" i="28" s="1"/>
  <c r="R26" i="28"/>
  <c r="Q26" i="28"/>
  <c r="P26" i="28"/>
  <c r="O26" i="28"/>
  <c r="N26" i="28"/>
  <c r="S26" i="28" s="1"/>
  <c r="M26" i="28"/>
  <c r="L26" i="28"/>
  <c r="R25" i="28"/>
  <c r="Q25" i="28"/>
  <c r="P25" i="28"/>
  <c r="O25" i="28"/>
  <c r="N25" i="28"/>
  <c r="M25" i="28"/>
  <c r="L25" i="28"/>
  <c r="S25" i="28" s="1"/>
  <c r="R24" i="28"/>
  <c r="Q24" i="28"/>
  <c r="P24" i="28"/>
  <c r="O24" i="28"/>
  <c r="N24" i="28"/>
  <c r="S24" i="28" s="1"/>
  <c r="M24" i="28"/>
  <c r="L24" i="28"/>
  <c r="R23" i="28"/>
  <c r="Q23" i="28"/>
  <c r="P23" i="28"/>
  <c r="O23" i="28"/>
  <c r="N23" i="28"/>
  <c r="M23" i="28"/>
  <c r="L23" i="28"/>
  <c r="S23" i="28" s="1"/>
  <c r="R22" i="28"/>
  <c r="Q22" i="28"/>
  <c r="P22" i="28"/>
  <c r="O22" i="28"/>
  <c r="N22" i="28"/>
  <c r="S22" i="28" s="1"/>
  <c r="M22" i="28"/>
  <c r="L22" i="28"/>
  <c r="R21" i="28"/>
  <c r="Q21" i="28"/>
  <c r="P21" i="28"/>
  <c r="O21" i="28"/>
  <c r="N21" i="28"/>
  <c r="M21" i="28"/>
  <c r="L21" i="28"/>
  <c r="S21" i="28" s="1"/>
  <c r="R20" i="28"/>
  <c r="Q20" i="28"/>
  <c r="P20" i="28"/>
  <c r="O20" i="28"/>
  <c r="N20" i="28"/>
  <c r="S20" i="28" s="1"/>
  <c r="M20" i="28"/>
  <c r="L20" i="28"/>
  <c r="R19" i="28"/>
  <c r="Q19" i="28"/>
  <c r="P19" i="28"/>
  <c r="O19" i="28"/>
  <c r="N19" i="28"/>
  <c r="M19" i="28"/>
  <c r="L19" i="28"/>
  <c r="S19" i="28" s="1"/>
  <c r="R18" i="28"/>
  <c r="Q18" i="28"/>
  <c r="P18" i="28"/>
  <c r="O18" i="28"/>
  <c r="N18" i="28"/>
  <c r="S18" i="28" s="1"/>
  <c r="M18" i="28"/>
  <c r="L18" i="28"/>
  <c r="R17" i="28"/>
  <c r="Q17" i="28"/>
  <c r="P17" i="28"/>
  <c r="O17" i="28"/>
  <c r="N17" i="28"/>
  <c r="M17" i="28"/>
  <c r="L17" i="28"/>
  <c r="S17" i="28" s="1"/>
  <c r="R16" i="28"/>
  <c r="Q16" i="28"/>
  <c r="P16" i="28"/>
  <c r="O16" i="28"/>
  <c r="N16" i="28"/>
  <c r="S16" i="28" s="1"/>
  <c r="M16" i="28"/>
  <c r="L16" i="28"/>
  <c r="R15" i="28"/>
  <c r="Q15" i="28"/>
  <c r="P15" i="28"/>
  <c r="O15" i="28"/>
  <c r="N15" i="28"/>
  <c r="M15" i="28"/>
  <c r="L15" i="28"/>
  <c r="S15" i="28" s="1"/>
  <c r="R14" i="28"/>
  <c r="Q14" i="28"/>
  <c r="P14" i="28"/>
  <c r="O14" i="28"/>
  <c r="N14" i="28"/>
  <c r="S14" i="28" s="1"/>
  <c r="M14" i="28"/>
  <c r="L14" i="28"/>
  <c r="R13" i="28"/>
  <c r="Q13" i="28"/>
  <c r="P13" i="28"/>
  <c r="O13" i="28"/>
  <c r="N13" i="28"/>
  <c r="M13" i="28"/>
  <c r="L13" i="28"/>
  <c r="S13" i="28" s="1"/>
  <c r="R12" i="28"/>
  <c r="Q12" i="28"/>
  <c r="P12" i="28"/>
  <c r="O12" i="28"/>
  <c r="N12" i="28"/>
  <c r="S12" i="28" s="1"/>
  <c r="M12" i="28"/>
  <c r="L12" i="28"/>
  <c r="R11" i="28"/>
  <c r="Q11" i="28"/>
  <c r="P11" i="28"/>
  <c r="O11" i="28"/>
  <c r="N11" i="28"/>
  <c r="M11" i="28"/>
  <c r="L11" i="28"/>
  <c r="S11" i="28" s="1"/>
  <c r="R10" i="28"/>
  <c r="Q10" i="28"/>
  <c r="P10" i="28"/>
  <c r="O10" i="28"/>
  <c r="N10" i="28"/>
  <c r="S10" i="28" s="1"/>
  <c r="M10" i="28"/>
  <c r="L10" i="28"/>
  <c r="R9" i="28"/>
  <c r="Q9" i="28"/>
  <c r="P9" i="28"/>
  <c r="O9" i="28"/>
  <c r="N9" i="28"/>
  <c r="M9" i="28"/>
  <c r="L9" i="28"/>
  <c r="S9" i="28" s="1"/>
  <c r="R8" i="28"/>
  <c r="Q8" i="28"/>
  <c r="P8" i="28"/>
  <c r="O8" i="28"/>
  <c r="N8" i="28"/>
  <c r="S8" i="28" s="1"/>
  <c r="M8" i="28"/>
  <c r="L8" i="28"/>
  <c r="R7" i="28"/>
  <c r="R38" i="28" s="1"/>
  <c r="Q7" i="28"/>
  <c r="Q38" i="28" s="1"/>
  <c r="P7" i="28"/>
  <c r="P38" i="28" s="1"/>
  <c r="O7" i="28"/>
  <c r="O38" i="28" s="1"/>
  <c r="N7" i="28"/>
  <c r="N38" i="28" s="1"/>
  <c r="M7" i="28"/>
  <c r="M38" i="28" s="1"/>
  <c r="L7" i="28"/>
  <c r="S7" i="28" s="1"/>
  <c r="H36" i="27"/>
  <c r="F36" i="27"/>
  <c r="E36" i="27"/>
  <c r="D36" i="27"/>
  <c r="R35" i="27"/>
  <c r="Q35" i="27"/>
  <c r="P35" i="27"/>
  <c r="O35" i="27"/>
  <c r="N35" i="27"/>
  <c r="M35" i="27"/>
  <c r="L35" i="27"/>
  <c r="K35" i="27"/>
  <c r="Q34" i="27"/>
  <c r="P34" i="27"/>
  <c r="O34" i="27"/>
  <c r="N34" i="27"/>
  <c r="M34" i="27"/>
  <c r="L34" i="27"/>
  <c r="K34" i="27"/>
  <c r="R34" i="27" s="1"/>
  <c r="R33" i="27"/>
  <c r="Q33" i="27"/>
  <c r="P33" i="27"/>
  <c r="O33" i="27"/>
  <c r="N33" i="27"/>
  <c r="M33" i="27"/>
  <c r="L33" i="27"/>
  <c r="K33" i="27"/>
  <c r="Q32" i="27"/>
  <c r="P32" i="27"/>
  <c r="O32" i="27"/>
  <c r="N32" i="27"/>
  <c r="M32" i="27"/>
  <c r="L32" i="27"/>
  <c r="K32" i="27"/>
  <c r="R32" i="27" s="1"/>
  <c r="R31" i="27"/>
  <c r="Q31" i="27"/>
  <c r="P31" i="27"/>
  <c r="O31" i="27"/>
  <c r="N31" i="27"/>
  <c r="M31" i="27"/>
  <c r="L31" i="27"/>
  <c r="K31" i="27"/>
  <c r="Q30" i="27"/>
  <c r="P30" i="27"/>
  <c r="O30" i="27"/>
  <c r="N30" i="27"/>
  <c r="M30" i="27"/>
  <c r="L30" i="27"/>
  <c r="K30" i="27"/>
  <c r="R30" i="27" s="1"/>
  <c r="R29" i="27"/>
  <c r="Q29" i="27"/>
  <c r="P29" i="27"/>
  <c r="O29" i="27"/>
  <c r="N29" i="27"/>
  <c r="M29" i="27"/>
  <c r="L29" i="27"/>
  <c r="K29" i="27"/>
  <c r="Q28" i="27"/>
  <c r="P28" i="27"/>
  <c r="O28" i="27"/>
  <c r="N28" i="27"/>
  <c r="M28" i="27"/>
  <c r="L28" i="27"/>
  <c r="K28" i="27"/>
  <c r="R28" i="27" s="1"/>
  <c r="Q27" i="27"/>
  <c r="R27" i="27" s="1"/>
  <c r="P27" i="27"/>
  <c r="O27" i="27"/>
  <c r="N27" i="27"/>
  <c r="M27" i="27"/>
  <c r="L27" i="27"/>
  <c r="K27" i="27"/>
  <c r="Q26" i="27"/>
  <c r="P26" i="27"/>
  <c r="O26" i="27"/>
  <c r="N26" i="27"/>
  <c r="M26" i="27"/>
  <c r="L26" i="27"/>
  <c r="K26" i="27"/>
  <c r="R26" i="27" s="1"/>
  <c r="Q25" i="27"/>
  <c r="P25" i="27"/>
  <c r="R25" i="27" s="1"/>
  <c r="O25" i="27"/>
  <c r="N25" i="27"/>
  <c r="M25" i="27"/>
  <c r="L25" i="27"/>
  <c r="K25" i="27"/>
  <c r="Q24" i="27"/>
  <c r="P24" i="27"/>
  <c r="O24" i="27"/>
  <c r="N24" i="27"/>
  <c r="M24" i="27"/>
  <c r="L24" i="27"/>
  <c r="K24" i="27"/>
  <c r="R24" i="27" s="1"/>
  <c r="Q23" i="27"/>
  <c r="P23" i="27"/>
  <c r="R23" i="27" s="1"/>
  <c r="O23" i="27"/>
  <c r="N23" i="27"/>
  <c r="M23" i="27"/>
  <c r="L23" i="27"/>
  <c r="K23" i="27"/>
  <c r="Q22" i="27"/>
  <c r="P22" i="27"/>
  <c r="O22" i="27"/>
  <c r="N22" i="27"/>
  <c r="M22" i="27"/>
  <c r="L22" i="27"/>
  <c r="K22" i="27"/>
  <c r="R22" i="27" s="1"/>
  <c r="Q21" i="27"/>
  <c r="P21" i="27"/>
  <c r="R21" i="27" s="1"/>
  <c r="O21" i="27"/>
  <c r="N21" i="27"/>
  <c r="M21" i="27"/>
  <c r="L21" i="27"/>
  <c r="K21" i="27"/>
  <c r="Q20" i="27"/>
  <c r="P20" i="27"/>
  <c r="O20" i="27"/>
  <c r="N20" i="27"/>
  <c r="M20" i="27"/>
  <c r="L20" i="27"/>
  <c r="K20" i="27"/>
  <c r="R20" i="27" s="1"/>
  <c r="Q19" i="27"/>
  <c r="P19" i="27"/>
  <c r="R19" i="27" s="1"/>
  <c r="O19" i="27"/>
  <c r="N19" i="27"/>
  <c r="M19" i="27"/>
  <c r="L19" i="27"/>
  <c r="K19" i="27"/>
  <c r="Q18" i="27"/>
  <c r="P18" i="27"/>
  <c r="O18" i="27"/>
  <c r="N18" i="27"/>
  <c r="M18" i="27"/>
  <c r="L18" i="27"/>
  <c r="K18" i="27"/>
  <c r="R18" i="27" s="1"/>
  <c r="Q17" i="27"/>
  <c r="P17" i="27"/>
  <c r="R17" i="27" s="1"/>
  <c r="O17" i="27"/>
  <c r="N17" i="27"/>
  <c r="M17" i="27"/>
  <c r="L17" i="27"/>
  <c r="K17" i="27"/>
  <c r="Q16" i="27"/>
  <c r="P16" i="27"/>
  <c r="O16" i="27"/>
  <c r="N16" i="27"/>
  <c r="M16" i="27"/>
  <c r="L16" i="27"/>
  <c r="K16" i="27"/>
  <c r="R16" i="27" s="1"/>
  <c r="Q15" i="27"/>
  <c r="P15" i="27"/>
  <c r="R15" i="27" s="1"/>
  <c r="O15" i="27"/>
  <c r="N15" i="27"/>
  <c r="M15" i="27"/>
  <c r="L15" i="27"/>
  <c r="K15" i="27"/>
  <c r="Q14" i="27"/>
  <c r="P14" i="27"/>
  <c r="O14" i="27"/>
  <c r="N14" i="27"/>
  <c r="M14" i="27"/>
  <c r="L14" i="27"/>
  <c r="K14" i="27"/>
  <c r="R14" i="27" s="1"/>
  <c r="Q13" i="27"/>
  <c r="P13" i="27"/>
  <c r="R13" i="27" s="1"/>
  <c r="O13" i="27"/>
  <c r="N13" i="27"/>
  <c r="M13" i="27"/>
  <c r="L13" i="27"/>
  <c r="K13" i="27"/>
  <c r="Q12" i="27"/>
  <c r="P12" i="27"/>
  <c r="O12" i="27"/>
  <c r="N12" i="27"/>
  <c r="M12" i="27"/>
  <c r="L12" i="27"/>
  <c r="K12" i="27"/>
  <c r="R12" i="27" s="1"/>
  <c r="Q11" i="27"/>
  <c r="P11" i="27"/>
  <c r="R11" i="27" s="1"/>
  <c r="O11" i="27"/>
  <c r="N11" i="27"/>
  <c r="M11" i="27"/>
  <c r="L11" i="27"/>
  <c r="K11" i="27"/>
  <c r="Q10" i="27"/>
  <c r="P10" i="27"/>
  <c r="O10" i="27"/>
  <c r="N10" i="27"/>
  <c r="M10" i="27"/>
  <c r="L10" i="27"/>
  <c r="K10" i="27"/>
  <c r="R10" i="27" s="1"/>
  <c r="Q9" i="27"/>
  <c r="P9" i="27"/>
  <c r="R9" i="27" s="1"/>
  <c r="O9" i="27"/>
  <c r="N9" i="27"/>
  <c r="M9" i="27"/>
  <c r="L9" i="27"/>
  <c r="K9" i="27"/>
  <c r="Q8" i="27"/>
  <c r="P8" i="27"/>
  <c r="O8" i="27"/>
  <c r="N8" i="27"/>
  <c r="M8" i="27"/>
  <c r="L8" i="27"/>
  <c r="K8" i="27"/>
  <c r="R8" i="27" s="1"/>
  <c r="Q7" i="27"/>
  <c r="P7" i="27"/>
  <c r="R7" i="27" s="1"/>
  <c r="O7" i="27"/>
  <c r="N7" i="27"/>
  <c r="M7" i="27"/>
  <c r="L7" i="27"/>
  <c r="K7" i="27"/>
  <c r="Q6" i="27"/>
  <c r="P6" i="27"/>
  <c r="O6" i="27"/>
  <c r="N6" i="27"/>
  <c r="M6" i="27"/>
  <c r="L6" i="27"/>
  <c r="K6" i="27"/>
  <c r="R6" i="27" s="1"/>
  <c r="Q5" i="27"/>
  <c r="Q36" i="27" s="1"/>
  <c r="P5" i="27"/>
  <c r="P36" i="27" s="1"/>
  <c r="O5" i="27"/>
  <c r="O36" i="27" s="1"/>
  <c r="N5" i="27"/>
  <c r="N36" i="27" s="1"/>
  <c r="M5" i="27"/>
  <c r="M36" i="27" s="1"/>
  <c r="L5" i="27"/>
  <c r="L36" i="27" s="1"/>
  <c r="K5" i="27"/>
  <c r="F36" i="26"/>
  <c r="E36" i="26"/>
  <c r="D36" i="26"/>
  <c r="Q35" i="26"/>
  <c r="P35" i="26"/>
  <c r="O35" i="26"/>
  <c r="N35" i="26"/>
  <c r="M35" i="26"/>
  <c r="L35" i="26"/>
  <c r="K35" i="26"/>
  <c r="R35" i="26" s="1"/>
  <c r="Q34" i="26"/>
  <c r="P34" i="26"/>
  <c r="O34" i="26"/>
  <c r="R34" i="26" s="1"/>
  <c r="N34" i="26"/>
  <c r="M34" i="26"/>
  <c r="L34" i="26"/>
  <c r="K34" i="26"/>
  <c r="Q33" i="26"/>
  <c r="P33" i="26"/>
  <c r="N33" i="26"/>
  <c r="M33" i="26"/>
  <c r="L33" i="26"/>
  <c r="K33" i="26"/>
  <c r="Q32" i="26"/>
  <c r="P32" i="26"/>
  <c r="N32" i="26"/>
  <c r="M32" i="26"/>
  <c r="L32" i="26"/>
  <c r="K32" i="26"/>
  <c r="Q31" i="26"/>
  <c r="P31" i="26"/>
  <c r="N31" i="26"/>
  <c r="M31" i="26"/>
  <c r="L31" i="26"/>
  <c r="K31" i="26"/>
  <c r="Q30" i="26"/>
  <c r="P30" i="26"/>
  <c r="N30" i="26"/>
  <c r="M30" i="26"/>
  <c r="L30" i="26"/>
  <c r="K30" i="26"/>
  <c r="Q29" i="26"/>
  <c r="P29" i="26"/>
  <c r="N29" i="26"/>
  <c r="M29" i="26"/>
  <c r="L29" i="26"/>
  <c r="K29" i="26"/>
  <c r="Q28" i="26"/>
  <c r="P28" i="26"/>
  <c r="N28" i="26"/>
  <c r="M28" i="26"/>
  <c r="L28" i="26"/>
  <c r="K28" i="26"/>
  <c r="Q27" i="26"/>
  <c r="P27" i="26"/>
  <c r="N27" i="26"/>
  <c r="M27" i="26"/>
  <c r="L27" i="26"/>
  <c r="K27" i="26"/>
  <c r="Q26" i="26"/>
  <c r="P26" i="26"/>
  <c r="N26" i="26"/>
  <c r="M26" i="26"/>
  <c r="L26" i="26"/>
  <c r="K26" i="26"/>
  <c r="Q25" i="26"/>
  <c r="P25" i="26"/>
  <c r="N25" i="26"/>
  <c r="M25" i="26"/>
  <c r="L25" i="26"/>
  <c r="K25" i="26"/>
  <c r="Q24" i="26"/>
  <c r="P24" i="26"/>
  <c r="N24" i="26"/>
  <c r="M24" i="26"/>
  <c r="L24" i="26"/>
  <c r="K24" i="26"/>
  <c r="Q23" i="26"/>
  <c r="P23" i="26"/>
  <c r="N23" i="26"/>
  <c r="M23" i="26"/>
  <c r="L23" i="26"/>
  <c r="K23" i="26"/>
  <c r="Q22" i="26"/>
  <c r="P22" i="26"/>
  <c r="N22" i="26"/>
  <c r="M22" i="26"/>
  <c r="L22" i="26"/>
  <c r="K22" i="26"/>
  <c r="Q21" i="26"/>
  <c r="P21" i="26"/>
  <c r="N21" i="26"/>
  <c r="M21" i="26"/>
  <c r="L21" i="26"/>
  <c r="K21" i="26"/>
  <c r="Q20" i="26"/>
  <c r="P20" i="26"/>
  <c r="N20" i="26"/>
  <c r="M20" i="26"/>
  <c r="L20" i="26"/>
  <c r="K20" i="26"/>
  <c r="Q19" i="26"/>
  <c r="P19" i="26"/>
  <c r="N19" i="26"/>
  <c r="M19" i="26"/>
  <c r="L19" i="26"/>
  <c r="K19" i="26"/>
  <c r="Q18" i="26"/>
  <c r="P18" i="26"/>
  <c r="N18" i="26"/>
  <c r="M18" i="26"/>
  <c r="L18" i="26"/>
  <c r="K18" i="26"/>
  <c r="Q17" i="26"/>
  <c r="P17" i="26"/>
  <c r="N17" i="26"/>
  <c r="M17" i="26"/>
  <c r="L17" i="26"/>
  <c r="K17" i="26"/>
  <c r="Q16" i="26"/>
  <c r="P16" i="26"/>
  <c r="N16" i="26"/>
  <c r="M16" i="26"/>
  <c r="L16" i="26"/>
  <c r="K16" i="26"/>
  <c r="Q15" i="26"/>
  <c r="P15" i="26"/>
  <c r="N15" i="26"/>
  <c r="M15" i="26"/>
  <c r="L15" i="26"/>
  <c r="K15" i="26"/>
  <c r="Q14" i="26"/>
  <c r="P14" i="26"/>
  <c r="N14" i="26"/>
  <c r="M14" i="26"/>
  <c r="L14" i="26"/>
  <c r="K14" i="26"/>
  <c r="Q13" i="26"/>
  <c r="P13" i="26"/>
  <c r="N13" i="26"/>
  <c r="M13" i="26"/>
  <c r="L13" i="26"/>
  <c r="L36" i="26" s="1"/>
  <c r="K13" i="26"/>
  <c r="Q12" i="26"/>
  <c r="P12" i="26"/>
  <c r="N12" i="26"/>
  <c r="M12" i="26"/>
  <c r="L12" i="26"/>
  <c r="K12" i="26"/>
  <c r="Q11" i="26"/>
  <c r="P11" i="26"/>
  <c r="N11" i="26"/>
  <c r="M11" i="26"/>
  <c r="M36" i="26" s="1"/>
  <c r="L11" i="26"/>
  <c r="K11" i="26"/>
  <c r="Q10" i="26"/>
  <c r="P10" i="26"/>
  <c r="N10" i="26"/>
  <c r="M10" i="26"/>
  <c r="L10" i="26"/>
  <c r="K10" i="26"/>
  <c r="Q9" i="26"/>
  <c r="P9" i="26"/>
  <c r="N9" i="26"/>
  <c r="M9" i="26"/>
  <c r="L9" i="26"/>
  <c r="K9" i="26"/>
  <c r="Q8" i="26"/>
  <c r="P8" i="26"/>
  <c r="N8" i="26"/>
  <c r="M8" i="26"/>
  <c r="L8" i="26"/>
  <c r="K8" i="26"/>
  <c r="Q7" i="26"/>
  <c r="P7" i="26"/>
  <c r="N7" i="26"/>
  <c r="N36" i="26" s="1"/>
  <c r="M7" i="26"/>
  <c r="L7" i="26"/>
  <c r="K7" i="26"/>
  <c r="Q6" i="26"/>
  <c r="P6" i="26"/>
  <c r="N6" i="26"/>
  <c r="M6" i="26"/>
  <c r="L6" i="26"/>
  <c r="K6" i="26"/>
  <c r="K36" i="26" s="1"/>
  <c r="H6" i="26"/>
  <c r="Q5" i="26"/>
  <c r="Q36" i="26" s="1"/>
  <c r="P5" i="26"/>
  <c r="P36" i="26" s="1"/>
  <c r="O5" i="26"/>
  <c r="N5" i="26"/>
  <c r="M5" i="26"/>
  <c r="L5" i="26"/>
  <c r="R5" i="26" s="1"/>
  <c r="K5" i="26"/>
  <c r="K5" i="29" l="1"/>
  <c r="K36" i="29" s="1"/>
  <c r="A1" i="29" s="1"/>
  <c r="S38" i="28"/>
  <c r="S39" i="28" s="1"/>
  <c r="A1" i="28" s="1"/>
  <c r="L38" i="28"/>
  <c r="R5" i="27"/>
  <c r="R36" i="27" s="1"/>
  <c r="A1" i="27" s="1"/>
  <c r="K36" i="27"/>
  <c r="O6" i="26"/>
  <c r="R6" i="26"/>
  <c r="H7" i="26"/>
  <c r="O7" i="26" l="1"/>
  <c r="R7" i="26" s="1"/>
  <c r="H8" i="26"/>
  <c r="H9" i="26" l="1"/>
  <c r="O8" i="26"/>
  <c r="R8" i="26" l="1"/>
  <c r="H10" i="26"/>
  <c r="O9" i="26"/>
  <c r="R9" i="26" s="1"/>
  <c r="H11" i="26" l="1"/>
  <c r="O10" i="26"/>
  <c r="R10" i="26" s="1"/>
  <c r="H12" i="26" l="1"/>
  <c r="O11" i="26"/>
  <c r="R11" i="26" s="1"/>
  <c r="H13" i="26" l="1"/>
  <c r="O12" i="26"/>
  <c r="R12" i="26" s="1"/>
  <c r="H14" i="26" l="1"/>
  <c r="O13" i="26"/>
  <c r="R13" i="26" s="1"/>
  <c r="H15" i="26" l="1"/>
  <c r="O14" i="26"/>
  <c r="R14" i="26" s="1"/>
  <c r="H16" i="26" l="1"/>
  <c r="O15" i="26"/>
  <c r="R15" i="26" s="1"/>
  <c r="O16" i="26" l="1"/>
  <c r="R16" i="26" s="1"/>
  <c r="H17" i="26"/>
  <c r="H18" i="26" l="1"/>
  <c r="O17" i="26"/>
  <c r="R17" i="26" s="1"/>
  <c r="H19" i="26" l="1"/>
  <c r="O18" i="26"/>
  <c r="R18" i="26" s="1"/>
  <c r="H20" i="26" l="1"/>
  <c r="O19" i="26"/>
  <c r="R19" i="26" s="1"/>
  <c r="O20" i="26" l="1"/>
  <c r="R20" i="26" s="1"/>
  <c r="H21" i="26"/>
  <c r="H22" i="26" l="1"/>
  <c r="O21" i="26"/>
  <c r="R21" i="26" s="1"/>
  <c r="O22" i="26" l="1"/>
  <c r="R22" i="26" s="1"/>
  <c r="H23" i="26"/>
  <c r="O23" i="26" l="1"/>
  <c r="R23" i="26" s="1"/>
  <c r="H24" i="26"/>
  <c r="H25" i="26" l="1"/>
  <c r="O24" i="26"/>
  <c r="R24" i="26" s="1"/>
  <c r="O25" i="26" l="1"/>
  <c r="R25" i="26" s="1"/>
  <c r="H26" i="26"/>
  <c r="H27" i="26" l="1"/>
  <c r="O26" i="26"/>
  <c r="R26" i="26" s="1"/>
  <c r="O27" i="26" l="1"/>
  <c r="R27" i="26" s="1"/>
  <c r="H28" i="26"/>
  <c r="H29" i="26" l="1"/>
  <c r="O28" i="26"/>
  <c r="R28" i="26" s="1"/>
  <c r="H30" i="26" l="1"/>
  <c r="O29" i="26"/>
  <c r="R29" i="26" s="1"/>
  <c r="O30" i="26" l="1"/>
  <c r="R30" i="26" s="1"/>
  <c r="H31" i="26"/>
  <c r="H32" i="26" l="1"/>
  <c r="O31" i="26"/>
  <c r="R31" i="26" s="1"/>
  <c r="H33" i="26" l="1"/>
  <c r="O32" i="26"/>
  <c r="R32" i="26" s="1"/>
  <c r="O33" i="26" l="1"/>
  <c r="H36" i="26"/>
  <c r="R33" i="26" l="1"/>
  <c r="R36" i="26" s="1"/>
  <c r="A1" i="26" s="1"/>
  <c r="O36" i="26"/>
  <c r="H36" i="25" l="1"/>
  <c r="G36" i="25"/>
  <c r="E36" i="25"/>
  <c r="D36" i="25"/>
  <c r="M35" i="25"/>
  <c r="L35" i="25"/>
  <c r="K35" i="25"/>
  <c r="N35" i="25" s="1"/>
  <c r="J35" i="25"/>
  <c r="I35" i="25"/>
  <c r="M34" i="25"/>
  <c r="L34" i="25"/>
  <c r="J34" i="25"/>
  <c r="I34" i="25"/>
  <c r="N34" i="25" s="1"/>
  <c r="M33" i="25"/>
  <c r="L33" i="25"/>
  <c r="J33" i="25"/>
  <c r="I33" i="25"/>
  <c r="F33" i="25"/>
  <c r="F34" i="25" s="1"/>
  <c r="K34" i="25" s="1"/>
  <c r="M32" i="25"/>
  <c r="L32" i="25"/>
  <c r="J32" i="25"/>
  <c r="I32" i="25"/>
  <c r="F32" i="25"/>
  <c r="K32" i="25" s="1"/>
  <c r="M31" i="25"/>
  <c r="L31" i="25"/>
  <c r="K31" i="25"/>
  <c r="J31" i="25"/>
  <c r="I31" i="25"/>
  <c r="N31" i="25" s="1"/>
  <c r="M30" i="25"/>
  <c r="L30" i="25"/>
  <c r="J30" i="25"/>
  <c r="I30" i="25"/>
  <c r="M29" i="25"/>
  <c r="L29" i="25"/>
  <c r="J29" i="25"/>
  <c r="I29" i="25"/>
  <c r="M28" i="25"/>
  <c r="L28" i="25"/>
  <c r="J28" i="25"/>
  <c r="I28" i="25"/>
  <c r="M27" i="25"/>
  <c r="L27" i="25"/>
  <c r="J27" i="25"/>
  <c r="I27" i="25"/>
  <c r="M26" i="25"/>
  <c r="L26" i="25"/>
  <c r="J26" i="25"/>
  <c r="I26" i="25"/>
  <c r="M25" i="25"/>
  <c r="L25" i="25"/>
  <c r="J25" i="25"/>
  <c r="I25" i="25"/>
  <c r="M24" i="25"/>
  <c r="L24" i="25"/>
  <c r="J24" i="25"/>
  <c r="I24" i="25"/>
  <c r="M23" i="25"/>
  <c r="L23" i="25"/>
  <c r="J23" i="25"/>
  <c r="I23" i="25"/>
  <c r="M22" i="25"/>
  <c r="L22" i="25"/>
  <c r="J22" i="25"/>
  <c r="I22" i="25"/>
  <c r="M21" i="25"/>
  <c r="L21" i="25"/>
  <c r="J21" i="25"/>
  <c r="I21" i="25"/>
  <c r="M20" i="25"/>
  <c r="L20" i="25"/>
  <c r="J20" i="25"/>
  <c r="I20" i="25"/>
  <c r="M19" i="25"/>
  <c r="L19" i="25"/>
  <c r="J19" i="25"/>
  <c r="I19" i="25"/>
  <c r="M18" i="25"/>
  <c r="L18" i="25"/>
  <c r="J18" i="25"/>
  <c r="I18" i="25"/>
  <c r="M17" i="25"/>
  <c r="L17" i="25"/>
  <c r="J17" i="25"/>
  <c r="I17" i="25"/>
  <c r="M16" i="25"/>
  <c r="L16" i="25"/>
  <c r="J16" i="25"/>
  <c r="I16" i="25"/>
  <c r="M15" i="25"/>
  <c r="L15" i="25"/>
  <c r="J15" i="25"/>
  <c r="I15" i="25"/>
  <c r="M14" i="25"/>
  <c r="L14" i="25"/>
  <c r="J14" i="25"/>
  <c r="I14" i="25"/>
  <c r="M13" i="25"/>
  <c r="L13" i="25"/>
  <c r="J13" i="25"/>
  <c r="I13" i="25"/>
  <c r="M12" i="25"/>
  <c r="L12" i="25"/>
  <c r="J12" i="25"/>
  <c r="I12" i="25"/>
  <c r="M11" i="25"/>
  <c r="L11" i="25"/>
  <c r="J11" i="25"/>
  <c r="I11" i="25"/>
  <c r="M10" i="25"/>
  <c r="L10" i="25"/>
  <c r="J10" i="25"/>
  <c r="I10" i="25"/>
  <c r="M9" i="25"/>
  <c r="L9" i="25"/>
  <c r="J9" i="25"/>
  <c r="I9" i="25"/>
  <c r="M8" i="25"/>
  <c r="L8" i="25"/>
  <c r="J8" i="25"/>
  <c r="I8" i="25"/>
  <c r="M7" i="25"/>
  <c r="L7" i="25"/>
  <c r="J7" i="25"/>
  <c r="I7" i="25"/>
  <c r="M6" i="25"/>
  <c r="L6" i="25"/>
  <c r="J6" i="25"/>
  <c r="I6" i="25"/>
  <c r="F6" i="25"/>
  <c r="F7" i="25" s="1"/>
  <c r="M5" i="25"/>
  <c r="M36" i="25" s="1"/>
  <c r="L5" i="25"/>
  <c r="L36" i="25" s="1"/>
  <c r="K5" i="25"/>
  <c r="J5" i="25"/>
  <c r="J36" i="25" s="1"/>
  <c r="I5" i="25"/>
  <c r="A2" i="25"/>
  <c r="H36" i="24"/>
  <c r="G36" i="24"/>
  <c r="E36" i="24"/>
  <c r="D36" i="24"/>
  <c r="M35" i="24"/>
  <c r="L35" i="24"/>
  <c r="K35" i="24"/>
  <c r="N35" i="24" s="1"/>
  <c r="J35" i="24"/>
  <c r="I35" i="24"/>
  <c r="M34" i="24"/>
  <c r="L34" i="24"/>
  <c r="K34" i="24"/>
  <c r="J34" i="24"/>
  <c r="I34" i="24"/>
  <c r="N34" i="24" s="1"/>
  <c r="M33" i="24"/>
  <c r="L33" i="24"/>
  <c r="J33" i="24"/>
  <c r="I33" i="24"/>
  <c r="M32" i="24"/>
  <c r="L32" i="24"/>
  <c r="J32" i="24"/>
  <c r="I32" i="24"/>
  <c r="M31" i="24"/>
  <c r="L31" i="24"/>
  <c r="J31" i="24"/>
  <c r="I31" i="24"/>
  <c r="M30" i="24"/>
  <c r="L30" i="24"/>
  <c r="J30" i="24"/>
  <c r="I30" i="24"/>
  <c r="M29" i="24"/>
  <c r="L29" i="24"/>
  <c r="J29" i="24"/>
  <c r="I29" i="24"/>
  <c r="M28" i="24"/>
  <c r="L28" i="24"/>
  <c r="J28" i="24"/>
  <c r="I28" i="24"/>
  <c r="M27" i="24"/>
  <c r="L27" i="24"/>
  <c r="J27" i="24"/>
  <c r="I27" i="24"/>
  <c r="M26" i="24"/>
  <c r="L26" i="24"/>
  <c r="J26" i="24"/>
  <c r="I26" i="24"/>
  <c r="M25" i="24"/>
  <c r="L25" i="24"/>
  <c r="J25" i="24"/>
  <c r="I25" i="24"/>
  <c r="M24" i="24"/>
  <c r="L24" i="24"/>
  <c r="J24" i="24"/>
  <c r="I24" i="24"/>
  <c r="M23" i="24"/>
  <c r="L23" i="24"/>
  <c r="J23" i="24"/>
  <c r="I23" i="24"/>
  <c r="M22" i="24"/>
  <c r="L22" i="24"/>
  <c r="J22" i="24"/>
  <c r="I22" i="24"/>
  <c r="M21" i="24"/>
  <c r="L21" i="24"/>
  <c r="J21" i="24"/>
  <c r="I21" i="24"/>
  <c r="M20" i="24"/>
  <c r="L20" i="24"/>
  <c r="J20" i="24"/>
  <c r="I20" i="24"/>
  <c r="M19" i="24"/>
  <c r="L19" i="24"/>
  <c r="J19" i="24"/>
  <c r="I19" i="24"/>
  <c r="M18" i="24"/>
  <c r="L18" i="24"/>
  <c r="J18" i="24"/>
  <c r="I18" i="24"/>
  <c r="M17" i="24"/>
  <c r="L17" i="24"/>
  <c r="J17" i="24"/>
  <c r="I17" i="24"/>
  <c r="M16" i="24"/>
  <c r="L16" i="24"/>
  <c r="J16" i="24"/>
  <c r="I16" i="24"/>
  <c r="M15" i="24"/>
  <c r="L15" i="24"/>
  <c r="J15" i="24"/>
  <c r="I15" i="24"/>
  <c r="M14" i="24"/>
  <c r="L14" i="24"/>
  <c r="J14" i="24"/>
  <c r="I14" i="24"/>
  <c r="M13" i="24"/>
  <c r="L13" i="24"/>
  <c r="J13" i="24"/>
  <c r="I13" i="24"/>
  <c r="M12" i="24"/>
  <c r="L12" i="24"/>
  <c r="J12" i="24"/>
  <c r="I12" i="24"/>
  <c r="M11" i="24"/>
  <c r="L11" i="24"/>
  <c r="J11" i="24"/>
  <c r="I11" i="24"/>
  <c r="M10" i="24"/>
  <c r="L10" i="24"/>
  <c r="J10" i="24"/>
  <c r="I10" i="24"/>
  <c r="M9" i="24"/>
  <c r="L9" i="24"/>
  <c r="J9" i="24"/>
  <c r="I9" i="24"/>
  <c r="M8" i="24"/>
  <c r="L8" i="24"/>
  <c r="J8" i="24"/>
  <c r="I8" i="24"/>
  <c r="M7" i="24"/>
  <c r="L7" i="24"/>
  <c r="J7" i="24"/>
  <c r="I7" i="24"/>
  <c r="M6" i="24"/>
  <c r="L6" i="24"/>
  <c r="J6" i="24"/>
  <c r="I6" i="24"/>
  <c r="F6" i="24"/>
  <c r="F7" i="24" s="1"/>
  <c r="M5" i="24"/>
  <c r="M36" i="24" s="1"/>
  <c r="L5" i="24"/>
  <c r="L36" i="24" s="1"/>
  <c r="K5" i="24"/>
  <c r="J5" i="24"/>
  <c r="J36" i="24" s="1"/>
  <c r="I5" i="24"/>
  <c r="I36" i="24" s="1"/>
  <c r="A2" i="24"/>
  <c r="H36" i="23"/>
  <c r="G36" i="23"/>
  <c r="E36" i="23"/>
  <c r="D36" i="23"/>
  <c r="M35" i="23"/>
  <c r="L35" i="23"/>
  <c r="K35" i="23"/>
  <c r="N35" i="23" s="1"/>
  <c r="J35" i="23"/>
  <c r="I35" i="23"/>
  <c r="M34" i="23"/>
  <c r="L34" i="23"/>
  <c r="K34" i="23"/>
  <c r="J34" i="23"/>
  <c r="I34" i="23"/>
  <c r="N34" i="23" s="1"/>
  <c r="M33" i="23"/>
  <c r="L33" i="23"/>
  <c r="J33" i="23"/>
  <c r="I33" i="23"/>
  <c r="M32" i="23"/>
  <c r="L32" i="23"/>
  <c r="J32" i="23"/>
  <c r="I32" i="23"/>
  <c r="M31" i="23"/>
  <c r="L31" i="23"/>
  <c r="J31" i="23"/>
  <c r="I31" i="23"/>
  <c r="M30" i="23"/>
  <c r="L30" i="23"/>
  <c r="J30" i="23"/>
  <c r="I30" i="23"/>
  <c r="M29" i="23"/>
  <c r="L29" i="23"/>
  <c r="J29" i="23"/>
  <c r="I29" i="23"/>
  <c r="M28" i="23"/>
  <c r="L28" i="23"/>
  <c r="J28" i="23"/>
  <c r="I28" i="23"/>
  <c r="M27" i="23"/>
  <c r="L27" i="23"/>
  <c r="J27" i="23"/>
  <c r="I27" i="23"/>
  <c r="M26" i="23"/>
  <c r="L26" i="23"/>
  <c r="J26" i="23"/>
  <c r="I26" i="23"/>
  <c r="M25" i="23"/>
  <c r="L25" i="23"/>
  <c r="J25" i="23"/>
  <c r="I25" i="23"/>
  <c r="M24" i="23"/>
  <c r="L24" i="23"/>
  <c r="J24" i="23"/>
  <c r="I24" i="23"/>
  <c r="M23" i="23"/>
  <c r="L23" i="23"/>
  <c r="J23" i="23"/>
  <c r="I23" i="23"/>
  <c r="M22" i="23"/>
  <c r="L22" i="23"/>
  <c r="J22" i="23"/>
  <c r="I22" i="23"/>
  <c r="M21" i="23"/>
  <c r="L21" i="23"/>
  <c r="J21" i="23"/>
  <c r="I21" i="23"/>
  <c r="M20" i="23"/>
  <c r="L20" i="23"/>
  <c r="J20" i="23"/>
  <c r="I20" i="23"/>
  <c r="M19" i="23"/>
  <c r="L19" i="23"/>
  <c r="J19" i="23"/>
  <c r="I19" i="23"/>
  <c r="M18" i="23"/>
  <c r="L18" i="23"/>
  <c r="J18" i="23"/>
  <c r="I18" i="23"/>
  <c r="M17" i="23"/>
  <c r="L17" i="23"/>
  <c r="J17" i="23"/>
  <c r="I17" i="23"/>
  <c r="M16" i="23"/>
  <c r="L16" i="23"/>
  <c r="J16" i="23"/>
  <c r="I16" i="23"/>
  <c r="M15" i="23"/>
  <c r="L15" i="23"/>
  <c r="J15" i="23"/>
  <c r="I15" i="23"/>
  <c r="M14" i="23"/>
  <c r="L14" i="23"/>
  <c r="J14" i="23"/>
  <c r="I14" i="23"/>
  <c r="M13" i="23"/>
  <c r="L13" i="23"/>
  <c r="J13" i="23"/>
  <c r="I13" i="23"/>
  <c r="M12" i="23"/>
  <c r="L12" i="23"/>
  <c r="J12" i="23"/>
  <c r="I12" i="23"/>
  <c r="M11" i="23"/>
  <c r="L11" i="23"/>
  <c r="J11" i="23"/>
  <c r="I11" i="23"/>
  <c r="M10" i="23"/>
  <c r="L10" i="23"/>
  <c r="J10" i="23"/>
  <c r="I10" i="23"/>
  <c r="M9" i="23"/>
  <c r="L9" i="23"/>
  <c r="J9" i="23"/>
  <c r="I9" i="23"/>
  <c r="M8" i="23"/>
  <c r="L8" i="23"/>
  <c r="J8" i="23"/>
  <c r="I8" i="23"/>
  <c r="M7" i="23"/>
  <c r="L7" i="23"/>
  <c r="J7" i="23"/>
  <c r="I7" i="23"/>
  <c r="M6" i="23"/>
  <c r="L6" i="23"/>
  <c r="J6" i="23"/>
  <c r="I6" i="23"/>
  <c r="F6" i="23"/>
  <c r="F7" i="23" s="1"/>
  <c r="M5" i="23"/>
  <c r="M36" i="23" s="1"/>
  <c r="L5" i="23"/>
  <c r="L36" i="23" s="1"/>
  <c r="K5" i="23"/>
  <c r="J5" i="23"/>
  <c r="J36" i="23" s="1"/>
  <c r="I5" i="23"/>
  <c r="I36" i="23" s="1"/>
  <c r="A2" i="23"/>
  <c r="H36" i="22"/>
  <c r="G36" i="22"/>
  <c r="E36" i="22"/>
  <c r="D36" i="22"/>
  <c r="M35" i="22"/>
  <c r="L35" i="22"/>
  <c r="K35" i="22"/>
  <c r="N35" i="22" s="1"/>
  <c r="J35" i="22"/>
  <c r="I35" i="22"/>
  <c r="M34" i="22"/>
  <c r="L34" i="22"/>
  <c r="J34" i="22"/>
  <c r="I34" i="22"/>
  <c r="M33" i="22"/>
  <c r="L33" i="22"/>
  <c r="J33" i="22"/>
  <c r="I33" i="22"/>
  <c r="M32" i="22"/>
  <c r="L32" i="22"/>
  <c r="J32" i="22"/>
  <c r="I32" i="22"/>
  <c r="M31" i="22"/>
  <c r="L31" i="22"/>
  <c r="J31" i="22"/>
  <c r="I31" i="22"/>
  <c r="M30" i="22"/>
  <c r="L30" i="22"/>
  <c r="J30" i="22"/>
  <c r="I30" i="22"/>
  <c r="M29" i="22"/>
  <c r="L29" i="22"/>
  <c r="J29" i="22"/>
  <c r="I29" i="22"/>
  <c r="M28" i="22"/>
  <c r="L28" i="22"/>
  <c r="J28" i="22"/>
  <c r="I28" i="22"/>
  <c r="M27" i="22"/>
  <c r="L27" i="22"/>
  <c r="J27" i="22"/>
  <c r="I27" i="22"/>
  <c r="M26" i="22"/>
  <c r="L26" i="22"/>
  <c r="J26" i="22"/>
  <c r="I26" i="22"/>
  <c r="M25" i="22"/>
  <c r="L25" i="22"/>
  <c r="J25" i="22"/>
  <c r="I25" i="22"/>
  <c r="M24" i="22"/>
  <c r="L24" i="22"/>
  <c r="J24" i="22"/>
  <c r="I24" i="22"/>
  <c r="M23" i="22"/>
  <c r="L23" i="22"/>
  <c r="J23" i="22"/>
  <c r="I23" i="22"/>
  <c r="M22" i="22"/>
  <c r="L22" i="22"/>
  <c r="J22" i="22"/>
  <c r="I22" i="22"/>
  <c r="M21" i="22"/>
  <c r="L21" i="22"/>
  <c r="J21" i="22"/>
  <c r="I21" i="22"/>
  <c r="M20" i="22"/>
  <c r="L20" i="22"/>
  <c r="J20" i="22"/>
  <c r="I20" i="22"/>
  <c r="M19" i="22"/>
  <c r="L19" i="22"/>
  <c r="J19" i="22"/>
  <c r="I19" i="22"/>
  <c r="M18" i="22"/>
  <c r="L18" i="22"/>
  <c r="J18" i="22"/>
  <c r="I18" i="22"/>
  <c r="M17" i="22"/>
  <c r="L17" i="22"/>
  <c r="J17" i="22"/>
  <c r="I17" i="22"/>
  <c r="M16" i="22"/>
  <c r="L16" i="22"/>
  <c r="J16" i="22"/>
  <c r="I16" i="22"/>
  <c r="M15" i="22"/>
  <c r="L15" i="22"/>
  <c r="J15" i="22"/>
  <c r="I15" i="22"/>
  <c r="M14" i="22"/>
  <c r="L14" i="22"/>
  <c r="J14" i="22"/>
  <c r="I14" i="22"/>
  <c r="M13" i="22"/>
  <c r="L13" i="22"/>
  <c r="J13" i="22"/>
  <c r="I13" i="22"/>
  <c r="M12" i="22"/>
  <c r="L12" i="22"/>
  <c r="J12" i="22"/>
  <c r="I12" i="22"/>
  <c r="M11" i="22"/>
  <c r="L11" i="22"/>
  <c r="J11" i="22"/>
  <c r="I11" i="22"/>
  <c r="M10" i="22"/>
  <c r="L10" i="22"/>
  <c r="J10" i="22"/>
  <c r="I10" i="22"/>
  <c r="M9" i="22"/>
  <c r="L9" i="22"/>
  <c r="J9" i="22"/>
  <c r="I9" i="22"/>
  <c r="M8" i="22"/>
  <c r="L8" i="22"/>
  <c r="J8" i="22"/>
  <c r="I8" i="22"/>
  <c r="M7" i="22"/>
  <c r="L7" i="22"/>
  <c r="J7" i="22"/>
  <c r="I7" i="22"/>
  <c r="M6" i="22"/>
  <c r="L6" i="22"/>
  <c r="K6" i="22"/>
  <c r="N6" i="22" s="1"/>
  <c r="J6" i="22"/>
  <c r="I6" i="22"/>
  <c r="I36" i="22" s="1"/>
  <c r="F6" i="22"/>
  <c r="F7" i="22" s="1"/>
  <c r="M5" i="22"/>
  <c r="M36" i="22" s="1"/>
  <c r="L5" i="22"/>
  <c r="L36" i="22" s="1"/>
  <c r="K5" i="22"/>
  <c r="J5" i="22"/>
  <c r="J36" i="22" s="1"/>
  <c r="I5" i="22"/>
  <c r="A2" i="22"/>
  <c r="H36" i="21"/>
  <c r="G36" i="21"/>
  <c r="E36" i="21"/>
  <c r="D36" i="21"/>
  <c r="N35" i="21"/>
  <c r="M35" i="21"/>
  <c r="L35" i="21"/>
  <c r="K35" i="21"/>
  <c r="J35" i="21"/>
  <c r="I35" i="21"/>
  <c r="M34" i="21"/>
  <c r="L34" i="21"/>
  <c r="J34" i="21"/>
  <c r="I34" i="21"/>
  <c r="M33" i="21"/>
  <c r="L33" i="21"/>
  <c r="J33" i="21"/>
  <c r="I33" i="21"/>
  <c r="M32" i="21"/>
  <c r="L32" i="21"/>
  <c r="J32" i="21"/>
  <c r="I32" i="21"/>
  <c r="M31" i="21"/>
  <c r="L31" i="21"/>
  <c r="J31" i="21"/>
  <c r="I31" i="21"/>
  <c r="M30" i="21"/>
  <c r="L30" i="21"/>
  <c r="J30" i="21"/>
  <c r="I30" i="21"/>
  <c r="M29" i="21"/>
  <c r="L29" i="21"/>
  <c r="J29" i="21"/>
  <c r="I29" i="21"/>
  <c r="M28" i="21"/>
  <c r="L28" i="21"/>
  <c r="J28" i="21"/>
  <c r="I28" i="21"/>
  <c r="M27" i="21"/>
  <c r="L27" i="21"/>
  <c r="J27" i="21"/>
  <c r="I27" i="21"/>
  <c r="M26" i="21"/>
  <c r="L26" i="21"/>
  <c r="J26" i="21"/>
  <c r="I26" i="21"/>
  <c r="M25" i="21"/>
  <c r="L25" i="21"/>
  <c r="J25" i="21"/>
  <c r="I25" i="21"/>
  <c r="M24" i="21"/>
  <c r="L24" i="21"/>
  <c r="J24" i="21"/>
  <c r="I24" i="21"/>
  <c r="M23" i="21"/>
  <c r="L23" i="21"/>
  <c r="J23" i="21"/>
  <c r="I23" i="21"/>
  <c r="M22" i="21"/>
  <c r="L22" i="21"/>
  <c r="J22" i="21"/>
  <c r="I22" i="21"/>
  <c r="M21" i="21"/>
  <c r="L21" i="21"/>
  <c r="J21" i="21"/>
  <c r="I21" i="21"/>
  <c r="M20" i="21"/>
  <c r="L20" i="21"/>
  <c r="J20" i="21"/>
  <c r="I20" i="21"/>
  <c r="M19" i="21"/>
  <c r="L19" i="21"/>
  <c r="J19" i="21"/>
  <c r="I19" i="21"/>
  <c r="M18" i="21"/>
  <c r="L18" i="21"/>
  <c r="J18" i="21"/>
  <c r="I18" i="21"/>
  <c r="M17" i="21"/>
  <c r="L17" i="21"/>
  <c r="J17" i="21"/>
  <c r="I17" i="21"/>
  <c r="M16" i="21"/>
  <c r="L16" i="21"/>
  <c r="J16" i="21"/>
  <c r="I16" i="21"/>
  <c r="M15" i="21"/>
  <c r="L15" i="21"/>
  <c r="J15" i="21"/>
  <c r="I15" i="21"/>
  <c r="M14" i="21"/>
  <c r="L14" i="21"/>
  <c r="J14" i="21"/>
  <c r="I14" i="21"/>
  <c r="M13" i="21"/>
  <c r="L13" i="21"/>
  <c r="J13" i="21"/>
  <c r="I13" i="21"/>
  <c r="M12" i="21"/>
  <c r="L12" i="21"/>
  <c r="J12" i="21"/>
  <c r="I12" i="21"/>
  <c r="M11" i="21"/>
  <c r="L11" i="21"/>
  <c r="J11" i="21"/>
  <c r="I11" i="21"/>
  <c r="M10" i="21"/>
  <c r="L10" i="21"/>
  <c r="L36" i="21" s="1"/>
  <c r="J10" i="21"/>
  <c r="I10" i="21"/>
  <c r="M9" i="21"/>
  <c r="L9" i="21"/>
  <c r="J9" i="21"/>
  <c r="I9" i="21"/>
  <c r="M8" i="21"/>
  <c r="L8" i="21"/>
  <c r="J8" i="21"/>
  <c r="I8" i="21"/>
  <c r="M7" i="21"/>
  <c r="L7" i="21"/>
  <c r="J7" i="21"/>
  <c r="J36" i="21" s="1"/>
  <c r="I7" i="21"/>
  <c r="M6" i="21"/>
  <c r="L6" i="21"/>
  <c r="J6" i="21"/>
  <c r="I6" i="21"/>
  <c r="I36" i="21" s="1"/>
  <c r="F6" i="21"/>
  <c r="F7" i="21" s="1"/>
  <c r="M5" i="21"/>
  <c r="M36" i="21" s="1"/>
  <c r="L5" i="21"/>
  <c r="K5" i="21"/>
  <c r="J5" i="21"/>
  <c r="I5" i="21"/>
  <c r="A2" i="21"/>
  <c r="N32" i="25" l="1"/>
  <c r="K7" i="25"/>
  <c r="N7" i="25" s="1"/>
  <c r="F8" i="25"/>
  <c r="N5" i="25"/>
  <c r="K33" i="25"/>
  <c r="N33" i="25" s="1"/>
  <c r="K6" i="25"/>
  <c r="N6" i="25" s="1"/>
  <c r="I36" i="25"/>
  <c r="K7" i="24"/>
  <c r="N7" i="24" s="1"/>
  <c r="F8" i="24"/>
  <c r="N5" i="24"/>
  <c r="K6" i="24"/>
  <c r="K7" i="23"/>
  <c r="N7" i="23" s="1"/>
  <c r="F8" i="23"/>
  <c r="N5" i="23"/>
  <c r="K6" i="23"/>
  <c r="K7" i="22"/>
  <c r="N7" i="22" s="1"/>
  <c r="F8" i="22"/>
  <c r="N5" i="22"/>
  <c r="K7" i="21"/>
  <c r="N7" i="21" s="1"/>
  <c r="F8" i="21"/>
  <c r="N5" i="21"/>
  <c r="K6" i="21"/>
  <c r="N6" i="21"/>
  <c r="F9" i="25" l="1"/>
  <c r="K8" i="25"/>
  <c r="N6" i="24"/>
  <c r="F9" i="24"/>
  <c r="K8" i="24"/>
  <c r="N8" i="24" s="1"/>
  <c r="N6" i="23"/>
  <c r="F9" i="23"/>
  <c r="K8" i="23"/>
  <c r="N8" i="23" s="1"/>
  <c r="F9" i="22"/>
  <c r="K8" i="22"/>
  <c r="F9" i="21"/>
  <c r="K8" i="21"/>
  <c r="N8" i="25" l="1"/>
  <c r="K9" i="25"/>
  <c r="N9" i="25" s="1"/>
  <c r="F10" i="25"/>
  <c r="K9" i="24"/>
  <c r="N9" i="24" s="1"/>
  <c r="F10" i="24"/>
  <c r="K9" i="23"/>
  <c r="N9" i="23" s="1"/>
  <c r="F10" i="23"/>
  <c r="F10" i="22"/>
  <c r="K9" i="22"/>
  <c r="N9" i="22" s="1"/>
  <c r="N8" i="22"/>
  <c r="N8" i="21"/>
  <c r="F10" i="21"/>
  <c r="K9" i="21"/>
  <c r="N9" i="21" s="1"/>
  <c r="F11" i="25" l="1"/>
  <c r="K10" i="25"/>
  <c r="N10" i="25" s="1"/>
  <c r="F11" i="24"/>
  <c r="K10" i="24"/>
  <c r="N10" i="24" s="1"/>
  <c r="F11" i="23"/>
  <c r="K10" i="23"/>
  <c r="N10" i="23" s="1"/>
  <c r="F11" i="22"/>
  <c r="K10" i="22"/>
  <c r="F11" i="21"/>
  <c r="K10" i="21"/>
  <c r="N10" i="21" s="1"/>
  <c r="F12" i="25" l="1"/>
  <c r="K11" i="25"/>
  <c r="N11" i="25" s="1"/>
  <c r="F12" i="24"/>
  <c r="K11" i="24"/>
  <c r="N11" i="24" s="1"/>
  <c r="F12" i="23"/>
  <c r="K11" i="23"/>
  <c r="N11" i="23" s="1"/>
  <c r="N10" i="22"/>
  <c r="F12" i="22"/>
  <c r="K11" i="22"/>
  <c r="N11" i="22" s="1"/>
  <c r="F12" i="21"/>
  <c r="K11" i="21"/>
  <c r="N11" i="21" s="1"/>
  <c r="F13" i="25" l="1"/>
  <c r="K12" i="25"/>
  <c r="N12" i="25" s="1"/>
  <c r="F13" i="24"/>
  <c r="K12" i="24"/>
  <c r="N12" i="24" s="1"/>
  <c r="F13" i="23"/>
  <c r="K12" i="23"/>
  <c r="N12" i="23" s="1"/>
  <c r="K12" i="22"/>
  <c r="N12" i="22" s="1"/>
  <c r="F13" i="22"/>
  <c r="F13" i="21"/>
  <c r="K12" i="21"/>
  <c r="N12" i="21" s="1"/>
  <c r="F14" i="25" l="1"/>
  <c r="K13" i="25"/>
  <c r="N13" i="25" s="1"/>
  <c r="F14" i="24"/>
  <c r="K13" i="24"/>
  <c r="N13" i="24" s="1"/>
  <c r="F14" i="23"/>
  <c r="K13" i="23"/>
  <c r="N13" i="23" s="1"/>
  <c r="F14" i="22"/>
  <c r="K13" i="22"/>
  <c r="N13" i="22" s="1"/>
  <c r="F14" i="21"/>
  <c r="K13" i="21"/>
  <c r="N13" i="21" s="1"/>
  <c r="K14" i="25" l="1"/>
  <c r="N14" i="25" s="1"/>
  <c r="F15" i="25"/>
  <c r="K14" i="24"/>
  <c r="N14" i="24" s="1"/>
  <c r="F15" i="24"/>
  <c r="K14" i="23"/>
  <c r="N14" i="23" s="1"/>
  <c r="F15" i="23"/>
  <c r="K14" i="22"/>
  <c r="N14" i="22" s="1"/>
  <c r="F15" i="22"/>
  <c r="K14" i="21"/>
  <c r="N14" i="21" s="1"/>
  <c r="F15" i="21"/>
  <c r="F16" i="25" l="1"/>
  <c r="K15" i="25"/>
  <c r="N15" i="25" s="1"/>
  <c r="F16" i="24"/>
  <c r="K15" i="24"/>
  <c r="N15" i="24" s="1"/>
  <c r="F16" i="23"/>
  <c r="K15" i="23"/>
  <c r="N15" i="23" s="1"/>
  <c r="F16" i="22"/>
  <c r="K15" i="22"/>
  <c r="N15" i="22" s="1"/>
  <c r="F16" i="21"/>
  <c r="K15" i="21"/>
  <c r="N15" i="21" s="1"/>
  <c r="K16" i="25" l="1"/>
  <c r="N16" i="25" s="1"/>
  <c r="F17" i="25"/>
  <c r="K16" i="24"/>
  <c r="N16" i="24" s="1"/>
  <c r="F17" i="24"/>
  <c r="K16" i="23"/>
  <c r="N16" i="23" s="1"/>
  <c r="F17" i="23"/>
  <c r="K16" i="22"/>
  <c r="N16" i="22" s="1"/>
  <c r="F17" i="22"/>
  <c r="K16" i="21"/>
  <c r="N16" i="21" s="1"/>
  <c r="F17" i="21"/>
  <c r="F18" i="25" l="1"/>
  <c r="K17" i="25"/>
  <c r="N17" i="25" s="1"/>
  <c r="F18" i="24"/>
  <c r="K17" i="24"/>
  <c r="N17" i="24" s="1"/>
  <c r="F18" i="23"/>
  <c r="K17" i="23"/>
  <c r="N17" i="23" s="1"/>
  <c r="F18" i="22"/>
  <c r="K17" i="22"/>
  <c r="N17" i="22" s="1"/>
  <c r="F18" i="21"/>
  <c r="K17" i="21"/>
  <c r="N17" i="21" s="1"/>
  <c r="F19" i="25" l="1"/>
  <c r="K18" i="25"/>
  <c r="N18" i="25" s="1"/>
  <c r="F19" i="24"/>
  <c r="K18" i="24"/>
  <c r="N18" i="24" s="1"/>
  <c r="F19" i="23"/>
  <c r="K18" i="23"/>
  <c r="N18" i="23" s="1"/>
  <c r="F19" i="22"/>
  <c r="K18" i="22"/>
  <c r="N18" i="22" s="1"/>
  <c r="F19" i="21"/>
  <c r="K18" i="21"/>
  <c r="N18" i="21" s="1"/>
  <c r="F20" i="25" l="1"/>
  <c r="K19" i="25"/>
  <c r="N19" i="25" s="1"/>
  <c r="F20" i="24"/>
  <c r="K19" i="24"/>
  <c r="N19" i="24" s="1"/>
  <c r="F20" i="23"/>
  <c r="K19" i="23"/>
  <c r="N19" i="23" s="1"/>
  <c r="F20" i="22"/>
  <c r="K19" i="22"/>
  <c r="N19" i="22" s="1"/>
  <c r="F20" i="21"/>
  <c r="K19" i="21"/>
  <c r="N19" i="21" s="1"/>
  <c r="F21" i="25" l="1"/>
  <c r="K20" i="25"/>
  <c r="N20" i="25" s="1"/>
  <c r="F21" i="24"/>
  <c r="K20" i="24"/>
  <c r="N20" i="24" s="1"/>
  <c r="F21" i="23"/>
  <c r="K20" i="23"/>
  <c r="N20" i="23" s="1"/>
  <c r="F21" i="22"/>
  <c r="K20" i="22"/>
  <c r="N20" i="22" s="1"/>
  <c r="F21" i="21"/>
  <c r="K20" i="21"/>
  <c r="N20" i="21" s="1"/>
  <c r="K21" i="25" l="1"/>
  <c r="N21" i="25" s="1"/>
  <c r="F22" i="25"/>
  <c r="F22" i="24"/>
  <c r="K21" i="24"/>
  <c r="N21" i="24" s="1"/>
  <c r="F22" i="23"/>
  <c r="K21" i="23"/>
  <c r="N21" i="23" s="1"/>
  <c r="K21" i="22"/>
  <c r="N21" i="22" s="1"/>
  <c r="F22" i="22"/>
  <c r="K21" i="21"/>
  <c r="N21" i="21" s="1"/>
  <c r="F22" i="21"/>
  <c r="F23" i="25" l="1"/>
  <c r="K22" i="25"/>
  <c r="N22" i="25" s="1"/>
  <c r="F23" i="24"/>
  <c r="K22" i="24"/>
  <c r="N22" i="24" s="1"/>
  <c r="F23" i="23"/>
  <c r="K22" i="23"/>
  <c r="N22" i="23" s="1"/>
  <c r="F23" i="22"/>
  <c r="K22" i="22"/>
  <c r="N22" i="22" s="1"/>
  <c r="F23" i="21"/>
  <c r="K22" i="21"/>
  <c r="N22" i="21" s="1"/>
  <c r="K23" i="25" l="1"/>
  <c r="N23" i="25" s="1"/>
  <c r="F24" i="25"/>
  <c r="K23" i="24"/>
  <c r="N23" i="24" s="1"/>
  <c r="F24" i="24"/>
  <c r="K23" i="23"/>
  <c r="N23" i="23" s="1"/>
  <c r="F24" i="23"/>
  <c r="K23" i="22"/>
  <c r="N23" i="22" s="1"/>
  <c r="F24" i="22"/>
  <c r="K23" i="21"/>
  <c r="N23" i="21" s="1"/>
  <c r="F24" i="21"/>
  <c r="F25" i="25" l="1"/>
  <c r="K24" i="25"/>
  <c r="N24" i="25" s="1"/>
  <c r="F25" i="24"/>
  <c r="K24" i="24"/>
  <c r="N24" i="24" s="1"/>
  <c r="F25" i="23"/>
  <c r="K24" i="23"/>
  <c r="N24" i="23" s="1"/>
  <c r="F25" i="22"/>
  <c r="K24" i="22"/>
  <c r="N24" i="22" s="1"/>
  <c r="F25" i="21"/>
  <c r="K24" i="21"/>
  <c r="N24" i="21" s="1"/>
  <c r="K25" i="25" l="1"/>
  <c r="N25" i="25" s="1"/>
  <c r="F26" i="25"/>
  <c r="K25" i="24"/>
  <c r="N25" i="24" s="1"/>
  <c r="F26" i="24"/>
  <c r="K25" i="23"/>
  <c r="N25" i="23" s="1"/>
  <c r="F26" i="23"/>
  <c r="F26" i="22"/>
  <c r="K25" i="22"/>
  <c r="N25" i="22" s="1"/>
  <c r="F26" i="21"/>
  <c r="K25" i="21"/>
  <c r="N25" i="21" s="1"/>
  <c r="F27" i="25" l="1"/>
  <c r="K26" i="25"/>
  <c r="N26" i="25" s="1"/>
  <c r="F27" i="24"/>
  <c r="K26" i="24"/>
  <c r="N26" i="24" s="1"/>
  <c r="F27" i="23"/>
  <c r="K26" i="23"/>
  <c r="N26" i="23" s="1"/>
  <c r="F27" i="22"/>
  <c r="K26" i="22"/>
  <c r="N26" i="22" s="1"/>
  <c r="F27" i="21"/>
  <c r="K26" i="21"/>
  <c r="N26" i="21" s="1"/>
  <c r="F28" i="25" l="1"/>
  <c r="K27" i="25"/>
  <c r="N27" i="25" s="1"/>
  <c r="F28" i="24"/>
  <c r="K27" i="24"/>
  <c r="N27" i="24" s="1"/>
  <c r="F28" i="23"/>
  <c r="K27" i="23"/>
  <c r="N27" i="23" s="1"/>
  <c r="F28" i="22"/>
  <c r="K27" i="22"/>
  <c r="N27" i="22" s="1"/>
  <c r="F28" i="21"/>
  <c r="K27" i="21"/>
  <c r="N27" i="21" s="1"/>
  <c r="F29" i="25" l="1"/>
  <c r="K28" i="25"/>
  <c r="N28" i="25" s="1"/>
  <c r="F29" i="24"/>
  <c r="K28" i="24"/>
  <c r="N28" i="24" s="1"/>
  <c r="F29" i="23"/>
  <c r="K28" i="23"/>
  <c r="N28" i="23" s="1"/>
  <c r="K28" i="22"/>
  <c r="N28" i="22" s="1"/>
  <c r="F29" i="22"/>
  <c r="F29" i="21"/>
  <c r="K28" i="21"/>
  <c r="N28" i="21" s="1"/>
  <c r="F30" i="25" l="1"/>
  <c r="K29" i="25"/>
  <c r="N29" i="25" s="1"/>
  <c r="F30" i="24"/>
  <c r="K29" i="24"/>
  <c r="N29" i="24" s="1"/>
  <c r="F30" i="23"/>
  <c r="K29" i="23"/>
  <c r="N29" i="23" s="1"/>
  <c r="F30" i="22"/>
  <c r="K29" i="22"/>
  <c r="N29" i="22" s="1"/>
  <c r="F30" i="21"/>
  <c r="K29" i="21"/>
  <c r="N29" i="21" s="1"/>
  <c r="K30" i="25" l="1"/>
  <c r="F36" i="25"/>
  <c r="K30" i="24"/>
  <c r="N30" i="24" s="1"/>
  <c r="F31" i="24"/>
  <c r="K30" i="23"/>
  <c r="N30" i="23" s="1"/>
  <c r="F31" i="23"/>
  <c r="K30" i="22"/>
  <c r="N30" i="22" s="1"/>
  <c r="F31" i="22"/>
  <c r="K30" i="21"/>
  <c r="N30" i="21" s="1"/>
  <c r="F31" i="21"/>
  <c r="N30" i="25" l="1"/>
  <c r="N36" i="25" s="1"/>
  <c r="N37" i="25" s="1"/>
  <c r="A1" i="25" s="1"/>
  <c r="K36" i="25"/>
  <c r="F32" i="24"/>
  <c r="K31" i="24"/>
  <c r="N31" i="24" s="1"/>
  <c r="F32" i="23"/>
  <c r="K31" i="23"/>
  <c r="N31" i="23" s="1"/>
  <c r="F32" i="22"/>
  <c r="K31" i="22"/>
  <c r="N31" i="22" s="1"/>
  <c r="F32" i="21"/>
  <c r="K31" i="21"/>
  <c r="N31" i="21" s="1"/>
  <c r="K32" i="24" l="1"/>
  <c r="N32" i="24" s="1"/>
  <c r="F33" i="24"/>
  <c r="K32" i="23"/>
  <c r="N32" i="23" s="1"/>
  <c r="F33" i="23"/>
  <c r="K32" i="22"/>
  <c r="N32" i="22" s="1"/>
  <c r="F33" i="22"/>
  <c r="K32" i="21"/>
  <c r="N32" i="21" s="1"/>
  <c r="F33" i="21"/>
  <c r="K33" i="24" l="1"/>
  <c r="F36" i="24"/>
  <c r="K33" i="23"/>
  <c r="F36" i="23"/>
  <c r="F34" i="22"/>
  <c r="K33" i="22"/>
  <c r="N33" i="22" s="1"/>
  <c r="F34" i="21"/>
  <c r="K33" i="21"/>
  <c r="N33" i="21" s="1"/>
  <c r="N33" i="24" l="1"/>
  <c r="N36" i="24" s="1"/>
  <c r="N37" i="24" s="1"/>
  <c r="A1" i="24" s="1"/>
  <c r="K36" i="24"/>
  <c r="N33" i="23"/>
  <c r="N36" i="23" s="1"/>
  <c r="N37" i="23" s="1"/>
  <c r="A1" i="23" s="1"/>
  <c r="K36" i="23"/>
  <c r="K34" i="22"/>
  <c r="F36" i="22"/>
  <c r="K34" i="21"/>
  <c r="F36" i="21"/>
  <c r="N34" i="22" l="1"/>
  <c r="N36" i="22" s="1"/>
  <c r="N37" i="22" s="1"/>
  <c r="A1" i="22" s="1"/>
  <c r="K36" i="22"/>
  <c r="N34" i="21"/>
  <c r="N36" i="21" s="1"/>
  <c r="N37" i="21" s="1"/>
  <c r="A1" i="21" s="1"/>
  <c r="K36" i="21"/>
  <c r="H36" i="20" l="1"/>
  <c r="G36" i="20"/>
  <c r="E36" i="20"/>
  <c r="D36" i="20"/>
  <c r="M35" i="20"/>
  <c r="L35" i="20"/>
  <c r="N35" i="20" s="1"/>
  <c r="K35" i="20"/>
  <c r="J35" i="20"/>
  <c r="I35" i="20"/>
  <c r="M34" i="20"/>
  <c r="L34" i="20"/>
  <c r="K34" i="20"/>
  <c r="J34" i="20"/>
  <c r="I34" i="20"/>
  <c r="N34" i="20" s="1"/>
  <c r="M33" i="20"/>
  <c r="L33" i="20"/>
  <c r="J33" i="20"/>
  <c r="I33" i="20"/>
  <c r="M32" i="20"/>
  <c r="L32" i="20"/>
  <c r="J32" i="20"/>
  <c r="I32" i="20"/>
  <c r="M31" i="20"/>
  <c r="L31" i="20"/>
  <c r="J31" i="20"/>
  <c r="I31" i="20"/>
  <c r="M30" i="20"/>
  <c r="L30" i="20"/>
  <c r="J30" i="20"/>
  <c r="I30" i="20"/>
  <c r="M29" i="20"/>
  <c r="L29" i="20"/>
  <c r="J29" i="20"/>
  <c r="I29" i="20"/>
  <c r="M28" i="20"/>
  <c r="L28" i="20"/>
  <c r="J28" i="20"/>
  <c r="I28" i="20"/>
  <c r="M27" i="20"/>
  <c r="L27" i="20"/>
  <c r="J27" i="20"/>
  <c r="I27" i="20"/>
  <c r="M26" i="20"/>
  <c r="L26" i="20"/>
  <c r="J26" i="20"/>
  <c r="I26" i="20"/>
  <c r="M25" i="20"/>
  <c r="L25" i="20"/>
  <c r="J25" i="20"/>
  <c r="I25" i="20"/>
  <c r="M24" i="20"/>
  <c r="L24" i="20"/>
  <c r="J24" i="20"/>
  <c r="I24" i="20"/>
  <c r="M23" i="20"/>
  <c r="L23" i="20"/>
  <c r="J23" i="20"/>
  <c r="I23" i="20"/>
  <c r="M22" i="20"/>
  <c r="L22" i="20"/>
  <c r="J22" i="20"/>
  <c r="I22" i="20"/>
  <c r="M21" i="20"/>
  <c r="L21" i="20"/>
  <c r="J21" i="20"/>
  <c r="I21" i="20"/>
  <c r="M20" i="20"/>
  <c r="L20" i="20"/>
  <c r="J20" i="20"/>
  <c r="I20" i="20"/>
  <c r="M19" i="20"/>
  <c r="L19" i="20"/>
  <c r="J19" i="20"/>
  <c r="I19" i="20"/>
  <c r="M18" i="20"/>
  <c r="L18" i="20"/>
  <c r="J18" i="20"/>
  <c r="I18" i="20"/>
  <c r="M17" i="20"/>
  <c r="L17" i="20"/>
  <c r="J17" i="20"/>
  <c r="I17" i="20"/>
  <c r="M16" i="20"/>
  <c r="L16" i="20"/>
  <c r="J16" i="20"/>
  <c r="I16" i="20"/>
  <c r="M15" i="20"/>
  <c r="L15" i="20"/>
  <c r="J15" i="20"/>
  <c r="I15" i="20"/>
  <c r="M14" i="20"/>
  <c r="L14" i="20"/>
  <c r="J14" i="20"/>
  <c r="I14" i="20"/>
  <c r="M13" i="20"/>
  <c r="L13" i="20"/>
  <c r="J13" i="20"/>
  <c r="I13" i="20"/>
  <c r="M12" i="20"/>
  <c r="L12" i="20"/>
  <c r="J12" i="20"/>
  <c r="I12" i="20"/>
  <c r="M11" i="20"/>
  <c r="L11" i="20"/>
  <c r="J11" i="20"/>
  <c r="I11" i="20"/>
  <c r="M10" i="20"/>
  <c r="L10" i="20"/>
  <c r="J10" i="20"/>
  <c r="I10" i="20"/>
  <c r="M9" i="20"/>
  <c r="L9" i="20"/>
  <c r="J9" i="20"/>
  <c r="I9" i="20"/>
  <c r="M8" i="20"/>
  <c r="L8" i="20"/>
  <c r="J8" i="20"/>
  <c r="I8" i="20"/>
  <c r="M7" i="20"/>
  <c r="L7" i="20"/>
  <c r="J7" i="20"/>
  <c r="I7" i="20"/>
  <c r="M6" i="20"/>
  <c r="L6" i="20"/>
  <c r="J6" i="20"/>
  <c r="I6" i="20"/>
  <c r="F6" i="20"/>
  <c r="F7" i="20" s="1"/>
  <c r="M5" i="20"/>
  <c r="M36" i="20" s="1"/>
  <c r="L5" i="20"/>
  <c r="L36" i="20" s="1"/>
  <c r="K5" i="20"/>
  <c r="J5" i="20"/>
  <c r="J36" i="20" s="1"/>
  <c r="I5" i="20"/>
  <c r="I36" i="20" s="1"/>
  <c r="A2" i="20"/>
  <c r="H36" i="19"/>
  <c r="G36" i="19"/>
  <c r="E36" i="19"/>
  <c r="D36" i="19"/>
  <c r="M35" i="19"/>
  <c r="L35" i="19"/>
  <c r="K35" i="19"/>
  <c r="N35" i="19" s="1"/>
  <c r="J35" i="19"/>
  <c r="I35" i="19"/>
  <c r="M34" i="19"/>
  <c r="L34" i="19"/>
  <c r="K34" i="19"/>
  <c r="J34" i="19"/>
  <c r="I34" i="19"/>
  <c r="N34" i="19" s="1"/>
  <c r="M33" i="19"/>
  <c r="L33" i="19"/>
  <c r="J33" i="19"/>
  <c r="I33" i="19"/>
  <c r="M32" i="19"/>
  <c r="L32" i="19"/>
  <c r="J32" i="19"/>
  <c r="I32" i="19"/>
  <c r="M31" i="19"/>
  <c r="L31" i="19"/>
  <c r="J31" i="19"/>
  <c r="I31" i="19"/>
  <c r="M30" i="19"/>
  <c r="L30" i="19"/>
  <c r="J30" i="19"/>
  <c r="I30" i="19"/>
  <c r="M29" i="19"/>
  <c r="L29" i="19"/>
  <c r="J29" i="19"/>
  <c r="I29" i="19"/>
  <c r="M28" i="19"/>
  <c r="L28" i="19"/>
  <c r="J28" i="19"/>
  <c r="I28" i="19"/>
  <c r="M27" i="19"/>
  <c r="L27" i="19"/>
  <c r="J27" i="19"/>
  <c r="I27" i="19"/>
  <c r="M26" i="19"/>
  <c r="L26" i="19"/>
  <c r="J26" i="19"/>
  <c r="I26" i="19"/>
  <c r="M25" i="19"/>
  <c r="L25" i="19"/>
  <c r="J25" i="19"/>
  <c r="I25" i="19"/>
  <c r="M24" i="19"/>
  <c r="L24" i="19"/>
  <c r="J24" i="19"/>
  <c r="I24" i="19"/>
  <c r="M23" i="19"/>
  <c r="L23" i="19"/>
  <c r="J23" i="19"/>
  <c r="I23" i="19"/>
  <c r="M22" i="19"/>
  <c r="L22" i="19"/>
  <c r="J22" i="19"/>
  <c r="I22" i="19"/>
  <c r="M21" i="19"/>
  <c r="L21" i="19"/>
  <c r="J21" i="19"/>
  <c r="I21" i="19"/>
  <c r="M20" i="19"/>
  <c r="L20" i="19"/>
  <c r="J20" i="19"/>
  <c r="I20" i="19"/>
  <c r="M19" i="19"/>
  <c r="L19" i="19"/>
  <c r="J19" i="19"/>
  <c r="I19" i="19"/>
  <c r="M18" i="19"/>
  <c r="L18" i="19"/>
  <c r="J18" i="19"/>
  <c r="I18" i="19"/>
  <c r="M17" i="19"/>
  <c r="L17" i="19"/>
  <c r="J17" i="19"/>
  <c r="I17" i="19"/>
  <c r="M16" i="19"/>
  <c r="L16" i="19"/>
  <c r="J16" i="19"/>
  <c r="I16" i="19"/>
  <c r="M15" i="19"/>
  <c r="L15" i="19"/>
  <c r="J15" i="19"/>
  <c r="I15" i="19"/>
  <c r="M14" i="19"/>
  <c r="L14" i="19"/>
  <c r="J14" i="19"/>
  <c r="I14" i="19"/>
  <c r="M13" i="19"/>
  <c r="L13" i="19"/>
  <c r="J13" i="19"/>
  <c r="I13" i="19"/>
  <c r="M12" i="19"/>
  <c r="L12" i="19"/>
  <c r="J12" i="19"/>
  <c r="I12" i="19"/>
  <c r="M11" i="19"/>
  <c r="L11" i="19"/>
  <c r="J11" i="19"/>
  <c r="I11" i="19"/>
  <c r="M10" i="19"/>
  <c r="L10" i="19"/>
  <c r="J10" i="19"/>
  <c r="I10" i="19"/>
  <c r="M9" i="19"/>
  <c r="L9" i="19"/>
  <c r="J9" i="19"/>
  <c r="I9" i="19"/>
  <c r="M8" i="19"/>
  <c r="L8" i="19"/>
  <c r="J8" i="19"/>
  <c r="I8" i="19"/>
  <c r="M7" i="19"/>
  <c r="L7" i="19"/>
  <c r="J7" i="19"/>
  <c r="I7" i="19"/>
  <c r="M6" i="19"/>
  <c r="L6" i="19"/>
  <c r="J6" i="19"/>
  <c r="I6" i="19"/>
  <c r="F6" i="19"/>
  <c r="F7" i="19" s="1"/>
  <c r="M5" i="19"/>
  <c r="M36" i="19" s="1"/>
  <c r="L5" i="19"/>
  <c r="L36" i="19" s="1"/>
  <c r="K5" i="19"/>
  <c r="J5" i="19"/>
  <c r="J36" i="19" s="1"/>
  <c r="I5" i="19"/>
  <c r="I36" i="19" s="1"/>
  <c r="A2" i="19"/>
  <c r="H36" i="18"/>
  <c r="G36" i="18"/>
  <c r="E36" i="18"/>
  <c r="D36" i="18"/>
  <c r="M35" i="18"/>
  <c r="L35" i="18"/>
  <c r="J35" i="18"/>
  <c r="I35" i="18"/>
  <c r="M34" i="18"/>
  <c r="L34" i="18"/>
  <c r="J34" i="18"/>
  <c r="I34" i="18"/>
  <c r="M33" i="18"/>
  <c r="L33" i="18"/>
  <c r="J33" i="18"/>
  <c r="I33" i="18"/>
  <c r="M32" i="18"/>
  <c r="L32" i="18"/>
  <c r="J32" i="18"/>
  <c r="I32" i="18"/>
  <c r="M31" i="18"/>
  <c r="L31" i="18"/>
  <c r="J31" i="18"/>
  <c r="I31" i="18"/>
  <c r="M30" i="18"/>
  <c r="L30" i="18"/>
  <c r="J30" i="18"/>
  <c r="I30" i="18"/>
  <c r="M29" i="18"/>
  <c r="L29" i="18"/>
  <c r="J29" i="18"/>
  <c r="I29" i="18"/>
  <c r="M28" i="18"/>
  <c r="L28" i="18"/>
  <c r="J28" i="18"/>
  <c r="I28" i="18"/>
  <c r="M27" i="18"/>
  <c r="L27" i="18"/>
  <c r="J27" i="18"/>
  <c r="I27" i="18"/>
  <c r="M26" i="18"/>
  <c r="L26" i="18"/>
  <c r="J26" i="18"/>
  <c r="I26" i="18"/>
  <c r="M25" i="18"/>
  <c r="L25" i="18"/>
  <c r="J25" i="18"/>
  <c r="I25" i="18"/>
  <c r="M24" i="18"/>
  <c r="L24" i="18"/>
  <c r="J24" i="18"/>
  <c r="I24" i="18"/>
  <c r="M23" i="18"/>
  <c r="L23" i="18"/>
  <c r="J23" i="18"/>
  <c r="I23" i="18"/>
  <c r="M22" i="18"/>
  <c r="L22" i="18"/>
  <c r="J22" i="18"/>
  <c r="I22" i="18"/>
  <c r="M21" i="18"/>
  <c r="L21" i="18"/>
  <c r="J21" i="18"/>
  <c r="I21" i="18"/>
  <c r="M20" i="18"/>
  <c r="L20" i="18"/>
  <c r="J20" i="18"/>
  <c r="I20" i="18"/>
  <c r="M19" i="18"/>
  <c r="L19" i="18"/>
  <c r="J19" i="18"/>
  <c r="I19" i="18"/>
  <c r="M18" i="18"/>
  <c r="L18" i="18"/>
  <c r="J18" i="18"/>
  <c r="I18" i="18"/>
  <c r="M17" i="18"/>
  <c r="L17" i="18"/>
  <c r="J17" i="18"/>
  <c r="I17" i="18"/>
  <c r="M16" i="18"/>
  <c r="L16" i="18"/>
  <c r="J16" i="18"/>
  <c r="I16" i="18"/>
  <c r="M15" i="18"/>
  <c r="L15" i="18"/>
  <c r="J15" i="18"/>
  <c r="I15" i="18"/>
  <c r="M14" i="18"/>
  <c r="L14" i="18"/>
  <c r="J14" i="18"/>
  <c r="I14" i="18"/>
  <c r="M13" i="18"/>
  <c r="L13" i="18"/>
  <c r="J13" i="18"/>
  <c r="I13" i="18"/>
  <c r="M12" i="18"/>
  <c r="L12" i="18"/>
  <c r="J12" i="18"/>
  <c r="I12" i="18"/>
  <c r="M11" i="18"/>
  <c r="L11" i="18"/>
  <c r="J11" i="18"/>
  <c r="I11" i="18"/>
  <c r="M10" i="18"/>
  <c r="L10" i="18"/>
  <c r="J10" i="18"/>
  <c r="I10" i="18"/>
  <c r="M9" i="18"/>
  <c r="L9" i="18"/>
  <c r="J9" i="18"/>
  <c r="I9" i="18"/>
  <c r="M8" i="18"/>
  <c r="L8" i="18"/>
  <c r="J8" i="18"/>
  <c r="I8" i="18"/>
  <c r="M7" i="18"/>
  <c r="L7" i="18"/>
  <c r="J7" i="18"/>
  <c r="I7" i="18"/>
  <c r="M6" i="18"/>
  <c r="L6" i="18"/>
  <c r="J6" i="18"/>
  <c r="I6" i="18"/>
  <c r="F6" i="18"/>
  <c r="F7" i="18" s="1"/>
  <c r="N5" i="18"/>
  <c r="M5" i="18"/>
  <c r="M36" i="18" s="1"/>
  <c r="L5" i="18"/>
  <c r="L36" i="18" s="1"/>
  <c r="K5" i="18"/>
  <c r="J5" i="18"/>
  <c r="J36" i="18" s="1"/>
  <c r="I5" i="18"/>
  <c r="I36" i="18" s="1"/>
  <c r="A2" i="18"/>
  <c r="H36" i="17"/>
  <c r="G36" i="17"/>
  <c r="E36" i="17"/>
  <c r="D36" i="17"/>
  <c r="M35" i="17"/>
  <c r="L35" i="17"/>
  <c r="J35" i="17"/>
  <c r="I35" i="17"/>
  <c r="M34" i="17"/>
  <c r="L34" i="17"/>
  <c r="J34" i="17"/>
  <c r="I34" i="17"/>
  <c r="M33" i="17"/>
  <c r="L33" i="17"/>
  <c r="J33" i="17"/>
  <c r="I33" i="17"/>
  <c r="M32" i="17"/>
  <c r="L32" i="17"/>
  <c r="J32" i="17"/>
  <c r="I32" i="17"/>
  <c r="M31" i="17"/>
  <c r="L31" i="17"/>
  <c r="J31" i="17"/>
  <c r="I31" i="17"/>
  <c r="M30" i="17"/>
  <c r="L30" i="17"/>
  <c r="J30" i="17"/>
  <c r="I30" i="17"/>
  <c r="M29" i="17"/>
  <c r="L29" i="17"/>
  <c r="J29" i="17"/>
  <c r="I29" i="17"/>
  <c r="M28" i="17"/>
  <c r="L28" i="17"/>
  <c r="J28" i="17"/>
  <c r="I28" i="17"/>
  <c r="M27" i="17"/>
  <c r="L27" i="17"/>
  <c r="J27" i="17"/>
  <c r="I27" i="17"/>
  <c r="M26" i="17"/>
  <c r="L26" i="17"/>
  <c r="J26" i="17"/>
  <c r="I26" i="17"/>
  <c r="M25" i="17"/>
  <c r="L25" i="17"/>
  <c r="J25" i="17"/>
  <c r="I25" i="17"/>
  <c r="M24" i="17"/>
  <c r="L24" i="17"/>
  <c r="J24" i="17"/>
  <c r="I24" i="17"/>
  <c r="M23" i="17"/>
  <c r="L23" i="17"/>
  <c r="J23" i="17"/>
  <c r="I23" i="17"/>
  <c r="M22" i="17"/>
  <c r="L22" i="17"/>
  <c r="J22" i="17"/>
  <c r="I22" i="17"/>
  <c r="M21" i="17"/>
  <c r="L21" i="17"/>
  <c r="J21" i="17"/>
  <c r="I21" i="17"/>
  <c r="M20" i="17"/>
  <c r="L20" i="17"/>
  <c r="J20" i="17"/>
  <c r="I20" i="17"/>
  <c r="M19" i="17"/>
  <c r="L19" i="17"/>
  <c r="J19" i="17"/>
  <c r="I19" i="17"/>
  <c r="M18" i="17"/>
  <c r="L18" i="17"/>
  <c r="J18" i="17"/>
  <c r="I18" i="17"/>
  <c r="M17" i="17"/>
  <c r="L17" i="17"/>
  <c r="J17" i="17"/>
  <c r="I17" i="17"/>
  <c r="M16" i="17"/>
  <c r="L16" i="17"/>
  <c r="J16" i="17"/>
  <c r="I16" i="17"/>
  <c r="M15" i="17"/>
  <c r="L15" i="17"/>
  <c r="J15" i="17"/>
  <c r="I15" i="17"/>
  <c r="M14" i="17"/>
  <c r="L14" i="17"/>
  <c r="J14" i="17"/>
  <c r="I14" i="17"/>
  <c r="M13" i="17"/>
  <c r="L13" i="17"/>
  <c r="J13" i="17"/>
  <c r="I13" i="17"/>
  <c r="M12" i="17"/>
  <c r="L12" i="17"/>
  <c r="J12" i="17"/>
  <c r="I12" i="17"/>
  <c r="M11" i="17"/>
  <c r="L11" i="17"/>
  <c r="J11" i="17"/>
  <c r="I11" i="17"/>
  <c r="M10" i="17"/>
  <c r="L10" i="17"/>
  <c r="J10" i="17"/>
  <c r="I10" i="17"/>
  <c r="M9" i="17"/>
  <c r="L9" i="17"/>
  <c r="J9" i="17"/>
  <c r="I9" i="17"/>
  <c r="M8" i="17"/>
  <c r="L8" i="17"/>
  <c r="J8" i="17"/>
  <c r="I8" i="17"/>
  <c r="M7" i="17"/>
  <c r="L7" i="17"/>
  <c r="J7" i="17"/>
  <c r="I7" i="17"/>
  <c r="M6" i="17"/>
  <c r="L6" i="17"/>
  <c r="J6" i="17"/>
  <c r="I6" i="17"/>
  <c r="I36" i="17" s="1"/>
  <c r="F6" i="17"/>
  <c r="F7" i="17" s="1"/>
  <c r="M5" i="17"/>
  <c r="M36" i="17" s="1"/>
  <c r="L5" i="17"/>
  <c r="L36" i="17" s="1"/>
  <c r="K5" i="17"/>
  <c r="J5" i="17"/>
  <c r="J36" i="17" s="1"/>
  <c r="I5" i="17"/>
  <c r="A2" i="17"/>
  <c r="H36" i="16"/>
  <c r="G36" i="16"/>
  <c r="E36" i="16"/>
  <c r="D36" i="16"/>
  <c r="M35" i="16"/>
  <c r="L35" i="16"/>
  <c r="J35" i="16"/>
  <c r="I35" i="16"/>
  <c r="M34" i="16"/>
  <c r="L34" i="16"/>
  <c r="J34" i="16"/>
  <c r="I34" i="16"/>
  <c r="M33" i="16"/>
  <c r="L33" i="16"/>
  <c r="J33" i="16"/>
  <c r="I33" i="16"/>
  <c r="M32" i="16"/>
  <c r="L32" i="16"/>
  <c r="J32" i="16"/>
  <c r="I32" i="16"/>
  <c r="M31" i="16"/>
  <c r="L31" i="16"/>
  <c r="J31" i="16"/>
  <c r="I31" i="16"/>
  <c r="M30" i="16"/>
  <c r="L30" i="16"/>
  <c r="J30" i="16"/>
  <c r="I30" i="16"/>
  <c r="M29" i="16"/>
  <c r="L29" i="16"/>
  <c r="J29" i="16"/>
  <c r="I29" i="16"/>
  <c r="M28" i="16"/>
  <c r="L28" i="16"/>
  <c r="J28" i="16"/>
  <c r="I28" i="16"/>
  <c r="M27" i="16"/>
  <c r="L27" i="16"/>
  <c r="J27" i="16"/>
  <c r="I27" i="16"/>
  <c r="M26" i="16"/>
  <c r="L26" i="16"/>
  <c r="J26" i="16"/>
  <c r="I26" i="16"/>
  <c r="M25" i="16"/>
  <c r="L25" i="16"/>
  <c r="J25" i="16"/>
  <c r="I25" i="16"/>
  <c r="M24" i="16"/>
  <c r="L24" i="16"/>
  <c r="J24" i="16"/>
  <c r="I24" i="16"/>
  <c r="M23" i="16"/>
  <c r="L23" i="16"/>
  <c r="J23" i="16"/>
  <c r="I23" i="16"/>
  <c r="M22" i="16"/>
  <c r="L22" i="16"/>
  <c r="J22" i="16"/>
  <c r="I22" i="16"/>
  <c r="M21" i="16"/>
  <c r="L21" i="16"/>
  <c r="J21" i="16"/>
  <c r="I21" i="16"/>
  <c r="M20" i="16"/>
  <c r="L20" i="16"/>
  <c r="J20" i="16"/>
  <c r="I20" i="16"/>
  <c r="M19" i="16"/>
  <c r="L19" i="16"/>
  <c r="J19" i="16"/>
  <c r="I19" i="16"/>
  <c r="M18" i="16"/>
  <c r="L18" i="16"/>
  <c r="J18" i="16"/>
  <c r="I18" i="16"/>
  <c r="M17" i="16"/>
  <c r="L17" i="16"/>
  <c r="J17" i="16"/>
  <c r="I17" i="16"/>
  <c r="M16" i="16"/>
  <c r="L16" i="16"/>
  <c r="J16" i="16"/>
  <c r="I16" i="16"/>
  <c r="M15" i="16"/>
  <c r="L15" i="16"/>
  <c r="J15" i="16"/>
  <c r="I15" i="16"/>
  <c r="M14" i="16"/>
  <c r="L14" i="16"/>
  <c r="J14" i="16"/>
  <c r="I14" i="16"/>
  <c r="M13" i="16"/>
  <c r="L13" i="16"/>
  <c r="J13" i="16"/>
  <c r="I13" i="16"/>
  <c r="M12" i="16"/>
  <c r="L12" i="16"/>
  <c r="J12" i="16"/>
  <c r="I12" i="16"/>
  <c r="M11" i="16"/>
  <c r="L11" i="16"/>
  <c r="J11" i="16"/>
  <c r="I11" i="16"/>
  <c r="M10" i="16"/>
  <c r="L10" i="16"/>
  <c r="J10" i="16"/>
  <c r="I10" i="16"/>
  <c r="M9" i="16"/>
  <c r="L9" i="16"/>
  <c r="J9" i="16"/>
  <c r="I9" i="16"/>
  <c r="M8" i="16"/>
  <c r="L8" i="16"/>
  <c r="J8" i="16"/>
  <c r="I8" i="16"/>
  <c r="M7" i="16"/>
  <c r="L7" i="16"/>
  <c r="J7" i="16"/>
  <c r="I7" i="16"/>
  <c r="M6" i="16"/>
  <c r="L6" i="16"/>
  <c r="J6" i="16"/>
  <c r="I6" i="16"/>
  <c r="F6" i="16"/>
  <c r="F7" i="16" s="1"/>
  <c r="M5" i="16"/>
  <c r="M36" i="16" s="1"/>
  <c r="L5" i="16"/>
  <c r="L36" i="16" s="1"/>
  <c r="K5" i="16"/>
  <c r="J5" i="16"/>
  <c r="J36" i="16" s="1"/>
  <c r="I5" i="16"/>
  <c r="A2" i="16"/>
  <c r="H36" i="15"/>
  <c r="G36" i="15"/>
  <c r="E36" i="15"/>
  <c r="D36" i="15"/>
  <c r="M35" i="15"/>
  <c r="L35" i="15"/>
  <c r="K35" i="15"/>
  <c r="J35" i="15"/>
  <c r="I35" i="15"/>
  <c r="N35" i="15" s="1"/>
  <c r="M34" i="15"/>
  <c r="L34" i="15"/>
  <c r="J34" i="15"/>
  <c r="I34" i="15"/>
  <c r="M33" i="15"/>
  <c r="L33" i="15"/>
  <c r="J33" i="15"/>
  <c r="I33" i="15"/>
  <c r="M32" i="15"/>
  <c r="L32" i="15"/>
  <c r="J32" i="15"/>
  <c r="I32" i="15"/>
  <c r="M31" i="15"/>
  <c r="L31" i="15"/>
  <c r="J31" i="15"/>
  <c r="I31" i="15"/>
  <c r="M30" i="15"/>
  <c r="L30" i="15"/>
  <c r="J30" i="15"/>
  <c r="I30" i="15"/>
  <c r="M29" i="15"/>
  <c r="L29" i="15"/>
  <c r="J29" i="15"/>
  <c r="I29" i="15"/>
  <c r="M28" i="15"/>
  <c r="L28" i="15"/>
  <c r="J28" i="15"/>
  <c r="I28" i="15"/>
  <c r="M27" i="15"/>
  <c r="L27" i="15"/>
  <c r="J27" i="15"/>
  <c r="I27" i="15"/>
  <c r="M26" i="15"/>
  <c r="L26" i="15"/>
  <c r="J26" i="15"/>
  <c r="I26" i="15"/>
  <c r="M25" i="15"/>
  <c r="L25" i="15"/>
  <c r="J25" i="15"/>
  <c r="I25" i="15"/>
  <c r="M24" i="15"/>
  <c r="L24" i="15"/>
  <c r="J24" i="15"/>
  <c r="I24" i="15"/>
  <c r="M23" i="15"/>
  <c r="L23" i="15"/>
  <c r="J23" i="15"/>
  <c r="I23" i="15"/>
  <c r="M22" i="15"/>
  <c r="L22" i="15"/>
  <c r="J22" i="15"/>
  <c r="I22" i="15"/>
  <c r="M21" i="15"/>
  <c r="L21" i="15"/>
  <c r="J21" i="15"/>
  <c r="I21" i="15"/>
  <c r="M20" i="15"/>
  <c r="L20" i="15"/>
  <c r="J20" i="15"/>
  <c r="I20" i="15"/>
  <c r="M19" i="15"/>
  <c r="L19" i="15"/>
  <c r="J19" i="15"/>
  <c r="I19" i="15"/>
  <c r="M18" i="15"/>
  <c r="L18" i="15"/>
  <c r="J18" i="15"/>
  <c r="I18" i="15"/>
  <c r="M17" i="15"/>
  <c r="L17" i="15"/>
  <c r="J17" i="15"/>
  <c r="I17" i="15"/>
  <c r="M16" i="15"/>
  <c r="L16" i="15"/>
  <c r="J16" i="15"/>
  <c r="I16" i="15"/>
  <c r="M15" i="15"/>
  <c r="L15" i="15"/>
  <c r="J15" i="15"/>
  <c r="I15" i="15"/>
  <c r="M14" i="15"/>
  <c r="L14" i="15"/>
  <c r="J14" i="15"/>
  <c r="I14" i="15"/>
  <c r="M13" i="15"/>
  <c r="L13" i="15"/>
  <c r="J13" i="15"/>
  <c r="I13" i="15"/>
  <c r="M12" i="15"/>
  <c r="L12" i="15"/>
  <c r="J12" i="15"/>
  <c r="I12" i="15"/>
  <c r="M11" i="15"/>
  <c r="L11" i="15"/>
  <c r="J11" i="15"/>
  <c r="I11" i="15"/>
  <c r="M10" i="15"/>
  <c r="L10" i="15"/>
  <c r="J10" i="15"/>
  <c r="I10" i="15"/>
  <c r="M9" i="15"/>
  <c r="L9" i="15"/>
  <c r="J9" i="15"/>
  <c r="I9" i="15"/>
  <c r="M8" i="15"/>
  <c r="L8" i="15"/>
  <c r="L36" i="15" s="1"/>
  <c r="J8" i="15"/>
  <c r="I8" i="15"/>
  <c r="M7" i="15"/>
  <c r="L7" i="15"/>
  <c r="J7" i="15"/>
  <c r="I7" i="15"/>
  <c r="N7" i="15" s="1"/>
  <c r="F7" i="15"/>
  <c r="K7" i="15" s="1"/>
  <c r="M6" i="15"/>
  <c r="N6" i="15" s="1"/>
  <c r="L6" i="15"/>
  <c r="K6" i="15"/>
  <c r="J6" i="15"/>
  <c r="J36" i="15" s="1"/>
  <c r="I6" i="15"/>
  <c r="F6" i="15"/>
  <c r="M5" i="15"/>
  <c r="M36" i="15" s="1"/>
  <c r="L5" i="15"/>
  <c r="K5" i="15"/>
  <c r="J5" i="15"/>
  <c r="I5" i="15"/>
  <c r="N5" i="15" s="1"/>
  <c r="A2" i="15"/>
  <c r="K7" i="20" l="1"/>
  <c r="N7" i="20" s="1"/>
  <c r="F8" i="20"/>
  <c r="N6" i="20"/>
  <c r="N5" i="20"/>
  <c r="K6" i="20"/>
  <c r="K7" i="19"/>
  <c r="N7" i="19" s="1"/>
  <c r="F8" i="19"/>
  <c r="N5" i="19"/>
  <c r="K6" i="19"/>
  <c r="K7" i="18"/>
  <c r="N7" i="18" s="1"/>
  <c r="F8" i="18"/>
  <c r="K6" i="18"/>
  <c r="N6" i="18" s="1"/>
  <c r="K7" i="17"/>
  <c r="N7" i="17" s="1"/>
  <c r="F8" i="17"/>
  <c r="N5" i="17"/>
  <c r="K6" i="17"/>
  <c r="N7" i="16"/>
  <c r="K7" i="16"/>
  <c r="F8" i="16"/>
  <c r="N5" i="16"/>
  <c r="I36" i="16"/>
  <c r="K6" i="16"/>
  <c r="N6" i="16" s="1"/>
  <c r="F8" i="15"/>
  <c r="I36" i="15"/>
  <c r="F9" i="20" l="1"/>
  <c r="K8" i="20"/>
  <c r="N8" i="20" s="1"/>
  <c r="N6" i="19"/>
  <c r="F9" i="19"/>
  <c r="K8" i="19"/>
  <c r="N8" i="19" s="1"/>
  <c r="F9" i="18"/>
  <c r="K8" i="18"/>
  <c r="N8" i="18" s="1"/>
  <c r="N6" i="17"/>
  <c r="F9" i="17"/>
  <c r="K8" i="17"/>
  <c r="N8" i="17" s="1"/>
  <c r="F9" i="16"/>
  <c r="K8" i="16"/>
  <c r="N8" i="16" s="1"/>
  <c r="F9" i="15"/>
  <c r="K8" i="15"/>
  <c r="K9" i="20" l="1"/>
  <c r="N9" i="20" s="1"/>
  <c r="F10" i="20"/>
  <c r="K9" i="19"/>
  <c r="N9" i="19" s="1"/>
  <c r="F10" i="19"/>
  <c r="F10" i="18"/>
  <c r="K9" i="18"/>
  <c r="N9" i="18" s="1"/>
  <c r="F10" i="17"/>
  <c r="K9" i="17"/>
  <c r="N9" i="17" s="1"/>
  <c r="F10" i="16"/>
  <c r="K9" i="16"/>
  <c r="N9" i="16" s="1"/>
  <c r="N8" i="15"/>
  <c r="K9" i="15"/>
  <c r="N9" i="15" s="1"/>
  <c r="F10" i="15"/>
  <c r="K10" i="20" l="1"/>
  <c r="N10" i="20" s="1"/>
  <c r="F11" i="20"/>
  <c r="F11" i="19"/>
  <c r="K10" i="19"/>
  <c r="N10" i="19" s="1"/>
  <c r="F11" i="18"/>
  <c r="K10" i="18"/>
  <c r="N10" i="18" s="1"/>
  <c r="K10" i="17"/>
  <c r="N10" i="17" s="1"/>
  <c r="F11" i="17"/>
  <c r="K10" i="16"/>
  <c r="F11" i="16"/>
  <c r="F11" i="15"/>
  <c r="K10" i="15"/>
  <c r="N10" i="15" s="1"/>
  <c r="F12" i="20" l="1"/>
  <c r="K11" i="20"/>
  <c r="N11" i="20" s="1"/>
  <c r="F12" i="19"/>
  <c r="K11" i="19"/>
  <c r="N11" i="19" s="1"/>
  <c r="F12" i="18"/>
  <c r="K11" i="18"/>
  <c r="N11" i="18" s="1"/>
  <c r="F12" i="17"/>
  <c r="K11" i="17"/>
  <c r="N11" i="17" s="1"/>
  <c r="K11" i="16"/>
  <c r="N11" i="16" s="1"/>
  <c r="F12" i="16"/>
  <c r="N10" i="16"/>
  <c r="K11" i="15"/>
  <c r="N11" i="15" s="1"/>
  <c r="F12" i="15"/>
  <c r="F13" i="20" l="1"/>
  <c r="K12" i="20"/>
  <c r="N12" i="20" s="1"/>
  <c r="F13" i="19"/>
  <c r="K12" i="19"/>
  <c r="N12" i="19" s="1"/>
  <c r="K12" i="18"/>
  <c r="N12" i="18" s="1"/>
  <c r="F13" i="18"/>
  <c r="K12" i="17"/>
  <c r="N12" i="17" s="1"/>
  <c r="F13" i="17"/>
  <c r="K12" i="16"/>
  <c r="N12" i="16" s="1"/>
  <c r="F13" i="16"/>
  <c r="F13" i="15"/>
  <c r="K12" i="15"/>
  <c r="N12" i="15" s="1"/>
  <c r="F14" i="20" l="1"/>
  <c r="K13" i="20"/>
  <c r="N13" i="20" s="1"/>
  <c r="F14" i="19"/>
  <c r="K13" i="19"/>
  <c r="N13" i="19" s="1"/>
  <c r="F14" i="18"/>
  <c r="K13" i="18"/>
  <c r="N13" i="18" s="1"/>
  <c r="F14" i="17"/>
  <c r="K13" i="17"/>
  <c r="N13" i="17" s="1"/>
  <c r="K13" i="16"/>
  <c r="N13" i="16" s="1"/>
  <c r="F14" i="16"/>
  <c r="K13" i="15"/>
  <c r="N13" i="15" s="1"/>
  <c r="F14" i="15"/>
  <c r="K14" i="20" l="1"/>
  <c r="N14" i="20" s="1"/>
  <c r="F15" i="20"/>
  <c r="K14" i="19"/>
  <c r="N14" i="19" s="1"/>
  <c r="F15" i="19"/>
  <c r="K14" i="18"/>
  <c r="N14" i="18" s="1"/>
  <c r="F15" i="18"/>
  <c r="F15" i="17"/>
  <c r="K14" i="17"/>
  <c r="N14" i="17" s="1"/>
  <c r="K14" i="16"/>
  <c r="N14" i="16" s="1"/>
  <c r="F15" i="16"/>
  <c r="F15" i="15"/>
  <c r="K14" i="15"/>
  <c r="N14" i="15" s="1"/>
  <c r="F16" i="20" l="1"/>
  <c r="K15" i="20"/>
  <c r="N15" i="20" s="1"/>
  <c r="F16" i="19"/>
  <c r="K15" i="19"/>
  <c r="N15" i="19" s="1"/>
  <c r="F16" i="18"/>
  <c r="K15" i="18"/>
  <c r="N15" i="18" s="1"/>
  <c r="K15" i="17"/>
  <c r="N15" i="17" s="1"/>
  <c r="F16" i="17"/>
  <c r="K15" i="16"/>
  <c r="N15" i="16" s="1"/>
  <c r="F16" i="16"/>
  <c r="K15" i="15"/>
  <c r="N15" i="15" s="1"/>
  <c r="F16" i="15"/>
  <c r="K16" i="20" l="1"/>
  <c r="N16" i="20" s="1"/>
  <c r="F17" i="20"/>
  <c r="K16" i="19"/>
  <c r="N16" i="19" s="1"/>
  <c r="F17" i="19"/>
  <c r="F17" i="18"/>
  <c r="K16" i="18"/>
  <c r="N16" i="18" s="1"/>
  <c r="F17" i="17"/>
  <c r="K16" i="17"/>
  <c r="N16" i="17" s="1"/>
  <c r="F17" i="16"/>
  <c r="K16" i="16"/>
  <c r="N16" i="16" s="1"/>
  <c r="K16" i="15"/>
  <c r="N16" i="15" s="1"/>
  <c r="F17" i="15"/>
  <c r="F18" i="20" l="1"/>
  <c r="K17" i="20"/>
  <c r="N17" i="20" s="1"/>
  <c r="F18" i="19"/>
  <c r="K17" i="19"/>
  <c r="N17" i="19" s="1"/>
  <c r="F18" i="18"/>
  <c r="K17" i="18"/>
  <c r="N17" i="18" s="1"/>
  <c r="K17" i="17"/>
  <c r="N17" i="17" s="1"/>
  <c r="F18" i="17"/>
  <c r="F18" i="16"/>
  <c r="K17" i="16"/>
  <c r="N17" i="16" s="1"/>
  <c r="F18" i="15"/>
  <c r="K17" i="15"/>
  <c r="N17" i="15" s="1"/>
  <c r="F19" i="20" l="1"/>
  <c r="K18" i="20"/>
  <c r="N18" i="20" s="1"/>
  <c r="F19" i="19"/>
  <c r="K18" i="19"/>
  <c r="N18" i="19" s="1"/>
  <c r="F19" i="18"/>
  <c r="K18" i="18"/>
  <c r="N18" i="18" s="1"/>
  <c r="F19" i="17"/>
  <c r="K18" i="17"/>
  <c r="N18" i="17" s="1"/>
  <c r="F19" i="16"/>
  <c r="K18" i="16"/>
  <c r="N18" i="16" s="1"/>
  <c r="K18" i="15"/>
  <c r="N18" i="15" s="1"/>
  <c r="F19" i="15"/>
  <c r="F20" i="20" l="1"/>
  <c r="K19" i="20"/>
  <c r="N19" i="20" s="1"/>
  <c r="F20" i="19"/>
  <c r="K19" i="19"/>
  <c r="N19" i="19" s="1"/>
  <c r="F20" i="18"/>
  <c r="K19" i="18"/>
  <c r="N19" i="18" s="1"/>
  <c r="F20" i="17"/>
  <c r="K19" i="17"/>
  <c r="N19" i="17" s="1"/>
  <c r="F20" i="16"/>
  <c r="K19" i="16"/>
  <c r="N19" i="16" s="1"/>
  <c r="F20" i="15"/>
  <c r="K19" i="15"/>
  <c r="N19" i="15" s="1"/>
  <c r="F21" i="20" l="1"/>
  <c r="K20" i="20"/>
  <c r="N20" i="20" s="1"/>
  <c r="F21" i="19"/>
  <c r="K20" i="19"/>
  <c r="N20" i="19" s="1"/>
  <c r="F21" i="18"/>
  <c r="K20" i="18"/>
  <c r="N20" i="18" s="1"/>
  <c r="F21" i="17"/>
  <c r="K20" i="17"/>
  <c r="N20" i="17" s="1"/>
  <c r="K20" i="16"/>
  <c r="N20" i="16" s="1"/>
  <c r="F21" i="16"/>
  <c r="K20" i="15"/>
  <c r="N20" i="15" s="1"/>
  <c r="F21" i="15"/>
  <c r="F22" i="20" l="1"/>
  <c r="K21" i="20"/>
  <c r="N21" i="20" s="1"/>
  <c r="F22" i="19"/>
  <c r="K21" i="19"/>
  <c r="N21" i="19" s="1"/>
  <c r="K21" i="18"/>
  <c r="N21" i="18" s="1"/>
  <c r="F22" i="18"/>
  <c r="K21" i="17"/>
  <c r="N21" i="17" s="1"/>
  <c r="F22" i="17"/>
  <c r="K21" i="16"/>
  <c r="N21" i="16" s="1"/>
  <c r="F22" i="16"/>
  <c r="F22" i="15"/>
  <c r="K21" i="15"/>
  <c r="N21" i="15" s="1"/>
  <c r="F23" i="20" l="1"/>
  <c r="K22" i="20"/>
  <c r="N22" i="20" s="1"/>
  <c r="F23" i="19"/>
  <c r="K22" i="19"/>
  <c r="N22" i="19" s="1"/>
  <c r="F23" i="18"/>
  <c r="K22" i="18"/>
  <c r="N22" i="18" s="1"/>
  <c r="F23" i="17"/>
  <c r="K22" i="17"/>
  <c r="N22" i="17" s="1"/>
  <c r="F23" i="16"/>
  <c r="K22" i="16"/>
  <c r="N22" i="16" s="1"/>
  <c r="K22" i="15"/>
  <c r="N22" i="15" s="1"/>
  <c r="F23" i="15"/>
  <c r="K23" i="20" l="1"/>
  <c r="N23" i="20" s="1"/>
  <c r="F24" i="20"/>
  <c r="K23" i="19"/>
  <c r="N23" i="19" s="1"/>
  <c r="F24" i="19"/>
  <c r="K23" i="18"/>
  <c r="N23" i="18" s="1"/>
  <c r="F24" i="18"/>
  <c r="K23" i="17"/>
  <c r="N23" i="17" s="1"/>
  <c r="F24" i="17"/>
  <c r="K23" i="16"/>
  <c r="N23" i="16" s="1"/>
  <c r="F24" i="16"/>
  <c r="K23" i="15"/>
  <c r="N23" i="15" s="1"/>
  <c r="F24" i="15"/>
  <c r="F25" i="20" l="1"/>
  <c r="K24" i="20"/>
  <c r="N24" i="20" s="1"/>
  <c r="F25" i="19"/>
  <c r="K24" i="19"/>
  <c r="N24" i="19" s="1"/>
  <c r="F25" i="18"/>
  <c r="K24" i="18"/>
  <c r="N24" i="18" s="1"/>
  <c r="F25" i="17"/>
  <c r="K24" i="17"/>
  <c r="N24" i="17" s="1"/>
  <c r="F25" i="16"/>
  <c r="K24" i="16"/>
  <c r="N24" i="16" s="1"/>
  <c r="F25" i="15"/>
  <c r="K24" i="15"/>
  <c r="N24" i="15" s="1"/>
  <c r="K25" i="20" l="1"/>
  <c r="N25" i="20" s="1"/>
  <c r="F26" i="20"/>
  <c r="K25" i="19"/>
  <c r="N25" i="19" s="1"/>
  <c r="F26" i="19"/>
  <c r="F26" i="18"/>
  <c r="K25" i="18"/>
  <c r="N25" i="18" s="1"/>
  <c r="F26" i="17"/>
  <c r="K25" i="17"/>
  <c r="N25" i="17" s="1"/>
  <c r="F26" i="16"/>
  <c r="K25" i="16"/>
  <c r="N25" i="16" s="1"/>
  <c r="K25" i="15"/>
  <c r="N25" i="15" s="1"/>
  <c r="F26" i="15"/>
  <c r="F27" i="20" l="1"/>
  <c r="K26" i="20"/>
  <c r="N26" i="20" s="1"/>
  <c r="F27" i="19"/>
  <c r="K26" i="19"/>
  <c r="N26" i="19" s="1"/>
  <c r="F27" i="18"/>
  <c r="K26" i="18"/>
  <c r="N26" i="18" s="1"/>
  <c r="F27" i="17"/>
  <c r="K26" i="17"/>
  <c r="N26" i="17" s="1"/>
  <c r="F27" i="16"/>
  <c r="K26" i="16"/>
  <c r="N26" i="16" s="1"/>
  <c r="F27" i="15"/>
  <c r="K26" i="15"/>
  <c r="N26" i="15" s="1"/>
  <c r="F28" i="20" l="1"/>
  <c r="K27" i="20"/>
  <c r="N27" i="20" s="1"/>
  <c r="F28" i="19"/>
  <c r="K27" i="19"/>
  <c r="N27" i="19" s="1"/>
  <c r="F28" i="18"/>
  <c r="K27" i="18"/>
  <c r="N27" i="18" s="1"/>
  <c r="F28" i="17"/>
  <c r="K27" i="17"/>
  <c r="N27" i="17" s="1"/>
  <c r="F28" i="16"/>
  <c r="K27" i="16"/>
  <c r="N27" i="16" s="1"/>
  <c r="F28" i="15"/>
  <c r="K27" i="15"/>
  <c r="N27" i="15" s="1"/>
  <c r="F29" i="20" l="1"/>
  <c r="K28" i="20"/>
  <c r="N28" i="20" s="1"/>
  <c r="F29" i="19"/>
  <c r="K28" i="19"/>
  <c r="N28" i="19" s="1"/>
  <c r="K28" i="18"/>
  <c r="N28" i="18" s="1"/>
  <c r="F29" i="18"/>
  <c r="K28" i="17"/>
  <c r="N28" i="17" s="1"/>
  <c r="F29" i="17"/>
  <c r="K28" i="16"/>
  <c r="N28" i="16" s="1"/>
  <c r="F29" i="16"/>
  <c r="F29" i="15"/>
  <c r="K28" i="15"/>
  <c r="N28" i="15" s="1"/>
  <c r="F30" i="20" l="1"/>
  <c r="K29" i="20"/>
  <c r="N29" i="20" s="1"/>
  <c r="F30" i="19"/>
  <c r="K29" i="19"/>
  <c r="N29" i="19" s="1"/>
  <c r="F30" i="18"/>
  <c r="K29" i="18"/>
  <c r="N29" i="18" s="1"/>
  <c r="F30" i="17"/>
  <c r="K29" i="17"/>
  <c r="N29" i="17" s="1"/>
  <c r="F30" i="16"/>
  <c r="K29" i="16"/>
  <c r="N29" i="16" s="1"/>
  <c r="F30" i="15"/>
  <c r="K29" i="15"/>
  <c r="N29" i="15" s="1"/>
  <c r="K30" i="20" l="1"/>
  <c r="N30" i="20" s="1"/>
  <c r="F31" i="20"/>
  <c r="K30" i="19"/>
  <c r="N30" i="19" s="1"/>
  <c r="F31" i="19"/>
  <c r="K30" i="18"/>
  <c r="N30" i="18" s="1"/>
  <c r="F31" i="18"/>
  <c r="K30" i="17"/>
  <c r="N30" i="17" s="1"/>
  <c r="F31" i="17"/>
  <c r="K30" i="16"/>
  <c r="N30" i="16" s="1"/>
  <c r="F31" i="16"/>
  <c r="F31" i="15"/>
  <c r="K30" i="15"/>
  <c r="N30" i="15" s="1"/>
  <c r="F32" i="20" l="1"/>
  <c r="K31" i="20"/>
  <c r="N31" i="20" s="1"/>
  <c r="F32" i="19"/>
  <c r="K31" i="19"/>
  <c r="N31" i="19" s="1"/>
  <c r="F32" i="18"/>
  <c r="K31" i="18"/>
  <c r="N31" i="18" s="1"/>
  <c r="F32" i="17"/>
  <c r="K31" i="17"/>
  <c r="N31" i="17" s="1"/>
  <c r="F32" i="16"/>
  <c r="K31" i="16"/>
  <c r="N31" i="16" s="1"/>
  <c r="K31" i="15"/>
  <c r="N31" i="15" s="1"/>
  <c r="F32" i="15"/>
  <c r="K32" i="20" l="1"/>
  <c r="N32" i="20" s="1"/>
  <c r="F33" i="20"/>
  <c r="K32" i="19"/>
  <c r="N32" i="19" s="1"/>
  <c r="F33" i="19"/>
  <c r="F33" i="18"/>
  <c r="K32" i="18"/>
  <c r="N32" i="18" s="1"/>
  <c r="F33" i="17"/>
  <c r="K32" i="17"/>
  <c r="N32" i="17" s="1"/>
  <c r="F33" i="16"/>
  <c r="K32" i="16"/>
  <c r="N32" i="16" s="1"/>
  <c r="K32" i="15"/>
  <c r="N32" i="15" s="1"/>
  <c r="F33" i="15"/>
  <c r="K33" i="20" l="1"/>
  <c r="F36" i="20"/>
  <c r="K33" i="19"/>
  <c r="F36" i="19"/>
  <c r="F34" i="18"/>
  <c r="K33" i="18"/>
  <c r="N33" i="18" s="1"/>
  <c r="F34" i="17"/>
  <c r="K33" i="17"/>
  <c r="N33" i="17" s="1"/>
  <c r="F34" i="16"/>
  <c r="K33" i="16"/>
  <c r="N33" i="16" s="1"/>
  <c r="F34" i="15"/>
  <c r="K33" i="15"/>
  <c r="N33" i="15" s="1"/>
  <c r="N33" i="20" l="1"/>
  <c r="N36" i="20" s="1"/>
  <c r="N37" i="20" s="1"/>
  <c r="A1" i="20" s="1"/>
  <c r="K36" i="20"/>
  <c r="N33" i="19"/>
  <c r="N36" i="19" s="1"/>
  <c r="N37" i="19" s="1"/>
  <c r="A1" i="19" s="1"/>
  <c r="K36" i="19"/>
  <c r="F35" i="18"/>
  <c r="K34" i="18"/>
  <c r="N34" i="18" s="1"/>
  <c r="F35" i="17"/>
  <c r="K34" i="17"/>
  <c r="N34" i="17" s="1"/>
  <c r="K34" i="16"/>
  <c r="N34" i="16" s="1"/>
  <c r="F35" i="16"/>
  <c r="K34" i="15"/>
  <c r="F36" i="15"/>
  <c r="K35" i="18" l="1"/>
  <c r="F36" i="18"/>
  <c r="K35" i="17"/>
  <c r="F36" i="17"/>
  <c r="K35" i="16"/>
  <c r="F36" i="16"/>
  <c r="N34" i="15"/>
  <c r="N36" i="15" s="1"/>
  <c r="N37" i="15" s="1"/>
  <c r="A1" i="15" s="1"/>
  <c r="K36" i="15"/>
  <c r="N35" i="18" l="1"/>
  <c r="N36" i="18" s="1"/>
  <c r="N37" i="18" s="1"/>
  <c r="A1" i="18" s="1"/>
  <c r="K36" i="18"/>
  <c r="N35" i="17"/>
  <c r="N36" i="17" s="1"/>
  <c r="N37" i="17" s="1"/>
  <c r="A1" i="17" s="1"/>
  <c r="K36" i="17"/>
  <c r="N35" i="16"/>
  <c r="N36" i="16" s="1"/>
  <c r="N37" i="16" s="1"/>
  <c r="A1" i="16" s="1"/>
  <c r="K36" i="16"/>
  <c r="H36" i="14" l="1"/>
  <c r="G36" i="14"/>
  <c r="E36" i="14"/>
  <c r="D36" i="14"/>
  <c r="M35" i="14"/>
  <c r="L35" i="14"/>
  <c r="K35" i="14"/>
  <c r="N35" i="14" s="1"/>
  <c r="J35" i="14"/>
  <c r="I35" i="14"/>
  <c r="M34" i="14"/>
  <c r="L34" i="14"/>
  <c r="K34" i="14"/>
  <c r="J34" i="14"/>
  <c r="I34" i="14"/>
  <c r="N34" i="14" s="1"/>
  <c r="M33" i="14"/>
  <c r="L33" i="14"/>
  <c r="J33" i="14"/>
  <c r="I33" i="14"/>
  <c r="M32" i="14"/>
  <c r="L32" i="14"/>
  <c r="J32" i="14"/>
  <c r="I32" i="14"/>
  <c r="M31" i="14"/>
  <c r="L31" i="14"/>
  <c r="J31" i="14"/>
  <c r="I31" i="14"/>
  <c r="M30" i="14"/>
  <c r="L30" i="14"/>
  <c r="J30" i="14"/>
  <c r="I30" i="14"/>
  <c r="M29" i="14"/>
  <c r="L29" i="14"/>
  <c r="J29" i="14"/>
  <c r="I29" i="14"/>
  <c r="M28" i="14"/>
  <c r="L28" i="14"/>
  <c r="J28" i="14"/>
  <c r="I28" i="14"/>
  <c r="M27" i="14"/>
  <c r="L27" i="14"/>
  <c r="J27" i="14"/>
  <c r="I27" i="14"/>
  <c r="M26" i="14"/>
  <c r="L26" i="14"/>
  <c r="J26" i="14"/>
  <c r="I26" i="14"/>
  <c r="M25" i="14"/>
  <c r="L25" i="14"/>
  <c r="J25" i="14"/>
  <c r="I25" i="14"/>
  <c r="M24" i="14"/>
  <c r="L24" i="14"/>
  <c r="J24" i="14"/>
  <c r="I24" i="14"/>
  <c r="M23" i="14"/>
  <c r="L23" i="14"/>
  <c r="J23" i="14"/>
  <c r="I23" i="14"/>
  <c r="M22" i="14"/>
  <c r="L22" i="14"/>
  <c r="J22" i="14"/>
  <c r="I22" i="14"/>
  <c r="M21" i="14"/>
  <c r="L21" i="14"/>
  <c r="J21" i="14"/>
  <c r="I21" i="14"/>
  <c r="M20" i="14"/>
  <c r="L20" i="14"/>
  <c r="J20" i="14"/>
  <c r="I20" i="14"/>
  <c r="M19" i="14"/>
  <c r="L19" i="14"/>
  <c r="J19" i="14"/>
  <c r="I19" i="14"/>
  <c r="M18" i="14"/>
  <c r="L18" i="14"/>
  <c r="J18" i="14"/>
  <c r="I18" i="14"/>
  <c r="M17" i="14"/>
  <c r="L17" i="14"/>
  <c r="J17" i="14"/>
  <c r="I17" i="14"/>
  <c r="M16" i="14"/>
  <c r="L16" i="14"/>
  <c r="J16" i="14"/>
  <c r="I16" i="14"/>
  <c r="M15" i="14"/>
  <c r="L15" i="14"/>
  <c r="J15" i="14"/>
  <c r="I15" i="14"/>
  <c r="M14" i="14"/>
  <c r="L14" i="14"/>
  <c r="J14" i="14"/>
  <c r="I14" i="14"/>
  <c r="M13" i="14"/>
  <c r="L13" i="14"/>
  <c r="J13" i="14"/>
  <c r="I13" i="14"/>
  <c r="M12" i="14"/>
  <c r="L12" i="14"/>
  <c r="J12" i="14"/>
  <c r="I12" i="14"/>
  <c r="M11" i="14"/>
  <c r="L11" i="14"/>
  <c r="J11" i="14"/>
  <c r="I11" i="14"/>
  <c r="M10" i="14"/>
  <c r="L10" i="14"/>
  <c r="J10" i="14"/>
  <c r="I10" i="14"/>
  <c r="M9" i="14"/>
  <c r="L9" i="14"/>
  <c r="J9" i="14"/>
  <c r="I9" i="14"/>
  <c r="M8" i="14"/>
  <c r="L8" i="14"/>
  <c r="J8" i="14"/>
  <c r="I8" i="14"/>
  <c r="M7" i="14"/>
  <c r="L7" i="14"/>
  <c r="J7" i="14"/>
  <c r="I7" i="14"/>
  <c r="M6" i="14"/>
  <c r="L6" i="14"/>
  <c r="J6" i="14"/>
  <c r="J36" i="14" s="1"/>
  <c r="I6" i="14"/>
  <c r="F6" i="14"/>
  <c r="K6" i="14" s="1"/>
  <c r="M5" i="14"/>
  <c r="M36" i="14" s="1"/>
  <c r="L5" i="14"/>
  <c r="L36" i="14" s="1"/>
  <c r="K5" i="14"/>
  <c r="J5" i="14"/>
  <c r="I5" i="14"/>
  <c r="I36" i="14" s="1"/>
  <c r="A2" i="14"/>
  <c r="H36" i="13"/>
  <c r="G36" i="13"/>
  <c r="E36" i="13"/>
  <c r="D36" i="13"/>
  <c r="M35" i="13"/>
  <c r="L35" i="13"/>
  <c r="K35" i="13"/>
  <c r="N35" i="13" s="1"/>
  <c r="J35" i="13"/>
  <c r="I35" i="13"/>
  <c r="M34" i="13"/>
  <c r="L34" i="13"/>
  <c r="J34" i="13"/>
  <c r="I34" i="13"/>
  <c r="M33" i="13"/>
  <c r="L33" i="13"/>
  <c r="J33" i="13"/>
  <c r="I33" i="13"/>
  <c r="M32" i="13"/>
  <c r="L32" i="13"/>
  <c r="J32" i="13"/>
  <c r="I32" i="13"/>
  <c r="M31" i="13"/>
  <c r="L31" i="13"/>
  <c r="J31" i="13"/>
  <c r="I31" i="13"/>
  <c r="M30" i="13"/>
  <c r="L30" i="13"/>
  <c r="J30" i="13"/>
  <c r="I30" i="13"/>
  <c r="M29" i="13"/>
  <c r="L29" i="13"/>
  <c r="J29" i="13"/>
  <c r="I29" i="13"/>
  <c r="M28" i="13"/>
  <c r="L28" i="13"/>
  <c r="J28" i="13"/>
  <c r="I28" i="13"/>
  <c r="M27" i="13"/>
  <c r="L27" i="13"/>
  <c r="J27" i="13"/>
  <c r="I27" i="13"/>
  <c r="M26" i="13"/>
  <c r="L26" i="13"/>
  <c r="J26" i="13"/>
  <c r="I26" i="13"/>
  <c r="M25" i="13"/>
  <c r="L25" i="13"/>
  <c r="J25" i="13"/>
  <c r="I25" i="13"/>
  <c r="M24" i="13"/>
  <c r="L24" i="13"/>
  <c r="J24" i="13"/>
  <c r="I24" i="13"/>
  <c r="M23" i="13"/>
  <c r="L23" i="13"/>
  <c r="J23" i="13"/>
  <c r="I23" i="13"/>
  <c r="M22" i="13"/>
  <c r="L22" i="13"/>
  <c r="J22" i="13"/>
  <c r="I22" i="13"/>
  <c r="M21" i="13"/>
  <c r="L21" i="13"/>
  <c r="J21" i="13"/>
  <c r="I21" i="13"/>
  <c r="M20" i="13"/>
  <c r="L20" i="13"/>
  <c r="J20" i="13"/>
  <c r="I20" i="13"/>
  <c r="M19" i="13"/>
  <c r="L19" i="13"/>
  <c r="J19" i="13"/>
  <c r="I19" i="13"/>
  <c r="M18" i="13"/>
  <c r="L18" i="13"/>
  <c r="J18" i="13"/>
  <c r="I18" i="13"/>
  <c r="M17" i="13"/>
  <c r="L17" i="13"/>
  <c r="J17" i="13"/>
  <c r="I17" i="13"/>
  <c r="M16" i="13"/>
  <c r="L16" i="13"/>
  <c r="J16" i="13"/>
  <c r="I16" i="13"/>
  <c r="M15" i="13"/>
  <c r="L15" i="13"/>
  <c r="J15" i="13"/>
  <c r="I15" i="13"/>
  <c r="M14" i="13"/>
  <c r="L14" i="13"/>
  <c r="J14" i="13"/>
  <c r="I14" i="13"/>
  <c r="M13" i="13"/>
  <c r="L13" i="13"/>
  <c r="J13" i="13"/>
  <c r="I13" i="13"/>
  <c r="M12" i="13"/>
  <c r="L12" i="13"/>
  <c r="J12" i="13"/>
  <c r="I12" i="13"/>
  <c r="M11" i="13"/>
  <c r="L11" i="13"/>
  <c r="J11" i="13"/>
  <c r="I11" i="13"/>
  <c r="M10" i="13"/>
  <c r="L10" i="13"/>
  <c r="J10" i="13"/>
  <c r="I10" i="13"/>
  <c r="M9" i="13"/>
  <c r="L9" i="13"/>
  <c r="J9" i="13"/>
  <c r="I9" i="13"/>
  <c r="M8" i="13"/>
  <c r="L8" i="13"/>
  <c r="J8" i="13"/>
  <c r="I8" i="13"/>
  <c r="M7" i="13"/>
  <c r="L7" i="13"/>
  <c r="J7" i="13"/>
  <c r="I7" i="13"/>
  <c r="M6" i="13"/>
  <c r="L6" i="13"/>
  <c r="J6" i="13"/>
  <c r="I6" i="13"/>
  <c r="F6" i="13"/>
  <c r="F7" i="13" s="1"/>
  <c r="M5" i="13"/>
  <c r="M36" i="13" s="1"/>
  <c r="L5" i="13"/>
  <c r="L36" i="13" s="1"/>
  <c r="K5" i="13"/>
  <c r="J5" i="13"/>
  <c r="J36" i="13" s="1"/>
  <c r="I5" i="13"/>
  <c r="I36" i="13" s="1"/>
  <c r="A2" i="13"/>
  <c r="H36" i="12"/>
  <c r="G36" i="12"/>
  <c r="E36" i="12"/>
  <c r="D36" i="12"/>
  <c r="M35" i="12"/>
  <c r="L35" i="12"/>
  <c r="K35" i="12"/>
  <c r="J35" i="12"/>
  <c r="I35" i="12"/>
  <c r="N35" i="12" s="1"/>
  <c r="M34" i="12"/>
  <c r="L34" i="12"/>
  <c r="J34" i="12"/>
  <c r="I34" i="12"/>
  <c r="M33" i="12"/>
  <c r="L33" i="12"/>
  <c r="J33" i="12"/>
  <c r="I33" i="12"/>
  <c r="M32" i="12"/>
  <c r="L32" i="12"/>
  <c r="J32" i="12"/>
  <c r="I32" i="12"/>
  <c r="M31" i="12"/>
  <c r="L31" i="12"/>
  <c r="J31" i="12"/>
  <c r="I31" i="12"/>
  <c r="M30" i="12"/>
  <c r="L30" i="12"/>
  <c r="J30" i="12"/>
  <c r="I30" i="12"/>
  <c r="M29" i="12"/>
  <c r="L29" i="12"/>
  <c r="J29" i="12"/>
  <c r="I29" i="12"/>
  <c r="M28" i="12"/>
  <c r="L28" i="12"/>
  <c r="J28" i="12"/>
  <c r="I28" i="12"/>
  <c r="M27" i="12"/>
  <c r="L27" i="12"/>
  <c r="J27" i="12"/>
  <c r="I27" i="12"/>
  <c r="M26" i="12"/>
  <c r="L26" i="12"/>
  <c r="J26" i="12"/>
  <c r="I26" i="12"/>
  <c r="M25" i="12"/>
  <c r="L25" i="12"/>
  <c r="J25" i="12"/>
  <c r="I25" i="12"/>
  <c r="M24" i="12"/>
  <c r="L24" i="12"/>
  <c r="J24" i="12"/>
  <c r="I24" i="12"/>
  <c r="M23" i="12"/>
  <c r="L23" i="12"/>
  <c r="J23" i="12"/>
  <c r="I23" i="12"/>
  <c r="M22" i="12"/>
  <c r="L22" i="12"/>
  <c r="J22" i="12"/>
  <c r="I22" i="12"/>
  <c r="M21" i="12"/>
  <c r="L21" i="12"/>
  <c r="J21" i="12"/>
  <c r="I21" i="12"/>
  <c r="M20" i="12"/>
  <c r="L20" i="12"/>
  <c r="J20" i="12"/>
  <c r="I20" i="12"/>
  <c r="M19" i="12"/>
  <c r="L19" i="12"/>
  <c r="J19" i="12"/>
  <c r="I19" i="12"/>
  <c r="M18" i="12"/>
  <c r="L18" i="12"/>
  <c r="J18" i="12"/>
  <c r="I18" i="12"/>
  <c r="M17" i="12"/>
  <c r="L17" i="12"/>
  <c r="J17" i="12"/>
  <c r="I17" i="12"/>
  <c r="M16" i="12"/>
  <c r="L16" i="12"/>
  <c r="J16" i="12"/>
  <c r="I16" i="12"/>
  <c r="M15" i="12"/>
  <c r="L15" i="12"/>
  <c r="J15" i="12"/>
  <c r="I15" i="12"/>
  <c r="M14" i="12"/>
  <c r="L14" i="12"/>
  <c r="J14" i="12"/>
  <c r="I14" i="12"/>
  <c r="M13" i="12"/>
  <c r="L13" i="12"/>
  <c r="J13" i="12"/>
  <c r="I13" i="12"/>
  <c r="M12" i="12"/>
  <c r="L12" i="12"/>
  <c r="J12" i="12"/>
  <c r="I12" i="12"/>
  <c r="M11" i="12"/>
  <c r="L11" i="12"/>
  <c r="J11" i="12"/>
  <c r="I11" i="12"/>
  <c r="M10" i="12"/>
  <c r="L10" i="12"/>
  <c r="J10" i="12"/>
  <c r="I10" i="12"/>
  <c r="M9" i="12"/>
  <c r="L9" i="12"/>
  <c r="J9" i="12"/>
  <c r="I9" i="12"/>
  <c r="M8" i="12"/>
  <c r="L8" i="12"/>
  <c r="J8" i="12"/>
  <c r="I8" i="12"/>
  <c r="M7" i="12"/>
  <c r="L7" i="12"/>
  <c r="J7" i="12"/>
  <c r="I7" i="12"/>
  <c r="I36" i="12" s="1"/>
  <c r="F7" i="12"/>
  <c r="F8" i="12" s="1"/>
  <c r="M6" i="12"/>
  <c r="L6" i="12"/>
  <c r="L36" i="12" s="1"/>
  <c r="K6" i="12"/>
  <c r="J6" i="12"/>
  <c r="J36" i="12" s="1"/>
  <c r="I6" i="12"/>
  <c r="F6" i="12"/>
  <c r="M5" i="12"/>
  <c r="M36" i="12" s="1"/>
  <c r="L5" i="12"/>
  <c r="K5" i="12"/>
  <c r="J5" i="12"/>
  <c r="I5" i="12"/>
  <c r="N5" i="12" s="1"/>
  <c r="A2" i="12"/>
  <c r="N6" i="14" l="1"/>
  <c r="N5" i="14"/>
  <c r="F7" i="14"/>
  <c r="K7" i="13"/>
  <c r="N7" i="13" s="1"/>
  <c r="F8" i="13"/>
  <c r="N5" i="13"/>
  <c r="K6" i="13"/>
  <c r="N6" i="13" s="1"/>
  <c r="F9" i="12"/>
  <c r="K8" i="12"/>
  <c r="N8" i="12" s="1"/>
  <c r="K7" i="12"/>
  <c r="N6" i="12"/>
  <c r="K7" i="14" l="1"/>
  <c r="F8" i="14"/>
  <c r="K8" i="13"/>
  <c r="N8" i="13" s="1"/>
  <c r="F9" i="13"/>
  <c r="K9" i="12"/>
  <c r="N9" i="12" s="1"/>
  <c r="F10" i="12"/>
  <c r="N7" i="12"/>
  <c r="F9" i="14" l="1"/>
  <c r="K8" i="14"/>
  <c r="N8" i="14" s="1"/>
  <c r="N7" i="14"/>
  <c r="F10" i="13"/>
  <c r="K9" i="13"/>
  <c r="F11" i="12"/>
  <c r="K10" i="12"/>
  <c r="N10" i="12" s="1"/>
  <c r="K9" i="14" l="1"/>
  <c r="F10" i="14"/>
  <c r="N9" i="13"/>
  <c r="F11" i="13"/>
  <c r="K10" i="13"/>
  <c r="N10" i="13" s="1"/>
  <c r="F12" i="12"/>
  <c r="K11" i="12"/>
  <c r="N11" i="12" s="1"/>
  <c r="N9" i="14" l="1"/>
  <c r="F11" i="14"/>
  <c r="K10" i="14"/>
  <c r="N10" i="14" s="1"/>
  <c r="F12" i="13"/>
  <c r="K11" i="13"/>
  <c r="N11" i="13" s="1"/>
  <c r="F13" i="12"/>
  <c r="K12" i="12"/>
  <c r="N12" i="12" s="1"/>
  <c r="F12" i="14" l="1"/>
  <c r="K11" i="14"/>
  <c r="N11" i="14" s="1"/>
  <c r="K12" i="13"/>
  <c r="N12" i="13" s="1"/>
  <c r="F13" i="13"/>
  <c r="F14" i="12"/>
  <c r="K13" i="12"/>
  <c r="N13" i="12" s="1"/>
  <c r="F13" i="14" l="1"/>
  <c r="K12" i="14"/>
  <c r="N12" i="14" s="1"/>
  <c r="F14" i="13"/>
  <c r="K13" i="13"/>
  <c r="N13" i="13" s="1"/>
  <c r="F15" i="12"/>
  <c r="K14" i="12"/>
  <c r="N14" i="12" s="1"/>
  <c r="F14" i="14" l="1"/>
  <c r="K13" i="14"/>
  <c r="N13" i="14" s="1"/>
  <c r="K14" i="13"/>
  <c r="N14" i="13" s="1"/>
  <c r="F15" i="13"/>
  <c r="K15" i="12"/>
  <c r="N15" i="12" s="1"/>
  <c r="F16" i="12"/>
  <c r="K14" i="14" l="1"/>
  <c r="N14" i="14" s="1"/>
  <c r="F15" i="14"/>
  <c r="F16" i="13"/>
  <c r="K15" i="13"/>
  <c r="N15" i="13" s="1"/>
  <c r="F17" i="12"/>
  <c r="K16" i="12"/>
  <c r="N16" i="12" s="1"/>
  <c r="F16" i="14" l="1"/>
  <c r="K15" i="14"/>
  <c r="N15" i="14" s="1"/>
  <c r="K16" i="13"/>
  <c r="N16" i="13" s="1"/>
  <c r="F17" i="13"/>
  <c r="F18" i="12"/>
  <c r="K17" i="12"/>
  <c r="N17" i="12" s="1"/>
  <c r="K16" i="14" l="1"/>
  <c r="N16" i="14" s="1"/>
  <c r="F17" i="14"/>
  <c r="F18" i="13"/>
  <c r="K17" i="13"/>
  <c r="N17" i="13" s="1"/>
  <c r="K18" i="12"/>
  <c r="N18" i="12" s="1"/>
  <c r="F19" i="12"/>
  <c r="K17" i="14" l="1"/>
  <c r="N17" i="14" s="1"/>
  <c r="F18" i="14"/>
  <c r="F19" i="13"/>
  <c r="K18" i="13"/>
  <c r="N18" i="13" s="1"/>
  <c r="F20" i="12"/>
  <c r="K19" i="12"/>
  <c r="N19" i="12" s="1"/>
  <c r="F19" i="14" l="1"/>
  <c r="K18" i="14"/>
  <c r="N18" i="14" s="1"/>
  <c r="F20" i="13"/>
  <c r="K19" i="13"/>
  <c r="N19" i="13" s="1"/>
  <c r="K20" i="12"/>
  <c r="N20" i="12" s="1"/>
  <c r="F21" i="12"/>
  <c r="K19" i="14" l="1"/>
  <c r="N19" i="14" s="1"/>
  <c r="F20" i="14"/>
  <c r="F21" i="13"/>
  <c r="K20" i="13"/>
  <c r="N20" i="13" s="1"/>
  <c r="F22" i="12"/>
  <c r="K21" i="12"/>
  <c r="N21" i="12" s="1"/>
  <c r="F21" i="14" l="1"/>
  <c r="K20" i="14"/>
  <c r="N20" i="14" s="1"/>
  <c r="K21" i="13"/>
  <c r="N21" i="13" s="1"/>
  <c r="F22" i="13"/>
  <c r="K22" i="12"/>
  <c r="N22" i="12" s="1"/>
  <c r="F23" i="12"/>
  <c r="F22" i="14" l="1"/>
  <c r="K21" i="14"/>
  <c r="N21" i="14" s="1"/>
  <c r="F23" i="13"/>
  <c r="K22" i="13"/>
  <c r="N22" i="13" s="1"/>
  <c r="K23" i="12"/>
  <c r="N23" i="12" s="1"/>
  <c r="F24" i="12"/>
  <c r="F23" i="14" l="1"/>
  <c r="K22" i="14"/>
  <c r="N22" i="14" s="1"/>
  <c r="K23" i="13"/>
  <c r="N23" i="13" s="1"/>
  <c r="F24" i="13"/>
  <c r="F25" i="12"/>
  <c r="K24" i="12"/>
  <c r="N24" i="12" s="1"/>
  <c r="K23" i="14" l="1"/>
  <c r="N23" i="14" s="1"/>
  <c r="F24" i="14"/>
  <c r="K24" i="13"/>
  <c r="N24" i="13" s="1"/>
  <c r="F25" i="13"/>
  <c r="F26" i="12"/>
  <c r="K25" i="12"/>
  <c r="N25" i="12" s="1"/>
  <c r="K24" i="14" l="1"/>
  <c r="N24" i="14" s="1"/>
  <c r="F25" i="14"/>
  <c r="F26" i="13"/>
  <c r="K25" i="13"/>
  <c r="N25" i="13" s="1"/>
  <c r="F27" i="12"/>
  <c r="K26" i="12"/>
  <c r="N26" i="12" s="1"/>
  <c r="K25" i="14" l="1"/>
  <c r="N25" i="14" s="1"/>
  <c r="F26" i="14"/>
  <c r="F27" i="13"/>
  <c r="K26" i="13"/>
  <c r="N26" i="13" s="1"/>
  <c r="K27" i="12"/>
  <c r="N27" i="12" s="1"/>
  <c r="F28" i="12"/>
  <c r="F27" i="14" l="1"/>
  <c r="K26" i="14"/>
  <c r="N26" i="14" s="1"/>
  <c r="F28" i="13"/>
  <c r="K27" i="13"/>
  <c r="N27" i="13" s="1"/>
  <c r="F29" i="12"/>
  <c r="K28" i="12"/>
  <c r="N28" i="12" s="1"/>
  <c r="F28" i="14" l="1"/>
  <c r="K27" i="14"/>
  <c r="N27" i="14" s="1"/>
  <c r="F29" i="13"/>
  <c r="K28" i="13"/>
  <c r="N28" i="13" s="1"/>
  <c r="K29" i="12"/>
  <c r="N29" i="12" s="1"/>
  <c r="F30" i="12"/>
  <c r="F29" i="14" l="1"/>
  <c r="K28" i="14"/>
  <c r="N28" i="14" s="1"/>
  <c r="F30" i="13"/>
  <c r="K29" i="13"/>
  <c r="N29" i="13" s="1"/>
  <c r="F31" i="12"/>
  <c r="K30" i="12"/>
  <c r="N30" i="12" s="1"/>
  <c r="F30" i="14" l="1"/>
  <c r="K29" i="14"/>
  <c r="N29" i="14" s="1"/>
  <c r="K30" i="13"/>
  <c r="N30" i="13" s="1"/>
  <c r="F31" i="13"/>
  <c r="F32" i="12"/>
  <c r="K31" i="12"/>
  <c r="N31" i="12" s="1"/>
  <c r="K30" i="14" l="1"/>
  <c r="N30" i="14" s="1"/>
  <c r="F31" i="14"/>
  <c r="F32" i="13"/>
  <c r="K31" i="13"/>
  <c r="N31" i="13" s="1"/>
  <c r="K32" i="12"/>
  <c r="N32" i="12" s="1"/>
  <c r="F33" i="12"/>
  <c r="F32" i="14" l="1"/>
  <c r="K31" i="14"/>
  <c r="N31" i="14" s="1"/>
  <c r="K32" i="13"/>
  <c r="N32" i="13" s="1"/>
  <c r="F33" i="13"/>
  <c r="F34" i="12"/>
  <c r="K33" i="12"/>
  <c r="N33" i="12" s="1"/>
  <c r="K32" i="14" l="1"/>
  <c r="N32" i="14" s="1"/>
  <c r="F33" i="14"/>
  <c r="K33" i="13"/>
  <c r="N33" i="13" s="1"/>
  <c r="F34" i="13"/>
  <c r="K34" i="12"/>
  <c r="F36" i="12"/>
  <c r="K33" i="14" l="1"/>
  <c r="F36" i="14"/>
  <c r="K34" i="13"/>
  <c r="F36" i="13"/>
  <c r="N34" i="12"/>
  <c r="N36" i="12" s="1"/>
  <c r="N37" i="12" s="1"/>
  <c r="A1" i="12" s="1"/>
  <c r="K36" i="12"/>
  <c r="N33" i="14" l="1"/>
  <c r="N36" i="14" s="1"/>
  <c r="N37" i="14" s="1"/>
  <c r="A1" i="14" s="1"/>
  <c r="K36" i="14"/>
  <c r="N34" i="13"/>
  <c r="N36" i="13" s="1"/>
  <c r="N37" i="13" s="1"/>
  <c r="A1" i="13" s="1"/>
  <c r="K36" i="13"/>
  <c r="H36" i="11" l="1"/>
  <c r="G36" i="11"/>
  <c r="E36" i="11"/>
  <c r="D36" i="11"/>
  <c r="M35" i="11"/>
  <c r="L35" i="11"/>
  <c r="J35" i="11"/>
  <c r="I35" i="11"/>
  <c r="M34" i="11"/>
  <c r="L34" i="11"/>
  <c r="J34" i="11"/>
  <c r="I34" i="11"/>
  <c r="M33" i="11"/>
  <c r="L33" i="11"/>
  <c r="J33" i="11"/>
  <c r="I33" i="11"/>
  <c r="M32" i="11"/>
  <c r="L32" i="11"/>
  <c r="J32" i="11"/>
  <c r="I32" i="11"/>
  <c r="M31" i="11"/>
  <c r="L31" i="11"/>
  <c r="J31" i="11"/>
  <c r="I31" i="11"/>
  <c r="M30" i="11"/>
  <c r="L30" i="11"/>
  <c r="J30" i="11"/>
  <c r="I30" i="11"/>
  <c r="M29" i="11"/>
  <c r="L29" i="11"/>
  <c r="J29" i="11"/>
  <c r="I29" i="11"/>
  <c r="M28" i="11"/>
  <c r="L28" i="11"/>
  <c r="J28" i="11"/>
  <c r="I28" i="11"/>
  <c r="M27" i="11"/>
  <c r="L27" i="11"/>
  <c r="J27" i="11"/>
  <c r="I27" i="11"/>
  <c r="M26" i="11"/>
  <c r="L26" i="11"/>
  <c r="J26" i="11"/>
  <c r="I26" i="11"/>
  <c r="M25" i="11"/>
  <c r="L25" i="11"/>
  <c r="J25" i="11"/>
  <c r="I25" i="11"/>
  <c r="M24" i="11"/>
  <c r="L24" i="11"/>
  <c r="J24" i="11"/>
  <c r="I24" i="11"/>
  <c r="M23" i="11"/>
  <c r="L23" i="11"/>
  <c r="J23" i="11"/>
  <c r="I23" i="11"/>
  <c r="M22" i="11"/>
  <c r="L22" i="11"/>
  <c r="J22" i="11"/>
  <c r="I22" i="11"/>
  <c r="M21" i="11"/>
  <c r="L21" i="11"/>
  <c r="J21" i="11"/>
  <c r="I21" i="11"/>
  <c r="M20" i="11"/>
  <c r="L20" i="11"/>
  <c r="J20" i="11"/>
  <c r="I20" i="11"/>
  <c r="M19" i="11"/>
  <c r="L19" i="11"/>
  <c r="J19" i="11"/>
  <c r="I19" i="11"/>
  <c r="M18" i="11"/>
  <c r="L18" i="11"/>
  <c r="J18" i="11"/>
  <c r="I18" i="11"/>
  <c r="M17" i="11"/>
  <c r="L17" i="11"/>
  <c r="J17" i="11"/>
  <c r="I17" i="11"/>
  <c r="M16" i="11"/>
  <c r="L16" i="11"/>
  <c r="J16" i="11"/>
  <c r="I16" i="11"/>
  <c r="M15" i="11"/>
  <c r="L15" i="11"/>
  <c r="J15" i="11"/>
  <c r="I15" i="11"/>
  <c r="M14" i="11"/>
  <c r="L14" i="11"/>
  <c r="J14" i="11"/>
  <c r="I14" i="11"/>
  <c r="M13" i="11"/>
  <c r="L13" i="11"/>
  <c r="J13" i="11"/>
  <c r="I13" i="11"/>
  <c r="M12" i="11"/>
  <c r="L12" i="11"/>
  <c r="J12" i="11"/>
  <c r="I12" i="11"/>
  <c r="M11" i="11"/>
  <c r="L11" i="11"/>
  <c r="J11" i="11"/>
  <c r="I11" i="11"/>
  <c r="M10" i="11"/>
  <c r="L10" i="11"/>
  <c r="J10" i="11"/>
  <c r="I10" i="11"/>
  <c r="M9" i="11"/>
  <c r="L9" i="11"/>
  <c r="J9" i="11"/>
  <c r="I9" i="11"/>
  <c r="M8" i="11"/>
  <c r="L8" i="11"/>
  <c r="J8" i="11"/>
  <c r="I8" i="11"/>
  <c r="M7" i="11"/>
  <c r="L7" i="11"/>
  <c r="J7" i="11"/>
  <c r="I7" i="11"/>
  <c r="M6" i="11"/>
  <c r="L6" i="11"/>
  <c r="J6" i="11"/>
  <c r="I6" i="11"/>
  <c r="F6" i="11"/>
  <c r="F7" i="11" s="1"/>
  <c r="N5" i="11"/>
  <c r="M5" i="11"/>
  <c r="M36" i="11" s="1"/>
  <c r="L5" i="11"/>
  <c r="L36" i="11" s="1"/>
  <c r="K5" i="11"/>
  <c r="J5" i="11"/>
  <c r="J36" i="11" s="1"/>
  <c r="I5" i="11"/>
  <c r="I36" i="11" s="1"/>
  <c r="A2" i="11"/>
  <c r="H36" i="10"/>
  <c r="G36" i="10"/>
  <c r="E36" i="10"/>
  <c r="D36" i="10"/>
  <c r="M35" i="10"/>
  <c r="L35" i="10"/>
  <c r="K35" i="10"/>
  <c r="N35" i="10" s="1"/>
  <c r="J35" i="10"/>
  <c r="I35" i="10"/>
  <c r="M34" i="10"/>
  <c r="L34" i="10"/>
  <c r="J34" i="10"/>
  <c r="I34" i="10"/>
  <c r="M33" i="10"/>
  <c r="L33" i="10"/>
  <c r="J33" i="10"/>
  <c r="I33" i="10"/>
  <c r="M32" i="10"/>
  <c r="L32" i="10"/>
  <c r="J32" i="10"/>
  <c r="I32" i="10"/>
  <c r="M31" i="10"/>
  <c r="L31" i="10"/>
  <c r="J31" i="10"/>
  <c r="I31" i="10"/>
  <c r="M30" i="10"/>
  <c r="L30" i="10"/>
  <c r="J30" i="10"/>
  <c r="I30" i="10"/>
  <c r="M29" i="10"/>
  <c r="L29" i="10"/>
  <c r="J29" i="10"/>
  <c r="I29" i="10"/>
  <c r="M28" i="10"/>
  <c r="L28" i="10"/>
  <c r="J28" i="10"/>
  <c r="I28" i="10"/>
  <c r="M27" i="10"/>
  <c r="L27" i="10"/>
  <c r="J27" i="10"/>
  <c r="I27" i="10"/>
  <c r="M26" i="10"/>
  <c r="L26" i="10"/>
  <c r="J26" i="10"/>
  <c r="I26" i="10"/>
  <c r="M25" i="10"/>
  <c r="L25" i="10"/>
  <c r="J25" i="10"/>
  <c r="I25" i="10"/>
  <c r="M24" i="10"/>
  <c r="L24" i="10"/>
  <c r="J24" i="10"/>
  <c r="I24" i="10"/>
  <c r="M23" i="10"/>
  <c r="L23" i="10"/>
  <c r="J23" i="10"/>
  <c r="I23" i="10"/>
  <c r="M22" i="10"/>
  <c r="L22" i="10"/>
  <c r="J22" i="10"/>
  <c r="I22" i="10"/>
  <c r="M21" i="10"/>
  <c r="L21" i="10"/>
  <c r="J21" i="10"/>
  <c r="I21" i="10"/>
  <c r="M20" i="10"/>
  <c r="L20" i="10"/>
  <c r="J20" i="10"/>
  <c r="I20" i="10"/>
  <c r="M19" i="10"/>
  <c r="L19" i="10"/>
  <c r="J19" i="10"/>
  <c r="I19" i="10"/>
  <c r="M18" i="10"/>
  <c r="L18" i="10"/>
  <c r="J18" i="10"/>
  <c r="I18" i="10"/>
  <c r="M17" i="10"/>
  <c r="L17" i="10"/>
  <c r="J17" i="10"/>
  <c r="I17" i="10"/>
  <c r="M16" i="10"/>
  <c r="L16" i="10"/>
  <c r="J16" i="10"/>
  <c r="I16" i="10"/>
  <c r="M15" i="10"/>
  <c r="L15" i="10"/>
  <c r="J15" i="10"/>
  <c r="I15" i="10"/>
  <c r="M14" i="10"/>
  <c r="L14" i="10"/>
  <c r="J14" i="10"/>
  <c r="I14" i="10"/>
  <c r="M13" i="10"/>
  <c r="L13" i="10"/>
  <c r="J13" i="10"/>
  <c r="I13" i="10"/>
  <c r="M12" i="10"/>
  <c r="L12" i="10"/>
  <c r="J12" i="10"/>
  <c r="I12" i="10"/>
  <c r="M11" i="10"/>
  <c r="L11" i="10"/>
  <c r="J11" i="10"/>
  <c r="I11" i="10"/>
  <c r="M10" i="10"/>
  <c r="L10" i="10"/>
  <c r="J10" i="10"/>
  <c r="I10" i="10"/>
  <c r="M9" i="10"/>
  <c r="L9" i="10"/>
  <c r="J9" i="10"/>
  <c r="I9" i="10"/>
  <c r="M8" i="10"/>
  <c r="L8" i="10"/>
  <c r="J8" i="10"/>
  <c r="I8" i="10"/>
  <c r="M7" i="10"/>
  <c r="L7" i="10"/>
  <c r="J7" i="10"/>
  <c r="I7" i="10"/>
  <c r="M6" i="10"/>
  <c r="L6" i="10"/>
  <c r="J6" i="10"/>
  <c r="I6" i="10"/>
  <c r="F6" i="10"/>
  <c r="F7" i="10" s="1"/>
  <c r="M5" i="10"/>
  <c r="M36" i="10" s="1"/>
  <c r="L5" i="10"/>
  <c r="L36" i="10" s="1"/>
  <c r="K5" i="10"/>
  <c r="J5" i="10"/>
  <c r="J36" i="10" s="1"/>
  <c r="I5" i="10"/>
  <c r="I36" i="10" s="1"/>
  <c r="A2" i="10"/>
  <c r="H36" i="9"/>
  <c r="G36" i="9"/>
  <c r="E36" i="9"/>
  <c r="D36" i="9"/>
  <c r="M35" i="9"/>
  <c r="L35" i="9"/>
  <c r="J35" i="9"/>
  <c r="I35" i="9"/>
  <c r="M34" i="9"/>
  <c r="L34" i="9"/>
  <c r="J34" i="9"/>
  <c r="I34" i="9"/>
  <c r="M33" i="9"/>
  <c r="L33" i="9"/>
  <c r="J33" i="9"/>
  <c r="I33" i="9"/>
  <c r="M32" i="9"/>
  <c r="L32" i="9"/>
  <c r="J32" i="9"/>
  <c r="I32" i="9"/>
  <c r="M31" i="9"/>
  <c r="L31" i="9"/>
  <c r="J31" i="9"/>
  <c r="I31" i="9"/>
  <c r="M30" i="9"/>
  <c r="L30" i="9"/>
  <c r="J30" i="9"/>
  <c r="I30" i="9"/>
  <c r="M29" i="9"/>
  <c r="L29" i="9"/>
  <c r="J29" i="9"/>
  <c r="I29" i="9"/>
  <c r="M28" i="9"/>
  <c r="L28" i="9"/>
  <c r="J28" i="9"/>
  <c r="I28" i="9"/>
  <c r="M27" i="9"/>
  <c r="L27" i="9"/>
  <c r="J27" i="9"/>
  <c r="I27" i="9"/>
  <c r="M26" i="9"/>
  <c r="L26" i="9"/>
  <c r="J26" i="9"/>
  <c r="I26" i="9"/>
  <c r="M25" i="9"/>
  <c r="L25" i="9"/>
  <c r="J25" i="9"/>
  <c r="I25" i="9"/>
  <c r="M24" i="9"/>
  <c r="L24" i="9"/>
  <c r="J24" i="9"/>
  <c r="I24" i="9"/>
  <c r="M23" i="9"/>
  <c r="L23" i="9"/>
  <c r="J23" i="9"/>
  <c r="I23" i="9"/>
  <c r="M22" i="9"/>
  <c r="L22" i="9"/>
  <c r="J22" i="9"/>
  <c r="I22" i="9"/>
  <c r="M21" i="9"/>
  <c r="L21" i="9"/>
  <c r="J21" i="9"/>
  <c r="I21" i="9"/>
  <c r="M20" i="9"/>
  <c r="L20" i="9"/>
  <c r="J20" i="9"/>
  <c r="I20" i="9"/>
  <c r="M19" i="9"/>
  <c r="L19" i="9"/>
  <c r="J19" i="9"/>
  <c r="I19" i="9"/>
  <c r="M18" i="9"/>
  <c r="L18" i="9"/>
  <c r="J18" i="9"/>
  <c r="I18" i="9"/>
  <c r="M17" i="9"/>
  <c r="L17" i="9"/>
  <c r="J17" i="9"/>
  <c r="I17" i="9"/>
  <c r="M16" i="9"/>
  <c r="L16" i="9"/>
  <c r="J16" i="9"/>
  <c r="I16" i="9"/>
  <c r="M15" i="9"/>
  <c r="L15" i="9"/>
  <c r="J15" i="9"/>
  <c r="I15" i="9"/>
  <c r="M14" i="9"/>
  <c r="L14" i="9"/>
  <c r="J14" i="9"/>
  <c r="I14" i="9"/>
  <c r="M13" i="9"/>
  <c r="L13" i="9"/>
  <c r="J13" i="9"/>
  <c r="I13" i="9"/>
  <c r="M12" i="9"/>
  <c r="L12" i="9"/>
  <c r="J12" i="9"/>
  <c r="I12" i="9"/>
  <c r="M11" i="9"/>
  <c r="L11" i="9"/>
  <c r="J11" i="9"/>
  <c r="I11" i="9"/>
  <c r="M10" i="9"/>
  <c r="L10" i="9"/>
  <c r="J10" i="9"/>
  <c r="I10" i="9"/>
  <c r="M9" i="9"/>
  <c r="L9" i="9"/>
  <c r="J9" i="9"/>
  <c r="I9" i="9"/>
  <c r="M8" i="9"/>
  <c r="L8" i="9"/>
  <c r="J8" i="9"/>
  <c r="I8" i="9"/>
  <c r="M7" i="9"/>
  <c r="L7" i="9"/>
  <c r="J7" i="9"/>
  <c r="I7" i="9"/>
  <c r="M6" i="9"/>
  <c r="L6" i="9"/>
  <c r="J6" i="9"/>
  <c r="I6" i="9"/>
  <c r="F6" i="9"/>
  <c r="F7" i="9" s="1"/>
  <c r="N5" i="9"/>
  <c r="M5" i="9"/>
  <c r="M36" i="9" s="1"/>
  <c r="L5" i="9"/>
  <c r="L36" i="9" s="1"/>
  <c r="K5" i="9"/>
  <c r="J5" i="9"/>
  <c r="J36" i="9" s="1"/>
  <c r="I5" i="9"/>
  <c r="I36" i="9" s="1"/>
  <c r="A2" i="9"/>
  <c r="H36" i="8"/>
  <c r="G36" i="8"/>
  <c r="E36" i="8"/>
  <c r="D36" i="8"/>
  <c r="M35" i="8"/>
  <c r="L35" i="8"/>
  <c r="K35" i="8"/>
  <c r="N35" i="8" s="1"/>
  <c r="J35" i="8"/>
  <c r="I35" i="8"/>
  <c r="M34" i="8"/>
  <c r="L34" i="8"/>
  <c r="K34" i="8"/>
  <c r="J34" i="8"/>
  <c r="I34" i="8"/>
  <c r="N34" i="8" s="1"/>
  <c r="M33" i="8"/>
  <c r="L33" i="8"/>
  <c r="J33" i="8"/>
  <c r="I33" i="8"/>
  <c r="M32" i="8"/>
  <c r="L32" i="8"/>
  <c r="J32" i="8"/>
  <c r="I32" i="8"/>
  <c r="M31" i="8"/>
  <c r="L31" i="8"/>
  <c r="J31" i="8"/>
  <c r="I31" i="8"/>
  <c r="M30" i="8"/>
  <c r="L30" i="8"/>
  <c r="J30" i="8"/>
  <c r="I30" i="8"/>
  <c r="M29" i="8"/>
  <c r="L29" i="8"/>
  <c r="J29" i="8"/>
  <c r="I29" i="8"/>
  <c r="M28" i="8"/>
  <c r="L28" i="8"/>
  <c r="J28" i="8"/>
  <c r="I28" i="8"/>
  <c r="M27" i="8"/>
  <c r="L27" i="8"/>
  <c r="J27" i="8"/>
  <c r="I27" i="8"/>
  <c r="M26" i="8"/>
  <c r="L26" i="8"/>
  <c r="J26" i="8"/>
  <c r="I26" i="8"/>
  <c r="M25" i="8"/>
  <c r="L25" i="8"/>
  <c r="J25" i="8"/>
  <c r="I25" i="8"/>
  <c r="M24" i="8"/>
  <c r="L24" i="8"/>
  <c r="J24" i="8"/>
  <c r="I24" i="8"/>
  <c r="M23" i="8"/>
  <c r="L23" i="8"/>
  <c r="J23" i="8"/>
  <c r="I23" i="8"/>
  <c r="M22" i="8"/>
  <c r="L22" i="8"/>
  <c r="J22" i="8"/>
  <c r="I22" i="8"/>
  <c r="M21" i="8"/>
  <c r="L21" i="8"/>
  <c r="J21" i="8"/>
  <c r="I21" i="8"/>
  <c r="M20" i="8"/>
  <c r="L20" i="8"/>
  <c r="J20" i="8"/>
  <c r="I20" i="8"/>
  <c r="M19" i="8"/>
  <c r="L19" i="8"/>
  <c r="J19" i="8"/>
  <c r="I19" i="8"/>
  <c r="M18" i="8"/>
  <c r="L18" i="8"/>
  <c r="J18" i="8"/>
  <c r="I18" i="8"/>
  <c r="M17" i="8"/>
  <c r="L17" i="8"/>
  <c r="J17" i="8"/>
  <c r="I17" i="8"/>
  <c r="M16" i="8"/>
  <c r="L16" i="8"/>
  <c r="J16" i="8"/>
  <c r="I16" i="8"/>
  <c r="M15" i="8"/>
  <c r="L15" i="8"/>
  <c r="J15" i="8"/>
  <c r="I15" i="8"/>
  <c r="M14" i="8"/>
  <c r="L14" i="8"/>
  <c r="J14" i="8"/>
  <c r="I14" i="8"/>
  <c r="M13" i="8"/>
  <c r="L13" i="8"/>
  <c r="J13" i="8"/>
  <c r="I13" i="8"/>
  <c r="M12" i="8"/>
  <c r="L12" i="8"/>
  <c r="J12" i="8"/>
  <c r="I12" i="8"/>
  <c r="M11" i="8"/>
  <c r="L11" i="8"/>
  <c r="J11" i="8"/>
  <c r="I11" i="8"/>
  <c r="M10" i="8"/>
  <c r="L10" i="8"/>
  <c r="J10" i="8"/>
  <c r="I10" i="8"/>
  <c r="M9" i="8"/>
  <c r="L9" i="8"/>
  <c r="J9" i="8"/>
  <c r="I9" i="8"/>
  <c r="M8" i="8"/>
  <c r="L8" i="8"/>
  <c r="J8" i="8"/>
  <c r="I8" i="8"/>
  <c r="M7" i="8"/>
  <c r="L7" i="8"/>
  <c r="J7" i="8"/>
  <c r="I7" i="8"/>
  <c r="M6" i="8"/>
  <c r="L6" i="8"/>
  <c r="J6" i="8"/>
  <c r="I6" i="8"/>
  <c r="F6" i="8"/>
  <c r="F7" i="8" s="1"/>
  <c r="M5" i="8"/>
  <c r="M36" i="8" s="1"/>
  <c r="L5" i="8"/>
  <c r="L36" i="8" s="1"/>
  <c r="K5" i="8"/>
  <c r="J5" i="8"/>
  <c r="J36" i="8" s="1"/>
  <c r="I5" i="8"/>
  <c r="I36" i="8" s="1"/>
  <c r="A2" i="8"/>
  <c r="H36" i="7"/>
  <c r="G36" i="7"/>
  <c r="E36" i="7"/>
  <c r="D36" i="7"/>
  <c r="N35" i="7"/>
  <c r="M35" i="7"/>
  <c r="L35" i="7"/>
  <c r="K35" i="7"/>
  <c r="J35" i="7"/>
  <c r="I35" i="7"/>
  <c r="M34" i="7"/>
  <c r="L34" i="7"/>
  <c r="K34" i="7"/>
  <c r="N34" i="7" s="1"/>
  <c r="J34" i="7"/>
  <c r="I34" i="7"/>
  <c r="M33" i="7"/>
  <c r="L33" i="7"/>
  <c r="J33" i="7"/>
  <c r="I33" i="7"/>
  <c r="M32" i="7"/>
  <c r="L32" i="7"/>
  <c r="J32" i="7"/>
  <c r="I32" i="7"/>
  <c r="M31" i="7"/>
  <c r="L31" i="7"/>
  <c r="J31" i="7"/>
  <c r="I31" i="7"/>
  <c r="M30" i="7"/>
  <c r="L30" i="7"/>
  <c r="J30" i="7"/>
  <c r="I30" i="7"/>
  <c r="M29" i="7"/>
  <c r="L29" i="7"/>
  <c r="J29" i="7"/>
  <c r="I29" i="7"/>
  <c r="M28" i="7"/>
  <c r="L28" i="7"/>
  <c r="J28" i="7"/>
  <c r="I28" i="7"/>
  <c r="M27" i="7"/>
  <c r="L27" i="7"/>
  <c r="J27" i="7"/>
  <c r="I27" i="7"/>
  <c r="M26" i="7"/>
  <c r="L26" i="7"/>
  <c r="J26" i="7"/>
  <c r="I26" i="7"/>
  <c r="M25" i="7"/>
  <c r="L25" i="7"/>
  <c r="J25" i="7"/>
  <c r="I25" i="7"/>
  <c r="M24" i="7"/>
  <c r="L24" i="7"/>
  <c r="J24" i="7"/>
  <c r="I24" i="7"/>
  <c r="M23" i="7"/>
  <c r="L23" i="7"/>
  <c r="J23" i="7"/>
  <c r="I23" i="7"/>
  <c r="M22" i="7"/>
  <c r="L22" i="7"/>
  <c r="J22" i="7"/>
  <c r="I22" i="7"/>
  <c r="M21" i="7"/>
  <c r="L21" i="7"/>
  <c r="J21" i="7"/>
  <c r="I21" i="7"/>
  <c r="M20" i="7"/>
  <c r="L20" i="7"/>
  <c r="J20" i="7"/>
  <c r="I20" i="7"/>
  <c r="M19" i="7"/>
  <c r="L19" i="7"/>
  <c r="J19" i="7"/>
  <c r="I19" i="7"/>
  <c r="M18" i="7"/>
  <c r="L18" i="7"/>
  <c r="J18" i="7"/>
  <c r="I18" i="7"/>
  <c r="M17" i="7"/>
  <c r="L17" i="7"/>
  <c r="J17" i="7"/>
  <c r="I17" i="7"/>
  <c r="M16" i="7"/>
  <c r="L16" i="7"/>
  <c r="J16" i="7"/>
  <c r="I16" i="7"/>
  <c r="M15" i="7"/>
  <c r="L15" i="7"/>
  <c r="J15" i="7"/>
  <c r="I15" i="7"/>
  <c r="M14" i="7"/>
  <c r="L14" i="7"/>
  <c r="J14" i="7"/>
  <c r="I14" i="7"/>
  <c r="M13" i="7"/>
  <c r="L13" i="7"/>
  <c r="J13" i="7"/>
  <c r="I13" i="7"/>
  <c r="M12" i="7"/>
  <c r="L12" i="7"/>
  <c r="J12" i="7"/>
  <c r="I12" i="7"/>
  <c r="M11" i="7"/>
  <c r="L11" i="7"/>
  <c r="J11" i="7"/>
  <c r="I11" i="7"/>
  <c r="M10" i="7"/>
  <c r="M36" i="7" s="1"/>
  <c r="L10" i="7"/>
  <c r="J10" i="7"/>
  <c r="I10" i="7"/>
  <c r="M9" i="7"/>
  <c r="L9" i="7"/>
  <c r="L36" i="7" s="1"/>
  <c r="J9" i="7"/>
  <c r="I9" i="7"/>
  <c r="M8" i="7"/>
  <c r="L8" i="7"/>
  <c r="J8" i="7"/>
  <c r="I8" i="7"/>
  <c r="M7" i="7"/>
  <c r="L7" i="7"/>
  <c r="J7" i="7"/>
  <c r="J36" i="7" s="1"/>
  <c r="I7" i="7"/>
  <c r="N7" i="7" s="1"/>
  <c r="F7" i="7"/>
  <c r="K7" i="7" s="1"/>
  <c r="M6" i="7"/>
  <c r="L6" i="7"/>
  <c r="J6" i="7"/>
  <c r="I6" i="7"/>
  <c r="F6" i="7"/>
  <c r="N5" i="7"/>
  <c r="M5" i="7"/>
  <c r="L5" i="7"/>
  <c r="K5" i="7"/>
  <c r="J5" i="7"/>
  <c r="I5" i="7"/>
  <c r="I36" i="7" s="1"/>
  <c r="A2" i="7"/>
  <c r="K7" i="11" l="1"/>
  <c r="F8" i="11"/>
  <c r="N7" i="11"/>
  <c r="K6" i="11"/>
  <c r="K7" i="10"/>
  <c r="N7" i="10" s="1"/>
  <c r="F8" i="10"/>
  <c r="N5" i="10"/>
  <c r="K6" i="10"/>
  <c r="K7" i="9"/>
  <c r="F8" i="9"/>
  <c r="N7" i="9"/>
  <c r="K6" i="9"/>
  <c r="K7" i="8"/>
  <c r="N7" i="8" s="1"/>
  <c r="F8" i="8"/>
  <c r="N5" i="8"/>
  <c r="K6" i="8"/>
  <c r="N6" i="8" s="1"/>
  <c r="F8" i="7"/>
  <c r="K6" i="7"/>
  <c r="F9" i="11" l="1"/>
  <c r="K8" i="11"/>
  <c r="N8" i="11" s="1"/>
  <c r="N6" i="11"/>
  <c r="N6" i="10"/>
  <c r="F9" i="10"/>
  <c r="K8" i="10"/>
  <c r="N8" i="10" s="1"/>
  <c r="N6" i="9"/>
  <c r="F9" i="9"/>
  <c r="K8" i="9"/>
  <c r="N8" i="9" s="1"/>
  <c r="F9" i="8"/>
  <c r="K8" i="8"/>
  <c r="N8" i="8" s="1"/>
  <c r="N6" i="7"/>
  <c r="F9" i="7"/>
  <c r="K8" i="7"/>
  <c r="N8" i="7" s="1"/>
  <c r="F10" i="11" l="1"/>
  <c r="K9" i="11"/>
  <c r="N9" i="11" s="1"/>
  <c r="F10" i="10"/>
  <c r="K9" i="10"/>
  <c r="N9" i="10" s="1"/>
  <c r="F10" i="9"/>
  <c r="K9" i="9"/>
  <c r="N9" i="9" s="1"/>
  <c r="K9" i="8"/>
  <c r="N9" i="8" s="1"/>
  <c r="F10" i="8"/>
  <c r="K9" i="7"/>
  <c r="N9" i="7" s="1"/>
  <c r="F10" i="7"/>
  <c r="F11" i="11" l="1"/>
  <c r="K10" i="11"/>
  <c r="N10" i="11" s="1"/>
  <c r="F11" i="10"/>
  <c r="K10" i="10"/>
  <c r="N10" i="10" s="1"/>
  <c r="F11" i="9"/>
  <c r="K10" i="9"/>
  <c r="N10" i="9" s="1"/>
  <c r="F11" i="8"/>
  <c r="K10" i="8"/>
  <c r="N10" i="8" s="1"/>
  <c r="K10" i="7"/>
  <c r="F11" i="7"/>
  <c r="F12" i="11" l="1"/>
  <c r="K11" i="11"/>
  <c r="N11" i="11" s="1"/>
  <c r="F12" i="10"/>
  <c r="K11" i="10"/>
  <c r="N11" i="10" s="1"/>
  <c r="F12" i="9"/>
  <c r="K11" i="9"/>
  <c r="N11" i="9" s="1"/>
  <c r="F12" i="8"/>
  <c r="K11" i="8"/>
  <c r="N11" i="8" s="1"/>
  <c r="F12" i="7"/>
  <c r="K11" i="7"/>
  <c r="N11" i="7" s="1"/>
  <c r="N10" i="7"/>
  <c r="K12" i="11" l="1"/>
  <c r="N12" i="11" s="1"/>
  <c r="F13" i="11"/>
  <c r="F13" i="10"/>
  <c r="K12" i="10"/>
  <c r="N12" i="10" s="1"/>
  <c r="K12" i="9"/>
  <c r="N12" i="9" s="1"/>
  <c r="F13" i="9"/>
  <c r="F13" i="8"/>
  <c r="K12" i="8"/>
  <c r="N12" i="8" s="1"/>
  <c r="F13" i="7"/>
  <c r="K12" i="7"/>
  <c r="F14" i="11" l="1"/>
  <c r="K13" i="11"/>
  <c r="N13" i="11" s="1"/>
  <c r="F14" i="10"/>
  <c r="K13" i="10"/>
  <c r="N13" i="10" s="1"/>
  <c r="F14" i="9"/>
  <c r="K13" i="9"/>
  <c r="N13" i="9" s="1"/>
  <c r="F14" i="8"/>
  <c r="K13" i="8"/>
  <c r="N13" i="8" s="1"/>
  <c r="N12" i="7"/>
  <c r="F14" i="7"/>
  <c r="K13" i="7"/>
  <c r="N13" i="7" s="1"/>
  <c r="K14" i="11" l="1"/>
  <c r="N14" i="11" s="1"/>
  <c r="F15" i="11"/>
  <c r="K14" i="10"/>
  <c r="N14" i="10" s="1"/>
  <c r="F15" i="10"/>
  <c r="K14" i="9"/>
  <c r="N14" i="9" s="1"/>
  <c r="F15" i="9"/>
  <c r="K14" i="8"/>
  <c r="N14" i="8" s="1"/>
  <c r="F15" i="8"/>
  <c r="F15" i="7"/>
  <c r="K14" i="7"/>
  <c r="N14" i="7" s="1"/>
  <c r="F16" i="11" l="1"/>
  <c r="K15" i="11"/>
  <c r="N15" i="11" s="1"/>
  <c r="F16" i="10"/>
  <c r="K15" i="10"/>
  <c r="N15" i="10" s="1"/>
  <c r="F16" i="9"/>
  <c r="K15" i="9"/>
  <c r="N15" i="9" s="1"/>
  <c r="F16" i="8"/>
  <c r="K15" i="8"/>
  <c r="N15" i="8" s="1"/>
  <c r="F16" i="7"/>
  <c r="K15" i="7"/>
  <c r="N15" i="7" s="1"/>
  <c r="F17" i="11" l="1"/>
  <c r="K16" i="11"/>
  <c r="N16" i="11" s="1"/>
  <c r="K16" i="10"/>
  <c r="N16" i="10" s="1"/>
  <c r="F17" i="10"/>
  <c r="F17" i="9"/>
  <c r="K16" i="9"/>
  <c r="N16" i="9" s="1"/>
  <c r="K16" i="8"/>
  <c r="N16" i="8" s="1"/>
  <c r="F17" i="8"/>
  <c r="F17" i="7"/>
  <c r="K16" i="7"/>
  <c r="N16" i="7" s="1"/>
  <c r="F18" i="11" l="1"/>
  <c r="K17" i="11"/>
  <c r="N17" i="11" s="1"/>
  <c r="F18" i="10"/>
  <c r="K17" i="10"/>
  <c r="N17" i="10" s="1"/>
  <c r="F18" i="9"/>
  <c r="K17" i="9"/>
  <c r="N17" i="9" s="1"/>
  <c r="F18" i="8"/>
  <c r="K17" i="8"/>
  <c r="N17" i="8" s="1"/>
  <c r="F18" i="7"/>
  <c r="K17" i="7"/>
  <c r="N17" i="7" s="1"/>
  <c r="F19" i="11" l="1"/>
  <c r="K18" i="11"/>
  <c r="N18" i="11" s="1"/>
  <c r="F19" i="10"/>
  <c r="K18" i="10"/>
  <c r="N18" i="10" s="1"/>
  <c r="F19" i="9"/>
  <c r="K18" i="9"/>
  <c r="N18" i="9" s="1"/>
  <c r="F19" i="8"/>
  <c r="K18" i="8"/>
  <c r="N18" i="8" s="1"/>
  <c r="K18" i="7"/>
  <c r="N18" i="7" s="1"/>
  <c r="F19" i="7"/>
  <c r="F20" i="11" l="1"/>
  <c r="K19" i="11"/>
  <c r="N19" i="11" s="1"/>
  <c r="F20" i="10"/>
  <c r="K19" i="10"/>
  <c r="N19" i="10" s="1"/>
  <c r="F20" i="9"/>
  <c r="K19" i="9"/>
  <c r="N19" i="9" s="1"/>
  <c r="F20" i="8"/>
  <c r="K19" i="8"/>
  <c r="N19" i="8" s="1"/>
  <c r="F20" i="7"/>
  <c r="K19" i="7"/>
  <c r="N19" i="7" s="1"/>
  <c r="F21" i="11" l="1"/>
  <c r="K20" i="11"/>
  <c r="N20" i="11" s="1"/>
  <c r="F21" i="10"/>
  <c r="K20" i="10"/>
  <c r="N20" i="10" s="1"/>
  <c r="F21" i="9"/>
  <c r="K20" i="9"/>
  <c r="N20" i="9" s="1"/>
  <c r="F21" i="8"/>
  <c r="K20" i="8"/>
  <c r="N20" i="8" s="1"/>
  <c r="K20" i="7"/>
  <c r="N20" i="7" s="1"/>
  <c r="F21" i="7"/>
  <c r="K21" i="11" l="1"/>
  <c r="N21" i="11" s="1"/>
  <c r="F22" i="11"/>
  <c r="K21" i="10"/>
  <c r="N21" i="10" s="1"/>
  <c r="F22" i="10"/>
  <c r="K21" i="9"/>
  <c r="N21" i="9" s="1"/>
  <c r="F22" i="9"/>
  <c r="F22" i="8"/>
  <c r="K21" i="8"/>
  <c r="N21" i="8" s="1"/>
  <c r="F22" i="7"/>
  <c r="K21" i="7"/>
  <c r="N21" i="7" s="1"/>
  <c r="F23" i="11" l="1"/>
  <c r="K22" i="11"/>
  <c r="N22" i="11" s="1"/>
  <c r="F23" i="10"/>
  <c r="K22" i="10"/>
  <c r="N22" i="10" s="1"/>
  <c r="F23" i="9"/>
  <c r="K22" i="9"/>
  <c r="N22" i="9" s="1"/>
  <c r="F23" i="8"/>
  <c r="K22" i="8"/>
  <c r="N22" i="8" s="1"/>
  <c r="F23" i="7"/>
  <c r="K22" i="7"/>
  <c r="N22" i="7" s="1"/>
  <c r="K23" i="11" l="1"/>
  <c r="N23" i="11" s="1"/>
  <c r="F24" i="11"/>
  <c r="K23" i="10"/>
  <c r="N23" i="10" s="1"/>
  <c r="F24" i="10"/>
  <c r="K23" i="9"/>
  <c r="N23" i="9" s="1"/>
  <c r="F24" i="9"/>
  <c r="K23" i="8"/>
  <c r="N23" i="8" s="1"/>
  <c r="F24" i="8"/>
  <c r="K23" i="7"/>
  <c r="N23" i="7" s="1"/>
  <c r="F24" i="7"/>
  <c r="F25" i="11" l="1"/>
  <c r="K24" i="11"/>
  <c r="N24" i="11" s="1"/>
  <c r="F25" i="10"/>
  <c r="K24" i="10"/>
  <c r="N24" i="10" s="1"/>
  <c r="F25" i="9"/>
  <c r="K24" i="9"/>
  <c r="N24" i="9" s="1"/>
  <c r="F25" i="8"/>
  <c r="K24" i="8"/>
  <c r="N24" i="8" s="1"/>
  <c r="F25" i="7"/>
  <c r="K24" i="7"/>
  <c r="N24" i="7" s="1"/>
  <c r="F26" i="11" l="1"/>
  <c r="K25" i="11"/>
  <c r="N25" i="11" s="1"/>
  <c r="F26" i="10"/>
  <c r="K25" i="10"/>
  <c r="N25" i="10" s="1"/>
  <c r="F26" i="9"/>
  <c r="K25" i="9"/>
  <c r="N25" i="9" s="1"/>
  <c r="K25" i="8"/>
  <c r="N25" i="8" s="1"/>
  <c r="F26" i="8"/>
  <c r="K25" i="7"/>
  <c r="N25" i="7" s="1"/>
  <c r="F26" i="7"/>
  <c r="F27" i="11" l="1"/>
  <c r="K26" i="11"/>
  <c r="N26" i="11" s="1"/>
  <c r="F27" i="10"/>
  <c r="K26" i="10"/>
  <c r="N26" i="10" s="1"/>
  <c r="F27" i="9"/>
  <c r="K26" i="9"/>
  <c r="N26" i="9" s="1"/>
  <c r="F27" i="8"/>
  <c r="K26" i="8"/>
  <c r="N26" i="8" s="1"/>
  <c r="F27" i="7"/>
  <c r="K26" i="7"/>
  <c r="N26" i="7" s="1"/>
  <c r="F28" i="11" l="1"/>
  <c r="K27" i="11"/>
  <c r="N27" i="11" s="1"/>
  <c r="F28" i="10"/>
  <c r="K27" i="10"/>
  <c r="N27" i="10" s="1"/>
  <c r="F28" i="9"/>
  <c r="K27" i="9"/>
  <c r="N27" i="9" s="1"/>
  <c r="F28" i="8"/>
  <c r="K27" i="8"/>
  <c r="N27" i="8" s="1"/>
  <c r="F28" i="7"/>
  <c r="K27" i="7"/>
  <c r="N27" i="7" s="1"/>
  <c r="K28" i="11" l="1"/>
  <c r="N28" i="11" s="1"/>
  <c r="F29" i="11"/>
  <c r="F29" i="10"/>
  <c r="K28" i="10"/>
  <c r="N28" i="10" s="1"/>
  <c r="K28" i="9"/>
  <c r="N28" i="9" s="1"/>
  <c r="F29" i="9"/>
  <c r="F29" i="8"/>
  <c r="K28" i="8"/>
  <c r="N28" i="8" s="1"/>
  <c r="F29" i="7"/>
  <c r="K28" i="7"/>
  <c r="N28" i="7" s="1"/>
  <c r="F30" i="11" l="1"/>
  <c r="K29" i="11"/>
  <c r="N29" i="11" s="1"/>
  <c r="F30" i="10"/>
  <c r="K29" i="10"/>
  <c r="N29" i="10" s="1"/>
  <c r="F30" i="9"/>
  <c r="K29" i="9"/>
  <c r="N29" i="9" s="1"/>
  <c r="F30" i="8"/>
  <c r="K29" i="8"/>
  <c r="N29" i="8" s="1"/>
  <c r="K29" i="7"/>
  <c r="N29" i="7" s="1"/>
  <c r="F30" i="7"/>
  <c r="K30" i="11" l="1"/>
  <c r="N30" i="11" s="1"/>
  <c r="F31" i="11"/>
  <c r="K30" i="10"/>
  <c r="N30" i="10" s="1"/>
  <c r="F31" i="10"/>
  <c r="K30" i="9"/>
  <c r="N30" i="9" s="1"/>
  <c r="F31" i="9"/>
  <c r="K30" i="8"/>
  <c r="N30" i="8" s="1"/>
  <c r="F31" i="8"/>
  <c r="F31" i="7"/>
  <c r="K30" i="7"/>
  <c r="N30" i="7" s="1"/>
  <c r="F32" i="11" l="1"/>
  <c r="K31" i="11"/>
  <c r="N31" i="11" s="1"/>
  <c r="F32" i="10"/>
  <c r="K31" i="10"/>
  <c r="N31" i="10" s="1"/>
  <c r="F32" i="9"/>
  <c r="K31" i="9"/>
  <c r="N31" i="9" s="1"/>
  <c r="F32" i="8"/>
  <c r="K31" i="8"/>
  <c r="N31" i="8" s="1"/>
  <c r="F32" i="7"/>
  <c r="K31" i="7"/>
  <c r="N31" i="7" s="1"/>
  <c r="F33" i="11" l="1"/>
  <c r="K32" i="11"/>
  <c r="N32" i="11" s="1"/>
  <c r="K32" i="10"/>
  <c r="N32" i="10" s="1"/>
  <c r="F33" i="10"/>
  <c r="F33" i="9"/>
  <c r="K32" i="9"/>
  <c r="N32" i="9" s="1"/>
  <c r="K32" i="8"/>
  <c r="N32" i="8" s="1"/>
  <c r="F33" i="8"/>
  <c r="K32" i="7"/>
  <c r="N32" i="7" s="1"/>
  <c r="F33" i="7"/>
  <c r="F34" i="11" l="1"/>
  <c r="K33" i="11"/>
  <c r="N33" i="11" s="1"/>
  <c r="F34" i="10"/>
  <c r="K33" i="10"/>
  <c r="N33" i="10" s="1"/>
  <c r="F34" i="9"/>
  <c r="K33" i="9"/>
  <c r="N33" i="9" s="1"/>
  <c r="K33" i="8"/>
  <c r="F36" i="8"/>
  <c r="K33" i="7"/>
  <c r="F36" i="7"/>
  <c r="F35" i="11" l="1"/>
  <c r="K34" i="11"/>
  <c r="N34" i="11" s="1"/>
  <c r="K34" i="10"/>
  <c r="F36" i="10"/>
  <c r="F35" i="9"/>
  <c r="K34" i="9"/>
  <c r="N34" i="9" s="1"/>
  <c r="N33" i="8"/>
  <c r="N36" i="8" s="1"/>
  <c r="N37" i="8" s="1"/>
  <c r="A1" i="8" s="1"/>
  <c r="K36" i="8"/>
  <c r="N33" i="7"/>
  <c r="N36" i="7" s="1"/>
  <c r="N37" i="7" s="1"/>
  <c r="A1" i="7" s="1"/>
  <c r="K36" i="7"/>
  <c r="K35" i="11" l="1"/>
  <c r="F36" i="11"/>
  <c r="N34" i="10"/>
  <c r="N36" i="10" s="1"/>
  <c r="N37" i="10" s="1"/>
  <c r="A1" i="10" s="1"/>
  <c r="K36" i="10"/>
  <c r="K35" i="9"/>
  <c r="F36" i="9"/>
  <c r="N35" i="11" l="1"/>
  <c r="N36" i="11" s="1"/>
  <c r="N37" i="11" s="1"/>
  <c r="A1" i="11" s="1"/>
  <c r="K36" i="11"/>
  <c r="N35" i="9"/>
  <c r="N36" i="9" s="1"/>
  <c r="N37" i="9" s="1"/>
  <c r="A1" i="9" s="1"/>
  <c r="K36" i="9"/>
  <c r="F20" i="5" l="1"/>
  <c r="F15" i="5"/>
  <c r="F16" i="5" s="1"/>
  <c r="F14" i="5"/>
  <c r="C37" i="3"/>
  <c r="F15" i="3"/>
  <c r="E15" i="3"/>
  <c r="F14" i="3"/>
  <c r="E14" i="3"/>
  <c r="F13" i="3"/>
  <c r="E13" i="3"/>
  <c r="F12" i="3"/>
  <c r="F11" i="3"/>
  <c r="F10" i="3"/>
  <c r="F9" i="3"/>
  <c r="F8" i="3"/>
  <c r="E8" i="3"/>
  <c r="F7" i="3"/>
  <c r="F6" i="3"/>
  <c r="C110" i="6" a="1"/>
  <c r="C109" i="6" a="1"/>
  <c r="E53" i="3" a="1"/>
  <c r="L51" i="3" a="1"/>
  <c r="D51" i="3" a="1"/>
  <c r="K49" i="3" a="1"/>
  <c r="C49" i="3" a="1"/>
  <c r="J47" i="3" a="1"/>
  <c r="B47" i="3" a="1"/>
  <c r="I45" i="3" a="1"/>
  <c r="C35" i="3" a="1"/>
  <c r="C31" i="3" a="1"/>
  <c r="B61" i="3" a="1"/>
  <c r="G26" i="3" a="1"/>
  <c r="B68" i="3" a="1"/>
  <c r="B60" i="3" a="1"/>
  <c r="I54" i="3" a="1"/>
  <c r="H52" i="3" a="1"/>
  <c r="G50" i="3" a="1"/>
  <c r="F48" i="3" a="1"/>
  <c r="E46" i="3" a="1"/>
  <c r="G41" i="3" a="1"/>
  <c r="C26" i="3" a="1"/>
  <c r="C22" i="3" a="1"/>
  <c r="G48" i="3" a="1"/>
  <c r="L53" i="3" a="1"/>
  <c r="D53" i="3" a="1"/>
  <c r="K51" i="3" a="1"/>
  <c r="C51" i="3" a="1"/>
  <c r="J49" i="3" a="1"/>
  <c r="B49" i="3" a="1"/>
  <c r="I47" i="3" a="1"/>
  <c r="H45" i="3" a="1"/>
  <c r="G34" i="3" a="1"/>
  <c r="G30" i="3" a="1"/>
  <c r="J54" i="3" a="1"/>
  <c r="B67" i="3" a="1"/>
  <c r="B59" i="3" a="1"/>
  <c r="H54" i="3" a="1"/>
  <c r="G52" i="3" a="1"/>
  <c r="F50" i="3" a="1"/>
  <c r="E48" i="3" a="1"/>
  <c r="L46" i="3" a="1"/>
  <c r="D46" i="3" a="1"/>
  <c r="G40" i="3" a="1"/>
  <c r="G25" i="3" a="1"/>
  <c r="G21" i="3" a="1"/>
  <c r="F46" i="3" a="1"/>
  <c r="K53" i="3" a="1"/>
  <c r="C53" i="3" a="1"/>
  <c r="J51" i="3" a="1"/>
  <c r="B51" i="3" a="1"/>
  <c r="I49" i="3" a="1"/>
  <c r="H47" i="3" a="1"/>
  <c r="G45" i="3" a="1"/>
  <c r="C34" i="3" a="1"/>
  <c r="C30" i="3" a="1"/>
  <c r="B66" i="3" a="1"/>
  <c r="B58" i="3" a="1"/>
  <c r="G54" i="3" a="1"/>
  <c r="F52" i="3" a="1"/>
  <c r="E50" i="3" a="1"/>
  <c r="L48" i="3" a="1"/>
  <c r="D48" i="3" a="1"/>
  <c r="K46" i="3" a="1"/>
  <c r="C46" i="3" a="1"/>
  <c r="G39" i="3" a="1"/>
  <c r="C25" i="3" a="1"/>
  <c r="C21" i="3" a="1"/>
  <c r="J53" i="3" a="1"/>
  <c r="B53" i="3" a="1"/>
  <c r="I51" i="3" a="1"/>
  <c r="H49" i="3" a="1"/>
  <c r="G47" i="3" a="1"/>
  <c r="F45" i="3" a="1"/>
  <c r="G33" i="3" a="1"/>
  <c r="G29" i="3" a="1"/>
  <c r="B65" i="3" a="1"/>
  <c r="B57" i="3" a="1"/>
  <c r="F54" i="3" a="1"/>
  <c r="E52" i="3" a="1"/>
  <c r="L50" i="3" a="1"/>
  <c r="D50" i="3" a="1"/>
  <c r="K48" i="3" a="1"/>
  <c r="C48" i="3" a="1"/>
  <c r="J46" i="3" a="1"/>
  <c r="B46" i="3" a="1"/>
  <c r="G38" i="3" a="1"/>
  <c r="G24" i="3" a="1"/>
  <c r="G20" i="3" a="1"/>
  <c r="I52" i="3" a="1"/>
  <c r="I53" i="3" a="1"/>
  <c r="H51" i="3" a="1"/>
  <c r="G49" i="3" a="1"/>
  <c r="F47" i="3" a="1"/>
  <c r="E45" i="3" a="1"/>
  <c r="C33" i="3" a="1"/>
  <c r="B54" i="3" a="1"/>
  <c r="G22" i="3" a="1"/>
  <c r="B64" i="3" a="1"/>
  <c r="E54" i="3" a="1"/>
  <c r="L52" i="3" a="1"/>
  <c r="D52" i="3" a="1"/>
  <c r="K50" i="3" a="1"/>
  <c r="C50" i="3" a="1"/>
  <c r="J48" i="3" a="1"/>
  <c r="B48" i="3" a="1"/>
  <c r="I46" i="3" a="1"/>
  <c r="G37" i="3" a="1"/>
  <c r="G28" i="3" a="1"/>
  <c r="C24" i="3" a="1"/>
  <c r="C20" i="3" a="1"/>
  <c r="H50" i="3" a="1"/>
  <c r="H53" i="3" a="1"/>
  <c r="G51" i="3" a="1"/>
  <c r="F49" i="3" a="1"/>
  <c r="E47" i="3" a="1"/>
  <c r="L45" i="3" a="1"/>
  <c r="D45" i="3" a="1"/>
  <c r="G32" i="3" a="1"/>
  <c r="B63" i="3" a="1"/>
  <c r="L54" i="3" a="1"/>
  <c r="D54" i="3" a="1"/>
  <c r="K52" i="3" a="1"/>
  <c r="C52" i="3" a="1"/>
  <c r="J50" i="3" a="1"/>
  <c r="B50" i="3" a="1"/>
  <c r="I48" i="3" a="1"/>
  <c r="H46" i="3" a="1"/>
  <c r="G27" i="3" a="1"/>
  <c r="G23" i="3" a="1"/>
  <c r="G19" i="3" a="1"/>
  <c r="G53" i="3" a="1"/>
  <c r="F51" i="3" a="1"/>
  <c r="E49" i="3" a="1"/>
  <c r="L47" i="3" a="1"/>
  <c r="D47" i="3" a="1"/>
  <c r="K45" i="3" a="1"/>
  <c r="C45" i="3" a="1"/>
  <c r="G36" i="3" a="1"/>
  <c r="C32" i="3" a="1"/>
  <c r="B62" i="3" a="1"/>
  <c r="K54" i="3" a="1"/>
  <c r="C54" i="3" a="1"/>
  <c r="J52" i="3" a="1"/>
  <c r="B52" i="3" a="1"/>
  <c r="I50" i="3" a="1"/>
  <c r="H48" i="3" a="1"/>
  <c r="G46" i="3" a="1"/>
  <c r="C27" i="3" a="1"/>
  <c r="C23" i="3" a="1"/>
  <c r="C19" i="3" a="1"/>
  <c r="F53" i="3" a="1"/>
  <c r="E51" i="3" a="1"/>
  <c r="L49" i="3" a="1"/>
  <c r="D49" i="3" a="1"/>
  <c r="K47" i="3" a="1"/>
  <c r="C47" i="3" a="1"/>
  <c r="J45" i="3" a="1"/>
  <c r="B45" i="3" a="1"/>
  <c r="G35" i="3" a="1"/>
  <c r="G31" i="3" a="1"/>
  <c r="C109" i="6" l="1"/>
  <c r="C110" i="6"/>
  <c r="G31" i="3"/>
  <c r="G35" i="3"/>
  <c r="B45" i="3"/>
  <c r="J45" i="3"/>
  <c r="C47" i="3"/>
  <c r="K47" i="3"/>
  <c r="D49" i="3"/>
  <c r="L49" i="3"/>
  <c r="E51" i="3"/>
  <c r="F53" i="3"/>
  <c r="C19" i="3"/>
  <c r="C23" i="3"/>
  <c r="C27" i="3"/>
  <c r="G46" i="3"/>
  <c r="H48" i="3"/>
  <c r="I50" i="3"/>
  <c r="B52" i="3"/>
  <c r="J52" i="3"/>
  <c r="C54" i="3"/>
  <c r="K54" i="3"/>
  <c r="B62" i="3"/>
  <c r="D10" i="3" s="1"/>
  <c r="C32" i="3"/>
  <c r="G36" i="3"/>
  <c r="C45" i="3"/>
  <c r="K45" i="3"/>
  <c r="D47" i="3"/>
  <c r="L47" i="3"/>
  <c r="E49" i="3"/>
  <c r="F51" i="3"/>
  <c r="G53" i="3"/>
  <c r="G19" i="3"/>
  <c r="G23" i="3"/>
  <c r="G27" i="3"/>
  <c r="H46" i="3"/>
  <c r="I48" i="3"/>
  <c r="B50" i="3"/>
  <c r="J50" i="3"/>
  <c r="C52" i="3"/>
  <c r="K52" i="3"/>
  <c r="D54" i="3"/>
  <c r="L54" i="3"/>
  <c r="B63" i="3"/>
  <c r="D9" i="3" s="1"/>
  <c r="G32" i="3"/>
  <c r="D45" i="3"/>
  <c r="L45" i="3"/>
  <c r="E47" i="3"/>
  <c r="F49" i="3"/>
  <c r="G51" i="3"/>
  <c r="H53" i="3"/>
  <c r="H50" i="3"/>
  <c r="C20" i="3"/>
  <c r="C24" i="3"/>
  <c r="G28" i="3"/>
  <c r="G37" i="3"/>
  <c r="I46" i="3"/>
  <c r="B48" i="3"/>
  <c r="J48" i="3"/>
  <c r="C50" i="3"/>
  <c r="K50" i="3"/>
  <c r="D52" i="3"/>
  <c r="L52" i="3"/>
  <c r="E54" i="3"/>
  <c r="B64" i="3"/>
  <c r="D11" i="3" s="1"/>
  <c r="G22" i="3"/>
  <c r="B54" i="3"/>
  <c r="C33" i="3"/>
  <c r="E45" i="3"/>
  <c r="F47" i="3"/>
  <c r="G49" i="3"/>
  <c r="H51" i="3"/>
  <c r="I53" i="3"/>
  <c r="I52" i="3"/>
  <c r="G20" i="3"/>
  <c r="G24" i="3"/>
  <c r="G38" i="3"/>
  <c r="B46" i="3"/>
  <c r="J46" i="3"/>
  <c r="C48" i="3"/>
  <c r="K48" i="3"/>
  <c r="D50" i="3"/>
  <c r="L50" i="3"/>
  <c r="E52" i="3"/>
  <c r="F54" i="3"/>
  <c r="B57" i="3"/>
  <c r="B65" i="3"/>
  <c r="D12" i="3" s="1"/>
  <c r="G29" i="3"/>
  <c r="G33" i="3"/>
  <c r="F45" i="3"/>
  <c r="G47" i="3"/>
  <c r="H49" i="3"/>
  <c r="I51" i="3"/>
  <c r="B53" i="3"/>
  <c r="J53" i="3"/>
  <c r="C21" i="3"/>
  <c r="C25" i="3"/>
  <c r="G39" i="3"/>
  <c r="C46" i="3"/>
  <c r="K46" i="3"/>
  <c r="D48" i="3"/>
  <c r="L48" i="3"/>
  <c r="E50" i="3"/>
  <c r="F52" i="3"/>
  <c r="G54" i="3"/>
  <c r="B58" i="3"/>
  <c r="B66" i="3"/>
  <c r="D13" i="3" s="1"/>
  <c r="C30" i="3"/>
  <c r="C34" i="3"/>
  <c r="G45" i="3"/>
  <c r="H47" i="3"/>
  <c r="I49" i="3"/>
  <c r="B51" i="3"/>
  <c r="J51" i="3"/>
  <c r="C53" i="3"/>
  <c r="K53" i="3"/>
  <c r="F46" i="3"/>
  <c r="G21" i="3"/>
  <c r="G25" i="3"/>
  <c r="G40" i="3"/>
  <c r="D46" i="3"/>
  <c r="L46" i="3"/>
  <c r="E48" i="3"/>
  <c r="F50" i="3"/>
  <c r="G52" i="3"/>
  <c r="H54" i="3"/>
  <c r="B59" i="3"/>
  <c r="D14" i="3" s="1"/>
  <c r="B67" i="3"/>
  <c r="J54" i="3"/>
  <c r="G30" i="3"/>
  <c r="G34" i="3"/>
  <c r="H45" i="3"/>
  <c r="I47" i="3"/>
  <c r="B49" i="3"/>
  <c r="J49" i="3"/>
  <c r="C51" i="3"/>
  <c r="K51" i="3"/>
  <c r="D53" i="3"/>
  <c r="L53" i="3"/>
  <c r="G48" i="3"/>
  <c r="C22" i="3"/>
  <c r="C26" i="3"/>
  <c r="G41" i="3"/>
  <c r="E46" i="3"/>
  <c r="F48" i="3"/>
  <c r="G50" i="3"/>
  <c r="H52" i="3"/>
  <c r="I54" i="3"/>
  <c r="B60" i="3"/>
  <c r="D6" i="3" s="1"/>
  <c r="B68" i="3"/>
  <c r="D8" i="3" s="1"/>
  <c r="G26" i="3"/>
  <c r="B61" i="3"/>
  <c r="D7" i="3" s="1"/>
  <c r="C31" i="3"/>
  <c r="C35" i="3"/>
  <c r="I45" i="3"/>
  <c r="B47" i="3"/>
  <c r="J47" i="3"/>
  <c r="C49" i="3"/>
  <c r="K49" i="3"/>
  <c r="D51" i="3"/>
  <c r="L51" i="3"/>
  <c r="E53" i="3"/>
  <c r="C62" i="6"/>
  <c r="C116" i="6" a="1"/>
  <c r="C71" i="6"/>
  <c r="C65" i="6"/>
  <c r="C89" i="6"/>
  <c r="C147" i="6"/>
  <c r="C60" i="6"/>
  <c r="C99" i="6"/>
  <c r="C117" i="6" a="1"/>
  <c r="C59" i="6"/>
  <c r="C79" i="6"/>
  <c r="C73" i="6"/>
  <c r="C61" i="6"/>
  <c r="C44" i="6"/>
  <c r="C96" i="6"/>
  <c r="C114" i="6" a="1"/>
  <c r="C3" i="6"/>
  <c r="C6" i="6"/>
  <c r="C55" i="6"/>
  <c r="C40" i="6"/>
  <c r="C28" i="6"/>
  <c r="C102" i="6" a="1"/>
  <c r="C85" i="6"/>
  <c r="C120" i="6" a="1"/>
  <c r="C94" i="6"/>
  <c r="C119" i="6" a="1"/>
  <c r="C80" i="6"/>
  <c r="C135" i="6" a="1"/>
  <c r="C97" i="6"/>
  <c r="C127" i="6" a="1"/>
  <c r="C83" i="6"/>
  <c r="C26" i="6"/>
  <c r="C88" i="6"/>
  <c r="C18" i="6"/>
  <c r="C48" i="6"/>
  <c r="C21" i="6"/>
  <c r="C7" i="6"/>
  <c r="C146" i="6"/>
  <c r="C78" i="6"/>
  <c r="C81" i="6"/>
  <c r="C122" i="6" a="1"/>
  <c r="C123" i="6" a="1"/>
  <c r="C132" i="6" a="1"/>
  <c r="C30" i="6"/>
  <c r="C144" i="6"/>
  <c r="C98" i="6"/>
  <c r="C141" i="6"/>
  <c r="C5" i="6"/>
  <c r="C25" i="6"/>
  <c r="C10" i="6"/>
  <c r="C39" i="6"/>
  <c r="C8" i="6"/>
  <c r="C36" i="6"/>
  <c r="C103" i="6" a="1"/>
  <c r="C134" i="6" a="1"/>
  <c r="C107" i="6" a="1"/>
  <c r="C50" i="6"/>
  <c r="C128" i="6" a="1"/>
  <c r="C45" i="6"/>
  <c r="C124" i="6" a="1"/>
  <c r="C29" i="6"/>
  <c r="C139" i="6"/>
  <c r="C13" i="6"/>
  <c r="C24" i="6"/>
  <c r="C131" i="6" a="1"/>
  <c r="C51" i="6"/>
  <c r="C106" i="6" a="1"/>
  <c r="C66" i="6"/>
  <c r="C67" i="6"/>
  <c r="C125" i="6" a="1"/>
  <c r="C75" i="6"/>
  <c r="C46" i="6"/>
  <c r="C133" i="6" a="1"/>
  <c r="C95" i="6"/>
  <c r="C126" i="6" a="1"/>
  <c r="C49" i="6"/>
  <c r="C136" i="6" a="1"/>
  <c r="C90" i="6"/>
  <c r="C12" i="6"/>
  <c r="C31" i="6"/>
  <c r="C37" i="6"/>
  <c r="C74" i="6"/>
  <c r="C53" i="6"/>
  <c r="C84" i="6"/>
  <c r="C32" i="6"/>
  <c r="C100" i="6" a="1"/>
  <c r="C86" i="6"/>
  <c r="C72" i="6"/>
  <c r="C129" i="6" a="1"/>
  <c r="C47" i="6"/>
  <c r="C23" i="6"/>
  <c r="C1" i="6"/>
  <c r="C140" i="6"/>
  <c r="C63" i="6"/>
  <c r="C112" i="6" a="1"/>
  <c r="C4" i="6"/>
  <c r="C143" i="6"/>
  <c r="C58" i="6"/>
  <c r="C16" i="6"/>
  <c r="C41" i="6"/>
  <c r="C105" i="6" a="1"/>
  <c r="C130" i="6" a="1"/>
  <c r="C87" i="6"/>
  <c r="C9" i="6"/>
  <c r="C148" i="6"/>
  <c r="C38" i="6"/>
  <c r="C118" i="6" a="1"/>
  <c r="C104" i="6" a="1"/>
  <c r="C2" i="6"/>
  <c r="C145" i="6"/>
  <c r="C20" i="6"/>
  <c r="C76" i="6"/>
  <c r="C57" i="6"/>
  <c r="C113" i="6" a="1"/>
  <c r="C91" i="6"/>
  <c r="C35" i="6"/>
  <c r="C19" i="6"/>
  <c r="C68" i="6"/>
  <c r="C43" i="6"/>
  <c r="C54" i="6"/>
  <c r="C14" i="6"/>
  <c r="C52" i="6"/>
  <c r="C22" i="6"/>
  <c r="C69" i="6"/>
  <c r="C64" i="6"/>
  <c r="C33" i="6"/>
  <c r="C121" i="6" a="1"/>
  <c r="C82" i="6"/>
  <c r="C77" i="6"/>
  <c r="C56" i="6"/>
  <c r="C101" i="6" a="1"/>
  <c r="C108" i="6" a="1"/>
  <c r="C149" i="6"/>
  <c r="C92" i="6"/>
  <c r="C27" i="6"/>
  <c r="C34" i="6"/>
  <c r="C42" i="6"/>
  <c r="C70" i="6"/>
  <c r="C11" i="6"/>
  <c r="C137" i="6" a="1"/>
  <c r="C142" i="6"/>
  <c r="C15" i="6"/>
  <c r="C111" i="6" a="1"/>
  <c r="C115" i="6" a="1"/>
  <c r="C93" i="6"/>
  <c r="C17" i="6"/>
  <c r="C115" i="6" l="1"/>
  <c r="C111" i="6"/>
  <c r="C137" i="6"/>
  <c r="C108" i="6"/>
  <c r="C101" i="6"/>
  <c r="C121" i="6"/>
  <c r="C113" i="6"/>
  <c r="C104" i="6"/>
  <c r="C118" i="6"/>
  <c r="C130" i="6"/>
  <c r="C105" i="6"/>
  <c r="C112" i="6"/>
  <c r="C129" i="6"/>
  <c r="C100" i="6"/>
  <c r="C136" i="6"/>
  <c r="C126" i="6"/>
  <c r="C133" i="6"/>
  <c r="C125" i="6"/>
  <c r="C106" i="6"/>
  <c r="C131" i="6"/>
  <c r="C124" i="6"/>
  <c r="C128" i="6"/>
  <c r="C107" i="6"/>
  <c r="C134" i="6"/>
  <c r="C103" i="6"/>
  <c r="C132" i="6"/>
  <c r="C123" i="6"/>
  <c r="C122" i="6"/>
  <c r="C127" i="6"/>
  <c r="C135" i="6"/>
  <c r="C119" i="6"/>
  <c r="C120" i="6"/>
  <c r="C102" i="6"/>
  <c r="C114" i="6"/>
  <c r="C117" i="6"/>
  <c r="C116" i="6"/>
  <c r="D5" i="3"/>
  <c r="E7" i="3"/>
  <c r="E9" i="3"/>
  <c r="C138" i="6"/>
  <c r="E10" i="3"/>
  <c r="C29" i="3"/>
  <c r="C13" i="3" s="1"/>
  <c r="G13" i="3" s="1"/>
  <c r="E11" i="3"/>
  <c r="E6" i="3"/>
  <c r="D15" i="3"/>
  <c r="G15" i="3" s="1"/>
  <c r="F5" i="3"/>
  <c r="E5" i="3"/>
  <c r="E4" i="3"/>
  <c r="G18" i="3"/>
  <c r="M51" i="3"/>
  <c r="B10" i="3" s="1"/>
  <c r="M53" i="3"/>
  <c r="B12" i="3" s="1"/>
  <c r="M46" i="3"/>
  <c r="B5" i="3" s="1"/>
  <c r="C18" i="3"/>
  <c r="F4" i="3"/>
  <c r="M47" i="3"/>
  <c r="B6" i="3" s="1"/>
  <c r="M48" i="3"/>
  <c r="B7" i="3" s="1"/>
  <c r="M49" i="3"/>
  <c r="B8" i="3" s="1"/>
  <c r="G8" i="3" s="1"/>
  <c r="D4" i="3"/>
  <c r="B56" i="3"/>
  <c r="M50" i="3"/>
  <c r="B9" i="3" s="1"/>
  <c r="M45" i="3"/>
  <c r="M54" i="3"/>
  <c r="B14" i="3" s="1"/>
  <c r="G14" i="3" s="1"/>
  <c r="E12" i="3"/>
  <c r="M52" i="3"/>
  <c r="B11" i="3" s="1"/>
  <c r="C16" i="3" l="1"/>
  <c r="G9" i="3"/>
  <c r="G7" i="3"/>
  <c r="D16" i="3"/>
  <c r="G6" i="3"/>
  <c r="G5" i="3"/>
  <c r="G11" i="3"/>
  <c r="G10" i="3"/>
  <c r="F16" i="3"/>
  <c r="E16" i="3"/>
  <c r="G12" i="3"/>
  <c r="B4" i="3"/>
  <c r="K43" i="3"/>
  <c r="G4" i="3" l="1"/>
  <c r="G16" i="3" s="1"/>
  <c r="A1" i="3" s="1"/>
  <c r="B16" i="3"/>
  <c r="K36" i="2" l="1"/>
  <c r="J36" i="2"/>
  <c r="I36" i="2"/>
  <c r="H36" i="2"/>
  <c r="S35" i="2"/>
  <c r="R35" i="2"/>
  <c r="Q35" i="2"/>
  <c r="P35" i="2"/>
  <c r="O35" i="2"/>
  <c r="N35" i="2"/>
  <c r="M35" i="2"/>
  <c r="L35" i="2"/>
  <c r="T35" i="2" s="1"/>
  <c r="S34" i="2"/>
  <c r="R34" i="2"/>
  <c r="Q34" i="2"/>
  <c r="N34" i="2"/>
  <c r="M34" i="2"/>
  <c r="L34" i="2"/>
  <c r="S33" i="2"/>
  <c r="R33" i="2"/>
  <c r="Q33" i="2"/>
  <c r="N33" i="2"/>
  <c r="M33" i="2"/>
  <c r="L33" i="2"/>
  <c r="S32" i="2"/>
  <c r="R32" i="2"/>
  <c r="Q32" i="2"/>
  <c r="N32" i="2"/>
  <c r="M32" i="2"/>
  <c r="L32" i="2"/>
  <c r="S31" i="2"/>
  <c r="R31" i="2"/>
  <c r="Q31" i="2"/>
  <c r="N31" i="2"/>
  <c r="M31" i="2"/>
  <c r="L31" i="2"/>
  <c r="S30" i="2"/>
  <c r="R30" i="2"/>
  <c r="Q30" i="2"/>
  <c r="N30" i="2"/>
  <c r="M30" i="2"/>
  <c r="L30" i="2"/>
  <c r="S29" i="2"/>
  <c r="R29" i="2"/>
  <c r="Q29" i="2"/>
  <c r="N29" i="2"/>
  <c r="M29" i="2"/>
  <c r="L29" i="2"/>
  <c r="S28" i="2"/>
  <c r="R28" i="2"/>
  <c r="Q28" i="2"/>
  <c r="N28" i="2"/>
  <c r="M28" i="2"/>
  <c r="L28" i="2"/>
  <c r="S27" i="2"/>
  <c r="R27" i="2"/>
  <c r="Q27" i="2"/>
  <c r="N27" i="2"/>
  <c r="M27" i="2"/>
  <c r="L27" i="2"/>
  <c r="S26" i="2"/>
  <c r="R26" i="2"/>
  <c r="Q26" i="2"/>
  <c r="N26" i="2"/>
  <c r="M26" i="2"/>
  <c r="L26" i="2"/>
  <c r="S25" i="2"/>
  <c r="R25" i="2"/>
  <c r="Q25" i="2"/>
  <c r="N25" i="2"/>
  <c r="M25" i="2"/>
  <c r="L25" i="2"/>
  <c r="S24" i="2"/>
  <c r="R24" i="2"/>
  <c r="Q24" i="2"/>
  <c r="N24" i="2"/>
  <c r="M24" i="2"/>
  <c r="L24" i="2"/>
  <c r="S23" i="2"/>
  <c r="R23" i="2"/>
  <c r="Q23" i="2"/>
  <c r="N23" i="2"/>
  <c r="M23" i="2"/>
  <c r="L23" i="2"/>
  <c r="S22" i="2"/>
  <c r="R22" i="2"/>
  <c r="Q22" i="2"/>
  <c r="N22" i="2"/>
  <c r="M22" i="2"/>
  <c r="L22" i="2"/>
  <c r="S21" i="2"/>
  <c r="R21" i="2"/>
  <c r="Q21" i="2"/>
  <c r="N21" i="2"/>
  <c r="M21" i="2"/>
  <c r="L21" i="2"/>
  <c r="S20" i="2"/>
  <c r="R20" i="2"/>
  <c r="Q20" i="2"/>
  <c r="N20" i="2"/>
  <c r="M20" i="2"/>
  <c r="L20" i="2"/>
  <c r="S19" i="2"/>
  <c r="R19" i="2"/>
  <c r="Q19" i="2"/>
  <c r="N19" i="2"/>
  <c r="M19" i="2"/>
  <c r="L19" i="2"/>
  <c r="S18" i="2"/>
  <c r="R18" i="2"/>
  <c r="Q18" i="2"/>
  <c r="N18" i="2"/>
  <c r="M18" i="2"/>
  <c r="L18" i="2"/>
  <c r="S17" i="2"/>
  <c r="R17" i="2"/>
  <c r="Q17" i="2"/>
  <c r="N17" i="2"/>
  <c r="M17" i="2"/>
  <c r="L17" i="2"/>
  <c r="S16" i="2"/>
  <c r="R16" i="2"/>
  <c r="Q16" i="2"/>
  <c r="N16" i="2"/>
  <c r="M16" i="2"/>
  <c r="L16" i="2"/>
  <c r="S15" i="2"/>
  <c r="R15" i="2"/>
  <c r="Q15" i="2"/>
  <c r="N15" i="2"/>
  <c r="M15" i="2"/>
  <c r="L15" i="2"/>
  <c r="S14" i="2"/>
  <c r="R14" i="2"/>
  <c r="Q14" i="2"/>
  <c r="N14" i="2"/>
  <c r="M14" i="2"/>
  <c r="L14" i="2"/>
  <c r="S13" i="2"/>
  <c r="R13" i="2"/>
  <c r="Q13" i="2"/>
  <c r="N13" i="2"/>
  <c r="M13" i="2"/>
  <c r="L13" i="2"/>
  <c r="S12" i="2"/>
  <c r="R12" i="2"/>
  <c r="Q12" i="2"/>
  <c r="N12" i="2"/>
  <c r="M12" i="2"/>
  <c r="L12" i="2"/>
  <c r="S11" i="2"/>
  <c r="R11" i="2"/>
  <c r="Q11" i="2"/>
  <c r="N11" i="2"/>
  <c r="M11" i="2"/>
  <c r="L11" i="2"/>
  <c r="S10" i="2"/>
  <c r="R10" i="2"/>
  <c r="Q10" i="2"/>
  <c r="N10" i="2"/>
  <c r="M10" i="2"/>
  <c r="L10" i="2"/>
  <c r="S9" i="2"/>
  <c r="R9" i="2"/>
  <c r="Q9" i="2"/>
  <c r="N9" i="2"/>
  <c r="M9" i="2"/>
  <c r="L9" i="2"/>
  <c r="S8" i="2"/>
  <c r="R8" i="2"/>
  <c r="Q8" i="2"/>
  <c r="N8" i="2"/>
  <c r="M8" i="2"/>
  <c r="L8" i="2"/>
  <c r="S7" i="2"/>
  <c r="S36" i="2" s="1"/>
  <c r="R7" i="2"/>
  <c r="Q7" i="2"/>
  <c r="N7" i="2"/>
  <c r="M7" i="2"/>
  <c r="L7" i="2"/>
  <c r="F7" i="2"/>
  <c r="F8" i="2" s="1"/>
  <c r="S6" i="2"/>
  <c r="R6" i="2"/>
  <c r="Q6" i="2"/>
  <c r="O6" i="2"/>
  <c r="N6" i="2"/>
  <c r="M6" i="2"/>
  <c r="L6" i="2"/>
  <c r="F6" i="2"/>
  <c r="S5" i="2"/>
  <c r="R5" i="2"/>
  <c r="R36" i="2" s="1"/>
  <c r="Q5" i="2"/>
  <c r="Q36" i="2" s="1"/>
  <c r="O5" i="2"/>
  <c r="N5" i="2"/>
  <c r="N36" i="2" s="1"/>
  <c r="M5" i="2"/>
  <c r="M36" i="2" s="1"/>
  <c r="L5" i="2"/>
  <c r="L36" i="2" s="1"/>
  <c r="A2" i="2"/>
  <c r="F9" i="2" l="1"/>
  <c r="O8" i="2"/>
  <c r="T8" i="2" s="1"/>
  <c r="G5" i="2"/>
  <c r="G7" i="2"/>
  <c r="P7" i="2" s="1"/>
  <c r="O7" i="2"/>
  <c r="T7" i="2" s="1"/>
  <c r="G6" i="2"/>
  <c r="P6" i="2" s="1"/>
  <c r="T6" i="2" s="1"/>
  <c r="G9" i="2"/>
  <c r="P9" i="2" s="1"/>
  <c r="G8" i="2"/>
  <c r="P8" i="2" s="1"/>
  <c r="P5" i="2" l="1"/>
  <c r="F10" i="2"/>
  <c r="O9" i="2"/>
  <c r="T9" i="2" s="1"/>
  <c r="F11" i="2" l="1"/>
  <c r="O10" i="2"/>
  <c r="G10" i="2"/>
  <c r="T5" i="2"/>
  <c r="P10" i="2" l="1"/>
  <c r="T10" i="2"/>
  <c r="F12" i="2"/>
  <c r="O11" i="2"/>
  <c r="G11" i="2"/>
  <c r="P11" i="2" s="1"/>
  <c r="T11" i="2" l="1"/>
  <c r="O12" i="2"/>
  <c r="F13" i="2"/>
  <c r="G12" i="2"/>
  <c r="P12" i="2" s="1"/>
  <c r="O13" i="2" l="1"/>
  <c r="F14" i="2"/>
  <c r="G13" i="2"/>
  <c r="P13" i="2" s="1"/>
  <c r="T12" i="2"/>
  <c r="O14" i="2" l="1"/>
  <c r="F15" i="2"/>
  <c r="G14" i="2"/>
  <c r="P14" i="2" s="1"/>
  <c r="T13" i="2"/>
  <c r="F16" i="2" l="1"/>
  <c r="O15" i="2"/>
  <c r="G15" i="2"/>
  <c r="P15" i="2" s="1"/>
  <c r="T14" i="2"/>
  <c r="T15" i="2" l="1"/>
  <c r="O16" i="2"/>
  <c r="F17" i="2"/>
  <c r="G16" i="2"/>
  <c r="P16" i="2" s="1"/>
  <c r="F18" i="2" l="1"/>
  <c r="O17" i="2"/>
  <c r="G17" i="2"/>
  <c r="P17" i="2" s="1"/>
  <c r="T16" i="2"/>
  <c r="T17" i="2" l="1"/>
  <c r="F19" i="2"/>
  <c r="O18" i="2"/>
  <c r="G18" i="2"/>
  <c r="P18" i="2" s="1"/>
  <c r="T18" i="2" l="1"/>
  <c r="O19" i="2"/>
  <c r="F20" i="2"/>
  <c r="G19" i="2"/>
  <c r="P19" i="2" s="1"/>
  <c r="O20" i="2" l="1"/>
  <c r="F21" i="2"/>
  <c r="G20" i="2"/>
  <c r="P20" i="2" s="1"/>
  <c r="T19" i="2"/>
  <c r="F22" i="2" l="1"/>
  <c r="O21" i="2"/>
  <c r="G21" i="2"/>
  <c r="P21" i="2" s="1"/>
  <c r="T20" i="2"/>
  <c r="T21" i="2" l="1"/>
  <c r="F23" i="2"/>
  <c r="O22" i="2"/>
  <c r="G22" i="2"/>
  <c r="P22" i="2" s="1"/>
  <c r="T22" i="2" l="1"/>
  <c r="O23" i="2"/>
  <c r="F24" i="2"/>
  <c r="G23" i="2"/>
  <c r="P23" i="2" s="1"/>
  <c r="F25" i="2" l="1"/>
  <c r="O24" i="2"/>
  <c r="G24" i="2"/>
  <c r="P24" i="2" s="1"/>
  <c r="T23" i="2"/>
  <c r="T24" i="2" l="1"/>
  <c r="F26" i="2"/>
  <c r="O25" i="2"/>
  <c r="G25" i="2"/>
  <c r="P25" i="2" s="1"/>
  <c r="T25" i="2" l="1"/>
  <c r="F27" i="2"/>
  <c r="O26" i="2"/>
  <c r="G26" i="2"/>
  <c r="P26" i="2" s="1"/>
  <c r="T26" i="2" l="1"/>
  <c r="F28" i="2"/>
  <c r="O27" i="2"/>
  <c r="G27" i="2"/>
  <c r="P27" i="2" s="1"/>
  <c r="T27" i="2" l="1"/>
  <c r="O28" i="2"/>
  <c r="F29" i="2"/>
  <c r="G28" i="2"/>
  <c r="P28" i="2" s="1"/>
  <c r="O29" i="2" l="1"/>
  <c r="F30" i="2"/>
  <c r="G29" i="2"/>
  <c r="P29" i="2" s="1"/>
  <c r="T28" i="2"/>
  <c r="F31" i="2" l="1"/>
  <c r="O30" i="2"/>
  <c r="G30" i="2"/>
  <c r="P30" i="2" s="1"/>
  <c r="T29" i="2"/>
  <c r="T30" i="2" l="1"/>
  <c r="F32" i="2"/>
  <c r="O31" i="2"/>
  <c r="G31" i="2"/>
  <c r="P31" i="2" s="1"/>
  <c r="T31" i="2" l="1"/>
  <c r="O32" i="2"/>
  <c r="F33" i="2"/>
  <c r="G32" i="2"/>
  <c r="P32" i="2" s="1"/>
  <c r="F34" i="2" l="1"/>
  <c r="O33" i="2"/>
  <c r="G33" i="2"/>
  <c r="P33" i="2" s="1"/>
  <c r="T32" i="2"/>
  <c r="T33" i="2" l="1"/>
  <c r="O34" i="2"/>
  <c r="G34" i="2"/>
  <c r="F36" i="2"/>
  <c r="P34" i="2" l="1"/>
  <c r="P36" i="2" s="1"/>
  <c r="G36" i="2"/>
  <c r="T34" i="2"/>
  <c r="T36" i="2" s="1"/>
  <c r="T37" i="2" s="1"/>
  <c r="A1" i="2" s="1"/>
  <c r="O3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<sst xmlns="http://schemas.openxmlformats.org/spreadsheetml/2006/main" count="2236" uniqueCount="220">
  <si>
    <t>№</t>
  </si>
  <si>
    <t>дата</t>
  </si>
  <si>
    <t>Выгрузка кол-во</t>
  </si>
  <si>
    <t>Загрузка кол-во</t>
  </si>
  <si>
    <t>Хранение</t>
  </si>
  <si>
    <t>Резервирование 70 т</t>
  </si>
  <si>
    <t>Мин. Суточный резерв 0 т</t>
  </si>
  <si>
    <t>переконсолидация (тонн)</t>
  </si>
  <si>
    <t>Паллетирование</t>
  </si>
  <si>
    <t xml:space="preserve">Ночная загруска выгрузка </t>
  </si>
  <si>
    <t>стоимость ночной загруски</t>
  </si>
  <si>
    <t>стоимость выгрузки</t>
  </si>
  <si>
    <t>стоимость загрузки</t>
  </si>
  <si>
    <t>стоимость хранения</t>
  </si>
  <si>
    <t>Стоимость резервирования</t>
  </si>
  <si>
    <t>Стоимость мин.суточной бработки</t>
  </si>
  <si>
    <t>стоимость переконс.</t>
  </si>
  <si>
    <t>Стоимость паллетирования</t>
  </si>
  <si>
    <t>итого</t>
  </si>
  <si>
    <t>ТОП</t>
  </si>
  <si>
    <t>Склад</t>
  </si>
  <si>
    <t>Сибур</t>
  </si>
  <si>
    <t>Завод</t>
  </si>
  <si>
    <t>Русвинил</t>
  </si>
  <si>
    <t>Клиенты сибура</t>
  </si>
  <si>
    <t>Остальные</t>
  </si>
  <si>
    <t>Итого</t>
  </si>
  <si>
    <t>Казань_Автосервисная</t>
  </si>
  <si>
    <t>Баумана</t>
  </si>
  <si>
    <t>Нижнекамск завод</t>
  </si>
  <si>
    <t>Новикова-Прибоя</t>
  </si>
  <si>
    <t>Екатеринбург</t>
  </si>
  <si>
    <t>Новосибирск</t>
  </si>
  <si>
    <t>Новосибирск_Пасечная</t>
  </si>
  <si>
    <t>Казань_Приволжская</t>
  </si>
  <si>
    <t>Зеленодольск</t>
  </si>
  <si>
    <t>Нижнекамск</t>
  </si>
  <si>
    <t>ГАЗ</t>
  </si>
  <si>
    <t>ЕкатеринбургЧкаловский</t>
  </si>
  <si>
    <t>Монастырка</t>
  </si>
  <si>
    <t>Березовая Пойма</t>
  </si>
  <si>
    <t>Остальные клиенты</t>
  </si>
  <si>
    <t>Стройтех</t>
  </si>
  <si>
    <t>Приоритет</t>
  </si>
  <si>
    <t>Ергарда</t>
  </si>
  <si>
    <t>Фармпласт</t>
  </si>
  <si>
    <t>Литейные решения</t>
  </si>
  <si>
    <t>Юг Полимер</t>
  </si>
  <si>
    <t>Сандекс</t>
  </si>
  <si>
    <t>Центрополимер</t>
  </si>
  <si>
    <t>ЛС-Техномет</t>
  </si>
  <si>
    <t>РусДжам</t>
  </si>
  <si>
    <t>Виго</t>
  </si>
  <si>
    <t>Доктор Франк</t>
  </si>
  <si>
    <t>Данафлекс</t>
  </si>
  <si>
    <t>Нефтезол</t>
  </si>
  <si>
    <t>ИП Ксендз</t>
  </si>
  <si>
    <t>ПРР</t>
  </si>
  <si>
    <t>Кладовки</t>
  </si>
  <si>
    <t>Стропальщики</t>
  </si>
  <si>
    <t>Биаксплен</t>
  </si>
  <si>
    <t>Мойка контейнеров</t>
  </si>
  <si>
    <t>МТО</t>
  </si>
  <si>
    <t>МТО 2520</t>
  </si>
  <si>
    <t>Контейнерные площадки</t>
  </si>
  <si>
    <t>КОС</t>
  </si>
  <si>
    <t>Оникс</t>
  </si>
  <si>
    <t>СИБУР</t>
  </si>
  <si>
    <t>KPI</t>
  </si>
  <si>
    <t>Полиом</t>
  </si>
  <si>
    <t>Полимеры</t>
  </si>
  <si>
    <t>Каучук</t>
  </si>
  <si>
    <t>ПСОН</t>
  </si>
  <si>
    <t>СБС</t>
  </si>
  <si>
    <t>Порошок</t>
  </si>
  <si>
    <t>НПЭГ</t>
  </si>
  <si>
    <t>Экспорт</t>
  </si>
  <si>
    <t>Доп услуги</t>
  </si>
  <si>
    <t>ИТОГО</t>
  </si>
  <si>
    <t xml:space="preserve">Наименование услуг (работ) </t>
  </si>
  <si>
    <t>Ед. изм.</t>
  </si>
  <si>
    <t>Количество</t>
  </si>
  <si>
    <t>Цена</t>
  </si>
  <si>
    <t>Сумма</t>
  </si>
  <si>
    <t>Итого:</t>
  </si>
  <si>
    <t>Без налога (НДС)</t>
  </si>
  <si>
    <t>Всего (с учетом НДС)</t>
  </si>
  <si>
    <t>Вышеперечисленные услуги (работы) выполнены полностью.</t>
  </si>
  <si>
    <t>ПОКЛАЖЕДАТЕЛЬ претензий по объему, качеству и срокам оказания услуг претензий не имеет.</t>
  </si>
  <si>
    <t>Контейнеры</t>
  </si>
  <si>
    <t>ООО "ДТМ"</t>
  </si>
  <si>
    <t>ПАО "Нижнекамскнефтехим"</t>
  </si>
  <si>
    <t>____________________Молькова Т.Ю.</t>
  </si>
  <si>
    <t>Расстегаев Д.О.</t>
  </si>
  <si>
    <t>____________________</t>
  </si>
  <si>
    <t>КП КОС</t>
  </si>
  <si>
    <t>КП Нижнекамск</t>
  </si>
  <si>
    <t>Цены</t>
  </si>
  <si>
    <t>Выгрузка</t>
  </si>
  <si>
    <t>Загрузка</t>
  </si>
  <si>
    <t>Переконсолидация</t>
  </si>
  <si>
    <t>31.06.2026</t>
  </si>
  <si>
    <t>Новикова</t>
  </si>
  <si>
    <t>Отчет по хранению  товара  за Июнь</t>
  </si>
  <si>
    <t>Выгрузка кол-во паллет</t>
  </si>
  <si>
    <t>Загрузка кол-во паллет</t>
  </si>
  <si>
    <t>Ручная загрузка</t>
  </si>
  <si>
    <t>Ручная выгрузка</t>
  </si>
  <si>
    <t>предоставление паллеты</t>
  </si>
  <si>
    <t>Фильмаж (паллет)</t>
  </si>
  <si>
    <t>Стоимость ручной загрузки</t>
  </si>
  <si>
    <t>Стоимость ручной выгрузки</t>
  </si>
  <si>
    <t>Стоимость предоставления паллета</t>
  </si>
  <si>
    <t>стоимость услуги фильмаж</t>
  </si>
  <si>
    <t>(кол-во паллет)</t>
  </si>
  <si>
    <t>Отчет "Сандекс" Июнь 2025</t>
  </si>
  <si>
    <t>Стоимость</t>
  </si>
  <si>
    <t>Выгрузка паллет</t>
  </si>
  <si>
    <t>Выгрузка короб</t>
  </si>
  <si>
    <t>Загрузка паллет</t>
  </si>
  <si>
    <t>Загрузка короб</t>
  </si>
  <si>
    <t>Наборка короб</t>
  </si>
  <si>
    <t>Палетирование</t>
  </si>
  <si>
    <t>Выгрузка палллет</t>
  </si>
  <si>
    <t>Наборка</t>
  </si>
  <si>
    <t>Отчет по хранению  товара  СтройТех за Июнь</t>
  </si>
  <si>
    <t>ручная загрузка</t>
  </si>
  <si>
    <t>стоимость загр.. Работ</t>
  </si>
  <si>
    <t>мультипак</t>
  </si>
  <si>
    <t>шт,.</t>
  </si>
  <si>
    <t>Отчет по хранению  товара  Ергарда за Июнь</t>
  </si>
  <si>
    <t xml:space="preserve">по Договору хранения № СХ.47103 от «10» апреля 2025 г.      </t>
  </si>
  <si>
    <t xml:space="preserve">     </t>
  </si>
  <si>
    <t xml:space="preserve">Сумма без НДС </t>
  </si>
  <si>
    <t>Сумма с НДС</t>
  </si>
  <si>
    <t>оформление документов</t>
  </si>
  <si>
    <t>шт.</t>
  </si>
  <si>
    <t>Оформление сертификата</t>
  </si>
  <si>
    <t xml:space="preserve">Итого: </t>
  </si>
  <si>
    <t>пятьдесят тысяч рублей ноль копеек</t>
  </si>
  <si>
    <t xml:space="preserve">Без налога (НДС): </t>
  </si>
  <si>
    <t>шестьдесят одна тысяча рублей ноль копеек</t>
  </si>
  <si>
    <t>ПАО "СИБУР Холдинг"</t>
  </si>
  <si>
    <t>____________________Расстегаев Д.О.</t>
  </si>
  <si>
    <t>шестьдесят восемь тысяч рублей ноль копеек</t>
  </si>
  <si>
    <t>восемьдесят две тысячи девятьсот шестьдесят рублей ноль копеек</t>
  </si>
  <si>
    <t xml:space="preserve">по Договору хранения № СХ.45411 от «01» января 2025 г.      </t>
  </si>
  <si>
    <t>Переконсолидация Товара</t>
  </si>
  <si>
    <t>тонна</t>
  </si>
  <si>
    <t>Предоставление фито поддона</t>
  </si>
  <si>
    <t>штука</t>
  </si>
  <si>
    <t>тридцать шесть рублей ноль копеек</t>
  </si>
  <si>
    <t>сорок три тысячи девятьсот двадцать рублей ноль копеек</t>
  </si>
  <si>
    <t>Отчет по хранению товара за Июнь 2026 Баумана KPI</t>
  </si>
  <si>
    <t>Резервирование 0</t>
  </si>
  <si>
    <t>Мин. Суточный резерв 0</t>
  </si>
  <si>
    <t>Взвешивание</t>
  </si>
  <si>
    <t>стоимость взвешивания</t>
  </si>
  <si>
    <t>стоимость выгрузки за 1 месяц</t>
  </si>
  <si>
    <t>стоимость загрузки за 1 месяц</t>
  </si>
  <si>
    <t>стоимость хранения 
за 1 месяц</t>
  </si>
  <si>
    <t>Доплата за хранение за 1 месяц</t>
  </si>
  <si>
    <t>Доплата за ПРР за 1 месяц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</si>
  <si>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</si>
  <si>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</si>
  <si>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</si>
  <si>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</si>
  <si>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</si>
  <si>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</si>
  <si>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</si>
  <si>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</si>
  <si>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</si>
  <si>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</si>
  <si>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</si>
  <si>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</si>
  <si>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</si>
  <si>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</si>
  <si>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</si>
  <si>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</si>
  <si>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</si>
  <si>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</si>
  <si>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</si>
  <si>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</si>
  <si>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</si>
  <si>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</si>
  <si>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</si>
  <si>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</si>
  <si>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</si>
  <si>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</si>
  <si>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</si>
  <si>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</si>
  <si>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</si>
  <si>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</si>
  <si>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Отчет по хранению товара за Июнь 2026 Баумана Полимеры</t>
  </si>
  <si>
    <t>Отчет по хранению товара за Июнь 2026 Баумана Полиом</t>
  </si>
  <si>
    <t>Отчет по хранению товара за Июнь 2026 Екатеринбург KPI</t>
  </si>
  <si>
    <t>Отчет по хранению товара за Июнь 2026 Екатеринбург НПЭГ</t>
  </si>
  <si>
    <t>Отчет по хранению товара за Июнь 2026 Екатеринбург Полимеры</t>
  </si>
  <si>
    <t>Отчет по хранению товара за Июнь 2026 Екатеринбург Полиом</t>
  </si>
  <si>
    <t>Отчет по хранению товара за Июнь 2026 ЕкатеринбургЧкаловский KPI</t>
  </si>
  <si>
    <t>Отчет по хранению товара за Июнь 2026 ЕкатеринбургЧкаловский Полимеры</t>
  </si>
  <si>
    <t>Отчет по хранению товара за Июнь 2026 ЕкатеринбургЧкаловский Полиом</t>
  </si>
  <si>
    <t>Отчет по хранению товара за Июнь 2026 Зеленодольск Данафлекс</t>
  </si>
  <si>
    <t>Отчет по хранению товара за Июнь 2026 Зеленодольск Полимеры</t>
  </si>
  <si>
    <t>Отчет по хранению товара за Июнь 2026 Зеленодольск Полиом</t>
  </si>
  <si>
    <t>Отчет по хранению товара за Июнь 2026 Казань_Автосервисная Полимеры</t>
  </si>
  <si>
    <t>Резервирование 0 т</t>
  </si>
  <si>
    <t>стоимость хранения за 1 месяц</t>
  </si>
  <si>
    <t>Отчет по хранению товара за Июнь 2026 Казань_Автосервисная Полиом</t>
  </si>
  <si>
    <t>Отчет по хранению товара за Июнь 2026 Казань_Приволжская Полимеры</t>
  </si>
  <si>
    <t>Отчет по хранению товара за Июнь 2026 Новикова-Прибоя KPI</t>
  </si>
  <si>
    <t>Отчет по хранению товара за Июнь 2026 Новикова-Прибоя Полимеры</t>
  </si>
  <si>
    <t>Отчет по хранению товара за Июнь 2026 Новикова-Прибоя Полиом</t>
  </si>
  <si>
    <t>Отчет по хранению товара за Июнь 2026 Новосибирск KPI</t>
  </si>
  <si>
    <t>Отчет по хранению товара за Июнь 2026 Новосибирск Полимеры</t>
  </si>
  <si>
    <t>Отчет по хранению товара за Июнь 2026 Новосибирск Полиом</t>
  </si>
  <si>
    <t>Отчет по хранению товара за Июнь 2026 Новосибирск Порошок Порошок</t>
  </si>
  <si>
    <t>Отчет по хранению товара за Июнь 2026 Новосибирск_Пасечная Порошок</t>
  </si>
  <si>
    <t>Резервирование 1870 т</t>
  </si>
  <si>
    <t>Мин. Суточный резерв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</si>
</sst>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7" formatCode="&quot;₽&quot;#,##0.00_);\(&quot;₽&quot;#,##0.00\)"/>
    <numFmt numFmtId="44" formatCode="_(&quot;₽&quot;* #,##0.00_);_(&quot;₽&quot;* \(#,##0.00\);_(&quot;₽&quot;* &quot;-&quot;??_);_(@_)"/>
    <numFmt numFmtId="164" formatCode="0.000000"/>
    <numFmt numFmtId="165" formatCode="0.000"/>
    <numFmt numFmtId="166" formatCode="0.0000"/>
    <numFmt numFmtId="167" formatCode="#,##0.00\ &quot;₽&quot;"/>
    <numFmt numFmtId="168" formatCode="0.0"/>
    <numFmt numFmtId="169" formatCode="_-* #,##0.00\ &quot;₽&quot;_-;\-* #,##0.00\ &quot;₽&quot;_-;_-* &quot;-&quot;??\ &quot;₽&quot;_-;_-@"/>
  </numFmts>
  <fonts count="12">
    <font>
      <sz val="11"/>
      <color theme="1"/>
      <name val="Calibri"/>
      <family val="2"/>
      <charset val="204"/>
    </font>
    <font>
      <sz val="12"/>
      <color theme="1"/>
      <name val="0xProto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sz val="11"/>
      <name val="Aptos Narrow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rgb="FF00B05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72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0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44" fontId="3" fillId="0" borderId="0" applyFont="0" applyFill="0" applyBorder="0" applyAlignment="0" applyProtection="0"/>
    <xf numFmtId="0" fontId="5" fillId="0" borderId="0"/>
    <xf numFmtId="0" fontId="1" fillId="0" borderId="0"/>
    <xf numFmtId="44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21">
    <xf numFmtId="0" fontId="0" fillId="0" borderId="0" xfId="0"/>
    <xf numFmtId="0" fontId="6" fillId="0" borderId="9" xfId="6" applyFont="1" applyBorder="1" applyAlignment="1">
      <alignment horizontal="center"/>
    </xf>
    <xf numFmtId="0" fontId="6" fillId="0" borderId="24" xfId="6" applyFont="1" applyBorder="1" applyAlignment="1">
      <alignment horizontal="center"/>
    </xf>
    <xf numFmtId="0" fontId="6" fillId="0" borderId="16" xfId="6" applyFont="1" applyBorder="1"/>
    <xf numFmtId="0" fontId="6" fillId="0" borderId="0" xfId="6" applyFont="1"/>
    <xf numFmtId="0" fontId="6" fillId="0" borderId="5" xfId="6" applyFont="1" applyBorder="1"/>
    <xf numFmtId="167" fontId="6" fillId="0" borderId="5" xfId="6" applyNumberFormat="1" applyFont="1" applyBorder="1"/>
    <xf numFmtId="167" fontId="7" fillId="0" borderId="5" xfId="5" applyNumberFormat="1" applyFont="1" applyBorder="1" applyAlignment="1">
      <alignment horizontal="right" vertical="center" wrapText="1"/>
    </xf>
    <xf numFmtId="167" fontId="7" fillId="0" borderId="8" xfId="5" applyNumberFormat="1" applyFont="1" applyBorder="1" applyAlignment="1">
      <alignment horizontal="right" vertical="center" wrapText="1"/>
    </xf>
    <xf numFmtId="44" fontId="7" fillId="0" borderId="0" xfId="5" applyFont="1" applyBorder="1" applyAlignment="1">
      <alignment horizontal="center" vertical="center" wrapText="1"/>
    </xf>
    <xf numFmtId="0" fontId="6" fillId="0" borderId="8" xfId="6" applyFont="1" applyBorder="1"/>
    <xf numFmtId="167" fontId="6" fillId="0" borderId="8" xfId="6" applyNumberFormat="1" applyFont="1" applyBorder="1"/>
    <xf numFmtId="167" fontId="6" fillId="0" borderId="0" xfId="6" applyNumberFormat="1" applyFont="1"/>
    <xf numFmtId="0" fontId="6" fillId="0" borderId="31" xfId="6" applyFont="1" applyBorder="1" applyAlignment="1">
      <alignment horizontal="center"/>
    </xf>
    <xf numFmtId="0" fontId="6" fillId="0" borderId="32" xfId="6" applyFont="1" applyBorder="1" applyAlignment="1">
      <alignment horizontal="center"/>
    </xf>
    <xf numFmtId="0" fontId="6" fillId="0" borderId="33" xfId="6" applyFont="1" applyBorder="1" applyAlignment="1">
      <alignment horizontal="center"/>
    </xf>
    <xf numFmtId="0" fontId="6" fillId="0" borderId="34" xfId="6" applyFont="1" applyBorder="1" applyAlignment="1">
      <alignment horizontal="center"/>
    </xf>
    <xf numFmtId="0" fontId="6" fillId="0" borderId="0" xfId="6" applyFont="1" applyAlignment="1">
      <alignment horizontal="center"/>
    </xf>
    <xf numFmtId="167" fontId="7" fillId="0" borderId="0" xfId="5" applyNumberFormat="1" applyFont="1" applyBorder="1" applyAlignment="1">
      <alignment horizontal="right" vertical="center" wrapText="1"/>
    </xf>
    <xf numFmtId="167" fontId="7" fillId="0" borderId="0" xfId="5" applyNumberFormat="1" applyFont="1" applyBorder="1" applyAlignment="1">
      <alignment horizontal="center" vertical="center" wrapText="1"/>
    </xf>
    <xf numFmtId="0" fontId="7" fillId="0" borderId="8" xfId="6" applyFont="1" applyBorder="1" applyAlignment="1">
      <alignment horizontal="center"/>
    </xf>
    <xf numFmtId="0" fontId="7" fillId="0" borderId="24" xfId="6" applyFont="1" applyBorder="1" applyAlignment="1">
      <alignment horizontal="center"/>
    </xf>
    <xf numFmtId="0" fontId="6" fillId="0" borderId="43" xfId="1" applyFont="1" applyBorder="1"/>
    <xf numFmtId="0" fontId="6" fillId="0" borderId="36" xfId="1" applyFont="1" applyBorder="1"/>
    <xf numFmtId="0" fontId="8" fillId="0" borderId="14" xfId="1" applyFont="1" applyBorder="1" applyAlignment="1">
      <alignment horizontal="center" vertical="center" wrapText="1"/>
    </xf>
    <xf numFmtId="0" fontId="6" fillId="0" borderId="44" xfId="1" applyFont="1" applyBorder="1"/>
    <xf numFmtId="0" fontId="8" fillId="0" borderId="45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8" fillId="0" borderId="47" xfId="1" applyFont="1" applyBorder="1" applyAlignment="1">
      <alignment horizontal="center" vertical="center" wrapText="1"/>
    </xf>
    <xf numFmtId="169" fontId="8" fillId="0" borderId="48" xfId="1" applyNumberFormat="1" applyFont="1" applyBorder="1" applyAlignment="1">
      <alignment horizontal="center" vertical="center" wrapText="1"/>
    </xf>
    <xf numFmtId="0" fontId="6" fillId="0" borderId="49" xfId="1" applyFont="1" applyBorder="1"/>
    <xf numFmtId="0" fontId="6" fillId="0" borderId="50" xfId="1" applyFont="1" applyBorder="1"/>
    <xf numFmtId="0" fontId="6" fillId="0" borderId="51" xfId="1" applyFont="1" applyBorder="1"/>
    <xf numFmtId="0" fontId="8" fillId="0" borderId="51" xfId="1" applyFont="1" applyBorder="1" applyAlignment="1">
      <alignment horizontal="center" vertical="center" wrapText="1"/>
    </xf>
    <xf numFmtId="0" fontId="8" fillId="0" borderId="52" xfId="1" applyFont="1" applyBorder="1" applyAlignment="1">
      <alignment horizontal="center" vertical="center" wrapText="1"/>
    </xf>
    <xf numFmtId="0" fontId="6" fillId="0" borderId="53" xfId="1" applyFont="1" applyBorder="1"/>
    <xf numFmtId="0" fontId="6" fillId="0" borderId="54" xfId="1" applyFont="1" applyBorder="1"/>
    <xf numFmtId="0" fontId="6" fillId="0" borderId="56" xfId="1" applyFont="1" applyBorder="1"/>
    <xf numFmtId="167" fontId="2" fillId="0" borderId="5" xfId="1" applyNumberFormat="1" applyFont="1" applyBorder="1" applyAlignment="1">
      <alignment horizontal="right"/>
    </xf>
    <xf numFmtId="169" fontId="8" fillId="0" borderId="5" xfId="1" applyNumberFormat="1" applyFont="1" applyBorder="1" applyAlignment="1">
      <alignment horizontal="right"/>
    </xf>
    <xf numFmtId="169" fontId="8" fillId="0" borderId="38" xfId="1" applyNumberFormat="1" applyFont="1" applyBorder="1" applyAlignment="1">
      <alignment horizontal="right"/>
    </xf>
    <xf numFmtId="0" fontId="6" fillId="0" borderId="58" xfId="1" applyFont="1" applyBorder="1"/>
    <xf numFmtId="0" fontId="8" fillId="0" borderId="16" xfId="1" applyFont="1" applyBorder="1" applyAlignment="1">
      <alignment horizontal="center"/>
    </xf>
    <xf numFmtId="167" fontId="8" fillId="0" borderId="17" xfId="1" applyNumberFormat="1" applyFont="1" applyBorder="1" applyAlignment="1">
      <alignment horizontal="right"/>
    </xf>
    <xf numFmtId="167" fontId="8" fillId="0" borderId="59" xfId="1" applyNumberFormat="1" applyFont="1" applyBorder="1" applyAlignment="1">
      <alignment horizontal="right"/>
    </xf>
    <xf numFmtId="169" fontId="8" fillId="0" borderId="60" xfId="1" applyNumberFormat="1" applyFont="1" applyBorder="1" applyAlignment="1">
      <alignment horizontal="right"/>
    </xf>
    <xf numFmtId="0" fontId="0" fillId="0" borderId="0" xfId="0" applyFont="1"/>
    <xf numFmtId="44" fontId="2" fillId="0" borderId="0" xfId="1" applyNumberFormat="1" applyFont="1"/>
    <xf numFmtId="0" fontId="2" fillId="0" borderId="0" xfId="1" applyFont="1"/>
    <xf numFmtId="0" fontId="2" fillId="0" borderId="0" xfId="1" quotePrefix="1" applyFont="1"/>
    <xf numFmtId="0" fontId="8" fillId="0" borderId="2" xfId="1" applyFont="1" applyBorder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8" fillId="0" borderId="6" xfId="1" applyFont="1" applyBorder="1" applyAlignment="1">
      <alignment horizontal="center" wrapText="1"/>
    </xf>
    <xf numFmtId="0" fontId="8" fillId="0" borderId="7" xfId="1" applyFont="1" applyBorder="1" applyAlignment="1">
      <alignment horizontal="center" wrapText="1"/>
    </xf>
    <xf numFmtId="0" fontId="8" fillId="0" borderId="5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8" xfId="1" applyFont="1" applyBorder="1" applyAlignment="1">
      <alignment horizontal="center"/>
    </xf>
    <xf numFmtId="0" fontId="6" fillId="0" borderId="10" xfId="3" applyFont="1" applyBorder="1" applyAlignment="1">
      <alignment vertical="top"/>
    </xf>
    <xf numFmtId="164" fontId="6" fillId="0" borderId="10" xfId="4" applyNumberFormat="1" applyFont="1" applyBorder="1" applyAlignment="1">
      <alignment horizontal="right" vertical="top"/>
    </xf>
    <xf numFmtId="164" fontId="6" fillId="0" borderId="11" xfId="2" applyNumberFormat="1" applyFont="1" applyBorder="1" applyAlignment="1">
      <alignment horizontal="right" vertical="top"/>
    </xf>
    <xf numFmtId="165" fontId="2" fillId="0" borderId="11" xfId="1" applyNumberFormat="1" applyFont="1" applyBorder="1"/>
    <xf numFmtId="0" fontId="2" fillId="0" borderId="11" xfId="1" applyFont="1" applyBorder="1"/>
    <xf numFmtId="44" fontId="2" fillId="0" borderId="11" xfId="1" applyNumberFormat="1" applyFont="1" applyBorder="1"/>
    <xf numFmtId="0" fontId="2" fillId="0" borderId="11" xfId="1" applyFont="1" applyBorder="1" applyAlignment="1">
      <alignment horizontal="center"/>
    </xf>
    <xf numFmtId="0" fontId="6" fillId="0" borderId="10" xfId="3" applyFont="1" applyBorder="1" applyAlignment="1">
      <alignment horizontal="right" vertical="top"/>
    </xf>
    <xf numFmtId="166" fontId="6" fillId="0" borderId="10" xfId="3" applyNumberFormat="1" applyFont="1" applyBorder="1" applyAlignment="1">
      <alignment horizontal="right" vertical="top"/>
    </xf>
    <xf numFmtId="0" fontId="2" fillId="0" borderId="12" xfId="1" applyFont="1" applyBorder="1"/>
    <xf numFmtId="165" fontId="6" fillId="0" borderId="10" xfId="3" applyNumberFormat="1" applyFont="1" applyBorder="1" applyAlignment="1">
      <alignment horizontal="right" vertical="top"/>
    </xf>
    <xf numFmtId="165" fontId="8" fillId="0" borderId="11" xfId="1" applyNumberFormat="1" applyFont="1" applyBorder="1"/>
    <xf numFmtId="1" fontId="8" fillId="0" borderId="11" xfId="1" applyNumberFormat="1" applyFont="1" applyBorder="1"/>
    <xf numFmtId="44" fontId="8" fillId="0" borderId="11" xfId="1" applyNumberFormat="1" applyFont="1" applyBorder="1"/>
    <xf numFmtId="0" fontId="8" fillId="0" borderId="0" xfId="1" applyFont="1"/>
    <xf numFmtId="44" fontId="9" fillId="0" borderId="11" xfId="1" applyNumberFormat="1" applyFont="1" applyBorder="1"/>
    <xf numFmtId="164" fontId="2" fillId="0" borderId="0" xfId="1" applyNumberFormat="1" applyFont="1"/>
    <xf numFmtId="0" fontId="8" fillId="0" borderId="1" xfId="1" applyFont="1" applyBorder="1" applyAlignment="1">
      <alignment horizontal="center"/>
    </xf>
    <xf numFmtId="14" fontId="7" fillId="2" borderId="9" xfId="2" applyNumberFormat="1" applyFont="1" applyFill="1" applyBorder="1" applyAlignment="1">
      <alignment horizontal="center" vertical="top"/>
    </xf>
    <xf numFmtId="0" fontId="7" fillId="2" borderId="9" xfId="2" applyFont="1" applyFill="1" applyBorder="1" applyAlignment="1">
      <alignment horizontal="center" vertical="top"/>
    </xf>
    <xf numFmtId="0" fontId="7" fillId="0" borderId="14" xfId="6" applyFont="1" applyBorder="1" applyAlignment="1">
      <alignment horizontal="center"/>
    </xf>
    <xf numFmtId="0" fontId="7" fillId="0" borderId="15" xfId="6" applyFont="1" applyBorder="1" applyAlignment="1">
      <alignment horizontal="center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0" fontId="7" fillId="0" borderId="18" xfId="6" applyFont="1" applyBorder="1" applyAlignment="1">
      <alignment horizontal="center"/>
    </xf>
    <xf numFmtId="44" fontId="6" fillId="0" borderId="19" xfId="5" applyFont="1" applyBorder="1"/>
    <xf numFmtId="167" fontId="6" fillId="0" borderId="20" xfId="5" applyNumberFormat="1" applyFont="1" applyBorder="1"/>
    <xf numFmtId="0" fontId="6" fillId="0" borderId="21" xfId="6" applyFont="1" applyBorder="1" applyAlignment="1">
      <alignment horizontal="center"/>
    </xf>
    <xf numFmtId="167" fontId="6" fillId="0" borderId="5" xfId="5" applyNumberFormat="1" applyFont="1" applyBorder="1" applyAlignment="1">
      <alignment horizontal="right"/>
    </xf>
    <xf numFmtId="167" fontId="9" fillId="0" borderId="22" xfId="5" applyNumberFormat="1" applyFont="1" applyBorder="1" applyAlignment="1">
      <alignment horizontal="right"/>
    </xf>
    <xf numFmtId="44" fontId="6" fillId="0" borderId="9" xfId="5" applyFont="1" applyBorder="1"/>
    <xf numFmtId="167" fontId="6" fillId="0" borderId="23" xfId="5" applyNumberFormat="1" applyFont="1" applyBorder="1"/>
    <xf numFmtId="44" fontId="6" fillId="0" borderId="25" xfId="5" applyFont="1" applyBorder="1"/>
    <xf numFmtId="167" fontId="6" fillId="0" borderId="26" xfId="5" applyNumberFormat="1" applyFont="1" applyBorder="1"/>
    <xf numFmtId="167" fontId="8" fillId="0" borderId="27" xfId="5" applyNumberFormat="1" applyFont="1" applyBorder="1" applyAlignment="1">
      <alignment horizontal="right" vertical="center"/>
    </xf>
    <xf numFmtId="44" fontId="8" fillId="0" borderId="0" xfId="5" applyFont="1" applyBorder="1" applyAlignment="1"/>
    <xf numFmtId="0" fontId="7" fillId="0" borderId="28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167" fontId="9" fillId="0" borderId="30" xfId="6" applyNumberFormat="1" applyFont="1" applyBorder="1" applyAlignment="1">
      <alignment horizontal="right"/>
    </xf>
    <xf numFmtId="0" fontId="7" fillId="0" borderId="16" xfId="6" applyFont="1" applyBorder="1" applyAlignment="1">
      <alignment horizontal="center"/>
    </xf>
    <xf numFmtId="0" fontId="7" fillId="0" borderId="17" xfId="6" applyFont="1" applyBorder="1" applyAlignment="1">
      <alignment horizontal="center"/>
    </xf>
    <xf numFmtId="167" fontId="9" fillId="0" borderId="18" xfId="6" applyNumberFormat="1" applyFont="1" applyBorder="1" applyAlignment="1">
      <alignment horizontal="right"/>
    </xf>
    <xf numFmtId="44" fontId="9" fillId="0" borderId="0" xfId="6" applyNumberFormat="1" applyFont="1"/>
    <xf numFmtId="0" fontId="7" fillId="0" borderId="0" xfId="6" applyFont="1" applyAlignment="1">
      <alignment horizontal="center"/>
    </xf>
    <xf numFmtId="0" fontId="7" fillId="0" borderId="30" xfId="6" applyFont="1" applyBorder="1" applyAlignment="1">
      <alignment horizontal="center"/>
    </xf>
    <xf numFmtId="167" fontId="9" fillId="0" borderId="28" xfId="6" applyNumberFormat="1" applyFont="1" applyBorder="1" applyAlignment="1">
      <alignment horizontal="center"/>
    </xf>
    <xf numFmtId="167" fontId="9" fillId="0" borderId="29" xfId="6" applyNumberFormat="1" applyFont="1" applyBorder="1" applyAlignment="1">
      <alignment horizontal="center"/>
    </xf>
    <xf numFmtId="167" fontId="9" fillId="0" borderId="30" xfId="6" applyNumberFormat="1" applyFont="1" applyBorder="1" applyAlignment="1">
      <alignment horizontal="center"/>
    </xf>
    <xf numFmtId="0" fontId="7" fillId="0" borderId="35" xfId="6" applyFont="1" applyBorder="1" applyAlignment="1">
      <alignment horizontal="center"/>
    </xf>
    <xf numFmtId="0" fontId="7" fillId="0" borderId="29" xfId="6" applyFont="1" applyBorder="1" applyAlignment="1">
      <alignment horizontal="center"/>
    </xf>
    <xf numFmtId="0" fontId="7" fillId="0" borderId="27" xfId="6" applyFont="1" applyBorder="1" applyAlignment="1">
      <alignment horizontal="center"/>
    </xf>
    <xf numFmtId="0" fontId="7" fillId="0" borderId="5" xfId="6" applyFont="1" applyBorder="1" applyAlignment="1">
      <alignment horizontal="center"/>
    </xf>
    <xf numFmtId="167" fontId="6" fillId="0" borderId="5" xfId="5" applyNumberFormat="1" applyFont="1" applyBorder="1"/>
    <xf numFmtId="167" fontId="7" fillId="0" borderId="5" xfId="6" applyNumberFormat="1" applyFont="1" applyBorder="1"/>
    <xf numFmtId="44" fontId="6" fillId="0" borderId="0" xfId="5" applyFont="1" applyBorder="1"/>
    <xf numFmtId="44" fontId="7" fillId="0" borderId="0" xfId="6" applyNumberFormat="1" applyFont="1"/>
    <xf numFmtId="0" fontId="7" fillId="0" borderId="28" xfId="6" applyFont="1" applyBorder="1" applyAlignment="1">
      <alignment horizontal="center"/>
    </xf>
    <xf numFmtId="167" fontId="7" fillId="0" borderId="0" xfId="5" applyNumberFormat="1" applyFont="1" applyBorder="1" applyAlignment="1">
      <alignment horizontal="center" vertical="center"/>
    </xf>
    <xf numFmtId="44" fontId="7" fillId="0" borderId="13" xfId="6" applyNumberFormat="1" applyFont="1" applyBorder="1" applyAlignment="1">
      <alignment vertical="center"/>
    </xf>
    <xf numFmtId="0" fontId="7" fillId="0" borderId="13" xfId="6" applyFont="1" applyBorder="1" applyAlignment="1">
      <alignment vertical="center"/>
    </xf>
    <xf numFmtId="167" fontId="9" fillId="0" borderId="27" xfId="5" applyNumberFormat="1" applyFont="1" applyBorder="1" applyAlignment="1">
      <alignment horizontal="right" vertical="center"/>
    </xf>
    <xf numFmtId="44" fontId="9" fillId="0" borderId="0" xfId="5" applyFont="1" applyBorder="1" applyAlignment="1"/>
    <xf numFmtId="44" fontId="2" fillId="0" borderId="0" xfId="5" applyFont="1"/>
    <xf numFmtId="0" fontId="10" fillId="0" borderId="0" xfId="1" applyFont="1"/>
    <xf numFmtId="0" fontId="2" fillId="0" borderId="8" xfId="1" applyFont="1" applyBorder="1"/>
    <xf numFmtId="0" fontId="2" fillId="0" borderId="8" xfId="1" applyFont="1" applyBorder="1" applyAlignment="1">
      <alignment horizontal="center" vertical="center"/>
    </xf>
    <xf numFmtId="0" fontId="2" fillId="0" borderId="0" xfId="1" applyFont="1" applyAlignment="1">
      <alignment wrapText="1"/>
    </xf>
    <xf numFmtId="1" fontId="2" fillId="0" borderId="8" xfId="1" applyNumberFormat="1" applyFont="1" applyBorder="1" applyAlignment="1">
      <alignment horizontal="center" vertical="center"/>
    </xf>
    <xf numFmtId="44" fontId="2" fillId="0" borderId="8" xfId="5" applyFont="1" applyBorder="1" applyAlignment="1">
      <alignment vertical="center"/>
    </xf>
    <xf numFmtId="0" fontId="2" fillId="0" borderId="36" xfId="1" applyFont="1" applyBorder="1" applyAlignment="1">
      <alignment vertical="center" wrapText="1"/>
    </xf>
    <xf numFmtId="0" fontId="2" fillId="0" borderId="8" xfId="1" applyFont="1" applyBorder="1" applyAlignment="1">
      <alignment horizontal="left" vertical="top" wrapText="1"/>
    </xf>
    <xf numFmtId="44" fontId="2" fillId="0" borderId="8" xfId="5" applyFont="1" applyBorder="1"/>
    <xf numFmtId="44" fontId="8" fillId="0" borderId="0" xfId="5" applyFont="1"/>
    <xf numFmtId="44" fontId="8" fillId="0" borderId="0" xfId="5" applyFont="1" applyFill="1" applyBorder="1"/>
    <xf numFmtId="44" fontId="2" fillId="0" borderId="0" xfId="8" applyFont="1"/>
    <xf numFmtId="0" fontId="2" fillId="0" borderId="0" xfId="7" applyFont="1"/>
    <xf numFmtId="0" fontId="8" fillId="0" borderId="8" xfId="1" applyFont="1" applyBorder="1" applyAlignment="1">
      <alignment wrapText="1"/>
    </xf>
    <xf numFmtId="44" fontId="8" fillId="0" borderId="8" xfId="5" applyFont="1" applyBorder="1" applyAlignment="1">
      <alignment wrapText="1"/>
    </xf>
    <xf numFmtId="165" fontId="6" fillId="0" borderId="10" xfId="4" applyNumberFormat="1" applyFont="1" applyBorder="1" applyAlignment="1">
      <alignment horizontal="right" vertical="top"/>
    </xf>
    <xf numFmtId="0" fontId="6" fillId="0" borderId="10" xfId="9" applyFont="1" applyBorder="1" applyAlignment="1">
      <alignment vertical="top"/>
    </xf>
    <xf numFmtId="0" fontId="8" fillId="0" borderId="11" xfId="1" applyFont="1" applyBorder="1" applyAlignment="1">
      <alignment wrapText="1"/>
    </xf>
    <xf numFmtId="44" fontId="8" fillId="0" borderId="11" xfId="5" applyFont="1" applyBorder="1" applyAlignment="1">
      <alignment wrapText="1"/>
    </xf>
    <xf numFmtId="165" fontId="6" fillId="0" borderId="10" xfId="9" applyNumberFormat="1" applyFont="1" applyBorder="1" applyAlignment="1">
      <alignment horizontal="right" vertical="top"/>
    </xf>
    <xf numFmtId="0" fontId="8" fillId="0" borderId="0" xfId="1" applyFont="1" applyAlignment="1">
      <alignment horizontal="center"/>
    </xf>
    <xf numFmtId="165" fontId="6" fillId="0" borderId="37" xfId="4" applyNumberFormat="1" applyFont="1" applyBorder="1" applyAlignment="1">
      <alignment horizontal="right" vertical="top"/>
    </xf>
    <xf numFmtId="0" fontId="6" fillId="0" borderId="37" xfId="10" applyFont="1" applyBorder="1" applyAlignment="1">
      <alignment vertical="top"/>
    </xf>
    <xf numFmtId="165" fontId="6" fillId="0" borderId="37" xfId="10" applyNumberFormat="1" applyFont="1" applyBorder="1" applyAlignment="1">
      <alignment horizontal="right" vertical="top"/>
    </xf>
    <xf numFmtId="165" fontId="6" fillId="0" borderId="37" xfId="10" applyNumberFormat="1" applyFont="1" applyBorder="1" applyAlignment="1">
      <alignment vertical="top"/>
    </xf>
    <xf numFmtId="0" fontId="8" fillId="0" borderId="0" xfId="1" applyFont="1" applyAlignment="1">
      <alignment wrapText="1"/>
    </xf>
    <xf numFmtId="0" fontId="6" fillId="0" borderId="37" xfId="11" applyFont="1" applyBorder="1" applyAlignment="1">
      <alignment vertical="top"/>
    </xf>
    <xf numFmtId="165" fontId="6" fillId="0" borderId="37" xfId="11" applyNumberFormat="1" applyFont="1" applyBorder="1" applyAlignment="1">
      <alignment horizontal="right" vertical="top"/>
    </xf>
    <xf numFmtId="165" fontId="6" fillId="0" borderId="37" xfId="11" applyNumberFormat="1" applyFont="1" applyBorder="1" applyAlignment="1">
      <alignment vertical="top"/>
    </xf>
    <xf numFmtId="165" fontId="2" fillId="0" borderId="0" xfId="1" applyNumberFormat="1" applyFont="1"/>
    <xf numFmtId="165" fontId="6" fillId="0" borderId="37" xfId="12" applyNumberFormat="1" applyFont="1" applyBorder="1" applyAlignment="1">
      <alignment horizontal="right" vertical="top"/>
    </xf>
    <xf numFmtId="0" fontId="6" fillId="0" borderId="37" xfId="13" applyFont="1" applyBorder="1" applyAlignment="1">
      <alignment vertical="top"/>
    </xf>
    <xf numFmtId="165" fontId="6" fillId="0" borderId="37" xfId="13" applyNumberFormat="1" applyFont="1" applyBorder="1" applyAlignment="1">
      <alignment horizontal="right" vertical="top"/>
    </xf>
    <xf numFmtId="165" fontId="6" fillId="0" borderId="37" xfId="13" applyNumberFormat="1" applyFont="1" applyBorder="1" applyAlignment="1">
      <alignment vertical="top"/>
    </xf>
    <xf numFmtId="168" fontId="6" fillId="0" borderId="37" xfId="14" applyNumberFormat="1" applyFont="1" applyBorder="1" applyAlignment="1">
      <alignment horizontal="right" vertical="top"/>
    </xf>
    <xf numFmtId="0" fontId="6" fillId="0" borderId="37" xfId="14" applyFont="1" applyBorder="1" applyAlignment="1">
      <alignment vertical="top"/>
    </xf>
    <xf numFmtId="1" fontId="6" fillId="0" borderId="37" xfId="14" applyNumberFormat="1" applyFont="1" applyBorder="1" applyAlignment="1">
      <alignment horizontal="right" vertical="top"/>
    </xf>
    <xf numFmtId="0" fontId="6" fillId="0" borderId="37" xfId="15" applyFont="1" applyBorder="1" applyAlignment="1">
      <alignment vertical="top"/>
    </xf>
    <xf numFmtId="165" fontId="6" fillId="0" borderId="37" xfId="15" applyNumberFormat="1" applyFont="1" applyBorder="1" applyAlignment="1">
      <alignment horizontal="right" vertical="top"/>
    </xf>
    <xf numFmtId="165" fontId="6" fillId="0" borderId="37" xfId="15" applyNumberFormat="1" applyFont="1" applyBorder="1" applyAlignment="1">
      <alignment vertical="top"/>
    </xf>
    <xf numFmtId="1" fontId="6" fillId="0" borderId="37" xfId="15" applyNumberFormat="1" applyFont="1" applyBorder="1" applyAlignment="1">
      <alignment horizontal="right" vertical="top"/>
    </xf>
    <xf numFmtId="167" fontId="2" fillId="0" borderId="38" xfId="1" applyNumberFormat="1" applyFont="1" applyBorder="1" applyAlignment="1">
      <alignment horizontal="center"/>
    </xf>
    <xf numFmtId="0" fontId="8" fillId="0" borderId="39" xfId="1" applyFont="1" applyBorder="1" applyAlignment="1">
      <alignment horizontal="center" wrapText="1"/>
    </xf>
    <xf numFmtId="0" fontId="8" fillId="0" borderId="40" xfId="1" applyFont="1" applyBorder="1" applyAlignment="1">
      <alignment horizontal="center" wrapText="1"/>
    </xf>
    <xf numFmtId="0" fontId="8" fillId="0" borderId="41" xfId="1" applyFont="1" applyBorder="1" applyAlignment="1">
      <alignment horizontal="center" wrapText="1"/>
    </xf>
    <xf numFmtId="0" fontId="8" fillId="0" borderId="39" xfId="1" applyFont="1" applyBorder="1" applyAlignment="1">
      <alignment horizontal="center" wrapText="1"/>
    </xf>
    <xf numFmtId="0" fontId="2" fillId="0" borderId="38" xfId="1" applyFont="1" applyBorder="1" applyAlignment="1">
      <alignment horizontal="center"/>
    </xf>
    <xf numFmtId="0" fontId="2" fillId="0" borderId="38" xfId="1" applyFont="1" applyBorder="1" applyAlignment="1">
      <alignment horizontal="center" vertical="center"/>
    </xf>
    <xf numFmtId="0" fontId="2" fillId="0" borderId="38" xfId="1" applyFont="1" applyBorder="1"/>
    <xf numFmtId="0" fontId="2" fillId="3" borderId="38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 vertical="center"/>
    </xf>
    <xf numFmtId="0" fontId="2" fillId="3" borderId="38" xfId="1" applyFont="1" applyFill="1" applyBorder="1"/>
    <xf numFmtId="0" fontId="8" fillId="0" borderId="16" xfId="1" applyFont="1" applyBorder="1"/>
    <xf numFmtId="0" fontId="8" fillId="0" borderId="17" xfId="1" applyFont="1" applyBorder="1"/>
    <xf numFmtId="1" fontId="8" fillId="0" borderId="17" xfId="1" applyNumberFormat="1" applyFont="1" applyBorder="1"/>
    <xf numFmtId="165" fontId="8" fillId="0" borderId="17" xfId="1" applyNumberFormat="1" applyFont="1" applyBorder="1"/>
    <xf numFmtId="167" fontId="9" fillId="0" borderId="18" xfId="1" applyNumberFormat="1" applyFont="1" applyBorder="1"/>
    <xf numFmtId="14" fontId="7" fillId="3" borderId="9" xfId="16" applyNumberFormat="1" applyFont="1" applyFill="1" applyBorder="1" applyAlignment="1">
      <alignment horizontal="center" vertical="top"/>
    </xf>
    <xf numFmtId="0" fontId="7" fillId="3" borderId="9" xfId="16" applyFont="1" applyFill="1" applyBorder="1" applyAlignment="1">
      <alignment horizontal="center" vertical="top"/>
    </xf>
    <xf numFmtId="0" fontId="6" fillId="0" borderId="38" xfId="17" applyFont="1" applyBorder="1" applyAlignment="1">
      <alignment horizontal="center" vertical="top"/>
    </xf>
    <xf numFmtId="0" fontId="6" fillId="3" borderId="38" xfId="17" applyFont="1" applyFill="1" applyBorder="1" applyAlignment="1">
      <alignment horizontal="center" vertical="top"/>
    </xf>
    <xf numFmtId="169" fontId="2" fillId="0" borderId="0" xfId="1" applyNumberFormat="1" applyFont="1"/>
    <xf numFmtId="0" fontId="2" fillId="0" borderId="0" xfId="1" applyFont="1" applyAlignment="1">
      <alignment horizontal="center"/>
    </xf>
    <xf numFmtId="0" fontId="2" fillId="0" borderId="0" xfId="1" applyFont="1"/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wrapText="1"/>
    </xf>
    <xf numFmtId="0" fontId="2" fillId="0" borderId="38" xfId="1" applyFont="1" applyBorder="1" applyAlignment="1">
      <alignment horizontal="center" vertical="top"/>
    </xf>
    <xf numFmtId="0" fontId="2" fillId="0" borderId="38" xfId="1" applyFont="1" applyBorder="1" applyAlignment="1">
      <alignment horizontal="center" wrapText="1"/>
    </xf>
    <xf numFmtId="0" fontId="2" fillId="5" borderId="38" xfId="1" applyFont="1" applyFill="1" applyBorder="1" applyAlignment="1">
      <alignment horizontal="center" vertical="top"/>
    </xf>
    <xf numFmtId="0" fontId="2" fillId="5" borderId="38" xfId="1" applyFont="1" applyFill="1" applyBorder="1" applyAlignment="1">
      <alignment horizontal="center" vertical="center"/>
    </xf>
    <xf numFmtId="0" fontId="2" fillId="5" borderId="38" xfId="1" applyFont="1" applyFill="1" applyBorder="1" applyAlignment="1">
      <alignment horizontal="center" wrapText="1"/>
    </xf>
    <xf numFmtId="0" fontId="8" fillId="0" borderId="19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42" xfId="1" applyFont="1" applyBorder="1" applyAlignment="1">
      <alignment horizontal="center"/>
    </xf>
    <xf numFmtId="14" fontId="8" fillId="4" borderId="55" xfId="1" applyNumberFormat="1" applyFont="1" applyFill="1" applyBorder="1" applyAlignment="1">
      <alignment horizontal="center" vertical="top"/>
    </xf>
    <xf numFmtId="14" fontId="8" fillId="4" borderId="57" xfId="1" applyNumberFormat="1" applyFont="1" applyFill="1" applyBorder="1" applyAlignment="1">
      <alignment horizontal="center" vertical="top"/>
    </xf>
    <xf numFmtId="169" fontId="9" fillId="0" borderId="20" xfId="1" applyNumberFormat="1" applyFont="1" applyBorder="1" applyAlignment="1">
      <alignment horizontal="center"/>
    </xf>
    <xf numFmtId="4" fontId="2" fillId="0" borderId="0" xfId="1" applyNumberFormat="1" applyFont="1"/>
    <xf numFmtId="0" fontId="8" fillId="0" borderId="61" xfId="1" applyFont="1" applyBorder="1" applyAlignment="1">
      <alignment horizontal="center"/>
    </xf>
    <xf numFmtId="0" fontId="8" fillId="0" borderId="62" xfId="1" applyFont="1" applyBorder="1" applyAlignment="1">
      <alignment horizontal="center"/>
    </xf>
    <xf numFmtId="0" fontId="8" fillId="0" borderId="38" xfId="1" applyFont="1" applyBorder="1" applyAlignment="1">
      <alignment horizontal="center"/>
    </xf>
    <xf numFmtId="4" fontId="2" fillId="0" borderId="38" xfId="1" applyNumberFormat="1" applyFont="1" applyBorder="1"/>
    <xf numFmtId="0" fontId="6" fillId="0" borderId="38" xfId="18" applyFont="1" applyBorder="1" applyAlignment="1">
      <alignment horizontal="center" vertical="top"/>
    </xf>
    <xf numFmtId="0" fontId="6" fillId="0" borderId="38" xfId="19" applyFont="1" applyBorder="1" applyAlignment="1">
      <alignment horizontal="center" vertical="top"/>
    </xf>
    <xf numFmtId="44" fontId="2" fillId="0" borderId="38" xfId="5" applyFont="1" applyBorder="1"/>
    <xf numFmtId="0" fontId="2" fillId="0" borderId="0" xfId="1" applyFont="1" applyAlignment="1">
      <alignment horizontal="center" vertical="center"/>
    </xf>
    <xf numFmtId="1" fontId="2" fillId="0" borderId="0" xfId="1" applyNumberFormat="1" applyFont="1"/>
    <xf numFmtId="165" fontId="2" fillId="0" borderId="38" xfId="1" applyNumberFormat="1" applyFont="1" applyBorder="1" applyAlignment="1">
      <alignment horizontal="center"/>
    </xf>
    <xf numFmtId="167" fontId="2" fillId="0" borderId="38" xfId="5" applyNumberFormat="1" applyFont="1" applyBorder="1"/>
    <xf numFmtId="165" fontId="6" fillId="0" borderId="11" xfId="2" applyNumberFormat="1" applyFont="1" applyBorder="1" applyAlignment="1">
      <alignment horizontal="right" vertical="top"/>
    </xf>
    <xf numFmtId="7" fontId="2" fillId="0" borderId="11" xfId="1" applyNumberFormat="1" applyFont="1" applyBorder="1"/>
    <xf numFmtId="7" fontId="8" fillId="0" borderId="11" xfId="1" applyNumberFormat="1" applyFont="1" applyBorder="1"/>
    <xf numFmtId="7" fontId="9" fillId="0" borderId="11" xfId="1" applyNumberFormat="1" applyFont="1" applyBorder="1"/>
    <xf numFmtId="165" fontId="6" fillId="0" borderId="63" xfId="4" applyNumberFormat="1" applyFont="1" applyBorder="1" applyAlignment="1">
      <alignment horizontal="right" vertical="top"/>
    </xf>
    <xf numFmtId="2" fontId="2" fillId="0" borderId="0" xfId="1" applyNumberFormat="1" applyFont="1"/>
    <xf numFmtId="14" fontId="2" fillId="0" borderId="0" xfId="1" applyNumberFormat="1" applyFont="1"/>
    <xf numFmtId="167" fontId="11" fillId="0" borderId="0" xfId="5" applyNumberFormat="1" applyFont="1" applyBorder="1" applyAlignment="1">
      <alignment horizontal="center" vertical="center"/>
    </xf>
  </cellXfs>
  <cellStyles count="20">
    <cellStyle name="Денежный 2" xfId="5" xr:uid="{80658A45-1ABA-4998-ADEF-06FF44121F4D}"/>
    <cellStyle name="Денежный 2 2" xfId="8" xr:uid="{B349BFBA-81F4-4BAF-97ED-3196E8A061C4}"/>
    <cellStyle name="Обычный" xfId="0" builtinId="0" customBuiltin="1"/>
    <cellStyle name="Обычный 2" xfId="1" xr:uid="{3B9155C3-7E35-4556-982C-5BF38F8B09EC}"/>
    <cellStyle name="Обычный 5" xfId="6" xr:uid="{5C8E4337-C870-4039-8439-EC1B3CA008D5}"/>
    <cellStyle name="Обычный 6" xfId="7" xr:uid="{66840ED2-0878-44FE-95FD-8B08C6A6EAB7}"/>
    <cellStyle name="Обычный_Биаксплен Новосибирск" xfId="3" xr:uid="{21D66F31-7CCC-4941-8819-DC33A7B3470B}"/>
    <cellStyle name="Обычный_Ергарда" xfId="19" xr:uid="{BFB7D222-19F7-47A7-8836-537F37B5E360}"/>
    <cellStyle name="Обычный_Лист1" xfId="17" xr:uid="{12BA7E7F-F589-43FB-8B22-216AFD48D56A}"/>
    <cellStyle name="Обычный_Приоритет Екатеринбург" xfId="14" xr:uid="{CFBF0E32-9F3F-4B8A-AFB6-A32A185ACF38}"/>
    <cellStyle name="Обычный_Приоритет Зеленодольск" xfId="13" xr:uid="{160A9446-C229-404A-811C-F9A555FAA6DB}"/>
    <cellStyle name="Обычный_Приоритет Казань_Приволжская" xfId="12" xr:uid="{71AE6C76-D1AB-4030-BAC3-F9B0D943D794}"/>
    <cellStyle name="Обычный_РусВинил ББ" xfId="16" xr:uid="{8F689107-2CAC-454E-9C2D-716D24435AD0}"/>
    <cellStyle name="Обычный_Сибур" xfId="2" xr:uid="{05D9567E-2261-401C-A18C-CDED0DA7D170}"/>
    <cellStyle name="Обычный_Сибур 1" xfId="4" xr:uid="{DC8D5089-F198-405D-B33F-64C5417B9AB6}"/>
    <cellStyle name="Обычный_СтройТех" xfId="18" xr:uid="{17904AE8-8FD6-4529-BCF6-32067C475616}"/>
    <cellStyle name="Обычный_Фармпласт Екатеринбург" xfId="15" xr:uid="{8FEDBA7B-A17E-4F6F-AAD1-EF8157CB738A}"/>
    <cellStyle name="Обычный_Центрополимер Баумана" xfId="9" xr:uid="{FF165E97-27AA-4B46-9725-BF3C23CABA8C}"/>
    <cellStyle name="Обычный_Центрополимер Екатеринбург" xfId="11" xr:uid="{5698E926-9D9C-46E8-A85E-8A0DF3B27EA0}"/>
    <cellStyle name="Обычный_Центрополимер Новикова-Прибоя" xfId="10" xr:uid="{F0CB61D6-5374-48C4-B647-D6412D50A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34</xdr:row>
      <xdr:rowOff>0</xdr:rowOff>
    </xdr:from>
    <xdr:to>
      <xdr:col>2</xdr:col>
      <xdr:colOff>279400</xdr:colOff>
      <xdr:row>35</xdr:row>
      <xdr:rowOff>12700</xdr:rowOff>
    </xdr:to>
    <xdr:sp macro="[2]!o1110010110100111011.o0100000011011010000" textlink="">
      <xdr:nvSpPr>
        <xdr:cNvPr id="2" name="Прямоугольник 1">
          <a:extLst>
            <a:ext uri="{FF2B5EF4-FFF2-40B4-BE49-F238E27FC236}">
              <a16:creationId xmlns:a16="http://schemas.microsoft.com/office/drawing/2014/main" id="{C1DF6916-8F57-4873-8494-4F6C6F1C6A7F}"/>
            </a:ext>
          </a:extLst>
        </xdr:cNvPr>
        <xdr:cNvSpPr/>
      </xdr:nvSpPr>
      <xdr:spPr>
        <a:xfrm>
          <a:off x="1485900" y="68199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76200</xdr:colOff>
      <xdr:row>34</xdr:row>
      <xdr:rowOff>0</xdr:rowOff>
    </xdr:from>
    <xdr:to>
      <xdr:col>2</xdr:col>
      <xdr:colOff>279400</xdr:colOff>
      <xdr:row>35</xdr:row>
      <xdr:rowOff>12700</xdr:rowOff>
    </xdr:to>
    <xdr:sp macro="[2]!o1110010110100111011.o0100000011011010000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87FC0E2B-EFBA-44B5-B6F1-4A8B7F6E57A9}"/>
            </a:ext>
          </a:extLst>
        </xdr:cNvPr>
        <xdr:cNvSpPr/>
      </xdr:nvSpPr>
      <xdr:spPr>
        <a:xfrm>
          <a:off x="1485900" y="6819900"/>
          <a:ext cx="203200" cy="20320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1041;&#1080;&#1083;&#1083;&#1080;&#1085;&#1075;%20&#1084;&#1077;&#1083;&#1082;&#1080;&#1077;\&#1048;&#1058;&#1054;&#1043;&#1054;.xlsx" TargetMode="External"/><Relationship Id="rId1" Type="http://schemas.openxmlformats.org/officeDocument/2006/relationships/externalLinkPath" Target="/Users/user/Desktop/&#1041;&#1080;&#1083;&#1083;&#1080;&#1085;&#1075;%20&#1084;&#1077;&#1083;&#1082;&#1080;&#1077;/&#1048;&#1058;&#1054;&#1043;&#1054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Roaming\Microsoft\AddIns\EXCELTools.xlam" TargetMode="External"/><Relationship Id="rId1" Type="http://schemas.openxmlformats.org/officeDocument/2006/relationships/externalLinkPath" Target="/Users/user/AppData/Roaming/Microsoft/AddIns/EXCELTool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ТОГО"/>
      <sheetName val="Другое"/>
      <sheetName val="Нижнекамск завод"/>
      <sheetName val="Сводка"/>
    </sheetNames>
    <sheetDataSet>
      <sheetData sheetId="0">
        <row r="35">
          <cell r="G35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Установка"/>
      <sheetName val="Set"/>
    </sheetNames>
    <definedNames>
      <definedName name="o1110010110100111011.o0100000011011010000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420D-3252-45E0-BDB2-36A3600E58B9}">
  <dimension ref="A1"/>
  <sheetViews>
    <sheetView workbookViewId="0"/>
  </sheetViews>
  <sheetFormatPr defaultRowHeight="15"/>
  <cols>
    <col min="1" max="16384" width="9.140625" style="4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41BB-7D31-42D3-B0C3-915098021C65}">
  <dimension ref="A1:T40"/>
  <sheetViews>
    <sheetView workbookViewId="0">
      <selection activeCell="E18" sqref="E18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A1" s="47">
        <f>T37</f>
        <v>138348</v>
      </c>
      <c r="I1" s="49"/>
    </row>
    <row r="2" spans="1:20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5</v>
      </c>
      <c r="H3" s="50" t="s">
        <v>6</v>
      </c>
      <c r="I3" s="50" t="s">
        <v>7</v>
      </c>
      <c r="J3" s="50" t="s">
        <v>8</v>
      </c>
      <c r="K3" s="50" t="s">
        <v>9</v>
      </c>
      <c r="L3" s="50" t="s">
        <v>10</v>
      </c>
      <c r="M3" s="50" t="s">
        <v>11</v>
      </c>
      <c r="N3" s="50" t="s">
        <v>12</v>
      </c>
      <c r="O3" s="50" t="s">
        <v>13</v>
      </c>
      <c r="P3" s="50" t="s">
        <v>14</v>
      </c>
      <c r="Q3" s="50" t="s">
        <v>15</v>
      </c>
      <c r="R3" s="50" t="s">
        <v>16</v>
      </c>
      <c r="S3" s="50" t="s">
        <v>17</v>
      </c>
      <c r="T3" s="50" t="s">
        <v>18</v>
      </c>
    </row>
    <row r="4" spans="1:20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59">
        <v>1</v>
      </c>
      <c r="B5" s="78">
        <v>46174</v>
      </c>
      <c r="C5" s="79"/>
      <c r="D5" s="60"/>
      <c r="E5" s="60"/>
      <c r="F5" s="61">
        <v>0</v>
      </c>
      <c r="G5" s="62">
        <f>IF(OR(B5="",NOT(ISERROR(SEARCH("KPI",$A$2))),NOT(ISERROR(SEARCH("Полиом",$A$2)))),0,IF(70-F5&lt;=0,0,70-F5))</f>
        <v>70</v>
      </c>
      <c r="H5" s="62"/>
      <c r="I5" s="63"/>
      <c r="J5" s="63"/>
      <c r="K5" s="64"/>
      <c r="L5" s="65">
        <f>SUM(K5*240)</f>
        <v>0</v>
      </c>
      <c r="M5" s="65">
        <f>SUM(D5*120)</f>
        <v>0</v>
      </c>
      <c r="N5" s="65">
        <f>SUM(E5*120)</f>
        <v>0</v>
      </c>
      <c r="O5" s="65">
        <f>SUM(F5*54)</f>
        <v>0</v>
      </c>
      <c r="P5" s="65">
        <f>SUM(G5*54)</f>
        <v>3780</v>
      </c>
      <c r="Q5" s="65">
        <f>SUM(H5*120)</f>
        <v>0</v>
      </c>
      <c r="R5" s="65">
        <f>SUM(I5*1000)</f>
        <v>0</v>
      </c>
      <c r="S5" s="65">
        <f>SUM(J5*140)</f>
        <v>0</v>
      </c>
      <c r="T5" s="65">
        <f>SUM(L5:S5)</f>
        <v>3780</v>
      </c>
    </row>
    <row r="6" spans="1:20">
      <c r="A6" s="66">
        <v>2</v>
      </c>
      <c r="B6" s="78">
        <v>46175</v>
      </c>
      <c r="C6" s="79"/>
      <c r="D6" s="67"/>
      <c r="E6" s="68"/>
      <c r="F6" s="61">
        <f>F5-E6+D6</f>
        <v>0</v>
      </c>
      <c r="G6" s="62">
        <f t="shared" ref="G6:G33" si="0">IF(OR(B6="",NOT(ISERROR(SEARCH("KPI",$A$2))),NOT(ISERROR(SEARCH("Полиом",$A$2)))),0,IF(70-F6&lt;=0,0,70-F6))</f>
        <v>70</v>
      </c>
      <c r="H6" s="62"/>
      <c r="I6" s="63"/>
      <c r="J6" s="63"/>
      <c r="K6" s="64"/>
      <c r="L6" s="65">
        <f t="shared" ref="L6:L35" si="1">SUM(K6*240)</f>
        <v>0</v>
      </c>
      <c r="M6" s="65">
        <f t="shared" ref="M6:N35" si="2">SUM(D6*120)</f>
        <v>0</v>
      </c>
      <c r="N6" s="65">
        <f t="shared" si="2"/>
        <v>0</v>
      </c>
      <c r="O6" s="65">
        <f t="shared" ref="O6:P35" si="3">SUM(F6*54)</f>
        <v>0</v>
      </c>
      <c r="P6" s="65">
        <f t="shared" si="3"/>
        <v>3780</v>
      </c>
      <c r="Q6" s="65">
        <f t="shared" ref="Q6:Q35" si="4">SUM(H6*120)</f>
        <v>0</v>
      </c>
      <c r="R6" s="65">
        <f t="shared" ref="R6:R35" si="5">SUM(I6*1000)</f>
        <v>0</v>
      </c>
      <c r="S6" s="65">
        <f t="shared" ref="S6:S35" si="6">SUM(J6*140)</f>
        <v>0</v>
      </c>
      <c r="T6" s="65">
        <f t="shared" ref="T6:T35" si="7">SUM(L6:S6)</f>
        <v>3780</v>
      </c>
    </row>
    <row r="7" spans="1:20">
      <c r="A7" s="66">
        <v>3</v>
      </c>
      <c r="B7" s="78">
        <v>46176</v>
      </c>
      <c r="C7" s="79"/>
      <c r="D7" s="68"/>
      <c r="E7" s="67"/>
      <c r="F7" s="61">
        <f t="shared" ref="F7:F31" si="8">F6-E7+D7</f>
        <v>0</v>
      </c>
      <c r="G7" s="62">
        <f t="shared" si="0"/>
        <v>70</v>
      </c>
      <c r="H7" s="62"/>
      <c r="I7" s="63"/>
      <c r="J7" s="63"/>
      <c r="K7" s="64"/>
      <c r="L7" s="65">
        <f t="shared" si="1"/>
        <v>0</v>
      </c>
      <c r="M7" s="65">
        <f t="shared" si="2"/>
        <v>0</v>
      </c>
      <c r="N7" s="65">
        <f t="shared" si="2"/>
        <v>0</v>
      </c>
      <c r="O7" s="65">
        <f t="shared" si="3"/>
        <v>0</v>
      </c>
      <c r="P7" s="65">
        <f t="shared" si="3"/>
        <v>3780</v>
      </c>
      <c r="Q7" s="65">
        <f t="shared" si="4"/>
        <v>0</v>
      </c>
      <c r="R7" s="65">
        <f t="shared" si="5"/>
        <v>0</v>
      </c>
      <c r="S7" s="65">
        <f t="shared" si="6"/>
        <v>0</v>
      </c>
      <c r="T7" s="65">
        <f t="shared" si="7"/>
        <v>3780</v>
      </c>
    </row>
    <row r="8" spans="1:20">
      <c r="A8" s="66">
        <v>4</v>
      </c>
      <c r="B8" s="78">
        <v>46177</v>
      </c>
      <c r="C8" s="79"/>
      <c r="D8" s="60"/>
      <c r="E8" s="60"/>
      <c r="F8" s="61">
        <f t="shared" si="8"/>
        <v>0</v>
      </c>
      <c r="G8" s="62">
        <f t="shared" si="0"/>
        <v>70</v>
      </c>
      <c r="H8" s="62"/>
      <c r="I8" s="63"/>
      <c r="J8" s="63"/>
      <c r="K8" s="64"/>
      <c r="L8" s="65">
        <f t="shared" si="1"/>
        <v>0</v>
      </c>
      <c r="M8" s="65">
        <f t="shared" si="2"/>
        <v>0</v>
      </c>
      <c r="N8" s="65">
        <f t="shared" si="2"/>
        <v>0</v>
      </c>
      <c r="O8" s="65">
        <f t="shared" si="3"/>
        <v>0</v>
      </c>
      <c r="P8" s="65">
        <f t="shared" si="3"/>
        <v>3780</v>
      </c>
      <c r="Q8" s="65">
        <f t="shared" si="4"/>
        <v>0</v>
      </c>
      <c r="R8" s="65">
        <f t="shared" si="5"/>
        <v>0</v>
      </c>
      <c r="S8" s="65">
        <f t="shared" si="6"/>
        <v>0</v>
      </c>
      <c r="T8" s="65">
        <f t="shared" si="7"/>
        <v>3780</v>
      </c>
    </row>
    <row r="9" spans="1:20">
      <c r="A9" s="66">
        <v>5</v>
      </c>
      <c r="B9" s="78">
        <v>46178</v>
      </c>
      <c r="C9" s="79"/>
      <c r="D9" s="67"/>
      <c r="E9" s="68"/>
      <c r="F9" s="61">
        <f t="shared" si="8"/>
        <v>0</v>
      </c>
      <c r="G9" s="62">
        <f t="shared" si="0"/>
        <v>70</v>
      </c>
      <c r="H9" s="62"/>
      <c r="I9" s="63"/>
      <c r="J9" s="63"/>
      <c r="K9" s="64"/>
      <c r="L9" s="65">
        <f t="shared" si="1"/>
        <v>0</v>
      </c>
      <c r="M9" s="65">
        <f t="shared" si="2"/>
        <v>0</v>
      </c>
      <c r="N9" s="65">
        <f t="shared" si="2"/>
        <v>0</v>
      </c>
      <c r="O9" s="65">
        <f t="shared" si="3"/>
        <v>0</v>
      </c>
      <c r="P9" s="65">
        <f t="shared" si="3"/>
        <v>3780</v>
      </c>
      <c r="Q9" s="65">
        <f t="shared" si="4"/>
        <v>0</v>
      </c>
      <c r="R9" s="65">
        <f t="shared" si="5"/>
        <v>0</v>
      </c>
      <c r="S9" s="65">
        <f t="shared" si="6"/>
        <v>0</v>
      </c>
      <c r="T9" s="65">
        <f t="shared" si="7"/>
        <v>3780</v>
      </c>
    </row>
    <row r="10" spans="1:20">
      <c r="A10" s="66">
        <v>6</v>
      </c>
      <c r="B10" s="78">
        <v>46179</v>
      </c>
      <c r="C10" s="79"/>
      <c r="D10" s="67"/>
      <c r="E10" s="68"/>
      <c r="F10" s="61">
        <f t="shared" si="8"/>
        <v>0</v>
      </c>
      <c r="G10" s="62">
        <f t="shared" si="0"/>
        <v>70</v>
      </c>
      <c r="H10" s="62"/>
      <c r="I10" s="63"/>
      <c r="J10" s="63"/>
      <c r="K10" s="64"/>
      <c r="L10" s="65">
        <f t="shared" si="1"/>
        <v>0</v>
      </c>
      <c r="M10" s="65">
        <f t="shared" si="2"/>
        <v>0</v>
      </c>
      <c r="N10" s="65">
        <f t="shared" si="2"/>
        <v>0</v>
      </c>
      <c r="O10" s="65">
        <f t="shared" si="3"/>
        <v>0</v>
      </c>
      <c r="P10" s="65">
        <f t="shared" si="3"/>
        <v>3780</v>
      </c>
      <c r="Q10" s="65">
        <f t="shared" si="4"/>
        <v>0</v>
      </c>
      <c r="R10" s="65">
        <f t="shared" si="5"/>
        <v>0</v>
      </c>
      <c r="S10" s="65">
        <f t="shared" si="6"/>
        <v>0</v>
      </c>
      <c r="T10" s="65">
        <f t="shared" si="7"/>
        <v>3780</v>
      </c>
    </row>
    <row r="11" spans="1:20">
      <c r="A11" s="66">
        <v>7</v>
      </c>
      <c r="B11" s="78">
        <v>46180</v>
      </c>
      <c r="C11" s="79"/>
      <c r="D11" s="60"/>
      <c r="E11" s="60"/>
      <c r="F11" s="61">
        <f t="shared" si="8"/>
        <v>0</v>
      </c>
      <c r="G11" s="62">
        <f t="shared" si="0"/>
        <v>70</v>
      </c>
      <c r="H11" s="62"/>
      <c r="I11" s="63"/>
      <c r="J11" s="63"/>
      <c r="K11" s="64"/>
      <c r="L11" s="65">
        <f t="shared" si="1"/>
        <v>0</v>
      </c>
      <c r="M11" s="65">
        <f t="shared" si="2"/>
        <v>0</v>
      </c>
      <c r="N11" s="65">
        <f t="shared" si="2"/>
        <v>0</v>
      </c>
      <c r="O11" s="65">
        <f t="shared" si="3"/>
        <v>0</v>
      </c>
      <c r="P11" s="65">
        <f t="shared" si="3"/>
        <v>3780</v>
      </c>
      <c r="Q11" s="65">
        <f t="shared" si="4"/>
        <v>0</v>
      </c>
      <c r="R11" s="65">
        <f t="shared" si="5"/>
        <v>0</v>
      </c>
      <c r="S11" s="65">
        <f t="shared" si="6"/>
        <v>0</v>
      </c>
      <c r="T11" s="65">
        <f t="shared" si="7"/>
        <v>3780</v>
      </c>
    </row>
    <row r="12" spans="1:20">
      <c r="A12" s="66">
        <v>8</v>
      </c>
      <c r="B12" s="78">
        <v>46181</v>
      </c>
      <c r="C12" s="79"/>
      <c r="D12" s="60"/>
      <c r="E12" s="60"/>
      <c r="F12" s="61">
        <f t="shared" si="8"/>
        <v>0</v>
      </c>
      <c r="G12" s="62">
        <f t="shared" si="0"/>
        <v>70</v>
      </c>
      <c r="H12" s="62"/>
      <c r="I12" s="63"/>
      <c r="J12" s="63"/>
      <c r="K12" s="64"/>
      <c r="L12" s="65">
        <f t="shared" si="1"/>
        <v>0</v>
      </c>
      <c r="M12" s="65">
        <f t="shared" si="2"/>
        <v>0</v>
      </c>
      <c r="N12" s="65">
        <f t="shared" si="2"/>
        <v>0</v>
      </c>
      <c r="O12" s="65">
        <f t="shared" si="3"/>
        <v>0</v>
      </c>
      <c r="P12" s="65">
        <f t="shared" si="3"/>
        <v>3780</v>
      </c>
      <c r="Q12" s="65">
        <f t="shared" si="4"/>
        <v>0</v>
      </c>
      <c r="R12" s="65">
        <f t="shared" si="5"/>
        <v>0</v>
      </c>
      <c r="S12" s="65">
        <f t="shared" si="6"/>
        <v>0</v>
      </c>
      <c r="T12" s="65">
        <f t="shared" si="7"/>
        <v>3780</v>
      </c>
    </row>
    <row r="13" spans="1:20">
      <c r="A13" s="66">
        <v>9</v>
      </c>
      <c r="B13" s="78">
        <v>46182</v>
      </c>
      <c r="C13" s="79"/>
      <c r="D13" s="60"/>
      <c r="E13" s="60"/>
      <c r="F13" s="61">
        <f t="shared" si="8"/>
        <v>0</v>
      </c>
      <c r="G13" s="62">
        <f t="shared" si="0"/>
        <v>70</v>
      </c>
      <c r="H13" s="62"/>
      <c r="I13" s="63"/>
      <c r="J13" s="63"/>
      <c r="K13" s="64"/>
      <c r="L13" s="65">
        <f t="shared" si="1"/>
        <v>0</v>
      </c>
      <c r="M13" s="65">
        <f t="shared" si="2"/>
        <v>0</v>
      </c>
      <c r="N13" s="65">
        <f t="shared" si="2"/>
        <v>0</v>
      </c>
      <c r="O13" s="65">
        <f t="shared" si="3"/>
        <v>0</v>
      </c>
      <c r="P13" s="65">
        <f t="shared" si="3"/>
        <v>3780</v>
      </c>
      <c r="Q13" s="65">
        <f t="shared" si="4"/>
        <v>0</v>
      </c>
      <c r="R13" s="65">
        <f t="shared" si="5"/>
        <v>0</v>
      </c>
      <c r="S13" s="65">
        <f t="shared" si="6"/>
        <v>0</v>
      </c>
      <c r="T13" s="65">
        <f t="shared" si="7"/>
        <v>3780</v>
      </c>
    </row>
    <row r="14" spans="1:20">
      <c r="A14" s="66">
        <v>10</v>
      </c>
      <c r="B14" s="78">
        <v>46183</v>
      </c>
      <c r="C14" s="79"/>
      <c r="D14" s="60"/>
      <c r="E14" s="60"/>
      <c r="F14" s="61">
        <f t="shared" si="8"/>
        <v>0</v>
      </c>
      <c r="G14" s="62">
        <f t="shared" si="0"/>
        <v>70</v>
      </c>
      <c r="H14" s="62"/>
      <c r="I14" s="63"/>
      <c r="J14" s="63"/>
      <c r="K14" s="64"/>
      <c r="L14" s="65">
        <f t="shared" si="1"/>
        <v>0</v>
      </c>
      <c r="M14" s="65">
        <f t="shared" si="2"/>
        <v>0</v>
      </c>
      <c r="N14" s="65">
        <f t="shared" si="2"/>
        <v>0</v>
      </c>
      <c r="O14" s="65">
        <f t="shared" si="3"/>
        <v>0</v>
      </c>
      <c r="P14" s="65">
        <f t="shared" si="3"/>
        <v>3780</v>
      </c>
      <c r="Q14" s="65">
        <f t="shared" si="4"/>
        <v>0</v>
      </c>
      <c r="R14" s="65">
        <f t="shared" si="5"/>
        <v>0</v>
      </c>
      <c r="S14" s="65">
        <f t="shared" si="6"/>
        <v>0</v>
      </c>
      <c r="T14" s="65">
        <f t="shared" si="7"/>
        <v>3780</v>
      </c>
    </row>
    <row r="15" spans="1:20">
      <c r="A15" s="66">
        <v>11</v>
      </c>
      <c r="B15" s="78">
        <v>46184</v>
      </c>
      <c r="C15" s="79"/>
      <c r="D15" s="67"/>
      <c r="E15" s="68"/>
      <c r="F15" s="61">
        <f t="shared" si="8"/>
        <v>0</v>
      </c>
      <c r="G15" s="62">
        <f t="shared" si="0"/>
        <v>70</v>
      </c>
      <c r="H15" s="62"/>
      <c r="I15" s="63"/>
      <c r="J15" s="63"/>
      <c r="K15" s="64"/>
      <c r="L15" s="65">
        <f t="shared" si="1"/>
        <v>0</v>
      </c>
      <c r="M15" s="65">
        <f t="shared" si="2"/>
        <v>0</v>
      </c>
      <c r="N15" s="65">
        <f t="shared" si="2"/>
        <v>0</v>
      </c>
      <c r="O15" s="65">
        <f t="shared" si="3"/>
        <v>0</v>
      </c>
      <c r="P15" s="65">
        <f t="shared" si="3"/>
        <v>3780</v>
      </c>
      <c r="Q15" s="65">
        <f t="shared" si="4"/>
        <v>0</v>
      </c>
      <c r="R15" s="65">
        <f t="shared" si="5"/>
        <v>0</v>
      </c>
      <c r="S15" s="65">
        <f t="shared" si="6"/>
        <v>0</v>
      </c>
      <c r="T15" s="65">
        <f t="shared" si="7"/>
        <v>3780</v>
      </c>
    </row>
    <row r="16" spans="1:20">
      <c r="A16" s="66">
        <v>12</v>
      </c>
      <c r="B16" s="78">
        <v>46185</v>
      </c>
      <c r="C16" s="79"/>
      <c r="D16" s="60"/>
      <c r="E16" s="60"/>
      <c r="F16" s="61">
        <f t="shared" si="8"/>
        <v>0</v>
      </c>
      <c r="G16" s="62">
        <f t="shared" si="0"/>
        <v>70</v>
      </c>
      <c r="H16" s="62"/>
      <c r="I16" s="63"/>
      <c r="J16" s="63"/>
      <c r="K16" s="69"/>
      <c r="L16" s="65">
        <f t="shared" si="1"/>
        <v>0</v>
      </c>
      <c r="M16" s="65">
        <f t="shared" si="2"/>
        <v>0</v>
      </c>
      <c r="N16" s="65">
        <f t="shared" si="2"/>
        <v>0</v>
      </c>
      <c r="O16" s="65">
        <f t="shared" si="3"/>
        <v>0</v>
      </c>
      <c r="P16" s="65">
        <f t="shared" si="3"/>
        <v>3780</v>
      </c>
      <c r="Q16" s="65">
        <f t="shared" si="4"/>
        <v>0</v>
      </c>
      <c r="R16" s="65">
        <f t="shared" si="5"/>
        <v>0</v>
      </c>
      <c r="S16" s="65">
        <f t="shared" si="6"/>
        <v>0</v>
      </c>
      <c r="T16" s="65">
        <f t="shared" si="7"/>
        <v>3780</v>
      </c>
    </row>
    <row r="17" spans="1:20">
      <c r="A17" s="66">
        <v>13</v>
      </c>
      <c r="B17" s="78">
        <v>46186</v>
      </c>
      <c r="C17" s="79"/>
      <c r="D17" s="67"/>
      <c r="E17" s="68"/>
      <c r="F17" s="61">
        <f t="shared" si="8"/>
        <v>0</v>
      </c>
      <c r="G17" s="62">
        <f t="shared" si="0"/>
        <v>70</v>
      </c>
      <c r="H17" s="62"/>
      <c r="I17" s="63"/>
      <c r="J17" s="63"/>
      <c r="K17" s="64"/>
      <c r="L17" s="65">
        <f t="shared" si="1"/>
        <v>0</v>
      </c>
      <c r="M17" s="65">
        <f t="shared" si="2"/>
        <v>0</v>
      </c>
      <c r="N17" s="65">
        <f t="shared" si="2"/>
        <v>0</v>
      </c>
      <c r="O17" s="65">
        <f t="shared" si="3"/>
        <v>0</v>
      </c>
      <c r="P17" s="65">
        <f t="shared" si="3"/>
        <v>3780</v>
      </c>
      <c r="Q17" s="65">
        <f t="shared" si="4"/>
        <v>0</v>
      </c>
      <c r="R17" s="65">
        <f t="shared" si="5"/>
        <v>0</v>
      </c>
      <c r="S17" s="65">
        <f t="shared" si="6"/>
        <v>0</v>
      </c>
      <c r="T17" s="65">
        <f t="shared" si="7"/>
        <v>3780</v>
      </c>
    </row>
    <row r="18" spans="1:20">
      <c r="A18" s="66">
        <v>14</v>
      </c>
      <c r="B18" s="78">
        <v>46187</v>
      </c>
      <c r="C18" s="79"/>
      <c r="D18" s="60"/>
      <c r="E18" s="60"/>
      <c r="F18" s="61">
        <f t="shared" si="8"/>
        <v>0</v>
      </c>
      <c r="G18" s="62">
        <f t="shared" si="0"/>
        <v>70</v>
      </c>
      <c r="H18" s="62"/>
      <c r="I18" s="63"/>
      <c r="J18" s="63"/>
      <c r="K18" s="64"/>
      <c r="L18" s="65">
        <f t="shared" si="1"/>
        <v>0</v>
      </c>
      <c r="M18" s="65">
        <f t="shared" si="2"/>
        <v>0</v>
      </c>
      <c r="N18" s="65">
        <f t="shared" si="2"/>
        <v>0</v>
      </c>
      <c r="O18" s="65">
        <f t="shared" si="3"/>
        <v>0</v>
      </c>
      <c r="P18" s="65">
        <f t="shared" si="3"/>
        <v>3780</v>
      </c>
      <c r="Q18" s="65">
        <f t="shared" si="4"/>
        <v>0</v>
      </c>
      <c r="R18" s="65">
        <f t="shared" si="5"/>
        <v>0</v>
      </c>
      <c r="S18" s="65">
        <f t="shared" si="6"/>
        <v>0</v>
      </c>
      <c r="T18" s="65">
        <f t="shared" si="7"/>
        <v>3780</v>
      </c>
    </row>
    <row r="19" spans="1:20">
      <c r="A19" s="66">
        <v>15</v>
      </c>
      <c r="B19" s="78">
        <v>46188</v>
      </c>
      <c r="C19" s="79"/>
      <c r="D19" s="60"/>
      <c r="E19" s="60"/>
      <c r="F19" s="61">
        <f t="shared" si="8"/>
        <v>0</v>
      </c>
      <c r="G19" s="62">
        <f t="shared" si="0"/>
        <v>70</v>
      </c>
      <c r="H19" s="62"/>
      <c r="I19" s="63"/>
      <c r="J19" s="63"/>
      <c r="K19" s="64"/>
      <c r="L19" s="65">
        <f t="shared" si="1"/>
        <v>0</v>
      </c>
      <c r="M19" s="65">
        <f t="shared" si="2"/>
        <v>0</v>
      </c>
      <c r="N19" s="65">
        <f t="shared" si="2"/>
        <v>0</v>
      </c>
      <c r="O19" s="65">
        <f t="shared" si="3"/>
        <v>0</v>
      </c>
      <c r="P19" s="65">
        <f t="shared" si="3"/>
        <v>3780</v>
      </c>
      <c r="Q19" s="65">
        <f t="shared" si="4"/>
        <v>0</v>
      </c>
      <c r="R19" s="65">
        <f t="shared" si="5"/>
        <v>0</v>
      </c>
      <c r="S19" s="65">
        <f t="shared" si="6"/>
        <v>0</v>
      </c>
      <c r="T19" s="65">
        <f t="shared" si="7"/>
        <v>3780</v>
      </c>
    </row>
    <row r="20" spans="1:20">
      <c r="A20" s="66">
        <v>16</v>
      </c>
      <c r="B20" s="78">
        <v>46189</v>
      </c>
      <c r="C20" s="79"/>
      <c r="D20" s="60"/>
      <c r="E20" s="60"/>
      <c r="F20" s="61">
        <f t="shared" si="8"/>
        <v>0</v>
      </c>
      <c r="G20" s="62">
        <f t="shared" si="0"/>
        <v>70</v>
      </c>
      <c r="H20" s="62"/>
      <c r="I20" s="63"/>
      <c r="J20" s="63"/>
      <c r="K20" s="64"/>
      <c r="L20" s="65">
        <f t="shared" si="1"/>
        <v>0</v>
      </c>
      <c r="M20" s="65">
        <f t="shared" si="2"/>
        <v>0</v>
      </c>
      <c r="N20" s="65">
        <f t="shared" si="2"/>
        <v>0</v>
      </c>
      <c r="O20" s="65">
        <f t="shared" si="3"/>
        <v>0</v>
      </c>
      <c r="P20" s="65">
        <f t="shared" si="3"/>
        <v>3780</v>
      </c>
      <c r="Q20" s="65">
        <f t="shared" si="4"/>
        <v>0</v>
      </c>
      <c r="R20" s="65">
        <f t="shared" si="5"/>
        <v>0</v>
      </c>
      <c r="S20" s="65">
        <f t="shared" si="6"/>
        <v>0</v>
      </c>
      <c r="T20" s="65">
        <f t="shared" si="7"/>
        <v>3780</v>
      </c>
    </row>
    <row r="21" spans="1:20">
      <c r="A21" s="66">
        <v>17</v>
      </c>
      <c r="B21" s="78">
        <v>46190</v>
      </c>
      <c r="C21" s="79"/>
      <c r="D21" s="67"/>
      <c r="E21" s="68"/>
      <c r="F21" s="61">
        <f t="shared" si="8"/>
        <v>0</v>
      </c>
      <c r="G21" s="62">
        <f t="shared" si="0"/>
        <v>70</v>
      </c>
      <c r="H21" s="62"/>
      <c r="I21" s="63"/>
      <c r="J21" s="63"/>
      <c r="K21" s="64"/>
      <c r="L21" s="65">
        <f t="shared" si="1"/>
        <v>0</v>
      </c>
      <c r="M21" s="65">
        <f t="shared" si="2"/>
        <v>0</v>
      </c>
      <c r="N21" s="65">
        <f t="shared" si="2"/>
        <v>0</v>
      </c>
      <c r="O21" s="65">
        <f t="shared" si="3"/>
        <v>0</v>
      </c>
      <c r="P21" s="65">
        <f t="shared" si="3"/>
        <v>3780</v>
      </c>
      <c r="Q21" s="65">
        <f t="shared" si="4"/>
        <v>0</v>
      </c>
      <c r="R21" s="65">
        <f t="shared" si="5"/>
        <v>0</v>
      </c>
      <c r="S21" s="65">
        <f t="shared" si="6"/>
        <v>0</v>
      </c>
      <c r="T21" s="65">
        <f t="shared" si="7"/>
        <v>3780</v>
      </c>
    </row>
    <row r="22" spans="1:20">
      <c r="A22" s="66">
        <v>18</v>
      </c>
      <c r="B22" s="78">
        <v>46191</v>
      </c>
      <c r="C22" s="79"/>
      <c r="D22" s="67"/>
      <c r="E22" s="68"/>
      <c r="F22" s="61">
        <f t="shared" si="8"/>
        <v>0</v>
      </c>
      <c r="G22" s="62">
        <f t="shared" si="0"/>
        <v>70</v>
      </c>
      <c r="H22" s="62"/>
      <c r="I22" s="63"/>
      <c r="J22" s="63"/>
      <c r="K22" s="64"/>
      <c r="L22" s="65">
        <f t="shared" si="1"/>
        <v>0</v>
      </c>
      <c r="M22" s="65">
        <f t="shared" si="2"/>
        <v>0</v>
      </c>
      <c r="N22" s="65">
        <f t="shared" si="2"/>
        <v>0</v>
      </c>
      <c r="O22" s="65">
        <f t="shared" si="3"/>
        <v>0</v>
      </c>
      <c r="P22" s="65">
        <f t="shared" si="3"/>
        <v>3780</v>
      </c>
      <c r="Q22" s="65">
        <f t="shared" si="4"/>
        <v>0</v>
      </c>
      <c r="R22" s="65">
        <f t="shared" si="5"/>
        <v>0</v>
      </c>
      <c r="S22" s="65">
        <f t="shared" si="6"/>
        <v>0</v>
      </c>
      <c r="T22" s="65">
        <f t="shared" si="7"/>
        <v>3780</v>
      </c>
    </row>
    <row r="23" spans="1:20">
      <c r="A23" s="66">
        <v>19</v>
      </c>
      <c r="B23" s="78">
        <v>46192</v>
      </c>
      <c r="C23" s="79"/>
      <c r="D23" s="60"/>
      <c r="E23" s="60"/>
      <c r="F23" s="61">
        <f t="shared" si="8"/>
        <v>0</v>
      </c>
      <c r="G23" s="62">
        <f t="shared" si="0"/>
        <v>70</v>
      </c>
      <c r="H23" s="62"/>
      <c r="I23" s="63"/>
      <c r="J23" s="63"/>
      <c r="K23" s="64"/>
      <c r="L23" s="65">
        <f t="shared" si="1"/>
        <v>0</v>
      </c>
      <c r="M23" s="65">
        <f t="shared" si="2"/>
        <v>0</v>
      </c>
      <c r="N23" s="65">
        <f t="shared" si="2"/>
        <v>0</v>
      </c>
      <c r="O23" s="65">
        <f t="shared" si="3"/>
        <v>0</v>
      </c>
      <c r="P23" s="65">
        <f t="shared" si="3"/>
        <v>3780</v>
      </c>
      <c r="Q23" s="65">
        <f t="shared" si="4"/>
        <v>0</v>
      </c>
      <c r="R23" s="65">
        <f t="shared" si="5"/>
        <v>0</v>
      </c>
      <c r="S23" s="65">
        <f t="shared" si="6"/>
        <v>0</v>
      </c>
      <c r="T23" s="65">
        <f t="shared" si="7"/>
        <v>3780</v>
      </c>
    </row>
    <row r="24" spans="1:20">
      <c r="A24" s="66">
        <v>20</v>
      </c>
      <c r="B24" s="78">
        <v>46193</v>
      </c>
      <c r="C24" s="79"/>
      <c r="D24" s="60"/>
      <c r="E24" s="60"/>
      <c r="F24" s="61">
        <f t="shared" si="8"/>
        <v>0</v>
      </c>
      <c r="G24" s="62">
        <f t="shared" si="0"/>
        <v>70</v>
      </c>
      <c r="H24" s="62"/>
      <c r="I24" s="63"/>
      <c r="J24" s="63"/>
      <c r="K24" s="64"/>
      <c r="L24" s="65">
        <f t="shared" si="1"/>
        <v>0</v>
      </c>
      <c r="M24" s="65">
        <f t="shared" si="2"/>
        <v>0</v>
      </c>
      <c r="N24" s="65">
        <f t="shared" si="2"/>
        <v>0</v>
      </c>
      <c r="O24" s="65">
        <f t="shared" si="3"/>
        <v>0</v>
      </c>
      <c r="P24" s="65">
        <f t="shared" si="3"/>
        <v>3780</v>
      </c>
      <c r="Q24" s="65">
        <f t="shared" si="4"/>
        <v>0</v>
      </c>
      <c r="R24" s="65">
        <f t="shared" si="5"/>
        <v>0</v>
      </c>
      <c r="S24" s="65">
        <f t="shared" si="6"/>
        <v>0</v>
      </c>
      <c r="T24" s="65">
        <f t="shared" si="7"/>
        <v>3780</v>
      </c>
    </row>
    <row r="25" spans="1:20">
      <c r="A25" s="66">
        <v>21</v>
      </c>
      <c r="B25" s="78">
        <v>46194</v>
      </c>
      <c r="C25" s="79"/>
      <c r="D25" s="60"/>
      <c r="E25" s="60"/>
      <c r="F25" s="61">
        <f t="shared" si="8"/>
        <v>0</v>
      </c>
      <c r="G25" s="62">
        <f t="shared" si="0"/>
        <v>70</v>
      </c>
      <c r="H25" s="62"/>
      <c r="I25" s="63"/>
      <c r="J25" s="63"/>
      <c r="K25" s="64"/>
      <c r="L25" s="65">
        <f t="shared" si="1"/>
        <v>0</v>
      </c>
      <c r="M25" s="65">
        <f t="shared" si="2"/>
        <v>0</v>
      </c>
      <c r="N25" s="65">
        <f t="shared" si="2"/>
        <v>0</v>
      </c>
      <c r="O25" s="65">
        <f t="shared" si="3"/>
        <v>0</v>
      </c>
      <c r="P25" s="65">
        <f t="shared" si="3"/>
        <v>3780</v>
      </c>
      <c r="Q25" s="65">
        <f t="shared" si="4"/>
        <v>0</v>
      </c>
      <c r="R25" s="65">
        <f t="shared" si="5"/>
        <v>0</v>
      </c>
      <c r="S25" s="65">
        <f t="shared" si="6"/>
        <v>0</v>
      </c>
      <c r="T25" s="65">
        <f t="shared" si="7"/>
        <v>3780</v>
      </c>
    </row>
    <row r="26" spans="1:20">
      <c r="A26" s="66">
        <v>22</v>
      </c>
      <c r="B26" s="78">
        <v>46195</v>
      </c>
      <c r="C26" s="79"/>
      <c r="D26" s="60"/>
      <c r="E26" s="60"/>
      <c r="F26" s="61">
        <f t="shared" si="8"/>
        <v>0</v>
      </c>
      <c r="G26" s="62">
        <f t="shared" si="0"/>
        <v>70</v>
      </c>
      <c r="H26" s="62"/>
      <c r="I26" s="63"/>
      <c r="J26" s="63"/>
      <c r="K26" s="64"/>
      <c r="L26" s="65">
        <f t="shared" si="1"/>
        <v>0</v>
      </c>
      <c r="M26" s="65">
        <f t="shared" si="2"/>
        <v>0</v>
      </c>
      <c r="N26" s="65">
        <f t="shared" si="2"/>
        <v>0</v>
      </c>
      <c r="O26" s="65">
        <f t="shared" si="3"/>
        <v>0</v>
      </c>
      <c r="P26" s="65">
        <f t="shared" si="3"/>
        <v>3780</v>
      </c>
      <c r="Q26" s="65">
        <f t="shared" si="4"/>
        <v>0</v>
      </c>
      <c r="R26" s="65">
        <f t="shared" si="5"/>
        <v>0</v>
      </c>
      <c r="S26" s="65">
        <f t="shared" si="6"/>
        <v>0</v>
      </c>
      <c r="T26" s="65">
        <f t="shared" si="7"/>
        <v>3780</v>
      </c>
    </row>
    <row r="27" spans="1:20">
      <c r="A27" s="66">
        <v>23</v>
      </c>
      <c r="B27" s="78">
        <v>46196</v>
      </c>
      <c r="C27" s="79"/>
      <c r="D27" s="60"/>
      <c r="E27" s="60"/>
      <c r="F27" s="61">
        <f t="shared" si="8"/>
        <v>0</v>
      </c>
      <c r="G27" s="62">
        <f t="shared" si="0"/>
        <v>70</v>
      </c>
      <c r="H27" s="62"/>
      <c r="I27" s="63"/>
      <c r="J27" s="63"/>
      <c r="K27" s="64"/>
      <c r="L27" s="65">
        <f t="shared" si="1"/>
        <v>0</v>
      </c>
      <c r="M27" s="65">
        <f t="shared" si="2"/>
        <v>0</v>
      </c>
      <c r="N27" s="65">
        <f t="shared" si="2"/>
        <v>0</v>
      </c>
      <c r="O27" s="65">
        <f t="shared" si="3"/>
        <v>0</v>
      </c>
      <c r="P27" s="65">
        <f t="shared" si="3"/>
        <v>3780</v>
      </c>
      <c r="Q27" s="65">
        <f t="shared" si="4"/>
        <v>0</v>
      </c>
      <c r="R27" s="65">
        <f t="shared" si="5"/>
        <v>0</v>
      </c>
      <c r="S27" s="65">
        <f t="shared" si="6"/>
        <v>0</v>
      </c>
      <c r="T27" s="65">
        <f t="shared" si="7"/>
        <v>3780</v>
      </c>
    </row>
    <row r="28" spans="1:20">
      <c r="A28" s="66">
        <v>24</v>
      </c>
      <c r="B28" s="78">
        <v>46197</v>
      </c>
      <c r="C28" s="79"/>
      <c r="D28" s="60"/>
      <c r="E28" s="60"/>
      <c r="F28" s="61">
        <f t="shared" si="8"/>
        <v>0</v>
      </c>
      <c r="G28" s="62">
        <f t="shared" si="0"/>
        <v>70</v>
      </c>
      <c r="H28" s="62"/>
      <c r="I28" s="63"/>
      <c r="J28" s="63"/>
      <c r="K28" s="64"/>
      <c r="L28" s="65">
        <f t="shared" si="1"/>
        <v>0</v>
      </c>
      <c r="M28" s="65">
        <f t="shared" si="2"/>
        <v>0</v>
      </c>
      <c r="N28" s="65">
        <f t="shared" si="2"/>
        <v>0</v>
      </c>
      <c r="O28" s="65">
        <f t="shared" si="3"/>
        <v>0</v>
      </c>
      <c r="P28" s="65">
        <f t="shared" si="3"/>
        <v>3780</v>
      </c>
      <c r="Q28" s="65">
        <f t="shared" si="4"/>
        <v>0</v>
      </c>
      <c r="R28" s="65">
        <f t="shared" si="5"/>
        <v>0</v>
      </c>
      <c r="S28" s="65">
        <f t="shared" si="6"/>
        <v>0</v>
      </c>
      <c r="T28" s="65">
        <f t="shared" si="7"/>
        <v>3780</v>
      </c>
    </row>
    <row r="29" spans="1:20">
      <c r="A29" s="66">
        <v>25</v>
      </c>
      <c r="B29" s="78">
        <v>46198</v>
      </c>
      <c r="C29" s="79"/>
      <c r="D29" s="70"/>
      <c r="E29" s="68"/>
      <c r="F29" s="61">
        <f t="shared" si="8"/>
        <v>0</v>
      </c>
      <c r="G29" s="62">
        <f t="shared" si="0"/>
        <v>70</v>
      </c>
      <c r="H29" s="62"/>
      <c r="I29" s="63"/>
      <c r="J29" s="63"/>
      <c r="K29" s="64"/>
      <c r="L29" s="65">
        <f t="shared" si="1"/>
        <v>0</v>
      </c>
      <c r="M29" s="65">
        <f t="shared" si="2"/>
        <v>0</v>
      </c>
      <c r="N29" s="65">
        <f t="shared" si="2"/>
        <v>0</v>
      </c>
      <c r="O29" s="65">
        <f t="shared" si="3"/>
        <v>0</v>
      </c>
      <c r="P29" s="65">
        <f t="shared" si="3"/>
        <v>3780</v>
      </c>
      <c r="Q29" s="65">
        <f t="shared" si="4"/>
        <v>0</v>
      </c>
      <c r="R29" s="65">
        <f t="shared" si="5"/>
        <v>0</v>
      </c>
      <c r="S29" s="65">
        <f t="shared" si="6"/>
        <v>0</v>
      </c>
      <c r="T29" s="65">
        <f t="shared" si="7"/>
        <v>3780</v>
      </c>
    </row>
    <row r="30" spans="1:20">
      <c r="A30" s="66">
        <v>26</v>
      </c>
      <c r="B30" s="78">
        <v>46199</v>
      </c>
      <c r="C30" s="79"/>
      <c r="D30" s="67"/>
      <c r="E30" s="68"/>
      <c r="F30" s="61">
        <f t="shared" si="8"/>
        <v>0</v>
      </c>
      <c r="G30" s="62">
        <f t="shared" si="0"/>
        <v>70</v>
      </c>
      <c r="H30" s="62"/>
      <c r="I30" s="63"/>
      <c r="J30" s="63"/>
      <c r="K30" s="64"/>
      <c r="L30" s="65">
        <f t="shared" si="1"/>
        <v>0</v>
      </c>
      <c r="M30" s="65">
        <f t="shared" si="2"/>
        <v>0</v>
      </c>
      <c r="N30" s="65">
        <f t="shared" si="2"/>
        <v>0</v>
      </c>
      <c r="O30" s="65">
        <f t="shared" si="3"/>
        <v>0</v>
      </c>
      <c r="P30" s="65">
        <f t="shared" si="3"/>
        <v>3780</v>
      </c>
      <c r="Q30" s="65">
        <f t="shared" si="4"/>
        <v>0</v>
      </c>
      <c r="R30" s="65">
        <f t="shared" si="5"/>
        <v>0</v>
      </c>
      <c r="S30" s="65">
        <f t="shared" si="6"/>
        <v>0</v>
      </c>
      <c r="T30" s="65">
        <f t="shared" si="7"/>
        <v>3780</v>
      </c>
    </row>
    <row r="31" spans="1:20">
      <c r="A31" s="66">
        <v>27</v>
      </c>
      <c r="B31" s="78">
        <v>46200</v>
      </c>
      <c r="C31" s="79"/>
      <c r="D31" s="60"/>
      <c r="E31" s="60"/>
      <c r="F31" s="61">
        <f t="shared" si="8"/>
        <v>0</v>
      </c>
      <c r="G31" s="62">
        <f t="shared" si="0"/>
        <v>70</v>
      </c>
      <c r="H31" s="62"/>
      <c r="I31" s="63"/>
      <c r="J31" s="63"/>
      <c r="K31" s="64"/>
      <c r="L31" s="65">
        <f t="shared" si="1"/>
        <v>0</v>
      </c>
      <c r="M31" s="65">
        <f t="shared" si="2"/>
        <v>0</v>
      </c>
      <c r="N31" s="65">
        <f t="shared" si="2"/>
        <v>0</v>
      </c>
      <c r="O31" s="65">
        <f t="shared" si="3"/>
        <v>0</v>
      </c>
      <c r="P31" s="65">
        <f t="shared" si="3"/>
        <v>3780</v>
      </c>
      <c r="Q31" s="65">
        <f t="shared" si="4"/>
        <v>0</v>
      </c>
      <c r="R31" s="65">
        <f t="shared" si="5"/>
        <v>0</v>
      </c>
      <c r="S31" s="65">
        <f t="shared" si="6"/>
        <v>0</v>
      </c>
      <c r="T31" s="65">
        <f t="shared" si="7"/>
        <v>3780</v>
      </c>
    </row>
    <row r="32" spans="1:20">
      <c r="A32" s="66">
        <v>28</v>
      </c>
      <c r="B32" s="78">
        <v>46201</v>
      </c>
      <c r="C32" s="79"/>
      <c r="D32" s="60"/>
      <c r="E32" s="60"/>
      <c r="F32" s="61">
        <f>F31-E32+D32</f>
        <v>0</v>
      </c>
      <c r="G32" s="62">
        <f t="shared" si="0"/>
        <v>70</v>
      </c>
      <c r="H32" s="62"/>
      <c r="I32" s="63"/>
      <c r="J32" s="63"/>
      <c r="K32" s="64"/>
      <c r="L32" s="65">
        <f t="shared" si="1"/>
        <v>0</v>
      </c>
      <c r="M32" s="65">
        <f t="shared" si="2"/>
        <v>0</v>
      </c>
      <c r="N32" s="65">
        <f t="shared" si="2"/>
        <v>0</v>
      </c>
      <c r="O32" s="65">
        <f t="shared" si="3"/>
        <v>0</v>
      </c>
      <c r="P32" s="65">
        <f t="shared" si="3"/>
        <v>3780</v>
      </c>
      <c r="Q32" s="65">
        <f t="shared" si="4"/>
        <v>0</v>
      </c>
      <c r="R32" s="65">
        <f t="shared" si="5"/>
        <v>0</v>
      </c>
      <c r="S32" s="65">
        <f t="shared" si="6"/>
        <v>0</v>
      </c>
      <c r="T32" s="65">
        <f t="shared" si="7"/>
        <v>3780</v>
      </c>
    </row>
    <row r="33" spans="1:20">
      <c r="A33" s="66">
        <v>29</v>
      </c>
      <c r="B33" s="78">
        <v>46202</v>
      </c>
      <c r="C33" s="79"/>
      <c r="D33" s="60"/>
      <c r="E33" s="60"/>
      <c r="F33" s="61">
        <f t="shared" ref="F33" si="9">F32-E33+D33</f>
        <v>0</v>
      </c>
      <c r="G33" s="62">
        <f t="shared" si="0"/>
        <v>70</v>
      </c>
      <c r="H33" s="62"/>
      <c r="I33" s="63"/>
      <c r="J33" s="63"/>
      <c r="K33" s="64"/>
      <c r="L33" s="65">
        <f t="shared" si="1"/>
        <v>0</v>
      </c>
      <c r="M33" s="65">
        <f t="shared" si="2"/>
        <v>0</v>
      </c>
      <c r="N33" s="65">
        <f t="shared" si="2"/>
        <v>0</v>
      </c>
      <c r="O33" s="65">
        <f t="shared" si="3"/>
        <v>0</v>
      </c>
      <c r="P33" s="65">
        <f t="shared" si="3"/>
        <v>3780</v>
      </c>
      <c r="Q33" s="65">
        <f t="shared" si="4"/>
        <v>0</v>
      </c>
      <c r="R33" s="65">
        <f t="shared" si="5"/>
        <v>0</v>
      </c>
      <c r="S33" s="65">
        <f t="shared" si="6"/>
        <v>0</v>
      </c>
      <c r="T33" s="65">
        <f t="shared" si="7"/>
        <v>3780</v>
      </c>
    </row>
    <row r="34" spans="1:20">
      <c r="A34" s="66">
        <v>30</v>
      </c>
      <c r="B34" s="78">
        <v>46203</v>
      </c>
      <c r="C34" s="79"/>
      <c r="D34" s="60"/>
      <c r="E34" s="60"/>
      <c r="F34" s="61">
        <f>F33-E34+D34</f>
        <v>0</v>
      </c>
      <c r="G34" s="62">
        <f>IF(OR(B34="",NOT(ISERROR(SEARCH("KPI",$A$2))),NOT(ISERROR(SEARCH("Полиом",$A$2)))),0,IF(70-F34&lt;=0,0,70-F34))</f>
        <v>70</v>
      </c>
      <c r="H34" s="62"/>
      <c r="I34" s="63"/>
      <c r="J34" s="63"/>
      <c r="K34" s="64"/>
      <c r="L34" s="65">
        <f t="shared" si="1"/>
        <v>0</v>
      </c>
      <c r="M34" s="65">
        <f t="shared" si="2"/>
        <v>0</v>
      </c>
      <c r="N34" s="65">
        <f t="shared" si="2"/>
        <v>0</v>
      </c>
      <c r="O34" s="65">
        <f>SUM(F34*54)</f>
        <v>0</v>
      </c>
      <c r="P34" s="65">
        <f t="shared" si="3"/>
        <v>3780</v>
      </c>
      <c r="Q34" s="65">
        <f t="shared" si="4"/>
        <v>0</v>
      </c>
      <c r="R34" s="65">
        <f t="shared" si="5"/>
        <v>0</v>
      </c>
      <c r="S34" s="65">
        <f t="shared" si="6"/>
        <v>0</v>
      </c>
      <c r="T34" s="65">
        <f t="shared" si="7"/>
        <v>3780</v>
      </c>
    </row>
    <row r="35" spans="1:20">
      <c r="A35" s="66"/>
      <c r="B35" s="78"/>
      <c r="C35" s="79"/>
      <c r="D35" s="67"/>
      <c r="E35" s="68"/>
      <c r="F35" s="61"/>
      <c r="G35" s="62"/>
      <c r="H35" s="62"/>
      <c r="I35" s="63"/>
      <c r="J35" s="63"/>
      <c r="K35" s="64"/>
      <c r="L35" s="65">
        <f t="shared" si="1"/>
        <v>0</v>
      </c>
      <c r="M35" s="65">
        <f t="shared" si="2"/>
        <v>0</v>
      </c>
      <c r="N35" s="65">
        <f t="shared" si="2"/>
        <v>0</v>
      </c>
      <c r="O35" s="65">
        <f>SUM(F35*54)</f>
        <v>0</v>
      </c>
      <c r="P35" s="65">
        <f t="shared" si="3"/>
        <v>0</v>
      </c>
      <c r="Q35" s="65">
        <f t="shared" si="4"/>
        <v>0</v>
      </c>
      <c r="R35" s="65">
        <f t="shared" si="5"/>
        <v>0</v>
      </c>
      <c r="S35" s="65">
        <f t="shared" si="6"/>
        <v>0</v>
      </c>
      <c r="T35" s="65">
        <f t="shared" si="7"/>
        <v>0</v>
      </c>
    </row>
    <row r="36" spans="1:20">
      <c r="D36" s="60"/>
      <c r="E36" s="60"/>
      <c r="F36" s="71">
        <f>SUM(F5:F35)</f>
        <v>0</v>
      </c>
      <c r="G36" s="71">
        <f t="shared" ref="G36:T36" si="10">SUM(G5:G35)</f>
        <v>2100</v>
      </c>
      <c r="H36" s="71">
        <f t="shared" si="10"/>
        <v>0</v>
      </c>
      <c r="I36" s="71">
        <f t="shared" si="10"/>
        <v>0</v>
      </c>
      <c r="J36" s="71">
        <f t="shared" si="10"/>
        <v>0</v>
      </c>
      <c r="K36" s="72">
        <f t="shared" si="10"/>
        <v>0</v>
      </c>
      <c r="L36" s="73">
        <f t="shared" si="10"/>
        <v>0</v>
      </c>
      <c r="M36" s="73">
        <f t="shared" si="10"/>
        <v>0</v>
      </c>
      <c r="N36" s="73">
        <f t="shared" si="10"/>
        <v>0</v>
      </c>
      <c r="O36" s="73">
        <f t="shared" si="10"/>
        <v>0</v>
      </c>
      <c r="P36" s="73">
        <f t="shared" si="10"/>
        <v>113400</v>
      </c>
      <c r="Q36" s="73">
        <f t="shared" si="10"/>
        <v>0</v>
      </c>
      <c r="R36" s="73">
        <f t="shared" si="10"/>
        <v>0</v>
      </c>
      <c r="S36" s="73">
        <f t="shared" si="10"/>
        <v>0</v>
      </c>
      <c r="T36" s="73">
        <f t="shared" si="10"/>
        <v>113400</v>
      </c>
    </row>
    <row r="37" spans="1:20">
      <c r="R37" s="74"/>
      <c r="S37" s="74"/>
      <c r="T37" s="75">
        <f>T36*1.22</f>
        <v>138348</v>
      </c>
    </row>
    <row r="40" spans="1:20">
      <c r="F40" s="76"/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61A5-75C8-4B85-8735-0EA40F5B6334}">
  <dimension ref="A1:M125"/>
  <sheetViews>
    <sheetView tabSelected="1" topLeftCell="A2" zoomScaleNormal="100" workbookViewId="0">
      <selection activeCell="B14" sqref="B14"/>
    </sheetView>
  </sheetViews>
  <sheetFormatPr defaultColWidth="14.42578125" defaultRowHeight="15" customHeight="1"/>
  <cols>
    <col min="1" max="1" width="28.5703125" style="4" customWidth="1"/>
    <col min="2" max="2" width="17.7109375" style="4" customWidth="1"/>
    <col min="3" max="3" width="17.140625" style="4" customWidth="1"/>
    <col min="4" max="4" width="18.42578125" style="4" customWidth="1"/>
    <col min="5" max="5" width="20.85546875" style="4" customWidth="1"/>
    <col min="6" max="6" width="21.85546875" style="4" customWidth="1"/>
    <col min="7" max="9" width="22.28515625" style="4" customWidth="1"/>
    <col min="10" max="10" width="19.28515625" style="4" customWidth="1"/>
    <col min="11" max="11" width="22.5703125" style="4" customWidth="1"/>
    <col min="12" max="12" width="30.28515625" style="4" customWidth="1"/>
    <col min="13" max="13" width="31.28515625" style="4" customWidth="1"/>
    <col min="14" max="16384" width="14.42578125" style="4"/>
  </cols>
  <sheetData>
    <row r="1" spans="1:10" ht="161.25" customHeight="1" thickBot="1">
      <c r="A1" s="220">
        <f ca="1">G16</f>
        <v>144163183.09999999</v>
      </c>
      <c r="B1" s="117"/>
      <c r="C1" s="117"/>
      <c r="D1" s="117"/>
      <c r="E1" s="117"/>
      <c r="F1" s="117"/>
      <c r="G1" s="117"/>
    </row>
    <row r="2" spans="1:10" ht="12.75" customHeight="1" thickBot="1">
      <c r="A2" s="118"/>
      <c r="B2" s="119"/>
      <c r="C2" s="119"/>
      <c r="D2" s="119"/>
      <c r="E2" s="119"/>
      <c r="F2" s="119"/>
      <c r="I2" s="80" t="s">
        <v>19</v>
      </c>
      <c r="J2" s="81"/>
    </row>
    <row r="3" spans="1:10" ht="14.25" customHeight="1" thickBot="1">
      <c r="A3" s="82" t="s">
        <v>20</v>
      </c>
      <c r="B3" s="83" t="s">
        <v>21</v>
      </c>
      <c r="C3" s="83" t="s">
        <v>22</v>
      </c>
      <c r="D3" s="83" t="s">
        <v>23</v>
      </c>
      <c r="E3" s="83" t="s">
        <v>24</v>
      </c>
      <c r="F3" s="83" t="s">
        <v>25</v>
      </c>
      <c r="G3" s="84" t="s">
        <v>26</v>
      </c>
      <c r="I3" s="85" t="s">
        <v>27</v>
      </c>
      <c r="J3" s="86">
        <v>23143268.370000001</v>
      </c>
    </row>
    <row r="4" spans="1:10" ht="14.25" customHeight="1">
      <c r="A4" s="87" t="s">
        <v>28</v>
      </c>
      <c r="B4" s="88">
        <f t="shared" ref="B4:B14" ca="1" si="0">INDEX($M$45:$M$54,MATCH(A4,$A$45:$A$54,0),1)</f>
        <v>9308583.3300000001</v>
      </c>
      <c r="C4" s="88">
        <v>0</v>
      </c>
      <c r="D4" s="88">
        <f t="shared" ref="D4:D15" ca="1" si="1">INDEX($B$57:$B$73,MATCH(A4,$A$57:$A$73,0),1)</f>
        <v>0</v>
      </c>
      <c r="E4" s="88">
        <f t="shared" ref="E4:E15" ca="1" si="2">SUMIF($F$19:$F$42,A4,$G$19:$G$42)</f>
        <v>42887.88</v>
      </c>
      <c r="F4" s="88">
        <f t="shared" ref="F4:F15" ca="1" si="3">SUMIF($B$19:$B$27,A4,$C$19:$C$27)</f>
        <v>159387</v>
      </c>
      <c r="G4" s="89">
        <f t="shared" ref="G4:G13" ca="1" si="4">SUM(B4:F4)</f>
        <v>9510858.2100000009</v>
      </c>
      <c r="I4" s="90" t="s">
        <v>29</v>
      </c>
      <c r="J4" s="91">
        <v>19482962</v>
      </c>
    </row>
    <row r="5" spans="1:10" ht="14.25" customHeight="1">
      <c r="A5" s="1" t="s">
        <v>30</v>
      </c>
      <c r="B5" s="88">
        <f t="shared" ca="1" si="0"/>
        <v>10585418.460000001</v>
      </c>
      <c r="C5" s="88">
        <v>0</v>
      </c>
      <c r="D5" s="88">
        <f t="shared" ca="1" si="1"/>
        <v>0</v>
      </c>
      <c r="E5" s="88">
        <f t="shared" ca="1" si="2"/>
        <v>6423.2999999999993</v>
      </c>
      <c r="F5" s="88">
        <f t="shared" ca="1" si="3"/>
        <v>0</v>
      </c>
      <c r="G5" s="89">
        <f t="shared" ca="1" si="4"/>
        <v>10591841.760000002</v>
      </c>
      <c r="I5" s="90" t="s">
        <v>30</v>
      </c>
      <c r="J5" s="91">
        <v>14483152.129999999</v>
      </c>
    </row>
    <row r="6" spans="1:10" ht="14.25" customHeight="1">
      <c r="A6" s="1" t="s">
        <v>31</v>
      </c>
      <c r="B6" s="88">
        <f t="shared" ca="1" si="0"/>
        <v>12664184.200000001</v>
      </c>
      <c r="C6" s="88">
        <v>0</v>
      </c>
      <c r="D6" s="88">
        <f t="shared" ca="1" si="1"/>
        <v>0</v>
      </c>
      <c r="E6" s="88">
        <f t="shared" ca="1" si="2"/>
        <v>0</v>
      </c>
      <c r="F6" s="88">
        <f t="shared" si="3"/>
        <v>0</v>
      </c>
      <c r="G6" s="89">
        <f t="shared" ca="1" si="4"/>
        <v>12664184.200000001</v>
      </c>
      <c r="I6" s="90" t="s">
        <v>31</v>
      </c>
      <c r="J6" s="91">
        <v>11908608.83</v>
      </c>
    </row>
    <row r="7" spans="1:10" ht="14.25" customHeight="1">
      <c r="A7" s="1" t="s">
        <v>32</v>
      </c>
      <c r="B7" s="88">
        <f t="shared" ca="1" si="0"/>
        <v>6041240.1600000001</v>
      </c>
      <c r="C7" s="88">
        <v>0</v>
      </c>
      <c r="D7" s="88">
        <f t="shared" ca="1" si="1"/>
        <v>0</v>
      </c>
      <c r="E7" s="88">
        <f t="shared" ca="1" si="2"/>
        <v>138348</v>
      </c>
      <c r="F7" s="88">
        <f t="shared" si="3"/>
        <v>0</v>
      </c>
      <c r="G7" s="89">
        <f t="shared" ca="1" si="4"/>
        <v>6179588.1600000001</v>
      </c>
      <c r="I7" s="90" t="s">
        <v>28</v>
      </c>
      <c r="J7" s="91">
        <v>11544503.229999999</v>
      </c>
    </row>
    <row r="8" spans="1:10" ht="14.25" customHeight="1">
      <c r="A8" s="1" t="s">
        <v>33</v>
      </c>
      <c r="B8" s="88">
        <f t="shared" ca="1" si="0"/>
        <v>5883745.0300000003</v>
      </c>
      <c r="C8" s="88">
        <v>0</v>
      </c>
      <c r="D8" s="88">
        <f t="shared" ca="1" si="1"/>
        <v>0</v>
      </c>
      <c r="E8" s="88">
        <f t="shared" si="2"/>
        <v>0</v>
      </c>
      <c r="F8" s="88">
        <f t="shared" si="3"/>
        <v>0</v>
      </c>
      <c r="G8" s="89">
        <f t="shared" ca="1" si="4"/>
        <v>5883745.0300000003</v>
      </c>
      <c r="I8" s="90"/>
      <c r="J8" s="91"/>
    </row>
    <row r="9" spans="1:10" ht="14.25" customHeight="1">
      <c r="A9" s="1" t="s">
        <v>27</v>
      </c>
      <c r="B9" s="88">
        <f t="shared" ca="1" si="0"/>
        <v>18643995.170000002</v>
      </c>
      <c r="C9" s="88">
        <v>0</v>
      </c>
      <c r="D9" s="88">
        <f t="shared" ca="1" si="1"/>
        <v>0</v>
      </c>
      <c r="E9" s="88">
        <f t="shared" ca="1" si="2"/>
        <v>0</v>
      </c>
      <c r="F9" s="88">
        <f t="shared" si="3"/>
        <v>0</v>
      </c>
      <c r="G9" s="89">
        <f t="shared" ca="1" si="4"/>
        <v>18643995.170000002</v>
      </c>
      <c r="I9" s="90" t="s">
        <v>34</v>
      </c>
      <c r="J9" s="91">
        <v>9900926.8800000008</v>
      </c>
    </row>
    <row r="10" spans="1:10" ht="14.25" customHeight="1">
      <c r="A10" s="1" t="s">
        <v>34</v>
      </c>
      <c r="B10" s="88">
        <f t="shared" ca="1" si="0"/>
        <v>9551913.75</v>
      </c>
      <c r="C10" s="88">
        <v>0</v>
      </c>
      <c r="D10" s="88">
        <f t="shared" ca="1" si="1"/>
        <v>0</v>
      </c>
      <c r="E10" s="88">
        <f t="shared" ca="1" si="2"/>
        <v>0</v>
      </c>
      <c r="F10" s="88">
        <f t="shared" si="3"/>
        <v>0</v>
      </c>
      <c r="G10" s="89">
        <f t="shared" ca="1" si="4"/>
        <v>9551913.75</v>
      </c>
      <c r="I10" s="90" t="s">
        <v>35</v>
      </c>
      <c r="J10" s="91">
        <v>9082789.1400000006</v>
      </c>
    </row>
    <row r="11" spans="1:10" ht="14.25" customHeight="1">
      <c r="A11" s="1" t="s">
        <v>35</v>
      </c>
      <c r="B11" s="88">
        <f t="shared" ca="1" si="0"/>
        <v>8737018.6199999992</v>
      </c>
      <c r="C11" s="88">
        <v>0</v>
      </c>
      <c r="D11" s="88">
        <f t="shared" ca="1" si="1"/>
        <v>0</v>
      </c>
      <c r="E11" s="88">
        <f t="shared" ca="1" si="2"/>
        <v>3294</v>
      </c>
      <c r="F11" s="88">
        <f t="shared" si="3"/>
        <v>0</v>
      </c>
      <c r="G11" s="89">
        <f t="shared" ca="1" si="4"/>
        <v>8740312.6199999992</v>
      </c>
      <c r="I11" s="90" t="s">
        <v>32</v>
      </c>
      <c r="J11" s="91">
        <v>7932975.6470719995</v>
      </c>
    </row>
    <row r="12" spans="1:10" ht="14.25" customHeight="1">
      <c r="A12" s="1" t="s">
        <v>36</v>
      </c>
      <c r="B12" s="88">
        <f t="shared" ca="1" si="0"/>
        <v>0</v>
      </c>
      <c r="C12" s="88">
        <v>0</v>
      </c>
      <c r="D12" s="88">
        <f t="shared" ca="1" si="1"/>
        <v>0</v>
      </c>
      <c r="E12" s="88">
        <f t="shared" ca="1" si="2"/>
        <v>0</v>
      </c>
      <c r="F12" s="88">
        <f t="shared" si="3"/>
        <v>0</v>
      </c>
      <c r="G12" s="89">
        <f t="shared" ca="1" si="4"/>
        <v>0</v>
      </c>
      <c r="I12" s="90" t="s">
        <v>36</v>
      </c>
      <c r="J12" s="91">
        <v>7580244.574</v>
      </c>
    </row>
    <row r="13" spans="1:10" ht="14.25" customHeight="1">
      <c r="A13" s="2" t="s">
        <v>29</v>
      </c>
      <c r="B13" s="88">
        <v>0</v>
      </c>
      <c r="C13" s="88">
        <f ca="1">C29+C37</f>
        <v>55347989</v>
      </c>
      <c r="D13" s="88">
        <f t="shared" ca="1" si="1"/>
        <v>0</v>
      </c>
      <c r="E13" s="88">
        <f t="shared" si="2"/>
        <v>0</v>
      </c>
      <c r="F13" s="88">
        <f t="shared" si="3"/>
        <v>0</v>
      </c>
      <c r="G13" s="89">
        <f t="shared" ca="1" si="4"/>
        <v>55347989</v>
      </c>
      <c r="I13" s="90" t="s">
        <v>37</v>
      </c>
      <c r="J13" s="91">
        <v>6720000</v>
      </c>
    </row>
    <row r="14" spans="1:10" ht="14.25" customHeight="1" thickBot="1">
      <c r="A14" s="2" t="s">
        <v>38</v>
      </c>
      <c r="B14" s="88">
        <f t="shared" ca="1" si="0"/>
        <v>7048755.2000000002</v>
      </c>
      <c r="C14" s="88">
        <v>0</v>
      </c>
      <c r="D14" s="88">
        <f t="shared" ca="1" si="1"/>
        <v>0</v>
      </c>
      <c r="E14" s="88">
        <f t="shared" si="2"/>
        <v>0</v>
      </c>
      <c r="F14" s="88">
        <f t="shared" si="3"/>
        <v>0</v>
      </c>
      <c r="G14" s="89">
        <f ca="1">SUM(B14:F14)</f>
        <v>7048755.2000000002</v>
      </c>
      <c r="I14" s="92" t="s">
        <v>39</v>
      </c>
      <c r="J14" s="93">
        <v>2464921.6199999992</v>
      </c>
    </row>
    <row r="15" spans="1:10" ht="14.25" customHeight="1" thickBot="1">
      <c r="A15" s="20" t="s">
        <v>40</v>
      </c>
      <c r="B15" s="88">
        <v>0</v>
      </c>
      <c r="C15" s="88">
        <v>0</v>
      </c>
      <c r="D15" s="88">
        <f t="shared" ca="1" si="1"/>
        <v>0</v>
      </c>
      <c r="E15" s="88">
        <f t="shared" si="2"/>
        <v>0</v>
      </c>
      <c r="F15" s="88">
        <f t="shared" si="3"/>
        <v>0</v>
      </c>
      <c r="G15" s="89">
        <f ca="1">SUM(B15:F15)</f>
        <v>0</v>
      </c>
    </row>
    <row r="16" spans="1:10" ht="14.25" customHeight="1" thickBot="1">
      <c r="A16" s="3"/>
      <c r="B16" s="94">
        <f t="shared" ref="B16:G16" ca="1" si="5">SUM(B4:B15)</f>
        <v>88464853.920000017</v>
      </c>
      <c r="C16" s="94">
        <f t="shared" ca="1" si="5"/>
        <v>55347989</v>
      </c>
      <c r="D16" s="94">
        <f t="shared" ca="1" si="5"/>
        <v>0</v>
      </c>
      <c r="E16" s="94">
        <f t="shared" ca="1" si="5"/>
        <v>190953.18</v>
      </c>
      <c r="F16" s="94">
        <f t="shared" ca="1" si="5"/>
        <v>159387</v>
      </c>
      <c r="G16" s="120">
        <f t="shared" ca="1" si="5"/>
        <v>144163183.09999999</v>
      </c>
    </row>
    <row r="17" spans="1:9" ht="14.25" customHeight="1" thickBot="1">
      <c r="B17" s="95"/>
      <c r="C17" s="95"/>
      <c r="D17" s="95"/>
      <c r="E17" s="95"/>
      <c r="F17" s="121"/>
    </row>
    <row r="18" spans="1:9" ht="14.25" customHeight="1" thickBot="1">
      <c r="A18" s="96" t="s">
        <v>41</v>
      </c>
      <c r="B18" s="97"/>
      <c r="C18" s="98">
        <f ca="1">SUM(C19:C27)</f>
        <v>159387</v>
      </c>
      <c r="E18" s="99" t="s">
        <v>24</v>
      </c>
      <c r="F18" s="100"/>
      <c r="G18" s="101">
        <f ca="1">SUM(G19:G41)</f>
        <v>190953.18</v>
      </c>
      <c r="H18" s="102"/>
      <c r="I18" s="103"/>
    </row>
    <row r="19" spans="1:9" ht="14.25" customHeight="1">
      <c r="A19" s="5" t="s">
        <v>42</v>
      </c>
      <c r="B19" s="6" t="s">
        <v>28</v>
      </c>
      <c r="C19" s="7" cm="1">
        <f t="array" aca="1" ref="C19" ca="1">IFERROR(INDIRECT("'" &amp; A19 &amp; "'!A1"),)</f>
        <v>42893</v>
      </c>
      <c r="E19" s="5" t="s">
        <v>43</v>
      </c>
      <c r="F19" s="6" t="s">
        <v>28</v>
      </c>
      <c r="G19" s="8" cm="1">
        <f t="array" aca="1" ref="G19" ca="1">IFERROR(INDIRECT("'" &amp; E19 &amp; " "  &amp; F19 &amp; "'!A1"),0)</f>
        <v>4446.8999999999996</v>
      </c>
      <c r="H19" s="9"/>
      <c r="I19" s="9"/>
    </row>
    <row r="20" spans="1:9" ht="14.25" customHeight="1">
      <c r="A20" s="10" t="s">
        <v>44</v>
      </c>
      <c r="B20" s="11" t="s">
        <v>28</v>
      </c>
      <c r="C20" s="7" cm="1">
        <f t="array" aca="1" ref="C20" ca="1">IFERROR(INDIRECT("'" &amp; A20 &amp; "'!A1"),)</f>
        <v>8640</v>
      </c>
      <c r="E20" s="10" t="s">
        <v>45</v>
      </c>
      <c r="F20" s="11" t="s">
        <v>28</v>
      </c>
      <c r="G20" s="8" cm="1">
        <f t="array" aca="1" ref="G20" ca="1">IFERROR(INDIRECT("'" &amp; E20 &amp; " "  &amp; F20 &amp; "'!A1"),0)</f>
        <v>15712.38</v>
      </c>
      <c r="H20" s="9"/>
      <c r="I20" s="9"/>
    </row>
    <row r="21" spans="1:9" ht="14.25" customHeight="1">
      <c r="A21" s="10" t="s">
        <v>46</v>
      </c>
      <c r="B21" s="11" t="s">
        <v>28</v>
      </c>
      <c r="C21" s="7" cm="1">
        <f t="array" aca="1" ref="C21" ca="1">IFERROR(INDIRECT("'" &amp; A21 &amp; "'!A1"),)</f>
        <v>85642</v>
      </c>
      <c r="E21" s="5" t="s">
        <v>47</v>
      </c>
      <c r="F21" s="6" t="s">
        <v>28</v>
      </c>
      <c r="G21" s="8" cm="1">
        <f t="array" aca="1" ref="G21" ca="1">IFERROR(INDIRECT("'" &amp; E21 &amp; " "  &amp; F21 &amp; "'!A1"),0)</f>
        <v>12846.6</v>
      </c>
      <c r="H21" s="9"/>
      <c r="I21" s="9"/>
    </row>
    <row r="22" spans="1:9" ht="14.25" customHeight="1">
      <c r="A22" s="10" t="s">
        <v>48</v>
      </c>
      <c r="B22" s="11" t="s">
        <v>28</v>
      </c>
      <c r="C22" s="7" cm="1">
        <f t="array" aca="1" ref="C22" ca="1">IFERROR(INDIRECT("'" &amp; A22 &amp; "'!A1"),)</f>
        <v>18700.799999999996</v>
      </c>
      <c r="E22" s="5" t="s">
        <v>49</v>
      </c>
      <c r="F22" s="6" t="s">
        <v>31</v>
      </c>
      <c r="G22" s="8" cm="1">
        <f t="array" aca="1" ref="G22" ca="1">IFERROR(INDIRECT("'" &amp; E22 &amp; " "  &amp; F22 &amp; "'!A1"),0)</f>
        <v>0</v>
      </c>
      <c r="H22" s="9"/>
      <c r="I22" s="9"/>
    </row>
    <row r="23" spans="1:9" ht="14.25" customHeight="1">
      <c r="A23" s="10" t="s">
        <v>50</v>
      </c>
      <c r="B23" s="11" t="s">
        <v>28</v>
      </c>
      <c r="C23" s="7" cm="1">
        <f t="array" aca="1" ref="C23" ca="1">IFERROR(INDIRECT("'" &amp; A23 &amp; "'!A1"),)</f>
        <v>3511.2000000000007</v>
      </c>
      <c r="E23" s="10" t="s">
        <v>43</v>
      </c>
      <c r="F23" s="11" t="s">
        <v>31</v>
      </c>
      <c r="G23" s="8" cm="1">
        <f t="array" aca="1" ref="G23" ca="1">IFERROR(INDIRECT("'" &amp; E23 &amp; " "  &amp; F23 &amp; "'!A1"),0)</f>
        <v>0</v>
      </c>
      <c r="H23" s="9"/>
      <c r="I23" s="9"/>
    </row>
    <row r="24" spans="1:9" ht="14.25" customHeight="1">
      <c r="A24" s="10" t="s">
        <v>51</v>
      </c>
      <c r="B24" s="11" t="s">
        <v>37</v>
      </c>
      <c r="C24" s="7" cm="1">
        <f t="array" aca="1" ref="C24" ca="1">IFERROR(INDIRECT("'" &amp; A24 &amp; "'!A1"),)</f>
        <v>0</v>
      </c>
      <c r="E24" s="10" t="s">
        <v>45</v>
      </c>
      <c r="F24" s="11" t="s">
        <v>31</v>
      </c>
      <c r="G24" s="8" cm="1">
        <f t="array" aca="1" ref="G24" ca="1">IFERROR(INDIRECT("'" &amp; E24 &amp; " "  &amp; F24 &amp; "'!A1"),0)</f>
        <v>0</v>
      </c>
      <c r="H24" s="9"/>
      <c r="I24" s="9"/>
    </row>
    <row r="25" spans="1:9" ht="14.25" customHeight="1">
      <c r="A25" s="10" t="s">
        <v>52</v>
      </c>
      <c r="B25" s="11" t="s">
        <v>30</v>
      </c>
      <c r="C25" s="7" cm="1">
        <f t="array" aca="1" ref="C25" ca="1">IFERROR(INDIRECT("'" &amp; A25 &amp; "'!A1"),)</f>
        <v>0</v>
      </c>
      <c r="E25" s="10" t="s">
        <v>43</v>
      </c>
      <c r="F25" s="11" t="s">
        <v>35</v>
      </c>
      <c r="G25" s="8" cm="1">
        <f t="array" aca="1" ref="G25" ca="1">IFERROR(INDIRECT("'" &amp; E25 &amp; " "  &amp; F25 &amp; "'!A1"),0)</f>
        <v>0</v>
      </c>
      <c r="H25" s="9"/>
      <c r="I25" s="9"/>
    </row>
    <row r="26" spans="1:9" ht="14.25" customHeight="1">
      <c r="A26" s="10" t="s">
        <v>53</v>
      </c>
      <c r="B26" s="11" t="s">
        <v>30</v>
      </c>
      <c r="C26" s="7" cm="1">
        <f t="array" aca="1" ref="C26" ca="1">IFERROR(INDIRECT("'" &amp; A26 &amp; "'!A1"),)</f>
        <v>0</v>
      </c>
      <c r="E26" s="10" t="s">
        <v>54</v>
      </c>
      <c r="F26" s="11" t="s">
        <v>35</v>
      </c>
      <c r="G26" s="8" cm="1">
        <f t="array" aca="1" ref="G26" ca="1">IFERROR(INDIRECT("'" &amp; E26 &amp; " "  &amp; F26 &amp; "'!t37"),0)</f>
        <v>0</v>
      </c>
      <c r="H26" s="9"/>
      <c r="I26" s="9"/>
    </row>
    <row r="27" spans="1:9" ht="14.25" customHeight="1">
      <c r="A27" s="10" t="s">
        <v>55</v>
      </c>
      <c r="B27" s="11" t="s">
        <v>30</v>
      </c>
      <c r="C27" s="7" cm="1">
        <f t="array" aca="1" ref="C27" ca="1">IFERROR(INDIRECT("'" &amp; A27 &amp; "'!A1"),)</f>
        <v>0</v>
      </c>
      <c r="E27" s="10" t="s">
        <v>56</v>
      </c>
      <c r="F27" s="11" t="s">
        <v>36</v>
      </c>
      <c r="G27" s="8" cm="1">
        <f t="array" aca="1" ref="G27" ca="1">IFERROR(INDIRECT("'" &amp; E27 &amp; " "  &amp; F27 &amp; "'!A1"),0)</f>
        <v>0</v>
      </c>
      <c r="H27" s="9"/>
      <c r="I27" s="9"/>
    </row>
    <row r="28" spans="1:9" ht="14.25" customHeight="1" thickBot="1">
      <c r="B28" s="12"/>
      <c r="C28" s="9"/>
      <c r="E28" s="10" t="s">
        <v>45</v>
      </c>
      <c r="F28" s="11" t="s">
        <v>30</v>
      </c>
      <c r="G28" s="8" cm="1">
        <f t="array" aca="1" ref="G28" ca="1">IFERROR(INDIRECT("'" &amp; E28 &amp; " "  &amp; F28 &amp; "'!A1"),0)</f>
        <v>3952.7999999999997</v>
      </c>
      <c r="H28" s="9"/>
      <c r="I28" s="9"/>
    </row>
    <row r="29" spans="1:9" ht="14.25" customHeight="1" thickBot="1">
      <c r="A29" s="96" t="s">
        <v>29</v>
      </c>
      <c r="B29" s="97"/>
      <c r="C29" s="98">
        <f ca="1">SUM(C30:C35)</f>
        <v>44749043</v>
      </c>
      <c r="E29" s="10" t="s">
        <v>49</v>
      </c>
      <c r="F29" s="11" t="s">
        <v>30</v>
      </c>
      <c r="G29" s="8" cm="1">
        <f t="array" aca="1" ref="G29" ca="1">IFERROR(INDIRECT("'" &amp; E29 &amp; " "  &amp; F29 &amp; "'!A1"),0)</f>
        <v>0</v>
      </c>
      <c r="H29" s="9"/>
      <c r="I29" s="9"/>
    </row>
    <row r="30" spans="1:9" ht="14.25" customHeight="1">
      <c r="A30" s="13" t="s">
        <v>57</v>
      </c>
      <c r="B30" s="14"/>
      <c r="C30" s="7" cm="1">
        <f t="array" aca="1" ref="C30" ca="1">INDIRECT("'" &amp; A29 &amp; "'!F17")</f>
        <v>16167490</v>
      </c>
      <c r="E30" s="10" t="s">
        <v>47</v>
      </c>
      <c r="F30" s="11" t="s">
        <v>30</v>
      </c>
      <c r="G30" s="8" cm="1">
        <f t="array" aca="1" ref="G30" ca="1">IFERROR(INDIRECT("'" &amp; E30 &amp; " "  &amp; F30 &amp; "'!A1"),0)</f>
        <v>0</v>
      </c>
      <c r="H30" s="9"/>
      <c r="I30" s="9"/>
    </row>
    <row r="31" spans="1:9" ht="14.25" customHeight="1">
      <c r="A31" s="15" t="s">
        <v>58</v>
      </c>
      <c r="B31" s="16"/>
      <c r="C31" s="8" cm="1">
        <f t="array" aca="1" ref="C31" ca="1">INDIRECT("'" &amp; A29 &amp; "'!F16")</f>
        <v>0</v>
      </c>
      <c r="E31" s="10" t="s">
        <v>43</v>
      </c>
      <c r="F31" s="11" t="s">
        <v>30</v>
      </c>
      <c r="G31" s="8" cm="1">
        <f t="array" aca="1" ref="G31" ca="1">IFERROR(INDIRECT("'" &amp; E31 &amp; " "  &amp; F31 &amp; "'!A1"),0)</f>
        <v>2470.5</v>
      </c>
      <c r="H31" s="9"/>
      <c r="I31" s="9"/>
    </row>
    <row r="32" spans="1:9" ht="14.25" customHeight="1">
      <c r="A32" s="15" t="s">
        <v>59</v>
      </c>
      <c r="B32" s="16"/>
      <c r="C32" s="8" cm="1">
        <f t="array" aca="1" ref="C32" ca="1">INDIRECT("'" &amp; A29 &amp; "'!F18")</f>
        <v>872300</v>
      </c>
      <c r="E32" s="5" t="s">
        <v>60</v>
      </c>
      <c r="F32" s="6" t="s">
        <v>32</v>
      </c>
      <c r="G32" s="8" cm="1">
        <f t="array" aca="1" ref="G32" ca="1">IFERROR(INDIRECT("'" &amp; E32 &amp; " "  &amp; F32 &amp; "'!A1"),0)</f>
        <v>138348</v>
      </c>
      <c r="H32" s="9"/>
      <c r="I32" s="9"/>
    </row>
    <row r="33" spans="1:13" ht="14.25" customHeight="1">
      <c r="A33" s="15" t="s">
        <v>61</v>
      </c>
      <c r="B33" s="16"/>
      <c r="C33" s="8" cm="1">
        <f t="array" aca="1" ref="C33" ca="1">INDIRECT("'" &amp; A29 &amp; "'!F19")</f>
        <v>2242921</v>
      </c>
      <c r="E33" s="5" t="s">
        <v>49</v>
      </c>
      <c r="F33" s="6" t="s">
        <v>32</v>
      </c>
      <c r="G33" s="8" cm="1">
        <f t="array" aca="1" ref="G33" ca="1">IFERROR(INDIRECT("'" &amp; E33 &amp; " "  &amp; F33 &amp; "'!A1"),0)</f>
        <v>0</v>
      </c>
      <c r="H33" s="9"/>
      <c r="I33" s="9"/>
    </row>
    <row r="34" spans="1:13" ht="14.25" customHeight="1">
      <c r="A34" s="15" t="s">
        <v>62</v>
      </c>
      <c r="B34" s="16"/>
      <c r="C34" s="8" cm="1">
        <f t="array" aca="1" ref="C34" ca="1">INDIRECT("'" &amp; A29 &amp; "'!F20")</f>
        <v>20121277</v>
      </c>
      <c r="E34" s="10" t="s">
        <v>45</v>
      </c>
      <c r="F34" s="11" t="s">
        <v>32</v>
      </c>
      <c r="G34" s="8" cm="1">
        <f t="array" aca="1" ref="G34" ca="1">IFERROR(INDIRECT("'" &amp; E34 &amp; " "  &amp; F34 &amp; "'!A1"),0)</f>
        <v>0</v>
      </c>
      <c r="H34" s="9"/>
      <c r="I34" s="9"/>
    </row>
    <row r="35" spans="1:13" ht="14.25" customHeight="1">
      <c r="A35" s="15" t="s">
        <v>63</v>
      </c>
      <c r="B35" s="16"/>
      <c r="C35" s="8" cm="1">
        <f t="array" aca="1" ref="C35" ca="1">INDIRECT("'" &amp; A29 &amp; "'!F21")</f>
        <v>5345055</v>
      </c>
      <c r="E35" s="10" t="s">
        <v>49</v>
      </c>
      <c r="F35" s="11" t="s">
        <v>35</v>
      </c>
      <c r="G35" s="8" cm="1">
        <f t="array" aca="1" ref="G35" ca="1">IFERROR(INDIRECT("'" &amp; E35 &amp; " "  &amp; F35 &amp; "'!A1"),0)</f>
        <v>3294</v>
      </c>
      <c r="H35" s="9"/>
      <c r="I35" s="9"/>
    </row>
    <row r="36" spans="1:13" ht="14.25" customHeight="1" thickBot="1">
      <c r="A36" s="17"/>
      <c r="B36" s="17"/>
      <c r="C36" s="18"/>
      <c r="E36" s="10" t="s">
        <v>47</v>
      </c>
      <c r="F36" s="11" t="s">
        <v>35</v>
      </c>
      <c r="G36" s="8" cm="1">
        <f t="array" aca="1" ref="G36" ca="1">IFERROR(INDIRECT("'" &amp; E36 &amp; " "  &amp; F36 &amp; "'!A1"),0)</f>
        <v>0</v>
      </c>
      <c r="H36" s="9"/>
      <c r="I36" s="9"/>
    </row>
    <row r="37" spans="1:13" ht="14.25" customHeight="1" thickBot="1">
      <c r="A37" s="96" t="s">
        <v>64</v>
      </c>
      <c r="B37" s="97"/>
      <c r="C37" s="98">
        <f>SUM(C38:C42)</f>
        <v>10598946</v>
      </c>
      <c r="E37" s="10" t="s">
        <v>45</v>
      </c>
      <c r="F37" s="11" t="s">
        <v>27</v>
      </c>
      <c r="G37" s="8" cm="1">
        <f t="array" aca="1" ref="G37" ca="1">IFERROR(INDIRECT("'" &amp; E37 &amp; " "  &amp; F37 &amp; "'!A1"),0)</f>
        <v>0</v>
      </c>
      <c r="H37" s="9"/>
      <c r="I37" s="9"/>
    </row>
    <row r="38" spans="1:13" ht="14.25" customHeight="1">
      <c r="A38" s="13" t="s">
        <v>65</v>
      </c>
      <c r="B38" s="14"/>
      <c r="C38" s="7">
        <v>3534726</v>
      </c>
      <c r="E38" s="10" t="s">
        <v>43</v>
      </c>
      <c r="F38" s="11" t="s">
        <v>34</v>
      </c>
      <c r="G38" s="8" cm="1">
        <f t="array" aca="1" ref="G38" ca="1">IFERROR(INDIRECT("'" &amp; E38 &amp; " "  &amp; F38 &amp; "'!A1"),0)</f>
        <v>0</v>
      </c>
      <c r="H38" s="9"/>
      <c r="I38" s="9"/>
    </row>
    <row r="39" spans="1:13" ht="14.25" customHeight="1">
      <c r="A39" s="15" t="s">
        <v>36</v>
      </c>
      <c r="B39" s="16"/>
      <c r="C39" s="8">
        <v>7064220</v>
      </c>
      <c r="E39" s="10" t="s">
        <v>49</v>
      </c>
      <c r="F39" s="11" t="s">
        <v>28</v>
      </c>
      <c r="G39" s="8" cm="1">
        <f t="array" aca="1" ref="G39" ca="1">IFERROR(INDIRECT("'" &amp; E39 &amp; " "  &amp; F39 &amp; "'!A1"),0)</f>
        <v>9882</v>
      </c>
      <c r="H39" s="9"/>
      <c r="I39" s="9"/>
    </row>
    <row r="40" spans="1:13" ht="14.25" customHeight="1">
      <c r="A40" s="15"/>
      <c r="B40" s="16"/>
      <c r="C40" s="8"/>
      <c r="E40" s="10" t="s">
        <v>43</v>
      </c>
      <c r="F40" s="11" t="s">
        <v>27</v>
      </c>
      <c r="G40" s="8" cm="1">
        <f t="array" aca="1" ref="G40" ca="1">IFERROR(INDIRECT("'" &amp; E40 &amp; " "  &amp; F40 &amp; "'!A1"),0)</f>
        <v>0</v>
      </c>
      <c r="H40" s="9"/>
      <c r="I40" s="9"/>
    </row>
    <row r="41" spans="1:13" ht="14.25" customHeight="1">
      <c r="A41" s="15"/>
      <c r="B41" s="16"/>
      <c r="C41" s="8"/>
      <c r="E41" s="10" t="s">
        <v>66</v>
      </c>
      <c r="F41" s="11" t="s">
        <v>36</v>
      </c>
      <c r="G41" s="8" cm="1">
        <f t="array" aca="1" ref="G41" ca="1">IFERROR(INDIRECT("'" &amp; E41 &amp; " "  &amp; F41 &amp; "'!A1"),0)</f>
        <v>0</v>
      </c>
      <c r="H41" s="9"/>
      <c r="I41" s="9"/>
    </row>
    <row r="42" spans="1:13" ht="14.25" customHeight="1" thickBot="1">
      <c r="A42" s="15"/>
      <c r="B42" s="16"/>
      <c r="C42" s="8"/>
      <c r="F42" s="12"/>
      <c r="G42" s="19"/>
      <c r="H42" s="9"/>
      <c r="I42" s="9"/>
    </row>
    <row r="43" spans="1:13" ht="14.25" customHeight="1" thickBot="1">
      <c r="A43" s="96" t="s">
        <v>67</v>
      </c>
      <c r="B43" s="97"/>
      <c r="C43" s="97"/>
      <c r="D43" s="97"/>
      <c r="E43" s="97"/>
      <c r="F43" s="97"/>
      <c r="G43" s="97"/>
      <c r="H43" s="97"/>
      <c r="I43" s="97"/>
      <c r="J43" s="104"/>
      <c r="K43" s="105">
        <f ca="1">SUM(M45:M54)</f>
        <v>88464853.920000017</v>
      </c>
      <c r="L43" s="106"/>
      <c r="M43" s="107"/>
    </row>
    <row r="44" spans="1:13" ht="14.25" customHeight="1" thickBot="1">
      <c r="A44" s="3"/>
      <c r="B44" s="83" t="s">
        <v>68</v>
      </c>
      <c r="C44" s="83" t="s">
        <v>69</v>
      </c>
      <c r="D44" s="83" t="s">
        <v>70</v>
      </c>
      <c r="E44" s="83" t="s">
        <v>71</v>
      </c>
      <c r="F44" s="83" t="s">
        <v>72</v>
      </c>
      <c r="G44" s="108" t="s">
        <v>54</v>
      </c>
      <c r="H44" s="108" t="s">
        <v>73</v>
      </c>
      <c r="I44" s="108" t="s">
        <v>74</v>
      </c>
      <c r="J44" s="109" t="s">
        <v>75</v>
      </c>
      <c r="K44" s="109" t="s">
        <v>76</v>
      </c>
      <c r="L44" s="109" t="s">
        <v>77</v>
      </c>
      <c r="M44" s="110" t="s">
        <v>78</v>
      </c>
    </row>
    <row r="45" spans="1:13" ht="14.25" customHeight="1">
      <c r="A45" s="111" t="s">
        <v>28</v>
      </c>
      <c r="B45" s="112" cm="1">
        <f t="array" aca="1" ref="B45" ca="1">IFERROR(INDIRECT("'" &amp; $A45 &amp; " " &amp; B$44 &amp; "'!T37"),)</f>
        <v>1178.04</v>
      </c>
      <c r="C45" s="112" cm="1">
        <f t="array" aca="1" ref="C45" ca="1">IFERROR(INDIRECT("'" &amp; $A45 &amp; " " &amp; C$44 &amp; "'!T37"),)</f>
        <v>198644.54</v>
      </c>
      <c r="D45" s="112" cm="1">
        <f t="array" aca="1" ref="D45" ca="1">IFERROR(INDIRECT("'" &amp; $A45 &amp; " " &amp; D$44 &amp; "'!T37"),)</f>
        <v>9108760.75</v>
      </c>
      <c r="E45" s="112" cm="1">
        <f t="array" aca="1" ref="E45" ca="1">IFERROR(INDIRECT("'" &amp; $A45 &amp; " " &amp; E$44 &amp; "'!T37"),)</f>
        <v>0</v>
      </c>
      <c r="F45" s="112" cm="1">
        <f t="array" aca="1" ref="F45" ca="1">IFERROR(INDIRECT("'" &amp; $A45 &amp; " " &amp; F$44 &amp; "'!T37"),)</f>
        <v>0</v>
      </c>
      <c r="G45" s="112" cm="1">
        <f t="array" aca="1" ref="G45" ca="1">IFERROR(INDIRECT("'" &amp; $A45 &amp; " " &amp; G$44 &amp; "'!T37"),)</f>
        <v>0</v>
      </c>
      <c r="H45" s="112" cm="1">
        <f t="array" aca="1" ref="H45" ca="1">IFERROR(INDIRECT("'" &amp; $A45 &amp; " " &amp; H$44 &amp; "'!T37"),)</f>
        <v>0</v>
      </c>
      <c r="I45" s="112" cm="1">
        <f t="array" aca="1" ref="I45" ca="1">IFERROR(INDIRECT("'" &amp; $A45 &amp; " " &amp; I$44 &amp; "'!T37"),)</f>
        <v>0</v>
      </c>
      <c r="J45" s="112" cm="1">
        <f t="array" aca="1" ref="J45" ca="1">IFERROR(INDIRECT("'" &amp; $A45 &amp; " " &amp; J$44 &amp; "'!T37"),)</f>
        <v>0</v>
      </c>
      <c r="K45" s="112" cm="1">
        <f t="array" aca="1" ref="K45" ca="1">IFERROR(INDIRECT("'" &amp; $A45 &amp; " " &amp; K$44 &amp; "'!G12"),)</f>
        <v>0</v>
      </c>
      <c r="L45" s="112" cm="1">
        <f t="array" aca="1" ref="L45" ca="1">IFERROR(INDIRECT("'" &amp; $A45 &amp; " " &amp; L$44 &amp; "'!F14"),)</f>
        <v>0</v>
      </c>
      <c r="M45" s="113">
        <f ca="1">SUM(B45:L45)</f>
        <v>9308583.3300000001</v>
      </c>
    </row>
    <row r="46" spans="1:13" ht="14.25" customHeight="1">
      <c r="A46" s="20" t="s">
        <v>30</v>
      </c>
      <c r="B46" s="112" cm="1">
        <f t="array" aca="1" ref="B46" ca="1">IFERROR(INDIRECT("'" &amp; $A46 &amp; " " &amp; B$44 &amp; "'!T37"),)</f>
        <v>15008.31</v>
      </c>
      <c r="C46" s="112" cm="1">
        <f t="array" aca="1" ref="C46" ca="1">IFERROR(INDIRECT("'" &amp; $A46 &amp; " " &amp; C$44 &amp; "'!T37"),)</f>
        <v>98573.16</v>
      </c>
      <c r="D46" s="112" cm="1">
        <f t="array" aca="1" ref="D46" ca="1">IFERROR(INDIRECT("'" &amp; $A46 &amp; " " &amp; D$44 &amp; "'!T37"),)</f>
        <v>10471836.99</v>
      </c>
      <c r="E46" s="112" cm="1">
        <f t="array" aca="1" ref="E46" ca="1">IFERROR(INDIRECT("'" &amp; $A46 &amp; " " &amp; E$44 &amp; "'!T37"),)</f>
        <v>0</v>
      </c>
      <c r="F46" s="112" cm="1">
        <f t="array" aca="1" ref="F46" ca="1">IFERROR(INDIRECT("'" &amp; $A46 &amp; " " &amp; F$44 &amp; "'!T37"),)</f>
        <v>0</v>
      </c>
      <c r="G46" s="112" cm="1">
        <f t="array" aca="1" ref="G46" ca="1">IFERROR(INDIRECT("'" &amp; $A46 &amp; " " &amp; G$44 &amp; "'!T37"),)</f>
        <v>0</v>
      </c>
      <c r="H46" s="112" cm="1">
        <f t="array" aca="1" ref="H46" ca="1">IFERROR(INDIRECT("'" &amp; $A46 &amp; " " &amp; H$44 &amp; "'!T37"),)</f>
        <v>0</v>
      </c>
      <c r="I46" s="112" cm="1">
        <f t="array" aca="1" ref="I46" ca="1">IFERROR(INDIRECT("'" &amp; $A46 &amp; " " &amp; I$44 &amp; "'!T37"),)</f>
        <v>0</v>
      </c>
      <c r="J46" s="112" cm="1">
        <f t="array" aca="1" ref="J46" ca="1">IFERROR(INDIRECT("'" &amp; $A46 &amp; " " &amp; J$44 &amp; "'!T37"),)</f>
        <v>0</v>
      </c>
      <c r="K46" s="112" cm="1">
        <f t="array" aca="1" ref="K46" ca="1">IFERROR(INDIRECT("'" &amp; $A46 &amp; " " &amp; K$44 &amp; "'!G12"),)</f>
        <v>0</v>
      </c>
      <c r="L46" s="112" cm="1">
        <f t="array" aca="1" ref="L46" ca="1">IFERROR(INDIRECT("'" &amp; $A46 &amp; " " &amp; L$44 &amp; "'!F14"),)</f>
        <v>0</v>
      </c>
      <c r="M46" s="113">
        <f t="shared" ref="M46:M54" ca="1" si="6">SUM(B46:L46)</f>
        <v>10585418.460000001</v>
      </c>
    </row>
    <row r="47" spans="1:13" ht="14.25" customHeight="1">
      <c r="A47" s="20" t="s">
        <v>31</v>
      </c>
      <c r="B47" s="112" cm="1">
        <f t="array" aca="1" ref="B47" ca="1">IFERROR(INDIRECT("'" &amp; $A47 &amp; " " &amp; B$44 &amp; "'!T37"),)</f>
        <v>208081.92000000001</v>
      </c>
      <c r="C47" s="112" cm="1">
        <f t="array" aca="1" ref="C47" ca="1">IFERROR(INDIRECT("'" &amp; $A47 &amp; " " &amp; C$44 &amp; "'!T37"),)</f>
        <v>754600.22</v>
      </c>
      <c r="D47" s="112" cm="1">
        <f t="array" aca="1" ref="D47" ca="1">IFERROR(INDIRECT("'" &amp; $A47 &amp; " " &amp; D$44 &amp; "'!T37"),)</f>
        <v>11593187.73</v>
      </c>
      <c r="E47" s="112" cm="1">
        <f t="array" aca="1" ref="E47" ca="1">IFERROR(INDIRECT("'" &amp; $A47 &amp; " " &amp; E$44 &amp; "'!T37"),)</f>
        <v>0</v>
      </c>
      <c r="F47" s="112" cm="1">
        <f t="array" aca="1" ref="F47" ca="1">IFERROR(INDIRECT("'" &amp; $A47 &amp; " " &amp; F$44 &amp; "'!T37"),)</f>
        <v>0</v>
      </c>
      <c r="G47" s="112" cm="1">
        <f t="array" aca="1" ref="G47" ca="1">IFERROR(INDIRECT("'" &amp; $A47 &amp; " " &amp; G$44 &amp; "'!T37"),)</f>
        <v>0</v>
      </c>
      <c r="H47" s="112" cm="1">
        <f t="array" aca="1" ref="H47" ca="1">IFERROR(INDIRECT("'" &amp; $A47 &amp; " " &amp; H$44 &amp; "'!T37"),)</f>
        <v>0</v>
      </c>
      <c r="I47" s="112" cm="1">
        <f t="array" aca="1" ref="I47" ca="1">IFERROR(INDIRECT("'" &amp; $A47 &amp; " " &amp; I$44 &amp; "'!T37"),)</f>
        <v>0</v>
      </c>
      <c r="J47" s="112" cm="1">
        <f t="array" aca="1" ref="J47" ca="1">IFERROR(INDIRECT("'" &amp; $A47 &amp; " " &amp; J$44 &amp; "'!T37"),)</f>
        <v>64394.33</v>
      </c>
      <c r="K47" s="112" cm="1">
        <f t="array" aca="1" ref="K47" ca="1">IFERROR(INDIRECT("'" &amp; $A47 &amp; " " &amp; K$44 &amp; "'!G12"),)</f>
        <v>43920</v>
      </c>
      <c r="L47" s="112" cm="1">
        <f t="array" aca="1" ref="L47" ca="1">IFERROR(INDIRECT("'" &amp; $A47 &amp; " " &amp; L$44 &amp; "'!F14"),)</f>
        <v>0</v>
      </c>
      <c r="M47" s="113">
        <f t="shared" ca="1" si="6"/>
        <v>12664184.200000001</v>
      </c>
    </row>
    <row r="48" spans="1:13" ht="14.25" customHeight="1">
      <c r="A48" s="20" t="s">
        <v>32</v>
      </c>
      <c r="B48" s="112" cm="1">
        <f t="array" aca="1" ref="B48" ca="1">IFERROR(INDIRECT("'" &amp; $A48 &amp; " " &amp; B$44 &amp; "'!T37"),)</f>
        <v>996.83</v>
      </c>
      <c r="C48" s="112" cm="1">
        <f t="array" aca="1" ref="C48" ca="1">IFERROR(INDIRECT("'" &amp; $A48 &amp; " " &amp; C$44 &amp; "'!T37"),)</f>
        <v>215969.65</v>
      </c>
      <c r="D48" s="112" cm="1">
        <f t="array" aca="1" ref="D48" ca="1">IFERROR(INDIRECT("'" &amp; $A48 &amp; " " &amp; D$44 &amp; "'!T37"),)</f>
        <v>4146339.26</v>
      </c>
      <c r="E48" s="112" cm="1">
        <f t="array" aca="1" ref="E48" ca="1">IFERROR(INDIRECT("'" &amp; $A48 &amp; " " &amp; E$44 &amp; "'!T37"),)</f>
        <v>0</v>
      </c>
      <c r="F48" s="112" cm="1">
        <f t="array" aca="1" ref="F48" ca="1">IFERROR(INDIRECT("'" &amp; $A48 &amp; " " &amp; F$44 &amp; "'!T37"),)</f>
        <v>0</v>
      </c>
      <c r="G48" s="112" cm="1">
        <f t="array" aca="1" ref="G48" ca="1">IFERROR(INDIRECT("'" &amp; $A48 &amp; " " &amp; G$44 &amp; "'!T37"),)</f>
        <v>0</v>
      </c>
      <c r="H48" s="112" cm="1">
        <f t="array" aca="1" ref="H48" ca="1">IFERROR(INDIRECT("'" &amp; $A48 &amp; " " &amp; H$44 &amp; "'!T37"),)</f>
        <v>0</v>
      </c>
      <c r="I48" s="112" cm="1">
        <f t="array" aca="1" ref="I48" ca="1">IFERROR(INDIRECT("'" &amp; $A48 &amp; " " &amp; I$44 &amp; "'!T37"),)</f>
        <v>1677934.42</v>
      </c>
      <c r="J48" s="112" cm="1">
        <f t="array" aca="1" ref="J48" ca="1">IFERROR(INDIRECT("'" &amp; $A48 &amp; " " &amp; J$44 &amp; "'!T37"),)</f>
        <v>0</v>
      </c>
      <c r="K48" s="112" cm="1">
        <f t="array" aca="1" ref="K48" ca="1">IFERROR(INDIRECT("'" &amp; $A48 &amp; " " &amp; K$44 &amp; "'!G12"),)</f>
        <v>0</v>
      </c>
      <c r="L48" s="112" cm="1">
        <f t="array" aca="1" ref="L48" ca="1">IFERROR(INDIRECT("'" &amp; $A48 &amp; " " &amp; L$44 &amp; "'!F14"),)</f>
        <v>0</v>
      </c>
      <c r="M48" s="113">
        <f t="shared" ca="1" si="6"/>
        <v>6041240.1600000001</v>
      </c>
    </row>
    <row r="49" spans="1:13" ht="14.25" customHeight="1">
      <c r="A49" s="20" t="s">
        <v>33</v>
      </c>
      <c r="B49" s="112" cm="1">
        <f t="array" aca="1" ref="B49" ca="1">IFERROR(INDIRECT("'" &amp; $A49 &amp; " " &amp; B$44 &amp; "'!T37"),)</f>
        <v>0</v>
      </c>
      <c r="C49" s="112" cm="1">
        <f t="array" aca="1" ref="C49" ca="1">IFERROR(INDIRECT("'" &amp; $A49 &amp; " " &amp; C$44 &amp; "'!T37"),)</f>
        <v>0</v>
      </c>
      <c r="D49" s="112" cm="1">
        <f t="array" aca="1" ref="D49" ca="1">IFERROR(INDIRECT("'" &amp; $A49 &amp; " " &amp; D$44 &amp; "'!T37"),)</f>
        <v>0</v>
      </c>
      <c r="E49" s="112" cm="1">
        <f t="array" aca="1" ref="E49" ca="1">IFERROR(INDIRECT("'" &amp; $A49 &amp; " " &amp; E$44 &amp; "'!T37"),)</f>
        <v>0</v>
      </c>
      <c r="F49" s="112" cm="1">
        <f t="array" aca="1" ref="F49" ca="1">IFERROR(INDIRECT("'" &amp; $A49 &amp; " " &amp; F$44 &amp; "'!T37"),)</f>
        <v>0</v>
      </c>
      <c r="G49" s="112" cm="1">
        <f t="array" aca="1" ref="G49" ca="1">IFERROR(INDIRECT("'" &amp; $A49 &amp; " " &amp; G$44 &amp; "'!T37"),)</f>
        <v>0</v>
      </c>
      <c r="H49" s="112" cm="1">
        <f t="array" aca="1" ref="H49" ca="1">IFERROR(INDIRECT("'" &amp; $A49 &amp; " " &amp; H$44 &amp; "'!T37"),)</f>
        <v>0</v>
      </c>
      <c r="I49" s="112" cm="1">
        <f t="array" aca="1" ref="I49" ca="1">IFERROR(INDIRECT("'" &amp; $A49 &amp; " " &amp; I$44 &amp; "'!T37"),)</f>
        <v>5883745.0300000003</v>
      </c>
      <c r="J49" s="112" cm="1">
        <f t="array" aca="1" ref="J49" ca="1">IFERROR(INDIRECT("'" &amp; $A49 &amp; " " &amp; J$44 &amp; "'!T37"),)</f>
        <v>0</v>
      </c>
      <c r="K49" s="112" cm="1">
        <f t="array" aca="1" ref="K49" ca="1">IFERROR(INDIRECT("'" &amp; $A49 &amp; " " &amp; K$44 &amp; "'!G12"),)</f>
        <v>0</v>
      </c>
      <c r="L49" s="112" cm="1">
        <f t="array" aca="1" ref="L49" ca="1">IFERROR(INDIRECT("'" &amp; $A49 &amp; " " &amp; L$44 &amp; "'!F14"),)</f>
        <v>0</v>
      </c>
      <c r="M49" s="113">
        <f t="shared" ca="1" si="6"/>
        <v>5883745.0300000003</v>
      </c>
    </row>
    <row r="50" spans="1:13" ht="14.25" customHeight="1">
      <c r="A50" s="20" t="s">
        <v>27</v>
      </c>
      <c r="B50" s="112" cm="1">
        <f t="array" aca="1" ref="B50" ca="1">IFERROR(INDIRECT("'" &amp; $A50 &amp; " " &amp; B$44 &amp; "'!T37"),)</f>
        <v>0</v>
      </c>
      <c r="C50" s="112" cm="1">
        <f t="array" aca="1" ref="C50" ca="1">IFERROR(INDIRECT("'" &amp; $A50 &amp; " " &amp; C$44 &amp; "'!T37"),)</f>
        <v>26880.44</v>
      </c>
      <c r="D50" s="112" cm="1">
        <f t="array" aca="1" ref="D50" ca="1">IFERROR(INDIRECT("'" &amp; $A50 &amp; " " &amp; D$44 &amp; "'!T37"),)</f>
        <v>18482719.530000001</v>
      </c>
      <c r="E50" s="112" cm="1">
        <f t="array" aca="1" ref="E50" ca="1">IFERROR(INDIRECT("'" &amp; $A50 &amp; " " &amp; E$44 &amp; "'!T37"),)</f>
        <v>0</v>
      </c>
      <c r="F50" s="112" cm="1">
        <f t="array" aca="1" ref="F50" ca="1">IFERROR(INDIRECT("'" &amp; $A50 &amp; " " &amp; F$44 &amp; "'!T37"),)</f>
        <v>0</v>
      </c>
      <c r="G50" s="112" cm="1">
        <f t="array" aca="1" ref="G50" ca="1">IFERROR(INDIRECT("'" &amp; $A50 &amp; " " &amp; G$44 &amp; "'!T37"),)</f>
        <v>0</v>
      </c>
      <c r="H50" s="112" cm="1">
        <f t="array" aca="1" ref="H50" ca="1">IFERROR(INDIRECT("'" &amp; $A50 &amp; " " &amp; H$44 &amp; "'!T37"),)</f>
        <v>0</v>
      </c>
      <c r="I50" s="112" cm="1">
        <f t="array" aca="1" ref="I50" ca="1">IFERROR(INDIRECT("'" &amp; $A50 &amp; " " &amp; I$44 &amp; "'!T37"),)</f>
        <v>0</v>
      </c>
      <c r="J50" s="112" cm="1">
        <f t="array" aca="1" ref="J50" ca="1">IFERROR(INDIRECT("'" &amp; $A50 &amp; " " &amp; J$44 &amp; "'!T37"),)</f>
        <v>0</v>
      </c>
      <c r="K50" s="112" cm="1">
        <f t="array" aca="1" ref="K50" ca="1">IFERROR(INDIRECT("'" &amp; $A50 &amp; " " &amp; K$44 &amp; "'!G12"),)</f>
        <v>82960</v>
      </c>
      <c r="L50" s="112" cm="1">
        <f t="array" aca="1" ref="L50" ca="1">IFERROR(INDIRECT("'" &amp; $A50 &amp; " " &amp; L$44 &amp; "'!F14"),)</f>
        <v>51435.199999999997</v>
      </c>
      <c r="M50" s="113">
        <f t="shared" ca="1" si="6"/>
        <v>18643995.170000002</v>
      </c>
    </row>
    <row r="51" spans="1:13" ht="14.25" customHeight="1">
      <c r="A51" s="20" t="s">
        <v>34</v>
      </c>
      <c r="B51" s="112" cm="1">
        <f t="array" aca="1" ref="B51" ca="1">IFERROR(INDIRECT("'" &amp; $A51 &amp; " " &amp; B$44 &amp; "'!T37"),)</f>
        <v>0</v>
      </c>
      <c r="C51" s="112" cm="1">
        <f t="array" aca="1" ref="C51" ca="1">IFERROR(INDIRECT("'" &amp; $A51 &amp; " " &amp; C$44 &amp; "'!T37"),)</f>
        <v>0</v>
      </c>
      <c r="D51" s="112" cm="1">
        <f t="array" aca="1" ref="D51" ca="1">IFERROR(INDIRECT("'" &amp; $A51 &amp; " " &amp; D$44 &amp; "'!T37"),)</f>
        <v>9490913.75</v>
      </c>
      <c r="E51" s="112" cm="1">
        <f t="array" aca="1" ref="E51" ca="1">IFERROR(INDIRECT("'" &amp; $A51 &amp; " " &amp; E$44 &amp; "'!T37"),)</f>
        <v>0</v>
      </c>
      <c r="F51" s="112" cm="1">
        <f t="array" aca="1" ref="F51" ca="1">IFERROR(INDIRECT("'" &amp; $A51 &amp; " " &amp; F$44 &amp; "'!T37"),)</f>
        <v>0</v>
      </c>
      <c r="G51" s="112" cm="1">
        <f t="array" aca="1" ref="G51" ca="1">IFERROR(INDIRECT("'" &amp; $A51 &amp; " " &amp; G$44 &amp; "'!T37"),)</f>
        <v>0</v>
      </c>
      <c r="H51" s="112" cm="1">
        <f t="array" aca="1" ref="H51" ca="1">IFERROR(INDIRECT("'" &amp; $A51 &amp; " " &amp; H$44 &amp; "'!T37"),)</f>
        <v>0</v>
      </c>
      <c r="I51" s="112" cm="1">
        <f t="array" aca="1" ref="I51" ca="1">IFERROR(INDIRECT("'" &amp; $A51 &amp; " " &amp; I$44 &amp; "'!T37"),)</f>
        <v>0</v>
      </c>
      <c r="J51" s="112" cm="1">
        <f t="array" aca="1" ref="J51" ca="1">IFERROR(INDIRECT("'" &amp; $A51 &amp; " " &amp; J$44 &amp; "'!T37"),)</f>
        <v>0</v>
      </c>
      <c r="K51" s="112" cm="1">
        <f t="array" aca="1" ref="K51" ca="1">IFERROR(INDIRECT("'" &amp; $A51 &amp; " " &amp; K$44 &amp; "'!G12"),)</f>
        <v>61000</v>
      </c>
      <c r="L51" s="112" cm="1">
        <f t="array" aca="1" ref="L51" ca="1">IFERROR(INDIRECT("'" &amp; $A51 &amp; " " &amp; L$44 &amp; "'!F14"),)</f>
        <v>0</v>
      </c>
      <c r="M51" s="113">
        <f t="shared" ca="1" si="6"/>
        <v>9551913.75</v>
      </c>
    </row>
    <row r="52" spans="1:13" ht="14.25" customHeight="1">
      <c r="A52" s="20" t="s">
        <v>35</v>
      </c>
      <c r="B52" s="112" cm="1">
        <f t="array" aca="1" ref="B52" ca="1">IFERROR(INDIRECT("'" &amp; $A52 &amp; " " &amp; B$44 &amp; "'!T37"),)</f>
        <v>0</v>
      </c>
      <c r="C52" s="112" cm="1">
        <f t="array" aca="1" ref="C52" ca="1">IFERROR(INDIRECT("'" &amp; $A52 &amp; " " &amp; C$44 &amp; "'!T37"),)</f>
        <v>7710.02</v>
      </c>
      <c r="D52" s="112" cm="1">
        <f t="array" aca="1" ref="D52" ca="1">IFERROR(INDIRECT("'" &amp; $A52 &amp; " " &amp; D$44 &amp; "'!T37"),)</f>
        <v>8172482.8099999996</v>
      </c>
      <c r="E52" s="112" cm="1">
        <f t="array" aca="1" ref="E52" ca="1">IFERROR(INDIRECT("'" &amp; $A52 &amp; " " &amp; E$44 &amp; "'!T37"),)</f>
        <v>0</v>
      </c>
      <c r="F52" s="112" cm="1">
        <f t="array" aca="1" ref="F52" ca="1">IFERROR(INDIRECT("'" &amp; $A52 &amp; " " &amp; F$44 &amp; "'!T37"),)</f>
        <v>0</v>
      </c>
      <c r="G52" s="112" cm="1">
        <f t="array" aca="1" ref="G52" ca="1">IFERROR(INDIRECT("'" &amp; $A52 &amp; " " &amp; G$44 &amp; "'!T37"),)</f>
        <v>556825.79</v>
      </c>
      <c r="H52" s="112" cm="1">
        <f t="array" aca="1" ref="H52" ca="1">IFERROR(INDIRECT("'" &amp; $A52 &amp; " " &amp; H$44 &amp; "'!T37"),)</f>
        <v>0</v>
      </c>
      <c r="I52" s="112" cm="1">
        <f t="array" aca="1" ref="I52" ca="1">IFERROR(INDIRECT("'" &amp; $A52 &amp; " " &amp; I$44 &amp; "'!T37"),)</f>
        <v>0</v>
      </c>
      <c r="J52" s="112" cm="1">
        <f t="array" aca="1" ref="J52" ca="1">IFERROR(INDIRECT("'" &amp; $A52 &amp; " " &amp; J$44 &amp; "'!T37"),)</f>
        <v>0</v>
      </c>
      <c r="K52" s="112" cm="1">
        <f t="array" aca="1" ref="K52" ca="1">IFERROR(INDIRECT("'" &amp; $A52 &amp; " " &amp; K$44 &amp; "'!G12"),)</f>
        <v>0</v>
      </c>
      <c r="L52" s="112" cm="1">
        <f t="array" aca="1" ref="L52" ca="1">IFERROR(INDIRECT("'" &amp; $A52 &amp; " " &amp; L$44 &amp; "'!F14"),)</f>
        <v>0</v>
      </c>
      <c r="M52" s="113">
        <f t="shared" ca="1" si="6"/>
        <v>8737018.6199999992</v>
      </c>
    </row>
    <row r="53" spans="1:13" ht="14.25" customHeight="1">
      <c r="A53" s="20" t="s">
        <v>36</v>
      </c>
      <c r="B53" s="112" cm="1">
        <f t="array" aca="1" ref="B53" ca="1">IFERROR(INDIRECT("'" &amp; $A53 &amp; " " &amp; B$44 &amp; "'!T37"),)</f>
        <v>0</v>
      </c>
      <c r="C53" s="112" cm="1">
        <f t="array" aca="1" ref="C53" ca="1">IFERROR(INDIRECT("'" &amp; $A53 &amp; " " &amp; C$44 &amp; "'!T37"),)</f>
        <v>0</v>
      </c>
      <c r="D53" s="112" cm="1">
        <f t="array" aca="1" ref="D53" ca="1">IFERROR(INDIRECT("'" &amp; $A53 &amp; " " &amp; D$44 &amp; "'!T37"),)</f>
        <v>0</v>
      </c>
      <c r="E53" s="112" cm="1">
        <f t="array" aca="1" ref="E53" ca="1">IFERROR(INDIRECT("'" &amp; $A53 &amp; " " &amp; E$44 &amp; "'!T37"),)</f>
        <v>0</v>
      </c>
      <c r="F53" s="112" cm="1">
        <f t="array" aca="1" ref="F53" ca="1">IFERROR(INDIRECT("'" &amp; $A53 &amp; " " &amp; F$44 &amp; "'!T37"),)</f>
        <v>0</v>
      </c>
      <c r="G53" s="112" cm="1">
        <f t="array" aca="1" ref="G53" ca="1">IFERROR(INDIRECT("'" &amp; $A53 &amp; " " &amp; G$44 &amp; "'!T37"),)</f>
        <v>0</v>
      </c>
      <c r="H53" s="112" cm="1">
        <f t="array" aca="1" ref="H53" ca="1">IFERROR(INDIRECT("'" &amp; $A53 &amp; " " &amp; H$44 &amp; "'!T37"),)</f>
        <v>0</v>
      </c>
      <c r="I53" s="112" cm="1">
        <f t="array" aca="1" ref="I53" ca="1">IFERROR(INDIRECT("'" &amp; $A53 &amp; " " &amp; I$44 &amp; "'!T37"),)</f>
        <v>0</v>
      </c>
      <c r="J53" s="112" cm="1">
        <f t="array" aca="1" ref="J53" ca="1">IFERROR(INDIRECT("'" &amp; $A53 &amp; " " &amp; J$44 &amp; "'!T37"),)</f>
        <v>0</v>
      </c>
      <c r="K53" s="112" cm="1">
        <f t="array" aca="1" ref="K53" ca="1">IFERROR(INDIRECT("'" &amp; $A53 &amp; " " &amp; K$44 &amp; "'!G12"),)</f>
        <v>0</v>
      </c>
      <c r="L53" s="112" cm="1">
        <f t="array" aca="1" ref="L53" ca="1">IFERROR(INDIRECT("'" &amp; $A53 &amp; " " &amp; L$44 &amp; "'!F14"),)</f>
        <v>0</v>
      </c>
      <c r="M53" s="113">
        <f t="shared" ca="1" si="6"/>
        <v>0</v>
      </c>
    </row>
    <row r="54" spans="1:13" ht="14.25" customHeight="1">
      <c r="A54" s="21" t="s">
        <v>38</v>
      </c>
      <c r="B54" s="112" cm="1">
        <f t="array" aca="1" ref="B54" ca="1">IFERROR(INDIRECT("'" &amp; $A54 &amp; " " &amp; B$44 &amp; "'!T37"),)</f>
        <v>115538.64</v>
      </c>
      <c r="C54" s="112" cm="1">
        <f t="array" aca="1" ref="C54" ca="1">IFERROR(INDIRECT("'" &amp; $A54 &amp; " " &amp; C$44 &amp; "'!T37"),)</f>
        <v>121789.87</v>
      </c>
      <c r="D54" s="112" cm="1">
        <f t="array" aca="1" ref="D54" ca="1">IFERROR(INDIRECT("'" &amp; $A54 &amp; " " &amp; D$44 &amp; "'!T37"),)</f>
        <v>6811426.6900000004</v>
      </c>
      <c r="E54" s="112" cm="1">
        <f t="array" aca="1" ref="E54" ca="1">IFERROR(INDIRECT("'" &amp; $A54 &amp; " " &amp; E$44 &amp; "'!T37"),)</f>
        <v>0</v>
      </c>
      <c r="F54" s="112" cm="1">
        <f t="array" aca="1" ref="F54" ca="1">IFERROR(INDIRECT("'" &amp; $A54 &amp; " " &amp; F$44 &amp; "'!T37"),)</f>
        <v>0</v>
      </c>
      <c r="G54" s="112" cm="1">
        <f t="array" aca="1" ref="G54" ca="1">IFERROR(INDIRECT("'" &amp; $A54 &amp; " " &amp; G$44 &amp; "'!T37"),)</f>
        <v>0</v>
      </c>
      <c r="H54" s="112" cm="1">
        <f t="array" aca="1" ref="H54" ca="1">IFERROR(INDIRECT("'" &amp; $A54 &amp; " " &amp; H$44 &amp; "'!T37"),)</f>
        <v>0</v>
      </c>
      <c r="I54" s="112" cm="1">
        <f t="array" aca="1" ref="I54" ca="1">IFERROR(INDIRECT("'" &amp; $A54 &amp; " " &amp; I$44 &amp; "'!T37"),)</f>
        <v>0</v>
      </c>
      <c r="J54" s="112" cm="1">
        <f t="array" aca="1" ref="J54" ca="1">IFERROR(INDIRECT("'" &amp; $A54 &amp; " " &amp; J$44 &amp; "'!T37"),)</f>
        <v>0</v>
      </c>
      <c r="K54" s="112" cm="1">
        <f t="array" aca="1" ref="K54" ca="1">IFERROR(INDIRECT("'" &amp; $A54 &amp; " " &amp; K$44 &amp; "'!G12"),)</f>
        <v>0</v>
      </c>
      <c r="L54" s="112" cm="1">
        <f t="array" aca="1" ref="L54" ca="1">IFERROR(INDIRECT("'" &amp; $A54 &amp; " " &amp; L$44 &amp; "'!F14"),)</f>
        <v>0</v>
      </c>
      <c r="M54" s="113">
        <f t="shared" ca="1" si="6"/>
        <v>7048755.2000000002</v>
      </c>
    </row>
    <row r="55" spans="1:13" ht="14.25" customHeight="1" thickBot="1">
      <c r="A55" s="103"/>
      <c r="B55" s="114"/>
      <c r="C55" s="114"/>
      <c r="D55" s="114"/>
      <c r="E55" s="114"/>
      <c r="F55" s="114"/>
      <c r="G55" s="114"/>
      <c r="H55" s="114"/>
      <c r="I55" s="114"/>
      <c r="J55" s="115"/>
    </row>
    <row r="56" spans="1:13" ht="14.25" customHeight="1" thickBot="1">
      <c r="A56" s="116" t="s">
        <v>23</v>
      </c>
      <c r="B56" s="98">
        <f ca="1">SUM(B57:B67)</f>
        <v>0</v>
      </c>
    </row>
    <row r="57" spans="1:13" ht="14.25" customHeight="1">
      <c r="A57" s="111" t="s">
        <v>28</v>
      </c>
      <c r="B57" s="88" cm="1">
        <f t="array" aca="1" ref="B57" ca="1">IFERROR(INDIRECT("'РВ " &amp; A57 &amp; "'!O38"),0)</f>
        <v>0</v>
      </c>
    </row>
    <row r="58" spans="1:13" ht="14.25" customHeight="1">
      <c r="A58" s="20" t="s">
        <v>30</v>
      </c>
      <c r="B58" s="88" cm="1">
        <f t="array" aca="1" ref="B58" ca="1">IFERROR(INDIRECT("'РВ " &amp; A58 &amp; "'!O38"),0)</f>
        <v>0</v>
      </c>
    </row>
    <row r="59" spans="1:13" ht="14.25" customHeight="1">
      <c r="A59" s="21" t="s">
        <v>38</v>
      </c>
      <c r="B59" s="88" cm="1">
        <f t="array" aca="1" ref="B59" ca="1">IFERROR(INDIRECT("'РВ " &amp; A59 &amp; "'!O38"),0)</f>
        <v>0</v>
      </c>
    </row>
    <row r="60" spans="1:13" ht="14.25" customHeight="1">
      <c r="A60" s="20" t="s">
        <v>31</v>
      </c>
      <c r="B60" s="88" cm="1">
        <f t="array" aca="1" ref="B60" ca="1">IFERROR(INDIRECT("'РВ " &amp; A60 &amp; "'!O38"),0)</f>
        <v>0</v>
      </c>
    </row>
    <row r="61" spans="1:13" ht="14.25" customHeight="1">
      <c r="A61" s="20" t="s">
        <v>32</v>
      </c>
      <c r="B61" s="88" cm="1">
        <f t="array" aca="1" ref="B61" ca="1">IFERROR(INDIRECT("'РВ " &amp; A61 &amp; "'!O38"),0)</f>
        <v>0</v>
      </c>
    </row>
    <row r="62" spans="1:13" ht="14.25" customHeight="1">
      <c r="A62" s="20" t="s">
        <v>34</v>
      </c>
      <c r="B62" s="88" cm="1">
        <f t="array" aca="1" ref="B62" ca="1">IFERROR(INDIRECT("'РВ " &amp; A62 &amp; "'!O38"),0)</f>
        <v>0</v>
      </c>
    </row>
    <row r="63" spans="1:13" ht="14.25" customHeight="1">
      <c r="A63" s="20" t="s">
        <v>27</v>
      </c>
      <c r="B63" s="88" cm="1">
        <f t="array" aca="1" ref="B63" ca="1">IFERROR(INDIRECT("'РВ " &amp; A63 &amp; "'!O38"),0)</f>
        <v>0</v>
      </c>
    </row>
    <row r="64" spans="1:13" ht="14.25" customHeight="1">
      <c r="A64" s="20" t="s">
        <v>35</v>
      </c>
      <c r="B64" s="88" cm="1">
        <f t="array" aca="1" ref="B64" ca="1">IFERROR(INDIRECT("'РВ " &amp; A64 &amp; "'!O38"),0)</f>
        <v>0</v>
      </c>
    </row>
    <row r="65" spans="1:2" ht="14.25" customHeight="1">
      <c r="A65" s="20" t="s">
        <v>36</v>
      </c>
      <c r="B65" s="88" cm="1">
        <f t="array" aca="1" ref="B65" ca="1">IFERROR(INDIRECT("'РВ " &amp; A65 &amp; "'!O38"),0)</f>
        <v>0</v>
      </c>
    </row>
    <row r="66" spans="1:2" ht="14.25" customHeight="1">
      <c r="A66" s="20" t="s">
        <v>29</v>
      </c>
      <c r="B66" s="88" cm="1">
        <f t="array" aca="1" ref="B66" ca="1">IFERROR(INDIRECT("'РВ " &amp; A66 &amp; "'!O38"),0)</f>
        <v>0</v>
      </c>
    </row>
    <row r="67" spans="1:2" ht="14.25" customHeight="1">
      <c r="A67" s="20" t="s">
        <v>40</v>
      </c>
      <c r="B67" s="88" cm="1">
        <f t="array" aca="1" ref="B67" ca="1">IFERROR(INDIRECT("'РВ " &amp; A67 &amp; "'!O38"),0)+IFERROR(INDIRECT("Резерв!i38"),0)</f>
        <v>0</v>
      </c>
    </row>
    <row r="68" spans="1:2" ht="14.25" customHeight="1">
      <c r="A68" s="20" t="s">
        <v>33</v>
      </c>
      <c r="B68" s="88" cm="1">
        <f t="array" aca="1" ref="B68" ca="1">IFERROR(INDIRECT("'РВ " &amp; A68 &amp; "'!O38"),0)</f>
        <v>0</v>
      </c>
    </row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/>
    <row r="74" spans="1:2" ht="14.25" customHeight="1"/>
    <row r="75" spans="1:2" ht="14.25" customHeight="1"/>
    <row r="76" spans="1:2" ht="14.25" customHeight="1"/>
    <row r="77" spans="1:2" ht="14.25" customHeight="1"/>
    <row r="78" spans="1:2" ht="14.25" customHeight="1"/>
    <row r="79" spans="1:2" ht="14.25" customHeight="1"/>
    <row r="80" spans="1:2" ht="14.25" customHeight="1"/>
    <row r="81" s="4" customFormat="1" ht="14.25" customHeight="1"/>
    <row r="82" s="4" customFormat="1" ht="14.25" customHeight="1"/>
    <row r="83" s="4" customFormat="1" ht="14.25" customHeight="1"/>
    <row r="84" s="4" customFormat="1" ht="14.25" customHeight="1"/>
    <row r="85" s="4" customFormat="1" ht="14.25" customHeight="1"/>
    <row r="86" s="4" customFormat="1" ht="14.25" customHeight="1"/>
    <row r="87" s="4" customFormat="1" ht="14.25" customHeight="1"/>
    <row r="88" s="4" customFormat="1" ht="14.25" customHeight="1"/>
    <row r="89" s="4" customFormat="1" ht="14.25" customHeight="1"/>
    <row r="90" s="4" customFormat="1" ht="14.25" customHeight="1"/>
    <row r="91" s="4" customFormat="1" ht="14.25" customHeight="1"/>
    <row r="92" s="4" customFormat="1" ht="14.25" customHeight="1"/>
    <row r="93" s="4" customFormat="1" ht="14.25" customHeight="1"/>
    <row r="94" s="4" customFormat="1" ht="14.25" customHeight="1"/>
    <row r="95" s="4" customFormat="1" ht="14.25" customHeight="1"/>
    <row r="96" s="4" customFormat="1" ht="14.25" customHeight="1"/>
    <row r="97" s="4" customFormat="1" ht="14.25" customHeight="1"/>
    <row r="98" s="4" customFormat="1" ht="14.25" customHeight="1"/>
    <row r="99" s="4" customFormat="1" ht="14.25" customHeight="1"/>
    <row r="100" s="4" customFormat="1" ht="14.25" customHeight="1"/>
    <row r="101" s="4" customFormat="1" ht="14.25" customHeight="1"/>
    <row r="102" s="4" customFormat="1" ht="14.25" customHeight="1"/>
    <row r="103" s="4" customFormat="1" ht="14.25" customHeight="1"/>
    <row r="104" s="4" customFormat="1" ht="14.25" customHeight="1"/>
    <row r="105" s="4" customFormat="1" ht="14.25" customHeight="1"/>
    <row r="106" s="4" customFormat="1" ht="14.25" customHeight="1"/>
    <row r="107" s="4" customFormat="1" ht="14.25" customHeight="1"/>
    <row r="108" s="4" customFormat="1" ht="14.25" customHeight="1"/>
    <row r="109" s="4" customFormat="1" ht="14.25" customHeight="1"/>
    <row r="110" s="4" customFormat="1" ht="14.25" customHeight="1"/>
    <row r="111" s="4" customFormat="1" ht="14.25" customHeight="1"/>
    <row r="112" s="4" customFormat="1" ht="14.25" customHeight="1"/>
    <row r="113" s="4" customFormat="1" ht="14.25" customHeight="1"/>
    <row r="114" s="4" customFormat="1" ht="14.25" customHeight="1"/>
    <row r="115" s="4" customFormat="1" ht="14.25" customHeight="1"/>
    <row r="116" s="4" customFormat="1" ht="14.25" customHeight="1"/>
    <row r="117" s="4" customFormat="1" ht="14.25" customHeight="1"/>
    <row r="118" s="4" customFormat="1" ht="14.25" customHeight="1"/>
    <row r="119" s="4" customFormat="1" ht="14.25" customHeight="1"/>
    <row r="120" s="4" customFormat="1" ht="14.25" customHeight="1"/>
    <row r="121" s="4" customFormat="1" ht="14.25" customHeight="1"/>
    <row r="122" s="4" customFormat="1" ht="14.25" customHeight="1"/>
    <row r="123" s="4" customFormat="1" ht="14.25" customHeight="1"/>
    <row r="124" s="4" customFormat="1" ht="14.25" customHeight="1"/>
    <row r="125" s="4" customFormat="1" ht="14.25" customHeight="1"/>
  </sheetData>
  <mergeCells count="19">
    <mergeCell ref="K43:M43"/>
    <mergeCell ref="A38:B38"/>
    <mergeCell ref="A39:B39"/>
    <mergeCell ref="A40:B40"/>
    <mergeCell ref="A41:B41"/>
    <mergeCell ref="A42:B42"/>
    <mergeCell ref="A43:J43"/>
    <mergeCell ref="A31:B31"/>
    <mergeCell ref="A32:B32"/>
    <mergeCell ref="A33:B33"/>
    <mergeCell ref="A34:B34"/>
    <mergeCell ref="A35:B35"/>
    <mergeCell ref="A37:B37"/>
    <mergeCell ref="A1:G1"/>
    <mergeCell ref="I2:J2"/>
    <mergeCell ref="A18:B18"/>
    <mergeCell ref="E18:F18"/>
    <mergeCell ref="A29:B29"/>
    <mergeCell ref="A30:B30"/>
  </mergeCell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AAA2-617D-4D12-9955-D3B7CF8384BC}">
  <dimension ref="A1:F9"/>
  <sheetViews>
    <sheetView workbookViewId="0">
      <selection activeCell="A29" sqref="A29"/>
    </sheetView>
  </sheetViews>
  <sheetFormatPr defaultRowHeight="15"/>
  <cols>
    <col min="1" max="1" width="38.28515625" style="48" customWidth="1"/>
    <col min="2" max="2" width="41.28515625" style="48" customWidth="1"/>
    <col min="3" max="3" width="9.140625" style="48"/>
    <col min="4" max="4" width="13.28515625" style="48" customWidth="1"/>
    <col min="5" max="5" width="14.5703125" style="48" bestFit="1" customWidth="1"/>
    <col min="6" max="6" width="16.140625" style="48" customWidth="1"/>
    <col min="7" max="16384" width="9.140625" style="48"/>
  </cols>
  <sheetData>
    <row r="1" spans="1:6">
      <c r="A1" s="47"/>
      <c r="B1" s="122"/>
    </row>
    <row r="3" spans="1:6">
      <c r="A3" s="74"/>
    </row>
    <row r="4" spans="1:6">
      <c r="A4" s="74"/>
      <c r="B4" s="74"/>
      <c r="C4" s="74"/>
    </row>
    <row r="5" spans="1:6">
      <c r="A5" s="74"/>
      <c r="B5" s="74"/>
      <c r="C5" s="74"/>
    </row>
    <row r="7" spans="1:6">
      <c r="A7" s="123"/>
    </row>
    <row r="9" spans="1:6">
      <c r="E9" s="74"/>
      <c r="F9" s="74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F4A7-FE39-454F-9F26-CB7158980E30}">
  <dimension ref="A3:F24"/>
  <sheetViews>
    <sheetView workbookViewId="0">
      <selection activeCell="F17" sqref="F17"/>
    </sheetView>
  </sheetViews>
  <sheetFormatPr defaultRowHeight="15"/>
  <cols>
    <col min="1" max="1" width="9.140625" style="48"/>
    <col min="2" max="2" width="41.28515625" style="48" customWidth="1"/>
    <col min="3" max="3" width="9.140625" style="48"/>
    <col min="4" max="4" width="13.28515625" style="48" customWidth="1"/>
    <col min="5" max="5" width="17" style="48" customWidth="1"/>
    <col min="6" max="6" width="16.140625" style="48" customWidth="1"/>
    <col min="7" max="16384" width="9.140625" style="48"/>
  </cols>
  <sheetData>
    <row r="3" spans="1:6">
      <c r="A3" s="74"/>
    </row>
    <row r="4" spans="1:6">
      <c r="A4" s="74"/>
      <c r="B4" s="74"/>
      <c r="C4" s="74"/>
    </row>
    <row r="5" spans="1:6">
      <c r="A5" s="74"/>
      <c r="B5" s="74"/>
      <c r="C5" s="74"/>
    </row>
    <row r="7" spans="1:6">
      <c r="A7" s="123"/>
    </row>
    <row r="9" spans="1:6">
      <c r="A9" s="124" t="s">
        <v>0</v>
      </c>
      <c r="B9" s="124" t="s">
        <v>79</v>
      </c>
      <c r="C9" s="124" t="s">
        <v>80</v>
      </c>
      <c r="D9" s="124" t="s">
        <v>81</v>
      </c>
      <c r="E9" s="124" t="s">
        <v>82</v>
      </c>
      <c r="F9" s="124" t="s">
        <v>83</v>
      </c>
    </row>
    <row r="10" spans="1:6" ht="15.75" thickBot="1">
      <c r="A10" s="125"/>
      <c r="B10" s="126"/>
      <c r="C10" s="125"/>
      <c r="D10" s="127"/>
      <c r="E10" s="128"/>
      <c r="F10" s="128"/>
    </row>
    <row r="11" spans="1:6">
      <c r="A11" s="125"/>
      <c r="B11" s="129"/>
      <c r="C11" s="125"/>
      <c r="D11" s="125"/>
      <c r="E11" s="128"/>
      <c r="F11" s="128"/>
    </row>
    <row r="12" spans="1:6">
      <c r="A12" s="125"/>
      <c r="B12" s="130"/>
      <c r="C12" s="125"/>
      <c r="D12" s="125"/>
      <c r="E12" s="128"/>
      <c r="F12" s="128"/>
    </row>
    <row r="13" spans="1:6">
      <c r="A13" s="125"/>
      <c r="B13" s="126"/>
      <c r="C13" s="125"/>
      <c r="D13" s="125"/>
      <c r="E13" s="128"/>
      <c r="F13" s="128"/>
    </row>
    <row r="14" spans="1:6">
      <c r="A14" s="48" t="s">
        <v>84</v>
      </c>
      <c r="E14" s="122"/>
      <c r="F14" s="131">
        <f>SUM(F10:F13)</f>
        <v>0</v>
      </c>
    </row>
    <row r="15" spans="1:6">
      <c r="A15" s="48" t="s">
        <v>85</v>
      </c>
      <c r="E15" s="122"/>
      <c r="F15" s="131">
        <f>SUM(F14)</f>
        <v>0</v>
      </c>
    </row>
    <row r="16" spans="1:6">
      <c r="A16" s="48" t="s">
        <v>86</v>
      </c>
      <c r="E16" s="122"/>
      <c r="F16" s="131">
        <f>SUM(F15)*1.2</f>
        <v>0</v>
      </c>
    </row>
    <row r="17" spans="1:6">
      <c r="A17" s="48" t="s">
        <v>87</v>
      </c>
      <c r="E17" s="132" t="s">
        <v>57</v>
      </c>
      <c r="F17" s="132">
        <v>16167490</v>
      </c>
    </row>
    <row r="18" spans="1:6">
      <c r="A18" s="48" t="s">
        <v>88</v>
      </c>
      <c r="E18" s="74" t="s">
        <v>59</v>
      </c>
      <c r="F18" s="132">
        <v>872300</v>
      </c>
    </row>
    <row r="19" spans="1:6">
      <c r="E19" s="74" t="s">
        <v>89</v>
      </c>
      <c r="F19" s="132">
        <v>2242921</v>
      </c>
    </row>
    <row r="20" spans="1:6">
      <c r="E20" s="48" t="s">
        <v>62</v>
      </c>
      <c r="F20" s="133">
        <f>19736977+315000*1.22</f>
        <v>20121277</v>
      </c>
    </row>
    <row r="21" spans="1:6">
      <c r="E21" s="48" t="s">
        <v>63</v>
      </c>
      <c r="F21" s="133">
        <v>5345055</v>
      </c>
    </row>
    <row r="22" spans="1:6">
      <c r="A22" s="48" t="s">
        <v>90</v>
      </c>
      <c r="D22" s="48" t="s">
        <v>91</v>
      </c>
    </row>
    <row r="24" spans="1:6">
      <c r="A24" s="48" t="s">
        <v>92</v>
      </c>
      <c r="B24" s="48" t="s">
        <v>93</v>
      </c>
      <c r="D24" s="48" t="s">
        <v>94</v>
      </c>
    </row>
  </sheetData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87C9-60D5-48CA-AC4C-D67DAB8EC267}">
  <dimension ref="A1:C149"/>
  <sheetViews>
    <sheetView topLeftCell="A129" workbookViewId="0">
      <selection activeCell="B139" sqref="B139:B149"/>
    </sheetView>
  </sheetViews>
  <sheetFormatPr defaultRowHeight="15"/>
  <cols>
    <col min="1" max="2" width="9.140625" style="135"/>
    <col min="3" max="3" width="32" style="135" customWidth="1"/>
    <col min="4" max="16384" width="9.140625" style="135"/>
  </cols>
  <sheetData>
    <row r="1" spans="1:3">
      <c r="A1" s="135" t="s">
        <v>68</v>
      </c>
      <c r="B1" s="135" t="s">
        <v>28</v>
      </c>
      <c r="C1" s="134">
        <f ca="1">INDEX(INDIRECT("ИТОГО!$B$45:$L$54"),MATCH(Сводка!B1,INDIRECT("ИТОГО!$A$45:$A$54"),0),MATCH(Сводка!A1,INDIRECT("ИТОГО!$B$44:$L$44"),0))</f>
        <v>1178.04</v>
      </c>
    </row>
    <row r="2" spans="1:3">
      <c r="A2" s="135" t="s">
        <v>69</v>
      </c>
      <c r="B2" s="135" t="s">
        <v>28</v>
      </c>
      <c r="C2" s="134">
        <f ca="1">INDEX(INDIRECT("ИТОГО!$B$45:$L$54"),MATCH(Сводка!B2,INDIRECT("ИТОГО!$A$45:$A$54"),0),MATCH(Сводка!A2,INDIRECT("ИТОГО!$B$44:$L$44"),0))</f>
        <v>198644.54</v>
      </c>
    </row>
    <row r="3" spans="1:3">
      <c r="A3" s="135" t="s">
        <v>70</v>
      </c>
      <c r="B3" s="135" t="s">
        <v>28</v>
      </c>
      <c r="C3" s="134">
        <f ca="1">INDEX(INDIRECT("ИТОГО!$B$45:$L$54"),MATCH(Сводка!B3,INDIRECT("ИТОГО!$A$45:$A$54"),0),MATCH(Сводка!A3,INDIRECT("ИТОГО!$B$44:$L$44"),0))</f>
        <v>9108760.75</v>
      </c>
    </row>
    <row r="4" spans="1:3">
      <c r="A4" s="135" t="s">
        <v>71</v>
      </c>
      <c r="B4" s="135" t="s">
        <v>28</v>
      </c>
      <c r="C4" s="134">
        <f ca="1">INDEX(INDIRECT("ИТОГО!$B$45:$L$54"),MATCH(Сводка!B4,INDIRECT("ИТОГО!$A$45:$A$54"),0),MATCH(Сводка!A4,INDIRECT("ИТОГО!$B$44:$L$44"),0))</f>
        <v>0</v>
      </c>
    </row>
    <row r="5" spans="1:3">
      <c r="A5" s="135" t="s">
        <v>72</v>
      </c>
      <c r="B5" s="135" t="s">
        <v>28</v>
      </c>
      <c r="C5" s="134">
        <f ca="1">INDEX(INDIRECT("ИТОГО!$B$45:$L$54"),MATCH(Сводка!B5,INDIRECT("ИТОГО!$A$45:$A$54"),0),MATCH(Сводка!A5,INDIRECT("ИТОГО!$B$44:$L$44"),0))</f>
        <v>0</v>
      </c>
    </row>
    <row r="6" spans="1:3">
      <c r="A6" s="135" t="s">
        <v>54</v>
      </c>
      <c r="B6" s="135" t="s">
        <v>28</v>
      </c>
      <c r="C6" s="134">
        <f ca="1">INDEX(INDIRECT("ИТОГО!$B$45:$L$54"),MATCH(Сводка!B6,INDIRECT("ИТОГО!$A$45:$A$54"),0),MATCH(Сводка!A6,INDIRECT("ИТОГО!$B$44:$L$44"),0))</f>
        <v>0</v>
      </c>
    </row>
    <row r="7" spans="1:3">
      <c r="A7" s="135" t="s">
        <v>73</v>
      </c>
      <c r="B7" s="135" t="s">
        <v>28</v>
      </c>
      <c r="C7" s="134">
        <f ca="1">INDEX(INDIRECT("ИТОГО!$B$45:$L$54"),MATCH(Сводка!B7,INDIRECT("ИТОГО!$A$45:$A$54"),0),MATCH(Сводка!A7,INDIRECT("ИТОГО!$B$44:$L$44"),0))</f>
        <v>0</v>
      </c>
    </row>
    <row r="8" spans="1:3">
      <c r="A8" s="135" t="s">
        <v>74</v>
      </c>
      <c r="B8" s="135" t="s">
        <v>28</v>
      </c>
      <c r="C8" s="134">
        <f ca="1">INDEX(INDIRECT("ИТОГО!$B$45:$L$54"),MATCH(Сводка!B8,INDIRECT("ИТОГО!$A$45:$A$54"),0),MATCH(Сводка!A8,INDIRECT("ИТОГО!$B$44:$L$44"),0))</f>
        <v>0</v>
      </c>
    </row>
    <row r="9" spans="1:3">
      <c r="A9" s="135" t="s">
        <v>75</v>
      </c>
      <c r="B9" s="135" t="s">
        <v>28</v>
      </c>
      <c r="C9" s="134">
        <f ca="1">INDEX(INDIRECT("ИТОГО!$B$45:$L$54"),MATCH(Сводка!B9,INDIRECT("ИТОГО!$A$45:$A$54"),0),MATCH(Сводка!A9,INDIRECT("ИТОГО!$B$44:$L$44"),0))</f>
        <v>0</v>
      </c>
    </row>
    <row r="10" spans="1:3">
      <c r="A10" s="135" t="s">
        <v>76</v>
      </c>
      <c r="B10" s="135" t="s">
        <v>28</v>
      </c>
      <c r="C10" s="134">
        <f ca="1">INDEX(INDIRECT("ИТОГО!$B$45:$L$54"),MATCH(Сводка!B10,INDIRECT("ИТОГО!$A$45:$A$54"),0),MATCH(Сводка!A10,INDIRECT("ИТОГО!$B$44:$L$44"),0))</f>
        <v>0</v>
      </c>
    </row>
    <row r="11" spans="1:3">
      <c r="A11" s="135" t="s">
        <v>77</v>
      </c>
      <c r="B11" s="135" t="s">
        <v>28</v>
      </c>
      <c r="C11" s="134">
        <f ca="1">INDEX(INDIRECT("ИТОГО!$B$45:$L$54"),MATCH(Сводка!B11,INDIRECT("ИТОГО!$A$45:$A$54"),0),MATCH(Сводка!A11,INDIRECT("ИТОГО!$B$44:$L$44"),0))</f>
        <v>0</v>
      </c>
    </row>
    <row r="12" spans="1:3">
      <c r="A12" s="135" t="s">
        <v>68</v>
      </c>
      <c r="B12" s="135" t="s">
        <v>30</v>
      </c>
      <c r="C12" s="134">
        <f ca="1">INDEX(INDIRECT("ИТОГО!$B$45:$L$54"),MATCH(Сводка!B12,INDIRECT("ИТОГО!$A$45:$A$54"),0),MATCH(Сводка!A12,INDIRECT("ИТОГО!$B$44:$L$44"),0))</f>
        <v>15008.31</v>
      </c>
    </row>
    <row r="13" spans="1:3">
      <c r="A13" s="135" t="s">
        <v>69</v>
      </c>
      <c r="B13" s="135" t="s">
        <v>30</v>
      </c>
      <c r="C13" s="134">
        <f ca="1">INDEX(INDIRECT("ИТОГО!$B$45:$L$54"),MATCH(Сводка!B13,INDIRECT("ИТОГО!$A$45:$A$54"),0),MATCH(Сводка!A13,INDIRECT("ИТОГО!$B$44:$L$44"),0))</f>
        <v>98573.16</v>
      </c>
    </row>
    <row r="14" spans="1:3">
      <c r="A14" s="135" t="s">
        <v>70</v>
      </c>
      <c r="B14" s="135" t="s">
        <v>30</v>
      </c>
      <c r="C14" s="134">
        <f ca="1">INDEX(INDIRECT("ИТОГО!$B$45:$L$54"),MATCH(Сводка!B14,INDIRECT("ИТОГО!$A$45:$A$54"),0),MATCH(Сводка!A14,INDIRECT("ИТОГО!$B$44:$L$44"),0))</f>
        <v>10471836.99</v>
      </c>
    </row>
    <row r="15" spans="1:3">
      <c r="A15" s="135" t="s">
        <v>71</v>
      </c>
      <c r="B15" s="135" t="s">
        <v>30</v>
      </c>
      <c r="C15" s="134">
        <f ca="1">INDEX(INDIRECT("ИТОГО!$B$45:$L$54"),MATCH(Сводка!B15,INDIRECT("ИТОГО!$A$45:$A$54"),0),MATCH(Сводка!A15,INDIRECT("ИТОГО!$B$44:$L$44"),0))</f>
        <v>0</v>
      </c>
    </row>
    <row r="16" spans="1:3">
      <c r="A16" s="135" t="s">
        <v>72</v>
      </c>
      <c r="B16" s="135" t="s">
        <v>30</v>
      </c>
      <c r="C16" s="134">
        <f ca="1">INDEX(INDIRECT("ИТОГО!$B$45:$L$54"),MATCH(Сводка!B16,INDIRECT("ИТОГО!$A$45:$A$54"),0),MATCH(Сводка!A16,INDIRECT("ИТОГО!$B$44:$L$44"),0))</f>
        <v>0</v>
      </c>
    </row>
    <row r="17" spans="1:3">
      <c r="A17" s="135" t="s">
        <v>54</v>
      </c>
      <c r="B17" s="135" t="s">
        <v>30</v>
      </c>
      <c r="C17" s="134">
        <f ca="1">INDEX(INDIRECT("ИТОГО!$B$45:$L$54"),MATCH(Сводка!B17,INDIRECT("ИТОГО!$A$45:$A$54"),0),MATCH(Сводка!A17,INDIRECT("ИТОГО!$B$44:$L$44"),0))</f>
        <v>0</v>
      </c>
    </row>
    <row r="18" spans="1:3">
      <c r="A18" s="135" t="s">
        <v>73</v>
      </c>
      <c r="B18" s="135" t="s">
        <v>30</v>
      </c>
      <c r="C18" s="134">
        <f ca="1">INDEX(INDIRECT("ИТОГО!$B$45:$L$54"),MATCH(Сводка!B18,INDIRECT("ИТОГО!$A$45:$A$54"),0),MATCH(Сводка!A18,INDIRECT("ИТОГО!$B$44:$L$44"),0))</f>
        <v>0</v>
      </c>
    </row>
    <row r="19" spans="1:3">
      <c r="A19" s="135" t="s">
        <v>74</v>
      </c>
      <c r="B19" s="135" t="s">
        <v>30</v>
      </c>
      <c r="C19" s="134">
        <f ca="1">INDEX(INDIRECT("ИТОГО!$B$45:$L$54"),MATCH(Сводка!B19,INDIRECT("ИТОГО!$A$45:$A$54"),0),MATCH(Сводка!A19,INDIRECT("ИТОГО!$B$44:$L$44"),0))</f>
        <v>0</v>
      </c>
    </row>
    <row r="20" spans="1:3">
      <c r="A20" s="135" t="s">
        <v>75</v>
      </c>
      <c r="B20" s="135" t="s">
        <v>30</v>
      </c>
      <c r="C20" s="134">
        <f ca="1">INDEX(INDIRECT("ИТОГО!$B$45:$L$54"),MATCH(Сводка!B20,INDIRECT("ИТОГО!$A$45:$A$54"),0),MATCH(Сводка!A20,INDIRECT("ИТОГО!$B$44:$L$44"),0))</f>
        <v>0</v>
      </c>
    </row>
    <row r="21" spans="1:3">
      <c r="A21" s="135" t="s">
        <v>76</v>
      </c>
      <c r="B21" s="135" t="s">
        <v>30</v>
      </c>
      <c r="C21" s="134">
        <f ca="1">INDEX(INDIRECT("ИТОГО!$B$45:$L$54"),MATCH(Сводка!B21,INDIRECT("ИТОГО!$A$45:$A$54"),0),MATCH(Сводка!A21,INDIRECT("ИТОГО!$B$44:$L$44"),0))</f>
        <v>0</v>
      </c>
    </row>
    <row r="22" spans="1:3">
      <c r="A22" s="135" t="s">
        <v>77</v>
      </c>
      <c r="B22" s="135" t="s">
        <v>30</v>
      </c>
      <c r="C22" s="134">
        <f ca="1">INDEX(INDIRECT("ИТОГО!$B$45:$L$54"),MATCH(Сводка!B22,INDIRECT("ИТОГО!$A$45:$A$54"),0),MATCH(Сводка!A22,INDIRECT("ИТОГО!$B$44:$L$44"),0))</f>
        <v>0</v>
      </c>
    </row>
    <row r="23" spans="1:3">
      <c r="A23" s="135" t="s">
        <v>68</v>
      </c>
      <c r="B23" s="135" t="s">
        <v>36</v>
      </c>
      <c r="C23" s="134">
        <f ca="1">INDEX(INDIRECT("ИТОГО!$B$45:$L$54"),MATCH(Сводка!B23,INDIRECT("ИТОГО!$A$45:$A$54"),0),MATCH(Сводка!A23,INDIRECT("ИТОГО!$B$44:$L$44"),0))</f>
        <v>0</v>
      </c>
    </row>
    <row r="24" spans="1:3">
      <c r="A24" s="135" t="s">
        <v>69</v>
      </c>
      <c r="B24" s="135" t="s">
        <v>36</v>
      </c>
      <c r="C24" s="134">
        <f ca="1">INDEX(INDIRECT("ИТОГО!$B$45:$L$54"),MATCH(Сводка!B24,INDIRECT("ИТОГО!$A$45:$A$54"),0),MATCH(Сводка!A24,INDIRECT("ИТОГО!$B$44:$L$44"),0))</f>
        <v>0</v>
      </c>
    </row>
    <row r="25" spans="1:3">
      <c r="A25" s="135" t="s">
        <v>70</v>
      </c>
      <c r="B25" s="135" t="s">
        <v>36</v>
      </c>
      <c r="C25" s="134">
        <f ca="1">INDEX(INDIRECT("ИТОГО!$B$45:$L$54"),MATCH(Сводка!B25,INDIRECT("ИТОГО!$A$45:$A$54"),0),MATCH(Сводка!A25,INDIRECT("ИТОГО!$B$44:$L$44"),0))</f>
        <v>0</v>
      </c>
    </row>
    <row r="26" spans="1:3">
      <c r="A26" s="135" t="s">
        <v>71</v>
      </c>
      <c r="B26" s="135" t="s">
        <v>36</v>
      </c>
      <c r="C26" s="134">
        <f ca="1">INDEX(INDIRECT("ИТОГО!$B$45:$L$54"),MATCH(Сводка!B26,INDIRECT("ИТОГО!$A$45:$A$54"),0),MATCH(Сводка!A26,INDIRECT("ИТОГО!$B$44:$L$44"),0))</f>
        <v>0</v>
      </c>
    </row>
    <row r="27" spans="1:3">
      <c r="A27" s="135" t="s">
        <v>72</v>
      </c>
      <c r="B27" s="135" t="s">
        <v>36</v>
      </c>
      <c r="C27" s="134">
        <f ca="1">INDEX(INDIRECT("ИТОГО!$B$45:$L$54"),MATCH(Сводка!B27,INDIRECT("ИТОГО!$A$45:$A$54"),0),MATCH(Сводка!A27,INDIRECT("ИТОГО!$B$44:$L$44"),0))</f>
        <v>0</v>
      </c>
    </row>
    <row r="28" spans="1:3">
      <c r="A28" s="135" t="s">
        <v>54</v>
      </c>
      <c r="B28" s="135" t="s">
        <v>36</v>
      </c>
      <c r="C28" s="134">
        <f ca="1">INDEX(INDIRECT("ИТОГО!$B$45:$L$54"),MATCH(Сводка!B28,INDIRECT("ИТОГО!$A$45:$A$54"),0),MATCH(Сводка!A28,INDIRECT("ИТОГО!$B$44:$L$44"),0))</f>
        <v>0</v>
      </c>
    </row>
    <row r="29" spans="1:3">
      <c r="A29" s="135" t="s">
        <v>73</v>
      </c>
      <c r="B29" s="135" t="s">
        <v>36</v>
      </c>
      <c r="C29" s="134">
        <f ca="1">INDEX(INDIRECT("ИТОГО!$B$45:$L$54"),MATCH(Сводка!B29,INDIRECT("ИТОГО!$A$45:$A$54"),0),MATCH(Сводка!A29,INDIRECT("ИТОГО!$B$44:$L$44"),0))</f>
        <v>0</v>
      </c>
    </row>
    <row r="30" spans="1:3">
      <c r="A30" s="135" t="s">
        <v>74</v>
      </c>
      <c r="B30" s="135" t="s">
        <v>36</v>
      </c>
      <c r="C30" s="134">
        <f ca="1">INDEX(INDIRECT("ИТОГО!$B$45:$L$54"),MATCH(Сводка!B30,INDIRECT("ИТОГО!$A$45:$A$54"),0),MATCH(Сводка!A30,INDIRECT("ИТОГО!$B$44:$L$44"),0))</f>
        <v>0</v>
      </c>
    </row>
    <row r="31" spans="1:3">
      <c r="A31" s="135" t="s">
        <v>75</v>
      </c>
      <c r="B31" s="135" t="s">
        <v>36</v>
      </c>
      <c r="C31" s="134">
        <f ca="1">INDEX(INDIRECT("ИТОГО!$B$45:$L$54"),MATCH(Сводка!B31,INDIRECT("ИТОГО!$A$45:$A$54"),0),MATCH(Сводка!A31,INDIRECT("ИТОГО!$B$44:$L$44"),0))</f>
        <v>0</v>
      </c>
    </row>
    <row r="32" spans="1:3">
      <c r="A32" s="135" t="s">
        <v>76</v>
      </c>
      <c r="B32" s="135" t="s">
        <v>36</v>
      </c>
      <c r="C32" s="134">
        <f ca="1">INDEX(INDIRECT("ИТОГО!$B$45:$L$54"),MATCH(Сводка!B32,INDIRECT("ИТОГО!$A$45:$A$54"),0),MATCH(Сводка!A32,INDIRECT("ИТОГО!$B$44:$L$44"),0))</f>
        <v>0</v>
      </c>
    </row>
    <row r="33" spans="1:3">
      <c r="A33" s="135" t="s">
        <v>77</v>
      </c>
      <c r="B33" s="135" t="s">
        <v>36</v>
      </c>
      <c r="C33" s="134">
        <f ca="1">INDEX(INDIRECT("ИТОГО!$B$45:$L$54"),MATCH(Сводка!B33,INDIRECT("ИТОГО!$A$45:$A$54"),0),MATCH(Сводка!A33,INDIRECT("ИТОГО!$B$44:$L$44"),0))</f>
        <v>0</v>
      </c>
    </row>
    <row r="34" spans="1:3">
      <c r="A34" s="135" t="s">
        <v>68</v>
      </c>
      <c r="B34" s="135" t="s">
        <v>31</v>
      </c>
      <c r="C34" s="134">
        <f ca="1">INDEX(INDIRECT("ИТОГО!$B$45:$L$54"),MATCH(Сводка!B34,INDIRECT("ИТОГО!$A$45:$A$54"),0),MATCH(Сводка!A34,INDIRECT("ИТОГО!$B$44:$L$44"),0))</f>
        <v>208081.92000000001</v>
      </c>
    </row>
    <row r="35" spans="1:3">
      <c r="A35" s="135" t="s">
        <v>69</v>
      </c>
      <c r="B35" s="135" t="s">
        <v>31</v>
      </c>
      <c r="C35" s="134">
        <f ca="1">INDEX(INDIRECT("ИТОГО!$B$45:$L$54"),MATCH(Сводка!B35,INDIRECT("ИТОГО!$A$45:$A$54"),0),MATCH(Сводка!A35,INDIRECT("ИТОГО!$B$44:$L$44"),0))</f>
        <v>754600.22</v>
      </c>
    </row>
    <row r="36" spans="1:3">
      <c r="A36" s="135" t="s">
        <v>70</v>
      </c>
      <c r="B36" s="135" t="s">
        <v>31</v>
      </c>
      <c r="C36" s="134">
        <f ca="1">INDEX(INDIRECT("ИТОГО!$B$45:$L$54"),MATCH(Сводка!B36,INDIRECT("ИТОГО!$A$45:$A$54"),0),MATCH(Сводка!A36,INDIRECT("ИТОГО!$B$44:$L$44"),0))</f>
        <v>11593187.73</v>
      </c>
    </row>
    <row r="37" spans="1:3">
      <c r="A37" s="135" t="s">
        <v>71</v>
      </c>
      <c r="B37" s="135" t="s">
        <v>31</v>
      </c>
      <c r="C37" s="134">
        <f ca="1">INDEX(INDIRECT("ИТОГО!$B$45:$L$54"),MATCH(Сводка!B37,INDIRECT("ИТОГО!$A$45:$A$54"),0),MATCH(Сводка!A37,INDIRECT("ИТОГО!$B$44:$L$44"),0))</f>
        <v>0</v>
      </c>
    </row>
    <row r="38" spans="1:3">
      <c r="A38" s="135" t="s">
        <v>72</v>
      </c>
      <c r="B38" s="135" t="s">
        <v>31</v>
      </c>
      <c r="C38" s="134">
        <f ca="1">INDEX(INDIRECT("ИТОГО!$B$45:$L$54"),MATCH(Сводка!B38,INDIRECT("ИТОГО!$A$45:$A$54"),0),MATCH(Сводка!A38,INDIRECT("ИТОГО!$B$44:$L$44"),0))</f>
        <v>0</v>
      </c>
    </row>
    <row r="39" spans="1:3">
      <c r="A39" s="135" t="s">
        <v>54</v>
      </c>
      <c r="B39" s="135" t="s">
        <v>31</v>
      </c>
      <c r="C39" s="134">
        <f ca="1">INDEX(INDIRECT("ИТОГО!$B$45:$L$54"),MATCH(Сводка!B39,INDIRECT("ИТОГО!$A$45:$A$54"),0),MATCH(Сводка!A39,INDIRECT("ИТОГО!$B$44:$L$44"),0))</f>
        <v>0</v>
      </c>
    </row>
    <row r="40" spans="1:3">
      <c r="A40" s="135" t="s">
        <v>73</v>
      </c>
      <c r="B40" s="135" t="s">
        <v>31</v>
      </c>
      <c r="C40" s="134">
        <f ca="1">INDEX(INDIRECT("ИТОГО!$B$45:$L$54"),MATCH(Сводка!B40,INDIRECT("ИТОГО!$A$45:$A$54"),0),MATCH(Сводка!A40,INDIRECT("ИТОГО!$B$44:$L$44"),0))</f>
        <v>0</v>
      </c>
    </row>
    <row r="41" spans="1:3">
      <c r="A41" s="135" t="s">
        <v>74</v>
      </c>
      <c r="B41" s="135" t="s">
        <v>31</v>
      </c>
      <c r="C41" s="134">
        <f ca="1">INDEX(INDIRECT("ИТОГО!$B$45:$L$54"),MATCH(Сводка!B41,INDIRECT("ИТОГО!$A$45:$A$54"),0),MATCH(Сводка!A41,INDIRECT("ИТОГО!$B$44:$L$44"),0))</f>
        <v>0</v>
      </c>
    </row>
    <row r="42" spans="1:3">
      <c r="A42" s="135" t="s">
        <v>75</v>
      </c>
      <c r="B42" s="135" t="s">
        <v>31</v>
      </c>
      <c r="C42" s="134">
        <f ca="1">INDEX(INDIRECT("ИТОГО!$B$45:$L$54"),MATCH(Сводка!B42,INDIRECT("ИТОГО!$A$45:$A$54"),0),MATCH(Сводка!A42,INDIRECT("ИТОГО!$B$44:$L$44"),0))</f>
        <v>64394.33</v>
      </c>
    </row>
    <row r="43" spans="1:3">
      <c r="A43" s="135" t="s">
        <v>76</v>
      </c>
      <c r="B43" s="135" t="s">
        <v>31</v>
      </c>
      <c r="C43" s="134">
        <f ca="1">INDEX(INDIRECT("ИТОГО!$B$45:$L$54"),MATCH(Сводка!B43,INDIRECT("ИТОГО!$A$45:$A$54"),0),MATCH(Сводка!A43,INDIRECT("ИТОГО!$B$44:$L$44"),0))</f>
        <v>43920</v>
      </c>
    </row>
    <row r="44" spans="1:3">
      <c r="A44" s="135" t="s">
        <v>77</v>
      </c>
      <c r="B44" s="135" t="s">
        <v>31</v>
      </c>
      <c r="C44" s="134">
        <f ca="1">INDEX(INDIRECT("ИТОГО!$B$45:$L$54"),MATCH(Сводка!B44,INDIRECT("ИТОГО!$A$45:$A$54"),0),MATCH(Сводка!A44,INDIRECT("ИТОГО!$B$44:$L$44"),0))</f>
        <v>0</v>
      </c>
    </row>
    <row r="45" spans="1:3">
      <c r="A45" s="135" t="s">
        <v>68</v>
      </c>
      <c r="B45" s="135" t="s">
        <v>35</v>
      </c>
      <c r="C45" s="134">
        <f ca="1">INDEX(INDIRECT("ИТОГО!$B$45:$L$54"),MATCH(Сводка!B45,INDIRECT("ИТОГО!$A$45:$A$54"),0),MATCH(Сводка!A45,INDIRECT("ИТОГО!$B$44:$L$44"),0))</f>
        <v>0</v>
      </c>
    </row>
    <row r="46" spans="1:3">
      <c r="A46" s="135" t="s">
        <v>69</v>
      </c>
      <c r="B46" s="135" t="s">
        <v>35</v>
      </c>
      <c r="C46" s="134">
        <f ca="1">INDEX(INDIRECT("ИТОГО!$B$45:$L$54"),MATCH(Сводка!B46,INDIRECT("ИТОГО!$A$45:$A$54"),0),MATCH(Сводка!A46,INDIRECT("ИТОГО!$B$44:$L$44"),0))</f>
        <v>7710.02</v>
      </c>
    </row>
    <row r="47" spans="1:3">
      <c r="A47" s="135" t="s">
        <v>70</v>
      </c>
      <c r="B47" s="135" t="s">
        <v>35</v>
      </c>
      <c r="C47" s="134">
        <f ca="1">INDEX(INDIRECT("ИТОГО!$B$45:$L$54"),MATCH(Сводка!B47,INDIRECT("ИТОГО!$A$45:$A$54"),0),MATCH(Сводка!A47,INDIRECT("ИТОГО!$B$44:$L$44"),0))</f>
        <v>8172482.8099999996</v>
      </c>
    </row>
    <row r="48" spans="1:3">
      <c r="A48" s="135" t="s">
        <v>71</v>
      </c>
      <c r="B48" s="135" t="s">
        <v>35</v>
      </c>
      <c r="C48" s="134">
        <f ca="1">INDEX(INDIRECT("ИТОГО!$B$45:$L$54"),MATCH(Сводка!B48,INDIRECT("ИТОГО!$A$45:$A$54"),0),MATCH(Сводка!A48,INDIRECT("ИТОГО!$B$44:$L$44"),0))</f>
        <v>0</v>
      </c>
    </row>
    <row r="49" spans="1:3">
      <c r="A49" s="135" t="s">
        <v>72</v>
      </c>
      <c r="B49" s="135" t="s">
        <v>35</v>
      </c>
      <c r="C49" s="134">
        <f ca="1">INDEX(INDIRECT("ИТОГО!$B$45:$L$54"),MATCH(Сводка!B49,INDIRECT("ИТОГО!$A$45:$A$54"),0),MATCH(Сводка!A49,INDIRECT("ИТОГО!$B$44:$L$44"),0))</f>
        <v>0</v>
      </c>
    </row>
    <row r="50" spans="1:3">
      <c r="A50" s="135" t="s">
        <v>54</v>
      </c>
      <c r="B50" s="135" t="s">
        <v>35</v>
      </c>
      <c r="C50" s="134">
        <f ca="1">INDEX(INDIRECT("ИТОГО!$B$45:$L$54"),MATCH(Сводка!B50,INDIRECT("ИТОГО!$A$45:$A$54"),0),MATCH(Сводка!A50,INDIRECT("ИТОГО!$B$44:$L$44"),0))</f>
        <v>556825.79</v>
      </c>
    </row>
    <row r="51" spans="1:3">
      <c r="A51" s="135" t="s">
        <v>73</v>
      </c>
      <c r="B51" s="135" t="s">
        <v>35</v>
      </c>
      <c r="C51" s="134">
        <f ca="1">INDEX(INDIRECT("ИТОГО!$B$45:$L$54"),MATCH(Сводка!B51,INDIRECT("ИТОГО!$A$45:$A$54"),0),MATCH(Сводка!A51,INDIRECT("ИТОГО!$B$44:$L$44"),0))</f>
        <v>0</v>
      </c>
    </row>
    <row r="52" spans="1:3">
      <c r="A52" s="135" t="s">
        <v>74</v>
      </c>
      <c r="B52" s="135" t="s">
        <v>35</v>
      </c>
      <c r="C52" s="134">
        <f ca="1">INDEX(INDIRECT("ИТОГО!$B$45:$L$54"),MATCH(Сводка!B52,INDIRECT("ИТОГО!$A$45:$A$54"),0),MATCH(Сводка!A52,INDIRECT("ИТОГО!$B$44:$L$44"),0))</f>
        <v>0</v>
      </c>
    </row>
    <row r="53" spans="1:3">
      <c r="A53" s="135" t="s">
        <v>75</v>
      </c>
      <c r="B53" s="135" t="s">
        <v>35</v>
      </c>
      <c r="C53" s="134">
        <f ca="1">INDEX(INDIRECT("ИТОГО!$B$45:$L$54"),MATCH(Сводка!B53,INDIRECT("ИТОГО!$A$45:$A$54"),0),MATCH(Сводка!A53,INDIRECT("ИТОГО!$B$44:$L$44"),0))</f>
        <v>0</v>
      </c>
    </row>
    <row r="54" spans="1:3">
      <c r="A54" s="135" t="s">
        <v>76</v>
      </c>
      <c r="B54" s="135" t="s">
        <v>35</v>
      </c>
      <c r="C54" s="134">
        <f ca="1">INDEX(INDIRECT("ИТОГО!$B$45:$L$54"),MATCH(Сводка!B54,INDIRECT("ИТОГО!$A$45:$A$54"),0),MATCH(Сводка!A54,INDIRECT("ИТОГО!$B$44:$L$44"),0))</f>
        <v>0</v>
      </c>
    </row>
    <row r="55" spans="1:3">
      <c r="A55" s="135" t="s">
        <v>77</v>
      </c>
      <c r="B55" s="135" t="s">
        <v>35</v>
      </c>
      <c r="C55" s="134">
        <f ca="1">INDEX(INDIRECT("ИТОГО!$B$45:$L$54"),MATCH(Сводка!B55,INDIRECT("ИТОГО!$A$45:$A$54"),0),MATCH(Сводка!A55,INDIRECT("ИТОГО!$B$44:$L$44"),0))</f>
        <v>0</v>
      </c>
    </row>
    <row r="56" spans="1:3">
      <c r="A56" s="135" t="s">
        <v>68</v>
      </c>
      <c r="B56" s="135" t="s">
        <v>32</v>
      </c>
      <c r="C56" s="134">
        <f ca="1">INDEX(INDIRECT("ИТОГО!$B$45:$L$54"),MATCH(Сводка!B56,INDIRECT("ИТОГО!$A$45:$A$54"),0),MATCH(Сводка!A56,INDIRECT("ИТОГО!$B$44:$L$44"),0))</f>
        <v>996.83</v>
      </c>
    </row>
    <row r="57" spans="1:3">
      <c r="A57" s="135" t="s">
        <v>69</v>
      </c>
      <c r="B57" s="135" t="s">
        <v>32</v>
      </c>
      <c r="C57" s="134">
        <f ca="1">INDEX(INDIRECT("ИТОГО!$B$45:$L$54"),MATCH(Сводка!B57,INDIRECT("ИТОГО!$A$45:$A$54"),0),MATCH(Сводка!A57,INDIRECT("ИТОГО!$B$44:$L$44"),0))</f>
        <v>215969.65</v>
      </c>
    </row>
    <row r="58" spans="1:3">
      <c r="A58" s="135" t="s">
        <v>70</v>
      </c>
      <c r="B58" s="135" t="s">
        <v>32</v>
      </c>
      <c r="C58" s="134">
        <f ca="1">INDEX(INDIRECT("ИТОГО!$B$45:$L$54"),MATCH(Сводка!B58,INDIRECT("ИТОГО!$A$45:$A$54"),0),MATCH(Сводка!A58,INDIRECT("ИТОГО!$B$44:$L$44"),0))</f>
        <v>4146339.26</v>
      </c>
    </row>
    <row r="59" spans="1:3">
      <c r="A59" s="135" t="s">
        <v>71</v>
      </c>
      <c r="B59" s="135" t="s">
        <v>32</v>
      </c>
      <c r="C59" s="134">
        <f ca="1">INDEX(INDIRECT("ИТОГО!$B$45:$L$54"),MATCH(Сводка!B59,INDIRECT("ИТОГО!$A$45:$A$54"),0),MATCH(Сводка!A59,INDIRECT("ИТОГО!$B$44:$L$44"),0))</f>
        <v>0</v>
      </c>
    </row>
    <row r="60" spans="1:3">
      <c r="A60" s="135" t="s">
        <v>72</v>
      </c>
      <c r="B60" s="135" t="s">
        <v>32</v>
      </c>
      <c r="C60" s="134">
        <f ca="1">INDEX(INDIRECT("ИТОГО!$B$45:$L$54"),MATCH(Сводка!B60,INDIRECT("ИТОГО!$A$45:$A$54"),0),MATCH(Сводка!A60,INDIRECT("ИТОГО!$B$44:$L$44"),0))</f>
        <v>0</v>
      </c>
    </row>
    <row r="61" spans="1:3">
      <c r="A61" s="135" t="s">
        <v>54</v>
      </c>
      <c r="B61" s="135" t="s">
        <v>32</v>
      </c>
      <c r="C61" s="134">
        <f ca="1">INDEX(INDIRECT("ИТОГО!$B$45:$L$54"),MATCH(Сводка!B61,INDIRECT("ИТОГО!$A$45:$A$54"),0),MATCH(Сводка!A61,INDIRECT("ИТОГО!$B$44:$L$44"),0))</f>
        <v>0</v>
      </c>
    </row>
    <row r="62" spans="1:3">
      <c r="A62" s="135" t="s">
        <v>73</v>
      </c>
      <c r="B62" s="135" t="s">
        <v>32</v>
      </c>
      <c r="C62" s="134">
        <f ca="1">INDEX(INDIRECT("ИТОГО!$B$45:$L$54"),MATCH(Сводка!B62,INDIRECT("ИТОГО!$A$45:$A$54"),0),MATCH(Сводка!A62,INDIRECT("ИТОГО!$B$44:$L$44"),0))</f>
        <v>0</v>
      </c>
    </row>
    <row r="63" spans="1:3">
      <c r="A63" s="135" t="s">
        <v>74</v>
      </c>
      <c r="B63" s="135" t="s">
        <v>32</v>
      </c>
      <c r="C63" s="134">
        <f ca="1">INDEX(INDIRECT("ИТОГО!$B$45:$L$54"),MATCH(Сводка!B63,INDIRECT("ИТОГО!$A$45:$A$54"),0),MATCH(Сводка!A63,INDIRECT("ИТОГО!$B$44:$L$44"),0))</f>
        <v>1677934.42</v>
      </c>
    </row>
    <row r="64" spans="1:3">
      <c r="A64" s="135" t="s">
        <v>75</v>
      </c>
      <c r="B64" s="135" t="s">
        <v>32</v>
      </c>
      <c r="C64" s="134">
        <f ca="1">INDEX(INDIRECT("ИТОГО!$B$45:$L$54"),MATCH(Сводка!B64,INDIRECT("ИТОГО!$A$45:$A$54"),0),MATCH(Сводка!A64,INDIRECT("ИТОГО!$B$44:$L$44"),0))</f>
        <v>0</v>
      </c>
    </row>
    <row r="65" spans="1:3">
      <c r="A65" s="135" t="s">
        <v>76</v>
      </c>
      <c r="B65" s="135" t="s">
        <v>32</v>
      </c>
      <c r="C65" s="134">
        <f ca="1">INDEX(INDIRECT("ИТОГО!$B$45:$L$54"),MATCH(Сводка!B65,INDIRECT("ИТОГО!$A$45:$A$54"),0),MATCH(Сводка!A65,INDIRECT("ИТОГО!$B$44:$L$44"),0))</f>
        <v>0</v>
      </c>
    </row>
    <row r="66" spans="1:3">
      <c r="A66" s="135" t="s">
        <v>77</v>
      </c>
      <c r="B66" s="135" t="s">
        <v>32</v>
      </c>
      <c r="C66" s="134">
        <f ca="1">INDEX(INDIRECT("ИТОГО!$B$45:$L$54"),MATCH(Сводка!B66,INDIRECT("ИТОГО!$A$45:$A$54"),0),MATCH(Сводка!A66,INDIRECT("ИТОГО!$B$44:$L$44"),0))</f>
        <v>0</v>
      </c>
    </row>
    <row r="67" spans="1:3">
      <c r="A67" s="135" t="s">
        <v>68</v>
      </c>
      <c r="B67" s="135" t="s">
        <v>33</v>
      </c>
      <c r="C67" s="134">
        <f ca="1">INDEX(INDIRECT("ИТОГО!$B$45:$L$54"),MATCH(Сводка!B67,INDIRECT("ИТОГО!$A$45:$A$54"),0),MATCH(Сводка!A67,INDIRECT("ИТОГО!$B$44:$L$44"),0))</f>
        <v>0</v>
      </c>
    </row>
    <row r="68" spans="1:3">
      <c r="A68" s="135" t="s">
        <v>69</v>
      </c>
      <c r="B68" s="135" t="s">
        <v>33</v>
      </c>
      <c r="C68" s="134">
        <f ca="1">INDEX(INDIRECT("ИТОГО!$B$45:$L$54"),MATCH(Сводка!B68,INDIRECT("ИТОГО!$A$45:$A$54"),0),MATCH(Сводка!A68,INDIRECT("ИТОГО!$B$44:$L$44"),0))</f>
        <v>0</v>
      </c>
    </row>
    <row r="69" spans="1:3">
      <c r="A69" s="135" t="s">
        <v>70</v>
      </c>
      <c r="B69" s="135" t="s">
        <v>33</v>
      </c>
      <c r="C69" s="134">
        <f ca="1">INDEX(INDIRECT("ИТОГО!$B$45:$L$54"),MATCH(Сводка!B69,INDIRECT("ИТОГО!$A$45:$A$54"),0),MATCH(Сводка!A69,INDIRECT("ИТОГО!$B$44:$L$44"),0))</f>
        <v>0</v>
      </c>
    </row>
    <row r="70" spans="1:3">
      <c r="A70" s="135" t="s">
        <v>71</v>
      </c>
      <c r="B70" s="135" t="s">
        <v>33</v>
      </c>
      <c r="C70" s="134">
        <f ca="1">INDEX(INDIRECT("ИТОГО!$B$45:$L$54"),MATCH(Сводка!B70,INDIRECT("ИТОГО!$A$45:$A$54"),0),MATCH(Сводка!A70,INDIRECT("ИТОГО!$B$44:$L$44"),0))</f>
        <v>0</v>
      </c>
    </row>
    <row r="71" spans="1:3">
      <c r="A71" s="135" t="s">
        <v>72</v>
      </c>
      <c r="B71" s="135" t="s">
        <v>33</v>
      </c>
      <c r="C71" s="134">
        <f ca="1">INDEX(INDIRECT("ИТОГО!$B$45:$L$54"),MATCH(Сводка!B71,INDIRECT("ИТОГО!$A$45:$A$54"),0),MATCH(Сводка!A71,INDIRECT("ИТОГО!$B$44:$L$44"),0))</f>
        <v>0</v>
      </c>
    </row>
    <row r="72" spans="1:3">
      <c r="A72" s="135" t="s">
        <v>54</v>
      </c>
      <c r="B72" s="135" t="s">
        <v>33</v>
      </c>
      <c r="C72" s="134">
        <f ca="1">INDEX(INDIRECT("ИТОГО!$B$45:$L$54"),MATCH(Сводка!B72,INDIRECT("ИТОГО!$A$45:$A$54"),0),MATCH(Сводка!A72,INDIRECT("ИТОГО!$B$44:$L$44"),0))</f>
        <v>0</v>
      </c>
    </row>
    <row r="73" spans="1:3">
      <c r="A73" s="135" t="s">
        <v>73</v>
      </c>
      <c r="B73" s="135" t="s">
        <v>33</v>
      </c>
      <c r="C73" s="134">
        <f ca="1">INDEX(INDIRECT("ИТОГО!$B$45:$L$54"),MATCH(Сводка!B73,INDIRECT("ИТОГО!$A$45:$A$54"),0),MATCH(Сводка!A73,INDIRECT("ИТОГО!$B$44:$L$44"),0))</f>
        <v>0</v>
      </c>
    </row>
    <row r="74" spans="1:3">
      <c r="A74" s="135" t="s">
        <v>74</v>
      </c>
      <c r="B74" s="135" t="s">
        <v>33</v>
      </c>
      <c r="C74" s="134">
        <f ca="1">INDEX(INDIRECT("ИТОГО!$B$45:$L$54"),MATCH(Сводка!B74,INDIRECT("ИТОГО!$A$45:$A$54"),0),MATCH(Сводка!A74,INDIRECT("ИТОГО!$B$44:$L$44"),0))</f>
        <v>5883745.0300000003</v>
      </c>
    </row>
    <row r="75" spans="1:3">
      <c r="A75" s="135" t="s">
        <v>75</v>
      </c>
      <c r="B75" s="135" t="s">
        <v>33</v>
      </c>
      <c r="C75" s="134">
        <f ca="1">INDEX(INDIRECT("ИТОГО!$B$45:$L$54"),MATCH(Сводка!B75,INDIRECT("ИТОГО!$A$45:$A$54"),0),MATCH(Сводка!A75,INDIRECT("ИТОГО!$B$44:$L$44"),0))</f>
        <v>0</v>
      </c>
    </row>
    <row r="76" spans="1:3">
      <c r="A76" s="135" t="s">
        <v>76</v>
      </c>
      <c r="B76" s="135" t="s">
        <v>33</v>
      </c>
      <c r="C76" s="134">
        <f ca="1">INDEX(INDIRECT("ИТОГО!$B$45:$L$54"),MATCH(Сводка!B76,INDIRECT("ИТОГО!$A$45:$A$54"),0),MATCH(Сводка!A76,INDIRECT("ИТОГО!$B$44:$L$44"),0))</f>
        <v>0</v>
      </c>
    </row>
    <row r="77" spans="1:3">
      <c r="A77" s="135" t="s">
        <v>77</v>
      </c>
      <c r="B77" s="135" t="s">
        <v>33</v>
      </c>
      <c r="C77" s="134">
        <f ca="1">INDEX(INDIRECT("ИТОГО!$B$45:$L$54"),MATCH(Сводка!B77,INDIRECT("ИТОГО!$A$45:$A$54"),0),MATCH(Сводка!A77,INDIRECT("ИТОГО!$B$44:$L$44"),0))</f>
        <v>0</v>
      </c>
    </row>
    <row r="78" spans="1:3">
      <c r="A78" s="135" t="s">
        <v>68</v>
      </c>
      <c r="B78" s="135" t="s">
        <v>27</v>
      </c>
      <c r="C78" s="134">
        <f ca="1">INDEX(INDIRECT("ИТОГО!$B$45:$L$54"),MATCH(Сводка!B78,INDIRECT("ИТОГО!$A$45:$A$54"),0),MATCH(Сводка!A78,INDIRECT("ИТОГО!$B$44:$L$44"),0))</f>
        <v>0</v>
      </c>
    </row>
    <row r="79" spans="1:3">
      <c r="A79" s="135" t="s">
        <v>69</v>
      </c>
      <c r="B79" s="135" t="s">
        <v>27</v>
      </c>
      <c r="C79" s="134">
        <f ca="1">INDEX(INDIRECT("ИТОГО!$B$45:$L$54"),MATCH(Сводка!B79,INDIRECT("ИТОГО!$A$45:$A$54"),0),MATCH(Сводка!A79,INDIRECT("ИТОГО!$B$44:$L$44"),0))</f>
        <v>26880.44</v>
      </c>
    </row>
    <row r="80" spans="1:3">
      <c r="A80" s="135" t="s">
        <v>70</v>
      </c>
      <c r="B80" s="135" t="s">
        <v>27</v>
      </c>
      <c r="C80" s="134">
        <f ca="1">INDEX(INDIRECT("ИТОГО!$B$45:$L$54"),MATCH(Сводка!B80,INDIRECT("ИТОГО!$A$45:$A$54"),0),MATCH(Сводка!A80,INDIRECT("ИТОГО!$B$44:$L$44"),0))</f>
        <v>18482719.530000001</v>
      </c>
    </row>
    <row r="81" spans="1:3">
      <c r="A81" s="135" t="s">
        <v>71</v>
      </c>
      <c r="B81" s="135" t="s">
        <v>27</v>
      </c>
      <c r="C81" s="134">
        <f ca="1">INDEX(INDIRECT("ИТОГО!$B$45:$L$54"),MATCH(Сводка!B81,INDIRECT("ИТОГО!$A$45:$A$54"),0),MATCH(Сводка!A81,INDIRECT("ИТОГО!$B$44:$L$44"),0))</f>
        <v>0</v>
      </c>
    </row>
    <row r="82" spans="1:3">
      <c r="A82" s="135" t="s">
        <v>72</v>
      </c>
      <c r="B82" s="135" t="s">
        <v>27</v>
      </c>
      <c r="C82" s="134">
        <f ca="1">INDEX(INDIRECT("ИТОГО!$B$45:$L$54"),MATCH(Сводка!B82,INDIRECT("ИТОГО!$A$45:$A$54"),0),MATCH(Сводка!A82,INDIRECT("ИТОГО!$B$44:$L$44"),0))</f>
        <v>0</v>
      </c>
    </row>
    <row r="83" spans="1:3">
      <c r="A83" s="135" t="s">
        <v>54</v>
      </c>
      <c r="B83" s="135" t="s">
        <v>27</v>
      </c>
      <c r="C83" s="134">
        <f ca="1">INDEX(INDIRECT("ИТОГО!$B$45:$L$54"),MATCH(Сводка!B83,INDIRECT("ИТОГО!$A$45:$A$54"),0),MATCH(Сводка!A83,INDIRECT("ИТОГО!$B$44:$L$44"),0))</f>
        <v>0</v>
      </c>
    </row>
    <row r="84" spans="1:3">
      <c r="A84" s="135" t="s">
        <v>73</v>
      </c>
      <c r="B84" s="135" t="s">
        <v>27</v>
      </c>
      <c r="C84" s="134">
        <f ca="1">INDEX(INDIRECT("ИТОГО!$B$45:$L$54"),MATCH(Сводка!B84,INDIRECT("ИТОГО!$A$45:$A$54"),0),MATCH(Сводка!A84,INDIRECT("ИТОГО!$B$44:$L$44"),0))</f>
        <v>0</v>
      </c>
    </row>
    <row r="85" spans="1:3">
      <c r="A85" s="135" t="s">
        <v>74</v>
      </c>
      <c r="B85" s="135" t="s">
        <v>27</v>
      </c>
      <c r="C85" s="134">
        <f ca="1">INDEX(INDIRECT("ИТОГО!$B$45:$L$54"),MATCH(Сводка!B85,INDIRECT("ИТОГО!$A$45:$A$54"),0),MATCH(Сводка!A85,INDIRECT("ИТОГО!$B$44:$L$44"),0))</f>
        <v>0</v>
      </c>
    </row>
    <row r="86" spans="1:3">
      <c r="A86" s="135" t="s">
        <v>75</v>
      </c>
      <c r="B86" s="135" t="s">
        <v>27</v>
      </c>
      <c r="C86" s="134">
        <f ca="1">INDEX(INDIRECT("ИТОГО!$B$45:$L$54"),MATCH(Сводка!B86,INDIRECT("ИТОГО!$A$45:$A$54"),0),MATCH(Сводка!A86,INDIRECT("ИТОГО!$B$44:$L$44"),0))</f>
        <v>0</v>
      </c>
    </row>
    <row r="87" spans="1:3">
      <c r="A87" s="135" t="s">
        <v>76</v>
      </c>
      <c r="B87" s="135" t="s">
        <v>27</v>
      </c>
      <c r="C87" s="134">
        <f ca="1">INDEX(INDIRECT("ИТОГО!$B$45:$L$54"),MATCH(Сводка!B87,INDIRECT("ИТОГО!$A$45:$A$54"),0),MATCH(Сводка!A87,INDIRECT("ИТОГО!$B$44:$L$44"),0))</f>
        <v>82960</v>
      </c>
    </row>
    <row r="88" spans="1:3">
      <c r="A88" s="135" t="s">
        <v>77</v>
      </c>
      <c r="B88" s="135" t="s">
        <v>27</v>
      </c>
      <c r="C88" s="134">
        <f ca="1">INDEX(INDIRECT("ИТОГО!$B$45:$L$54"),MATCH(Сводка!B88,INDIRECT("ИТОГО!$A$45:$A$54"),0),MATCH(Сводка!A88,INDIRECT("ИТОГО!$B$44:$L$44"),0))</f>
        <v>51435.199999999997</v>
      </c>
    </row>
    <row r="89" spans="1:3">
      <c r="A89" s="135" t="s">
        <v>68</v>
      </c>
      <c r="B89" s="135" t="s">
        <v>34</v>
      </c>
      <c r="C89" s="134">
        <f ca="1">INDEX(INDIRECT("ИТОГО!$B$45:$L$54"),MATCH(Сводка!B89,INDIRECT("ИТОГО!$A$45:$A$54"),0),MATCH(Сводка!A89,INDIRECT("ИТОГО!$B$44:$L$44"),0))</f>
        <v>0</v>
      </c>
    </row>
    <row r="90" spans="1:3">
      <c r="A90" s="135" t="s">
        <v>69</v>
      </c>
      <c r="B90" s="135" t="s">
        <v>34</v>
      </c>
      <c r="C90" s="134">
        <f ca="1">INDEX(INDIRECT("ИТОГО!$B$45:$L$54"),MATCH(Сводка!B90,INDIRECT("ИТОГО!$A$45:$A$54"),0),MATCH(Сводка!A90,INDIRECT("ИТОГО!$B$44:$L$44"),0))</f>
        <v>0</v>
      </c>
    </row>
    <row r="91" spans="1:3">
      <c r="A91" s="135" t="s">
        <v>70</v>
      </c>
      <c r="B91" s="135" t="s">
        <v>34</v>
      </c>
      <c r="C91" s="134">
        <f ca="1">INDEX(INDIRECT("ИТОГО!$B$45:$L$54"),MATCH(Сводка!B91,INDIRECT("ИТОГО!$A$45:$A$54"),0),MATCH(Сводка!A91,INDIRECT("ИТОГО!$B$44:$L$44"),0))</f>
        <v>9490913.75</v>
      </c>
    </row>
    <row r="92" spans="1:3">
      <c r="A92" s="135" t="s">
        <v>71</v>
      </c>
      <c r="B92" s="135" t="s">
        <v>34</v>
      </c>
      <c r="C92" s="134">
        <f ca="1">INDEX(INDIRECT("ИТОГО!$B$45:$L$54"),MATCH(Сводка!B92,INDIRECT("ИТОГО!$A$45:$A$54"),0),MATCH(Сводка!A92,INDIRECT("ИТОГО!$B$44:$L$44"),0))</f>
        <v>0</v>
      </c>
    </row>
    <row r="93" spans="1:3">
      <c r="A93" s="135" t="s">
        <v>72</v>
      </c>
      <c r="B93" s="135" t="s">
        <v>34</v>
      </c>
      <c r="C93" s="134">
        <f ca="1">INDEX(INDIRECT("ИТОГО!$B$45:$L$54"),MATCH(Сводка!B93,INDIRECT("ИТОГО!$A$45:$A$54"),0),MATCH(Сводка!A93,INDIRECT("ИТОГО!$B$44:$L$44"),0))</f>
        <v>0</v>
      </c>
    </row>
    <row r="94" spans="1:3">
      <c r="A94" s="135" t="s">
        <v>54</v>
      </c>
      <c r="B94" s="135" t="s">
        <v>34</v>
      </c>
      <c r="C94" s="134">
        <f ca="1">INDEX(INDIRECT("ИТОГО!$B$45:$L$54"),MATCH(Сводка!B94,INDIRECT("ИТОГО!$A$45:$A$54"),0),MATCH(Сводка!A94,INDIRECT("ИТОГО!$B$44:$L$44"),0))</f>
        <v>0</v>
      </c>
    </row>
    <row r="95" spans="1:3">
      <c r="A95" s="135" t="s">
        <v>73</v>
      </c>
      <c r="B95" s="135" t="s">
        <v>34</v>
      </c>
      <c r="C95" s="134">
        <f ca="1">INDEX(INDIRECT("ИТОГО!$B$45:$L$54"),MATCH(Сводка!B95,INDIRECT("ИТОГО!$A$45:$A$54"),0),MATCH(Сводка!A95,INDIRECT("ИТОГО!$B$44:$L$44"),0))</f>
        <v>0</v>
      </c>
    </row>
    <row r="96" spans="1:3">
      <c r="A96" s="135" t="s">
        <v>74</v>
      </c>
      <c r="B96" s="135" t="s">
        <v>34</v>
      </c>
      <c r="C96" s="134">
        <f ca="1">INDEX(INDIRECT("ИТОГО!$B$45:$L$54"),MATCH(Сводка!B96,INDIRECT("ИТОГО!$A$45:$A$54"),0),MATCH(Сводка!A96,INDIRECT("ИТОГО!$B$44:$L$44"),0))</f>
        <v>0</v>
      </c>
    </row>
    <row r="97" spans="1:3">
      <c r="A97" s="135" t="s">
        <v>75</v>
      </c>
      <c r="B97" s="135" t="s">
        <v>34</v>
      </c>
      <c r="C97" s="134">
        <f ca="1">INDEX(INDIRECT("ИТОГО!$B$45:$L$54"),MATCH(Сводка!B97,INDIRECT("ИТОГО!$A$45:$A$54"),0),MATCH(Сводка!A97,INDIRECT("ИТОГО!$B$44:$L$44"),0))</f>
        <v>0</v>
      </c>
    </row>
    <row r="98" spans="1:3">
      <c r="A98" s="135" t="s">
        <v>76</v>
      </c>
      <c r="B98" s="135" t="s">
        <v>34</v>
      </c>
      <c r="C98" s="134">
        <f ca="1">INDEX(INDIRECT("ИТОГО!$B$45:$L$54"),MATCH(Сводка!B98,INDIRECT("ИТОГО!$A$45:$A$54"),0),MATCH(Сводка!A98,INDIRECT("ИТОГО!$B$44:$L$44"),0))</f>
        <v>61000</v>
      </c>
    </row>
    <row r="99" spans="1:3">
      <c r="A99" s="135" t="s">
        <v>77</v>
      </c>
      <c r="B99" s="135" t="s">
        <v>34</v>
      </c>
      <c r="C99" s="134">
        <f ca="1">INDEX(INDIRECT("ИТОГО!$B$45:$L$54"),MATCH(Сводка!B99,INDIRECT("ИТОГО!$A$45:$A$54"),0),MATCH(Сводка!A99,INDIRECT("ИТОГО!$B$44:$L$44"),0))</f>
        <v>0</v>
      </c>
    </row>
    <row r="100" spans="1:3">
      <c r="A100" s="135" t="s">
        <v>23</v>
      </c>
      <c r="B100" s="135" t="s">
        <v>28</v>
      </c>
      <c r="C100" s="134" cm="1">
        <f t="array" aca="1" ref="C100" ca="1">INDIRECT("ИТОГО!B57")</f>
        <v>0</v>
      </c>
    </row>
    <row r="101" spans="1:3">
      <c r="A101" s="135" t="s">
        <v>23</v>
      </c>
      <c r="B101" s="135" t="s">
        <v>30</v>
      </c>
      <c r="C101" s="134" cm="1">
        <f t="array" aca="1" ref="C101" ca="1">INDIRECT("ИТОГО!B58")</f>
        <v>0</v>
      </c>
    </row>
    <row r="102" spans="1:3">
      <c r="A102" s="135" t="s">
        <v>23</v>
      </c>
      <c r="B102" s="135" t="s">
        <v>40</v>
      </c>
      <c r="C102" s="134" cm="1">
        <f t="array" aca="1" ref="C102" ca="1">INDIRECT("ИТОГО!B67")</f>
        <v>0</v>
      </c>
    </row>
    <row r="103" spans="1:3">
      <c r="A103" s="135" t="s">
        <v>57</v>
      </c>
      <c r="B103" s="135" t="s">
        <v>29</v>
      </c>
      <c r="C103" s="134" cm="1">
        <f t="array" aca="1" ref="C103" ca="1">INDIRECT("ИТОГО!C30")</f>
        <v>16167490</v>
      </c>
    </row>
    <row r="104" spans="1:3">
      <c r="A104" s="135" t="s">
        <v>58</v>
      </c>
      <c r="B104" s="135" t="s">
        <v>29</v>
      </c>
      <c r="C104" s="134" cm="1">
        <f t="array" aca="1" ref="C104" ca="1">INDIRECT("ИТОГО!C31")</f>
        <v>0</v>
      </c>
    </row>
    <row r="105" spans="1:3">
      <c r="A105" s="135" t="s">
        <v>59</v>
      </c>
      <c r="B105" s="135" t="s">
        <v>29</v>
      </c>
      <c r="C105" s="134" cm="1">
        <f t="array" aca="1" ref="C105" ca="1">INDIRECT("ИТОГО!C32")</f>
        <v>872300</v>
      </c>
    </row>
    <row r="106" spans="1:3">
      <c r="A106" s="135" t="s">
        <v>61</v>
      </c>
      <c r="B106" s="135" t="s">
        <v>29</v>
      </c>
      <c r="C106" s="134" cm="1">
        <f t="array" aca="1" ref="C106" ca="1">INDIRECT("ИТОГО!C33")</f>
        <v>2242921</v>
      </c>
    </row>
    <row r="107" spans="1:3">
      <c r="A107" s="135" t="s">
        <v>62</v>
      </c>
      <c r="B107" s="135" t="s">
        <v>29</v>
      </c>
      <c r="C107" s="134" cm="1">
        <f t="array" aca="1" ref="C107" ca="1">INDIRECT("ИТОГО!C34")</f>
        <v>20121277</v>
      </c>
    </row>
    <row r="108" spans="1:3">
      <c r="A108" s="135" t="s">
        <v>63</v>
      </c>
      <c r="B108" s="135" t="s">
        <v>29</v>
      </c>
      <c r="C108" s="134" cm="1">
        <f t="array" aca="1" ref="C108" ca="1">INDIRECT("ИТОГО!C35")</f>
        <v>5345055</v>
      </c>
    </row>
    <row r="109" spans="1:3">
      <c r="A109" s="135" t="s">
        <v>95</v>
      </c>
      <c r="B109" s="135" t="s">
        <v>29</v>
      </c>
      <c r="C109" s="134" cm="1">
        <f t="array" aca="1" ref="C109" ca="1">INDIRECT("ИТОГО!C38")</f>
        <v>3534726</v>
      </c>
    </row>
    <row r="110" spans="1:3">
      <c r="A110" s="135" t="s">
        <v>96</v>
      </c>
      <c r="B110" s="135" t="s">
        <v>29</v>
      </c>
      <c r="C110" s="134" cm="1">
        <f t="array" aca="1" ref="C110" ca="1">INDIRECT("ИТОГО!C39")</f>
        <v>7064220</v>
      </c>
    </row>
    <row r="111" spans="1:3">
      <c r="A111" s="135" t="s">
        <v>42</v>
      </c>
      <c r="B111" s="135" t="s">
        <v>28</v>
      </c>
      <c r="C111" s="134" cm="1">
        <f t="array" aca="1" ref="C111" ca="1">INDIRECT("ИТОГО!C19")</f>
        <v>42893</v>
      </c>
    </row>
    <row r="112" spans="1:3">
      <c r="A112" s="135" t="s">
        <v>44</v>
      </c>
      <c r="B112" s="135" t="s">
        <v>28</v>
      </c>
      <c r="C112" s="134" cm="1">
        <f t="array" aca="1" ref="C112" ca="1">INDIRECT("ИТОГО!C20")</f>
        <v>8640</v>
      </c>
    </row>
    <row r="113" spans="1:3">
      <c r="A113" s="135" t="s">
        <v>46</v>
      </c>
      <c r="B113" s="135" t="s">
        <v>28</v>
      </c>
      <c r="C113" s="134" cm="1">
        <f t="array" aca="1" ref="C113" ca="1">INDIRECT("ИТОГО!C21")</f>
        <v>85642</v>
      </c>
    </row>
    <row r="114" spans="1:3">
      <c r="A114" s="135" t="s">
        <v>48</v>
      </c>
      <c r="B114" s="135" t="s">
        <v>28</v>
      </c>
      <c r="C114" s="134" cm="1">
        <f t="array" aca="1" ref="C114" ca="1">INDIRECT("ИТОГО!C22")</f>
        <v>18700.799999999996</v>
      </c>
    </row>
    <row r="115" spans="1:3">
      <c r="A115" s="135" t="s">
        <v>50</v>
      </c>
      <c r="B115" s="135" t="s">
        <v>28</v>
      </c>
      <c r="C115" s="134" cm="1">
        <f t="array" aca="1" ref="C115" ca="1">INDIRECT("ИТОГО!C23")</f>
        <v>3511.2000000000007</v>
      </c>
    </row>
    <row r="116" spans="1:3">
      <c r="A116" s="135" t="s">
        <v>43</v>
      </c>
      <c r="B116" s="135" t="s">
        <v>28</v>
      </c>
      <c r="C116" s="134" cm="1">
        <f t="array" aca="1" ref="C116" ca="1">INDIRECT("ИТОГО!G19")</f>
        <v>4446.8999999999996</v>
      </c>
    </row>
    <row r="117" spans="1:3">
      <c r="A117" s="135" t="s">
        <v>45</v>
      </c>
      <c r="B117" s="135" t="s">
        <v>28</v>
      </c>
      <c r="C117" s="134" cm="1">
        <f t="array" aca="1" ref="C117" ca="1">INDIRECT("ИТОГО!G20")</f>
        <v>15712.38</v>
      </c>
    </row>
    <row r="118" spans="1:3">
      <c r="A118" s="135" t="s">
        <v>47</v>
      </c>
      <c r="B118" s="135" t="s">
        <v>28</v>
      </c>
      <c r="C118" s="134" cm="1">
        <f t="array" aca="1" ref="C118" ca="1">INDIRECT("ИТОГО!G21")</f>
        <v>12846.6</v>
      </c>
    </row>
    <row r="119" spans="1:3">
      <c r="A119" s="135" t="s">
        <v>49</v>
      </c>
      <c r="B119" s="135" t="s">
        <v>31</v>
      </c>
      <c r="C119" s="134" cm="1">
        <f t="array" aca="1" ref="C119" ca="1">INDIRECT("ИТОГО!G22")</f>
        <v>0</v>
      </c>
    </row>
    <row r="120" spans="1:3">
      <c r="A120" s="135" t="s">
        <v>43</v>
      </c>
      <c r="B120" s="135" t="s">
        <v>31</v>
      </c>
      <c r="C120" s="134" cm="1">
        <f t="array" aca="1" ref="C120" ca="1">INDIRECT("ИТОГО!G23")</f>
        <v>0</v>
      </c>
    </row>
    <row r="121" spans="1:3">
      <c r="A121" s="135" t="s">
        <v>45</v>
      </c>
      <c r="B121" s="135" t="s">
        <v>31</v>
      </c>
      <c r="C121" s="134" cm="1">
        <f t="array" aca="1" ref="C121" ca="1">INDIRECT("ИТОГО!G24")</f>
        <v>0</v>
      </c>
    </row>
    <row r="122" spans="1:3">
      <c r="A122" s="135" t="s">
        <v>43</v>
      </c>
      <c r="B122" s="135" t="s">
        <v>35</v>
      </c>
      <c r="C122" s="134" cm="1">
        <f t="array" aca="1" ref="C122" ca="1">INDIRECT("ИТОГО!G25")</f>
        <v>0</v>
      </c>
    </row>
    <row r="123" spans="1:3">
      <c r="A123" s="135" t="s">
        <v>54</v>
      </c>
      <c r="B123" s="135" t="s">
        <v>35</v>
      </c>
      <c r="C123" s="134" cm="1">
        <f t="array" aca="1" ref="C123" ca="1">INDIRECT("ИТОГО!G26")</f>
        <v>0</v>
      </c>
    </row>
    <row r="124" spans="1:3">
      <c r="A124" s="135" t="s">
        <v>56</v>
      </c>
      <c r="B124" s="135" t="s">
        <v>36</v>
      </c>
      <c r="C124" s="134" cm="1">
        <f t="array" aca="1" ref="C124" ca="1">INDIRECT("ИТОГО!G27")</f>
        <v>0</v>
      </c>
    </row>
    <row r="125" spans="1:3">
      <c r="A125" s="135" t="s">
        <v>45</v>
      </c>
      <c r="B125" s="135" t="s">
        <v>30</v>
      </c>
      <c r="C125" s="134" cm="1">
        <f t="array" aca="1" ref="C125" ca="1">INDIRECT("ИТОГО!G28")</f>
        <v>3952.7999999999997</v>
      </c>
    </row>
    <row r="126" spans="1:3">
      <c r="A126" s="135" t="s">
        <v>49</v>
      </c>
      <c r="B126" s="135" t="s">
        <v>30</v>
      </c>
      <c r="C126" s="134" cm="1">
        <f t="array" aca="1" ref="C126" ca="1">INDIRECT("ИТОГО!G29")</f>
        <v>0</v>
      </c>
    </row>
    <row r="127" spans="1:3">
      <c r="A127" s="135" t="s">
        <v>47</v>
      </c>
      <c r="B127" s="135" t="s">
        <v>30</v>
      </c>
      <c r="C127" s="134" cm="1">
        <f t="array" aca="1" ref="C127" ca="1">INDIRECT("ИТОГО!G30")</f>
        <v>0</v>
      </c>
    </row>
    <row r="128" spans="1:3">
      <c r="A128" s="135" t="s">
        <v>43</v>
      </c>
      <c r="B128" s="135" t="s">
        <v>30</v>
      </c>
      <c r="C128" s="134" cm="1">
        <f t="array" aca="1" ref="C128" ca="1">INDIRECT("ИТОГО!G31")</f>
        <v>2470.5</v>
      </c>
    </row>
    <row r="129" spans="1:3">
      <c r="A129" s="135" t="s">
        <v>60</v>
      </c>
      <c r="B129" s="135" t="s">
        <v>32</v>
      </c>
      <c r="C129" s="134" cm="1">
        <f t="array" aca="1" ref="C129" ca="1">INDIRECT("ИТОГО!G32")</f>
        <v>138348</v>
      </c>
    </row>
    <row r="130" spans="1:3">
      <c r="A130" s="135" t="s">
        <v>49</v>
      </c>
      <c r="B130" s="135" t="s">
        <v>32</v>
      </c>
      <c r="C130" s="134" cm="1">
        <f t="array" aca="1" ref="C130" ca="1">INDIRECT("ИТОГО!G33")</f>
        <v>0</v>
      </c>
    </row>
    <row r="131" spans="1:3">
      <c r="A131" s="135" t="s">
        <v>45</v>
      </c>
      <c r="B131" s="135" t="s">
        <v>32</v>
      </c>
      <c r="C131" s="134" cm="1">
        <f t="array" aca="1" ref="C131" ca="1">INDIRECT("ИТОГО!G34")</f>
        <v>0</v>
      </c>
    </row>
    <row r="132" spans="1:3">
      <c r="A132" s="135" t="s">
        <v>47</v>
      </c>
      <c r="B132" s="135" t="s">
        <v>35</v>
      </c>
      <c r="C132" s="134" cm="1">
        <f t="array" aca="1" ref="C132" ca="1">INDIRECT("ИТОГО!G36")</f>
        <v>0</v>
      </c>
    </row>
    <row r="133" spans="1:3">
      <c r="A133" s="135" t="s">
        <v>45</v>
      </c>
      <c r="B133" s="135" t="s">
        <v>27</v>
      </c>
      <c r="C133" s="134" cm="1">
        <f t="array" aca="1" ref="C133" ca="1">INDIRECT("ИТОГО!G37")</f>
        <v>0</v>
      </c>
    </row>
    <row r="134" spans="1:3">
      <c r="A134" s="135" t="s">
        <v>43</v>
      </c>
      <c r="B134" s="135" t="s">
        <v>34</v>
      </c>
      <c r="C134" s="134" cm="1">
        <f t="array" aca="1" ref="C134" ca="1">INDIRECT("ИТОГО!G38")</f>
        <v>0</v>
      </c>
    </row>
    <row r="135" spans="1:3">
      <c r="A135" s="135" t="s">
        <v>49</v>
      </c>
      <c r="B135" s="135" t="s">
        <v>28</v>
      </c>
      <c r="C135" s="134" cm="1">
        <f t="array" aca="1" ref="C135" ca="1">INDIRECT("ИТОГО!G39")</f>
        <v>9882</v>
      </c>
    </row>
    <row r="136" spans="1:3">
      <c r="A136" s="135" t="s">
        <v>43</v>
      </c>
      <c r="B136" s="135" t="s">
        <v>27</v>
      </c>
      <c r="C136" s="134" cm="1">
        <f t="array" aca="1" ref="C136" ca="1">INDIRECT("ИТОГО!G40")</f>
        <v>0</v>
      </c>
    </row>
    <row r="137" spans="1:3">
      <c r="A137" s="135" t="s">
        <v>66</v>
      </c>
      <c r="B137" s="135" t="s">
        <v>36</v>
      </c>
      <c r="C137" s="134" cm="1">
        <f t="array" aca="1" ref="C137" ca="1">INDIRECT("ИТОГО!G41")</f>
        <v>0</v>
      </c>
    </row>
    <row r="138" spans="1:3">
      <c r="A138" s="135" t="s">
        <v>49</v>
      </c>
      <c r="B138" s="135" t="s">
        <v>35</v>
      </c>
      <c r="C138" s="122">
        <f>[1]ИТОГО!G35</f>
        <v>0</v>
      </c>
    </row>
    <row r="139" spans="1:3">
      <c r="A139" s="135" t="s">
        <v>68</v>
      </c>
      <c r="B139" s="135" t="s">
        <v>38</v>
      </c>
      <c r="C139" s="134">
        <f ca="1">INDEX(INDIRECT("ИТОГО!$B$45:$L$54"),MATCH(Сводка!B139,INDIRECT("ИТОГО!$A$45:$A$54"),0),MATCH(Сводка!A139,INDIRECT("ИТОГО!$B$44:$L$44"),0))</f>
        <v>115538.64</v>
      </c>
    </row>
    <row r="140" spans="1:3">
      <c r="A140" s="135" t="s">
        <v>69</v>
      </c>
      <c r="B140" s="135" t="s">
        <v>38</v>
      </c>
      <c r="C140" s="134">
        <f ca="1">INDEX(INDIRECT("ИТОГО!$B$45:$L$54"),MATCH(Сводка!B140,INDIRECT("ИТОГО!$A$45:$A$54"),0),MATCH(Сводка!A140,INDIRECT("ИТОГО!$B$44:$L$44"),0))</f>
        <v>121789.87</v>
      </c>
    </row>
    <row r="141" spans="1:3">
      <c r="A141" s="135" t="s">
        <v>70</v>
      </c>
      <c r="B141" s="135" t="s">
        <v>38</v>
      </c>
      <c r="C141" s="134">
        <f ca="1">INDEX(INDIRECT("ИТОГО!$B$45:$L$54"),MATCH(Сводка!B141,INDIRECT("ИТОГО!$A$45:$A$54"),0),MATCH(Сводка!A141,INDIRECT("ИТОГО!$B$44:$L$44"),0))</f>
        <v>6811426.6900000004</v>
      </c>
    </row>
    <row r="142" spans="1:3">
      <c r="A142" s="135" t="s">
        <v>71</v>
      </c>
      <c r="B142" s="135" t="s">
        <v>38</v>
      </c>
      <c r="C142" s="134">
        <f ca="1">INDEX(INDIRECT("ИТОГО!$B$45:$L$54"),MATCH(Сводка!B142,INDIRECT("ИТОГО!$A$45:$A$54"),0),MATCH(Сводка!A142,INDIRECT("ИТОГО!$B$44:$L$44"),0))</f>
        <v>0</v>
      </c>
    </row>
    <row r="143" spans="1:3">
      <c r="A143" s="135" t="s">
        <v>72</v>
      </c>
      <c r="B143" s="135" t="s">
        <v>38</v>
      </c>
      <c r="C143" s="134">
        <f ca="1">INDEX(INDIRECT("ИТОГО!$B$45:$L$54"),MATCH(Сводка!B143,INDIRECT("ИТОГО!$A$45:$A$54"),0),MATCH(Сводка!A143,INDIRECT("ИТОГО!$B$44:$L$44"),0))</f>
        <v>0</v>
      </c>
    </row>
    <row r="144" spans="1:3">
      <c r="A144" s="135" t="s">
        <v>54</v>
      </c>
      <c r="B144" s="135" t="s">
        <v>38</v>
      </c>
      <c r="C144" s="134">
        <f ca="1">INDEX(INDIRECT("ИТОГО!$B$45:$L$54"),MATCH(Сводка!B144,INDIRECT("ИТОГО!$A$45:$A$54"),0),MATCH(Сводка!A144,INDIRECT("ИТОГО!$B$44:$L$44"),0))</f>
        <v>0</v>
      </c>
    </row>
    <row r="145" spans="1:3">
      <c r="A145" s="135" t="s">
        <v>73</v>
      </c>
      <c r="B145" s="135" t="s">
        <v>38</v>
      </c>
      <c r="C145" s="134">
        <f ca="1">INDEX(INDIRECT("ИТОГО!$B$45:$L$54"),MATCH(Сводка!B145,INDIRECT("ИТОГО!$A$45:$A$54"),0),MATCH(Сводка!A145,INDIRECT("ИТОГО!$B$44:$L$44"),0))</f>
        <v>0</v>
      </c>
    </row>
    <row r="146" spans="1:3">
      <c r="A146" s="135" t="s">
        <v>74</v>
      </c>
      <c r="B146" s="135" t="s">
        <v>38</v>
      </c>
      <c r="C146" s="134">
        <f ca="1">INDEX(INDIRECT("ИТОГО!$B$45:$L$54"),MATCH(Сводка!B146,INDIRECT("ИТОГО!$A$45:$A$54"),0),MATCH(Сводка!A146,INDIRECT("ИТОГО!$B$44:$L$44"),0))</f>
        <v>0</v>
      </c>
    </row>
    <row r="147" spans="1:3">
      <c r="A147" s="135" t="s">
        <v>75</v>
      </c>
      <c r="B147" s="135" t="s">
        <v>38</v>
      </c>
      <c r="C147" s="134">
        <f ca="1">INDEX(INDIRECT("ИТОГО!$B$45:$L$54"),MATCH(Сводка!B147,INDIRECT("ИТОГО!$A$45:$A$54"),0),MATCH(Сводка!A147,INDIRECT("ИТОГО!$B$44:$L$44"),0))</f>
        <v>0</v>
      </c>
    </row>
    <row r="148" spans="1:3">
      <c r="A148" s="135" t="s">
        <v>76</v>
      </c>
      <c r="B148" s="135" t="s">
        <v>38</v>
      </c>
      <c r="C148" s="134">
        <f ca="1">INDEX(INDIRECT("ИТОГО!$B$45:$L$54"),MATCH(Сводка!B148,INDIRECT("ИТОГО!$A$45:$A$54"),0),MATCH(Сводка!A148,INDIRECT("ИТОГО!$B$44:$L$44"),0))</f>
        <v>0</v>
      </c>
    </row>
    <row r="149" spans="1:3">
      <c r="A149" s="135" t="s">
        <v>77</v>
      </c>
      <c r="B149" s="135" t="s">
        <v>38</v>
      </c>
      <c r="C149" s="134">
        <f ca="1">INDEX(INDIRECT("ИТОГО!$B$45:$L$54"),MATCH(Сводка!B149,INDIRECT("ИТОГО!$A$45:$A$54"),0),MATCH(Сводка!A149,INDIRECT("ИТОГО!$B$44:$L$44"),0))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374D-CE59-47D2-8B97-AD4EEC04E72E}">
  <dimension ref="A1:R37"/>
  <sheetViews>
    <sheetView topLeftCell="A14" workbookViewId="0">
      <selection activeCell="O29" sqref="O29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0.140625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3294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36" t="s">
        <v>98</v>
      </c>
      <c r="R4" s="137">
        <v>180</v>
      </c>
    </row>
    <row r="5" spans="1:18">
      <c r="A5" s="59">
        <v>1</v>
      </c>
      <c r="B5" s="78">
        <v>46174</v>
      </c>
      <c r="C5" s="79"/>
      <c r="D5" s="138"/>
      <c r="E5" s="139"/>
      <c r="F5" s="138">
        <v>0</v>
      </c>
      <c r="G5" s="138">
        <v>0</v>
      </c>
      <c r="H5" s="138">
        <v>0</v>
      </c>
      <c r="I5" s="65">
        <f>SUM(D5*$R$4)</f>
        <v>0</v>
      </c>
      <c r="J5" s="65">
        <f>SUM(E5*$R$5)</f>
        <v>0</v>
      </c>
      <c r="K5" s="65">
        <f>F5*$R$6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180</v>
      </c>
    </row>
    <row r="6" spans="1:18">
      <c r="A6" s="66">
        <v>2</v>
      </c>
      <c r="B6" s="78">
        <v>46175</v>
      </c>
      <c r="C6" s="79"/>
      <c r="D6" s="138"/>
      <c r="E6" s="139"/>
      <c r="F6" s="138">
        <f>F5-E5+D6</f>
        <v>0</v>
      </c>
      <c r="G6" s="138">
        <v>0</v>
      </c>
      <c r="H6" s="138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F6*$R$6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24</v>
      </c>
    </row>
    <row r="7" spans="1:18">
      <c r="A7" s="66">
        <v>3</v>
      </c>
      <c r="B7" s="78">
        <v>46176</v>
      </c>
      <c r="C7" s="79"/>
      <c r="D7" s="138"/>
      <c r="E7" s="139"/>
      <c r="F7" s="138">
        <f t="shared" ref="F7:F33" si="6">F6-E6+D7</f>
        <v>0</v>
      </c>
      <c r="G7" s="138">
        <v>0</v>
      </c>
      <c r="H7" s="138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38"/>
      <c r="E8" s="139"/>
      <c r="F8" s="138">
        <f t="shared" si="6"/>
        <v>0</v>
      </c>
      <c r="G8" s="138">
        <v>0</v>
      </c>
      <c r="H8" s="138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240</v>
      </c>
    </row>
    <row r="9" spans="1:18">
      <c r="A9" s="66">
        <v>5</v>
      </c>
      <c r="B9" s="78">
        <v>46178</v>
      </c>
      <c r="C9" s="79"/>
      <c r="D9" s="138"/>
      <c r="E9" s="139"/>
      <c r="F9" s="138">
        <f t="shared" si="6"/>
        <v>0</v>
      </c>
      <c r="G9" s="138">
        <v>0</v>
      </c>
      <c r="H9" s="138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38"/>
      <c r="E10" s="139"/>
      <c r="F10" s="138">
        <f t="shared" si="6"/>
        <v>0</v>
      </c>
      <c r="G10" s="138">
        <v>0</v>
      </c>
      <c r="H10" s="138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38"/>
      <c r="E11" s="139"/>
      <c r="F11" s="138">
        <f t="shared" si="6"/>
        <v>0</v>
      </c>
      <c r="G11" s="138">
        <v>0</v>
      </c>
      <c r="H11" s="138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38"/>
      <c r="E12" s="139"/>
      <c r="F12" s="138">
        <f t="shared" si="6"/>
        <v>0</v>
      </c>
      <c r="G12" s="138">
        <v>0</v>
      </c>
      <c r="H12" s="138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38"/>
      <c r="E13" s="139"/>
      <c r="F13" s="138">
        <f t="shared" si="6"/>
        <v>0</v>
      </c>
      <c r="G13" s="138">
        <v>0</v>
      </c>
      <c r="H13" s="138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38"/>
      <c r="E14" s="139"/>
      <c r="F14" s="138">
        <f t="shared" si="6"/>
        <v>0</v>
      </c>
      <c r="G14" s="138">
        <v>0</v>
      </c>
      <c r="H14" s="138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38"/>
      <c r="E15" s="139"/>
      <c r="F15" s="138">
        <f t="shared" si="6"/>
        <v>0</v>
      </c>
      <c r="G15" s="138">
        <v>0</v>
      </c>
      <c r="H15" s="138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38"/>
      <c r="E16" s="139"/>
      <c r="F16" s="138">
        <f t="shared" si="6"/>
        <v>0</v>
      </c>
      <c r="G16" s="138">
        <v>0</v>
      </c>
      <c r="H16" s="138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38"/>
      <c r="E17" s="139"/>
      <c r="F17" s="138">
        <f t="shared" si="6"/>
        <v>0</v>
      </c>
      <c r="G17" s="138">
        <v>0</v>
      </c>
      <c r="H17" s="138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38"/>
      <c r="E18" s="139"/>
      <c r="F18" s="138">
        <f t="shared" si="6"/>
        <v>0</v>
      </c>
      <c r="G18" s="138">
        <v>0</v>
      </c>
      <c r="H18" s="138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38"/>
      <c r="E19" s="139"/>
      <c r="F19" s="138">
        <f t="shared" si="6"/>
        <v>0</v>
      </c>
      <c r="G19" s="138">
        <v>0</v>
      </c>
      <c r="H19" s="138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38"/>
      <c r="E20" s="139"/>
      <c r="F20" s="138">
        <f t="shared" si="6"/>
        <v>0</v>
      </c>
      <c r="G20" s="138">
        <v>0</v>
      </c>
      <c r="H20" s="138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38"/>
      <c r="E21" s="139"/>
      <c r="F21" s="138">
        <f t="shared" si="6"/>
        <v>0</v>
      </c>
      <c r="G21" s="138">
        <v>0</v>
      </c>
      <c r="H21" s="138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38"/>
      <c r="E22" s="139"/>
      <c r="F22" s="138">
        <f t="shared" si="6"/>
        <v>0</v>
      </c>
      <c r="G22" s="138">
        <v>0</v>
      </c>
      <c r="H22" s="138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38"/>
      <c r="E23" s="139"/>
      <c r="F23" s="138">
        <f t="shared" si="6"/>
        <v>0</v>
      </c>
      <c r="G23" s="138">
        <v>0</v>
      </c>
      <c r="H23" s="138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38"/>
      <c r="E24" s="139"/>
      <c r="F24" s="138">
        <f t="shared" si="6"/>
        <v>0</v>
      </c>
      <c r="G24" s="138">
        <v>0</v>
      </c>
      <c r="H24" s="138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38"/>
      <c r="E25" s="139"/>
      <c r="F25" s="138">
        <f t="shared" si="6"/>
        <v>0</v>
      </c>
      <c r="G25" s="138">
        <v>0</v>
      </c>
      <c r="H25" s="138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38"/>
      <c r="E26" s="142"/>
      <c r="F26" s="138">
        <f t="shared" si="6"/>
        <v>0</v>
      </c>
      <c r="G26" s="138">
        <v>0</v>
      </c>
      <c r="H26" s="138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38"/>
      <c r="E27" s="142"/>
      <c r="F27" s="138">
        <f t="shared" si="6"/>
        <v>0</v>
      </c>
      <c r="G27" s="138">
        <v>0</v>
      </c>
      <c r="H27" s="138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38"/>
      <c r="E28" s="142"/>
      <c r="F28" s="138">
        <f t="shared" si="6"/>
        <v>0</v>
      </c>
      <c r="G28" s="138">
        <v>0</v>
      </c>
      <c r="H28" s="138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38"/>
      <c r="E29" s="142"/>
      <c r="F29" s="138">
        <f t="shared" si="6"/>
        <v>0</v>
      </c>
      <c r="G29" s="138">
        <v>0</v>
      </c>
      <c r="H29" s="138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38"/>
      <c r="E30" s="142"/>
      <c r="F30" s="138">
        <f t="shared" si="6"/>
        <v>0</v>
      </c>
      <c r="G30" s="138">
        <v>0</v>
      </c>
      <c r="H30" s="138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38"/>
      <c r="E31" s="142"/>
      <c r="F31" s="138">
        <f t="shared" si="6"/>
        <v>0</v>
      </c>
      <c r="G31" s="138">
        <v>0</v>
      </c>
      <c r="H31" s="138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38"/>
      <c r="E32" s="139"/>
      <c r="F32" s="138">
        <f t="shared" si="6"/>
        <v>0</v>
      </c>
      <c r="G32" s="138">
        <v>0</v>
      </c>
      <c r="H32" s="138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38"/>
      <c r="E33" s="138"/>
      <c r="F33" s="138">
        <f t="shared" si="6"/>
        <v>0</v>
      </c>
      <c r="G33" s="138">
        <v>0</v>
      </c>
      <c r="H33" s="138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38"/>
      <c r="E34" s="138"/>
      <c r="F34" s="138">
        <v>112.5</v>
      </c>
      <c r="G34" s="138">
        <v>0</v>
      </c>
      <c r="H34" s="138">
        <v>0</v>
      </c>
      <c r="I34" s="65">
        <f t="shared" si="1"/>
        <v>0</v>
      </c>
      <c r="J34" s="65">
        <f t="shared" si="2"/>
        <v>0</v>
      </c>
      <c r="K34" s="65">
        <f t="shared" si="3"/>
        <v>2700</v>
      </c>
      <c r="L34" s="65">
        <f t="shared" si="4"/>
        <v>0</v>
      </c>
      <c r="M34" s="65">
        <f t="shared" si="5"/>
        <v>0</v>
      </c>
      <c r="N34" s="65">
        <f t="shared" si="0"/>
        <v>2700</v>
      </c>
    </row>
    <row r="35" spans="1:14">
      <c r="A35" s="66"/>
      <c r="B35" s="78"/>
      <c r="C35" s="79"/>
      <c r="D35" s="138"/>
      <c r="E35" s="138"/>
      <c r="F35" s="138"/>
      <c r="G35" s="138"/>
      <c r="H35" s="138"/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112.5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2700</v>
      </c>
      <c r="L36" s="73">
        <f t="shared" si="7"/>
        <v>0</v>
      </c>
      <c r="M36" s="73">
        <f t="shared" si="7"/>
        <v>0</v>
      </c>
      <c r="N36" s="73">
        <f t="shared" si="7"/>
        <v>2700</v>
      </c>
    </row>
    <row r="37" spans="1:14">
      <c r="L37" s="74"/>
      <c r="M37" s="74"/>
      <c r="N37" s="75">
        <f>N36*1.22</f>
        <v>3294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7620-33A8-4038-991B-C9CF72EDA7D1}">
  <dimension ref="A1:R37"/>
  <sheetViews>
    <sheetView topLeftCell="A11" workbookViewId="0">
      <selection activeCell="D37" sqref="D37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0.140625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9882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36" t="s">
        <v>98</v>
      </c>
      <c r="R4" s="137">
        <v>180</v>
      </c>
    </row>
    <row r="5" spans="1:18">
      <c r="A5" s="59">
        <v>1</v>
      </c>
      <c r="B5" s="78">
        <v>46174</v>
      </c>
      <c r="C5" s="79"/>
      <c r="D5" s="138"/>
      <c r="E5" s="139"/>
      <c r="F5" s="138">
        <v>0</v>
      </c>
      <c r="G5" s="138">
        <v>0</v>
      </c>
      <c r="H5" s="138">
        <v>0</v>
      </c>
      <c r="I5" s="65">
        <f>SUM(D5*$R$4)</f>
        <v>0</v>
      </c>
      <c r="J5" s="65">
        <f>SUM(E5*$R$5)</f>
        <v>0</v>
      </c>
      <c r="K5" s="65">
        <f>F5*$R$6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180</v>
      </c>
    </row>
    <row r="6" spans="1:18">
      <c r="A6" s="66">
        <v>2</v>
      </c>
      <c r="B6" s="78">
        <v>46175</v>
      </c>
      <c r="C6" s="79"/>
      <c r="D6" s="138"/>
      <c r="E6" s="139"/>
      <c r="F6" s="138">
        <f>F5-E5+D6</f>
        <v>0</v>
      </c>
      <c r="G6" s="138">
        <v>0</v>
      </c>
      <c r="H6" s="138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F6*$R$6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24</v>
      </c>
    </row>
    <row r="7" spans="1:18">
      <c r="A7" s="66">
        <v>3</v>
      </c>
      <c r="B7" s="78">
        <v>46176</v>
      </c>
      <c r="C7" s="79"/>
      <c r="D7" s="138"/>
      <c r="E7" s="139"/>
      <c r="F7" s="138">
        <f t="shared" ref="F7:F33" si="6">F6-E6+D7</f>
        <v>0</v>
      </c>
      <c r="G7" s="138">
        <v>0</v>
      </c>
      <c r="H7" s="138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38"/>
      <c r="E8" s="139"/>
      <c r="F8" s="138">
        <f t="shared" si="6"/>
        <v>0</v>
      </c>
      <c r="G8" s="138">
        <v>0</v>
      </c>
      <c r="H8" s="138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240</v>
      </c>
    </row>
    <row r="9" spans="1:18">
      <c r="A9" s="66">
        <v>5</v>
      </c>
      <c r="B9" s="78">
        <v>46178</v>
      </c>
      <c r="C9" s="79"/>
      <c r="D9" s="138"/>
      <c r="E9" s="139"/>
      <c r="F9" s="138">
        <f t="shared" si="6"/>
        <v>0</v>
      </c>
      <c r="G9" s="138">
        <v>0</v>
      </c>
      <c r="H9" s="138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38"/>
      <c r="E10" s="139"/>
      <c r="F10" s="138">
        <f t="shared" si="6"/>
        <v>0</v>
      </c>
      <c r="G10" s="138">
        <v>0</v>
      </c>
      <c r="H10" s="138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38"/>
      <c r="E11" s="139"/>
      <c r="F11" s="138">
        <f t="shared" si="6"/>
        <v>0</v>
      </c>
      <c r="G11" s="138">
        <v>0</v>
      </c>
      <c r="H11" s="138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38"/>
      <c r="E12" s="139"/>
      <c r="F12" s="138">
        <f t="shared" si="6"/>
        <v>0</v>
      </c>
      <c r="G12" s="138">
        <v>0</v>
      </c>
      <c r="H12" s="138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38"/>
      <c r="E13" s="139"/>
      <c r="F13" s="138">
        <f t="shared" si="6"/>
        <v>0</v>
      </c>
      <c r="G13" s="138">
        <v>0</v>
      </c>
      <c r="H13" s="138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38"/>
      <c r="E14" s="139"/>
      <c r="F14" s="138">
        <f t="shared" si="6"/>
        <v>0</v>
      </c>
      <c r="G14" s="138">
        <v>0</v>
      </c>
      <c r="H14" s="138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38"/>
      <c r="E15" s="139"/>
      <c r="F15" s="138">
        <f t="shared" si="6"/>
        <v>0</v>
      </c>
      <c r="G15" s="138">
        <v>0</v>
      </c>
      <c r="H15" s="138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38"/>
      <c r="E16" s="139"/>
      <c r="F16" s="138">
        <f t="shared" si="6"/>
        <v>0</v>
      </c>
      <c r="G16" s="138">
        <v>0</v>
      </c>
      <c r="H16" s="138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38"/>
      <c r="E17" s="139"/>
      <c r="F17" s="138">
        <f t="shared" si="6"/>
        <v>0</v>
      </c>
      <c r="G17" s="138">
        <v>0</v>
      </c>
      <c r="H17" s="138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38"/>
      <c r="E18" s="139"/>
      <c r="F18" s="138">
        <f t="shared" si="6"/>
        <v>0</v>
      </c>
      <c r="G18" s="138">
        <v>0</v>
      </c>
      <c r="H18" s="138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38"/>
      <c r="E19" s="139"/>
      <c r="F19" s="138">
        <f t="shared" si="6"/>
        <v>0</v>
      </c>
      <c r="G19" s="138">
        <v>0</v>
      </c>
      <c r="H19" s="138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38"/>
      <c r="E20" s="139"/>
      <c r="F20" s="138">
        <f t="shared" si="6"/>
        <v>0</v>
      </c>
      <c r="G20" s="138">
        <v>0</v>
      </c>
      <c r="H20" s="138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38"/>
      <c r="E21" s="139"/>
      <c r="F21" s="138">
        <f t="shared" si="6"/>
        <v>0</v>
      </c>
      <c r="G21" s="138">
        <v>0</v>
      </c>
      <c r="H21" s="138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38"/>
      <c r="E22" s="139"/>
      <c r="F22" s="138">
        <f t="shared" si="6"/>
        <v>0</v>
      </c>
      <c r="G22" s="138">
        <v>0</v>
      </c>
      <c r="H22" s="138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38"/>
      <c r="E23" s="139"/>
      <c r="F23" s="138">
        <f t="shared" si="6"/>
        <v>0</v>
      </c>
      <c r="G23" s="138">
        <v>0</v>
      </c>
      <c r="H23" s="138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38"/>
      <c r="E24" s="139"/>
      <c r="F24" s="138">
        <f t="shared" si="6"/>
        <v>0</v>
      </c>
      <c r="G24" s="138">
        <v>0</v>
      </c>
      <c r="H24" s="138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38"/>
      <c r="E25" s="139"/>
      <c r="F25" s="138">
        <f t="shared" si="6"/>
        <v>0</v>
      </c>
      <c r="G25" s="138">
        <v>0</v>
      </c>
      <c r="H25" s="138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38"/>
      <c r="E26" s="142"/>
      <c r="F26" s="138">
        <f t="shared" si="6"/>
        <v>0</v>
      </c>
      <c r="G26" s="138">
        <v>0</v>
      </c>
      <c r="H26" s="138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38"/>
      <c r="E27" s="142"/>
      <c r="F27" s="138">
        <f t="shared" si="6"/>
        <v>0</v>
      </c>
      <c r="G27" s="138">
        <v>0</v>
      </c>
      <c r="H27" s="138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38"/>
      <c r="E28" s="142"/>
      <c r="F28" s="138">
        <f t="shared" si="6"/>
        <v>0</v>
      </c>
      <c r="G28" s="138">
        <v>0</v>
      </c>
      <c r="H28" s="138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38"/>
      <c r="E29" s="142"/>
      <c r="F29" s="138">
        <f t="shared" si="6"/>
        <v>0</v>
      </c>
      <c r="G29" s="138">
        <v>0</v>
      </c>
      <c r="H29" s="138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38"/>
      <c r="E30" s="142"/>
      <c r="F30" s="138">
        <f t="shared" si="6"/>
        <v>0</v>
      </c>
      <c r="G30" s="138">
        <v>0</v>
      </c>
      <c r="H30" s="138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38"/>
      <c r="E31" s="142"/>
      <c r="F31" s="138">
        <f t="shared" si="6"/>
        <v>0</v>
      </c>
      <c r="G31" s="138">
        <v>0</v>
      </c>
      <c r="H31" s="138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38"/>
      <c r="E32" s="139"/>
      <c r="F32" s="138">
        <f t="shared" si="6"/>
        <v>0</v>
      </c>
      <c r="G32" s="138">
        <v>0</v>
      </c>
      <c r="H32" s="138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38"/>
      <c r="E33" s="138"/>
      <c r="F33" s="138">
        <f t="shared" si="6"/>
        <v>0</v>
      </c>
      <c r="G33" s="138">
        <v>0</v>
      </c>
      <c r="H33" s="138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38"/>
      <c r="E34" s="138"/>
      <c r="F34" s="138">
        <v>337.5</v>
      </c>
      <c r="G34" s="138">
        <v>0</v>
      </c>
      <c r="H34" s="138">
        <v>0</v>
      </c>
      <c r="I34" s="65">
        <f t="shared" si="1"/>
        <v>0</v>
      </c>
      <c r="J34" s="65">
        <f t="shared" si="2"/>
        <v>0</v>
      </c>
      <c r="K34" s="65">
        <f t="shared" si="3"/>
        <v>8100</v>
      </c>
      <c r="L34" s="65">
        <f t="shared" si="4"/>
        <v>0</v>
      </c>
      <c r="M34" s="65">
        <f t="shared" si="5"/>
        <v>0</v>
      </c>
      <c r="N34" s="65">
        <f t="shared" si="0"/>
        <v>8100</v>
      </c>
    </row>
    <row r="35" spans="1:14">
      <c r="A35" s="66"/>
      <c r="B35" s="78"/>
      <c r="C35" s="79"/>
      <c r="D35" s="138"/>
      <c r="E35" s="138"/>
      <c r="F35" s="138"/>
      <c r="G35" s="138"/>
      <c r="H35" s="138"/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337.5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8100</v>
      </c>
      <c r="L36" s="73">
        <f t="shared" si="7"/>
        <v>0</v>
      </c>
      <c r="M36" s="73">
        <f t="shared" si="7"/>
        <v>0</v>
      </c>
      <c r="N36" s="73">
        <f t="shared" si="7"/>
        <v>8100</v>
      </c>
    </row>
    <row r="37" spans="1:14">
      <c r="L37" s="74"/>
      <c r="M37" s="74"/>
      <c r="N37" s="75">
        <f>N36*1.22</f>
        <v>9882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D3D-A9CF-4C0F-90EC-8FB15FBC5E79}">
  <dimension ref="A1:R37"/>
  <sheetViews>
    <sheetView topLeftCell="A13" workbookViewId="0">
      <selection activeCell="N38" sqref="N38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0.14062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/>
      <c r="E5" s="145"/>
      <c r="F5" s="144">
        <v>0</v>
      </c>
      <c r="G5" s="144">
        <v>0</v>
      </c>
      <c r="H5" s="144">
        <v>0</v>
      </c>
      <c r="I5" s="65">
        <f>SUM(D5*R4)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/>
      <c r="E6" s="145"/>
      <c r="F6" s="144">
        <f>F5-E5+D6</f>
        <v>0</v>
      </c>
      <c r="G6" s="144">
        <v>0</v>
      </c>
      <c r="H6" s="144">
        <v>0</v>
      </c>
      <c r="I6" s="65">
        <f t="shared" ref="I6:I35" si="1">SUM(D6*R5)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/>
      <c r="E7" s="145"/>
      <c r="F7" s="144">
        <f t="shared" ref="F7:F35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45"/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45"/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5"/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5"/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5"/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5"/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6"/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6"/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6"/>
      <c r="F16" s="144">
        <f t="shared" si="6"/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6"/>
      <c r="F17" s="144">
        <f t="shared" si="6"/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7"/>
      <c r="F18" s="144">
        <f t="shared" si="6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7"/>
      <c r="F19" s="144">
        <f t="shared" si="6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7"/>
      <c r="F20" s="144">
        <f t="shared" si="6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6"/>
      <c r="F21" s="144">
        <f t="shared" si="6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6"/>
      <c r="F22" s="144">
        <f t="shared" si="6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7"/>
      <c r="F23" s="144">
        <f t="shared" si="6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6"/>
      <c r="F24" s="144">
        <f t="shared" si="6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6"/>
      <c r="F25" s="144">
        <f t="shared" si="6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6"/>
      <c r="F26" s="144">
        <f t="shared" si="6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5"/>
      <c r="F27" s="144">
        <f t="shared" si="6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5"/>
      <c r="F28" s="144">
        <f t="shared" si="6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5"/>
      <c r="F29" s="144">
        <f t="shared" si="6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5"/>
      <c r="F30" s="144">
        <f t="shared" si="6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5"/>
      <c r="F31" s="144">
        <f t="shared" si="6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5"/>
      <c r="F32" s="144">
        <f t="shared" si="6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6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6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4">
      <c r="A35" s="66"/>
      <c r="B35" s="78"/>
      <c r="C35" s="79"/>
      <c r="D35" s="144"/>
      <c r="E35" s="144"/>
      <c r="F35" s="144">
        <f t="shared" si="6"/>
        <v>0</v>
      </c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68C8-D8ED-4971-AF93-FA4E43CBE871}">
  <dimension ref="A1:S37"/>
  <sheetViews>
    <sheetView topLeftCell="A16" workbookViewId="0">
      <selection activeCell="N38" sqref="N38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0" style="48" customWidth="1"/>
    <col min="18" max="16384" width="9.140625" style="48"/>
  </cols>
  <sheetData>
    <row r="1" spans="1:19">
      <c r="A1" s="47">
        <f>N37</f>
        <v>0</v>
      </c>
      <c r="G1" s="49"/>
    </row>
    <row r="2" spans="1:19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</row>
    <row r="3" spans="1:19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9" ht="15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  <c r="S4" s="148"/>
    </row>
    <row r="5" spans="1:19" ht="15" customHeight="1">
      <c r="A5" s="66">
        <v>1</v>
      </c>
      <c r="B5" s="78">
        <v>46174</v>
      </c>
      <c r="C5" s="79"/>
      <c r="D5" s="144"/>
      <c r="E5" s="149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9" ht="15" customHeight="1">
      <c r="A6" s="66">
        <v>2</v>
      </c>
      <c r="B6" s="78">
        <v>46175</v>
      </c>
      <c r="C6" s="79"/>
      <c r="D6" s="144"/>
      <c r="E6" s="149"/>
      <c r="F6" s="144">
        <f>F5-E5+D6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20</v>
      </c>
    </row>
    <row r="7" spans="1:19" ht="15" customHeight="1">
      <c r="A7" s="66">
        <v>3</v>
      </c>
      <c r="B7" s="78">
        <v>46176</v>
      </c>
      <c r="C7" s="79"/>
      <c r="D7" s="144"/>
      <c r="E7" s="149"/>
      <c r="F7" s="144">
        <f t="shared" ref="F7:F34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9" ht="15" customHeight="1">
      <c r="A8" s="66">
        <v>4</v>
      </c>
      <c r="B8" s="78">
        <v>46177</v>
      </c>
      <c r="C8" s="79"/>
      <c r="D8" s="144"/>
      <c r="E8" s="149"/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9">
      <c r="A9" s="66">
        <v>5</v>
      </c>
      <c r="B9" s="78">
        <v>46178</v>
      </c>
      <c r="C9" s="79"/>
      <c r="D9" s="144"/>
      <c r="E9" s="149"/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9">
      <c r="A10" s="66">
        <v>6</v>
      </c>
      <c r="B10" s="78">
        <v>46179</v>
      </c>
      <c r="C10" s="79"/>
      <c r="D10" s="144"/>
      <c r="E10" s="149"/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9">
      <c r="A11" s="66">
        <v>7</v>
      </c>
      <c r="B11" s="78">
        <v>46180</v>
      </c>
      <c r="C11" s="79"/>
      <c r="D11" s="144"/>
      <c r="E11" s="149"/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9">
      <c r="A12" s="66">
        <v>8</v>
      </c>
      <c r="B12" s="78">
        <v>46181</v>
      </c>
      <c r="C12" s="79"/>
      <c r="D12" s="144"/>
      <c r="E12" s="149"/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9">
      <c r="A13" s="66">
        <v>9</v>
      </c>
      <c r="B13" s="78">
        <v>46182</v>
      </c>
      <c r="C13" s="79"/>
      <c r="D13" s="144"/>
      <c r="E13" s="149"/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9">
      <c r="A14" s="66">
        <v>10</v>
      </c>
      <c r="B14" s="78">
        <v>46183</v>
      </c>
      <c r="C14" s="79"/>
      <c r="D14" s="144"/>
      <c r="E14" s="149"/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9">
      <c r="A15" s="66">
        <v>11</v>
      </c>
      <c r="B15" s="78">
        <v>46184</v>
      </c>
      <c r="C15" s="79"/>
      <c r="D15" s="144"/>
      <c r="E15" s="150"/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9">
      <c r="A16" s="66">
        <v>12</v>
      </c>
      <c r="B16" s="78">
        <v>46185</v>
      </c>
      <c r="C16" s="79"/>
      <c r="D16" s="144"/>
      <c r="E16" s="151"/>
      <c r="F16" s="144">
        <f t="shared" si="6"/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51"/>
      <c r="F17" s="144">
        <f t="shared" si="6"/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50"/>
      <c r="F18" s="144">
        <f t="shared" si="6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50"/>
      <c r="F19" s="144">
        <f t="shared" si="6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50"/>
      <c r="F20" s="144">
        <f t="shared" si="6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50"/>
      <c r="F21" s="144">
        <f t="shared" si="6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50"/>
      <c r="F22" s="144">
        <f t="shared" si="6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51"/>
      <c r="F23" s="144">
        <f t="shared" si="6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50"/>
      <c r="F24" s="144">
        <f t="shared" si="6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51"/>
      <c r="F25" s="144">
        <f t="shared" si="6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51"/>
      <c r="F26" s="144">
        <f t="shared" si="6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51"/>
      <c r="F27" s="144">
        <f t="shared" si="6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51"/>
      <c r="F28" s="144">
        <f t="shared" si="6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51"/>
      <c r="F29" s="144">
        <f t="shared" si="6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51"/>
      <c r="F30" s="144">
        <f t="shared" si="6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51"/>
      <c r="F31" s="144">
        <f t="shared" si="6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51"/>
      <c r="F32" s="144">
        <f t="shared" si="6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7">
      <c r="A33" s="66">
        <v>29</v>
      </c>
      <c r="B33" s="78">
        <v>46202</v>
      </c>
      <c r="C33" s="79"/>
      <c r="D33" s="144"/>
      <c r="E33" s="144"/>
      <c r="F33" s="144">
        <f t="shared" si="6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7">
      <c r="A34" s="66">
        <v>30</v>
      </c>
      <c r="B34" s="78">
        <v>46203</v>
      </c>
      <c r="C34" s="79"/>
      <c r="D34" s="144"/>
      <c r="E34" s="144"/>
      <c r="F34" s="144">
        <f t="shared" si="6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7">
      <c r="A35" s="66"/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  <c r="Q35" s="152"/>
    </row>
    <row r="36" spans="1:17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7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282C-2458-4820-A50C-F5A71D7BFEB5}">
  <dimension ref="A1:R37"/>
  <sheetViews>
    <sheetView topLeftCell="A13" workbookViewId="0">
      <selection activeCell="N38" sqref="N38"/>
    </sheetView>
  </sheetViews>
  <sheetFormatPr defaultRowHeight="15"/>
  <cols>
    <col min="1" max="1" width="13.140625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19.570312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>F5-E5+D6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26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ref="F7:F35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 t="shared" si="6"/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si="6"/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6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6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6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6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6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6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6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6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6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6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6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6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6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6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 t="shared" si="6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si="6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f t="shared" si="6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4">
      <c r="A35" s="66"/>
      <c r="B35" s="78" t="s">
        <v>101</v>
      </c>
      <c r="C35" s="79"/>
      <c r="D35" s="144">
        <v>0</v>
      </c>
      <c r="E35" s="144">
        <v>0</v>
      </c>
      <c r="F35" s="144">
        <f t="shared" si="6"/>
        <v>0</v>
      </c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ECB9-00EF-4AA7-8108-35B9F8C28044}">
  <dimension ref="A1:R37"/>
  <sheetViews>
    <sheetView topLeftCell="A14" workbookViewId="0">
      <selection activeCell="N38" sqref="N38"/>
    </sheetView>
  </sheetViews>
  <sheetFormatPr defaultRowHeight="15"/>
  <cols>
    <col min="1" max="1" width="13.710937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19.2851562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35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/>
      <c r="E6" s="144"/>
      <c r="F6" s="144">
        <f>F5-E5+D6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15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ref="F7:F15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120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150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>F15-E15+D16</f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ref="F17:F34" si="7">F16-E16+D17</f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7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7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7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7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7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4"/>
      <c r="F23" s="144">
        <f t="shared" si="7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4"/>
      <c r="F24" s="144">
        <f t="shared" si="7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4"/>
      <c r="F25" s="144">
        <f t="shared" si="7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4"/>
      <c r="F26" s="144">
        <f t="shared" si="7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4"/>
      <c r="F27" s="144">
        <f t="shared" si="7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4"/>
      <c r="F28" s="144">
        <f t="shared" si="7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4"/>
      <c r="F29" s="144">
        <f t="shared" si="7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4"/>
      <c r="F30" s="144">
        <f t="shared" si="7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7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 t="shared" si="7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7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7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4">
      <c r="A35" s="66"/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0</v>
      </c>
      <c r="L36" s="73">
        <f t="shared" si="8"/>
        <v>0</v>
      </c>
      <c r="M36" s="73">
        <f t="shared" si="8"/>
        <v>0</v>
      </c>
      <c r="N36" s="73">
        <f t="shared" si="8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EF7C-1DF3-42CA-99DC-2A4F4C4DD381}">
  <dimension ref="A1:R37"/>
  <sheetViews>
    <sheetView topLeftCell="A26" workbookViewId="0">
      <selection activeCell="N38" sqref="N38"/>
    </sheetView>
  </sheetViews>
  <sheetFormatPr defaultRowHeight="15"/>
  <cols>
    <col min="1" max="1" width="14.4257812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19.2851562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102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/>
      <c r="E6" s="144"/>
      <c r="F6" s="144">
        <f>F5-E5+D6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ref="F7:F15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>F15-E15+D16</f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ref="F17:F34" si="7">F16-E16+D17</f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7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7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7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7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7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4"/>
      <c r="F23" s="144">
        <f t="shared" si="7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4"/>
      <c r="F24" s="144">
        <f t="shared" si="7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4"/>
      <c r="F25" s="144">
        <f t="shared" si="7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4"/>
      <c r="F26" s="144">
        <f t="shared" si="7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4"/>
      <c r="F27" s="144">
        <f t="shared" si="7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4"/>
      <c r="F28" s="144">
        <f t="shared" si="7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4"/>
      <c r="F29" s="144">
        <f t="shared" si="7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4"/>
      <c r="F30" s="144">
        <f t="shared" si="7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7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 t="shared" si="7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7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7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4">
      <c r="A35" s="66"/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0</v>
      </c>
      <c r="L36" s="73">
        <f t="shared" si="8"/>
        <v>0</v>
      </c>
      <c r="M36" s="73">
        <f t="shared" si="8"/>
        <v>0</v>
      </c>
      <c r="N36" s="73">
        <f t="shared" si="8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3C1E-F927-4A32-9A6C-195415B82015}">
  <dimension ref="A1:R37"/>
  <sheetViews>
    <sheetView workbookViewId="0">
      <selection activeCell="N38" sqref="N38"/>
    </sheetView>
  </sheetViews>
  <sheetFormatPr defaultRowHeight="15"/>
  <cols>
    <col min="1" max="1" width="12.710937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19.28515625" style="48" customWidth="1"/>
    <col min="18" max="16384" width="9.140625" style="48"/>
  </cols>
  <sheetData>
    <row r="1" spans="1:18">
      <c r="A1" s="47">
        <f>N37</f>
        <v>12846.6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28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>F5-E5+D6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26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ref="F7:F15" si="6">F6-E6+D7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>F15-E15+D16</f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ref="F17:F33" si="7">F16-E16+D17</f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7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7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7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7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7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7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7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7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7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7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7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7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7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7"/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 t="shared" si="7"/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si="7"/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v>405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10530</v>
      </c>
      <c r="L34" s="65">
        <f t="shared" si="4"/>
        <v>0</v>
      </c>
      <c r="M34" s="65">
        <f t="shared" si="5"/>
        <v>0</v>
      </c>
      <c r="N34" s="65">
        <f t="shared" si="0"/>
        <v>10530</v>
      </c>
    </row>
    <row r="35" spans="1:14">
      <c r="A35" s="66"/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405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10530</v>
      </c>
      <c r="L36" s="73">
        <f t="shared" si="8"/>
        <v>0</v>
      </c>
      <c r="M36" s="73">
        <f t="shared" si="8"/>
        <v>0</v>
      </c>
      <c r="N36" s="73">
        <f t="shared" si="8"/>
        <v>10530</v>
      </c>
    </row>
    <row r="37" spans="1:14">
      <c r="L37" s="74"/>
      <c r="M37" s="74"/>
      <c r="N37" s="75">
        <f>N36*1.22</f>
        <v>12846.6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FEF27-B199-4A6D-8DE7-0D1DC510C9E1}">
  <dimension ref="A1:R37"/>
  <sheetViews>
    <sheetView topLeftCell="A14" workbookViewId="0">
      <selection activeCell="N38" sqref="N38"/>
    </sheetView>
  </sheetViews>
  <sheetFormatPr defaultRowHeight="15"/>
  <cols>
    <col min="1" max="1" width="13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21.710937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1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27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144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144</v>
      </c>
    </row>
    <row r="6" spans="1:18">
      <c r="A6" s="66">
        <v>2</v>
      </c>
      <c r="B6" s="78">
        <v>46175</v>
      </c>
      <c r="C6" s="79"/>
      <c r="D6" s="144"/>
      <c r="E6" s="144"/>
      <c r="F6" s="144">
        <f t="shared" ref="F6:F34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42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240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4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4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4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4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4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4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4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4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1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3E40-6E81-4EED-BE13-25BE9CD34D37}">
  <dimension ref="A1:R37"/>
  <sheetViews>
    <sheetView topLeftCell="A13" workbookViewId="0">
      <selection activeCell="N38" sqref="N38"/>
    </sheetView>
  </sheetViews>
  <sheetFormatPr defaultRowHeight="15"/>
  <cols>
    <col min="1" max="1" width="15.4257812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21.710937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1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34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/>
      <c r="E6" s="144"/>
      <c r="F6" s="144">
        <f t="shared" ref="F6:F35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34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240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53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53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53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53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53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53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53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53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53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53"/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1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 t="s">
        <v>101</v>
      </c>
      <c r="C35" s="79"/>
      <c r="D35" s="144"/>
      <c r="E35" s="144"/>
      <c r="F35" s="144">
        <f t="shared" si="1"/>
        <v>0</v>
      </c>
      <c r="G35" s="144">
        <v>0</v>
      </c>
      <c r="H35" s="144">
        <v>0</v>
      </c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2917-2E62-42EF-BF25-6D7B526B740A}">
  <dimension ref="A1:R37"/>
  <sheetViews>
    <sheetView topLeftCell="A16" workbookViewId="0">
      <selection activeCell="N38" sqref="N38"/>
    </sheetView>
  </sheetViews>
  <sheetFormatPr defaultRowHeight="15"/>
  <cols>
    <col min="1" max="1" width="14.2851562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3.8554687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35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/>
      <c r="E5" s="15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/>
      <c r="E6" s="154"/>
      <c r="F6" s="144">
        <f t="shared" ref="F6:F35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/>
      <c r="E7" s="15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5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5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5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5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55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55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55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55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55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55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55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55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55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55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55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56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56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55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56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56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56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55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54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54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54"/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1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 t="s">
        <v>101</v>
      </c>
      <c r="C35" s="79"/>
      <c r="D35" s="144"/>
      <c r="E35" s="144"/>
      <c r="F35" s="144">
        <f t="shared" si="1"/>
        <v>0</v>
      </c>
      <c r="G35" s="144">
        <v>0</v>
      </c>
      <c r="H35" s="144">
        <v>0</v>
      </c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1F0A-0C28-4993-B806-3426FD6904E7}">
  <dimension ref="A1:R37"/>
  <sheetViews>
    <sheetView topLeftCell="A19" workbookViewId="0">
      <selection activeCell="N38" sqref="N38"/>
    </sheetView>
  </sheetViews>
  <sheetFormatPr defaultRowHeight="15"/>
  <cols>
    <col min="1" max="1" width="13.710937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1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31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/>
      <c r="E6" s="144"/>
      <c r="F6" s="144">
        <f t="shared" ref="F6:F35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20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57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57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58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57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57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58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58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59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58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58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57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57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1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/>
      <c r="C35" s="79"/>
      <c r="D35" s="144"/>
      <c r="E35" s="144"/>
      <c r="F35" s="144">
        <f t="shared" si="1"/>
        <v>0</v>
      </c>
      <c r="G35" s="144">
        <v>0</v>
      </c>
      <c r="H35" s="144">
        <v>0</v>
      </c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0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0</v>
      </c>
      <c r="L36" s="73">
        <f t="shared" si="7"/>
        <v>0</v>
      </c>
      <c r="M36" s="73">
        <f t="shared" si="7"/>
        <v>0</v>
      </c>
      <c r="N36" s="73">
        <f t="shared" si="7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C22F-E86D-489B-B47C-47EE9ABFD9A1}">
  <dimension ref="A1:R37"/>
  <sheetViews>
    <sheetView topLeftCell="A20" workbookViewId="0">
      <selection activeCell="F46" sqref="F46"/>
    </sheetView>
  </sheetViews>
  <sheetFormatPr defaultRowHeight="15"/>
  <cols>
    <col min="1" max="1" width="12.710937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1" style="48" customWidth="1"/>
    <col min="18" max="16384" width="9.140625" style="48"/>
  </cols>
  <sheetData>
    <row r="1" spans="1:18">
      <c r="A1" s="47">
        <f>N37</f>
        <v>2470.5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102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/>
      <c r="E6" s="144"/>
      <c r="F6" s="144">
        <f t="shared" ref="F6:F33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4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4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4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4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4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4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4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4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v>112.5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2025</v>
      </c>
      <c r="L34" s="65">
        <f t="shared" si="5"/>
        <v>0</v>
      </c>
      <c r="M34" s="65">
        <f t="shared" si="6"/>
        <v>0</v>
      </c>
      <c r="N34" s="65">
        <f t="shared" si="0"/>
        <v>2025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112.5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2025</v>
      </c>
      <c r="L36" s="73">
        <f t="shared" si="7"/>
        <v>0</v>
      </c>
      <c r="M36" s="73">
        <f t="shared" si="7"/>
        <v>0</v>
      </c>
      <c r="N36" s="73">
        <f t="shared" si="7"/>
        <v>2025</v>
      </c>
    </row>
    <row r="37" spans="1:14">
      <c r="L37" s="74"/>
      <c r="M37" s="74"/>
      <c r="N37" s="75">
        <f>N36*1.22</f>
        <v>2470.5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8093-98B2-4AE7-BA26-A782F06D5016}">
  <dimension ref="A1:R37"/>
  <sheetViews>
    <sheetView topLeftCell="A14" workbookViewId="0">
      <selection activeCell="K31" sqref="K31"/>
    </sheetView>
  </sheetViews>
  <sheetFormatPr defaultRowHeight="15"/>
  <cols>
    <col min="1" max="1" width="13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1" style="48" customWidth="1"/>
    <col min="18" max="16384" width="9.140625" style="48"/>
  </cols>
  <sheetData>
    <row r="1" spans="1:18">
      <c r="A1" s="47">
        <f>N37</f>
        <v>4446.8999999999996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28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 t="shared" ref="F6:F33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 t="shared" si="1"/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si="1"/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v>202.5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3645</v>
      </c>
      <c r="L34" s="65">
        <f t="shared" si="5"/>
        <v>0</v>
      </c>
      <c r="M34" s="65">
        <f t="shared" si="6"/>
        <v>0</v>
      </c>
      <c r="N34" s="65">
        <f t="shared" si="0"/>
        <v>3645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7">SUM(D5:D35)</f>
        <v>0</v>
      </c>
      <c r="E36" s="71">
        <f t="shared" si="7"/>
        <v>0</v>
      </c>
      <c r="F36" s="71">
        <f t="shared" si="7"/>
        <v>202.5</v>
      </c>
      <c r="G36" s="71">
        <f t="shared" si="7"/>
        <v>0</v>
      </c>
      <c r="H36" s="71">
        <f t="shared" si="7"/>
        <v>0</v>
      </c>
      <c r="I36" s="73">
        <f t="shared" si="7"/>
        <v>0</v>
      </c>
      <c r="J36" s="73">
        <f t="shared" si="7"/>
        <v>0</v>
      </c>
      <c r="K36" s="73">
        <f t="shared" si="7"/>
        <v>3645</v>
      </c>
      <c r="L36" s="73">
        <f t="shared" si="7"/>
        <v>0</v>
      </c>
      <c r="M36" s="73">
        <f t="shared" si="7"/>
        <v>0</v>
      </c>
      <c r="N36" s="73">
        <f t="shared" si="7"/>
        <v>3645</v>
      </c>
    </row>
    <row r="37" spans="1:14">
      <c r="L37" s="74"/>
      <c r="M37" s="74"/>
      <c r="N37" s="75">
        <f>N36*1.22</f>
        <v>4446.8999999999996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C194-01AF-4CE9-ADE1-3B035D963220}">
  <dimension ref="A1:R37"/>
  <sheetViews>
    <sheetView topLeftCell="A17" workbookViewId="0">
      <selection activeCell="B35" sqref="B35:H35"/>
    </sheetView>
  </sheetViews>
  <sheetFormatPr defaultRowHeight="15"/>
  <cols>
    <col min="1" max="1" width="12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5.42578125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27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144</v>
      </c>
    </row>
    <row r="5" spans="1:18">
      <c r="A5" s="66">
        <v>1</v>
      </c>
      <c r="B5" s="78">
        <v>46174</v>
      </c>
      <c r="C5" s="79"/>
      <c r="D5" s="144"/>
      <c r="E5" s="144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144</v>
      </c>
    </row>
    <row r="6" spans="1:18">
      <c r="A6" s="66">
        <v>2</v>
      </c>
      <c r="B6" s="78">
        <v>46175</v>
      </c>
      <c r="C6" s="79"/>
      <c r="D6" s="144"/>
      <c r="E6" s="144"/>
      <c r="F6" s="144">
        <f t="shared" ref="F6:F31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42</v>
      </c>
    </row>
    <row r="7" spans="1:18">
      <c r="A7" s="66">
        <v>3</v>
      </c>
      <c r="B7" s="78">
        <v>46176</v>
      </c>
      <c r="C7" s="79"/>
      <c r="D7" s="144"/>
      <c r="E7" s="144"/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44"/>
      <c r="E8" s="144"/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240</v>
      </c>
    </row>
    <row r="9" spans="1:18">
      <c r="A9" s="66">
        <v>5</v>
      </c>
      <c r="B9" s="78">
        <v>46178</v>
      </c>
      <c r="C9" s="79"/>
      <c r="D9" s="144"/>
      <c r="E9" s="144"/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44"/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44"/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44"/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44"/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44"/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44"/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44"/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44"/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44"/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44"/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44"/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44"/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44"/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44"/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44"/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44"/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44"/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44"/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44"/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44"/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44"/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44"/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44"/>
      <c r="F32" s="144">
        <f>F31+D32-E31</f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44"/>
      <c r="F33" s="144">
        <f t="shared" ref="F33:F34" si="7">F32+D33-E32</f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44"/>
      <c r="F34" s="144">
        <f t="shared" si="7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0</v>
      </c>
      <c r="L36" s="73">
        <f t="shared" si="8"/>
        <v>0</v>
      </c>
      <c r="M36" s="73">
        <f t="shared" si="8"/>
        <v>0</v>
      </c>
      <c r="N36" s="73">
        <f t="shared" si="8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4C0D-CEB6-4593-A957-B68D2D82FAA9}">
  <dimension ref="A1:R37"/>
  <sheetViews>
    <sheetView topLeftCell="A16" workbookViewId="0">
      <selection activeCell="B35" sqref="B35:H35"/>
    </sheetView>
  </sheetViews>
  <sheetFormatPr defaultRowHeight="15"/>
  <cols>
    <col min="1" max="1" width="12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5.42578125" style="48" customWidth="1"/>
    <col min="18" max="18" width="10.42578125" style="48" bestFit="1" customWidth="1"/>
    <col min="19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32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 t="shared" ref="F6:F31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26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1200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170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>F31+D32-E31</f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ref="F33:F34" si="7">F32+D33-E32</f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f t="shared" si="7"/>
        <v>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0</v>
      </c>
      <c r="L34" s="65">
        <f t="shared" si="5"/>
        <v>0</v>
      </c>
      <c r="M34" s="65">
        <f t="shared" si="6"/>
        <v>0</v>
      </c>
      <c r="N34" s="65">
        <f t="shared" si="0"/>
        <v>0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0</v>
      </c>
      <c r="L36" s="73">
        <f t="shared" si="8"/>
        <v>0</v>
      </c>
      <c r="M36" s="73">
        <f t="shared" si="8"/>
        <v>0</v>
      </c>
      <c r="N36" s="73">
        <f t="shared" si="8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9832-32B8-4D17-A725-8018B2F3F5DA}">
  <dimension ref="A1:R37"/>
  <sheetViews>
    <sheetView topLeftCell="A14" workbookViewId="0">
      <selection activeCell="J27" sqref="J27"/>
    </sheetView>
  </sheetViews>
  <sheetFormatPr defaultRowHeight="15"/>
  <cols>
    <col min="1" max="1" width="12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5.42578125" style="48" customWidth="1"/>
    <col min="18" max="16384" width="9.140625" style="48"/>
  </cols>
  <sheetData>
    <row r="1" spans="1:18">
      <c r="A1" s="47">
        <f>N37</f>
        <v>3952.7999999999997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102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 t="shared" ref="F6:F31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>F31+D32-E31</f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ref="F33" si="7">F32+D33-E32</f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v>180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3240</v>
      </c>
      <c r="L34" s="65">
        <f t="shared" si="5"/>
        <v>0</v>
      </c>
      <c r="M34" s="65">
        <f t="shared" si="6"/>
        <v>0</v>
      </c>
      <c r="N34" s="65">
        <f t="shared" si="0"/>
        <v>3240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180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3240</v>
      </c>
      <c r="L36" s="73">
        <f t="shared" si="8"/>
        <v>0</v>
      </c>
      <c r="M36" s="73">
        <f t="shared" si="8"/>
        <v>0</v>
      </c>
      <c r="N36" s="73">
        <f t="shared" si="8"/>
        <v>3240</v>
      </c>
    </row>
    <row r="37" spans="1:14">
      <c r="L37" s="74"/>
      <c r="M37" s="74"/>
      <c r="N37" s="75">
        <f>N36*1.22</f>
        <v>3952.7999999999997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6B3E-77A5-4C6C-AB59-8DECBA7BFBBE}">
  <dimension ref="A1:R37"/>
  <sheetViews>
    <sheetView workbookViewId="0">
      <selection activeCell="B35" sqref="B35:C35"/>
    </sheetView>
  </sheetViews>
  <sheetFormatPr defaultRowHeight="15"/>
  <cols>
    <col min="1" max="1" width="12" style="48" bestFit="1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5.42578125" style="48" customWidth="1"/>
    <col min="18" max="16384" width="9.140625" style="48"/>
  </cols>
  <sheetData>
    <row r="1" spans="1:18">
      <c r="A1" s="47">
        <f>N37</f>
        <v>15712.38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28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120</v>
      </c>
    </row>
    <row r="5" spans="1:18">
      <c r="A5" s="66">
        <v>1</v>
      </c>
      <c r="B5" s="78">
        <v>46174</v>
      </c>
      <c r="C5" s="79"/>
      <c r="D5" s="144">
        <v>0</v>
      </c>
      <c r="E5" s="144">
        <v>0</v>
      </c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120</v>
      </c>
    </row>
    <row r="6" spans="1:18">
      <c r="A6" s="66">
        <v>2</v>
      </c>
      <c r="B6" s="78">
        <v>46175</v>
      </c>
      <c r="C6" s="79"/>
      <c r="D6" s="144">
        <v>0</v>
      </c>
      <c r="E6" s="144">
        <v>0</v>
      </c>
      <c r="F6" s="144">
        <f t="shared" ref="F6:F31" si="1">F5+D6-E5</f>
        <v>0</v>
      </c>
      <c r="G6" s="144">
        <v>0</v>
      </c>
      <c r="H6" s="144">
        <v>0</v>
      </c>
      <c r="I6" s="65">
        <f t="shared" ref="I6:I35" si="2">SUM(D6*$R$4)</f>
        <v>0</v>
      </c>
      <c r="J6" s="65">
        <f t="shared" ref="J6:J35" si="3">SUM(E6*$R$5)</f>
        <v>0</v>
      </c>
      <c r="K6" s="65">
        <f t="shared" ref="K6:K35" si="4">SUM(F6*$R$6)</f>
        <v>0</v>
      </c>
      <c r="L6" s="65">
        <f t="shared" ref="L6:L35" si="5">SUM(G6*$R$7)</f>
        <v>0</v>
      </c>
      <c r="M6" s="65">
        <f t="shared" ref="M6:M35" si="6">SUM(H6*$R$8)</f>
        <v>0</v>
      </c>
      <c r="N6" s="65">
        <f t="shared" si="0"/>
        <v>0</v>
      </c>
      <c r="Q6" s="140" t="s">
        <v>4</v>
      </c>
      <c r="R6" s="141">
        <v>18</v>
      </c>
    </row>
    <row r="7" spans="1:18">
      <c r="A7" s="66">
        <v>3</v>
      </c>
      <c r="B7" s="78">
        <v>46176</v>
      </c>
      <c r="C7" s="79"/>
      <c r="D7" s="144">
        <v>0</v>
      </c>
      <c r="E7" s="144">
        <v>0</v>
      </c>
      <c r="F7" s="144">
        <f t="shared" si="1"/>
        <v>0</v>
      </c>
      <c r="G7" s="144">
        <v>0</v>
      </c>
      <c r="H7" s="144">
        <v>0</v>
      </c>
      <c r="I7" s="65">
        <f t="shared" si="2"/>
        <v>0</v>
      </c>
      <c r="J7" s="65">
        <f t="shared" si="3"/>
        <v>0</v>
      </c>
      <c r="K7" s="65">
        <f t="shared" si="4"/>
        <v>0</v>
      </c>
      <c r="L7" s="65">
        <f t="shared" si="5"/>
        <v>0</v>
      </c>
      <c r="M7" s="65">
        <f t="shared" si="6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>
        <v>0</v>
      </c>
      <c r="E8" s="144">
        <v>0</v>
      </c>
      <c r="F8" s="144">
        <f t="shared" si="1"/>
        <v>0</v>
      </c>
      <c r="G8" s="144">
        <v>0</v>
      </c>
      <c r="H8" s="144">
        <v>0</v>
      </c>
      <c r="I8" s="65">
        <f t="shared" si="2"/>
        <v>0</v>
      </c>
      <c r="J8" s="65">
        <f t="shared" si="3"/>
        <v>0</v>
      </c>
      <c r="K8" s="65">
        <f t="shared" si="4"/>
        <v>0</v>
      </c>
      <c r="L8" s="65">
        <f t="shared" si="5"/>
        <v>0</v>
      </c>
      <c r="M8" s="65">
        <f t="shared" si="6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>
        <v>0</v>
      </c>
      <c r="E9" s="144">
        <v>0</v>
      </c>
      <c r="F9" s="144">
        <f t="shared" si="1"/>
        <v>0</v>
      </c>
      <c r="G9" s="144">
        <v>0</v>
      </c>
      <c r="H9" s="144">
        <v>0</v>
      </c>
      <c r="I9" s="65">
        <f t="shared" si="2"/>
        <v>0</v>
      </c>
      <c r="J9" s="65">
        <f t="shared" si="3"/>
        <v>0</v>
      </c>
      <c r="K9" s="65">
        <f t="shared" si="4"/>
        <v>0</v>
      </c>
      <c r="L9" s="65">
        <f t="shared" si="5"/>
        <v>0</v>
      </c>
      <c r="M9" s="65">
        <f t="shared" si="6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>
        <v>0</v>
      </c>
      <c r="E10" s="144">
        <v>0</v>
      </c>
      <c r="F10" s="144">
        <f t="shared" si="1"/>
        <v>0</v>
      </c>
      <c r="G10" s="144">
        <v>0</v>
      </c>
      <c r="H10" s="144">
        <v>0</v>
      </c>
      <c r="I10" s="65">
        <f t="shared" si="2"/>
        <v>0</v>
      </c>
      <c r="J10" s="65">
        <f t="shared" si="3"/>
        <v>0</v>
      </c>
      <c r="K10" s="65">
        <f t="shared" si="4"/>
        <v>0</v>
      </c>
      <c r="L10" s="65">
        <f t="shared" si="5"/>
        <v>0</v>
      </c>
      <c r="M10" s="65">
        <f t="shared" si="6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>
        <v>0</v>
      </c>
      <c r="E11" s="144">
        <v>0</v>
      </c>
      <c r="F11" s="144">
        <f t="shared" si="1"/>
        <v>0</v>
      </c>
      <c r="G11" s="144">
        <v>0</v>
      </c>
      <c r="H11" s="144">
        <v>0</v>
      </c>
      <c r="I11" s="65">
        <f t="shared" si="2"/>
        <v>0</v>
      </c>
      <c r="J11" s="65">
        <f t="shared" si="3"/>
        <v>0</v>
      </c>
      <c r="K11" s="65">
        <f t="shared" si="4"/>
        <v>0</v>
      </c>
      <c r="L11" s="65">
        <f t="shared" si="5"/>
        <v>0</v>
      </c>
      <c r="M11" s="65">
        <f t="shared" si="6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>
        <v>0</v>
      </c>
      <c r="E12" s="144">
        <v>0</v>
      </c>
      <c r="F12" s="144">
        <f t="shared" si="1"/>
        <v>0</v>
      </c>
      <c r="G12" s="144">
        <v>0</v>
      </c>
      <c r="H12" s="144">
        <v>0</v>
      </c>
      <c r="I12" s="65">
        <f t="shared" si="2"/>
        <v>0</v>
      </c>
      <c r="J12" s="65">
        <f t="shared" si="3"/>
        <v>0</v>
      </c>
      <c r="K12" s="65">
        <f t="shared" si="4"/>
        <v>0</v>
      </c>
      <c r="L12" s="65">
        <f t="shared" si="5"/>
        <v>0</v>
      </c>
      <c r="M12" s="65">
        <f t="shared" si="6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>
        <v>0</v>
      </c>
      <c r="E13" s="144">
        <v>0</v>
      </c>
      <c r="F13" s="144">
        <f t="shared" si="1"/>
        <v>0</v>
      </c>
      <c r="G13" s="144">
        <v>0</v>
      </c>
      <c r="H13" s="144">
        <v>0</v>
      </c>
      <c r="I13" s="65">
        <f t="shared" si="2"/>
        <v>0</v>
      </c>
      <c r="J13" s="65">
        <f t="shared" si="3"/>
        <v>0</v>
      </c>
      <c r="K13" s="65">
        <f t="shared" si="4"/>
        <v>0</v>
      </c>
      <c r="L13" s="65">
        <f t="shared" si="5"/>
        <v>0</v>
      </c>
      <c r="M13" s="65">
        <f t="shared" si="6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>
        <v>0</v>
      </c>
      <c r="E14" s="144">
        <v>0</v>
      </c>
      <c r="F14" s="144">
        <f t="shared" si="1"/>
        <v>0</v>
      </c>
      <c r="G14" s="144">
        <v>0</v>
      </c>
      <c r="H14" s="144">
        <v>0</v>
      </c>
      <c r="I14" s="65">
        <f t="shared" si="2"/>
        <v>0</v>
      </c>
      <c r="J14" s="65">
        <f t="shared" si="3"/>
        <v>0</v>
      </c>
      <c r="K14" s="65">
        <f t="shared" si="4"/>
        <v>0</v>
      </c>
      <c r="L14" s="65">
        <f t="shared" si="5"/>
        <v>0</v>
      </c>
      <c r="M14" s="65">
        <f t="shared" si="6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>
        <v>0</v>
      </c>
      <c r="E15" s="144">
        <v>0</v>
      </c>
      <c r="F15" s="144">
        <f t="shared" si="1"/>
        <v>0</v>
      </c>
      <c r="G15" s="144">
        <v>0</v>
      </c>
      <c r="H15" s="144">
        <v>0</v>
      </c>
      <c r="I15" s="65">
        <f t="shared" si="2"/>
        <v>0</v>
      </c>
      <c r="J15" s="65">
        <f t="shared" si="3"/>
        <v>0</v>
      </c>
      <c r="K15" s="65">
        <f t="shared" si="4"/>
        <v>0</v>
      </c>
      <c r="L15" s="65">
        <f t="shared" si="5"/>
        <v>0</v>
      </c>
      <c r="M15" s="65">
        <f t="shared" si="6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>
        <v>0</v>
      </c>
      <c r="E16" s="144">
        <v>0</v>
      </c>
      <c r="F16" s="144">
        <f t="shared" si="1"/>
        <v>0</v>
      </c>
      <c r="G16" s="144">
        <v>0</v>
      </c>
      <c r="H16" s="144">
        <v>0</v>
      </c>
      <c r="I16" s="65">
        <f t="shared" si="2"/>
        <v>0</v>
      </c>
      <c r="J16" s="65">
        <f t="shared" si="3"/>
        <v>0</v>
      </c>
      <c r="K16" s="65">
        <f t="shared" si="4"/>
        <v>0</v>
      </c>
      <c r="L16" s="65">
        <f t="shared" si="5"/>
        <v>0</v>
      </c>
      <c r="M16" s="65">
        <f t="shared" si="6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>
        <v>0</v>
      </c>
      <c r="E17" s="144">
        <v>0</v>
      </c>
      <c r="F17" s="144">
        <f t="shared" si="1"/>
        <v>0</v>
      </c>
      <c r="G17" s="144">
        <v>0</v>
      </c>
      <c r="H17" s="144">
        <v>0</v>
      </c>
      <c r="I17" s="65">
        <f t="shared" si="2"/>
        <v>0</v>
      </c>
      <c r="J17" s="65">
        <f t="shared" si="3"/>
        <v>0</v>
      </c>
      <c r="K17" s="65">
        <f t="shared" si="4"/>
        <v>0</v>
      </c>
      <c r="L17" s="65">
        <f t="shared" si="5"/>
        <v>0</v>
      </c>
      <c r="M17" s="65">
        <f t="shared" si="6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>
        <v>0</v>
      </c>
      <c r="E18" s="144">
        <v>0</v>
      </c>
      <c r="F18" s="144">
        <f t="shared" si="1"/>
        <v>0</v>
      </c>
      <c r="G18" s="144">
        <v>0</v>
      </c>
      <c r="H18" s="144">
        <v>0</v>
      </c>
      <c r="I18" s="65">
        <f t="shared" si="2"/>
        <v>0</v>
      </c>
      <c r="J18" s="65">
        <f t="shared" si="3"/>
        <v>0</v>
      </c>
      <c r="K18" s="65">
        <f t="shared" si="4"/>
        <v>0</v>
      </c>
      <c r="L18" s="65">
        <f t="shared" si="5"/>
        <v>0</v>
      </c>
      <c r="M18" s="65">
        <f t="shared" si="6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>
        <v>0</v>
      </c>
      <c r="E19" s="144">
        <v>0</v>
      </c>
      <c r="F19" s="144">
        <f t="shared" si="1"/>
        <v>0</v>
      </c>
      <c r="G19" s="144">
        <v>0</v>
      </c>
      <c r="H19" s="144">
        <v>0</v>
      </c>
      <c r="I19" s="65">
        <f t="shared" si="2"/>
        <v>0</v>
      </c>
      <c r="J19" s="65">
        <f t="shared" si="3"/>
        <v>0</v>
      </c>
      <c r="K19" s="65">
        <f t="shared" si="4"/>
        <v>0</v>
      </c>
      <c r="L19" s="65">
        <f t="shared" si="5"/>
        <v>0</v>
      </c>
      <c r="M19" s="65">
        <f t="shared" si="6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>
        <v>0</v>
      </c>
      <c r="E20" s="144">
        <v>0</v>
      </c>
      <c r="F20" s="144">
        <f t="shared" si="1"/>
        <v>0</v>
      </c>
      <c r="G20" s="144">
        <v>0</v>
      </c>
      <c r="H20" s="144">
        <v>0</v>
      </c>
      <c r="I20" s="65">
        <f t="shared" si="2"/>
        <v>0</v>
      </c>
      <c r="J20" s="65">
        <f t="shared" si="3"/>
        <v>0</v>
      </c>
      <c r="K20" s="65">
        <f t="shared" si="4"/>
        <v>0</v>
      </c>
      <c r="L20" s="65">
        <f t="shared" si="5"/>
        <v>0</v>
      </c>
      <c r="M20" s="65">
        <f t="shared" si="6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>
        <v>0</v>
      </c>
      <c r="E21" s="144">
        <v>0</v>
      </c>
      <c r="F21" s="144">
        <f t="shared" si="1"/>
        <v>0</v>
      </c>
      <c r="G21" s="144">
        <v>0</v>
      </c>
      <c r="H21" s="144">
        <v>0</v>
      </c>
      <c r="I21" s="65">
        <f t="shared" si="2"/>
        <v>0</v>
      </c>
      <c r="J21" s="65">
        <f t="shared" si="3"/>
        <v>0</v>
      </c>
      <c r="K21" s="65">
        <f t="shared" si="4"/>
        <v>0</v>
      </c>
      <c r="L21" s="65">
        <f t="shared" si="5"/>
        <v>0</v>
      </c>
      <c r="M21" s="65">
        <f t="shared" si="6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>
        <v>0</v>
      </c>
      <c r="E22" s="144">
        <v>0</v>
      </c>
      <c r="F22" s="144">
        <f t="shared" si="1"/>
        <v>0</v>
      </c>
      <c r="G22" s="144">
        <v>0</v>
      </c>
      <c r="H22" s="144">
        <v>0</v>
      </c>
      <c r="I22" s="65">
        <f t="shared" si="2"/>
        <v>0</v>
      </c>
      <c r="J22" s="65">
        <f t="shared" si="3"/>
        <v>0</v>
      </c>
      <c r="K22" s="65">
        <f t="shared" si="4"/>
        <v>0</v>
      </c>
      <c r="L22" s="65">
        <f t="shared" si="5"/>
        <v>0</v>
      </c>
      <c r="M22" s="65">
        <f t="shared" si="6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>
        <v>0</v>
      </c>
      <c r="E23" s="144">
        <v>0</v>
      </c>
      <c r="F23" s="144">
        <f t="shared" si="1"/>
        <v>0</v>
      </c>
      <c r="G23" s="144">
        <v>0</v>
      </c>
      <c r="H23" s="144">
        <v>0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0</v>
      </c>
      <c r="M23" s="65">
        <f t="shared" si="6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>
        <v>0</v>
      </c>
      <c r="E24" s="144">
        <v>0</v>
      </c>
      <c r="F24" s="144">
        <f t="shared" si="1"/>
        <v>0</v>
      </c>
      <c r="G24" s="144">
        <v>0</v>
      </c>
      <c r="H24" s="144">
        <v>0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0</v>
      </c>
      <c r="M24" s="65">
        <f t="shared" si="6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>
        <v>0</v>
      </c>
      <c r="E25" s="144">
        <v>0</v>
      </c>
      <c r="F25" s="144">
        <f t="shared" si="1"/>
        <v>0</v>
      </c>
      <c r="G25" s="144">
        <v>0</v>
      </c>
      <c r="H25" s="144">
        <v>0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0</v>
      </c>
      <c r="M25" s="65">
        <f t="shared" si="6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>
        <v>0</v>
      </c>
      <c r="E26" s="144">
        <v>0</v>
      </c>
      <c r="F26" s="144">
        <f t="shared" si="1"/>
        <v>0</v>
      </c>
      <c r="G26" s="144">
        <v>0</v>
      </c>
      <c r="H26" s="144">
        <v>0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0</v>
      </c>
      <c r="M26" s="65">
        <f t="shared" si="6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>
        <v>0</v>
      </c>
      <c r="E27" s="144">
        <v>0</v>
      </c>
      <c r="F27" s="144">
        <f t="shared" si="1"/>
        <v>0</v>
      </c>
      <c r="G27" s="144">
        <v>0</v>
      </c>
      <c r="H27" s="144">
        <v>0</v>
      </c>
      <c r="I27" s="65">
        <f t="shared" si="2"/>
        <v>0</v>
      </c>
      <c r="J27" s="65">
        <f t="shared" si="3"/>
        <v>0</v>
      </c>
      <c r="K27" s="65">
        <f t="shared" si="4"/>
        <v>0</v>
      </c>
      <c r="L27" s="65">
        <f t="shared" si="5"/>
        <v>0</v>
      </c>
      <c r="M27" s="65">
        <f t="shared" si="6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>
        <v>0</v>
      </c>
      <c r="E28" s="144">
        <v>0</v>
      </c>
      <c r="F28" s="144">
        <f t="shared" si="1"/>
        <v>0</v>
      </c>
      <c r="G28" s="144">
        <v>0</v>
      </c>
      <c r="H28" s="144">
        <v>0</v>
      </c>
      <c r="I28" s="65">
        <f t="shared" si="2"/>
        <v>0</v>
      </c>
      <c r="J28" s="65">
        <f t="shared" si="3"/>
        <v>0</v>
      </c>
      <c r="K28" s="65">
        <f t="shared" si="4"/>
        <v>0</v>
      </c>
      <c r="L28" s="65">
        <f t="shared" si="5"/>
        <v>0</v>
      </c>
      <c r="M28" s="65">
        <f t="shared" si="6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>
        <v>0</v>
      </c>
      <c r="E29" s="144">
        <v>0</v>
      </c>
      <c r="F29" s="144">
        <f t="shared" si="1"/>
        <v>0</v>
      </c>
      <c r="G29" s="144">
        <v>0</v>
      </c>
      <c r="H29" s="144">
        <v>0</v>
      </c>
      <c r="I29" s="65">
        <f t="shared" si="2"/>
        <v>0</v>
      </c>
      <c r="J29" s="65">
        <f t="shared" si="3"/>
        <v>0</v>
      </c>
      <c r="K29" s="65">
        <f t="shared" si="4"/>
        <v>0</v>
      </c>
      <c r="L29" s="65">
        <f t="shared" si="5"/>
        <v>0</v>
      </c>
      <c r="M29" s="65">
        <f t="shared" si="6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>
        <v>0</v>
      </c>
      <c r="E30" s="144">
        <v>0</v>
      </c>
      <c r="F30" s="144">
        <f t="shared" si="1"/>
        <v>0</v>
      </c>
      <c r="G30" s="144">
        <v>0</v>
      </c>
      <c r="H30" s="144">
        <v>0</v>
      </c>
      <c r="I30" s="65">
        <f t="shared" si="2"/>
        <v>0</v>
      </c>
      <c r="J30" s="65">
        <f t="shared" si="3"/>
        <v>0</v>
      </c>
      <c r="K30" s="65">
        <f t="shared" si="4"/>
        <v>0</v>
      </c>
      <c r="L30" s="65">
        <f t="shared" si="5"/>
        <v>0</v>
      </c>
      <c r="M30" s="65">
        <f t="shared" si="6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>
        <v>0</v>
      </c>
      <c r="E31" s="144">
        <v>0</v>
      </c>
      <c r="F31" s="144">
        <f t="shared" si="1"/>
        <v>0</v>
      </c>
      <c r="G31" s="144">
        <v>0</v>
      </c>
      <c r="H31" s="144">
        <v>0</v>
      </c>
      <c r="I31" s="65">
        <f t="shared" si="2"/>
        <v>0</v>
      </c>
      <c r="J31" s="65">
        <f t="shared" si="3"/>
        <v>0</v>
      </c>
      <c r="K31" s="65">
        <f t="shared" si="4"/>
        <v>0</v>
      </c>
      <c r="L31" s="65">
        <f t="shared" si="5"/>
        <v>0</v>
      </c>
      <c r="M31" s="65">
        <f t="shared" si="6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>
        <v>0</v>
      </c>
      <c r="E32" s="144">
        <v>0</v>
      </c>
      <c r="F32" s="144">
        <f>F31+D32-E31</f>
        <v>0</v>
      </c>
      <c r="G32" s="144">
        <v>0</v>
      </c>
      <c r="H32" s="144">
        <v>0</v>
      </c>
      <c r="I32" s="65">
        <f t="shared" si="2"/>
        <v>0</v>
      </c>
      <c r="J32" s="65">
        <f t="shared" si="3"/>
        <v>0</v>
      </c>
      <c r="K32" s="65">
        <f t="shared" si="4"/>
        <v>0</v>
      </c>
      <c r="L32" s="65">
        <f t="shared" si="5"/>
        <v>0</v>
      </c>
      <c r="M32" s="65">
        <f t="shared" si="6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>
        <v>0</v>
      </c>
      <c r="E33" s="144">
        <v>0</v>
      </c>
      <c r="F33" s="144">
        <f t="shared" ref="F33" si="7">F32+D33-E32</f>
        <v>0</v>
      </c>
      <c r="G33" s="144">
        <v>0</v>
      </c>
      <c r="H33" s="144">
        <v>0</v>
      </c>
      <c r="I33" s="65">
        <f t="shared" si="2"/>
        <v>0</v>
      </c>
      <c r="J33" s="65">
        <f t="shared" si="3"/>
        <v>0</v>
      </c>
      <c r="K33" s="65">
        <f t="shared" si="4"/>
        <v>0</v>
      </c>
      <c r="L33" s="65">
        <f t="shared" si="5"/>
        <v>0</v>
      </c>
      <c r="M33" s="65">
        <f t="shared" si="6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>
        <v>0</v>
      </c>
      <c r="E34" s="144">
        <v>0</v>
      </c>
      <c r="F34" s="144">
        <v>715.5</v>
      </c>
      <c r="G34" s="144">
        <v>0</v>
      </c>
      <c r="H34" s="144">
        <v>0</v>
      </c>
      <c r="I34" s="65">
        <f t="shared" si="2"/>
        <v>0</v>
      </c>
      <c r="J34" s="65">
        <f t="shared" si="3"/>
        <v>0</v>
      </c>
      <c r="K34" s="65">
        <f t="shared" si="4"/>
        <v>12879</v>
      </c>
      <c r="L34" s="65">
        <f t="shared" si="5"/>
        <v>0</v>
      </c>
      <c r="M34" s="65">
        <f t="shared" si="6"/>
        <v>0</v>
      </c>
      <c r="N34" s="65">
        <f t="shared" si="0"/>
        <v>12879</v>
      </c>
    </row>
    <row r="35" spans="1:14">
      <c r="A35" s="66">
        <v>31</v>
      </c>
      <c r="B35" s="78"/>
      <c r="C35" s="79"/>
      <c r="D35" s="144"/>
      <c r="E35" s="144"/>
      <c r="F35" s="144"/>
      <c r="G35" s="144"/>
      <c r="H35" s="144"/>
      <c r="I35" s="65">
        <f t="shared" si="2"/>
        <v>0</v>
      </c>
      <c r="J35" s="65">
        <f t="shared" si="3"/>
        <v>0</v>
      </c>
      <c r="K35" s="65">
        <f t="shared" si="4"/>
        <v>0</v>
      </c>
      <c r="L35" s="65">
        <f t="shared" si="5"/>
        <v>0</v>
      </c>
      <c r="M35" s="65">
        <f t="shared" si="6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715.5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12879</v>
      </c>
      <c r="L36" s="73">
        <f t="shared" si="8"/>
        <v>0</v>
      </c>
      <c r="M36" s="73">
        <f t="shared" si="8"/>
        <v>0</v>
      </c>
      <c r="N36" s="73">
        <f t="shared" si="8"/>
        <v>12879</v>
      </c>
    </row>
    <row r="37" spans="1:14">
      <c r="L37" s="74"/>
      <c r="M37" s="74"/>
      <c r="N37" s="75">
        <f>N36*1.22</f>
        <v>15712.38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51F69-F3B3-4E1D-882D-1B62FBD2B87B}">
  <dimension ref="A1:R37"/>
  <sheetViews>
    <sheetView topLeftCell="A14" workbookViewId="0">
      <selection activeCell="N38" sqref="N38"/>
    </sheetView>
  </sheetViews>
  <sheetFormatPr defaultRowHeight="15"/>
  <cols>
    <col min="1" max="1" width="13.28515625" style="48" customWidth="1"/>
    <col min="2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0.5703125" style="48" bestFit="1" customWidth="1"/>
    <col min="8" max="8" width="9.42578125" style="48" bestFit="1" customWidth="1"/>
    <col min="9" max="9" width="15.140625" style="48" customWidth="1"/>
    <col min="10" max="10" width="13.5703125" style="48" customWidth="1"/>
    <col min="11" max="11" width="14.5703125" style="48" customWidth="1"/>
    <col min="12" max="12" width="13.28515625" style="48" customWidth="1"/>
    <col min="13" max="13" width="11.7109375" style="48" customWidth="1"/>
    <col min="14" max="14" width="24.28515625" style="48" customWidth="1"/>
    <col min="15" max="16" width="9.140625" style="48"/>
    <col min="17" max="17" width="25.42578125" style="48" customWidth="1"/>
    <col min="18" max="16384" width="9.140625" style="48"/>
  </cols>
  <sheetData>
    <row r="1" spans="1:18">
      <c r="A1" s="47">
        <f>N37</f>
        <v>0</v>
      </c>
      <c r="G1" s="49"/>
    </row>
    <row r="2" spans="1:18" ht="28.9" customHeight="1">
      <c r="A2" s="77" t="str">
        <f>"Отчет по хранению товара за " &amp; TEXT(B5,"ММММ ГГГГ")</f>
        <v>Отчет по хранению товара за Июнь 2026</v>
      </c>
      <c r="B2" s="77"/>
      <c r="C2" s="77"/>
      <c r="D2" s="77"/>
      <c r="E2" s="77"/>
      <c r="F2" s="77"/>
      <c r="G2" s="77"/>
      <c r="H2" s="77"/>
      <c r="I2" s="48" t="s">
        <v>31</v>
      </c>
    </row>
    <row r="3" spans="1:18" ht="28.9" customHeight="1">
      <c r="A3" s="50" t="s">
        <v>0</v>
      </c>
      <c r="B3" s="51" t="s">
        <v>1</v>
      </c>
      <c r="C3" s="52"/>
      <c r="D3" s="50" t="s">
        <v>2</v>
      </c>
      <c r="E3" s="50" t="s">
        <v>3</v>
      </c>
      <c r="F3" s="53" t="s">
        <v>4</v>
      </c>
      <c r="G3" s="50" t="s">
        <v>7</v>
      </c>
      <c r="H3" s="50" t="s">
        <v>8</v>
      </c>
      <c r="I3" s="50" t="s">
        <v>11</v>
      </c>
      <c r="J3" s="50" t="s">
        <v>12</v>
      </c>
      <c r="K3" s="50" t="s">
        <v>13</v>
      </c>
      <c r="L3" s="50" t="s">
        <v>16</v>
      </c>
      <c r="M3" s="50" t="s">
        <v>17</v>
      </c>
      <c r="N3" s="50" t="s">
        <v>18</v>
      </c>
      <c r="Q3" s="143" t="s">
        <v>97</v>
      </c>
      <c r="R3" s="143"/>
    </row>
    <row r="4" spans="1:18">
      <c r="A4" s="54"/>
      <c r="B4" s="55"/>
      <c r="C4" s="56"/>
      <c r="D4" s="54"/>
      <c r="E4" s="54"/>
      <c r="F4" s="57"/>
      <c r="G4" s="54"/>
      <c r="H4" s="54"/>
      <c r="I4" s="54"/>
      <c r="J4" s="54"/>
      <c r="K4" s="54"/>
      <c r="L4" s="54"/>
      <c r="M4" s="54"/>
      <c r="N4" s="54"/>
      <c r="Q4" s="140" t="s">
        <v>98</v>
      </c>
      <c r="R4" s="141">
        <v>140</v>
      </c>
    </row>
    <row r="5" spans="1:18">
      <c r="A5" s="66">
        <v>1</v>
      </c>
      <c r="B5" s="78">
        <v>46174</v>
      </c>
      <c r="C5" s="79"/>
      <c r="D5" s="144"/>
      <c r="E5" s="160"/>
      <c r="F5" s="144">
        <v>0</v>
      </c>
      <c r="G5" s="144">
        <v>0</v>
      </c>
      <c r="H5" s="144">
        <v>0</v>
      </c>
      <c r="I5" s="65">
        <f>SUM(D5*$R$4)</f>
        <v>0</v>
      </c>
      <c r="J5" s="65">
        <f>SUM(E5*$R$5)</f>
        <v>0</v>
      </c>
      <c r="K5" s="65">
        <f>SUM(F5*$R$6)</f>
        <v>0</v>
      </c>
      <c r="L5" s="65">
        <f>SUM(G5*$R$7)</f>
        <v>0</v>
      </c>
      <c r="M5" s="65">
        <f>SUM(H5*$R$8)</f>
        <v>0</v>
      </c>
      <c r="N5" s="65">
        <f t="shared" ref="N5:N35" si="0">SUM(I5:M5)</f>
        <v>0</v>
      </c>
      <c r="Q5" s="140" t="s">
        <v>99</v>
      </c>
      <c r="R5" s="141">
        <v>140</v>
      </c>
    </row>
    <row r="6" spans="1:18">
      <c r="A6" s="66">
        <v>2</v>
      </c>
      <c r="B6" s="78">
        <v>46175</v>
      </c>
      <c r="C6" s="79"/>
      <c r="D6" s="144"/>
      <c r="E6" s="161"/>
      <c r="F6" s="144">
        <f>F5+D6</f>
        <v>0</v>
      </c>
      <c r="G6" s="144">
        <v>0</v>
      </c>
      <c r="H6" s="144">
        <v>0</v>
      </c>
      <c r="I6" s="65">
        <f t="shared" ref="I6:I35" si="1">SUM(D6*$R$4)</f>
        <v>0</v>
      </c>
      <c r="J6" s="65">
        <f t="shared" ref="J6:J35" si="2">SUM(E6*$R$5)</f>
        <v>0</v>
      </c>
      <c r="K6" s="65">
        <f t="shared" ref="K6:K35" si="3">SUM(F6*$R$6)</f>
        <v>0</v>
      </c>
      <c r="L6" s="65">
        <f t="shared" ref="L6:L35" si="4">SUM(G6*$R$7)</f>
        <v>0</v>
      </c>
      <c r="M6" s="65">
        <f t="shared" ref="M6:M35" si="5">SUM(H6*$R$8)</f>
        <v>0</v>
      </c>
      <c r="N6" s="65">
        <f t="shared" si="0"/>
        <v>0</v>
      </c>
      <c r="Q6" s="140" t="s">
        <v>4</v>
      </c>
      <c r="R6" s="141">
        <v>20</v>
      </c>
    </row>
    <row r="7" spans="1:18">
      <c r="A7" s="66">
        <v>3</v>
      </c>
      <c r="B7" s="78">
        <v>46176</v>
      </c>
      <c r="C7" s="79"/>
      <c r="D7" s="144"/>
      <c r="E7" s="162"/>
      <c r="F7" s="144">
        <f t="shared" ref="F7:F30" si="6">F6+D7-E6</f>
        <v>0</v>
      </c>
      <c r="G7" s="144">
        <v>0</v>
      </c>
      <c r="H7" s="144">
        <v>0</v>
      </c>
      <c r="I7" s="65">
        <f t="shared" si="1"/>
        <v>0</v>
      </c>
      <c r="J7" s="65">
        <f t="shared" si="2"/>
        <v>0</v>
      </c>
      <c r="K7" s="65">
        <f t="shared" si="3"/>
        <v>0</v>
      </c>
      <c r="L7" s="65">
        <f t="shared" si="4"/>
        <v>0</v>
      </c>
      <c r="M7" s="65">
        <f t="shared" si="5"/>
        <v>0</v>
      </c>
      <c r="N7" s="65">
        <f t="shared" si="0"/>
        <v>0</v>
      </c>
      <c r="Q7" s="140" t="s">
        <v>100</v>
      </c>
      <c r="R7" s="141">
        <v>950</v>
      </c>
    </row>
    <row r="8" spans="1:18">
      <c r="A8" s="66">
        <v>4</v>
      </c>
      <c r="B8" s="78">
        <v>46177</v>
      </c>
      <c r="C8" s="79"/>
      <c r="D8" s="144"/>
      <c r="E8" s="162"/>
      <c r="F8" s="144">
        <f t="shared" si="6"/>
        <v>0</v>
      </c>
      <c r="G8" s="144">
        <v>0</v>
      </c>
      <c r="H8" s="144">
        <v>0</v>
      </c>
      <c r="I8" s="65">
        <f t="shared" si="1"/>
        <v>0</v>
      </c>
      <c r="J8" s="65">
        <f t="shared" si="2"/>
        <v>0</v>
      </c>
      <c r="K8" s="65">
        <f t="shared" si="3"/>
        <v>0</v>
      </c>
      <c r="L8" s="65">
        <f t="shared" si="4"/>
        <v>0</v>
      </c>
      <c r="M8" s="65">
        <f t="shared" si="5"/>
        <v>0</v>
      </c>
      <c r="N8" s="65">
        <f t="shared" si="0"/>
        <v>0</v>
      </c>
      <c r="Q8" s="140" t="s">
        <v>8</v>
      </c>
      <c r="R8" s="141">
        <v>120</v>
      </c>
    </row>
    <row r="9" spans="1:18">
      <c r="A9" s="66">
        <v>5</v>
      </c>
      <c r="B9" s="78">
        <v>46178</v>
      </c>
      <c r="C9" s="79"/>
      <c r="D9" s="144"/>
      <c r="E9" s="162"/>
      <c r="F9" s="144">
        <f t="shared" si="6"/>
        <v>0</v>
      </c>
      <c r="G9" s="144">
        <v>0</v>
      </c>
      <c r="H9" s="144">
        <v>0</v>
      </c>
      <c r="I9" s="65">
        <f t="shared" si="1"/>
        <v>0</v>
      </c>
      <c r="J9" s="65">
        <f t="shared" si="2"/>
        <v>0</v>
      </c>
      <c r="K9" s="65">
        <f t="shared" si="3"/>
        <v>0</v>
      </c>
      <c r="L9" s="65">
        <f t="shared" si="4"/>
        <v>0</v>
      </c>
      <c r="M9" s="65">
        <f t="shared" si="5"/>
        <v>0</v>
      </c>
      <c r="N9" s="65">
        <f t="shared" si="0"/>
        <v>0</v>
      </c>
    </row>
    <row r="10" spans="1:18">
      <c r="A10" s="66">
        <v>6</v>
      </c>
      <c r="B10" s="78">
        <v>46179</v>
      </c>
      <c r="C10" s="79"/>
      <c r="D10" s="144"/>
      <c r="E10" s="162"/>
      <c r="F10" s="144">
        <f t="shared" si="6"/>
        <v>0</v>
      </c>
      <c r="G10" s="144">
        <v>0</v>
      </c>
      <c r="H10" s="144">
        <v>0</v>
      </c>
      <c r="I10" s="65">
        <f t="shared" si="1"/>
        <v>0</v>
      </c>
      <c r="J10" s="65">
        <f t="shared" si="2"/>
        <v>0</v>
      </c>
      <c r="K10" s="65">
        <f t="shared" si="3"/>
        <v>0</v>
      </c>
      <c r="L10" s="65">
        <f t="shared" si="4"/>
        <v>0</v>
      </c>
      <c r="M10" s="65">
        <f t="shared" si="5"/>
        <v>0</v>
      </c>
      <c r="N10" s="65">
        <f t="shared" si="0"/>
        <v>0</v>
      </c>
    </row>
    <row r="11" spans="1:18">
      <c r="A11" s="66">
        <v>7</v>
      </c>
      <c r="B11" s="78">
        <v>46180</v>
      </c>
      <c r="C11" s="79"/>
      <c r="D11" s="144"/>
      <c r="E11" s="162"/>
      <c r="F11" s="144">
        <f t="shared" si="6"/>
        <v>0</v>
      </c>
      <c r="G11" s="144">
        <v>0</v>
      </c>
      <c r="H11" s="144">
        <v>0</v>
      </c>
      <c r="I11" s="65">
        <f t="shared" si="1"/>
        <v>0</v>
      </c>
      <c r="J11" s="65">
        <f t="shared" si="2"/>
        <v>0</v>
      </c>
      <c r="K11" s="65">
        <f t="shared" si="3"/>
        <v>0</v>
      </c>
      <c r="L11" s="65">
        <f t="shared" si="4"/>
        <v>0</v>
      </c>
      <c r="M11" s="65">
        <f t="shared" si="5"/>
        <v>0</v>
      </c>
      <c r="N11" s="65">
        <f t="shared" si="0"/>
        <v>0</v>
      </c>
    </row>
    <row r="12" spans="1:18">
      <c r="A12" s="66">
        <v>8</v>
      </c>
      <c r="B12" s="78">
        <v>46181</v>
      </c>
      <c r="C12" s="79"/>
      <c r="D12" s="144"/>
      <c r="E12" s="162"/>
      <c r="F12" s="144">
        <f t="shared" si="6"/>
        <v>0</v>
      </c>
      <c r="G12" s="144">
        <v>0</v>
      </c>
      <c r="H12" s="144">
        <v>0</v>
      </c>
      <c r="I12" s="65">
        <f t="shared" si="1"/>
        <v>0</v>
      </c>
      <c r="J12" s="65">
        <f t="shared" si="2"/>
        <v>0</v>
      </c>
      <c r="K12" s="65">
        <f t="shared" si="3"/>
        <v>0</v>
      </c>
      <c r="L12" s="65">
        <f t="shared" si="4"/>
        <v>0</v>
      </c>
      <c r="M12" s="65">
        <f t="shared" si="5"/>
        <v>0</v>
      </c>
      <c r="N12" s="65">
        <f t="shared" si="0"/>
        <v>0</v>
      </c>
    </row>
    <row r="13" spans="1:18">
      <c r="A13" s="66">
        <v>9</v>
      </c>
      <c r="B13" s="78">
        <v>46182</v>
      </c>
      <c r="C13" s="79"/>
      <c r="D13" s="144"/>
      <c r="E13" s="162"/>
      <c r="F13" s="144">
        <f t="shared" si="6"/>
        <v>0</v>
      </c>
      <c r="G13" s="144">
        <v>0</v>
      </c>
      <c r="H13" s="144">
        <v>0</v>
      </c>
      <c r="I13" s="65">
        <f t="shared" si="1"/>
        <v>0</v>
      </c>
      <c r="J13" s="65">
        <f t="shared" si="2"/>
        <v>0</v>
      </c>
      <c r="K13" s="65">
        <f t="shared" si="3"/>
        <v>0</v>
      </c>
      <c r="L13" s="65">
        <f t="shared" si="4"/>
        <v>0</v>
      </c>
      <c r="M13" s="65">
        <f t="shared" si="5"/>
        <v>0</v>
      </c>
      <c r="N13" s="65">
        <f t="shared" si="0"/>
        <v>0</v>
      </c>
    </row>
    <row r="14" spans="1:18">
      <c r="A14" s="66">
        <v>10</v>
      </c>
      <c r="B14" s="78">
        <v>46183</v>
      </c>
      <c r="C14" s="79"/>
      <c r="D14" s="144"/>
      <c r="E14" s="162"/>
      <c r="F14" s="144">
        <f t="shared" si="6"/>
        <v>0</v>
      </c>
      <c r="G14" s="144">
        <v>0</v>
      </c>
      <c r="H14" s="144">
        <v>0</v>
      </c>
      <c r="I14" s="65">
        <f t="shared" si="1"/>
        <v>0</v>
      </c>
      <c r="J14" s="65">
        <f t="shared" si="2"/>
        <v>0</v>
      </c>
      <c r="K14" s="65">
        <f t="shared" si="3"/>
        <v>0</v>
      </c>
      <c r="L14" s="65">
        <f t="shared" si="4"/>
        <v>0</v>
      </c>
      <c r="M14" s="65">
        <f t="shared" si="5"/>
        <v>0</v>
      </c>
      <c r="N14" s="65">
        <f t="shared" si="0"/>
        <v>0</v>
      </c>
    </row>
    <row r="15" spans="1:18">
      <c r="A15" s="66">
        <v>11</v>
      </c>
      <c r="B15" s="78">
        <v>46184</v>
      </c>
      <c r="C15" s="79"/>
      <c r="D15" s="144"/>
      <c r="E15" s="162"/>
      <c r="F15" s="144">
        <f t="shared" si="6"/>
        <v>0</v>
      </c>
      <c r="G15" s="144">
        <v>0</v>
      </c>
      <c r="H15" s="144">
        <v>0</v>
      </c>
      <c r="I15" s="65">
        <f t="shared" si="1"/>
        <v>0</v>
      </c>
      <c r="J15" s="65">
        <f t="shared" si="2"/>
        <v>0</v>
      </c>
      <c r="K15" s="65">
        <f t="shared" si="3"/>
        <v>0</v>
      </c>
      <c r="L15" s="65">
        <f t="shared" si="4"/>
        <v>0</v>
      </c>
      <c r="M15" s="65">
        <f t="shared" si="5"/>
        <v>0</v>
      </c>
      <c r="N15" s="65">
        <f t="shared" si="0"/>
        <v>0</v>
      </c>
    </row>
    <row r="16" spans="1:18">
      <c r="A16" s="66">
        <v>12</v>
      </c>
      <c r="B16" s="78">
        <v>46185</v>
      </c>
      <c r="C16" s="79"/>
      <c r="D16" s="144"/>
      <c r="E16" s="163"/>
      <c r="F16" s="144">
        <f t="shared" si="6"/>
        <v>0</v>
      </c>
      <c r="G16" s="144">
        <v>0</v>
      </c>
      <c r="H16" s="144">
        <v>0</v>
      </c>
      <c r="I16" s="65">
        <f t="shared" si="1"/>
        <v>0</v>
      </c>
      <c r="J16" s="65">
        <f t="shared" si="2"/>
        <v>0</v>
      </c>
      <c r="K16" s="65">
        <f t="shared" si="3"/>
        <v>0</v>
      </c>
      <c r="L16" s="65">
        <f t="shared" si="4"/>
        <v>0</v>
      </c>
      <c r="M16" s="65">
        <f t="shared" si="5"/>
        <v>0</v>
      </c>
      <c r="N16" s="65">
        <f t="shared" si="0"/>
        <v>0</v>
      </c>
    </row>
    <row r="17" spans="1:14">
      <c r="A17" s="66">
        <v>13</v>
      </c>
      <c r="B17" s="78">
        <v>46186</v>
      </c>
      <c r="C17" s="79"/>
      <c r="D17" s="144"/>
      <c r="E17" s="163"/>
      <c r="F17" s="144">
        <f t="shared" si="6"/>
        <v>0</v>
      </c>
      <c r="G17" s="144">
        <v>0</v>
      </c>
      <c r="H17" s="144">
        <v>0</v>
      </c>
      <c r="I17" s="65">
        <f t="shared" si="1"/>
        <v>0</v>
      </c>
      <c r="J17" s="65">
        <f t="shared" si="2"/>
        <v>0</v>
      </c>
      <c r="K17" s="65">
        <f t="shared" si="3"/>
        <v>0</v>
      </c>
      <c r="L17" s="65">
        <f t="shared" si="4"/>
        <v>0</v>
      </c>
      <c r="M17" s="65">
        <f t="shared" si="5"/>
        <v>0</v>
      </c>
      <c r="N17" s="65">
        <f t="shared" si="0"/>
        <v>0</v>
      </c>
    </row>
    <row r="18" spans="1:14">
      <c r="A18" s="66">
        <v>14</v>
      </c>
      <c r="B18" s="78">
        <v>46187</v>
      </c>
      <c r="C18" s="79"/>
      <c r="D18" s="144"/>
      <c r="E18" s="160"/>
      <c r="F18" s="144">
        <f t="shared" si="6"/>
        <v>0</v>
      </c>
      <c r="G18" s="144">
        <v>0</v>
      </c>
      <c r="H18" s="144">
        <v>0</v>
      </c>
      <c r="I18" s="65">
        <f t="shared" si="1"/>
        <v>0</v>
      </c>
      <c r="J18" s="65">
        <f t="shared" si="2"/>
        <v>0</v>
      </c>
      <c r="K18" s="65">
        <f t="shared" si="3"/>
        <v>0</v>
      </c>
      <c r="L18" s="65">
        <f t="shared" si="4"/>
        <v>0</v>
      </c>
      <c r="M18" s="65">
        <f t="shared" si="5"/>
        <v>0</v>
      </c>
      <c r="N18" s="65">
        <f t="shared" si="0"/>
        <v>0</v>
      </c>
    </row>
    <row r="19" spans="1:14">
      <c r="A19" s="66">
        <v>15</v>
      </c>
      <c r="B19" s="78">
        <v>46188</v>
      </c>
      <c r="C19" s="79"/>
      <c r="D19" s="144"/>
      <c r="E19" s="160"/>
      <c r="F19" s="144">
        <f t="shared" si="6"/>
        <v>0</v>
      </c>
      <c r="G19" s="144">
        <v>0</v>
      </c>
      <c r="H19" s="144">
        <v>0</v>
      </c>
      <c r="I19" s="65">
        <f t="shared" si="1"/>
        <v>0</v>
      </c>
      <c r="J19" s="65">
        <f t="shared" si="2"/>
        <v>0</v>
      </c>
      <c r="K19" s="65">
        <f t="shared" si="3"/>
        <v>0</v>
      </c>
      <c r="L19" s="65">
        <f t="shared" si="4"/>
        <v>0</v>
      </c>
      <c r="M19" s="65">
        <f t="shared" si="5"/>
        <v>0</v>
      </c>
      <c r="N19" s="65">
        <f t="shared" si="0"/>
        <v>0</v>
      </c>
    </row>
    <row r="20" spans="1:14">
      <c r="A20" s="66">
        <v>16</v>
      </c>
      <c r="B20" s="78">
        <v>46189</v>
      </c>
      <c r="C20" s="79"/>
      <c r="D20" s="144"/>
      <c r="E20" s="163"/>
      <c r="F20" s="144">
        <f t="shared" si="6"/>
        <v>0</v>
      </c>
      <c r="G20" s="144">
        <v>0</v>
      </c>
      <c r="H20" s="144">
        <v>0</v>
      </c>
      <c r="I20" s="65">
        <f t="shared" si="1"/>
        <v>0</v>
      </c>
      <c r="J20" s="65">
        <f t="shared" si="2"/>
        <v>0</v>
      </c>
      <c r="K20" s="65">
        <f t="shared" si="3"/>
        <v>0</v>
      </c>
      <c r="L20" s="65">
        <f t="shared" si="4"/>
        <v>0</v>
      </c>
      <c r="M20" s="65">
        <f t="shared" si="5"/>
        <v>0</v>
      </c>
      <c r="N20" s="65">
        <f t="shared" si="0"/>
        <v>0</v>
      </c>
    </row>
    <row r="21" spans="1:14">
      <c r="A21" s="66">
        <v>17</v>
      </c>
      <c r="B21" s="78">
        <v>46190</v>
      </c>
      <c r="C21" s="79"/>
      <c r="D21" s="144"/>
      <c r="E21" s="160"/>
      <c r="F21" s="144">
        <f t="shared" si="6"/>
        <v>0</v>
      </c>
      <c r="G21" s="144">
        <v>0</v>
      </c>
      <c r="H21" s="144">
        <v>0</v>
      </c>
      <c r="I21" s="65">
        <f t="shared" si="1"/>
        <v>0</v>
      </c>
      <c r="J21" s="65">
        <f t="shared" si="2"/>
        <v>0</v>
      </c>
      <c r="K21" s="65">
        <f t="shared" si="3"/>
        <v>0</v>
      </c>
      <c r="L21" s="65">
        <f t="shared" si="4"/>
        <v>0</v>
      </c>
      <c r="M21" s="65">
        <f t="shared" si="5"/>
        <v>0</v>
      </c>
      <c r="N21" s="65">
        <f t="shared" si="0"/>
        <v>0</v>
      </c>
    </row>
    <row r="22" spans="1:14">
      <c r="A22" s="66">
        <v>18</v>
      </c>
      <c r="B22" s="78">
        <v>46191</v>
      </c>
      <c r="C22" s="79"/>
      <c r="D22" s="144"/>
      <c r="E22" s="163"/>
      <c r="F22" s="144">
        <f t="shared" si="6"/>
        <v>0</v>
      </c>
      <c r="G22" s="144">
        <v>0</v>
      </c>
      <c r="H22" s="144">
        <v>0</v>
      </c>
      <c r="I22" s="65">
        <f t="shared" si="1"/>
        <v>0</v>
      </c>
      <c r="J22" s="65">
        <f t="shared" si="2"/>
        <v>0</v>
      </c>
      <c r="K22" s="65">
        <f t="shared" si="3"/>
        <v>0</v>
      </c>
      <c r="L22" s="65">
        <f t="shared" si="4"/>
        <v>0</v>
      </c>
      <c r="M22" s="65">
        <f t="shared" si="5"/>
        <v>0</v>
      </c>
      <c r="N22" s="65">
        <f t="shared" si="0"/>
        <v>0</v>
      </c>
    </row>
    <row r="23" spans="1:14">
      <c r="A23" s="66">
        <v>19</v>
      </c>
      <c r="B23" s="78">
        <v>46192</v>
      </c>
      <c r="C23" s="79"/>
      <c r="D23" s="144"/>
      <c r="E23" s="160"/>
      <c r="F23" s="144">
        <f t="shared" si="6"/>
        <v>0</v>
      </c>
      <c r="G23" s="144">
        <v>0</v>
      </c>
      <c r="H23" s="144">
        <v>0</v>
      </c>
      <c r="I23" s="65">
        <f t="shared" si="1"/>
        <v>0</v>
      </c>
      <c r="J23" s="65">
        <f t="shared" si="2"/>
        <v>0</v>
      </c>
      <c r="K23" s="65">
        <f t="shared" si="3"/>
        <v>0</v>
      </c>
      <c r="L23" s="65">
        <f t="shared" si="4"/>
        <v>0</v>
      </c>
      <c r="M23" s="65">
        <f t="shared" si="5"/>
        <v>0</v>
      </c>
      <c r="N23" s="65">
        <f t="shared" si="0"/>
        <v>0</v>
      </c>
    </row>
    <row r="24" spans="1:14">
      <c r="A24" s="66">
        <v>20</v>
      </c>
      <c r="B24" s="78">
        <v>46193</v>
      </c>
      <c r="C24" s="79"/>
      <c r="D24" s="144"/>
      <c r="E24" s="160"/>
      <c r="F24" s="144">
        <f t="shared" si="6"/>
        <v>0</v>
      </c>
      <c r="G24" s="144">
        <v>0</v>
      </c>
      <c r="H24" s="144">
        <v>0</v>
      </c>
      <c r="I24" s="65">
        <f t="shared" si="1"/>
        <v>0</v>
      </c>
      <c r="J24" s="65">
        <f t="shared" si="2"/>
        <v>0</v>
      </c>
      <c r="K24" s="65">
        <f t="shared" si="3"/>
        <v>0</v>
      </c>
      <c r="L24" s="65">
        <f t="shared" si="4"/>
        <v>0</v>
      </c>
      <c r="M24" s="65">
        <f t="shared" si="5"/>
        <v>0</v>
      </c>
      <c r="N24" s="65">
        <f t="shared" si="0"/>
        <v>0</v>
      </c>
    </row>
    <row r="25" spans="1:14">
      <c r="A25" s="66">
        <v>21</v>
      </c>
      <c r="B25" s="78">
        <v>46194</v>
      </c>
      <c r="C25" s="79"/>
      <c r="D25" s="144"/>
      <c r="E25" s="160"/>
      <c r="F25" s="144">
        <f t="shared" si="6"/>
        <v>0</v>
      </c>
      <c r="G25" s="144">
        <v>0</v>
      </c>
      <c r="H25" s="144">
        <v>0</v>
      </c>
      <c r="I25" s="65">
        <f t="shared" si="1"/>
        <v>0</v>
      </c>
      <c r="J25" s="65">
        <f t="shared" si="2"/>
        <v>0</v>
      </c>
      <c r="K25" s="65">
        <f t="shared" si="3"/>
        <v>0</v>
      </c>
      <c r="L25" s="65">
        <f t="shared" si="4"/>
        <v>0</v>
      </c>
      <c r="M25" s="65">
        <f t="shared" si="5"/>
        <v>0</v>
      </c>
      <c r="N25" s="65">
        <f t="shared" si="0"/>
        <v>0</v>
      </c>
    </row>
    <row r="26" spans="1:14">
      <c r="A26" s="66">
        <v>22</v>
      </c>
      <c r="B26" s="78">
        <v>46195</v>
      </c>
      <c r="C26" s="79"/>
      <c r="D26" s="144"/>
      <c r="E26" s="160"/>
      <c r="F26" s="144">
        <f t="shared" si="6"/>
        <v>0</v>
      </c>
      <c r="G26" s="144">
        <v>0</v>
      </c>
      <c r="H26" s="144">
        <v>0</v>
      </c>
      <c r="I26" s="65">
        <f t="shared" si="1"/>
        <v>0</v>
      </c>
      <c r="J26" s="65">
        <f t="shared" si="2"/>
        <v>0</v>
      </c>
      <c r="K26" s="65">
        <f t="shared" si="3"/>
        <v>0</v>
      </c>
      <c r="L26" s="65">
        <f t="shared" si="4"/>
        <v>0</v>
      </c>
      <c r="M26" s="65">
        <f t="shared" si="5"/>
        <v>0</v>
      </c>
      <c r="N26" s="65">
        <f t="shared" si="0"/>
        <v>0</v>
      </c>
    </row>
    <row r="27" spans="1:14">
      <c r="A27" s="66">
        <v>23</v>
      </c>
      <c r="B27" s="78">
        <v>46196</v>
      </c>
      <c r="C27" s="79"/>
      <c r="D27" s="144"/>
      <c r="E27" s="160"/>
      <c r="F27" s="144">
        <f t="shared" si="6"/>
        <v>0</v>
      </c>
      <c r="G27" s="144">
        <v>0</v>
      </c>
      <c r="H27" s="144">
        <v>0</v>
      </c>
      <c r="I27" s="65">
        <f t="shared" si="1"/>
        <v>0</v>
      </c>
      <c r="J27" s="65">
        <f t="shared" si="2"/>
        <v>0</v>
      </c>
      <c r="K27" s="65">
        <f t="shared" si="3"/>
        <v>0</v>
      </c>
      <c r="L27" s="65">
        <f t="shared" si="4"/>
        <v>0</v>
      </c>
      <c r="M27" s="65">
        <f t="shared" si="5"/>
        <v>0</v>
      </c>
      <c r="N27" s="65">
        <f t="shared" si="0"/>
        <v>0</v>
      </c>
    </row>
    <row r="28" spans="1:14">
      <c r="A28" s="66">
        <v>24</v>
      </c>
      <c r="B28" s="78">
        <v>46197</v>
      </c>
      <c r="C28" s="79"/>
      <c r="D28" s="144"/>
      <c r="E28" s="161"/>
      <c r="F28" s="144">
        <f t="shared" si="6"/>
        <v>0</v>
      </c>
      <c r="G28" s="144">
        <v>0</v>
      </c>
      <c r="H28" s="144">
        <v>0</v>
      </c>
      <c r="I28" s="65">
        <f t="shared" si="1"/>
        <v>0</v>
      </c>
      <c r="J28" s="65">
        <f t="shared" si="2"/>
        <v>0</v>
      </c>
      <c r="K28" s="65">
        <f t="shared" si="3"/>
        <v>0</v>
      </c>
      <c r="L28" s="65">
        <f t="shared" si="4"/>
        <v>0</v>
      </c>
      <c r="M28" s="65">
        <f t="shared" si="5"/>
        <v>0</v>
      </c>
      <c r="N28" s="65">
        <f t="shared" si="0"/>
        <v>0</v>
      </c>
    </row>
    <row r="29" spans="1:14">
      <c r="A29" s="66">
        <v>25</v>
      </c>
      <c r="B29" s="78">
        <v>46198</v>
      </c>
      <c r="C29" s="79"/>
      <c r="D29" s="144"/>
      <c r="E29" s="160"/>
      <c r="F29" s="144">
        <f t="shared" si="6"/>
        <v>0</v>
      </c>
      <c r="G29" s="144">
        <v>0</v>
      </c>
      <c r="H29" s="144">
        <v>0</v>
      </c>
      <c r="I29" s="65">
        <f t="shared" si="1"/>
        <v>0</v>
      </c>
      <c r="J29" s="65">
        <f t="shared" si="2"/>
        <v>0</v>
      </c>
      <c r="K29" s="65">
        <f t="shared" si="3"/>
        <v>0</v>
      </c>
      <c r="L29" s="65">
        <f t="shared" si="4"/>
        <v>0</v>
      </c>
      <c r="M29" s="65">
        <f t="shared" si="5"/>
        <v>0</v>
      </c>
      <c r="N29" s="65">
        <f t="shared" si="0"/>
        <v>0</v>
      </c>
    </row>
    <row r="30" spans="1:14">
      <c r="A30" s="66">
        <v>26</v>
      </c>
      <c r="B30" s="78">
        <v>46199</v>
      </c>
      <c r="C30" s="79"/>
      <c r="D30" s="144"/>
      <c r="E30" s="161"/>
      <c r="F30" s="144">
        <f t="shared" si="6"/>
        <v>0</v>
      </c>
      <c r="G30" s="144">
        <v>0</v>
      </c>
      <c r="H30" s="144">
        <v>0</v>
      </c>
      <c r="I30" s="65">
        <f t="shared" si="1"/>
        <v>0</v>
      </c>
      <c r="J30" s="65">
        <f t="shared" si="2"/>
        <v>0</v>
      </c>
      <c r="K30" s="65">
        <f t="shared" si="3"/>
        <v>0</v>
      </c>
      <c r="L30" s="65">
        <f t="shared" si="4"/>
        <v>0</v>
      </c>
      <c r="M30" s="65">
        <f t="shared" si="5"/>
        <v>0</v>
      </c>
      <c r="N30" s="65">
        <f t="shared" si="0"/>
        <v>0</v>
      </c>
    </row>
    <row r="31" spans="1:14">
      <c r="A31" s="66">
        <v>27</v>
      </c>
      <c r="B31" s="78">
        <v>46200</v>
      </c>
      <c r="C31" s="79"/>
      <c r="D31" s="144"/>
      <c r="E31" s="160"/>
      <c r="F31" s="144">
        <v>0</v>
      </c>
      <c r="G31" s="144">
        <v>0</v>
      </c>
      <c r="H31" s="144">
        <v>0</v>
      </c>
      <c r="I31" s="65">
        <f t="shared" si="1"/>
        <v>0</v>
      </c>
      <c r="J31" s="65">
        <f t="shared" si="2"/>
        <v>0</v>
      </c>
      <c r="K31" s="65">
        <f t="shared" si="3"/>
        <v>0</v>
      </c>
      <c r="L31" s="65">
        <f t="shared" si="4"/>
        <v>0</v>
      </c>
      <c r="M31" s="65">
        <f t="shared" si="5"/>
        <v>0</v>
      </c>
      <c r="N31" s="65">
        <f t="shared" si="0"/>
        <v>0</v>
      </c>
    </row>
    <row r="32" spans="1:14">
      <c r="A32" s="66">
        <v>28</v>
      </c>
      <c r="B32" s="78">
        <v>46201</v>
      </c>
      <c r="C32" s="79"/>
      <c r="D32" s="144"/>
      <c r="E32" s="160"/>
      <c r="F32" s="144">
        <f>F31+D32-E31</f>
        <v>0</v>
      </c>
      <c r="G32" s="144">
        <v>0</v>
      </c>
      <c r="H32" s="144">
        <v>0</v>
      </c>
      <c r="I32" s="65">
        <f t="shared" si="1"/>
        <v>0</v>
      </c>
      <c r="J32" s="65">
        <f t="shared" si="2"/>
        <v>0</v>
      </c>
      <c r="K32" s="65">
        <f t="shared" si="3"/>
        <v>0</v>
      </c>
      <c r="L32" s="65">
        <f t="shared" si="4"/>
        <v>0</v>
      </c>
      <c r="M32" s="65">
        <f t="shared" si="5"/>
        <v>0</v>
      </c>
      <c r="N32" s="65">
        <f t="shared" si="0"/>
        <v>0</v>
      </c>
    </row>
    <row r="33" spans="1:14">
      <c r="A33" s="66">
        <v>29</v>
      </c>
      <c r="B33" s="78">
        <v>46202</v>
      </c>
      <c r="C33" s="79"/>
      <c r="D33" s="144"/>
      <c r="E33" s="160"/>
      <c r="F33" s="144">
        <f t="shared" ref="F33:F34" si="7">F32+D33-E32</f>
        <v>0</v>
      </c>
      <c r="G33" s="144">
        <v>0</v>
      </c>
      <c r="H33" s="144">
        <v>0</v>
      </c>
      <c r="I33" s="65">
        <f t="shared" si="1"/>
        <v>0</v>
      </c>
      <c r="J33" s="65">
        <f t="shared" si="2"/>
        <v>0</v>
      </c>
      <c r="K33" s="65">
        <f t="shared" si="3"/>
        <v>0</v>
      </c>
      <c r="L33" s="65">
        <f t="shared" si="4"/>
        <v>0</v>
      </c>
      <c r="M33" s="65">
        <f t="shared" si="5"/>
        <v>0</v>
      </c>
      <c r="N33" s="65">
        <f t="shared" si="0"/>
        <v>0</v>
      </c>
    </row>
    <row r="34" spans="1:14">
      <c r="A34" s="66">
        <v>30</v>
      </c>
      <c r="B34" s="78">
        <v>46203</v>
      </c>
      <c r="C34" s="79"/>
      <c r="D34" s="144"/>
      <c r="E34" s="160"/>
      <c r="F34" s="144">
        <f t="shared" si="7"/>
        <v>0</v>
      </c>
      <c r="G34" s="144">
        <v>0</v>
      </c>
      <c r="H34" s="144">
        <v>0</v>
      </c>
      <c r="I34" s="65">
        <f t="shared" si="1"/>
        <v>0</v>
      </c>
      <c r="J34" s="65">
        <f t="shared" si="2"/>
        <v>0</v>
      </c>
      <c r="K34" s="65">
        <f t="shared" si="3"/>
        <v>0</v>
      </c>
      <c r="L34" s="65">
        <f t="shared" si="4"/>
        <v>0</v>
      </c>
      <c r="M34" s="65">
        <f t="shared" si="5"/>
        <v>0</v>
      </c>
      <c r="N34" s="65">
        <f t="shared" si="0"/>
        <v>0</v>
      </c>
    </row>
    <row r="35" spans="1:14">
      <c r="A35" s="66">
        <v>31</v>
      </c>
      <c r="B35" s="78"/>
      <c r="C35" s="79"/>
      <c r="D35" s="144"/>
      <c r="E35" s="144"/>
      <c r="F35" s="144"/>
      <c r="G35" s="144">
        <v>0</v>
      </c>
      <c r="H35" s="144">
        <v>0</v>
      </c>
      <c r="I35" s="65">
        <f t="shared" si="1"/>
        <v>0</v>
      </c>
      <c r="J35" s="65">
        <f t="shared" si="2"/>
        <v>0</v>
      </c>
      <c r="K35" s="65">
        <f t="shared" si="3"/>
        <v>0</v>
      </c>
      <c r="L35" s="65">
        <f t="shared" si="4"/>
        <v>0</v>
      </c>
      <c r="M35" s="65">
        <f t="shared" si="5"/>
        <v>0</v>
      </c>
      <c r="N35" s="65">
        <f t="shared" si="0"/>
        <v>0</v>
      </c>
    </row>
    <row r="36" spans="1:14">
      <c r="D36" s="71">
        <f t="shared" ref="D36:N36" si="8">SUM(D5:D35)</f>
        <v>0</v>
      </c>
      <c r="E36" s="71">
        <f t="shared" si="8"/>
        <v>0</v>
      </c>
      <c r="F36" s="71">
        <f t="shared" si="8"/>
        <v>0</v>
      </c>
      <c r="G36" s="71">
        <f t="shared" si="8"/>
        <v>0</v>
      </c>
      <c r="H36" s="71">
        <f t="shared" si="8"/>
        <v>0</v>
      </c>
      <c r="I36" s="73">
        <f t="shared" si="8"/>
        <v>0</v>
      </c>
      <c r="J36" s="73">
        <f t="shared" si="8"/>
        <v>0</v>
      </c>
      <c r="K36" s="73">
        <f t="shared" si="8"/>
        <v>0</v>
      </c>
      <c r="L36" s="73">
        <f t="shared" si="8"/>
        <v>0</v>
      </c>
      <c r="M36" s="73">
        <f t="shared" si="8"/>
        <v>0</v>
      </c>
      <c r="N36" s="73">
        <f t="shared" si="8"/>
        <v>0</v>
      </c>
    </row>
    <row r="37" spans="1:14">
      <c r="L37" s="74"/>
      <c r="M37" s="74"/>
      <c r="N37" s="75">
        <f>N36*1.22</f>
        <v>0</v>
      </c>
    </row>
  </sheetData>
  <mergeCells count="45">
    <mergeCell ref="B34:C34"/>
    <mergeCell ref="B35:C35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Q3:R3"/>
    <mergeCell ref="B5:C5"/>
    <mergeCell ref="B6:C6"/>
    <mergeCell ref="B7:C7"/>
    <mergeCell ref="B8:C8"/>
    <mergeCell ref="B9:C9"/>
    <mergeCell ref="I3:I4"/>
    <mergeCell ref="J3:J4"/>
    <mergeCell ref="K3:K4"/>
    <mergeCell ref="L3:L4"/>
    <mergeCell ref="M3:M4"/>
    <mergeCell ref="N3:N4"/>
    <mergeCell ref="A2:H2"/>
    <mergeCell ref="A3:A4"/>
    <mergeCell ref="B3:C4"/>
    <mergeCell ref="D3:D4"/>
    <mergeCell ref="E3:E4"/>
    <mergeCell ref="G3:G4"/>
    <mergeCell ref="H3:H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E4F2-0E77-4404-9E18-62534713C586}">
  <dimension ref="A1:R36"/>
  <sheetViews>
    <sheetView topLeftCell="A16" zoomScaleNormal="100" workbookViewId="0">
      <selection activeCell="H35" sqref="H35"/>
    </sheetView>
  </sheetViews>
  <sheetFormatPr defaultRowHeight="15"/>
  <cols>
    <col min="1" max="1" width="12.28515625" style="48" customWidth="1"/>
    <col min="2" max="17" width="9.140625" style="48"/>
    <col min="18" max="18" width="10.42578125" style="48" customWidth="1"/>
    <col min="19" max="16384" width="9.140625" style="48"/>
  </cols>
  <sheetData>
    <row r="1" spans="1:18">
      <c r="A1" s="164">
        <f>R36</f>
        <v>85642</v>
      </c>
    </row>
    <row r="2" spans="1:18">
      <c r="B2" s="74" t="s">
        <v>103</v>
      </c>
    </row>
    <row r="3" spans="1:18" ht="28.9" customHeight="1">
      <c r="A3" s="165" t="s">
        <v>0</v>
      </c>
      <c r="B3" s="166" t="s">
        <v>1</v>
      </c>
      <c r="C3" s="167"/>
      <c r="D3" s="165" t="s">
        <v>104</v>
      </c>
      <c r="E3" s="165" t="s">
        <v>105</v>
      </c>
      <c r="F3" s="165" t="s">
        <v>106</v>
      </c>
      <c r="G3" s="165" t="s">
        <v>107</v>
      </c>
      <c r="H3" s="168" t="s">
        <v>4</v>
      </c>
      <c r="I3" s="165" t="s">
        <v>108</v>
      </c>
      <c r="J3" s="165" t="s">
        <v>109</v>
      </c>
      <c r="K3" s="165" t="s">
        <v>11</v>
      </c>
      <c r="L3" s="165" t="s">
        <v>12</v>
      </c>
      <c r="M3" s="165" t="s">
        <v>110</v>
      </c>
      <c r="N3" s="165" t="s">
        <v>111</v>
      </c>
      <c r="O3" s="165" t="s">
        <v>13</v>
      </c>
      <c r="P3" s="165" t="s">
        <v>112</v>
      </c>
      <c r="Q3" s="165" t="s">
        <v>113</v>
      </c>
      <c r="R3" s="165" t="s">
        <v>18</v>
      </c>
    </row>
    <row r="4" spans="1:18" ht="30">
      <c r="A4" s="54"/>
      <c r="B4" s="55"/>
      <c r="C4" s="56"/>
      <c r="D4" s="54"/>
      <c r="E4" s="54"/>
      <c r="F4" s="54"/>
      <c r="G4" s="54"/>
      <c r="H4" s="57" t="s">
        <v>114</v>
      </c>
      <c r="I4" s="54"/>
      <c r="J4" s="54"/>
      <c r="K4" s="54"/>
      <c r="L4" s="54"/>
      <c r="M4" s="54"/>
      <c r="N4" s="54"/>
      <c r="O4" s="54"/>
      <c r="P4" s="54"/>
      <c r="Q4" s="54"/>
      <c r="R4" s="54"/>
    </row>
    <row r="5" spans="1:18">
      <c r="A5" s="169">
        <v>1</v>
      </c>
      <c r="B5" s="180">
        <v>46174</v>
      </c>
      <c r="C5" s="181"/>
      <c r="D5" s="182"/>
      <c r="E5" s="170"/>
      <c r="F5" s="170"/>
      <c r="G5" s="170"/>
      <c r="H5" s="171">
        <v>36</v>
      </c>
      <c r="I5" s="171"/>
      <c r="J5" s="171"/>
      <c r="K5" s="171">
        <f>SUM(D5*171)</f>
        <v>0</v>
      </c>
      <c r="L5" s="171">
        <f>SUM(E5*171)</f>
        <v>0</v>
      </c>
      <c r="M5" s="171">
        <f>F5*1018</f>
        <v>0</v>
      </c>
      <c r="N5" s="171">
        <f>G5*1018</f>
        <v>0</v>
      </c>
      <c r="O5" s="171">
        <f>SUM(H5*22)</f>
        <v>792</v>
      </c>
      <c r="P5" s="171">
        <f>I5*509</f>
        <v>0</v>
      </c>
      <c r="Q5" s="171">
        <f>SUM(J5)*610</f>
        <v>0</v>
      </c>
      <c r="R5" s="171">
        <f>SUM(K5:Q5)</f>
        <v>792</v>
      </c>
    </row>
    <row r="6" spans="1:18">
      <c r="A6" s="169">
        <v>2</v>
      </c>
      <c r="B6" s="180">
        <v>46175</v>
      </c>
      <c r="C6" s="181"/>
      <c r="D6" s="182"/>
      <c r="E6" s="170">
        <v>1</v>
      </c>
      <c r="F6" s="170"/>
      <c r="G6" s="170"/>
      <c r="H6" s="171">
        <f>H5+D6-E5</f>
        <v>36</v>
      </c>
      <c r="I6" s="171"/>
      <c r="J6" s="171"/>
      <c r="K6" s="171">
        <f t="shared" ref="K6:K35" si="0">SUM(D6*171)</f>
        <v>0</v>
      </c>
      <c r="L6" s="171">
        <f t="shared" ref="L6:L35" si="1">SUM(E6*171)</f>
        <v>171</v>
      </c>
      <c r="M6" s="171">
        <f t="shared" ref="M6:N35" si="2">F6*1018</f>
        <v>0</v>
      </c>
      <c r="N6" s="171">
        <f t="shared" si="2"/>
        <v>0</v>
      </c>
      <c r="O6" s="171">
        <f t="shared" ref="O6:O35" si="3">SUM(H6*22)</f>
        <v>792</v>
      </c>
      <c r="P6" s="171">
        <f t="shared" ref="P6:P35" si="4">I6*509</f>
        <v>0</v>
      </c>
      <c r="Q6" s="171">
        <f t="shared" ref="Q6:Q35" si="5">SUM(J6)*610</f>
        <v>0</v>
      </c>
      <c r="R6" s="171">
        <f t="shared" ref="R6:R34" si="6">SUM(K6:Q6)</f>
        <v>963</v>
      </c>
    </row>
    <row r="7" spans="1:18">
      <c r="A7" s="169">
        <v>3</v>
      </c>
      <c r="B7" s="180">
        <v>46176</v>
      </c>
      <c r="C7" s="181"/>
      <c r="D7" s="182"/>
      <c r="E7" s="170">
        <v>4</v>
      </c>
      <c r="F7" s="170"/>
      <c r="G7" s="170"/>
      <c r="H7" s="171">
        <f t="shared" ref="H7:H33" si="7">H6+D7-E6</f>
        <v>35</v>
      </c>
      <c r="I7" s="171"/>
      <c r="J7" s="171"/>
      <c r="K7" s="171">
        <f t="shared" si="0"/>
        <v>0</v>
      </c>
      <c r="L7" s="171">
        <f t="shared" si="1"/>
        <v>684</v>
      </c>
      <c r="M7" s="171">
        <f t="shared" si="2"/>
        <v>0</v>
      </c>
      <c r="N7" s="171">
        <f t="shared" si="2"/>
        <v>0</v>
      </c>
      <c r="O7" s="171">
        <f t="shared" si="3"/>
        <v>770</v>
      </c>
      <c r="P7" s="171">
        <f t="shared" si="4"/>
        <v>0</v>
      </c>
      <c r="Q7" s="171">
        <f t="shared" si="5"/>
        <v>0</v>
      </c>
      <c r="R7" s="171">
        <f t="shared" si="6"/>
        <v>1454</v>
      </c>
    </row>
    <row r="8" spans="1:18">
      <c r="A8" s="169">
        <v>4</v>
      </c>
      <c r="B8" s="180">
        <v>46177</v>
      </c>
      <c r="C8" s="181"/>
      <c r="D8" s="182"/>
      <c r="E8" s="170"/>
      <c r="F8" s="170"/>
      <c r="G8" s="170"/>
      <c r="H8" s="171">
        <f t="shared" si="7"/>
        <v>31</v>
      </c>
      <c r="I8" s="171"/>
      <c r="J8" s="171"/>
      <c r="K8" s="171">
        <f t="shared" si="0"/>
        <v>0</v>
      </c>
      <c r="L8" s="171">
        <f t="shared" si="1"/>
        <v>0</v>
      </c>
      <c r="M8" s="171">
        <f t="shared" si="2"/>
        <v>0</v>
      </c>
      <c r="N8" s="171">
        <f t="shared" si="2"/>
        <v>0</v>
      </c>
      <c r="O8" s="171">
        <f t="shared" si="3"/>
        <v>682</v>
      </c>
      <c r="P8" s="171">
        <f t="shared" si="4"/>
        <v>0</v>
      </c>
      <c r="Q8" s="171">
        <f t="shared" si="5"/>
        <v>0</v>
      </c>
      <c r="R8" s="171">
        <f t="shared" si="6"/>
        <v>682</v>
      </c>
    </row>
    <row r="9" spans="1:18">
      <c r="A9" s="172">
        <v>5</v>
      </c>
      <c r="B9" s="180">
        <v>46178</v>
      </c>
      <c r="C9" s="181"/>
      <c r="D9" s="183"/>
      <c r="E9" s="173"/>
      <c r="F9" s="173"/>
      <c r="G9" s="173"/>
      <c r="H9" s="171">
        <f t="shared" si="7"/>
        <v>31</v>
      </c>
      <c r="I9" s="171"/>
      <c r="J9" s="174"/>
      <c r="K9" s="171">
        <f t="shared" si="0"/>
        <v>0</v>
      </c>
      <c r="L9" s="171">
        <f t="shared" si="1"/>
        <v>0</v>
      </c>
      <c r="M9" s="171">
        <f t="shared" si="2"/>
        <v>0</v>
      </c>
      <c r="N9" s="171">
        <f t="shared" si="2"/>
        <v>0</v>
      </c>
      <c r="O9" s="171">
        <f t="shared" si="3"/>
        <v>682</v>
      </c>
      <c r="P9" s="171">
        <f t="shared" si="4"/>
        <v>0</v>
      </c>
      <c r="Q9" s="171">
        <f t="shared" si="5"/>
        <v>0</v>
      </c>
      <c r="R9" s="174">
        <f t="shared" si="6"/>
        <v>682</v>
      </c>
    </row>
    <row r="10" spans="1:18">
      <c r="A10" s="172">
        <v>6</v>
      </c>
      <c r="B10" s="180">
        <v>46179</v>
      </c>
      <c r="C10" s="181"/>
      <c r="D10" s="183"/>
      <c r="E10" s="173"/>
      <c r="F10" s="173"/>
      <c r="G10" s="173"/>
      <c r="H10" s="171">
        <f t="shared" si="7"/>
        <v>31</v>
      </c>
      <c r="I10" s="171"/>
      <c r="J10" s="174"/>
      <c r="K10" s="171">
        <f t="shared" si="0"/>
        <v>0</v>
      </c>
      <c r="L10" s="171">
        <f t="shared" si="1"/>
        <v>0</v>
      </c>
      <c r="M10" s="171">
        <f t="shared" si="2"/>
        <v>0</v>
      </c>
      <c r="N10" s="171">
        <f t="shared" si="2"/>
        <v>0</v>
      </c>
      <c r="O10" s="171">
        <f t="shared" si="3"/>
        <v>682</v>
      </c>
      <c r="P10" s="171">
        <f t="shared" si="4"/>
        <v>0</v>
      </c>
      <c r="Q10" s="171">
        <f t="shared" si="5"/>
        <v>0</v>
      </c>
      <c r="R10" s="174">
        <f t="shared" si="6"/>
        <v>682</v>
      </c>
    </row>
    <row r="11" spans="1:18">
      <c r="A11" s="172">
        <v>7</v>
      </c>
      <c r="B11" s="180">
        <v>46180</v>
      </c>
      <c r="C11" s="181"/>
      <c r="D11" s="183"/>
      <c r="E11" s="173"/>
      <c r="F11" s="173"/>
      <c r="G11" s="173"/>
      <c r="H11" s="171">
        <f t="shared" si="7"/>
        <v>31</v>
      </c>
      <c r="I11" s="171"/>
      <c r="J11" s="174"/>
      <c r="K11" s="171">
        <f t="shared" si="0"/>
        <v>0</v>
      </c>
      <c r="L11" s="171">
        <f t="shared" si="1"/>
        <v>0</v>
      </c>
      <c r="M11" s="171">
        <f t="shared" si="2"/>
        <v>0</v>
      </c>
      <c r="N11" s="171">
        <f t="shared" si="2"/>
        <v>0</v>
      </c>
      <c r="O11" s="171">
        <f t="shared" si="3"/>
        <v>682</v>
      </c>
      <c r="P11" s="171">
        <f t="shared" si="4"/>
        <v>0</v>
      </c>
      <c r="Q11" s="171">
        <f t="shared" si="5"/>
        <v>0</v>
      </c>
      <c r="R11" s="174">
        <f t="shared" si="6"/>
        <v>682</v>
      </c>
    </row>
    <row r="12" spans="1:18">
      <c r="A12" s="172">
        <v>8</v>
      </c>
      <c r="B12" s="180">
        <v>46181</v>
      </c>
      <c r="C12" s="181"/>
      <c r="D12" s="183">
        <v>20</v>
      </c>
      <c r="E12" s="173"/>
      <c r="F12" s="173"/>
      <c r="G12" s="173"/>
      <c r="H12" s="171">
        <f t="shared" si="7"/>
        <v>51</v>
      </c>
      <c r="I12" s="171"/>
      <c r="J12" s="174"/>
      <c r="K12" s="171">
        <f t="shared" si="0"/>
        <v>3420</v>
      </c>
      <c r="L12" s="171">
        <f t="shared" si="1"/>
        <v>0</v>
      </c>
      <c r="M12" s="171">
        <f t="shared" si="2"/>
        <v>0</v>
      </c>
      <c r="N12" s="171">
        <f t="shared" si="2"/>
        <v>0</v>
      </c>
      <c r="O12" s="171">
        <f t="shared" si="3"/>
        <v>1122</v>
      </c>
      <c r="P12" s="171">
        <f t="shared" si="4"/>
        <v>0</v>
      </c>
      <c r="Q12" s="171">
        <f t="shared" si="5"/>
        <v>0</v>
      </c>
      <c r="R12" s="174">
        <f t="shared" si="6"/>
        <v>4542</v>
      </c>
    </row>
    <row r="13" spans="1:18">
      <c r="A13" s="169">
        <v>9</v>
      </c>
      <c r="B13" s="180">
        <v>46182</v>
      </c>
      <c r="C13" s="181"/>
      <c r="D13" s="182"/>
      <c r="E13" s="170"/>
      <c r="F13" s="170"/>
      <c r="G13" s="170"/>
      <c r="H13" s="171">
        <f t="shared" si="7"/>
        <v>51</v>
      </c>
      <c r="I13" s="171"/>
      <c r="J13" s="171"/>
      <c r="K13" s="171">
        <f t="shared" si="0"/>
        <v>0</v>
      </c>
      <c r="L13" s="171">
        <f t="shared" si="1"/>
        <v>0</v>
      </c>
      <c r="M13" s="171">
        <f t="shared" si="2"/>
        <v>0</v>
      </c>
      <c r="N13" s="171">
        <f t="shared" si="2"/>
        <v>0</v>
      </c>
      <c r="O13" s="171">
        <f t="shared" si="3"/>
        <v>1122</v>
      </c>
      <c r="P13" s="171">
        <f t="shared" si="4"/>
        <v>0</v>
      </c>
      <c r="Q13" s="171">
        <f t="shared" si="5"/>
        <v>0</v>
      </c>
      <c r="R13" s="171">
        <f t="shared" si="6"/>
        <v>1122</v>
      </c>
    </row>
    <row r="14" spans="1:18">
      <c r="A14" s="169">
        <v>10</v>
      </c>
      <c r="B14" s="180">
        <v>46183</v>
      </c>
      <c r="C14" s="181"/>
      <c r="D14" s="182"/>
      <c r="E14" s="170"/>
      <c r="F14" s="170"/>
      <c r="G14" s="170"/>
      <c r="H14" s="171">
        <f t="shared" si="7"/>
        <v>51</v>
      </c>
      <c r="I14" s="171"/>
      <c r="J14" s="171"/>
      <c r="K14" s="171">
        <f t="shared" si="0"/>
        <v>0</v>
      </c>
      <c r="L14" s="171">
        <f t="shared" si="1"/>
        <v>0</v>
      </c>
      <c r="M14" s="171">
        <f t="shared" si="2"/>
        <v>0</v>
      </c>
      <c r="N14" s="171">
        <f t="shared" si="2"/>
        <v>0</v>
      </c>
      <c r="O14" s="171">
        <f t="shared" si="3"/>
        <v>1122</v>
      </c>
      <c r="P14" s="171">
        <f t="shared" si="4"/>
        <v>0</v>
      </c>
      <c r="Q14" s="171">
        <f t="shared" si="5"/>
        <v>0</v>
      </c>
      <c r="R14" s="171">
        <f t="shared" si="6"/>
        <v>1122</v>
      </c>
    </row>
    <row r="15" spans="1:18">
      <c r="A15" s="172">
        <v>11</v>
      </c>
      <c r="B15" s="180">
        <v>46184</v>
      </c>
      <c r="C15" s="181"/>
      <c r="D15" s="183"/>
      <c r="E15" s="173"/>
      <c r="F15" s="173"/>
      <c r="G15" s="170"/>
      <c r="H15" s="171">
        <f t="shared" si="7"/>
        <v>51</v>
      </c>
      <c r="I15" s="171"/>
      <c r="J15" s="174"/>
      <c r="K15" s="171">
        <f t="shared" si="0"/>
        <v>0</v>
      </c>
      <c r="L15" s="171">
        <f t="shared" si="1"/>
        <v>0</v>
      </c>
      <c r="M15" s="171">
        <f t="shared" si="2"/>
        <v>0</v>
      </c>
      <c r="N15" s="171">
        <f t="shared" si="2"/>
        <v>0</v>
      </c>
      <c r="O15" s="171">
        <f t="shared" si="3"/>
        <v>1122</v>
      </c>
      <c r="P15" s="171">
        <f t="shared" si="4"/>
        <v>0</v>
      </c>
      <c r="Q15" s="171">
        <f t="shared" si="5"/>
        <v>0</v>
      </c>
      <c r="R15" s="174">
        <f t="shared" si="6"/>
        <v>1122</v>
      </c>
    </row>
    <row r="16" spans="1:18">
      <c r="A16" s="172">
        <v>12</v>
      </c>
      <c r="B16" s="180">
        <v>46185</v>
      </c>
      <c r="C16" s="181"/>
      <c r="D16" s="183"/>
      <c r="E16" s="173"/>
      <c r="F16" s="173"/>
      <c r="G16" s="170"/>
      <c r="H16" s="171">
        <f t="shared" si="7"/>
        <v>51</v>
      </c>
      <c r="I16" s="171"/>
      <c r="J16" s="174"/>
      <c r="K16" s="171">
        <f t="shared" si="0"/>
        <v>0</v>
      </c>
      <c r="L16" s="171">
        <f t="shared" si="1"/>
        <v>0</v>
      </c>
      <c r="M16" s="171">
        <f t="shared" si="2"/>
        <v>0</v>
      </c>
      <c r="N16" s="171">
        <f t="shared" si="2"/>
        <v>0</v>
      </c>
      <c r="O16" s="171">
        <f t="shared" si="3"/>
        <v>1122</v>
      </c>
      <c r="P16" s="171">
        <f t="shared" si="4"/>
        <v>0</v>
      </c>
      <c r="Q16" s="171">
        <f t="shared" si="5"/>
        <v>0</v>
      </c>
      <c r="R16" s="174">
        <f t="shared" si="6"/>
        <v>1122</v>
      </c>
    </row>
    <row r="17" spans="1:18">
      <c r="A17" s="172">
        <v>13</v>
      </c>
      <c r="B17" s="180">
        <v>46186</v>
      </c>
      <c r="C17" s="181"/>
      <c r="D17" s="183"/>
      <c r="E17" s="173"/>
      <c r="F17" s="173"/>
      <c r="G17" s="170"/>
      <c r="H17" s="171">
        <f t="shared" si="7"/>
        <v>51</v>
      </c>
      <c r="I17" s="171"/>
      <c r="J17" s="174"/>
      <c r="K17" s="171">
        <f t="shared" si="0"/>
        <v>0</v>
      </c>
      <c r="L17" s="171">
        <f t="shared" si="1"/>
        <v>0</v>
      </c>
      <c r="M17" s="171">
        <f t="shared" si="2"/>
        <v>0</v>
      </c>
      <c r="N17" s="171">
        <f t="shared" si="2"/>
        <v>0</v>
      </c>
      <c r="O17" s="171">
        <f t="shared" si="3"/>
        <v>1122</v>
      </c>
      <c r="P17" s="171">
        <f t="shared" si="4"/>
        <v>0</v>
      </c>
      <c r="Q17" s="171">
        <f t="shared" si="5"/>
        <v>0</v>
      </c>
      <c r="R17" s="174">
        <f t="shared" si="6"/>
        <v>1122</v>
      </c>
    </row>
    <row r="18" spans="1:18">
      <c r="A18" s="172">
        <v>14</v>
      </c>
      <c r="B18" s="180">
        <v>46187</v>
      </c>
      <c r="C18" s="181"/>
      <c r="D18" s="183">
        <v>52</v>
      </c>
      <c r="E18" s="173"/>
      <c r="F18" s="173"/>
      <c r="G18" s="170"/>
      <c r="H18" s="171">
        <f t="shared" si="7"/>
        <v>103</v>
      </c>
      <c r="I18" s="171"/>
      <c r="J18" s="174"/>
      <c r="K18" s="171">
        <f t="shared" si="0"/>
        <v>8892</v>
      </c>
      <c r="L18" s="171">
        <f t="shared" si="1"/>
        <v>0</v>
      </c>
      <c r="M18" s="171">
        <f t="shared" si="2"/>
        <v>0</v>
      </c>
      <c r="N18" s="171">
        <f t="shared" si="2"/>
        <v>0</v>
      </c>
      <c r="O18" s="171">
        <f t="shared" si="3"/>
        <v>2266</v>
      </c>
      <c r="P18" s="171">
        <f t="shared" si="4"/>
        <v>0</v>
      </c>
      <c r="Q18" s="171">
        <f t="shared" si="5"/>
        <v>0</v>
      </c>
      <c r="R18" s="174">
        <f t="shared" si="6"/>
        <v>11158</v>
      </c>
    </row>
    <row r="19" spans="1:18">
      <c r="A19" s="172">
        <v>15</v>
      </c>
      <c r="B19" s="180">
        <v>46188</v>
      </c>
      <c r="C19" s="181"/>
      <c r="D19" s="183">
        <v>26</v>
      </c>
      <c r="E19" s="173"/>
      <c r="F19" s="173"/>
      <c r="G19" s="170"/>
      <c r="H19" s="171">
        <f t="shared" si="7"/>
        <v>129</v>
      </c>
      <c r="I19" s="171"/>
      <c r="J19" s="174"/>
      <c r="K19" s="171">
        <f t="shared" si="0"/>
        <v>4446</v>
      </c>
      <c r="L19" s="171">
        <f t="shared" si="1"/>
        <v>0</v>
      </c>
      <c r="M19" s="171">
        <f t="shared" si="2"/>
        <v>0</v>
      </c>
      <c r="N19" s="171">
        <f t="shared" si="2"/>
        <v>0</v>
      </c>
      <c r="O19" s="171">
        <f t="shared" si="3"/>
        <v>2838</v>
      </c>
      <c r="P19" s="171">
        <f t="shared" si="4"/>
        <v>0</v>
      </c>
      <c r="Q19" s="171">
        <f t="shared" si="5"/>
        <v>0</v>
      </c>
      <c r="R19" s="174">
        <f t="shared" si="6"/>
        <v>7284</v>
      </c>
    </row>
    <row r="20" spans="1:18">
      <c r="A20" s="169">
        <v>16</v>
      </c>
      <c r="B20" s="180">
        <v>46189</v>
      </c>
      <c r="C20" s="181"/>
      <c r="D20" s="182"/>
      <c r="E20" s="170">
        <v>6</v>
      </c>
      <c r="F20" s="170"/>
      <c r="G20" s="173"/>
      <c r="H20" s="171">
        <f t="shared" si="7"/>
        <v>129</v>
      </c>
      <c r="I20" s="171"/>
      <c r="J20" s="171"/>
      <c r="K20" s="171">
        <f t="shared" si="0"/>
        <v>0</v>
      </c>
      <c r="L20" s="171">
        <f t="shared" si="1"/>
        <v>1026</v>
      </c>
      <c r="M20" s="171">
        <f t="shared" si="2"/>
        <v>0</v>
      </c>
      <c r="N20" s="171">
        <f t="shared" si="2"/>
        <v>0</v>
      </c>
      <c r="O20" s="171">
        <f t="shared" si="3"/>
        <v>2838</v>
      </c>
      <c r="P20" s="171">
        <f t="shared" si="4"/>
        <v>0</v>
      </c>
      <c r="Q20" s="171">
        <f t="shared" si="5"/>
        <v>0</v>
      </c>
      <c r="R20" s="171">
        <f t="shared" si="6"/>
        <v>3864</v>
      </c>
    </row>
    <row r="21" spans="1:18">
      <c r="A21" s="169">
        <v>17</v>
      </c>
      <c r="B21" s="180">
        <v>46190</v>
      </c>
      <c r="C21" s="181"/>
      <c r="D21" s="182"/>
      <c r="E21" s="170">
        <v>15</v>
      </c>
      <c r="F21" s="170"/>
      <c r="G21" s="173"/>
      <c r="H21" s="171">
        <f t="shared" si="7"/>
        <v>123</v>
      </c>
      <c r="I21" s="171"/>
      <c r="J21" s="171"/>
      <c r="K21" s="171">
        <f t="shared" si="0"/>
        <v>0</v>
      </c>
      <c r="L21" s="171">
        <f t="shared" si="1"/>
        <v>2565</v>
      </c>
      <c r="M21" s="171">
        <f t="shared" si="2"/>
        <v>0</v>
      </c>
      <c r="N21" s="171">
        <f t="shared" si="2"/>
        <v>0</v>
      </c>
      <c r="O21" s="171">
        <f t="shared" si="3"/>
        <v>2706</v>
      </c>
      <c r="P21" s="171">
        <f t="shared" si="4"/>
        <v>0</v>
      </c>
      <c r="Q21" s="171">
        <f t="shared" si="5"/>
        <v>0</v>
      </c>
      <c r="R21" s="171">
        <f t="shared" si="6"/>
        <v>5271</v>
      </c>
    </row>
    <row r="22" spans="1:18">
      <c r="A22" s="172">
        <v>18</v>
      </c>
      <c r="B22" s="180">
        <v>46191</v>
      </c>
      <c r="C22" s="181"/>
      <c r="D22" s="183"/>
      <c r="E22" s="173">
        <v>2</v>
      </c>
      <c r="F22" s="173"/>
      <c r="G22" s="173"/>
      <c r="H22" s="171">
        <f t="shared" si="7"/>
        <v>108</v>
      </c>
      <c r="I22" s="174"/>
      <c r="J22" s="174"/>
      <c r="K22" s="171">
        <f t="shared" si="0"/>
        <v>0</v>
      </c>
      <c r="L22" s="171">
        <f t="shared" si="1"/>
        <v>342</v>
      </c>
      <c r="M22" s="171">
        <f t="shared" si="2"/>
        <v>0</v>
      </c>
      <c r="N22" s="171">
        <f t="shared" si="2"/>
        <v>0</v>
      </c>
      <c r="O22" s="171">
        <f t="shared" si="3"/>
        <v>2376</v>
      </c>
      <c r="P22" s="171">
        <f t="shared" si="4"/>
        <v>0</v>
      </c>
      <c r="Q22" s="171">
        <f t="shared" si="5"/>
        <v>0</v>
      </c>
      <c r="R22" s="174">
        <f t="shared" si="6"/>
        <v>2718</v>
      </c>
    </row>
    <row r="23" spans="1:18">
      <c r="A23" s="172">
        <v>19</v>
      </c>
      <c r="B23" s="180">
        <v>46192</v>
      </c>
      <c r="C23" s="181"/>
      <c r="D23" s="183"/>
      <c r="E23" s="173"/>
      <c r="F23" s="173"/>
      <c r="G23" s="173"/>
      <c r="H23" s="171">
        <f t="shared" si="7"/>
        <v>106</v>
      </c>
      <c r="I23" s="174"/>
      <c r="J23" s="174"/>
      <c r="K23" s="171">
        <f t="shared" si="0"/>
        <v>0</v>
      </c>
      <c r="L23" s="171">
        <f t="shared" si="1"/>
        <v>0</v>
      </c>
      <c r="M23" s="171">
        <f t="shared" si="2"/>
        <v>0</v>
      </c>
      <c r="N23" s="171">
        <f t="shared" si="2"/>
        <v>0</v>
      </c>
      <c r="O23" s="171">
        <f t="shared" si="3"/>
        <v>2332</v>
      </c>
      <c r="P23" s="171">
        <f t="shared" si="4"/>
        <v>0</v>
      </c>
      <c r="Q23" s="171">
        <f t="shared" si="5"/>
        <v>0</v>
      </c>
      <c r="R23" s="174">
        <f t="shared" si="6"/>
        <v>2332</v>
      </c>
    </row>
    <row r="24" spans="1:18">
      <c r="A24" s="172">
        <v>20</v>
      </c>
      <c r="B24" s="180">
        <v>46193</v>
      </c>
      <c r="C24" s="181"/>
      <c r="D24" s="183"/>
      <c r="E24" s="173"/>
      <c r="F24" s="173"/>
      <c r="G24" s="173"/>
      <c r="H24" s="171">
        <f t="shared" si="7"/>
        <v>106</v>
      </c>
      <c r="I24" s="174"/>
      <c r="J24" s="174"/>
      <c r="K24" s="171">
        <f t="shared" si="0"/>
        <v>0</v>
      </c>
      <c r="L24" s="171">
        <f t="shared" si="1"/>
        <v>0</v>
      </c>
      <c r="M24" s="171">
        <f t="shared" si="2"/>
        <v>0</v>
      </c>
      <c r="N24" s="171">
        <f t="shared" si="2"/>
        <v>0</v>
      </c>
      <c r="O24" s="171">
        <f t="shared" si="3"/>
        <v>2332</v>
      </c>
      <c r="P24" s="171">
        <f t="shared" si="4"/>
        <v>0</v>
      </c>
      <c r="Q24" s="171">
        <f t="shared" si="5"/>
        <v>0</v>
      </c>
      <c r="R24" s="174">
        <f t="shared" si="6"/>
        <v>2332</v>
      </c>
    </row>
    <row r="25" spans="1:18">
      <c r="A25" s="172">
        <v>21</v>
      </c>
      <c r="B25" s="180">
        <v>46194</v>
      </c>
      <c r="C25" s="181"/>
      <c r="D25" s="183"/>
      <c r="E25" s="173"/>
      <c r="F25" s="173"/>
      <c r="G25" s="173"/>
      <c r="H25" s="171">
        <f t="shared" si="7"/>
        <v>106</v>
      </c>
      <c r="I25" s="174"/>
      <c r="J25" s="174"/>
      <c r="K25" s="171">
        <f t="shared" si="0"/>
        <v>0</v>
      </c>
      <c r="L25" s="171">
        <f t="shared" si="1"/>
        <v>0</v>
      </c>
      <c r="M25" s="171">
        <f t="shared" si="2"/>
        <v>0</v>
      </c>
      <c r="N25" s="171">
        <f t="shared" si="2"/>
        <v>0</v>
      </c>
      <c r="O25" s="171">
        <f t="shared" si="3"/>
        <v>2332</v>
      </c>
      <c r="P25" s="171">
        <f t="shared" si="4"/>
        <v>0</v>
      </c>
      <c r="Q25" s="171">
        <f t="shared" si="5"/>
        <v>0</v>
      </c>
      <c r="R25" s="174">
        <f t="shared" si="6"/>
        <v>2332</v>
      </c>
    </row>
    <row r="26" spans="1:18">
      <c r="A26" s="172">
        <v>22</v>
      </c>
      <c r="B26" s="180">
        <v>46195</v>
      </c>
      <c r="C26" s="181"/>
      <c r="D26" s="183"/>
      <c r="E26" s="173">
        <v>2</v>
      </c>
      <c r="F26" s="173"/>
      <c r="G26" s="173"/>
      <c r="H26" s="171">
        <f t="shared" si="7"/>
        <v>106</v>
      </c>
      <c r="I26" s="171"/>
      <c r="J26" s="174"/>
      <c r="K26" s="171">
        <f t="shared" si="0"/>
        <v>0</v>
      </c>
      <c r="L26" s="171">
        <f t="shared" si="1"/>
        <v>342</v>
      </c>
      <c r="M26" s="171">
        <f t="shared" si="2"/>
        <v>0</v>
      </c>
      <c r="N26" s="171">
        <f t="shared" si="2"/>
        <v>0</v>
      </c>
      <c r="O26" s="171">
        <f t="shared" si="3"/>
        <v>2332</v>
      </c>
      <c r="P26" s="171">
        <f t="shared" si="4"/>
        <v>0</v>
      </c>
      <c r="Q26" s="171">
        <f t="shared" si="5"/>
        <v>0</v>
      </c>
      <c r="R26" s="174">
        <f t="shared" si="6"/>
        <v>2674</v>
      </c>
    </row>
    <row r="27" spans="1:18">
      <c r="A27" s="169">
        <v>23</v>
      </c>
      <c r="B27" s="180">
        <v>46196</v>
      </c>
      <c r="C27" s="181"/>
      <c r="D27" s="182"/>
      <c r="E27" s="170">
        <v>10</v>
      </c>
      <c r="F27" s="170"/>
      <c r="G27" s="170"/>
      <c r="H27" s="171">
        <f t="shared" si="7"/>
        <v>104</v>
      </c>
      <c r="I27" s="171"/>
      <c r="J27" s="171"/>
      <c r="K27" s="171">
        <f t="shared" si="0"/>
        <v>0</v>
      </c>
      <c r="L27" s="171">
        <f t="shared" si="1"/>
        <v>1710</v>
      </c>
      <c r="M27" s="171">
        <f t="shared" si="2"/>
        <v>0</v>
      </c>
      <c r="N27" s="171">
        <f t="shared" si="2"/>
        <v>0</v>
      </c>
      <c r="O27" s="171">
        <f t="shared" si="3"/>
        <v>2288</v>
      </c>
      <c r="P27" s="171">
        <f t="shared" si="4"/>
        <v>0</v>
      </c>
      <c r="Q27" s="171">
        <f t="shared" si="5"/>
        <v>0</v>
      </c>
      <c r="R27" s="171">
        <f t="shared" si="6"/>
        <v>3998</v>
      </c>
    </row>
    <row r="28" spans="1:18">
      <c r="A28" s="169">
        <v>24</v>
      </c>
      <c r="B28" s="180">
        <v>46197</v>
      </c>
      <c r="C28" s="181"/>
      <c r="D28" s="182"/>
      <c r="E28" s="170">
        <v>3</v>
      </c>
      <c r="F28" s="170"/>
      <c r="G28" s="170"/>
      <c r="H28" s="171">
        <f t="shared" si="7"/>
        <v>94</v>
      </c>
      <c r="I28" s="171"/>
      <c r="J28" s="171"/>
      <c r="K28" s="171">
        <f t="shared" si="0"/>
        <v>0</v>
      </c>
      <c r="L28" s="171">
        <f t="shared" si="1"/>
        <v>513</v>
      </c>
      <c r="M28" s="171">
        <f t="shared" si="2"/>
        <v>0</v>
      </c>
      <c r="N28" s="171">
        <f t="shared" si="2"/>
        <v>0</v>
      </c>
      <c r="O28" s="171">
        <f t="shared" si="3"/>
        <v>2068</v>
      </c>
      <c r="P28" s="171">
        <f t="shared" si="4"/>
        <v>0</v>
      </c>
      <c r="Q28" s="171">
        <f t="shared" si="5"/>
        <v>0</v>
      </c>
      <c r="R28" s="171">
        <f t="shared" si="6"/>
        <v>2581</v>
      </c>
    </row>
    <row r="29" spans="1:18">
      <c r="A29" s="172">
        <v>25</v>
      </c>
      <c r="B29" s="180">
        <v>46198</v>
      </c>
      <c r="C29" s="181"/>
      <c r="D29" s="183"/>
      <c r="E29" s="173"/>
      <c r="F29" s="173"/>
      <c r="G29" s="173"/>
      <c r="H29" s="171">
        <f t="shared" si="7"/>
        <v>91</v>
      </c>
      <c r="I29" s="171"/>
      <c r="J29" s="174"/>
      <c r="K29" s="171">
        <f t="shared" si="0"/>
        <v>0</v>
      </c>
      <c r="L29" s="171">
        <f t="shared" si="1"/>
        <v>0</v>
      </c>
      <c r="M29" s="171">
        <f t="shared" si="2"/>
        <v>0</v>
      </c>
      <c r="N29" s="171">
        <f t="shared" si="2"/>
        <v>0</v>
      </c>
      <c r="O29" s="171">
        <f t="shared" si="3"/>
        <v>2002</v>
      </c>
      <c r="P29" s="171">
        <f t="shared" si="4"/>
        <v>0</v>
      </c>
      <c r="Q29" s="171">
        <f t="shared" si="5"/>
        <v>0</v>
      </c>
      <c r="R29" s="174">
        <f t="shared" si="6"/>
        <v>2002</v>
      </c>
    </row>
    <row r="30" spans="1:18">
      <c r="A30" s="172">
        <v>26</v>
      </c>
      <c r="B30" s="180">
        <v>46199</v>
      </c>
      <c r="C30" s="181"/>
      <c r="D30" s="183"/>
      <c r="E30" s="173"/>
      <c r="F30" s="173"/>
      <c r="G30" s="173"/>
      <c r="H30" s="171">
        <f t="shared" si="7"/>
        <v>91</v>
      </c>
      <c r="I30" s="171"/>
      <c r="J30" s="174"/>
      <c r="K30" s="171">
        <f t="shared" si="0"/>
        <v>0</v>
      </c>
      <c r="L30" s="171">
        <f t="shared" si="1"/>
        <v>0</v>
      </c>
      <c r="M30" s="171">
        <f t="shared" si="2"/>
        <v>0</v>
      </c>
      <c r="N30" s="171">
        <f t="shared" si="2"/>
        <v>0</v>
      </c>
      <c r="O30" s="171">
        <f t="shared" si="3"/>
        <v>2002</v>
      </c>
      <c r="P30" s="171">
        <f t="shared" si="4"/>
        <v>0</v>
      </c>
      <c r="Q30" s="171">
        <f t="shared" si="5"/>
        <v>0</v>
      </c>
      <c r="R30" s="174">
        <f t="shared" si="6"/>
        <v>2002</v>
      </c>
    </row>
    <row r="31" spans="1:18">
      <c r="A31" s="172">
        <v>27</v>
      </c>
      <c r="B31" s="180">
        <v>46200</v>
      </c>
      <c r="C31" s="181"/>
      <c r="D31" s="183"/>
      <c r="E31" s="173">
        <v>4</v>
      </c>
      <c r="F31" s="173"/>
      <c r="G31" s="173"/>
      <c r="H31" s="171">
        <f t="shared" si="7"/>
        <v>91</v>
      </c>
      <c r="I31" s="171"/>
      <c r="J31" s="174"/>
      <c r="K31" s="171">
        <f t="shared" si="0"/>
        <v>0</v>
      </c>
      <c r="L31" s="171">
        <f t="shared" si="1"/>
        <v>684</v>
      </c>
      <c r="M31" s="171">
        <f t="shared" si="2"/>
        <v>0</v>
      </c>
      <c r="N31" s="171">
        <f t="shared" si="2"/>
        <v>0</v>
      </c>
      <c r="O31" s="171">
        <f t="shared" si="3"/>
        <v>2002</v>
      </c>
      <c r="P31" s="171">
        <f t="shared" si="4"/>
        <v>0</v>
      </c>
      <c r="Q31" s="171">
        <f t="shared" si="5"/>
        <v>0</v>
      </c>
      <c r="R31" s="174">
        <f t="shared" si="6"/>
        <v>2686</v>
      </c>
    </row>
    <row r="32" spans="1:18">
      <c r="A32" s="172">
        <v>28</v>
      </c>
      <c r="B32" s="180">
        <v>46201</v>
      </c>
      <c r="C32" s="181"/>
      <c r="D32" s="183">
        <v>44</v>
      </c>
      <c r="E32" s="173"/>
      <c r="F32" s="173"/>
      <c r="G32" s="173"/>
      <c r="H32" s="171">
        <f t="shared" si="7"/>
        <v>131</v>
      </c>
      <c r="I32" s="171"/>
      <c r="J32" s="174"/>
      <c r="K32" s="171">
        <f t="shared" si="0"/>
        <v>7524</v>
      </c>
      <c r="L32" s="171">
        <f t="shared" si="1"/>
        <v>0</v>
      </c>
      <c r="M32" s="171">
        <f t="shared" si="2"/>
        <v>0</v>
      </c>
      <c r="N32" s="171">
        <f t="shared" si="2"/>
        <v>0</v>
      </c>
      <c r="O32" s="171">
        <f t="shared" si="3"/>
        <v>2882</v>
      </c>
      <c r="P32" s="171">
        <f t="shared" si="4"/>
        <v>0</v>
      </c>
      <c r="Q32" s="171">
        <f t="shared" si="5"/>
        <v>0</v>
      </c>
      <c r="R32" s="174">
        <f t="shared" si="6"/>
        <v>10406</v>
      </c>
    </row>
    <row r="33" spans="1:18">
      <c r="A33" s="172">
        <v>29</v>
      </c>
      <c r="B33" s="180">
        <v>46202</v>
      </c>
      <c r="C33" s="181"/>
      <c r="D33" s="183"/>
      <c r="E33" s="173"/>
      <c r="F33" s="173"/>
      <c r="G33" s="173"/>
      <c r="H33" s="171">
        <f t="shared" si="7"/>
        <v>131</v>
      </c>
      <c r="I33" s="171"/>
      <c r="J33" s="174"/>
      <c r="K33" s="171">
        <f t="shared" si="0"/>
        <v>0</v>
      </c>
      <c r="L33" s="171">
        <f t="shared" si="1"/>
        <v>0</v>
      </c>
      <c r="M33" s="171">
        <f t="shared" si="2"/>
        <v>0</v>
      </c>
      <c r="N33" s="171">
        <f t="shared" si="2"/>
        <v>0</v>
      </c>
      <c r="O33" s="171">
        <f t="shared" si="3"/>
        <v>2882</v>
      </c>
      <c r="P33" s="171">
        <f t="shared" si="4"/>
        <v>0</v>
      </c>
      <c r="Q33" s="171">
        <f t="shared" si="5"/>
        <v>0</v>
      </c>
      <c r="R33" s="174">
        <f t="shared" si="6"/>
        <v>2882</v>
      </c>
    </row>
    <row r="34" spans="1:18">
      <c r="A34" s="172">
        <v>30</v>
      </c>
      <c r="B34" s="180">
        <v>46203</v>
      </c>
      <c r="C34" s="181"/>
      <c r="D34" s="183"/>
      <c r="E34" s="173">
        <v>1</v>
      </c>
      <c r="F34" s="173"/>
      <c r="G34" s="173"/>
      <c r="H34" s="171">
        <v>130</v>
      </c>
      <c r="I34" s="171"/>
      <c r="J34" s="174"/>
      <c r="K34" s="171">
        <f t="shared" si="0"/>
        <v>0</v>
      </c>
      <c r="L34" s="171">
        <f t="shared" si="1"/>
        <v>171</v>
      </c>
      <c r="M34" s="171">
        <f t="shared" si="2"/>
        <v>0</v>
      </c>
      <c r="N34" s="171">
        <f t="shared" si="2"/>
        <v>0</v>
      </c>
      <c r="O34" s="171">
        <f t="shared" si="3"/>
        <v>2860</v>
      </c>
      <c r="P34" s="171">
        <f t="shared" si="4"/>
        <v>0</v>
      </c>
      <c r="Q34" s="171">
        <f t="shared" si="5"/>
        <v>0</v>
      </c>
      <c r="R34" s="174">
        <f t="shared" si="6"/>
        <v>3031</v>
      </c>
    </row>
    <row r="35" spans="1:18" ht="15.75" thickBot="1">
      <c r="A35" s="172">
        <v>31</v>
      </c>
      <c r="B35" s="180"/>
      <c r="C35" s="181"/>
      <c r="D35" s="183"/>
      <c r="E35" s="173"/>
      <c r="F35" s="173"/>
      <c r="G35" s="173"/>
      <c r="H35" s="171"/>
      <c r="I35" s="171"/>
      <c r="J35" s="174"/>
      <c r="K35" s="171">
        <f t="shared" si="0"/>
        <v>0</v>
      </c>
      <c r="L35" s="171">
        <f t="shared" si="1"/>
        <v>0</v>
      </c>
      <c r="M35" s="171">
        <f t="shared" si="2"/>
        <v>0</v>
      </c>
      <c r="N35" s="171">
        <f t="shared" si="2"/>
        <v>0</v>
      </c>
      <c r="O35" s="171">
        <f t="shared" si="3"/>
        <v>0</v>
      </c>
      <c r="P35" s="171">
        <f t="shared" si="4"/>
        <v>0</v>
      </c>
      <c r="Q35" s="171">
        <f t="shared" si="5"/>
        <v>0</v>
      </c>
      <c r="R35" s="174">
        <f t="shared" ref="R35" si="8">SUM(K35:Q35)</f>
        <v>0</v>
      </c>
    </row>
    <row r="36" spans="1:18" ht="15.75" thickBot="1">
      <c r="D36" s="175">
        <f>SUM(D5:D35)</f>
        <v>142</v>
      </c>
      <c r="E36" s="176">
        <f>SUM(E5:E35)</f>
        <v>48</v>
      </c>
      <c r="F36" s="176">
        <f>SUM(F5:F35)</f>
        <v>0</v>
      </c>
      <c r="G36" s="176"/>
      <c r="H36" s="177">
        <f>SUM(H5:H35)</f>
        <v>2416</v>
      </c>
      <c r="I36" s="178"/>
      <c r="J36" s="176"/>
      <c r="K36" s="176">
        <f>SUM(K5:K35)</f>
        <v>24282</v>
      </c>
      <c r="L36" s="176">
        <f t="shared" ref="L36:Q36" si="9">SUM(L5:L35)</f>
        <v>8208</v>
      </c>
      <c r="M36" s="176">
        <f t="shared" si="9"/>
        <v>0</v>
      </c>
      <c r="N36" s="176">
        <f t="shared" si="9"/>
        <v>0</v>
      </c>
      <c r="O36" s="176">
        <f t="shared" si="9"/>
        <v>53152</v>
      </c>
      <c r="P36" s="176">
        <f t="shared" si="9"/>
        <v>0</v>
      </c>
      <c r="Q36" s="176">
        <f t="shared" si="9"/>
        <v>0</v>
      </c>
      <c r="R36" s="179">
        <f>SUM(R5:R35)</f>
        <v>85642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B2F5-9C0E-4D09-9544-35A9D61777C7}">
  <dimension ref="A1:R36"/>
  <sheetViews>
    <sheetView topLeftCell="A28" workbookViewId="0">
      <selection activeCell="H29" sqref="H29:H34"/>
    </sheetView>
  </sheetViews>
  <sheetFormatPr defaultRowHeight="15"/>
  <cols>
    <col min="1" max="1" width="9.85546875" style="48" customWidth="1"/>
    <col min="2" max="17" width="9.140625" style="48"/>
    <col min="18" max="18" width="10.42578125" style="48" customWidth="1"/>
    <col min="19" max="16384" width="9.140625" style="48"/>
  </cols>
  <sheetData>
    <row r="1" spans="1:18">
      <c r="A1" s="164">
        <f>R36</f>
        <v>3511.2000000000007</v>
      </c>
    </row>
    <row r="2" spans="1:18">
      <c r="B2" s="74" t="s">
        <v>103</v>
      </c>
    </row>
    <row r="3" spans="1:18" ht="28.9" customHeight="1">
      <c r="A3" s="165" t="s">
        <v>0</v>
      </c>
      <c r="B3" s="166" t="s">
        <v>1</v>
      </c>
      <c r="C3" s="167"/>
      <c r="D3" s="165" t="s">
        <v>104</v>
      </c>
      <c r="E3" s="165" t="s">
        <v>105</v>
      </c>
      <c r="F3" s="165" t="s">
        <v>106</v>
      </c>
      <c r="G3" s="165" t="s">
        <v>107</v>
      </c>
      <c r="H3" s="168" t="s">
        <v>4</v>
      </c>
      <c r="I3" s="165" t="s">
        <v>108</v>
      </c>
      <c r="J3" s="165" t="s">
        <v>109</v>
      </c>
      <c r="K3" s="165" t="s">
        <v>11</v>
      </c>
      <c r="L3" s="165" t="s">
        <v>12</v>
      </c>
      <c r="M3" s="165" t="s">
        <v>110</v>
      </c>
      <c r="N3" s="165" t="s">
        <v>111</v>
      </c>
      <c r="O3" s="165" t="s">
        <v>13</v>
      </c>
      <c r="P3" s="165" t="s">
        <v>112</v>
      </c>
      <c r="Q3" s="165" t="s">
        <v>113</v>
      </c>
      <c r="R3" s="165" t="s">
        <v>18</v>
      </c>
    </row>
    <row r="4" spans="1:18" ht="30">
      <c r="A4" s="54"/>
      <c r="B4" s="55"/>
      <c r="C4" s="56"/>
      <c r="D4" s="54"/>
      <c r="E4" s="54"/>
      <c r="F4" s="54"/>
      <c r="G4" s="54"/>
      <c r="H4" s="57" t="s">
        <v>114</v>
      </c>
      <c r="I4" s="54"/>
      <c r="J4" s="54"/>
      <c r="K4" s="54"/>
      <c r="L4" s="54"/>
      <c r="M4" s="54"/>
      <c r="N4" s="54"/>
      <c r="O4" s="54"/>
      <c r="P4" s="54"/>
      <c r="Q4" s="54"/>
      <c r="R4" s="54"/>
    </row>
    <row r="5" spans="1:18">
      <c r="A5" s="169">
        <v>1</v>
      </c>
      <c r="B5" s="180">
        <v>46174</v>
      </c>
      <c r="C5" s="181"/>
      <c r="D5" s="182"/>
      <c r="E5" s="170"/>
      <c r="F5" s="170"/>
      <c r="G5" s="170"/>
      <c r="H5" s="171">
        <v>6</v>
      </c>
      <c r="I5" s="171"/>
      <c r="J5" s="171"/>
      <c r="K5" s="171">
        <f t="shared" ref="K5:K29" si="0">SUM(D5*168)</f>
        <v>0</v>
      </c>
      <c r="L5" s="171">
        <f>SUM(E5*168)</f>
        <v>0</v>
      </c>
      <c r="M5" s="171">
        <f>F5*1000</f>
        <v>0</v>
      </c>
      <c r="N5" s="171">
        <f>G5*1000</f>
        <v>0</v>
      </c>
      <c r="O5" s="171">
        <f>SUM(H5*21.6)</f>
        <v>129.60000000000002</v>
      </c>
      <c r="P5" s="171">
        <f>I5*500</f>
        <v>0</v>
      </c>
      <c r="Q5" s="171">
        <f>SUM(J5)*600</f>
        <v>0</v>
      </c>
      <c r="R5" s="171">
        <f>SUM(K5:Q5)</f>
        <v>129.60000000000002</v>
      </c>
    </row>
    <row r="6" spans="1:18">
      <c r="A6" s="169">
        <v>2</v>
      </c>
      <c r="B6" s="180">
        <v>46175</v>
      </c>
      <c r="C6" s="181"/>
      <c r="D6" s="182"/>
      <c r="E6" s="170"/>
      <c r="F6" s="170"/>
      <c r="G6" s="170"/>
      <c r="H6" s="171">
        <v>6</v>
      </c>
      <c r="I6" s="171"/>
      <c r="J6" s="171"/>
      <c r="K6" s="171">
        <f t="shared" si="0"/>
        <v>0</v>
      </c>
      <c r="L6" s="171">
        <f t="shared" ref="L6:L34" si="1">SUM(E6*168)</f>
        <v>0</v>
      </c>
      <c r="M6" s="171">
        <f t="shared" ref="M6:N34" si="2">F6*1000</f>
        <v>0</v>
      </c>
      <c r="N6" s="171">
        <f t="shared" si="2"/>
        <v>0</v>
      </c>
      <c r="O6" s="171">
        <f t="shared" ref="O6:O35" si="3">SUM(H6*21.6)</f>
        <v>129.60000000000002</v>
      </c>
      <c r="P6" s="171">
        <f t="shared" ref="P6:P35" si="4">I6*500</f>
        <v>0</v>
      </c>
      <c r="Q6" s="171">
        <f t="shared" ref="Q6:Q35" si="5">SUM(J6)*600</f>
        <v>0</v>
      </c>
      <c r="R6" s="171">
        <f t="shared" ref="R6:R35" si="6">SUM(K6:Q6)</f>
        <v>129.60000000000002</v>
      </c>
    </row>
    <row r="7" spans="1:18">
      <c r="A7" s="169">
        <v>3</v>
      </c>
      <c r="B7" s="180">
        <v>46176</v>
      </c>
      <c r="C7" s="181"/>
      <c r="D7" s="182"/>
      <c r="E7" s="170">
        <v>1</v>
      </c>
      <c r="F7" s="170"/>
      <c r="G7" s="170"/>
      <c r="H7" s="171">
        <v>6</v>
      </c>
      <c r="I7" s="171"/>
      <c r="J7" s="171"/>
      <c r="K7" s="171">
        <f t="shared" si="0"/>
        <v>0</v>
      </c>
      <c r="L7" s="171">
        <f t="shared" si="1"/>
        <v>168</v>
      </c>
      <c r="M7" s="171">
        <f t="shared" si="2"/>
        <v>0</v>
      </c>
      <c r="N7" s="171">
        <f t="shared" si="2"/>
        <v>0</v>
      </c>
      <c r="O7" s="171">
        <f t="shared" si="3"/>
        <v>129.60000000000002</v>
      </c>
      <c r="P7" s="171">
        <f t="shared" si="4"/>
        <v>0</v>
      </c>
      <c r="Q7" s="171">
        <f t="shared" si="5"/>
        <v>0</v>
      </c>
      <c r="R7" s="171">
        <f t="shared" si="6"/>
        <v>297.60000000000002</v>
      </c>
    </row>
    <row r="8" spans="1:18">
      <c r="A8" s="169">
        <v>4</v>
      </c>
      <c r="B8" s="180">
        <v>46177</v>
      </c>
      <c r="C8" s="181"/>
      <c r="D8" s="182"/>
      <c r="E8" s="170"/>
      <c r="F8" s="170"/>
      <c r="G8" s="170"/>
      <c r="H8" s="171">
        <v>5</v>
      </c>
      <c r="I8" s="171"/>
      <c r="J8" s="171"/>
      <c r="K8" s="171">
        <f t="shared" si="0"/>
        <v>0</v>
      </c>
      <c r="L8" s="171">
        <f t="shared" si="1"/>
        <v>0</v>
      </c>
      <c r="M8" s="171">
        <f t="shared" si="2"/>
        <v>0</v>
      </c>
      <c r="N8" s="171">
        <f t="shared" si="2"/>
        <v>0</v>
      </c>
      <c r="O8" s="171">
        <f t="shared" si="3"/>
        <v>108</v>
      </c>
      <c r="P8" s="171">
        <f t="shared" si="4"/>
        <v>0</v>
      </c>
      <c r="Q8" s="171">
        <f t="shared" si="5"/>
        <v>0</v>
      </c>
      <c r="R8" s="171">
        <f t="shared" si="6"/>
        <v>108</v>
      </c>
    </row>
    <row r="9" spans="1:18">
      <c r="A9" s="172">
        <v>5</v>
      </c>
      <c r="B9" s="180">
        <v>46178</v>
      </c>
      <c r="C9" s="181"/>
      <c r="D9" s="183"/>
      <c r="E9" s="173"/>
      <c r="F9" s="173"/>
      <c r="G9" s="173"/>
      <c r="H9" s="171">
        <v>5</v>
      </c>
      <c r="I9" s="171"/>
      <c r="J9" s="174"/>
      <c r="K9" s="171">
        <f t="shared" si="0"/>
        <v>0</v>
      </c>
      <c r="L9" s="171">
        <f t="shared" si="1"/>
        <v>0</v>
      </c>
      <c r="M9" s="171">
        <f t="shared" si="2"/>
        <v>0</v>
      </c>
      <c r="N9" s="171">
        <f t="shared" si="2"/>
        <v>0</v>
      </c>
      <c r="O9" s="171">
        <f t="shared" si="3"/>
        <v>108</v>
      </c>
      <c r="P9" s="171">
        <f t="shared" si="4"/>
        <v>0</v>
      </c>
      <c r="Q9" s="171">
        <f t="shared" si="5"/>
        <v>0</v>
      </c>
      <c r="R9" s="174">
        <f t="shared" si="6"/>
        <v>108</v>
      </c>
    </row>
    <row r="10" spans="1:18">
      <c r="A10" s="172">
        <v>6</v>
      </c>
      <c r="B10" s="180">
        <v>46179</v>
      </c>
      <c r="C10" s="181"/>
      <c r="D10" s="183"/>
      <c r="E10" s="173"/>
      <c r="F10" s="173"/>
      <c r="G10" s="173"/>
      <c r="H10" s="171">
        <v>5</v>
      </c>
      <c r="I10" s="171"/>
      <c r="J10" s="174"/>
      <c r="K10" s="171">
        <f t="shared" si="0"/>
        <v>0</v>
      </c>
      <c r="L10" s="171">
        <f t="shared" si="1"/>
        <v>0</v>
      </c>
      <c r="M10" s="171">
        <f t="shared" si="2"/>
        <v>0</v>
      </c>
      <c r="N10" s="171">
        <f t="shared" si="2"/>
        <v>0</v>
      </c>
      <c r="O10" s="171">
        <f t="shared" si="3"/>
        <v>108</v>
      </c>
      <c r="P10" s="171">
        <f t="shared" si="4"/>
        <v>0</v>
      </c>
      <c r="Q10" s="171">
        <f t="shared" si="5"/>
        <v>0</v>
      </c>
      <c r="R10" s="174">
        <f t="shared" si="6"/>
        <v>108</v>
      </c>
    </row>
    <row r="11" spans="1:18">
      <c r="A11" s="172">
        <v>7</v>
      </c>
      <c r="B11" s="180">
        <v>46180</v>
      </c>
      <c r="C11" s="181"/>
      <c r="D11" s="183"/>
      <c r="E11" s="173"/>
      <c r="F11" s="173"/>
      <c r="G11" s="173"/>
      <c r="H11" s="171">
        <v>5</v>
      </c>
      <c r="I11" s="171"/>
      <c r="J11" s="174"/>
      <c r="K11" s="171">
        <f t="shared" si="0"/>
        <v>0</v>
      </c>
      <c r="L11" s="171">
        <f t="shared" si="1"/>
        <v>0</v>
      </c>
      <c r="M11" s="171">
        <f t="shared" si="2"/>
        <v>0</v>
      </c>
      <c r="N11" s="171">
        <f t="shared" si="2"/>
        <v>0</v>
      </c>
      <c r="O11" s="171">
        <f t="shared" si="3"/>
        <v>108</v>
      </c>
      <c r="P11" s="171">
        <f t="shared" si="4"/>
        <v>0</v>
      </c>
      <c r="Q11" s="171">
        <f t="shared" si="5"/>
        <v>0</v>
      </c>
      <c r="R11" s="174">
        <f t="shared" si="6"/>
        <v>108</v>
      </c>
    </row>
    <row r="12" spans="1:18">
      <c r="A12" s="172">
        <v>8</v>
      </c>
      <c r="B12" s="180">
        <v>46181</v>
      </c>
      <c r="C12" s="181"/>
      <c r="D12" s="183"/>
      <c r="E12" s="173"/>
      <c r="F12" s="173"/>
      <c r="G12" s="173"/>
      <c r="H12" s="171">
        <v>5</v>
      </c>
      <c r="I12" s="171"/>
      <c r="J12" s="174"/>
      <c r="K12" s="171">
        <f t="shared" si="0"/>
        <v>0</v>
      </c>
      <c r="L12" s="171">
        <f t="shared" si="1"/>
        <v>0</v>
      </c>
      <c r="M12" s="171">
        <f t="shared" si="2"/>
        <v>0</v>
      </c>
      <c r="N12" s="171">
        <f t="shared" si="2"/>
        <v>0</v>
      </c>
      <c r="O12" s="171">
        <f t="shared" si="3"/>
        <v>108</v>
      </c>
      <c r="P12" s="171">
        <f t="shared" si="4"/>
        <v>0</v>
      </c>
      <c r="Q12" s="171">
        <f t="shared" si="5"/>
        <v>0</v>
      </c>
      <c r="R12" s="174">
        <f t="shared" si="6"/>
        <v>108</v>
      </c>
    </row>
    <row r="13" spans="1:18">
      <c r="A13" s="169">
        <v>9</v>
      </c>
      <c r="B13" s="180">
        <v>46182</v>
      </c>
      <c r="C13" s="181"/>
      <c r="D13" s="182"/>
      <c r="E13" s="170"/>
      <c r="F13" s="170"/>
      <c r="G13" s="170"/>
      <c r="H13" s="171">
        <v>5</v>
      </c>
      <c r="I13" s="171"/>
      <c r="J13" s="171"/>
      <c r="K13" s="171">
        <f t="shared" si="0"/>
        <v>0</v>
      </c>
      <c r="L13" s="171">
        <f t="shared" si="1"/>
        <v>0</v>
      </c>
      <c r="M13" s="171">
        <f t="shared" si="2"/>
        <v>0</v>
      </c>
      <c r="N13" s="171">
        <f t="shared" si="2"/>
        <v>0</v>
      </c>
      <c r="O13" s="171">
        <f t="shared" si="3"/>
        <v>108</v>
      </c>
      <c r="P13" s="171">
        <f t="shared" si="4"/>
        <v>0</v>
      </c>
      <c r="Q13" s="171">
        <f t="shared" si="5"/>
        <v>0</v>
      </c>
      <c r="R13" s="171">
        <f t="shared" si="6"/>
        <v>108</v>
      </c>
    </row>
    <row r="14" spans="1:18">
      <c r="A14" s="169">
        <v>10</v>
      </c>
      <c r="B14" s="180">
        <v>46183</v>
      </c>
      <c r="C14" s="181"/>
      <c r="D14" s="182"/>
      <c r="E14" s="170"/>
      <c r="F14" s="170"/>
      <c r="G14" s="170"/>
      <c r="H14" s="171">
        <v>5</v>
      </c>
      <c r="I14" s="171"/>
      <c r="J14" s="171"/>
      <c r="K14" s="171">
        <f t="shared" si="0"/>
        <v>0</v>
      </c>
      <c r="L14" s="171">
        <f t="shared" si="1"/>
        <v>0</v>
      </c>
      <c r="M14" s="171">
        <f t="shared" si="2"/>
        <v>0</v>
      </c>
      <c r="N14" s="171">
        <f t="shared" si="2"/>
        <v>0</v>
      </c>
      <c r="O14" s="171">
        <f t="shared" si="3"/>
        <v>108</v>
      </c>
      <c r="P14" s="171">
        <f t="shared" si="4"/>
        <v>0</v>
      </c>
      <c r="Q14" s="171">
        <f t="shared" si="5"/>
        <v>0</v>
      </c>
      <c r="R14" s="171">
        <f t="shared" si="6"/>
        <v>108</v>
      </c>
    </row>
    <row r="15" spans="1:18">
      <c r="A15" s="172">
        <v>11</v>
      </c>
      <c r="B15" s="180">
        <v>46184</v>
      </c>
      <c r="C15" s="181"/>
      <c r="D15" s="183"/>
      <c r="E15" s="173"/>
      <c r="F15" s="173"/>
      <c r="G15" s="170"/>
      <c r="H15" s="171">
        <v>5</v>
      </c>
      <c r="I15" s="171"/>
      <c r="J15" s="174"/>
      <c r="K15" s="171">
        <f t="shared" si="0"/>
        <v>0</v>
      </c>
      <c r="L15" s="171">
        <f t="shared" si="1"/>
        <v>0</v>
      </c>
      <c r="M15" s="171">
        <f t="shared" si="2"/>
        <v>0</v>
      </c>
      <c r="N15" s="171">
        <f t="shared" si="2"/>
        <v>0</v>
      </c>
      <c r="O15" s="171">
        <f t="shared" si="3"/>
        <v>108</v>
      </c>
      <c r="P15" s="171">
        <f t="shared" si="4"/>
        <v>0</v>
      </c>
      <c r="Q15" s="171">
        <f t="shared" si="5"/>
        <v>0</v>
      </c>
      <c r="R15" s="174">
        <f t="shared" si="6"/>
        <v>108</v>
      </c>
    </row>
    <row r="16" spans="1:18">
      <c r="A16" s="172">
        <v>12</v>
      </c>
      <c r="B16" s="180">
        <v>46185</v>
      </c>
      <c r="C16" s="181"/>
      <c r="D16" s="183"/>
      <c r="E16" s="173"/>
      <c r="F16" s="173"/>
      <c r="G16" s="170"/>
      <c r="H16" s="171">
        <v>5</v>
      </c>
      <c r="I16" s="171"/>
      <c r="J16" s="174"/>
      <c r="K16" s="171">
        <f t="shared" si="0"/>
        <v>0</v>
      </c>
      <c r="L16" s="171">
        <f t="shared" si="1"/>
        <v>0</v>
      </c>
      <c r="M16" s="171">
        <f t="shared" si="2"/>
        <v>0</v>
      </c>
      <c r="N16" s="171">
        <f t="shared" si="2"/>
        <v>0</v>
      </c>
      <c r="O16" s="171">
        <f t="shared" si="3"/>
        <v>108</v>
      </c>
      <c r="P16" s="171">
        <f t="shared" si="4"/>
        <v>0</v>
      </c>
      <c r="Q16" s="171">
        <f t="shared" si="5"/>
        <v>0</v>
      </c>
      <c r="R16" s="174">
        <f t="shared" si="6"/>
        <v>108</v>
      </c>
    </row>
    <row r="17" spans="1:18">
      <c r="A17" s="172">
        <v>13</v>
      </c>
      <c r="B17" s="180">
        <v>46186</v>
      </c>
      <c r="C17" s="181"/>
      <c r="D17" s="183"/>
      <c r="E17" s="173"/>
      <c r="F17" s="173"/>
      <c r="G17" s="170"/>
      <c r="H17" s="171">
        <v>5</v>
      </c>
      <c r="I17" s="171"/>
      <c r="J17" s="174"/>
      <c r="K17" s="171">
        <f t="shared" si="0"/>
        <v>0</v>
      </c>
      <c r="L17" s="171">
        <f t="shared" si="1"/>
        <v>0</v>
      </c>
      <c r="M17" s="171">
        <f t="shared" si="2"/>
        <v>0</v>
      </c>
      <c r="N17" s="171">
        <f t="shared" si="2"/>
        <v>0</v>
      </c>
      <c r="O17" s="171">
        <f t="shared" si="3"/>
        <v>108</v>
      </c>
      <c r="P17" s="171">
        <f t="shared" si="4"/>
        <v>0</v>
      </c>
      <c r="Q17" s="171">
        <f t="shared" si="5"/>
        <v>0</v>
      </c>
      <c r="R17" s="174">
        <f t="shared" si="6"/>
        <v>108</v>
      </c>
    </row>
    <row r="18" spans="1:18">
      <c r="A18" s="172">
        <v>14</v>
      </c>
      <c r="B18" s="180">
        <v>46187</v>
      </c>
      <c r="C18" s="181"/>
      <c r="D18" s="183"/>
      <c r="E18" s="173"/>
      <c r="F18" s="173"/>
      <c r="G18" s="170"/>
      <c r="H18" s="171">
        <v>5</v>
      </c>
      <c r="I18" s="171"/>
      <c r="J18" s="174"/>
      <c r="K18" s="171">
        <f t="shared" si="0"/>
        <v>0</v>
      </c>
      <c r="L18" s="171">
        <f t="shared" si="1"/>
        <v>0</v>
      </c>
      <c r="M18" s="171">
        <f t="shared" si="2"/>
        <v>0</v>
      </c>
      <c r="N18" s="171">
        <f t="shared" si="2"/>
        <v>0</v>
      </c>
      <c r="O18" s="171">
        <f t="shared" si="3"/>
        <v>108</v>
      </c>
      <c r="P18" s="171">
        <f t="shared" si="4"/>
        <v>0</v>
      </c>
      <c r="Q18" s="171">
        <f t="shared" si="5"/>
        <v>0</v>
      </c>
      <c r="R18" s="174">
        <f t="shared" si="6"/>
        <v>108</v>
      </c>
    </row>
    <row r="19" spans="1:18">
      <c r="A19" s="172">
        <v>15</v>
      </c>
      <c r="B19" s="180">
        <v>46188</v>
      </c>
      <c r="C19" s="181"/>
      <c r="D19" s="183"/>
      <c r="E19" s="173"/>
      <c r="F19" s="173"/>
      <c r="G19" s="170"/>
      <c r="H19" s="171">
        <v>5</v>
      </c>
      <c r="I19" s="171"/>
      <c r="J19" s="174"/>
      <c r="K19" s="171">
        <f t="shared" si="0"/>
        <v>0</v>
      </c>
      <c r="L19" s="171">
        <f t="shared" si="1"/>
        <v>0</v>
      </c>
      <c r="M19" s="171">
        <f t="shared" si="2"/>
        <v>0</v>
      </c>
      <c r="N19" s="171">
        <f t="shared" si="2"/>
        <v>0</v>
      </c>
      <c r="O19" s="171">
        <f t="shared" si="3"/>
        <v>108</v>
      </c>
      <c r="P19" s="171">
        <f t="shared" si="4"/>
        <v>0</v>
      </c>
      <c r="Q19" s="171">
        <f t="shared" si="5"/>
        <v>0</v>
      </c>
      <c r="R19" s="174">
        <f t="shared" si="6"/>
        <v>108</v>
      </c>
    </row>
    <row r="20" spans="1:18">
      <c r="A20" s="169">
        <v>16</v>
      </c>
      <c r="B20" s="180">
        <v>46189</v>
      </c>
      <c r="C20" s="181"/>
      <c r="D20" s="182"/>
      <c r="E20" s="170"/>
      <c r="F20" s="170"/>
      <c r="G20" s="173"/>
      <c r="H20" s="171">
        <v>5</v>
      </c>
      <c r="I20" s="171"/>
      <c r="J20" s="171"/>
      <c r="K20" s="171">
        <f t="shared" si="0"/>
        <v>0</v>
      </c>
      <c r="L20" s="171">
        <f t="shared" si="1"/>
        <v>0</v>
      </c>
      <c r="M20" s="171">
        <f t="shared" si="2"/>
        <v>0</v>
      </c>
      <c r="N20" s="171">
        <f t="shared" si="2"/>
        <v>0</v>
      </c>
      <c r="O20" s="171">
        <f t="shared" si="3"/>
        <v>108</v>
      </c>
      <c r="P20" s="171">
        <f t="shared" si="4"/>
        <v>0</v>
      </c>
      <c r="Q20" s="171">
        <f t="shared" si="5"/>
        <v>0</v>
      </c>
      <c r="R20" s="171">
        <f t="shared" si="6"/>
        <v>108</v>
      </c>
    </row>
    <row r="21" spans="1:18">
      <c r="A21" s="169">
        <v>17</v>
      </c>
      <c r="B21" s="180">
        <v>46190</v>
      </c>
      <c r="C21" s="181"/>
      <c r="D21" s="182"/>
      <c r="E21" s="170"/>
      <c r="F21" s="170"/>
      <c r="G21" s="173"/>
      <c r="H21" s="171">
        <v>5</v>
      </c>
      <c r="I21" s="171"/>
      <c r="J21" s="171"/>
      <c r="K21" s="171">
        <f t="shared" si="0"/>
        <v>0</v>
      </c>
      <c r="L21" s="171">
        <f t="shared" si="1"/>
        <v>0</v>
      </c>
      <c r="M21" s="171">
        <f t="shared" si="2"/>
        <v>0</v>
      </c>
      <c r="N21" s="171">
        <f t="shared" si="2"/>
        <v>0</v>
      </c>
      <c r="O21" s="171">
        <f t="shared" si="3"/>
        <v>108</v>
      </c>
      <c r="P21" s="171">
        <f t="shared" si="4"/>
        <v>0</v>
      </c>
      <c r="Q21" s="171">
        <f t="shared" si="5"/>
        <v>0</v>
      </c>
      <c r="R21" s="171">
        <f t="shared" si="6"/>
        <v>108</v>
      </c>
    </row>
    <row r="22" spans="1:18">
      <c r="A22" s="172">
        <v>18</v>
      </c>
      <c r="B22" s="180">
        <v>46191</v>
      </c>
      <c r="C22" s="181"/>
      <c r="D22" s="183"/>
      <c r="E22" s="173"/>
      <c r="F22" s="173"/>
      <c r="G22" s="173"/>
      <c r="H22" s="171">
        <v>5</v>
      </c>
      <c r="I22" s="174"/>
      <c r="J22" s="174"/>
      <c r="K22" s="171">
        <f t="shared" si="0"/>
        <v>0</v>
      </c>
      <c r="L22" s="171">
        <f t="shared" si="1"/>
        <v>0</v>
      </c>
      <c r="M22" s="171">
        <f t="shared" si="2"/>
        <v>0</v>
      </c>
      <c r="N22" s="171">
        <f t="shared" si="2"/>
        <v>0</v>
      </c>
      <c r="O22" s="171">
        <f t="shared" si="3"/>
        <v>108</v>
      </c>
      <c r="P22" s="171">
        <f t="shared" si="4"/>
        <v>0</v>
      </c>
      <c r="Q22" s="171">
        <f t="shared" si="5"/>
        <v>0</v>
      </c>
      <c r="R22" s="174">
        <f t="shared" si="6"/>
        <v>108</v>
      </c>
    </row>
    <row r="23" spans="1:18">
      <c r="A23" s="172">
        <v>19</v>
      </c>
      <c r="B23" s="180">
        <v>46192</v>
      </c>
      <c r="C23" s="181"/>
      <c r="D23" s="183"/>
      <c r="E23" s="173"/>
      <c r="F23" s="173"/>
      <c r="G23" s="173"/>
      <c r="H23" s="171">
        <v>5</v>
      </c>
      <c r="I23" s="174"/>
      <c r="J23" s="174"/>
      <c r="K23" s="171">
        <f t="shared" si="0"/>
        <v>0</v>
      </c>
      <c r="L23" s="171">
        <f t="shared" si="1"/>
        <v>0</v>
      </c>
      <c r="M23" s="171">
        <f t="shared" si="2"/>
        <v>0</v>
      </c>
      <c r="N23" s="171">
        <f t="shared" si="2"/>
        <v>0</v>
      </c>
      <c r="O23" s="171">
        <f t="shared" si="3"/>
        <v>108</v>
      </c>
      <c r="P23" s="171">
        <f t="shared" si="4"/>
        <v>0</v>
      </c>
      <c r="Q23" s="171">
        <f t="shared" si="5"/>
        <v>0</v>
      </c>
      <c r="R23" s="174">
        <f t="shared" si="6"/>
        <v>108</v>
      </c>
    </row>
    <row r="24" spans="1:18">
      <c r="A24" s="172">
        <v>20</v>
      </c>
      <c r="B24" s="180">
        <v>46193</v>
      </c>
      <c r="C24" s="181"/>
      <c r="D24" s="183"/>
      <c r="E24" s="173"/>
      <c r="F24" s="173"/>
      <c r="G24" s="173"/>
      <c r="H24" s="171">
        <v>5</v>
      </c>
      <c r="I24" s="174"/>
      <c r="J24" s="174"/>
      <c r="K24" s="171">
        <f t="shared" si="0"/>
        <v>0</v>
      </c>
      <c r="L24" s="171">
        <f t="shared" si="1"/>
        <v>0</v>
      </c>
      <c r="M24" s="171">
        <f t="shared" si="2"/>
        <v>0</v>
      </c>
      <c r="N24" s="171">
        <f t="shared" si="2"/>
        <v>0</v>
      </c>
      <c r="O24" s="171">
        <f t="shared" si="3"/>
        <v>108</v>
      </c>
      <c r="P24" s="171">
        <f t="shared" si="4"/>
        <v>0</v>
      </c>
      <c r="Q24" s="171">
        <f t="shared" si="5"/>
        <v>0</v>
      </c>
      <c r="R24" s="174">
        <f t="shared" si="6"/>
        <v>108</v>
      </c>
    </row>
    <row r="25" spans="1:18">
      <c r="A25" s="172">
        <v>21</v>
      </c>
      <c r="B25" s="180">
        <v>46194</v>
      </c>
      <c r="C25" s="181"/>
      <c r="D25" s="183"/>
      <c r="E25" s="173"/>
      <c r="F25" s="173"/>
      <c r="G25" s="173"/>
      <c r="H25" s="171">
        <v>5</v>
      </c>
      <c r="I25" s="174"/>
      <c r="J25" s="174"/>
      <c r="K25" s="171">
        <f t="shared" si="0"/>
        <v>0</v>
      </c>
      <c r="L25" s="171">
        <f t="shared" si="1"/>
        <v>0</v>
      </c>
      <c r="M25" s="171">
        <f t="shared" si="2"/>
        <v>0</v>
      </c>
      <c r="N25" s="171">
        <f t="shared" si="2"/>
        <v>0</v>
      </c>
      <c r="O25" s="171">
        <f t="shared" si="3"/>
        <v>108</v>
      </c>
      <c r="P25" s="171">
        <f t="shared" si="4"/>
        <v>0</v>
      </c>
      <c r="Q25" s="171">
        <f t="shared" si="5"/>
        <v>0</v>
      </c>
      <c r="R25" s="174">
        <f t="shared" si="6"/>
        <v>108</v>
      </c>
    </row>
    <row r="26" spans="1:18">
      <c r="A26" s="172">
        <v>22</v>
      </c>
      <c r="B26" s="180">
        <v>46195</v>
      </c>
      <c r="C26" s="181"/>
      <c r="D26" s="183"/>
      <c r="E26" s="173"/>
      <c r="F26" s="173"/>
      <c r="G26" s="173"/>
      <c r="H26" s="171">
        <v>5</v>
      </c>
      <c r="I26" s="171"/>
      <c r="J26" s="174"/>
      <c r="K26" s="171">
        <f t="shared" si="0"/>
        <v>0</v>
      </c>
      <c r="L26" s="171">
        <f t="shared" si="1"/>
        <v>0</v>
      </c>
      <c r="M26" s="171">
        <f t="shared" si="2"/>
        <v>0</v>
      </c>
      <c r="N26" s="171">
        <f t="shared" si="2"/>
        <v>0</v>
      </c>
      <c r="O26" s="171">
        <f t="shared" si="3"/>
        <v>108</v>
      </c>
      <c r="P26" s="171">
        <f t="shared" si="4"/>
        <v>0</v>
      </c>
      <c r="Q26" s="171">
        <f t="shared" si="5"/>
        <v>0</v>
      </c>
      <c r="R26" s="174">
        <f t="shared" si="6"/>
        <v>108</v>
      </c>
    </row>
    <row r="27" spans="1:18">
      <c r="A27" s="169">
        <v>23</v>
      </c>
      <c r="B27" s="180">
        <v>46196</v>
      </c>
      <c r="C27" s="181"/>
      <c r="D27" s="182"/>
      <c r="E27" s="170"/>
      <c r="F27" s="170"/>
      <c r="G27" s="170"/>
      <c r="H27" s="171">
        <v>5</v>
      </c>
      <c r="I27" s="171"/>
      <c r="J27" s="171"/>
      <c r="K27" s="171">
        <f t="shared" si="0"/>
        <v>0</v>
      </c>
      <c r="L27" s="171">
        <f t="shared" si="1"/>
        <v>0</v>
      </c>
      <c r="M27" s="171">
        <f t="shared" si="2"/>
        <v>0</v>
      </c>
      <c r="N27" s="171">
        <f t="shared" si="2"/>
        <v>0</v>
      </c>
      <c r="O27" s="171">
        <f t="shared" si="3"/>
        <v>108</v>
      </c>
      <c r="P27" s="171">
        <f t="shared" si="4"/>
        <v>0</v>
      </c>
      <c r="Q27" s="171">
        <f t="shared" si="5"/>
        <v>0</v>
      </c>
      <c r="R27" s="171">
        <f t="shared" si="6"/>
        <v>108</v>
      </c>
    </row>
    <row r="28" spans="1:18">
      <c r="A28" s="169">
        <v>24</v>
      </c>
      <c r="B28" s="180">
        <v>46197</v>
      </c>
      <c r="C28" s="181"/>
      <c r="D28" s="182"/>
      <c r="E28" s="170">
        <v>1</v>
      </c>
      <c r="F28" s="170"/>
      <c r="G28" s="170"/>
      <c r="H28" s="171">
        <v>5</v>
      </c>
      <c r="I28" s="171"/>
      <c r="J28" s="171"/>
      <c r="K28" s="171">
        <f t="shared" si="0"/>
        <v>0</v>
      </c>
      <c r="L28" s="171">
        <f t="shared" si="1"/>
        <v>168</v>
      </c>
      <c r="M28" s="171">
        <f t="shared" si="2"/>
        <v>0</v>
      </c>
      <c r="N28" s="171">
        <f t="shared" si="2"/>
        <v>0</v>
      </c>
      <c r="O28" s="171">
        <f t="shared" si="3"/>
        <v>108</v>
      </c>
      <c r="P28" s="171">
        <f t="shared" si="4"/>
        <v>0</v>
      </c>
      <c r="Q28" s="171">
        <f t="shared" si="5"/>
        <v>0</v>
      </c>
      <c r="R28" s="171">
        <f t="shared" si="6"/>
        <v>276</v>
      </c>
    </row>
    <row r="29" spans="1:18">
      <c r="A29" s="172">
        <v>25</v>
      </c>
      <c r="B29" s="180">
        <v>46198</v>
      </c>
      <c r="C29" s="181"/>
      <c r="D29" s="183"/>
      <c r="E29" s="173"/>
      <c r="F29" s="173"/>
      <c r="G29" s="173"/>
      <c r="H29" s="171">
        <v>4</v>
      </c>
      <c r="I29" s="171"/>
      <c r="J29" s="174"/>
      <c r="K29" s="171">
        <f t="shared" si="0"/>
        <v>0</v>
      </c>
      <c r="L29" s="171">
        <f t="shared" si="1"/>
        <v>0</v>
      </c>
      <c r="M29" s="171">
        <f>F29*1000</f>
        <v>0</v>
      </c>
      <c r="N29" s="171">
        <f t="shared" si="2"/>
        <v>0</v>
      </c>
      <c r="O29" s="171">
        <f t="shared" si="3"/>
        <v>86.4</v>
      </c>
      <c r="P29" s="171">
        <f t="shared" si="4"/>
        <v>0</v>
      </c>
      <c r="Q29" s="171">
        <f t="shared" si="5"/>
        <v>0</v>
      </c>
      <c r="R29" s="174">
        <f t="shared" si="6"/>
        <v>86.4</v>
      </c>
    </row>
    <row r="30" spans="1:18">
      <c r="A30" s="172">
        <v>26</v>
      </c>
      <c r="B30" s="180">
        <v>46199</v>
      </c>
      <c r="C30" s="181"/>
      <c r="D30" s="183"/>
      <c r="E30" s="173"/>
      <c r="F30" s="173"/>
      <c r="G30" s="173"/>
      <c r="H30" s="171">
        <v>4</v>
      </c>
      <c r="I30" s="171"/>
      <c r="J30" s="174"/>
      <c r="K30" s="171">
        <f>SUM(D30*168)</f>
        <v>0</v>
      </c>
      <c r="L30" s="171">
        <f t="shared" si="1"/>
        <v>0</v>
      </c>
      <c r="M30" s="171">
        <f t="shared" si="2"/>
        <v>0</v>
      </c>
      <c r="N30" s="171">
        <f t="shared" si="2"/>
        <v>0</v>
      </c>
      <c r="O30" s="171">
        <f t="shared" si="3"/>
        <v>86.4</v>
      </c>
      <c r="P30" s="171">
        <f t="shared" si="4"/>
        <v>0</v>
      </c>
      <c r="Q30" s="171">
        <f t="shared" si="5"/>
        <v>0</v>
      </c>
      <c r="R30" s="174">
        <f t="shared" si="6"/>
        <v>86.4</v>
      </c>
    </row>
    <row r="31" spans="1:18">
      <c r="A31" s="172">
        <v>27</v>
      </c>
      <c r="B31" s="180">
        <v>46200</v>
      </c>
      <c r="C31" s="181"/>
      <c r="D31" s="183"/>
      <c r="E31" s="173"/>
      <c r="F31" s="173"/>
      <c r="G31" s="173"/>
      <c r="H31" s="171">
        <v>4</v>
      </c>
      <c r="I31" s="171"/>
      <c r="J31" s="174"/>
      <c r="K31" s="171">
        <f t="shared" ref="K31:L35" si="7">SUM(D31*168)</f>
        <v>0</v>
      </c>
      <c r="L31" s="171">
        <f t="shared" si="1"/>
        <v>0</v>
      </c>
      <c r="M31" s="171">
        <f t="shared" si="2"/>
        <v>0</v>
      </c>
      <c r="N31" s="171">
        <f t="shared" si="2"/>
        <v>0</v>
      </c>
      <c r="O31" s="171">
        <f t="shared" si="3"/>
        <v>86.4</v>
      </c>
      <c r="P31" s="171">
        <f t="shared" si="4"/>
        <v>0</v>
      </c>
      <c r="Q31" s="171">
        <f t="shared" si="5"/>
        <v>0</v>
      </c>
      <c r="R31" s="174">
        <f t="shared" si="6"/>
        <v>86.4</v>
      </c>
    </row>
    <row r="32" spans="1:18">
      <c r="A32" s="172">
        <v>28</v>
      </c>
      <c r="B32" s="180">
        <v>46201</v>
      </c>
      <c r="C32" s="181"/>
      <c r="D32" s="183"/>
      <c r="E32" s="173"/>
      <c r="F32" s="173"/>
      <c r="G32" s="173"/>
      <c r="H32" s="171">
        <v>4</v>
      </c>
      <c r="I32" s="171"/>
      <c r="J32" s="174"/>
      <c r="K32" s="171">
        <f t="shared" si="7"/>
        <v>0</v>
      </c>
      <c r="L32" s="171">
        <f t="shared" si="1"/>
        <v>0</v>
      </c>
      <c r="M32" s="171">
        <f t="shared" si="2"/>
        <v>0</v>
      </c>
      <c r="N32" s="171">
        <f t="shared" si="2"/>
        <v>0</v>
      </c>
      <c r="O32" s="171">
        <f t="shared" si="3"/>
        <v>86.4</v>
      </c>
      <c r="P32" s="171">
        <f t="shared" si="4"/>
        <v>0</v>
      </c>
      <c r="Q32" s="171">
        <f t="shared" si="5"/>
        <v>0</v>
      </c>
      <c r="R32" s="174">
        <f t="shared" si="6"/>
        <v>86.4</v>
      </c>
    </row>
    <row r="33" spans="1:18">
      <c r="A33" s="172">
        <v>29</v>
      </c>
      <c r="B33" s="180">
        <v>46202</v>
      </c>
      <c r="C33" s="181"/>
      <c r="D33" s="183"/>
      <c r="E33" s="173"/>
      <c r="F33" s="173"/>
      <c r="G33" s="173"/>
      <c r="H33" s="171">
        <v>4</v>
      </c>
      <c r="I33" s="171"/>
      <c r="J33" s="174"/>
      <c r="K33" s="171">
        <f t="shared" si="7"/>
        <v>0</v>
      </c>
      <c r="L33" s="171">
        <f t="shared" si="1"/>
        <v>0</v>
      </c>
      <c r="M33" s="171">
        <f t="shared" si="2"/>
        <v>0</v>
      </c>
      <c r="N33" s="171">
        <f t="shared" si="2"/>
        <v>0</v>
      </c>
      <c r="O33" s="171">
        <f t="shared" si="3"/>
        <v>86.4</v>
      </c>
      <c r="P33" s="171">
        <f t="shared" si="4"/>
        <v>0</v>
      </c>
      <c r="Q33" s="171">
        <f t="shared" si="5"/>
        <v>0</v>
      </c>
      <c r="R33" s="174">
        <f t="shared" si="6"/>
        <v>86.4</v>
      </c>
    </row>
    <row r="34" spans="1:18">
      <c r="A34" s="172">
        <v>30</v>
      </c>
      <c r="B34" s="180">
        <v>46203</v>
      </c>
      <c r="C34" s="181"/>
      <c r="D34" s="183"/>
      <c r="E34" s="173"/>
      <c r="F34" s="173"/>
      <c r="G34" s="173"/>
      <c r="H34" s="171">
        <v>4</v>
      </c>
      <c r="I34" s="171"/>
      <c r="J34" s="174"/>
      <c r="K34" s="171">
        <f t="shared" si="7"/>
        <v>0</v>
      </c>
      <c r="L34" s="171">
        <f t="shared" si="1"/>
        <v>0</v>
      </c>
      <c r="M34" s="171">
        <f t="shared" si="2"/>
        <v>0</v>
      </c>
      <c r="N34" s="171">
        <f t="shared" si="2"/>
        <v>0</v>
      </c>
      <c r="O34" s="171">
        <f t="shared" si="3"/>
        <v>86.4</v>
      </c>
      <c r="P34" s="171">
        <f t="shared" si="4"/>
        <v>0</v>
      </c>
      <c r="Q34" s="171">
        <f t="shared" si="5"/>
        <v>0</v>
      </c>
      <c r="R34" s="174">
        <f t="shared" si="6"/>
        <v>86.4</v>
      </c>
    </row>
    <row r="35" spans="1:18" ht="15.75" thickBot="1">
      <c r="A35" s="172"/>
      <c r="B35" s="180"/>
      <c r="C35" s="181"/>
      <c r="D35" s="183"/>
      <c r="E35" s="173"/>
      <c r="F35" s="173"/>
      <c r="G35" s="173"/>
      <c r="H35" s="171"/>
      <c r="I35" s="171"/>
      <c r="J35" s="174"/>
      <c r="K35" s="171">
        <f t="shared" si="7"/>
        <v>0</v>
      </c>
      <c r="L35" s="171">
        <f t="shared" si="7"/>
        <v>0</v>
      </c>
      <c r="M35" s="171">
        <f t="shared" ref="M35:N35" si="8">F35*1000</f>
        <v>0</v>
      </c>
      <c r="N35" s="171">
        <f t="shared" si="8"/>
        <v>0</v>
      </c>
      <c r="O35" s="171">
        <f t="shared" si="3"/>
        <v>0</v>
      </c>
      <c r="P35" s="171">
        <f t="shared" si="4"/>
        <v>0</v>
      </c>
      <c r="Q35" s="171">
        <f t="shared" si="5"/>
        <v>0</v>
      </c>
      <c r="R35" s="174">
        <f t="shared" si="6"/>
        <v>0</v>
      </c>
    </row>
    <row r="36" spans="1:18" ht="15.75" thickBot="1">
      <c r="D36" s="175">
        <f>SUM(D5:D35)</f>
        <v>0</v>
      </c>
      <c r="E36" s="176">
        <f>SUM(E5:E35)</f>
        <v>2</v>
      </c>
      <c r="F36" s="176">
        <f>SUM(F5:F35)</f>
        <v>0</v>
      </c>
      <c r="G36" s="176"/>
      <c r="H36" s="177">
        <f>SUM(H5:H35)</f>
        <v>147</v>
      </c>
      <c r="I36" s="178"/>
      <c r="J36" s="176"/>
      <c r="K36" s="176">
        <f>SUM(K5:K35)</f>
        <v>0</v>
      </c>
      <c r="L36" s="176">
        <f t="shared" ref="L36:Q36" si="9">SUM(L5:L35)</f>
        <v>336</v>
      </c>
      <c r="M36" s="176">
        <f t="shared" si="9"/>
        <v>0</v>
      </c>
      <c r="N36" s="176">
        <f t="shared" si="9"/>
        <v>0</v>
      </c>
      <c r="O36" s="176">
        <f t="shared" si="9"/>
        <v>3175.2000000000007</v>
      </c>
      <c r="P36" s="176">
        <f t="shared" si="9"/>
        <v>0</v>
      </c>
      <c r="Q36" s="176">
        <f t="shared" si="9"/>
        <v>0</v>
      </c>
      <c r="R36" s="179">
        <f>SUM(R5:R35)</f>
        <v>3511.2000000000007</v>
      </c>
    </row>
  </sheetData>
  <mergeCells count="47">
    <mergeCell ref="B31:C31"/>
    <mergeCell ref="B32:C32"/>
    <mergeCell ref="B33:C33"/>
    <mergeCell ref="B34:C34"/>
    <mergeCell ref="B35:C35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O3:O4"/>
    <mergeCell ref="P3:P4"/>
    <mergeCell ref="Q3:Q4"/>
    <mergeCell ref="R3:R4"/>
    <mergeCell ref="B5:C5"/>
    <mergeCell ref="B6:C6"/>
    <mergeCell ref="I3:I4"/>
    <mergeCell ref="J3:J4"/>
    <mergeCell ref="K3:K4"/>
    <mergeCell ref="L3:L4"/>
    <mergeCell ref="M3:M4"/>
    <mergeCell ref="N3:N4"/>
    <mergeCell ref="A3:A4"/>
    <mergeCell ref="B3:C4"/>
    <mergeCell ref="D3:D4"/>
    <mergeCell ref="E3:E4"/>
    <mergeCell ref="F3:F4"/>
    <mergeCell ref="G3:G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782A-6B1D-4760-BEEB-C284F3B4E74C}">
  <dimension ref="A1:S39"/>
  <sheetViews>
    <sheetView zoomScaleNormal="100" workbookViewId="0">
      <selection activeCell="K23" sqref="K23:K36"/>
    </sheetView>
  </sheetViews>
  <sheetFormatPr defaultRowHeight="15"/>
  <cols>
    <col min="1" max="1" width="12" style="48" bestFit="1" customWidth="1"/>
    <col min="2" max="11" width="9.140625" style="48"/>
    <col min="12" max="12" width="11.7109375" style="48" customWidth="1"/>
    <col min="13" max="13" width="9.140625" style="48"/>
    <col min="14" max="14" width="11.7109375" style="48" customWidth="1"/>
    <col min="15" max="16" width="9.140625" style="48"/>
    <col min="17" max="17" width="11.7109375" style="48" customWidth="1"/>
    <col min="18" max="18" width="11.28515625" style="48" customWidth="1"/>
    <col min="19" max="19" width="15" style="48" customWidth="1"/>
    <col min="20" max="16384" width="9.140625" style="48"/>
  </cols>
  <sheetData>
    <row r="1" spans="1:19">
      <c r="A1" s="184">
        <f>S39</f>
        <v>18700.799999999996</v>
      </c>
      <c r="C1" s="185"/>
      <c r="D1" s="185"/>
      <c r="E1" s="185"/>
      <c r="F1" s="185"/>
      <c r="G1" s="185"/>
      <c r="H1" s="143"/>
      <c r="I1" s="143"/>
      <c r="J1" s="185"/>
      <c r="K1" s="185"/>
      <c r="S1" s="184"/>
    </row>
    <row r="2" spans="1:19">
      <c r="C2" s="185"/>
      <c r="D2" s="185"/>
      <c r="E2" s="185"/>
      <c r="F2" s="185"/>
      <c r="G2" s="185"/>
      <c r="H2" s="143"/>
      <c r="I2" s="143"/>
      <c r="J2" s="185"/>
      <c r="K2" s="185"/>
      <c r="S2" s="184"/>
    </row>
    <row r="3" spans="1:19" ht="15.75" thickBot="1">
      <c r="C3" s="185"/>
      <c r="D3" s="185"/>
      <c r="E3" s="185"/>
      <c r="F3" s="185"/>
      <c r="G3" s="185"/>
      <c r="H3" s="143"/>
      <c r="I3" s="143"/>
      <c r="J3" s="185"/>
      <c r="K3" s="185"/>
      <c r="S3" s="184"/>
    </row>
    <row r="4" spans="1:19" ht="15.75" thickBot="1">
      <c r="A4" s="143" t="s">
        <v>115</v>
      </c>
      <c r="B4" s="186"/>
      <c r="C4" s="186"/>
      <c r="D4" s="186"/>
      <c r="E4" s="186"/>
      <c r="F4" s="186"/>
      <c r="G4" s="186"/>
      <c r="H4" s="196"/>
      <c r="I4" s="196"/>
      <c r="J4" s="185"/>
      <c r="K4" s="185"/>
      <c r="L4" s="197" t="s">
        <v>116</v>
      </c>
      <c r="M4" s="22"/>
      <c r="N4" s="22"/>
      <c r="O4" s="22"/>
      <c r="P4" s="22"/>
      <c r="Q4" s="22"/>
      <c r="R4" s="22"/>
      <c r="S4" s="23"/>
    </row>
    <row r="5" spans="1:19" ht="30">
      <c r="A5" s="24" t="s">
        <v>1</v>
      </c>
      <c r="B5" s="25"/>
      <c r="C5" s="26" t="s">
        <v>117</v>
      </c>
      <c r="D5" s="26" t="s">
        <v>118</v>
      </c>
      <c r="E5" s="26" t="s">
        <v>119</v>
      </c>
      <c r="F5" s="26" t="s">
        <v>120</v>
      </c>
      <c r="G5" s="26" t="s">
        <v>121</v>
      </c>
      <c r="H5" s="26"/>
      <c r="I5" s="26"/>
      <c r="J5" s="26" t="s">
        <v>122</v>
      </c>
      <c r="K5" s="27" t="s">
        <v>4</v>
      </c>
      <c r="L5" s="28" t="s">
        <v>123</v>
      </c>
      <c r="M5" s="26" t="s">
        <v>118</v>
      </c>
      <c r="N5" s="26" t="s">
        <v>119</v>
      </c>
      <c r="O5" s="26" t="s">
        <v>120</v>
      </c>
      <c r="P5" s="26" t="s">
        <v>124</v>
      </c>
      <c r="Q5" s="26" t="s">
        <v>8</v>
      </c>
      <c r="R5" s="26" t="s">
        <v>4</v>
      </c>
      <c r="S5" s="29" t="s">
        <v>18</v>
      </c>
    </row>
    <row r="6" spans="1:19" ht="15.75" thickBot="1">
      <c r="A6" s="30"/>
      <c r="B6" s="31"/>
      <c r="C6" s="32"/>
      <c r="D6" s="32"/>
      <c r="E6" s="32"/>
      <c r="F6" s="32"/>
      <c r="G6" s="32"/>
      <c r="H6" s="33"/>
      <c r="I6" s="33"/>
      <c r="J6" s="32"/>
      <c r="K6" s="34">
        <v>32</v>
      </c>
      <c r="L6" s="35"/>
      <c r="M6" s="32"/>
      <c r="N6" s="32"/>
      <c r="O6" s="32"/>
      <c r="P6" s="32"/>
      <c r="Q6" s="32"/>
      <c r="R6" s="32"/>
      <c r="S6" s="36"/>
    </row>
    <row r="7" spans="1:19">
      <c r="A7" s="198">
        <v>46174</v>
      </c>
      <c r="B7" s="37"/>
      <c r="C7" s="187"/>
      <c r="D7" s="187"/>
      <c r="E7" s="188">
        <v>4</v>
      </c>
      <c r="F7" s="188"/>
      <c r="G7" s="189"/>
      <c r="H7" s="189"/>
      <c r="I7" s="188"/>
      <c r="J7" s="188">
        <v>0</v>
      </c>
      <c r="K7" s="190">
        <v>32</v>
      </c>
      <c r="L7" s="38">
        <f t="shared" ref="L7:L37" si="0">C7*168</f>
        <v>0</v>
      </c>
      <c r="M7" s="38">
        <f t="shared" ref="M7:M37" si="1">D7*4</f>
        <v>0</v>
      </c>
      <c r="N7" s="38">
        <f t="shared" ref="N7:N37" si="2">E7*168</f>
        <v>672</v>
      </c>
      <c r="O7" s="38">
        <f t="shared" ref="O7:P37" si="3">F7*4</f>
        <v>0</v>
      </c>
      <c r="P7" s="38">
        <f t="shared" si="3"/>
        <v>0</v>
      </c>
      <c r="Q7" s="38">
        <f>J7*600</f>
        <v>0</v>
      </c>
      <c r="R7" s="38">
        <f>K7*21.6</f>
        <v>691.2</v>
      </c>
      <c r="S7" s="39">
        <f t="shared" ref="S7:S37" si="4">SUM(L7:R7)</f>
        <v>1363.2</v>
      </c>
    </row>
    <row r="8" spans="1:19">
      <c r="A8" s="198">
        <v>46175</v>
      </c>
      <c r="B8" s="37"/>
      <c r="C8" s="190"/>
      <c r="D8" s="190"/>
      <c r="E8" s="170"/>
      <c r="F8" s="170"/>
      <c r="G8" s="191"/>
      <c r="H8" s="191"/>
      <c r="I8" s="170"/>
      <c r="J8" s="188">
        <v>0</v>
      </c>
      <c r="K8" s="190">
        <v>28</v>
      </c>
      <c r="L8" s="38">
        <f t="shared" si="0"/>
        <v>0</v>
      </c>
      <c r="M8" s="38">
        <f t="shared" si="1"/>
        <v>0</v>
      </c>
      <c r="N8" s="38">
        <f t="shared" si="2"/>
        <v>0</v>
      </c>
      <c r="O8" s="38">
        <f t="shared" si="3"/>
        <v>0</v>
      </c>
      <c r="P8" s="38">
        <f t="shared" si="3"/>
        <v>0</v>
      </c>
      <c r="Q8" s="38">
        <f t="shared" ref="Q8:Q37" si="5">J8*600</f>
        <v>0</v>
      </c>
      <c r="R8" s="38">
        <f t="shared" ref="R8:R37" si="6">K8*21.6</f>
        <v>604.80000000000007</v>
      </c>
      <c r="S8" s="40">
        <f t="shared" si="4"/>
        <v>604.80000000000007</v>
      </c>
    </row>
    <row r="9" spans="1:19">
      <c r="A9" s="198">
        <v>46176</v>
      </c>
      <c r="B9" s="37"/>
      <c r="C9" s="190"/>
      <c r="D9" s="190"/>
      <c r="E9" s="170"/>
      <c r="F9" s="170"/>
      <c r="G9" s="191"/>
      <c r="H9" s="191"/>
      <c r="I9" s="170"/>
      <c r="J9" s="188">
        <v>0</v>
      </c>
      <c r="K9" s="190">
        <v>28</v>
      </c>
      <c r="L9" s="38">
        <f t="shared" si="0"/>
        <v>0</v>
      </c>
      <c r="M9" s="38">
        <f t="shared" si="1"/>
        <v>0</v>
      </c>
      <c r="N9" s="38">
        <f t="shared" si="2"/>
        <v>0</v>
      </c>
      <c r="O9" s="38">
        <f t="shared" si="3"/>
        <v>0</v>
      </c>
      <c r="P9" s="38">
        <f t="shared" si="3"/>
        <v>0</v>
      </c>
      <c r="Q9" s="38">
        <f t="shared" si="5"/>
        <v>0</v>
      </c>
      <c r="R9" s="38">
        <f t="shared" si="6"/>
        <v>604.80000000000007</v>
      </c>
      <c r="S9" s="40">
        <f t="shared" si="4"/>
        <v>604.80000000000007</v>
      </c>
    </row>
    <row r="10" spans="1:19">
      <c r="A10" s="198">
        <v>46177</v>
      </c>
      <c r="B10" s="37"/>
      <c r="C10" s="190"/>
      <c r="D10" s="190"/>
      <c r="E10" s="170"/>
      <c r="F10" s="170"/>
      <c r="G10" s="191"/>
      <c r="H10" s="191"/>
      <c r="I10" s="170"/>
      <c r="J10" s="188">
        <v>0</v>
      </c>
      <c r="K10" s="190">
        <v>28</v>
      </c>
      <c r="L10" s="38">
        <f t="shared" si="0"/>
        <v>0</v>
      </c>
      <c r="M10" s="38">
        <f t="shared" si="1"/>
        <v>0</v>
      </c>
      <c r="N10" s="38">
        <f t="shared" si="2"/>
        <v>0</v>
      </c>
      <c r="O10" s="38">
        <f t="shared" si="3"/>
        <v>0</v>
      </c>
      <c r="P10" s="38">
        <f t="shared" si="3"/>
        <v>0</v>
      </c>
      <c r="Q10" s="38">
        <f t="shared" si="5"/>
        <v>0</v>
      </c>
      <c r="R10" s="38">
        <f t="shared" si="6"/>
        <v>604.80000000000007</v>
      </c>
      <c r="S10" s="40">
        <f t="shared" si="4"/>
        <v>604.80000000000007</v>
      </c>
    </row>
    <row r="11" spans="1:19">
      <c r="A11" s="198">
        <v>46178</v>
      </c>
      <c r="B11" s="37"/>
      <c r="C11" s="190"/>
      <c r="D11" s="190"/>
      <c r="E11" s="170"/>
      <c r="F11" s="170"/>
      <c r="G11" s="191"/>
      <c r="H11" s="191"/>
      <c r="I11" s="170"/>
      <c r="J11" s="188">
        <v>0</v>
      </c>
      <c r="K11" s="190">
        <v>28</v>
      </c>
      <c r="L11" s="38">
        <f t="shared" si="0"/>
        <v>0</v>
      </c>
      <c r="M11" s="38">
        <f t="shared" si="1"/>
        <v>0</v>
      </c>
      <c r="N11" s="38">
        <f t="shared" si="2"/>
        <v>0</v>
      </c>
      <c r="O11" s="38">
        <f t="shared" si="3"/>
        <v>0</v>
      </c>
      <c r="P11" s="38">
        <f t="shared" si="3"/>
        <v>0</v>
      </c>
      <c r="Q11" s="38">
        <f t="shared" si="5"/>
        <v>0</v>
      </c>
      <c r="R11" s="38">
        <f t="shared" si="6"/>
        <v>604.80000000000007</v>
      </c>
      <c r="S11" s="40">
        <f t="shared" si="4"/>
        <v>604.80000000000007</v>
      </c>
    </row>
    <row r="12" spans="1:19">
      <c r="A12" s="198">
        <v>46179</v>
      </c>
      <c r="B12" s="37"/>
      <c r="C12" s="190"/>
      <c r="D12" s="190"/>
      <c r="E12" s="170"/>
      <c r="F12" s="170"/>
      <c r="G12" s="191"/>
      <c r="H12" s="191"/>
      <c r="I12" s="170"/>
      <c r="J12" s="188">
        <v>0</v>
      </c>
      <c r="K12" s="190">
        <v>28</v>
      </c>
      <c r="L12" s="38">
        <f t="shared" si="0"/>
        <v>0</v>
      </c>
      <c r="M12" s="38">
        <f t="shared" si="1"/>
        <v>0</v>
      </c>
      <c r="N12" s="38">
        <f t="shared" si="2"/>
        <v>0</v>
      </c>
      <c r="O12" s="38">
        <f t="shared" si="3"/>
        <v>0</v>
      </c>
      <c r="P12" s="38">
        <f t="shared" si="3"/>
        <v>0</v>
      </c>
      <c r="Q12" s="38">
        <f t="shared" si="5"/>
        <v>0</v>
      </c>
      <c r="R12" s="38">
        <f t="shared" si="6"/>
        <v>604.80000000000007</v>
      </c>
      <c r="S12" s="40">
        <f t="shared" si="4"/>
        <v>604.80000000000007</v>
      </c>
    </row>
    <row r="13" spans="1:19">
      <c r="A13" s="198">
        <v>46180</v>
      </c>
      <c r="B13" s="37"/>
      <c r="C13" s="190"/>
      <c r="D13" s="190"/>
      <c r="E13" s="170"/>
      <c r="F13" s="170"/>
      <c r="G13" s="191"/>
      <c r="H13" s="191"/>
      <c r="I13" s="170"/>
      <c r="J13" s="188">
        <v>0</v>
      </c>
      <c r="K13" s="190">
        <v>28</v>
      </c>
      <c r="L13" s="38">
        <f t="shared" si="0"/>
        <v>0</v>
      </c>
      <c r="M13" s="38">
        <f t="shared" si="1"/>
        <v>0</v>
      </c>
      <c r="N13" s="38">
        <f t="shared" si="2"/>
        <v>0</v>
      </c>
      <c r="O13" s="38">
        <f t="shared" si="3"/>
        <v>0</v>
      </c>
      <c r="P13" s="38">
        <f t="shared" si="3"/>
        <v>0</v>
      </c>
      <c r="Q13" s="38">
        <f t="shared" si="5"/>
        <v>0</v>
      </c>
      <c r="R13" s="38">
        <f t="shared" si="6"/>
        <v>604.80000000000007</v>
      </c>
      <c r="S13" s="40">
        <f t="shared" si="4"/>
        <v>604.80000000000007</v>
      </c>
    </row>
    <row r="14" spans="1:19">
      <c r="A14" s="198">
        <v>46181</v>
      </c>
      <c r="B14" s="37"/>
      <c r="C14" s="190"/>
      <c r="D14" s="190"/>
      <c r="E14" s="170"/>
      <c r="F14" s="170"/>
      <c r="G14" s="191"/>
      <c r="H14" s="191"/>
      <c r="I14" s="170"/>
      <c r="J14" s="188">
        <v>0</v>
      </c>
      <c r="K14" s="190">
        <v>28</v>
      </c>
      <c r="L14" s="38">
        <f t="shared" si="0"/>
        <v>0</v>
      </c>
      <c r="M14" s="38">
        <f t="shared" si="1"/>
        <v>0</v>
      </c>
      <c r="N14" s="38">
        <f t="shared" si="2"/>
        <v>0</v>
      </c>
      <c r="O14" s="38">
        <f t="shared" si="3"/>
        <v>0</v>
      </c>
      <c r="P14" s="38">
        <f t="shared" si="3"/>
        <v>0</v>
      </c>
      <c r="Q14" s="38">
        <f t="shared" si="5"/>
        <v>0</v>
      </c>
      <c r="R14" s="38">
        <f t="shared" si="6"/>
        <v>604.80000000000007</v>
      </c>
      <c r="S14" s="40">
        <f t="shared" si="4"/>
        <v>604.80000000000007</v>
      </c>
    </row>
    <row r="15" spans="1:19">
      <c r="A15" s="198">
        <v>46182</v>
      </c>
      <c r="B15" s="37"/>
      <c r="C15" s="190"/>
      <c r="D15" s="190"/>
      <c r="E15" s="170">
        <v>4</v>
      </c>
      <c r="F15" s="170"/>
      <c r="G15" s="191"/>
      <c r="H15" s="191"/>
      <c r="I15" s="170"/>
      <c r="J15" s="188">
        <v>0</v>
      </c>
      <c r="K15" s="190">
        <v>28</v>
      </c>
      <c r="L15" s="38">
        <f t="shared" si="0"/>
        <v>0</v>
      </c>
      <c r="M15" s="38">
        <f t="shared" si="1"/>
        <v>0</v>
      </c>
      <c r="N15" s="38">
        <f t="shared" si="2"/>
        <v>672</v>
      </c>
      <c r="O15" s="38">
        <f t="shared" si="3"/>
        <v>0</v>
      </c>
      <c r="P15" s="38">
        <f t="shared" si="3"/>
        <v>0</v>
      </c>
      <c r="Q15" s="38">
        <f t="shared" si="5"/>
        <v>0</v>
      </c>
      <c r="R15" s="38">
        <f t="shared" si="6"/>
        <v>604.80000000000007</v>
      </c>
      <c r="S15" s="40">
        <f t="shared" si="4"/>
        <v>1276.8000000000002</v>
      </c>
    </row>
    <row r="16" spans="1:19">
      <c r="A16" s="198">
        <v>46183</v>
      </c>
      <c r="B16" s="37"/>
      <c r="C16" s="190"/>
      <c r="D16" s="190"/>
      <c r="E16" s="170"/>
      <c r="F16" s="170"/>
      <c r="G16" s="191"/>
      <c r="H16" s="191"/>
      <c r="I16" s="170"/>
      <c r="J16" s="188">
        <v>0</v>
      </c>
      <c r="K16" s="190">
        <v>24</v>
      </c>
      <c r="L16" s="38">
        <f t="shared" si="0"/>
        <v>0</v>
      </c>
      <c r="M16" s="38">
        <f t="shared" si="1"/>
        <v>0</v>
      </c>
      <c r="N16" s="38">
        <f t="shared" si="2"/>
        <v>0</v>
      </c>
      <c r="O16" s="38">
        <f t="shared" si="3"/>
        <v>0</v>
      </c>
      <c r="P16" s="38">
        <f t="shared" si="3"/>
        <v>0</v>
      </c>
      <c r="Q16" s="38">
        <f t="shared" si="5"/>
        <v>0</v>
      </c>
      <c r="R16" s="38">
        <f t="shared" si="6"/>
        <v>518.40000000000009</v>
      </c>
      <c r="S16" s="40">
        <f t="shared" si="4"/>
        <v>518.40000000000009</v>
      </c>
    </row>
    <row r="17" spans="1:19">
      <c r="A17" s="198">
        <v>46184</v>
      </c>
      <c r="B17" s="37"/>
      <c r="C17" s="190"/>
      <c r="D17" s="190"/>
      <c r="E17" s="170"/>
      <c r="F17" s="170"/>
      <c r="G17" s="191"/>
      <c r="H17" s="191"/>
      <c r="I17" s="170"/>
      <c r="J17" s="188">
        <v>0</v>
      </c>
      <c r="K17" s="190">
        <v>24</v>
      </c>
      <c r="L17" s="38">
        <f t="shared" si="0"/>
        <v>0</v>
      </c>
      <c r="M17" s="38">
        <f t="shared" si="1"/>
        <v>0</v>
      </c>
      <c r="N17" s="38">
        <f t="shared" si="2"/>
        <v>0</v>
      </c>
      <c r="O17" s="38">
        <f t="shared" si="3"/>
        <v>0</v>
      </c>
      <c r="P17" s="38">
        <f t="shared" si="3"/>
        <v>0</v>
      </c>
      <c r="Q17" s="38">
        <f t="shared" si="5"/>
        <v>0</v>
      </c>
      <c r="R17" s="38">
        <f t="shared" si="6"/>
        <v>518.40000000000009</v>
      </c>
      <c r="S17" s="40">
        <f t="shared" si="4"/>
        <v>518.40000000000009</v>
      </c>
    </row>
    <row r="18" spans="1:19">
      <c r="A18" s="198">
        <v>46185</v>
      </c>
      <c r="B18" s="37"/>
      <c r="C18" s="192"/>
      <c r="D18" s="192"/>
      <c r="E18" s="193"/>
      <c r="F18" s="193"/>
      <c r="G18" s="194"/>
      <c r="H18" s="194"/>
      <c r="I18" s="193"/>
      <c r="J18" s="188">
        <v>0</v>
      </c>
      <c r="K18" s="190">
        <v>24</v>
      </c>
      <c r="L18" s="38">
        <f t="shared" si="0"/>
        <v>0</v>
      </c>
      <c r="M18" s="38">
        <f t="shared" si="1"/>
        <v>0</v>
      </c>
      <c r="N18" s="38">
        <f t="shared" si="2"/>
        <v>0</v>
      </c>
      <c r="O18" s="38">
        <f t="shared" si="3"/>
        <v>0</v>
      </c>
      <c r="P18" s="38">
        <f t="shared" si="3"/>
        <v>0</v>
      </c>
      <c r="Q18" s="38">
        <f t="shared" si="5"/>
        <v>0</v>
      </c>
      <c r="R18" s="38">
        <f t="shared" si="6"/>
        <v>518.40000000000009</v>
      </c>
      <c r="S18" s="40">
        <f t="shared" si="4"/>
        <v>518.40000000000009</v>
      </c>
    </row>
    <row r="19" spans="1:19">
      <c r="A19" s="198">
        <v>46186</v>
      </c>
      <c r="B19" s="37"/>
      <c r="C19" s="190"/>
      <c r="D19" s="190"/>
      <c r="E19" s="170"/>
      <c r="F19" s="170"/>
      <c r="G19" s="191"/>
      <c r="H19" s="191"/>
      <c r="I19" s="170"/>
      <c r="J19" s="188">
        <v>0</v>
      </c>
      <c r="K19" s="190">
        <v>24</v>
      </c>
      <c r="L19" s="38">
        <f t="shared" si="0"/>
        <v>0</v>
      </c>
      <c r="M19" s="38">
        <f t="shared" si="1"/>
        <v>0</v>
      </c>
      <c r="N19" s="38">
        <f t="shared" si="2"/>
        <v>0</v>
      </c>
      <c r="O19" s="38">
        <f t="shared" si="3"/>
        <v>0</v>
      </c>
      <c r="P19" s="38">
        <f t="shared" si="3"/>
        <v>0</v>
      </c>
      <c r="Q19" s="38">
        <f t="shared" si="5"/>
        <v>0</v>
      </c>
      <c r="R19" s="38">
        <f t="shared" si="6"/>
        <v>518.40000000000009</v>
      </c>
      <c r="S19" s="40">
        <f t="shared" si="4"/>
        <v>518.40000000000009</v>
      </c>
    </row>
    <row r="20" spans="1:19">
      <c r="A20" s="198">
        <v>46187</v>
      </c>
      <c r="B20" s="37"/>
      <c r="C20" s="190"/>
      <c r="D20" s="190"/>
      <c r="E20" s="170"/>
      <c r="F20" s="170"/>
      <c r="G20" s="191"/>
      <c r="H20" s="191"/>
      <c r="I20" s="170"/>
      <c r="J20" s="188">
        <v>0</v>
      </c>
      <c r="K20" s="190">
        <v>24</v>
      </c>
      <c r="L20" s="38">
        <f t="shared" si="0"/>
        <v>0</v>
      </c>
      <c r="M20" s="38">
        <f t="shared" si="1"/>
        <v>0</v>
      </c>
      <c r="N20" s="38">
        <f t="shared" si="2"/>
        <v>0</v>
      </c>
      <c r="O20" s="38">
        <f t="shared" si="3"/>
        <v>0</v>
      </c>
      <c r="P20" s="38">
        <f t="shared" si="3"/>
        <v>0</v>
      </c>
      <c r="Q20" s="38">
        <f t="shared" si="5"/>
        <v>0</v>
      </c>
      <c r="R20" s="38">
        <f t="shared" si="6"/>
        <v>518.40000000000009</v>
      </c>
      <c r="S20" s="40">
        <f t="shared" si="4"/>
        <v>518.40000000000009</v>
      </c>
    </row>
    <row r="21" spans="1:19">
      <c r="A21" s="198">
        <v>46188</v>
      </c>
      <c r="B21" s="37"/>
      <c r="C21" s="190"/>
      <c r="D21" s="190"/>
      <c r="E21" s="170"/>
      <c r="F21" s="170"/>
      <c r="G21" s="191"/>
      <c r="H21" s="191"/>
      <c r="I21" s="170"/>
      <c r="J21" s="188">
        <v>0</v>
      </c>
      <c r="K21" s="190">
        <v>24</v>
      </c>
      <c r="L21" s="38">
        <f t="shared" si="0"/>
        <v>0</v>
      </c>
      <c r="M21" s="38">
        <f t="shared" si="1"/>
        <v>0</v>
      </c>
      <c r="N21" s="38">
        <f t="shared" si="2"/>
        <v>0</v>
      </c>
      <c r="O21" s="38">
        <f t="shared" si="3"/>
        <v>0</v>
      </c>
      <c r="P21" s="38">
        <f t="shared" si="3"/>
        <v>0</v>
      </c>
      <c r="Q21" s="38">
        <f t="shared" si="5"/>
        <v>0</v>
      </c>
      <c r="R21" s="38">
        <f t="shared" si="6"/>
        <v>518.40000000000009</v>
      </c>
      <c r="S21" s="40">
        <f t="shared" si="4"/>
        <v>518.40000000000009</v>
      </c>
    </row>
    <row r="22" spans="1:19">
      <c r="A22" s="198">
        <v>46189</v>
      </c>
      <c r="B22" s="37"/>
      <c r="C22" s="190"/>
      <c r="D22" s="190"/>
      <c r="E22" s="170"/>
      <c r="F22" s="170"/>
      <c r="G22" s="191"/>
      <c r="H22" s="191"/>
      <c r="I22" s="170"/>
      <c r="J22" s="188">
        <v>0</v>
      </c>
      <c r="K22" s="190">
        <v>24</v>
      </c>
      <c r="L22" s="38">
        <f t="shared" si="0"/>
        <v>0</v>
      </c>
      <c r="M22" s="38">
        <f t="shared" si="1"/>
        <v>0</v>
      </c>
      <c r="N22" s="38">
        <f t="shared" si="2"/>
        <v>0</v>
      </c>
      <c r="O22" s="38">
        <f t="shared" si="3"/>
        <v>0</v>
      </c>
      <c r="P22" s="38">
        <f t="shared" si="3"/>
        <v>0</v>
      </c>
      <c r="Q22" s="38">
        <f t="shared" si="5"/>
        <v>0</v>
      </c>
      <c r="R22" s="38">
        <f t="shared" si="6"/>
        <v>518.40000000000009</v>
      </c>
      <c r="S22" s="40">
        <f t="shared" si="4"/>
        <v>518.40000000000009</v>
      </c>
    </row>
    <row r="23" spans="1:19">
      <c r="A23" s="198">
        <v>46190</v>
      </c>
      <c r="B23" s="37"/>
      <c r="C23" s="190">
        <v>2</v>
      </c>
      <c r="D23" s="190"/>
      <c r="E23" s="170"/>
      <c r="F23" s="170"/>
      <c r="G23" s="191"/>
      <c r="H23" s="191"/>
      <c r="I23" s="170"/>
      <c r="J23" s="188">
        <v>0</v>
      </c>
      <c r="K23" s="190">
        <v>26</v>
      </c>
      <c r="L23" s="38">
        <f t="shared" si="0"/>
        <v>336</v>
      </c>
      <c r="M23" s="38">
        <f t="shared" si="1"/>
        <v>0</v>
      </c>
      <c r="N23" s="38">
        <f t="shared" si="2"/>
        <v>0</v>
      </c>
      <c r="O23" s="38">
        <f t="shared" si="3"/>
        <v>0</v>
      </c>
      <c r="P23" s="38">
        <f t="shared" si="3"/>
        <v>0</v>
      </c>
      <c r="Q23" s="38">
        <f t="shared" si="5"/>
        <v>0</v>
      </c>
      <c r="R23" s="38">
        <f t="shared" si="6"/>
        <v>561.6</v>
      </c>
      <c r="S23" s="40">
        <f t="shared" si="4"/>
        <v>897.6</v>
      </c>
    </row>
    <row r="24" spans="1:19">
      <c r="A24" s="198">
        <v>46191</v>
      </c>
      <c r="B24" s="37"/>
      <c r="C24" s="190"/>
      <c r="D24" s="190"/>
      <c r="E24" s="170"/>
      <c r="F24" s="170"/>
      <c r="G24" s="191"/>
      <c r="H24" s="191"/>
      <c r="I24" s="170"/>
      <c r="J24" s="188">
        <v>0</v>
      </c>
      <c r="K24" s="190">
        <v>26</v>
      </c>
      <c r="L24" s="38">
        <f t="shared" si="0"/>
        <v>0</v>
      </c>
      <c r="M24" s="38">
        <f t="shared" si="1"/>
        <v>0</v>
      </c>
      <c r="N24" s="38">
        <f t="shared" si="2"/>
        <v>0</v>
      </c>
      <c r="O24" s="38">
        <f t="shared" si="3"/>
        <v>0</v>
      </c>
      <c r="P24" s="38">
        <f t="shared" si="3"/>
        <v>0</v>
      </c>
      <c r="Q24" s="38">
        <f t="shared" si="5"/>
        <v>0</v>
      </c>
      <c r="R24" s="38">
        <f t="shared" si="6"/>
        <v>561.6</v>
      </c>
      <c r="S24" s="40">
        <f t="shared" si="4"/>
        <v>561.6</v>
      </c>
    </row>
    <row r="25" spans="1:19">
      <c r="A25" s="198">
        <v>46192</v>
      </c>
      <c r="B25" s="37"/>
      <c r="C25" s="190"/>
      <c r="D25" s="190"/>
      <c r="E25" s="170"/>
      <c r="F25" s="170"/>
      <c r="G25" s="191"/>
      <c r="H25" s="191"/>
      <c r="I25" s="170"/>
      <c r="J25" s="188">
        <v>0</v>
      </c>
      <c r="K25" s="190">
        <v>26</v>
      </c>
      <c r="L25" s="38">
        <f t="shared" si="0"/>
        <v>0</v>
      </c>
      <c r="M25" s="38">
        <f t="shared" si="1"/>
        <v>0</v>
      </c>
      <c r="N25" s="38">
        <f t="shared" si="2"/>
        <v>0</v>
      </c>
      <c r="O25" s="38">
        <f t="shared" si="3"/>
        <v>0</v>
      </c>
      <c r="P25" s="38">
        <f t="shared" si="3"/>
        <v>0</v>
      </c>
      <c r="Q25" s="38">
        <f t="shared" si="5"/>
        <v>0</v>
      </c>
      <c r="R25" s="38">
        <f t="shared" si="6"/>
        <v>561.6</v>
      </c>
      <c r="S25" s="40">
        <f t="shared" si="4"/>
        <v>561.6</v>
      </c>
    </row>
    <row r="26" spans="1:19">
      <c r="A26" s="198">
        <v>46193</v>
      </c>
      <c r="B26" s="37"/>
      <c r="C26" s="190"/>
      <c r="D26" s="190"/>
      <c r="E26" s="170"/>
      <c r="F26" s="170"/>
      <c r="G26" s="191"/>
      <c r="H26" s="191"/>
      <c r="I26" s="170"/>
      <c r="J26" s="188">
        <v>0</v>
      </c>
      <c r="K26" s="190">
        <v>26</v>
      </c>
      <c r="L26" s="38">
        <f t="shared" si="0"/>
        <v>0</v>
      </c>
      <c r="M26" s="38">
        <f t="shared" si="1"/>
        <v>0</v>
      </c>
      <c r="N26" s="38">
        <f t="shared" si="2"/>
        <v>0</v>
      </c>
      <c r="O26" s="38">
        <f t="shared" si="3"/>
        <v>0</v>
      </c>
      <c r="P26" s="38">
        <f t="shared" si="3"/>
        <v>0</v>
      </c>
      <c r="Q26" s="38">
        <f t="shared" si="5"/>
        <v>0</v>
      </c>
      <c r="R26" s="38">
        <f t="shared" si="6"/>
        <v>561.6</v>
      </c>
      <c r="S26" s="40">
        <f t="shared" si="4"/>
        <v>561.6</v>
      </c>
    </row>
    <row r="27" spans="1:19">
      <c r="A27" s="198">
        <v>46194</v>
      </c>
      <c r="B27" s="37"/>
      <c r="C27" s="190"/>
      <c r="D27" s="190"/>
      <c r="E27" s="170"/>
      <c r="F27" s="170"/>
      <c r="G27" s="191"/>
      <c r="H27" s="191"/>
      <c r="I27" s="170"/>
      <c r="J27" s="188">
        <v>0</v>
      </c>
      <c r="K27" s="190">
        <v>26</v>
      </c>
      <c r="L27" s="38">
        <f t="shared" si="0"/>
        <v>0</v>
      </c>
      <c r="M27" s="38">
        <f t="shared" si="1"/>
        <v>0</v>
      </c>
      <c r="N27" s="38">
        <f t="shared" si="2"/>
        <v>0</v>
      </c>
      <c r="O27" s="38">
        <f t="shared" si="3"/>
        <v>0</v>
      </c>
      <c r="P27" s="38">
        <f t="shared" si="3"/>
        <v>0</v>
      </c>
      <c r="Q27" s="38">
        <f t="shared" si="5"/>
        <v>0</v>
      </c>
      <c r="R27" s="38">
        <f t="shared" si="6"/>
        <v>561.6</v>
      </c>
      <c r="S27" s="40">
        <f t="shared" si="4"/>
        <v>561.6</v>
      </c>
    </row>
    <row r="28" spans="1:19">
      <c r="A28" s="198">
        <v>46195</v>
      </c>
      <c r="B28" s="37"/>
      <c r="C28" s="190"/>
      <c r="D28" s="190"/>
      <c r="E28" s="170"/>
      <c r="F28" s="170"/>
      <c r="G28" s="191"/>
      <c r="H28" s="191"/>
      <c r="I28" s="170"/>
      <c r="J28" s="188">
        <v>0</v>
      </c>
      <c r="K28" s="190">
        <v>26</v>
      </c>
      <c r="L28" s="38">
        <f t="shared" si="0"/>
        <v>0</v>
      </c>
      <c r="M28" s="38">
        <f t="shared" si="1"/>
        <v>0</v>
      </c>
      <c r="N28" s="38">
        <f t="shared" si="2"/>
        <v>0</v>
      </c>
      <c r="O28" s="38">
        <f t="shared" si="3"/>
        <v>0</v>
      </c>
      <c r="P28" s="38">
        <f t="shared" si="3"/>
        <v>0</v>
      </c>
      <c r="Q28" s="38">
        <f t="shared" si="5"/>
        <v>0</v>
      </c>
      <c r="R28" s="38">
        <f t="shared" si="6"/>
        <v>561.6</v>
      </c>
      <c r="S28" s="40">
        <f t="shared" si="4"/>
        <v>561.6</v>
      </c>
    </row>
    <row r="29" spans="1:19">
      <c r="A29" s="198">
        <v>46196</v>
      </c>
      <c r="B29" s="37"/>
      <c r="C29" s="169"/>
      <c r="D29" s="169"/>
      <c r="E29" s="169"/>
      <c r="F29" s="169"/>
      <c r="G29" s="169"/>
      <c r="H29" s="169"/>
      <c r="I29" s="169"/>
      <c r="J29" s="188">
        <v>0</v>
      </c>
      <c r="K29" s="190">
        <v>26</v>
      </c>
      <c r="L29" s="38">
        <f t="shared" si="0"/>
        <v>0</v>
      </c>
      <c r="M29" s="38">
        <f t="shared" si="1"/>
        <v>0</v>
      </c>
      <c r="N29" s="38">
        <f t="shared" si="2"/>
        <v>0</v>
      </c>
      <c r="O29" s="38">
        <f t="shared" si="3"/>
        <v>0</v>
      </c>
      <c r="P29" s="38">
        <f t="shared" si="3"/>
        <v>0</v>
      </c>
      <c r="Q29" s="38">
        <f t="shared" si="5"/>
        <v>0</v>
      </c>
      <c r="R29" s="38">
        <f t="shared" si="6"/>
        <v>561.6</v>
      </c>
      <c r="S29" s="40">
        <f t="shared" si="4"/>
        <v>561.6</v>
      </c>
    </row>
    <row r="30" spans="1:19">
      <c r="A30" s="198">
        <v>46197</v>
      </c>
      <c r="B30" s="37"/>
      <c r="C30" s="190"/>
      <c r="D30" s="190"/>
      <c r="E30" s="170"/>
      <c r="F30" s="170"/>
      <c r="G30" s="191"/>
      <c r="H30" s="191"/>
      <c r="I30" s="170"/>
      <c r="J30" s="188">
        <v>0</v>
      </c>
      <c r="K30" s="190">
        <v>26</v>
      </c>
      <c r="L30" s="38">
        <f t="shared" si="0"/>
        <v>0</v>
      </c>
      <c r="M30" s="38">
        <f t="shared" si="1"/>
        <v>0</v>
      </c>
      <c r="N30" s="38">
        <f t="shared" si="2"/>
        <v>0</v>
      </c>
      <c r="O30" s="38">
        <f t="shared" si="3"/>
        <v>0</v>
      </c>
      <c r="P30" s="38">
        <f t="shared" si="3"/>
        <v>0</v>
      </c>
      <c r="Q30" s="38">
        <f t="shared" si="5"/>
        <v>0</v>
      </c>
      <c r="R30" s="38">
        <f t="shared" si="6"/>
        <v>561.6</v>
      </c>
      <c r="S30" s="40">
        <f t="shared" si="4"/>
        <v>561.6</v>
      </c>
    </row>
    <row r="31" spans="1:19">
      <c r="A31" s="198">
        <v>46198</v>
      </c>
      <c r="B31" s="37"/>
      <c r="C31" s="190"/>
      <c r="D31" s="190"/>
      <c r="E31" s="170"/>
      <c r="F31" s="170"/>
      <c r="G31" s="191"/>
      <c r="H31" s="191"/>
      <c r="I31" s="170"/>
      <c r="J31" s="188">
        <v>0</v>
      </c>
      <c r="K31" s="190">
        <v>26</v>
      </c>
      <c r="L31" s="38">
        <f t="shared" si="0"/>
        <v>0</v>
      </c>
      <c r="M31" s="38">
        <f t="shared" si="1"/>
        <v>0</v>
      </c>
      <c r="N31" s="38">
        <f t="shared" si="2"/>
        <v>0</v>
      </c>
      <c r="O31" s="38">
        <f t="shared" si="3"/>
        <v>0</v>
      </c>
      <c r="P31" s="38">
        <f t="shared" si="3"/>
        <v>0</v>
      </c>
      <c r="Q31" s="38">
        <f t="shared" si="5"/>
        <v>0</v>
      </c>
      <c r="R31" s="38">
        <f t="shared" si="6"/>
        <v>561.6</v>
      </c>
      <c r="S31" s="40">
        <f t="shared" si="4"/>
        <v>561.6</v>
      </c>
    </row>
    <row r="32" spans="1:19">
      <c r="A32" s="198">
        <v>46199</v>
      </c>
      <c r="B32" s="37"/>
      <c r="C32" s="190"/>
      <c r="D32" s="190"/>
      <c r="E32" s="170"/>
      <c r="F32" s="170"/>
      <c r="G32" s="191"/>
      <c r="H32" s="191"/>
      <c r="I32" s="170"/>
      <c r="J32" s="188">
        <v>0</v>
      </c>
      <c r="K32" s="190">
        <v>26</v>
      </c>
      <c r="L32" s="38">
        <f t="shared" si="0"/>
        <v>0</v>
      </c>
      <c r="M32" s="38">
        <f t="shared" si="1"/>
        <v>0</v>
      </c>
      <c r="N32" s="38">
        <f t="shared" si="2"/>
        <v>0</v>
      </c>
      <c r="O32" s="38">
        <f t="shared" si="3"/>
        <v>0</v>
      </c>
      <c r="P32" s="38">
        <f t="shared" si="3"/>
        <v>0</v>
      </c>
      <c r="Q32" s="38">
        <f t="shared" si="5"/>
        <v>0</v>
      </c>
      <c r="R32" s="38">
        <f t="shared" si="6"/>
        <v>561.6</v>
      </c>
      <c r="S32" s="40">
        <f t="shared" si="4"/>
        <v>561.6</v>
      </c>
    </row>
    <row r="33" spans="1:19">
      <c r="A33" s="198">
        <v>46200</v>
      </c>
      <c r="B33" s="37"/>
      <c r="C33" s="190"/>
      <c r="D33" s="190"/>
      <c r="E33" s="170"/>
      <c r="F33" s="170"/>
      <c r="G33" s="191"/>
      <c r="H33" s="191"/>
      <c r="I33" s="170"/>
      <c r="J33" s="188">
        <v>0</v>
      </c>
      <c r="K33" s="190">
        <v>26</v>
      </c>
      <c r="L33" s="38">
        <f t="shared" si="0"/>
        <v>0</v>
      </c>
      <c r="M33" s="38">
        <f t="shared" si="1"/>
        <v>0</v>
      </c>
      <c r="N33" s="38">
        <f t="shared" si="2"/>
        <v>0</v>
      </c>
      <c r="O33" s="38">
        <f t="shared" si="3"/>
        <v>0</v>
      </c>
      <c r="P33" s="38">
        <f t="shared" si="3"/>
        <v>0</v>
      </c>
      <c r="Q33" s="38">
        <f t="shared" si="5"/>
        <v>0</v>
      </c>
      <c r="R33" s="38">
        <f t="shared" si="6"/>
        <v>561.6</v>
      </c>
      <c r="S33" s="40">
        <f t="shared" si="4"/>
        <v>561.6</v>
      </c>
    </row>
    <row r="34" spans="1:19">
      <c r="A34" s="198">
        <v>46201</v>
      </c>
      <c r="B34" s="37"/>
      <c r="C34" s="190"/>
      <c r="D34" s="190"/>
      <c r="E34" s="170"/>
      <c r="F34" s="170"/>
      <c r="G34" s="170"/>
      <c r="H34" s="191"/>
      <c r="I34" s="170"/>
      <c r="J34" s="188">
        <v>0</v>
      </c>
      <c r="K34" s="190">
        <v>26</v>
      </c>
      <c r="L34" s="38">
        <f t="shared" si="0"/>
        <v>0</v>
      </c>
      <c r="M34" s="38">
        <f t="shared" si="1"/>
        <v>0</v>
      </c>
      <c r="N34" s="38">
        <f t="shared" si="2"/>
        <v>0</v>
      </c>
      <c r="O34" s="38">
        <f t="shared" si="3"/>
        <v>0</v>
      </c>
      <c r="P34" s="38">
        <f t="shared" si="3"/>
        <v>0</v>
      </c>
      <c r="Q34" s="38">
        <f t="shared" si="5"/>
        <v>0</v>
      </c>
      <c r="R34" s="38">
        <f t="shared" si="6"/>
        <v>561.6</v>
      </c>
      <c r="S34" s="40">
        <f t="shared" si="4"/>
        <v>561.6</v>
      </c>
    </row>
    <row r="35" spans="1:19">
      <c r="A35" s="198">
        <v>46202</v>
      </c>
      <c r="B35" s="37"/>
      <c r="C35" s="190"/>
      <c r="D35" s="190"/>
      <c r="E35" s="170"/>
      <c r="F35" s="170"/>
      <c r="G35" s="170"/>
      <c r="H35" s="191"/>
      <c r="I35" s="170"/>
      <c r="J35" s="188"/>
      <c r="K35" s="190">
        <v>26</v>
      </c>
      <c r="L35" s="38">
        <f t="shared" si="0"/>
        <v>0</v>
      </c>
      <c r="M35" s="38">
        <f t="shared" si="1"/>
        <v>0</v>
      </c>
      <c r="N35" s="38">
        <f t="shared" si="2"/>
        <v>0</v>
      </c>
      <c r="O35" s="38">
        <f t="shared" si="3"/>
        <v>0</v>
      </c>
      <c r="P35" s="38">
        <f t="shared" si="3"/>
        <v>0</v>
      </c>
      <c r="Q35" s="38">
        <f t="shared" si="5"/>
        <v>0</v>
      </c>
      <c r="R35" s="38">
        <f t="shared" si="6"/>
        <v>561.6</v>
      </c>
      <c r="S35" s="40">
        <f t="shared" si="4"/>
        <v>561.6</v>
      </c>
    </row>
    <row r="36" spans="1:19">
      <c r="A36" s="198">
        <v>46203</v>
      </c>
      <c r="B36" s="37"/>
      <c r="C36" s="190"/>
      <c r="D36" s="190"/>
      <c r="E36" s="170"/>
      <c r="F36" s="170"/>
      <c r="G36" s="170"/>
      <c r="H36" s="191"/>
      <c r="I36" s="170"/>
      <c r="J36" s="188"/>
      <c r="K36" s="190">
        <v>26</v>
      </c>
      <c r="L36" s="38">
        <f t="shared" si="0"/>
        <v>0</v>
      </c>
      <c r="M36" s="38">
        <f t="shared" si="1"/>
        <v>0</v>
      </c>
      <c r="N36" s="38">
        <f t="shared" si="2"/>
        <v>0</v>
      </c>
      <c r="O36" s="38">
        <f t="shared" si="3"/>
        <v>0</v>
      </c>
      <c r="P36" s="38">
        <f t="shared" si="3"/>
        <v>0</v>
      </c>
      <c r="Q36" s="38">
        <f t="shared" si="5"/>
        <v>0</v>
      </c>
      <c r="R36" s="38">
        <f t="shared" si="6"/>
        <v>561.6</v>
      </c>
      <c r="S36" s="40">
        <f t="shared" si="4"/>
        <v>561.6</v>
      </c>
    </row>
    <row r="37" spans="1:19" ht="15.75" thickBot="1">
      <c r="A37" s="198"/>
      <c r="B37" s="37"/>
      <c r="C37" s="190"/>
      <c r="D37" s="190"/>
      <c r="E37" s="170"/>
      <c r="F37" s="170"/>
      <c r="G37" s="170"/>
      <c r="H37" s="191"/>
      <c r="I37" s="170"/>
      <c r="J37" s="188"/>
      <c r="K37" s="190"/>
      <c r="L37" s="38">
        <f t="shared" si="0"/>
        <v>0</v>
      </c>
      <c r="M37" s="38">
        <f t="shared" si="1"/>
        <v>0</v>
      </c>
      <c r="N37" s="38">
        <f t="shared" si="2"/>
        <v>0</v>
      </c>
      <c r="O37" s="38">
        <f t="shared" si="3"/>
        <v>0</v>
      </c>
      <c r="P37" s="38">
        <f t="shared" si="3"/>
        <v>0</v>
      </c>
      <c r="Q37" s="38">
        <f t="shared" si="5"/>
        <v>0</v>
      </c>
      <c r="R37" s="38">
        <f t="shared" si="6"/>
        <v>0</v>
      </c>
      <c r="S37" s="40">
        <f t="shared" si="4"/>
        <v>0</v>
      </c>
    </row>
    <row r="38" spans="1:19" ht="15.75" thickBot="1">
      <c r="A38" s="199" t="s">
        <v>26</v>
      </c>
      <c r="B38" s="41"/>
      <c r="C38" s="42">
        <f t="shared" ref="C38:K38" si="7">SUM(C7:C37)</f>
        <v>2</v>
      </c>
      <c r="D38" s="42">
        <f t="shared" si="7"/>
        <v>0</v>
      </c>
      <c r="E38" s="42">
        <f t="shared" si="7"/>
        <v>8</v>
      </c>
      <c r="F38" s="42">
        <f t="shared" si="7"/>
        <v>0</v>
      </c>
      <c r="G38" s="42">
        <f t="shared" si="7"/>
        <v>0</v>
      </c>
      <c r="H38" s="42">
        <f t="shared" si="7"/>
        <v>0</v>
      </c>
      <c r="I38" s="42">
        <f t="shared" si="7"/>
        <v>0</v>
      </c>
      <c r="J38" s="42">
        <f t="shared" si="7"/>
        <v>0</v>
      </c>
      <c r="K38" s="42">
        <f t="shared" si="7"/>
        <v>788</v>
      </c>
      <c r="L38" s="43">
        <f>SUM(L7:L37)</f>
        <v>336</v>
      </c>
      <c r="M38" s="43">
        <f t="shared" ref="M38:R38" si="8">SUM(M7:M37)</f>
        <v>0</v>
      </c>
      <c r="N38" s="43">
        <f t="shared" si="8"/>
        <v>1344</v>
      </c>
      <c r="O38" s="43">
        <f t="shared" si="8"/>
        <v>0</v>
      </c>
      <c r="P38" s="43">
        <f t="shared" si="8"/>
        <v>0</v>
      </c>
      <c r="Q38" s="43">
        <f t="shared" si="8"/>
        <v>0</v>
      </c>
      <c r="R38" s="44">
        <f t="shared" si="8"/>
        <v>17020.800000000003</v>
      </c>
      <c r="S38" s="45">
        <f>SUM(S7:S37)</f>
        <v>18700.799999999996</v>
      </c>
    </row>
    <row r="39" spans="1:19">
      <c r="C39" s="185"/>
      <c r="D39" s="185"/>
      <c r="E39" s="185"/>
      <c r="F39" s="185"/>
      <c r="G39" s="185"/>
      <c r="H39" s="185"/>
      <c r="I39" s="185"/>
      <c r="J39" s="185"/>
      <c r="K39" s="185"/>
      <c r="R39" s="195" t="s">
        <v>26</v>
      </c>
      <c r="S39" s="200">
        <f>S38</f>
        <v>18700.799999999996</v>
      </c>
    </row>
  </sheetData>
  <mergeCells count="55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O5:O6"/>
    <mergeCell ref="P5:P6"/>
    <mergeCell ref="Q5:Q6"/>
    <mergeCell ref="R5:R6"/>
    <mergeCell ref="S5:S6"/>
    <mergeCell ref="A7:B7"/>
    <mergeCell ref="H5:H6"/>
    <mergeCell ref="I5:I6"/>
    <mergeCell ref="J5:J6"/>
    <mergeCell ref="L5:L6"/>
    <mergeCell ref="M5:M6"/>
    <mergeCell ref="N5:N6"/>
    <mergeCell ref="A5:B6"/>
    <mergeCell ref="C5:C6"/>
    <mergeCell ref="D5:D6"/>
    <mergeCell ref="E5:E6"/>
    <mergeCell ref="F5:F6"/>
    <mergeCell ref="G5:G6"/>
    <mergeCell ref="H1:I1"/>
    <mergeCell ref="H2:I2"/>
    <mergeCell ref="H3:I3"/>
    <mergeCell ref="A4:G4"/>
    <mergeCell ref="H4:I4"/>
    <mergeCell ref="L4:S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434C-A557-4855-9750-709117B2BD32}">
  <dimension ref="A1:K36"/>
  <sheetViews>
    <sheetView topLeftCell="A16" workbookViewId="0">
      <selection activeCell="G35" sqref="G35"/>
    </sheetView>
  </sheetViews>
  <sheetFormatPr defaultRowHeight="15"/>
  <cols>
    <col min="1" max="4" width="9.140625" style="48"/>
    <col min="5" max="5" width="12.85546875" style="48" customWidth="1"/>
    <col min="6" max="10" width="9.140625" style="48"/>
    <col min="11" max="11" width="10.85546875" style="48" customWidth="1"/>
    <col min="12" max="16384" width="9.140625" style="48"/>
  </cols>
  <sheetData>
    <row r="1" spans="1:11">
      <c r="A1" s="201">
        <f>K36</f>
        <v>42893</v>
      </c>
    </row>
    <row r="2" spans="1:11">
      <c r="A2" s="77" t="s">
        <v>125</v>
      </c>
      <c r="B2" s="77"/>
      <c r="C2" s="77"/>
      <c r="D2" s="77"/>
      <c r="E2" s="77"/>
      <c r="F2" s="77"/>
      <c r="G2" s="77"/>
      <c r="H2" s="77"/>
    </row>
    <row r="3" spans="1:11" ht="28.9" customHeight="1">
      <c r="A3" s="165" t="s">
        <v>0</v>
      </c>
      <c r="B3" s="166" t="s">
        <v>1</v>
      </c>
      <c r="C3" s="167"/>
      <c r="D3" s="165" t="s">
        <v>104</v>
      </c>
      <c r="E3" s="202" t="s">
        <v>126</v>
      </c>
      <c r="F3" s="203"/>
      <c r="G3" s="168" t="s">
        <v>4</v>
      </c>
      <c r="H3" s="165" t="s">
        <v>11</v>
      </c>
      <c r="I3" s="165" t="s">
        <v>127</v>
      </c>
      <c r="J3" s="165" t="s">
        <v>13</v>
      </c>
      <c r="K3" s="165" t="s">
        <v>18</v>
      </c>
    </row>
    <row r="4" spans="1:11" ht="30">
      <c r="A4" s="54"/>
      <c r="B4" s="55"/>
      <c r="C4" s="56"/>
      <c r="D4" s="54"/>
      <c r="E4" s="204" t="s">
        <v>128</v>
      </c>
      <c r="F4" s="204" t="s">
        <v>129</v>
      </c>
      <c r="G4" s="57" t="s">
        <v>114</v>
      </c>
      <c r="H4" s="54"/>
      <c r="I4" s="54"/>
      <c r="J4" s="54"/>
      <c r="K4" s="54"/>
    </row>
    <row r="5" spans="1:11">
      <c r="A5" s="169">
        <v>1</v>
      </c>
      <c r="B5" s="78">
        <v>46174</v>
      </c>
      <c r="C5" s="79"/>
      <c r="D5" s="182"/>
      <c r="E5" s="171"/>
      <c r="F5" s="171"/>
      <c r="G5" s="206">
        <v>64</v>
      </c>
      <c r="H5" s="171">
        <f t="shared" ref="H5:H35" si="0">SUM(D5*60)</f>
        <v>0</v>
      </c>
      <c r="I5" s="171">
        <f>SUM(E5*25+F5*7)</f>
        <v>0</v>
      </c>
      <c r="J5" s="171">
        <f t="shared" ref="J5:J35" si="1">SUM(G5*15)</f>
        <v>960</v>
      </c>
      <c r="K5" s="171">
        <f t="shared" ref="K5:K35" si="2">SUM(H5:J5)</f>
        <v>960</v>
      </c>
    </row>
    <row r="6" spans="1:11">
      <c r="A6" s="169">
        <v>2</v>
      </c>
      <c r="B6" s="78">
        <v>46175</v>
      </c>
      <c r="C6" s="79"/>
      <c r="D6" s="182">
        <v>20</v>
      </c>
      <c r="E6" s="171">
        <v>36</v>
      </c>
      <c r="F6" s="171"/>
      <c r="G6" s="206">
        <v>84</v>
      </c>
      <c r="H6" s="171">
        <f t="shared" si="0"/>
        <v>1200</v>
      </c>
      <c r="I6" s="171">
        <f>SUM(E6*25+F6*7)</f>
        <v>900</v>
      </c>
      <c r="J6" s="171">
        <f t="shared" si="1"/>
        <v>1260</v>
      </c>
      <c r="K6" s="171">
        <f t="shared" si="2"/>
        <v>3360</v>
      </c>
    </row>
    <row r="7" spans="1:11">
      <c r="A7" s="169">
        <v>3</v>
      </c>
      <c r="B7" s="78">
        <v>46176</v>
      </c>
      <c r="C7" s="79"/>
      <c r="D7" s="182"/>
      <c r="E7" s="171">
        <v>32</v>
      </c>
      <c r="F7" s="171"/>
      <c r="G7" s="206">
        <v>75</v>
      </c>
      <c r="H7" s="171">
        <f t="shared" si="0"/>
        <v>0</v>
      </c>
      <c r="I7" s="171">
        <f>SUM(E7*25+F7*7)</f>
        <v>800</v>
      </c>
      <c r="J7" s="171">
        <f t="shared" si="1"/>
        <v>1125</v>
      </c>
      <c r="K7" s="171">
        <f t="shared" si="2"/>
        <v>1925</v>
      </c>
    </row>
    <row r="8" spans="1:11">
      <c r="A8" s="169">
        <v>4</v>
      </c>
      <c r="B8" s="78">
        <v>46177</v>
      </c>
      <c r="C8" s="79"/>
      <c r="D8" s="182"/>
      <c r="E8" s="171">
        <v>53</v>
      </c>
      <c r="F8" s="171">
        <v>14</v>
      </c>
      <c r="G8" s="206">
        <v>67</v>
      </c>
      <c r="H8" s="171">
        <f t="shared" si="0"/>
        <v>0</v>
      </c>
      <c r="I8" s="171">
        <f t="shared" ref="I8:I35" si="3">SUM(E8*25+F8*7)</f>
        <v>1423</v>
      </c>
      <c r="J8" s="171">
        <f t="shared" si="1"/>
        <v>1005</v>
      </c>
      <c r="K8" s="171">
        <f t="shared" si="2"/>
        <v>2428</v>
      </c>
    </row>
    <row r="9" spans="1:11">
      <c r="A9" s="169">
        <v>5</v>
      </c>
      <c r="B9" s="78">
        <v>46178</v>
      </c>
      <c r="C9" s="79"/>
      <c r="D9" s="182"/>
      <c r="E9" s="171"/>
      <c r="F9" s="171"/>
      <c r="G9" s="206">
        <v>55</v>
      </c>
      <c r="H9" s="171">
        <f t="shared" si="0"/>
        <v>0</v>
      </c>
      <c r="I9" s="171">
        <f t="shared" si="3"/>
        <v>0</v>
      </c>
      <c r="J9" s="171">
        <f t="shared" si="1"/>
        <v>825</v>
      </c>
      <c r="K9" s="171">
        <f t="shared" si="2"/>
        <v>825</v>
      </c>
    </row>
    <row r="10" spans="1:11">
      <c r="A10" s="169">
        <v>6</v>
      </c>
      <c r="B10" s="78">
        <v>46179</v>
      </c>
      <c r="C10" s="79"/>
      <c r="D10" s="182"/>
      <c r="E10" s="171"/>
      <c r="F10" s="171"/>
      <c r="G10" s="206">
        <v>55</v>
      </c>
      <c r="H10" s="171">
        <f t="shared" si="0"/>
        <v>0</v>
      </c>
      <c r="I10" s="171">
        <f t="shared" si="3"/>
        <v>0</v>
      </c>
      <c r="J10" s="171">
        <f t="shared" si="1"/>
        <v>825</v>
      </c>
      <c r="K10" s="171">
        <f t="shared" si="2"/>
        <v>825</v>
      </c>
    </row>
    <row r="11" spans="1:11">
      <c r="A11" s="169">
        <v>7</v>
      </c>
      <c r="B11" s="78">
        <v>46180</v>
      </c>
      <c r="C11" s="79"/>
      <c r="D11" s="182"/>
      <c r="E11" s="171"/>
      <c r="F11" s="171"/>
      <c r="G11" s="206">
        <v>55</v>
      </c>
      <c r="H11" s="171">
        <f t="shared" si="0"/>
        <v>0</v>
      </c>
      <c r="I11" s="171">
        <f t="shared" si="3"/>
        <v>0</v>
      </c>
      <c r="J11" s="171">
        <f t="shared" si="1"/>
        <v>825</v>
      </c>
      <c r="K11" s="171">
        <f t="shared" si="2"/>
        <v>825</v>
      </c>
    </row>
    <row r="12" spans="1:11">
      <c r="A12" s="169">
        <v>8</v>
      </c>
      <c r="B12" s="78">
        <v>46181</v>
      </c>
      <c r="C12" s="79"/>
      <c r="D12" s="182"/>
      <c r="E12" s="171"/>
      <c r="F12" s="171"/>
      <c r="G12" s="206">
        <v>55</v>
      </c>
      <c r="H12" s="171">
        <f t="shared" si="0"/>
        <v>0</v>
      </c>
      <c r="I12" s="171">
        <f t="shared" si="3"/>
        <v>0</v>
      </c>
      <c r="J12" s="171">
        <f t="shared" si="1"/>
        <v>825</v>
      </c>
      <c r="K12" s="171">
        <f t="shared" si="2"/>
        <v>825</v>
      </c>
    </row>
    <row r="13" spans="1:11">
      <c r="A13" s="169">
        <v>9</v>
      </c>
      <c r="B13" s="78">
        <v>46182</v>
      </c>
      <c r="C13" s="79"/>
      <c r="D13" s="182">
        <v>20</v>
      </c>
      <c r="E13" s="171"/>
      <c r="F13" s="171"/>
      <c r="G13" s="206">
        <v>75</v>
      </c>
      <c r="H13" s="171">
        <f t="shared" si="0"/>
        <v>1200</v>
      </c>
      <c r="I13" s="171">
        <f t="shared" si="3"/>
        <v>0</v>
      </c>
      <c r="J13" s="171">
        <f t="shared" si="1"/>
        <v>1125</v>
      </c>
      <c r="K13" s="171">
        <f t="shared" si="2"/>
        <v>2325</v>
      </c>
    </row>
    <row r="14" spans="1:11">
      <c r="A14" s="169">
        <v>10</v>
      </c>
      <c r="B14" s="78">
        <v>46183</v>
      </c>
      <c r="C14" s="79"/>
      <c r="D14" s="182"/>
      <c r="E14" s="171"/>
      <c r="F14" s="171"/>
      <c r="G14" s="206">
        <v>75</v>
      </c>
      <c r="H14" s="171">
        <f t="shared" si="0"/>
        <v>0</v>
      </c>
      <c r="I14" s="171">
        <f t="shared" si="3"/>
        <v>0</v>
      </c>
      <c r="J14" s="171">
        <f t="shared" si="1"/>
        <v>1125</v>
      </c>
      <c r="K14" s="171">
        <f t="shared" si="2"/>
        <v>1125</v>
      </c>
    </row>
    <row r="15" spans="1:11">
      <c r="A15" s="169">
        <v>11</v>
      </c>
      <c r="B15" s="78">
        <v>46184</v>
      </c>
      <c r="C15" s="79"/>
      <c r="D15" s="182"/>
      <c r="E15" s="171">
        <v>70</v>
      </c>
      <c r="F15" s="171">
        <v>2</v>
      </c>
      <c r="G15" s="206">
        <v>75</v>
      </c>
      <c r="H15" s="171">
        <f t="shared" si="0"/>
        <v>0</v>
      </c>
      <c r="I15" s="171">
        <f t="shared" si="3"/>
        <v>1764</v>
      </c>
      <c r="J15" s="171">
        <f t="shared" si="1"/>
        <v>1125</v>
      </c>
      <c r="K15" s="171">
        <f t="shared" si="2"/>
        <v>2889</v>
      </c>
    </row>
    <row r="16" spans="1:11">
      <c r="A16" s="169">
        <v>12</v>
      </c>
      <c r="B16" s="78">
        <v>46185</v>
      </c>
      <c r="C16" s="79"/>
      <c r="D16" s="182"/>
      <c r="E16" s="171"/>
      <c r="F16" s="171"/>
      <c r="G16" s="206">
        <v>58</v>
      </c>
      <c r="H16" s="171">
        <f t="shared" si="0"/>
        <v>0</v>
      </c>
      <c r="I16" s="171">
        <f t="shared" si="3"/>
        <v>0</v>
      </c>
      <c r="J16" s="171">
        <f t="shared" si="1"/>
        <v>870</v>
      </c>
      <c r="K16" s="171">
        <f t="shared" si="2"/>
        <v>870</v>
      </c>
    </row>
    <row r="17" spans="1:11">
      <c r="A17" s="169">
        <v>13</v>
      </c>
      <c r="B17" s="78">
        <v>46186</v>
      </c>
      <c r="C17" s="79"/>
      <c r="D17" s="182"/>
      <c r="E17" s="171"/>
      <c r="F17" s="171"/>
      <c r="G17" s="206">
        <v>58</v>
      </c>
      <c r="H17" s="171">
        <f t="shared" si="0"/>
        <v>0</v>
      </c>
      <c r="I17" s="171">
        <f t="shared" si="3"/>
        <v>0</v>
      </c>
      <c r="J17" s="171">
        <f t="shared" si="1"/>
        <v>870</v>
      </c>
      <c r="K17" s="171">
        <f t="shared" si="2"/>
        <v>870</v>
      </c>
    </row>
    <row r="18" spans="1:11">
      <c r="A18" s="169">
        <v>14</v>
      </c>
      <c r="B18" s="78">
        <v>46187</v>
      </c>
      <c r="C18" s="79"/>
      <c r="D18" s="182"/>
      <c r="E18" s="171"/>
      <c r="F18" s="171"/>
      <c r="G18" s="206">
        <v>58</v>
      </c>
      <c r="H18" s="171">
        <f t="shared" si="0"/>
        <v>0</v>
      </c>
      <c r="I18" s="171">
        <f t="shared" si="3"/>
        <v>0</v>
      </c>
      <c r="J18" s="171">
        <f t="shared" si="1"/>
        <v>870</v>
      </c>
      <c r="K18" s="171">
        <f t="shared" si="2"/>
        <v>870</v>
      </c>
    </row>
    <row r="19" spans="1:11">
      <c r="A19" s="169">
        <v>15</v>
      </c>
      <c r="B19" s="78">
        <v>46188</v>
      </c>
      <c r="C19" s="79"/>
      <c r="D19" s="182"/>
      <c r="E19" s="171"/>
      <c r="F19" s="171"/>
      <c r="G19" s="206">
        <v>58</v>
      </c>
      <c r="H19" s="171">
        <f t="shared" si="0"/>
        <v>0</v>
      </c>
      <c r="I19" s="171">
        <f t="shared" si="3"/>
        <v>0</v>
      </c>
      <c r="J19" s="171">
        <f t="shared" si="1"/>
        <v>870</v>
      </c>
      <c r="K19" s="171">
        <f t="shared" si="2"/>
        <v>870</v>
      </c>
    </row>
    <row r="20" spans="1:11">
      <c r="A20" s="169">
        <v>16</v>
      </c>
      <c r="B20" s="78">
        <v>46189</v>
      </c>
      <c r="C20" s="79"/>
      <c r="D20" s="182"/>
      <c r="E20" s="171"/>
      <c r="F20" s="171"/>
      <c r="G20" s="206">
        <v>58</v>
      </c>
      <c r="H20" s="171">
        <f t="shared" si="0"/>
        <v>0</v>
      </c>
      <c r="I20" s="171">
        <f t="shared" si="3"/>
        <v>0</v>
      </c>
      <c r="J20" s="171">
        <f t="shared" si="1"/>
        <v>870</v>
      </c>
      <c r="K20" s="171">
        <f t="shared" si="2"/>
        <v>870</v>
      </c>
    </row>
    <row r="21" spans="1:11">
      <c r="A21" s="169">
        <v>17</v>
      </c>
      <c r="B21" s="78">
        <v>46190</v>
      </c>
      <c r="C21" s="79"/>
      <c r="D21" s="182">
        <v>20</v>
      </c>
      <c r="E21" s="171"/>
      <c r="F21" s="171"/>
      <c r="G21" s="206">
        <v>78</v>
      </c>
      <c r="H21" s="171">
        <f t="shared" si="0"/>
        <v>1200</v>
      </c>
      <c r="I21" s="171">
        <f t="shared" si="3"/>
        <v>0</v>
      </c>
      <c r="J21" s="171">
        <f t="shared" si="1"/>
        <v>1170</v>
      </c>
      <c r="K21" s="171">
        <f t="shared" si="2"/>
        <v>2370</v>
      </c>
    </row>
    <row r="22" spans="1:11">
      <c r="A22" s="169">
        <v>18</v>
      </c>
      <c r="B22" s="78">
        <v>46191</v>
      </c>
      <c r="C22" s="79"/>
      <c r="D22" s="182"/>
      <c r="E22" s="171"/>
      <c r="F22" s="171"/>
      <c r="G22" s="206">
        <v>78</v>
      </c>
      <c r="H22" s="171">
        <f t="shared" si="0"/>
        <v>0</v>
      </c>
      <c r="I22" s="171">
        <f t="shared" si="3"/>
        <v>0</v>
      </c>
      <c r="J22" s="171">
        <f t="shared" si="1"/>
        <v>1170</v>
      </c>
      <c r="K22" s="171">
        <f t="shared" si="2"/>
        <v>1170</v>
      </c>
    </row>
    <row r="23" spans="1:11">
      <c r="A23" s="169">
        <v>19</v>
      </c>
      <c r="B23" s="78">
        <v>46192</v>
      </c>
      <c r="C23" s="79"/>
      <c r="D23" s="182"/>
      <c r="E23" s="171"/>
      <c r="F23" s="171"/>
      <c r="G23" s="206">
        <v>78</v>
      </c>
      <c r="H23" s="171">
        <f t="shared" si="0"/>
        <v>0</v>
      </c>
      <c r="I23" s="171">
        <f t="shared" si="3"/>
        <v>0</v>
      </c>
      <c r="J23" s="171">
        <f t="shared" si="1"/>
        <v>1170</v>
      </c>
      <c r="K23" s="171">
        <f t="shared" si="2"/>
        <v>1170</v>
      </c>
    </row>
    <row r="24" spans="1:11">
      <c r="A24" s="169">
        <v>20</v>
      </c>
      <c r="B24" s="78">
        <v>46193</v>
      </c>
      <c r="C24" s="79"/>
      <c r="D24" s="182"/>
      <c r="E24" s="171"/>
      <c r="F24" s="171"/>
      <c r="G24" s="206">
        <v>78</v>
      </c>
      <c r="H24" s="171">
        <f t="shared" si="0"/>
        <v>0</v>
      </c>
      <c r="I24" s="171">
        <f t="shared" si="3"/>
        <v>0</v>
      </c>
      <c r="J24" s="171">
        <f t="shared" si="1"/>
        <v>1170</v>
      </c>
      <c r="K24" s="171">
        <f t="shared" si="2"/>
        <v>1170</v>
      </c>
    </row>
    <row r="25" spans="1:11">
      <c r="A25" s="169">
        <v>21</v>
      </c>
      <c r="B25" s="78">
        <v>46194</v>
      </c>
      <c r="C25" s="79"/>
      <c r="D25" s="182"/>
      <c r="E25" s="171"/>
      <c r="F25" s="171"/>
      <c r="G25" s="206">
        <v>78</v>
      </c>
      <c r="H25" s="171">
        <f t="shared" si="0"/>
        <v>0</v>
      </c>
      <c r="I25" s="171">
        <f t="shared" si="3"/>
        <v>0</v>
      </c>
      <c r="J25" s="171">
        <f t="shared" si="1"/>
        <v>1170</v>
      </c>
      <c r="K25" s="171">
        <f t="shared" si="2"/>
        <v>1170</v>
      </c>
    </row>
    <row r="26" spans="1:11">
      <c r="A26" s="169">
        <v>22</v>
      </c>
      <c r="B26" s="78">
        <v>46195</v>
      </c>
      <c r="C26" s="79"/>
      <c r="D26" s="182"/>
      <c r="E26" s="171">
        <v>9</v>
      </c>
      <c r="F26" s="171">
        <v>3</v>
      </c>
      <c r="G26" s="206">
        <v>78</v>
      </c>
      <c r="H26" s="171">
        <f t="shared" si="0"/>
        <v>0</v>
      </c>
      <c r="I26" s="171">
        <f t="shared" si="3"/>
        <v>246</v>
      </c>
      <c r="J26" s="171">
        <f t="shared" si="1"/>
        <v>1170</v>
      </c>
      <c r="K26" s="171">
        <f t="shared" si="2"/>
        <v>1416</v>
      </c>
    </row>
    <row r="27" spans="1:11">
      <c r="A27" s="169">
        <v>23</v>
      </c>
      <c r="B27" s="78">
        <v>46196</v>
      </c>
      <c r="C27" s="79"/>
      <c r="D27" s="182"/>
      <c r="E27" s="171">
        <v>33</v>
      </c>
      <c r="F27" s="171">
        <v>20</v>
      </c>
      <c r="G27" s="206">
        <v>76</v>
      </c>
      <c r="H27" s="171">
        <f t="shared" si="0"/>
        <v>0</v>
      </c>
      <c r="I27" s="171">
        <f t="shared" si="3"/>
        <v>965</v>
      </c>
      <c r="J27" s="171">
        <f t="shared" si="1"/>
        <v>1140</v>
      </c>
      <c r="K27" s="171">
        <f t="shared" si="2"/>
        <v>2105</v>
      </c>
    </row>
    <row r="28" spans="1:11">
      <c r="A28" s="169">
        <v>24</v>
      </c>
      <c r="B28" s="78">
        <v>46197</v>
      </c>
      <c r="C28" s="79"/>
      <c r="D28" s="182"/>
      <c r="E28" s="171">
        <v>37</v>
      </c>
      <c r="F28" s="171"/>
      <c r="G28" s="206">
        <v>69</v>
      </c>
      <c r="H28" s="171">
        <f t="shared" si="0"/>
        <v>0</v>
      </c>
      <c r="I28" s="171">
        <f t="shared" si="3"/>
        <v>925</v>
      </c>
      <c r="J28" s="171">
        <f t="shared" si="1"/>
        <v>1035</v>
      </c>
      <c r="K28" s="171">
        <f t="shared" si="2"/>
        <v>1960</v>
      </c>
    </row>
    <row r="29" spans="1:11">
      <c r="A29" s="169">
        <v>25</v>
      </c>
      <c r="B29" s="78">
        <v>46198</v>
      </c>
      <c r="C29" s="79"/>
      <c r="D29" s="182"/>
      <c r="E29" s="171"/>
      <c r="F29" s="171"/>
      <c r="G29" s="206">
        <v>61</v>
      </c>
      <c r="H29" s="171">
        <f t="shared" si="0"/>
        <v>0</v>
      </c>
      <c r="I29" s="171">
        <f t="shared" si="3"/>
        <v>0</v>
      </c>
      <c r="J29" s="171">
        <f t="shared" si="1"/>
        <v>915</v>
      </c>
      <c r="K29" s="171">
        <f t="shared" si="2"/>
        <v>915</v>
      </c>
    </row>
    <row r="30" spans="1:11">
      <c r="A30" s="169">
        <v>26</v>
      </c>
      <c r="B30" s="78">
        <v>46199</v>
      </c>
      <c r="C30" s="79"/>
      <c r="D30" s="182"/>
      <c r="E30" s="171"/>
      <c r="F30" s="171"/>
      <c r="G30" s="206">
        <v>61</v>
      </c>
      <c r="H30" s="171">
        <f t="shared" si="0"/>
        <v>0</v>
      </c>
      <c r="I30" s="171">
        <f t="shared" si="3"/>
        <v>0</v>
      </c>
      <c r="J30" s="171">
        <f t="shared" si="1"/>
        <v>915</v>
      </c>
      <c r="K30" s="171">
        <f t="shared" si="2"/>
        <v>915</v>
      </c>
    </row>
    <row r="31" spans="1:11">
      <c r="A31" s="169">
        <v>27</v>
      </c>
      <c r="B31" s="78">
        <v>46200</v>
      </c>
      <c r="C31" s="79"/>
      <c r="D31" s="182"/>
      <c r="E31" s="171"/>
      <c r="F31" s="171"/>
      <c r="G31" s="206">
        <v>61</v>
      </c>
      <c r="H31" s="171">
        <f t="shared" si="0"/>
        <v>0</v>
      </c>
      <c r="I31" s="171">
        <f t="shared" si="3"/>
        <v>0</v>
      </c>
      <c r="J31" s="171">
        <f t="shared" si="1"/>
        <v>915</v>
      </c>
      <c r="K31" s="171">
        <f t="shared" si="2"/>
        <v>915</v>
      </c>
    </row>
    <row r="32" spans="1:11">
      <c r="A32" s="169">
        <v>28</v>
      </c>
      <c r="B32" s="78">
        <v>46201</v>
      </c>
      <c r="C32" s="79"/>
      <c r="D32" s="182"/>
      <c r="E32" s="171"/>
      <c r="F32" s="171"/>
      <c r="G32" s="206">
        <v>61</v>
      </c>
      <c r="H32" s="171">
        <f t="shared" si="0"/>
        <v>0</v>
      </c>
      <c r="I32" s="171">
        <f t="shared" si="3"/>
        <v>0</v>
      </c>
      <c r="J32" s="171">
        <f t="shared" si="1"/>
        <v>915</v>
      </c>
      <c r="K32" s="171">
        <f t="shared" si="2"/>
        <v>915</v>
      </c>
    </row>
    <row r="33" spans="1:11">
      <c r="A33" s="169">
        <v>29</v>
      </c>
      <c r="B33" s="78">
        <v>46202</v>
      </c>
      <c r="C33" s="79"/>
      <c r="D33" s="182"/>
      <c r="E33" s="171">
        <v>58</v>
      </c>
      <c r="F33" s="171">
        <v>10</v>
      </c>
      <c r="G33" s="206">
        <v>61</v>
      </c>
      <c r="H33" s="171">
        <f t="shared" si="0"/>
        <v>0</v>
      </c>
      <c r="I33" s="171">
        <f t="shared" si="3"/>
        <v>1520</v>
      </c>
      <c r="J33" s="171">
        <f t="shared" si="1"/>
        <v>915</v>
      </c>
      <c r="K33" s="171">
        <f t="shared" si="2"/>
        <v>2435</v>
      </c>
    </row>
    <row r="34" spans="1:11">
      <c r="A34" s="169">
        <v>30</v>
      </c>
      <c r="B34" s="78">
        <v>46203</v>
      </c>
      <c r="C34" s="79"/>
      <c r="D34" s="182"/>
      <c r="E34" s="171">
        <v>36</v>
      </c>
      <c r="F34" s="171"/>
      <c r="G34" s="206">
        <v>47</v>
      </c>
      <c r="H34" s="171">
        <f t="shared" si="0"/>
        <v>0</v>
      </c>
      <c r="I34" s="171">
        <f t="shared" si="3"/>
        <v>900</v>
      </c>
      <c r="J34" s="171">
        <f t="shared" si="1"/>
        <v>705</v>
      </c>
      <c r="K34" s="171">
        <f t="shared" si="2"/>
        <v>1605</v>
      </c>
    </row>
    <row r="35" spans="1:11">
      <c r="A35" s="169"/>
      <c r="B35" s="78"/>
      <c r="C35" s="79"/>
      <c r="D35" s="182"/>
      <c r="E35" s="171"/>
      <c r="F35" s="171"/>
      <c r="G35" s="206"/>
      <c r="H35" s="171">
        <f t="shared" si="0"/>
        <v>0</v>
      </c>
      <c r="I35" s="171">
        <f t="shared" si="3"/>
        <v>0</v>
      </c>
      <c r="J35" s="171">
        <f t="shared" si="1"/>
        <v>0</v>
      </c>
      <c r="K35" s="171">
        <f t="shared" si="2"/>
        <v>0</v>
      </c>
    </row>
    <row r="36" spans="1:11">
      <c r="D36" s="171"/>
      <c r="E36" s="171"/>
      <c r="F36" s="171"/>
      <c r="G36" s="171">
        <f>SUM(G5:G35)</f>
        <v>1990</v>
      </c>
      <c r="H36" s="171">
        <f>SUM(H5:H35)</f>
        <v>3600</v>
      </c>
      <c r="I36" s="171">
        <f>SUM(I5:I35)</f>
        <v>9443</v>
      </c>
      <c r="J36" s="171">
        <f>SUM(J5:J35)</f>
        <v>29850</v>
      </c>
      <c r="K36" s="205">
        <f>SUM(K5:K35)</f>
        <v>42893</v>
      </c>
    </row>
  </sheetData>
  <mergeCells count="4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3:I4"/>
    <mergeCell ref="J3:J4"/>
    <mergeCell ref="K3:K4"/>
    <mergeCell ref="B5:C5"/>
    <mergeCell ref="B6:C6"/>
    <mergeCell ref="B7:C7"/>
    <mergeCell ref="A2:H2"/>
    <mergeCell ref="A3:A4"/>
    <mergeCell ref="B3:C4"/>
    <mergeCell ref="D3:D4"/>
    <mergeCell ref="E3:F3"/>
    <mergeCell ref="H3:H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D9159-9330-4905-BF55-CAC78288FA30}">
  <dimension ref="A1:J35"/>
  <sheetViews>
    <sheetView topLeftCell="A10" workbookViewId="0">
      <selection activeCell="B34" sqref="B34:F34"/>
    </sheetView>
  </sheetViews>
  <sheetFormatPr defaultRowHeight="15"/>
  <cols>
    <col min="1" max="16384" width="9.140625" style="48"/>
  </cols>
  <sheetData>
    <row r="1" spans="1:10">
      <c r="A1" s="201">
        <f>J35</f>
        <v>8640</v>
      </c>
      <c r="B1" s="77" t="s">
        <v>130</v>
      </c>
      <c r="C1" s="77"/>
      <c r="D1" s="77"/>
      <c r="E1" s="77"/>
      <c r="F1" s="77"/>
      <c r="G1" s="77"/>
      <c r="H1" s="77"/>
    </row>
    <row r="2" spans="1:10" ht="28.9" customHeight="1">
      <c r="A2" s="165" t="s">
        <v>0</v>
      </c>
      <c r="B2" s="166" t="s">
        <v>1</v>
      </c>
      <c r="C2" s="167"/>
      <c r="D2" s="165" t="s">
        <v>104</v>
      </c>
      <c r="E2" s="165" t="s">
        <v>105</v>
      </c>
      <c r="F2" s="168" t="s">
        <v>4</v>
      </c>
      <c r="G2" s="165" t="s">
        <v>11</v>
      </c>
      <c r="H2" s="165" t="s">
        <v>12</v>
      </c>
      <c r="I2" s="165" t="s">
        <v>13</v>
      </c>
      <c r="J2" s="165" t="s">
        <v>18</v>
      </c>
    </row>
    <row r="3" spans="1:10" ht="30">
      <c r="A3" s="54"/>
      <c r="B3" s="55"/>
      <c r="C3" s="56"/>
      <c r="D3" s="54"/>
      <c r="E3" s="54"/>
      <c r="F3" s="57" t="s">
        <v>114</v>
      </c>
      <c r="G3" s="54"/>
      <c r="H3" s="54"/>
      <c r="I3" s="54"/>
      <c r="J3" s="54"/>
    </row>
    <row r="4" spans="1:10">
      <c r="A4" s="169">
        <v>1</v>
      </c>
      <c r="B4" s="78">
        <v>46174</v>
      </c>
      <c r="C4" s="79"/>
      <c r="D4" s="182"/>
      <c r="E4" s="170"/>
      <c r="F4" s="207">
        <v>24</v>
      </c>
      <c r="G4" s="171">
        <f>SUM(D4*120)</f>
        <v>0</v>
      </c>
      <c r="H4" s="171">
        <f>SUM(E4*120)</f>
        <v>0</v>
      </c>
      <c r="I4" s="171">
        <f>SUM(F4*12)</f>
        <v>288</v>
      </c>
      <c r="J4" s="171">
        <f>SUM(G4:I4)</f>
        <v>288</v>
      </c>
    </row>
    <row r="5" spans="1:10">
      <c r="A5" s="169">
        <v>2</v>
      </c>
      <c r="B5" s="78">
        <v>46175</v>
      </c>
      <c r="C5" s="79"/>
      <c r="D5" s="182"/>
      <c r="E5" s="170"/>
      <c r="F5" s="207">
        <v>24</v>
      </c>
      <c r="G5" s="171">
        <f t="shared" ref="G5:G34" si="0">SUM(D5*120)</f>
        <v>0</v>
      </c>
      <c r="H5" s="171">
        <f t="shared" ref="H5:H34" si="1">SUM(E5*120)</f>
        <v>0</v>
      </c>
      <c r="I5" s="171">
        <f t="shared" ref="I5:I34" si="2">SUM(F5*12)</f>
        <v>288</v>
      </c>
      <c r="J5" s="171">
        <f t="shared" ref="J5:J34" si="3">SUM(G5:I5)</f>
        <v>288</v>
      </c>
    </row>
    <row r="6" spans="1:10">
      <c r="A6" s="169">
        <v>3</v>
      </c>
      <c r="B6" s="78">
        <v>46176</v>
      </c>
      <c r="C6" s="79"/>
      <c r="D6" s="182"/>
      <c r="E6" s="170"/>
      <c r="F6" s="207">
        <v>24</v>
      </c>
      <c r="G6" s="171">
        <f t="shared" si="0"/>
        <v>0</v>
      </c>
      <c r="H6" s="171">
        <f t="shared" si="1"/>
        <v>0</v>
      </c>
      <c r="I6" s="171">
        <f t="shared" si="2"/>
        <v>288</v>
      </c>
      <c r="J6" s="171">
        <f t="shared" si="3"/>
        <v>288</v>
      </c>
    </row>
    <row r="7" spans="1:10">
      <c r="A7" s="169">
        <v>4</v>
      </c>
      <c r="B7" s="78">
        <v>46177</v>
      </c>
      <c r="C7" s="79"/>
      <c r="D7" s="182"/>
      <c r="E7" s="170"/>
      <c r="F7" s="207">
        <v>24</v>
      </c>
      <c r="G7" s="171">
        <f t="shared" si="0"/>
        <v>0</v>
      </c>
      <c r="H7" s="171">
        <f t="shared" si="1"/>
        <v>0</v>
      </c>
      <c r="I7" s="171">
        <f t="shared" si="2"/>
        <v>288</v>
      </c>
      <c r="J7" s="171">
        <f t="shared" si="3"/>
        <v>288</v>
      </c>
    </row>
    <row r="8" spans="1:10">
      <c r="A8" s="169">
        <v>5</v>
      </c>
      <c r="B8" s="78">
        <v>46178</v>
      </c>
      <c r="C8" s="79"/>
      <c r="D8" s="182"/>
      <c r="E8" s="170"/>
      <c r="F8" s="207">
        <v>24</v>
      </c>
      <c r="G8" s="171">
        <f t="shared" si="0"/>
        <v>0</v>
      </c>
      <c r="H8" s="171">
        <f t="shared" si="1"/>
        <v>0</v>
      </c>
      <c r="I8" s="171">
        <f t="shared" si="2"/>
        <v>288</v>
      </c>
      <c r="J8" s="171">
        <f t="shared" si="3"/>
        <v>288</v>
      </c>
    </row>
    <row r="9" spans="1:10">
      <c r="A9" s="169">
        <v>6</v>
      </c>
      <c r="B9" s="78">
        <v>46179</v>
      </c>
      <c r="C9" s="79"/>
      <c r="D9" s="182"/>
      <c r="E9" s="170"/>
      <c r="F9" s="207">
        <v>24</v>
      </c>
      <c r="G9" s="171">
        <f t="shared" si="0"/>
        <v>0</v>
      </c>
      <c r="H9" s="171">
        <f t="shared" si="1"/>
        <v>0</v>
      </c>
      <c r="I9" s="171">
        <f t="shared" si="2"/>
        <v>288</v>
      </c>
      <c r="J9" s="171">
        <f t="shared" si="3"/>
        <v>288</v>
      </c>
    </row>
    <row r="10" spans="1:10">
      <c r="A10" s="169">
        <v>7</v>
      </c>
      <c r="B10" s="78">
        <v>46180</v>
      </c>
      <c r="C10" s="79"/>
      <c r="D10" s="182"/>
      <c r="E10" s="170"/>
      <c r="F10" s="207">
        <v>24</v>
      </c>
      <c r="G10" s="171">
        <f t="shared" si="0"/>
        <v>0</v>
      </c>
      <c r="H10" s="171">
        <f t="shared" si="1"/>
        <v>0</v>
      </c>
      <c r="I10" s="171">
        <f t="shared" si="2"/>
        <v>288</v>
      </c>
      <c r="J10" s="171">
        <f t="shared" si="3"/>
        <v>288</v>
      </c>
    </row>
    <row r="11" spans="1:10">
      <c r="A11" s="169">
        <v>8</v>
      </c>
      <c r="B11" s="78">
        <v>46181</v>
      </c>
      <c r="C11" s="79"/>
      <c r="D11" s="182"/>
      <c r="E11" s="170"/>
      <c r="F11" s="207">
        <v>24</v>
      </c>
      <c r="G11" s="171">
        <f t="shared" si="0"/>
        <v>0</v>
      </c>
      <c r="H11" s="171">
        <f t="shared" si="1"/>
        <v>0</v>
      </c>
      <c r="I11" s="171">
        <f t="shared" si="2"/>
        <v>288</v>
      </c>
      <c r="J11" s="171">
        <f t="shared" si="3"/>
        <v>288</v>
      </c>
    </row>
    <row r="12" spans="1:10">
      <c r="A12" s="169">
        <v>9</v>
      </c>
      <c r="B12" s="78">
        <v>46182</v>
      </c>
      <c r="C12" s="79"/>
      <c r="D12" s="182"/>
      <c r="E12" s="170"/>
      <c r="F12" s="207">
        <v>24</v>
      </c>
      <c r="G12" s="171">
        <f t="shared" si="0"/>
        <v>0</v>
      </c>
      <c r="H12" s="171">
        <f t="shared" si="1"/>
        <v>0</v>
      </c>
      <c r="I12" s="171">
        <f t="shared" si="2"/>
        <v>288</v>
      </c>
      <c r="J12" s="171">
        <f t="shared" si="3"/>
        <v>288</v>
      </c>
    </row>
    <row r="13" spans="1:10">
      <c r="A13" s="169">
        <v>10</v>
      </c>
      <c r="B13" s="78">
        <v>46183</v>
      </c>
      <c r="C13" s="79"/>
      <c r="D13" s="182"/>
      <c r="E13" s="170"/>
      <c r="F13" s="207">
        <v>24</v>
      </c>
      <c r="G13" s="171">
        <f t="shared" si="0"/>
        <v>0</v>
      </c>
      <c r="H13" s="171">
        <f t="shared" si="1"/>
        <v>0</v>
      </c>
      <c r="I13" s="171">
        <f t="shared" si="2"/>
        <v>288</v>
      </c>
      <c r="J13" s="171">
        <f t="shared" si="3"/>
        <v>288</v>
      </c>
    </row>
    <row r="14" spans="1:10">
      <c r="A14" s="169">
        <v>11</v>
      </c>
      <c r="B14" s="78">
        <v>46184</v>
      </c>
      <c r="C14" s="79"/>
      <c r="D14" s="182"/>
      <c r="E14" s="170"/>
      <c r="F14" s="207">
        <v>24</v>
      </c>
      <c r="G14" s="171">
        <f t="shared" si="0"/>
        <v>0</v>
      </c>
      <c r="H14" s="171">
        <f t="shared" si="1"/>
        <v>0</v>
      </c>
      <c r="I14" s="171">
        <f t="shared" si="2"/>
        <v>288</v>
      </c>
      <c r="J14" s="171">
        <f t="shared" si="3"/>
        <v>288</v>
      </c>
    </row>
    <row r="15" spans="1:10">
      <c r="A15" s="169">
        <v>12</v>
      </c>
      <c r="B15" s="78">
        <v>46185</v>
      </c>
      <c r="C15" s="79"/>
      <c r="D15" s="182"/>
      <c r="E15" s="170"/>
      <c r="F15" s="207">
        <v>24</v>
      </c>
      <c r="G15" s="171">
        <f t="shared" si="0"/>
        <v>0</v>
      </c>
      <c r="H15" s="171">
        <f t="shared" si="1"/>
        <v>0</v>
      </c>
      <c r="I15" s="171">
        <f t="shared" si="2"/>
        <v>288</v>
      </c>
      <c r="J15" s="171">
        <f t="shared" si="3"/>
        <v>288</v>
      </c>
    </row>
    <row r="16" spans="1:10">
      <c r="A16" s="169">
        <v>13</v>
      </c>
      <c r="B16" s="78">
        <v>46186</v>
      </c>
      <c r="C16" s="79"/>
      <c r="D16" s="182"/>
      <c r="E16" s="170"/>
      <c r="F16" s="207">
        <v>24</v>
      </c>
      <c r="G16" s="171">
        <f t="shared" si="0"/>
        <v>0</v>
      </c>
      <c r="H16" s="171">
        <f t="shared" si="1"/>
        <v>0</v>
      </c>
      <c r="I16" s="171">
        <f t="shared" si="2"/>
        <v>288</v>
      </c>
      <c r="J16" s="171">
        <f t="shared" si="3"/>
        <v>288</v>
      </c>
    </row>
    <row r="17" spans="1:10">
      <c r="A17" s="169">
        <v>14</v>
      </c>
      <c r="B17" s="78">
        <v>46187</v>
      </c>
      <c r="C17" s="79"/>
      <c r="D17" s="182"/>
      <c r="E17" s="170"/>
      <c r="F17" s="207">
        <v>24</v>
      </c>
      <c r="G17" s="171">
        <f t="shared" si="0"/>
        <v>0</v>
      </c>
      <c r="H17" s="171">
        <f t="shared" si="1"/>
        <v>0</v>
      </c>
      <c r="I17" s="171">
        <f t="shared" si="2"/>
        <v>288</v>
      </c>
      <c r="J17" s="171">
        <f t="shared" si="3"/>
        <v>288</v>
      </c>
    </row>
    <row r="18" spans="1:10">
      <c r="A18" s="169">
        <v>15</v>
      </c>
      <c r="B18" s="78">
        <v>46188</v>
      </c>
      <c r="C18" s="79"/>
      <c r="D18" s="182"/>
      <c r="E18" s="170"/>
      <c r="F18" s="207">
        <v>24</v>
      </c>
      <c r="G18" s="171">
        <f t="shared" si="0"/>
        <v>0</v>
      </c>
      <c r="H18" s="171">
        <f t="shared" si="1"/>
        <v>0</v>
      </c>
      <c r="I18" s="171">
        <f t="shared" si="2"/>
        <v>288</v>
      </c>
      <c r="J18" s="171">
        <f t="shared" si="3"/>
        <v>288</v>
      </c>
    </row>
    <row r="19" spans="1:10">
      <c r="A19" s="169">
        <v>16</v>
      </c>
      <c r="B19" s="78">
        <v>46189</v>
      </c>
      <c r="C19" s="79"/>
      <c r="D19" s="182"/>
      <c r="E19" s="170"/>
      <c r="F19" s="207">
        <v>24</v>
      </c>
      <c r="G19" s="171">
        <f t="shared" si="0"/>
        <v>0</v>
      </c>
      <c r="H19" s="171">
        <f t="shared" si="1"/>
        <v>0</v>
      </c>
      <c r="I19" s="171">
        <f t="shared" si="2"/>
        <v>288</v>
      </c>
      <c r="J19" s="171">
        <f t="shared" si="3"/>
        <v>288</v>
      </c>
    </row>
    <row r="20" spans="1:10">
      <c r="A20" s="169">
        <v>17</v>
      </c>
      <c r="B20" s="78">
        <v>46190</v>
      </c>
      <c r="C20" s="79"/>
      <c r="D20" s="182"/>
      <c r="E20" s="170"/>
      <c r="F20" s="207">
        <v>24</v>
      </c>
      <c r="G20" s="171">
        <f t="shared" si="0"/>
        <v>0</v>
      </c>
      <c r="H20" s="171">
        <f t="shared" si="1"/>
        <v>0</v>
      </c>
      <c r="I20" s="171">
        <f t="shared" si="2"/>
        <v>288</v>
      </c>
      <c r="J20" s="171">
        <f t="shared" si="3"/>
        <v>288</v>
      </c>
    </row>
    <row r="21" spans="1:10">
      <c r="A21" s="169">
        <v>18</v>
      </c>
      <c r="B21" s="78">
        <v>46191</v>
      </c>
      <c r="C21" s="79"/>
      <c r="D21" s="182"/>
      <c r="E21" s="170"/>
      <c r="F21" s="207">
        <v>24</v>
      </c>
      <c r="G21" s="171">
        <f t="shared" si="0"/>
        <v>0</v>
      </c>
      <c r="H21" s="171">
        <f t="shared" si="1"/>
        <v>0</v>
      </c>
      <c r="I21" s="171">
        <f t="shared" si="2"/>
        <v>288</v>
      </c>
      <c r="J21" s="171">
        <f t="shared" si="3"/>
        <v>288</v>
      </c>
    </row>
    <row r="22" spans="1:10">
      <c r="A22" s="169">
        <v>19</v>
      </c>
      <c r="B22" s="78">
        <v>46192</v>
      </c>
      <c r="C22" s="79"/>
      <c r="D22" s="182"/>
      <c r="E22" s="170"/>
      <c r="F22" s="207">
        <v>24</v>
      </c>
      <c r="G22" s="171">
        <f t="shared" si="0"/>
        <v>0</v>
      </c>
      <c r="H22" s="171">
        <f t="shared" si="1"/>
        <v>0</v>
      </c>
      <c r="I22" s="171">
        <f t="shared" si="2"/>
        <v>288</v>
      </c>
      <c r="J22" s="171">
        <f t="shared" si="3"/>
        <v>288</v>
      </c>
    </row>
    <row r="23" spans="1:10">
      <c r="A23" s="169">
        <v>20</v>
      </c>
      <c r="B23" s="78">
        <v>46193</v>
      </c>
      <c r="C23" s="79"/>
      <c r="D23" s="182"/>
      <c r="E23" s="170"/>
      <c r="F23" s="207">
        <v>24</v>
      </c>
      <c r="G23" s="171">
        <f t="shared" si="0"/>
        <v>0</v>
      </c>
      <c r="H23" s="171">
        <f t="shared" si="1"/>
        <v>0</v>
      </c>
      <c r="I23" s="171">
        <f t="shared" si="2"/>
        <v>288</v>
      </c>
      <c r="J23" s="171">
        <f t="shared" si="3"/>
        <v>288</v>
      </c>
    </row>
    <row r="24" spans="1:10">
      <c r="A24" s="169">
        <v>21</v>
      </c>
      <c r="B24" s="78">
        <v>46194</v>
      </c>
      <c r="C24" s="79"/>
      <c r="D24" s="182"/>
      <c r="E24" s="170"/>
      <c r="F24" s="207">
        <v>24</v>
      </c>
      <c r="G24" s="171">
        <f t="shared" si="0"/>
        <v>0</v>
      </c>
      <c r="H24" s="171">
        <f t="shared" si="1"/>
        <v>0</v>
      </c>
      <c r="I24" s="171">
        <f t="shared" si="2"/>
        <v>288</v>
      </c>
      <c r="J24" s="171">
        <f t="shared" si="3"/>
        <v>288</v>
      </c>
    </row>
    <row r="25" spans="1:10">
      <c r="A25" s="169">
        <v>22</v>
      </c>
      <c r="B25" s="78">
        <v>46195</v>
      </c>
      <c r="C25" s="79"/>
      <c r="D25" s="182"/>
      <c r="E25" s="170"/>
      <c r="F25" s="207">
        <v>24</v>
      </c>
      <c r="G25" s="171">
        <f t="shared" si="0"/>
        <v>0</v>
      </c>
      <c r="H25" s="171">
        <f t="shared" si="1"/>
        <v>0</v>
      </c>
      <c r="I25" s="171">
        <f t="shared" si="2"/>
        <v>288</v>
      </c>
      <c r="J25" s="171">
        <f t="shared" si="3"/>
        <v>288</v>
      </c>
    </row>
    <row r="26" spans="1:10">
      <c r="A26" s="169">
        <v>23</v>
      </c>
      <c r="B26" s="78">
        <v>46196</v>
      </c>
      <c r="C26" s="79"/>
      <c r="D26" s="182"/>
      <c r="E26" s="170"/>
      <c r="F26" s="207">
        <v>24</v>
      </c>
      <c r="G26" s="171">
        <f t="shared" si="0"/>
        <v>0</v>
      </c>
      <c r="H26" s="171">
        <f t="shared" si="1"/>
        <v>0</v>
      </c>
      <c r="I26" s="171">
        <f t="shared" si="2"/>
        <v>288</v>
      </c>
      <c r="J26" s="171">
        <f t="shared" si="3"/>
        <v>288</v>
      </c>
    </row>
    <row r="27" spans="1:10">
      <c r="A27" s="169">
        <v>24</v>
      </c>
      <c r="B27" s="78">
        <v>46197</v>
      </c>
      <c r="C27" s="79"/>
      <c r="D27" s="182"/>
      <c r="E27" s="170"/>
      <c r="F27" s="207">
        <v>24</v>
      </c>
      <c r="G27" s="171">
        <f t="shared" si="0"/>
        <v>0</v>
      </c>
      <c r="H27" s="171">
        <f t="shared" si="1"/>
        <v>0</v>
      </c>
      <c r="I27" s="171">
        <f t="shared" si="2"/>
        <v>288</v>
      </c>
      <c r="J27" s="171">
        <f t="shared" si="3"/>
        <v>288</v>
      </c>
    </row>
    <row r="28" spans="1:10">
      <c r="A28" s="169">
        <v>25</v>
      </c>
      <c r="B28" s="78">
        <v>46198</v>
      </c>
      <c r="C28" s="79"/>
      <c r="D28" s="182"/>
      <c r="E28" s="170"/>
      <c r="F28" s="207">
        <v>24</v>
      </c>
      <c r="G28" s="171">
        <f t="shared" si="0"/>
        <v>0</v>
      </c>
      <c r="H28" s="171">
        <f t="shared" si="1"/>
        <v>0</v>
      </c>
      <c r="I28" s="171">
        <f t="shared" si="2"/>
        <v>288</v>
      </c>
      <c r="J28" s="171">
        <f t="shared" si="3"/>
        <v>288</v>
      </c>
    </row>
    <row r="29" spans="1:10">
      <c r="A29" s="169">
        <v>26</v>
      </c>
      <c r="B29" s="78">
        <v>46199</v>
      </c>
      <c r="C29" s="79"/>
      <c r="D29" s="182"/>
      <c r="E29" s="170"/>
      <c r="F29" s="207">
        <v>24</v>
      </c>
      <c r="G29" s="171">
        <f t="shared" si="0"/>
        <v>0</v>
      </c>
      <c r="H29" s="171">
        <f t="shared" si="1"/>
        <v>0</v>
      </c>
      <c r="I29" s="171">
        <f t="shared" si="2"/>
        <v>288</v>
      </c>
      <c r="J29" s="171">
        <f t="shared" si="3"/>
        <v>288</v>
      </c>
    </row>
    <row r="30" spans="1:10">
      <c r="A30" s="169">
        <v>27</v>
      </c>
      <c r="B30" s="78">
        <v>46200</v>
      </c>
      <c r="C30" s="79"/>
      <c r="D30" s="182"/>
      <c r="E30" s="170"/>
      <c r="F30" s="207">
        <v>24</v>
      </c>
      <c r="G30" s="171">
        <f t="shared" si="0"/>
        <v>0</v>
      </c>
      <c r="H30" s="171">
        <f t="shared" si="1"/>
        <v>0</v>
      </c>
      <c r="I30" s="171">
        <f t="shared" si="2"/>
        <v>288</v>
      </c>
      <c r="J30" s="171">
        <f t="shared" si="3"/>
        <v>288</v>
      </c>
    </row>
    <row r="31" spans="1:10">
      <c r="A31" s="169">
        <v>28</v>
      </c>
      <c r="B31" s="78">
        <v>46201</v>
      </c>
      <c r="C31" s="79"/>
      <c r="D31" s="182"/>
      <c r="E31" s="170"/>
      <c r="F31" s="207">
        <v>24</v>
      </c>
      <c r="G31" s="171">
        <f t="shared" si="0"/>
        <v>0</v>
      </c>
      <c r="H31" s="171">
        <f t="shared" si="1"/>
        <v>0</v>
      </c>
      <c r="I31" s="171">
        <f t="shared" si="2"/>
        <v>288</v>
      </c>
      <c r="J31" s="171">
        <f t="shared" si="3"/>
        <v>288</v>
      </c>
    </row>
    <row r="32" spans="1:10">
      <c r="A32" s="169">
        <v>29</v>
      </c>
      <c r="B32" s="78">
        <v>46202</v>
      </c>
      <c r="C32" s="79"/>
      <c r="D32" s="182"/>
      <c r="E32" s="170"/>
      <c r="F32" s="207">
        <v>24</v>
      </c>
      <c r="G32" s="171">
        <f t="shared" si="0"/>
        <v>0</v>
      </c>
      <c r="H32" s="171">
        <f t="shared" si="1"/>
        <v>0</v>
      </c>
      <c r="I32" s="171">
        <f t="shared" si="2"/>
        <v>288</v>
      </c>
      <c r="J32" s="171">
        <f t="shared" si="3"/>
        <v>288</v>
      </c>
    </row>
    <row r="33" spans="1:10">
      <c r="A33" s="169">
        <v>30</v>
      </c>
      <c r="B33" s="78">
        <v>46203</v>
      </c>
      <c r="C33" s="79"/>
      <c r="D33" s="182"/>
      <c r="E33" s="170"/>
      <c r="F33" s="207">
        <v>24</v>
      </c>
      <c r="G33" s="171">
        <f t="shared" si="0"/>
        <v>0</v>
      </c>
      <c r="H33" s="171">
        <f t="shared" si="1"/>
        <v>0</v>
      </c>
      <c r="I33" s="171">
        <f t="shared" si="2"/>
        <v>288</v>
      </c>
      <c r="J33" s="171">
        <f t="shared" si="3"/>
        <v>288</v>
      </c>
    </row>
    <row r="34" spans="1:10">
      <c r="A34" s="169">
        <v>31</v>
      </c>
      <c r="B34" s="78"/>
      <c r="C34" s="79"/>
      <c r="D34" s="182"/>
      <c r="E34" s="170"/>
      <c r="F34" s="207"/>
      <c r="G34" s="171">
        <f t="shared" si="0"/>
        <v>0</v>
      </c>
      <c r="H34" s="171">
        <f t="shared" si="1"/>
        <v>0</v>
      </c>
      <c r="I34" s="171">
        <f t="shared" si="2"/>
        <v>0</v>
      </c>
      <c r="J34" s="171">
        <f t="shared" si="3"/>
        <v>0</v>
      </c>
    </row>
    <row r="35" spans="1:10">
      <c r="D35" s="171"/>
      <c r="E35" s="171"/>
      <c r="F35" s="171"/>
      <c r="G35" s="171">
        <f>SUM(G4:G34)</f>
        <v>0</v>
      </c>
      <c r="H35" s="171">
        <f>SUM(H4:H34)</f>
        <v>0</v>
      </c>
      <c r="I35" s="171">
        <f>SUM(I4:I34)</f>
        <v>8640</v>
      </c>
      <c r="J35" s="205">
        <f>SUM(J4:J34)</f>
        <v>8640</v>
      </c>
    </row>
  </sheetData>
  <mergeCells count="40">
    <mergeCell ref="B32:C32"/>
    <mergeCell ref="B33:C33"/>
    <mergeCell ref="B34:C34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I2:I3"/>
    <mergeCell ref="J2:J3"/>
    <mergeCell ref="B4:C4"/>
    <mergeCell ref="B5:C5"/>
    <mergeCell ref="B6:C6"/>
    <mergeCell ref="B7:C7"/>
    <mergeCell ref="B1:H1"/>
    <mergeCell ref="A2:A3"/>
    <mergeCell ref="B2:C3"/>
    <mergeCell ref="D2:D3"/>
    <mergeCell ref="E2:E3"/>
    <mergeCell ref="G2:G3"/>
    <mergeCell ref="H2:H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0330-3E68-48A5-BB8E-CA8D6B1E1239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8" customWidth="1"/>
    <col min="2" max="2" width="27.140625" style="48" customWidth="1"/>
    <col min="3" max="3" width="9.85546875" style="48" customWidth="1"/>
    <col min="4" max="4" width="11.28515625" style="48" customWidth="1"/>
    <col min="5" max="5" width="10.7109375" style="48" customWidth="1"/>
    <col min="6" max="6" width="14.5703125" style="48" customWidth="1"/>
    <col min="7" max="7" width="13.5703125" style="48" customWidth="1"/>
    <col min="8" max="16384" width="9.140625" style="48"/>
  </cols>
  <sheetData>
    <row r="3" spans="1:7">
      <c r="A3" s="74" t="str">
        <f ca="1">IF(DAY(TODAY())&gt;27,"Акт  №    от  " &amp; TEXT(TODAY(),"ДД ММММ ГГГГ"),"Акт  №    от  " &amp; TEXT(TODAY()-DAY(TODAY()),"ДД ММММ ГГГГ")) &amp; "г. Казань_Приволжская"</f>
        <v>Акт  №    от  30 Июнь 2026г. Казань_Приволжская</v>
      </c>
    </row>
    <row r="4" spans="1:7">
      <c r="A4" s="74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Июнь 2026</v>
      </c>
      <c r="B4" s="74"/>
      <c r="C4" s="74"/>
    </row>
    <row r="5" spans="1:7">
      <c r="A5" s="74" t="s">
        <v>131</v>
      </c>
      <c r="B5" s="74"/>
      <c r="C5" s="74"/>
    </row>
    <row r="6" spans="1:7">
      <c r="A6" s="48" t="s">
        <v>132</v>
      </c>
    </row>
    <row r="7" spans="1:7">
      <c r="A7" s="4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Июнь 2026 г. По 30 Июнь 2026  г. ХРАНИТЕЛЬ оказал ПОКЛАЖЕДАТЕЛЮ следующие услуги (работы):</v>
      </c>
    </row>
    <row r="9" spans="1:7">
      <c r="A9" s="171" t="s">
        <v>0</v>
      </c>
      <c r="B9" s="171" t="s">
        <v>79</v>
      </c>
      <c r="C9" s="171" t="s">
        <v>80</v>
      </c>
      <c r="D9" s="171" t="s">
        <v>81</v>
      </c>
      <c r="E9" s="171" t="s">
        <v>82</v>
      </c>
      <c r="F9" s="171" t="s">
        <v>133</v>
      </c>
      <c r="G9" s="171" t="s">
        <v>134</v>
      </c>
    </row>
    <row r="10" spans="1:7">
      <c r="A10" s="170">
        <v>1</v>
      </c>
      <c r="B10" s="171" t="s">
        <v>135</v>
      </c>
      <c r="C10" s="170" t="s">
        <v>136</v>
      </c>
      <c r="D10" s="169">
        <v>25</v>
      </c>
      <c r="E10" s="208">
        <v>2000</v>
      </c>
      <c r="F10" s="208">
        <f>SUM(D10*E10)</f>
        <v>50000</v>
      </c>
      <c r="G10" s="208">
        <f>F10*1.22</f>
        <v>61000</v>
      </c>
    </row>
    <row r="11" spans="1:7">
      <c r="A11" s="170">
        <v>2</v>
      </c>
      <c r="B11" s="171" t="s">
        <v>137</v>
      </c>
      <c r="C11" s="170" t="s">
        <v>136</v>
      </c>
      <c r="D11" s="169"/>
      <c r="E11" s="208"/>
      <c r="F11" s="208">
        <f>SUM(D11*E11)</f>
        <v>0</v>
      </c>
      <c r="G11" s="208">
        <f>F11*1.2</f>
        <v>0</v>
      </c>
    </row>
    <row r="12" spans="1:7">
      <c r="A12" s="209"/>
      <c r="C12" s="209"/>
      <c r="D12" s="185"/>
      <c r="E12" s="122"/>
      <c r="F12" s="208">
        <f>SUM(F10:F11)</f>
        <v>50000</v>
      </c>
      <c r="G12" s="208">
        <f>SUM(G10:G11)</f>
        <v>61000</v>
      </c>
    </row>
    <row r="13" spans="1:7">
      <c r="A13" s="74" t="s">
        <v>138</v>
      </c>
      <c r="B13" s="74" t="s">
        <v>139</v>
      </c>
      <c r="C13" s="74"/>
      <c r="D13" s="74"/>
    </row>
    <row r="14" spans="1:7">
      <c r="A14" s="74" t="s">
        <v>140</v>
      </c>
      <c r="B14" s="74" t="str">
        <f>B13</f>
        <v>пятьдесят тысяч рублей ноль копеек</v>
      </c>
      <c r="C14" s="74"/>
      <c r="D14" s="74"/>
    </row>
    <row r="15" spans="1:7">
      <c r="A15" s="74" t="s">
        <v>86</v>
      </c>
      <c r="B15" s="74" t="s">
        <v>141</v>
      </c>
      <c r="F15" s="210"/>
      <c r="G15" s="210"/>
    </row>
    <row r="16" spans="1:7">
      <c r="A16" s="48" t="s">
        <v>87</v>
      </c>
    </row>
    <row r="17" spans="1:4">
      <c r="A17" s="48" t="s">
        <v>88</v>
      </c>
    </row>
    <row r="20" spans="1:4">
      <c r="A20" s="48" t="s">
        <v>90</v>
      </c>
      <c r="D20" s="48" t="s">
        <v>142</v>
      </c>
    </row>
    <row r="22" spans="1:4">
      <c r="A22" s="48" t="s">
        <v>143</v>
      </c>
      <c r="D22" s="48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716C0-ACCF-41A7-AD2E-787A58B8AED8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8" customWidth="1"/>
    <col min="2" max="2" width="27.140625" style="48" customWidth="1"/>
    <col min="3" max="3" width="9.85546875" style="48" customWidth="1"/>
    <col min="4" max="4" width="11.28515625" style="48" customWidth="1"/>
    <col min="5" max="5" width="10.7109375" style="48" customWidth="1"/>
    <col min="6" max="6" width="14.5703125" style="48" customWidth="1"/>
    <col min="7" max="7" width="13.5703125" style="48" customWidth="1"/>
    <col min="8" max="16384" width="9.140625" style="48"/>
  </cols>
  <sheetData>
    <row r="3" spans="1:7">
      <c r="A3" s="74" t="str">
        <f ca="1">IF(DAY(TODAY())&gt;27,"Акт  №    от  " &amp; TEXT(TODAY(),"ДД ММММ ГГГГ"),"Акт  №    от  " &amp; TEXT(TODAY()-DAY(TODAY()),"ДД ММММ ГГГГ")) &amp; " г. Казань_Автосервисная"</f>
        <v>Акт  №    от  30 Июнь 2026 г. Казань_Автосервисная</v>
      </c>
    </row>
    <row r="4" spans="1:7">
      <c r="A4" s="74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Июнь 2026</v>
      </c>
      <c r="B4" s="74"/>
      <c r="C4" s="74"/>
    </row>
    <row r="5" spans="1:7">
      <c r="A5" s="74" t="s">
        <v>131</v>
      </c>
      <c r="B5" s="74"/>
      <c r="C5" s="74"/>
    </row>
    <row r="6" spans="1:7">
      <c r="A6" s="48" t="s">
        <v>132</v>
      </c>
    </row>
    <row r="7" spans="1:7">
      <c r="A7" s="4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Июнь 2026 г. По 30 Июнь 2026  г. ХРАНИТЕЛЬ оказал ПОКЛАЖЕДАТЕЛЮ следующие услуги (работы):</v>
      </c>
    </row>
    <row r="9" spans="1:7">
      <c r="A9" s="171" t="s">
        <v>0</v>
      </c>
      <c r="B9" s="171" t="s">
        <v>79</v>
      </c>
      <c r="C9" s="171" t="s">
        <v>80</v>
      </c>
      <c r="D9" s="171" t="s">
        <v>81</v>
      </c>
      <c r="E9" s="171" t="s">
        <v>82</v>
      </c>
      <c r="F9" s="171" t="s">
        <v>133</v>
      </c>
      <c r="G9" s="171" t="s">
        <v>134</v>
      </c>
    </row>
    <row r="10" spans="1:7">
      <c r="A10" s="170">
        <v>1</v>
      </c>
      <c r="B10" s="171" t="s">
        <v>135</v>
      </c>
      <c r="C10" s="170" t="s">
        <v>136</v>
      </c>
      <c r="D10" s="169">
        <v>34</v>
      </c>
      <c r="E10" s="208">
        <v>2000</v>
      </c>
      <c r="F10" s="208">
        <f>SUM(D10*E10)</f>
        <v>68000</v>
      </c>
      <c r="G10" s="208">
        <f>F10*1.22</f>
        <v>82960</v>
      </c>
    </row>
    <row r="11" spans="1:7">
      <c r="A11" s="170">
        <v>2</v>
      </c>
      <c r="B11" s="171" t="s">
        <v>137</v>
      </c>
      <c r="C11" s="170" t="s">
        <v>136</v>
      </c>
      <c r="D11" s="169"/>
      <c r="E11" s="208"/>
      <c r="F11" s="208">
        <f>SUM(D11*E11)</f>
        <v>0</v>
      </c>
      <c r="G11" s="208">
        <f>F11*1.2</f>
        <v>0</v>
      </c>
    </row>
    <row r="12" spans="1:7">
      <c r="A12" s="209"/>
      <c r="C12" s="209"/>
      <c r="D12" s="185"/>
      <c r="E12" s="122"/>
      <c r="F12" s="208">
        <f>SUM(F10:F11)</f>
        <v>68000</v>
      </c>
      <c r="G12" s="208">
        <f>SUM(G10:G11)</f>
        <v>82960</v>
      </c>
    </row>
    <row r="13" spans="1:7">
      <c r="A13" s="74" t="s">
        <v>138</v>
      </c>
      <c r="B13" s="74" t="s">
        <v>144</v>
      </c>
      <c r="C13" s="74"/>
      <c r="D13" s="74"/>
    </row>
    <row r="14" spans="1:7">
      <c r="A14" s="74" t="s">
        <v>140</v>
      </c>
      <c r="B14" s="74" t="str">
        <f>B13</f>
        <v>шестьдесят восемь тысяч рублей ноль копеек</v>
      </c>
      <c r="C14" s="74"/>
      <c r="D14" s="74"/>
    </row>
    <row r="15" spans="1:7">
      <c r="A15" s="74" t="s">
        <v>86</v>
      </c>
      <c r="B15" s="74" t="s">
        <v>145</v>
      </c>
      <c r="F15" s="210"/>
      <c r="G15" s="210"/>
    </row>
    <row r="16" spans="1:7">
      <c r="A16" s="48" t="s">
        <v>87</v>
      </c>
    </row>
    <row r="17" spans="1:4">
      <c r="A17" s="48" t="s">
        <v>88</v>
      </c>
    </row>
    <row r="20" spans="1:4">
      <c r="A20" s="48" t="s">
        <v>90</v>
      </c>
      <c r="D20" s="48" t="s">
        <v>142</v>
      </c>
    </row>
    <row r="22" spans="1:4">
      <c r="A22" s="48" t="s">
        <v>143</v>
      </c>
      <c r="D22" s="48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38C1-7EB5-4995-B7D9-81B71BF84CBE}">
  <dimension ref="A2:F21"/>
  <sheetViews>
    <sheetView workbookViewId="0">
      <selection activeCell="F15" sqref="F15"/>
    </sheetView>
  </sheetViews>
  <sheetFormatPr defaultRowHeight="15"/>
  <cols>
    <col min="1" max="1" width="9.140625" style="48" customWidth="1"/>
    <col min="2" max="2" width="32.28515625" style="48" customWidth="1"/>
    <col min="3" max="3" width="12.5703125" style="48" customWidth="1"/>
    <col min="4" max="4" width="13.28515625" style="48" customWidth="1"/>
    <col min="5" max="5" width="12.42578125" style="48" customWidth="1"/>
    <col min="6" max="6" width="17.28515625" style="48" customWidth="1"/>
    <col min="7" max="16384" width="9.140625" style="48"/>
  </cols>
  <sheetData>
    <row r="2" spans="1:6">
      <c r="A2" s="74" t="str">
        <f ca="1">IF(DAY(TODAY())&gt;27,"Акт  №    от  " &amp; TEXT(TODAY(),"ДД ММММ ГГГГ"),"Акт  №    от  " &amp; TEXT(TODAY()-DAY(TODAY()),"ДД ММММ ГГГГ"))</f>
        <v>Акт  №    от  30 Июнь 2026</v>
      </c>
    </row>
    <row r="3" spans="1:6">
      <c r="A3" s="74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Июнь 2026</v>
      </c>
      <c r="B3" s="74"/>
      <c r="C3" s="74"/>
    </row>
    <row r="4" spans="1:6" ht="15" customHeight="1">
      <c r="A4" s="74" t="s">
        <v>146</v>
      </c>
      <c r="B4" s="74"/>
      <c r="C4" s="74"/>
    </row>
    <row r="5" spans="1:6">
      <c r="A5" s="48" t="s">
        <v>132</v>
      </c>
    </row>
    <row r="6" spans="1:6">
      <c r="A6" s="48" t="str">
        <f ca="1">IF(DAY(TODAY()) &gt; 27," 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Июнь 2026 г. По 30 Июнь 2026  г. ХРАНИТЕЛЬ оказал ПОКЛАЖЕДАТЕЛЮ следующие услуги (работы):</v>
      </c>
    </row>
    <row r="8" spans="1:6">
      <c r="A8" s="171" t="s">
        <v>0</v>
      </c>
      <c r="B8" s="171" t="s">
        <v>79</v>
      </c>
      <c r="C8" s="171" t="s">
        <v>80</v>
      </c>
      <c r="D8" s="171" t="s">
        <v>81</v>
      </c>
      <c r="E8" s="171" t="s">
        <v>82</v>
      </c>
      <c r="F8" s="171" t="s">
        <v>83</v>
      </c>
    </row>
    <row r="9" spans="1:6">
      <c r="A9" s="170">
        <v>1</v>
      </c>
      <c r="B9" s="171" t="s">
        <v>147</v>
      </c>
      <c r="C9" s="170" t="s">
        <v>148</v>
      </c>
      <c r="D9" s="211">
        <v>23.375</v>
      </c>
      <c r="E9" s="212">
        <v>1000</v>
      </c>
      <c r="F9" s="212">
        <f t="shared" ref="F9:F11" si="0">SUM(D9*E9)</f>
        <v>23375</v>
      </c>
    </row>
    <row r="10" spans="1:6">
      <c r="A10" s="170">
        <v>2</v>
      </c>
      <c r="B10" s="171" t="s">
        <v>8</v>
      </c>
      <c r="C10" s="170" t="s">
        <v>148</v>
      </c>
      <c r="D10" s="211">
        <f>D9</f>
        <v>23.375</v>
      </c>
      <c r="E10" s="212">
        <v>200</v>
      </c>
      <c r="F10" s="212">
        <f t="shared" si="0"/>
        <v>4675</v>
      </c>
    </row>
    <row r="11" spans="1:6">
      <c r="A11" s="170">
        <v>3</v>
      </c>
      <c r="B11" s="171" t="s">
        <v>149</v>
      </c>
      <c r="C11" s="170" t="s">
        <v>150</v>
      </c>
      <c r="D11" s="211">
        <v>17</v>
      </c>
      <c r="E11" s="212">
        <v>830</v>
      </c>
      <c r="F11" s="212">
        <f t="shared" si="0"/>
        <v>14110</v>
      </c>
    </row>
    <row r="12" spans="1:6">
      <c r="A12" s="48" t="s">
        <v>84</v>
      </c>
      <c r="F12" s="212">
        <f>SUM(F9:F11)</f>
        <v>42160</v>
      </c>
    </row>
    <row r="13" spans="1:6">
      <c r="A13" s="48" t="s">
        <v>85</v>
      </c>
      <c r="F13" s="212">
        <f>SUM(F12)</f>
        <v>42160</v>
      </c>
    </row>
    <row r="14" spans="1:6">
      <c r="A14" s="48" t="s">
        <v>86</v>
      </c>
      <c r="F14" s="212">
        <f>SUM(F13)*1.22</f>
        <v>51435.199999999997</v>
      </c>
    </row>
    <row r="15" spans="1:6">
      <c r="A15" s="48" t="s">
        <v>87</v>
      </c>
    </row>
    <row r="16" spans="1:6">
      <c r="A16" s="48" t="s">
        <v>88</v>
      </c>
    </row>
    <row r="19" spans="1:4" ht="15" customHeight="1">
      <c r="A19" s="48" t="s">
        <v>90</v>
      </c>
      <c r="D19" s="48" t="s">
        <v>142</v>
      </c>
    </row>
    <row r="21" spans="1:4">
      <c r="A21" s="48" t="s">
        <v>143</v>
      </c>
      <c r="D21" s="48" t="s">
        <v>94</v>
      </c>
    </row>
  </sheetData>
  <pageMargins left="0.7" right="0.7" top="0.75" bottom="0.75" header="0.3" footer="0.3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906E-196C-4C43-8E53-B401E10D2339}">
  <sheetPr>
    <pageSetUpPr fitToPage="1"/>
  </sheetPr>
  <dimension ref="A3:G22"/>
  <sheetViews>
    <sheetView topLeftCell="A2" workbookViewId="0">
      <selection activeCell="B16" sqref="B16"/>
    </sheetView>
  </sheetViews>
  <sheetFormatPr defaultRowHeight="15"/>
  <cols>
    <col min="1" max="1" width="18.85546875" style="48" customWidth="1"/>
    <col min="2" max="2" width="27.140625" style="48" customWidth="1"/>
    <col min="3" max="3" width="9.85546875" style="48" customWidth="1"/>
    <col min="4" max="4" width="11.28515625" style="48" customWidth="1"/>
    <col min="5" max="5" width="10.7109375" style="48" customWidth="1"/>
    <col min="6" max="6" width="14.5703125" style="48" customWidth="1"/>
    <col min="7" max="7" width="13.5703125" style="48" customWidth="1"/>
    <col min="8" max="16384" width="9.140625" style="48"/>
  </cols>
  <sheetData>
    <row r="3" spans="1:7">
      <c r="A3" s="74" t="str">
        <f ca="1">IF(DAY(TODAY())&gt;27,"Акт  №    от  " &amp; TEXT(TODAY(),"ДД ММММ ГГГГ"),"Акт  №    от  " &amp; TEXT(TODAY()-DAY(TODAY()),"ДД ММММ ГГГГ")) &amp; " г. Екатеринбург"</f>
        <v>Акт  №    от  30 Июнь 2026 г. Екатеринбург</v>
      </c>
    </row>
    <row r="4" spans="1:7">
      <c r="A4" s="74" t="str">
        <f ca="1">IF(DAY(TODAY()) &gt; 27, "выполненных работ (оказанных услуг) за " &amp; TEXT(TODAY(),"ММММ ГГГГ"),"выполненных работ (оказанных услуг) за " &amp; TEXT(TODAY()-DAY(TODAY()),"ММММ ГГГГ"))</f>
        <v>выполненных работ (оказанных услуг) за Июнь 2026</v>
      </c>
      <c r="B4" s="74"/>
      <c r="C4" s="74"/>
    </row>
    <row r="5" spans="1:7">
      <c r="A5" s="74" t="s">
        <v>131</v>
      </c>
      <c r="B5" s="74"/>
      <c r="C5" s="74"/>
    </row>
    <row r="6" spans="1:7">
      <c r="A6" s="48" t="s">
        <v>132</v>
      </c>
    </row>
    <row r="7" spans="1:7">
      <c r="A7" s="48" t="str">
        <f ca="1">IF(DAY(TODAY()) &gt; 27,"Во исполнение Договора в период с " &amp; TEXT(TODAY()-DAY(TODAY()-DAY(TODAY())),"ДД ММММ ГГГГ") &amp; " г. По " &amp; TEXT(TODAY(),"ДД ММММ ГГГГ") &amp; "  г. ХРАНИТЕЛЬ оказал ПОКЛАЖЕДАТЕЛЮ следующие услуги (работы):"," Во исполнение Договора в период с " &amp; TEXT(TODAY()-DAY(TODAY())-DAY(TODAY()-DAY(TODAY()))+1,"ДД ММММ ГГГГ") &amp; " г. По " &amp; TEXT(TODAY()-DAY(TODAY()),"ДД ММММ ГГГГ") &amp; "  г. ХРАНИТЕЛЬ оказал ПОКЛАЖЕДАТЕЛЮ следующие услуги (работы):")</f>
        <v xml:space="preserve"> Во исполнение Договора в период с 01 Июнь 2026 г. По 30 Июнь 2026  г. ХРАНИТЕЛЬ оказал ПОКЛАЖЕДАТЕЛЮ следующие услуги (работы):</v>
      </c>
    </row>
    <row r="9" spans="1:7">
      <c r="A9" s="171" t="s">
        <v>0</v>
      </c>
      <c r="B9" s="171" t="s">
        <v>79</v>
      </c>
      <c r="C9" s="171" t="s">
        <v>80</v>
      </c>
      <c r="D9" s="171" t="s">
        <v>81</v>
      </c>
      <c r="E9" s="171" t="s">
        <v>82</v>
      </c>
      <c r="F9" s="171" t="s">
        <v>133</v>
      </c>
      <c r="G9" s="171" t="s">
        <v>134</v>
      </c>
    </row>
    <row r="10" spans="1:7">
      <c r="A10" s="170">
        <v>1</v>
      </c>
      <c r="B10" s="171" t="s">
        <v>135</v>
      </c>
      <c r="C10" s="170" t="s">
        <v>136</v>
      </c>
      <c r="D10" s="169">
        <v>18</v>
      </c>
      <c r="E10" s="208">
        <v>2000</v>
      </c>
      <c r="F10" s="208">
        <f>SUM(D10*E10)</f>
        <v>36000</v>
      </c>
      <c r="G10" s="208">
        <f>F10*1.22</f>
        <v>43920</v>
      </c>
    </row>
    <row r="11" spans="1:7">
      <c r="A11" s="170">
        <v>2</v>
      </c>
      <c r="B11" s="171" t="s">
        <v>137</v>
      </c>
      <c r="C11" s="170" t="s">
        <v>136</v>
      </c>
      <c r="D11" s="169"/>
      <c r="E11" s="208"/>
      <c r="F11" s="208">
        <f>SUM(D11*E11)</f>
        <v>0</v>
      </c>
      <c r="G11" s="208">
        <f>F11*1.2</f>
        <v>0</v>
      </c>
    </row>
    <row r="12" spans="1:7">
      <c r="A12" s="209"/>
      <c r="C12" s="209"/>
      <c r="D12" s="185"/>
      <c r="E12" s="122"/>
      <c r="F12" s="208">
        <f>SUM(F10:F11)</f>
        <v>36000</v>
      </c>
      <c r="G12" s="208">
        <f>SUM(G10:G11)</f>
        <v>43920</v>
      </c>
    </row>
    <row r="13" spans="1:7">
      <c r="A13" s="74" t="s">
        <v>138</v>
      </c>
      <c r="B13" s="74" t="s">
        <v>151</v>
      </c>
      <c r="C13" s="74"/>
      <c r="D13" s="74"/>
    </row>
    <row r="14" spans="1:7">
      <c r="A14" s="74" t="s">
        <v>140</v>
      </c>
      <c r="B14" s="74" t="str">
        <f>B13</f>
        <v>тридцать шесть рублей ноль копеек</v>
      </c>
      <c r="C14" s="74"/>
      <c r="D14" s="74"/>
    </row>
    <row r="15" spans="1:7">
      <c r="A15" s="74" t="s">
        <v>86</v>
      </c>
      <c r="B15" s="74" t="s">
        <v>152</v>
      </c>
      <c r="F15" s="210"/>
      <c r="G15" s="210"/>
    </row>
    <row r="16" spans="1:7">
      <c r="A16" s="48" t="s">
        <v>87</v>
      </c>
    </row>
    <row r="17" spans="1:4">
      <c r="A17" s="48" t="s">
        <v>88</v>
      </c>
    </row>
    <row r="20" spans="1:4">
      <c r="A20" s="48" t="s">
        <v>90</v>
      </c>
      <c r="D20" s="48" t="s">
        <v>142</v>
      </c>
    </row>
    <row r="22" spans="1:4">
      <c r="A22" s="48" t="s">
        <v>143</v>
      </c>
      <c r="D22" s="48" t="s">
        <v>94</v>
      </c>
    </row>
  </sheetData>
  <pageMargins left="0.7" right="0.7" top="0.75" bottom="0.75" header="0.3" footer="0.3"/>
  <pageSetup paperSize="9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0A69-B460-4C0C-8023-E1CC9906D3CC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153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169">
        <v>1</v>
      </c>
      <c r="B5" s="78" t="s">
        <v>163</v>
      </c>
      <c r="C5" s="79"/>
      <c r="D5" s="144">
        <v>0</v>
      </c>
      <c r="E5" s="144">
        <v>0</v>
      </c>
      <c r="F5" s="144">
        <v>4.0999999999999996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144">
        <v>0</v>
      </c>
      <c r="E6" s="144">
        <v>0</v>
      </c>
      <c r="F6" s="144">
        <v>4.0999999999999996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144">
        <v>0</v>
      </c>
      <c r="E7" s="144">
        <v>0</v>
      </c>
      <c r="F7" s="144">
        <v>4.0999999999999996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144">
        <v>0</v>
      </c>
      <c r="E8" s="144">
        <v>0</v>
      </c>
      <c r="F8" s="144">
        <v>4.0999999999999996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144">
        <v>0</v>
      </c>
      <c r="E9" s="144">
        <v>0</v>
      </c>
      <c r="F9" s="144">
        <v>4.0999999999999996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144">
        <v>0</v>
      </c>
      <c r="E10" s="144">
        <v>0</v>
      </c>
      <c r="F10" s="144">
        <v>4.0999999999999996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144">
        <v>0</v>
      </c>
      <c r="E11" s="144">
        <v>0</v>
      </c>
      <c r="F11" s="144">
        <v>4.0999999999999996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144">
        <v>0</v>
      </c>
      <c r="E12" s="144">
        <v>0</v>
      </c>
      <c r="F12" s="144">
        <v>4.0999999999999996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144">
        <v>0</v>
      </c>
      <c r="E13" s="144">
        <v>0</v>
      </c>
      <c r="F13" s="144">
        <v>4.0999999999999996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144">
        <v>0</v>
      </c>
      <c r="E14" s="144">
        <v>0</v>
      </c>
      <c r="F14" s="144">
        <v>4.0999999999999996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144">
        <v>0</v>
      </c>
      <c r="E15" s="144">
        <v>0</v>
      </c>
      <c r="F15" s="144">
        <v>4.0999999999999996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144">
        <v>0</v>
      </c>
      <c r="E16" s="144">
        <v>0</v>
      </c>
      <c r="F16" s="144">
        <v>4.0999999999999996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144">
        <v>0</v>
      </c>
      <c r="E17" s="144">
        <v>0</v>
      </c>
      <c r="F17" s="144">
        <v>4.0999999999999996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144">
        <v>0</v>
      </c>
      <c r="E18" s="144">
        <v>0</v>
      </c>
      <c r="F18" s="144">
        <v>4.0999999999999996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144">
        <v>0</v>
      </c>
      <c r="E19" s="144">
        <v>0</v>
      </c>
      <c r="F19" s="144">
        <v>4.0999999999999996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144">
        <v>0</v>
      </c>
      <c r="E20" s="144">
        <v>0</v>
      </c>
      <c r="F20" s="144">
        <v>4.0999999999999996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144">
        <v>0</v>
      </c>
      <c r="E21" s="144">
        <v>0</v>
      </c>
      <c r="F21" s="144">
        <v>4.0999999999999996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144">
        <v>0</v>
      </c>
      <c r="E22" s="144">
        <v>0</v>
      </c>
      <c r="F22" s="144">
        <v>4.0999999999999996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144">
        <v>0</v>
      </c>
      <c r="E23" s="144">
        <v>0</v>
      </c>
      <c r="F23" s="144">
        <v>4.0999999999999996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144">
        <v>0</v>
      </c>
      <c r="E24" s="144">
        <v>0</v>
      </c>
      <c r="F24" s="144">
        <v>4.0999999999999996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144">
        <v>0</v>
      </c>
      <c r="E25" s="144">
        <v>0</v>
      </c>
      <c r="F25" s="144">
        <v>4.0999999999999996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144">
        <v>0</v>
      </c>
      <c r="E26" s="144">
        <v>0</v>
      </c>
      <c r="F26" s="144">
        <v>4.0999999999999996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144">
        <v>0</v>
      </c>
      <c r="E27" s="144">
        <v>0</v>
      </c>
      <c r="F27" s="144">
        <v>4.0999999999999996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144">
        <v>0</v>
      </c>
      <c r="E28" s="144">
        <v>0</v>
      </c>
      <c r="F28" s="144">
        <v>4.0999999999999996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144">
        <v>0</v>
      </c>
      <c r="E29" s="144">
        <v>0</v>
      </c>
      <c r="F29" s="144">
        <v>4.0999999999999996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144">
        <v>0</v>
      </c>
      <c r="E30" s="144">
        <v>0</v>
      </c>
      <c r="F30" s="144">
        <v>4.0999999999999996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144">
        <v>0</v>
      </c>
      <c r="E31" s="144">
        <v>0</v>
      </c>
      <c r="F31" s="144">
        <v>4.0999999999999996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144">
        <v>0</v>
      </c>
      <c r="E32" s="144">
        <v>0</v>
      </c>
      <c r="F32" s="144">
        <v>4.0999999999999996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144">
        <v>0</v>
      </c>
      <c r="E33" s="144">
        <v>0</v>
      </c>
      <c r="F33" s="144">
        <v>4.0999999999999996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144">
        <v>0</v>
      </c>
      <c r="E34" s="144">
        <v>0</v>
      </c>
      <c r="F34" s="144">
        <v>4.0999999999999996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144">
        <v>0</v>
      </c>
      <c r="E35" s="144">
        <v>0</v>
      </c>
      <c r="F35" s="144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0</v>
      </c>
      <c r="F36" s="71">
        <v>122.99999999999993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0</v>
      </c>
      <c r="O36" s="215">
        <v>965.61</v>
      </c>
      <c r="P36" s="215">
        <v>0</v>
      </c>
      <c r="Q36" s="215">
        <v>0</v>
      </c>
      <c r="R36" s="215">
        <v>0</v>
      </c>
      <c r="S36" s="215">
        <v>0</v>
      </c>
      <c r="T36" s="215">
        <v>965.61</v>
      </c>
    </row>
    <row r="37" spans="1:20">
      <c r="R37" s="74"/>
      <c r="S37" s="74"/>
      <c r="T37" s="216">
        <v>1178.04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78B89-CE46-471C-B1B3-8BE71A27289B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193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169">
        <v>1</v>
      </c>
      <c r="B5" s="78" t="s">
        <v>163</v>
      </c>
      <c r="C5" s="79"/>
      <c r="D5" s="144">
        <v>133</v>
      </c>
      <c r="E5" s="144">
        <v>116.5</v>
      </c>
      <c r="F5" s="144">
        <v>12136.928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144">
        <v>220</v>
      </c>
      <c r="E6" s="144">
        <v>202</v>
      </c>
      <c r="F6" s="144">
        <v>12154.928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144">
        <v>265.5</v>
      </c>
      <c r="E7" s="144">
        <v>422.5</v>
      </c>
      <c r="F7" s="144">
        <v>11997.928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144">
        <v>265.5</v>
      </c>
      <c r="E8" s="144">
        <v>180</v>
      </c>
      <c r="F8" s="144">
        <v>12083.428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144">
        <v>222</v>
      </c>
      <c r="E9" s="144">
        <v>142.625</v>
      </c>
      <c r="F9" s="144">
        <v>12162.803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144">
        <v>286</v>
      </c>
      <c r="E10" s="144">
        <v>66.75</v>
      </c>
      <c r="F10" s="144">
        <v>12382.053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144">
        <v>220</v>
      </c>
      <c r="E11" s="144">
        <v>177.5</v>
      </c>
      <c r="F11" s="144">
        <v>12424.553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144">
        <v>287.5</v>
      </c>
      <c r="E12" s="144">
        <v>143.37100000000001</v>
      </c>
      <c r="F12" s="144">
        <v>12568.682000000001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144">
        <v>222</v>
      </c>
      <c r="E13" s="144">
        <v>111.467</v>
      </c>
      <c r="F13" s="144">
        <v>12679.215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144">
        <v>133</v>
      </c>
      <c r="E14" s="144">
        <v>199.5</v>
      </c>
      <c r="F14" s="144">
        <v>12612.715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144">
        <v>200.5</v>
      </c>
      <c r="E15" s="144">
        <v>176.5</v>
      </c>
      <c r="F15" s="144">
        <v>12636.715</v>
      </c>
      <c r="G15" s="213">
        <v>0</v>
      </c>
      <c r="H15" s="213">
        <v>0</v>
      </c>
      <c r="I15" s="63">
        <v>6</v>
      </c>
      <c r="J15" s="63">
        <v>6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1500</v>
      </c>
      <c r="S15" s="214">
        <v>840</v>
      </c>
      <c r="T15" s="214">
        <v>2340</v>
      </c>
    </row>
    <row r="16" spans="1:20">
      <c r="A16" s="66">
        <v>12</v>
      </c>
      <c r="B16" s="78" t="s">
        <v>174</v>
      </c>
      <c r="C16" s="79"/>
      <c r="D16" s="144">
        <v>442</v>
      </c>
      <c r="E16" s="144">
        <v>244</v>
      </c>
      <c r="F16" s="144">
        <v>12834.715</v>
      </c>
      <c r="G16" s="213">
        <v>0</v>
      </c>
      <c r="H16" s="213">
        <v>0</v>
      </c>
      <c r="I16" s="63">
        <v>1.5</v>
      </c>
      <c r="J16" s="63">
        <v>1.5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375</v>
      </c>
      <c r="S16" s="214">
        <v>210</v>
      </c>
      <c r="T16" s="214">
        <v>585</v>
      </c>
    </row>
    <row r="17" spans="1:20">
      <c r="A17" s="66">
        <v>13</v>
      </c>
      <c r="B17" s="78" t="s">
        <v>175</v>
      </c>
      <c r="C17" s="79"/>
      <c r="D17" s="144">
        <v>375</v>
      </c>
      <c r="E17" s="144">
        <v>178</v>
      </c>
      <c r="F17" s="144">
        <v>13031.715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144">
        <v>399</v>
      </c>
      <c r="E18" s="144">
        <v>132.5</v>
      </c>
      <c r="F18" s="144">
        <v>13298.215</v>
      </c>
      <c r="G18" s="213">
        <v>0</v>
      </c>
      <c r="H18" s="213">
        <v>0</v>
      </c>
      <c r="I18" s="63">
        <v>3</v>
      </c>
      <c r="J18" s="63">
        <v>3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750</v>
      </c>
      <c r="S18" s="214">
        <v>420</v>
      </c>
      <c r="T18" s="214">
        <v>1170</v>
      </c>
    </row>
    <row r="19" spans="1:20">
      <c r="A19" s="66">
        <v>15</v>
      </c>
      <c r="B19" s="78" t="s">
        <v>177</v>
      </c>
      <c r="C19" s="79"/>
      <c r="D19" s="144">
        <v>221</v>
      </c>
      <c r="E19" s="144">
        <v>88.55</v>
      </c>
      <c r="F19" s="144">
        <v>13430.665000000001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144">
        <v>531.97500000000002</v>
      </c>
      <c r="E20" s="144">
        <v>97.7</v>
      </c>
      <c r="F20" s="144">
        <v>13864.94</v>
      </c>
      <c r="G20" s="213">
        <v>0</v>
      </c>
      <c r="H20" s="213">
        <v>0</v>
      </c>
      <c r="I20" s="63">
        <v>1.4750000000000001</v>
      </c>
      <c r="J20" s="63">
        <v>1.4750000000000001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368.75</v>
      </c>
      <c r="S20" s="214">
        <v>206.5</v>
      </c>
      <c r="T20" s="214">
        <v>575.25</v>
      </c>
    </row>
    <row r="21" spans="1:20">
      <c r="A21" s="66">
        <v>17</v>
      </c>
      <c r="B21" s="78" t="s">
        <v>179</v>
      </c>
      <c r="C21" s="79"/>
      <c r="D21" s="144">
        <v>377</v>
      </c>
      <c r="E21" s="144">
        <v>288.5</v>
      </c>
      <c r="F21" s="144">
        <v>13953.44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144">
        <v>379.5</v>
      </c>
      <c r="E22" s="144">
        <v>142.536</v>
      </c>
      <c r="F22" s="144">
        <v>14190.404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144">
        <v>201.5</v>
      </c>
      <c r="E23" s="144">
        <v>220.625</v>
      </c>
      <c r="F23" s="144">
        <v>14171.279</v>
      </c>
      <c r="G23" s="213">
        <v>0</v>
      </c>
      <c r="H23" s="213">
        <v>0</v>
      </c>
      <c r="I23" s="63">
        <v>1.5</v>
      </c>
      <c r="J23" s="63">
        <v>1.5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375</v>
      </c>
      <c r="S23" s="214">
        <v>210</v>
      </c>
      <c r="T23" s="214">
        <v>585</v>
      </c>
    </row>
    <row r="24" spans="1:20">
      <c r="A24" s="66">
        <v>20</v>
      </c>
      <c r="B24" s="78" t="s">
        <v>182</v>
      </c>
      <c r="C24" s="79"/>
      <c r="D24" s="144">
        <v>90</v>
      </c>
      <c r="E24" s="144">
        <v>161.5</v>
      </c>
      <c r="F24" s="144">
        <v>14099.779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144">
        <v>269</v>
      </c>
      <c r="E25" s="144">
        <v>129.75</v>
      </c>
      <c r="F25" s="144">
        <v>14239.029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144">
        <v>134.5</v>
      </c>
      <c r="E26" s="144">
        <v>204</v>
      </c>
      <c r="F26" s="144">
        <v>14169.529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144">
        <v>90</v>
      </c>
      <c r="E27" s="144">
        <v>506.05</v>
      </c>
      <c r="F27" s="144">
        <v>13753.478999999999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144">
        <v>177.75</v>
      </c>
      <c r="E28" s="144">
        <v>464.5</v>
      </c>
      <c r="F28" s="144">
        <v>13466.728999999999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144">
        <v>178.875</v>
      </c>
      <c r="E29" s="144">
        <v>425.125</v>
      </c>
      <c r="F29" s="144">
        <v>13220.478999999999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144">
        <v>90</v>
      </c>
      <c r="E30" s="144">
        <v>277.625</v>
      </c>
      <c r="F30" s="144">
        <v>13032.853999999999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144">
        <v>90</v>
      </c>
      <c r="E31" s="144">
        <v>374.5</v>
      </c>
      <c r="F31" s="144">
        <v>12748.353999999999</v>
      </c>
      <c r="G31" s="213">
        <v>0</v>
      </c>
      <c r="H31" s="213">
        <v>0</v>
      </c>
      <c r="I31" s="63">
        <v>1.5</v>
      </c>
      <c r="J31" s="63">
        <v>1.5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375</v>
      </c>
      <c r="S31" s="214">
        <v>210</v>
      </c>
      <c r="T31" s="214">
        <v>585</v>
      </c>
    </row>
    <row r="32" spans="1:20">
      <c r="A32" s="66">
        <v>28</v>
      </c>
      <c r="B32" s="78" t="s">
        <v>190</v>
      </c>
      <c r="C32" s="79"/>
      <c r="D32" s="144">
        <v>0</v>
      </c>
      <c r="E32" s="144">
        <v>384.875</v>
      </c>
      <c r="F32" s="144">
        <v>12363.478999999999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144">
        <v>135</v>
      </c>
      <c r="E33" s="144">
        <v>550.17499999999995</v>
      </c>
      <c r="F33" s="144">
        <v>11948.304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144">
        <v>22.5</v>
      </c>
      <c r="E34" s="144">
        <v>2320.375</v>
      </c>
      <c r="F34" s="144">
        <v>9650.4290000000001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144">
        <v>0</v>
      </c>
      <c r="E35" s="144">
        <v>0</v>
      </c>
      <c r="F35" s="144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6659.6</v>
      </c>
      <c r="E36" s="71">
        <v>9129.5990000000002</v>
      </c>
      <c r="F36" s="71">
        <v>387307.76499999996</v>
      </c>
      <c r="G36" s="71">
        <v>0</v>
      </c>
      <c r="H36" s="71">
        <v>0</v>
      </c>
      <c r="I36" s="71">
        <v>14.975</v>
      </c>
      <c r="J36" s="71">
        <v>14.975</v>
      </c>
      <c r="K36" s="71">
        <v>0</v>
      </c>
      <c r="L36" s="215">
        <v>0</v>
      </c>
      <c r="M36" s="215">
        <v>1003200</v>
      </c>
      <c r="N36" s="215">
        <v>928258.88</v>
      </c>
      <c r="O36" s="215">
        <v>2952672.12</v>
      </c>
      <c r="P36" s="215">
        <v>2576226.09</v>
      </c>
      <c r="Q36" s="215">
        <v>0</v>
      </c>
      <c r="R36" s="215">
        <v>3743.75</v>
      </c>
      <c r="S36" s="215">
        <v>2096.5</v>
      </c>
      <c r="T36" s="215">
        <v>7466197.3399999999</v>
      </c>
    </row>
    <row r="37" spans="1:20">
      <c r="R37" s="74"/>
      <c r="S37" s="74"/>
      <c r="T37" s="216">
        <v>9108760.75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D74F-5125-4DFB-A504-CD566ABEED5D}">
  <sheetPr>
    <pageSetUpPr fitToPage="1"/>
  </sheetPr>
  <dimension ref="A1:T37"/>
  <sheetViews>
    <sheetView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194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771.35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771.35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44</v>
      </c>
      <c r="F7" s="217">
        <v>727.35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44</v>
      </c>
      <c r="F8" s="217">
        <v>683.35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44</v>
      </c>
      <c r="F9" s="217">
        <v>639.35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639.35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22</v>
      </c>
      <c r="F11" s="217">
        <v>617.35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44</v>
      </c>
      <c r="F12" s="217">
        <v>573.35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44</v>
      </c>
      <c r="F13" s="217">
        <v>529.35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88</v>
      </c>
      <c r="F14" s="217">
        <v>441.35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88</v>
      </c>
      <c r="F15" s="217">
        <v>353.35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44</v>
      </c>
      <c r="F16" s="217">
        <v>309.35000000000002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309.35000000000002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309.35000000000002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309.35000000000002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22</v>
      </c>
      <c r="F20" s="217">
        <v>287.35000000000002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287.35000000000002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287.35000000000002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22</v>
      </c>
      <c r="F23" s="217">
        <v>265.35000000000002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265.35000000000002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265.35000000000002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265.35000000000002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22</v>
      </c>
      <c r="F27" s="217">
        <v>243.35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44</v>
      </c>
      <c r="F28" s="217">
        <v>199.35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199.35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22</v>
      </c>
      <c r="F30" s="217">
        <v>177.35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177.35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66</v>
      </c>
      <c r="F32" s="217">
        <v>111.35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22</v>
      </c>
      <c r="F33" s="217">
        <v>89.35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89.35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682</v>
      </c>
      <c r="F36" s="71">
        <v>11194.500000000009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74941.119999999995</v>
      </c>
      <c r="O36" s="215">
        <v>87882.27</v>
      </c>
      <c r="P36" s="215">
        <v>0</v>
      </c>
      <c r="Q36" s="215">
        <v>0</v>
      </c>
      <c r="R36" s="215">
        <v>0</v>
      </c>
      <c r="S36" s="215">
        <v>0</v>
      </c>
      <c r="T36" s="215">
        <v>162823.39000000001</v>
      </c>
    </row>
    <row r="37" spans="1:20">
      <c r="R37" s="74"/>
      <c r="S37" s="74"/>
      <c r="T37" s="216">
        <v>198644.54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1954-8B24-435C-A512-534DE39F850F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195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23.052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23.052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23.052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23.052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23.052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23.052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23.052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23.052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22</v>
      </c>
      <c r="E13" s="217">
        <v>0</v>
      </c>
      <c r="F13" s="217">
        <v>45.052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45.052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44</v>
      </c>
      <c r="E15" s="217">
        <v>0</v>
      </c>
      <c r="F15" s="217">
        <v>89.052000000000007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110</v>
      </c>
      <c r="E16" s="217">
        <v>0</v>
      </c>
      <c r="F16" s="217">
        <v>199.05199999999999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22</v>
      </c>
      <c r="E17" s="217">
        <v>0</v>
      </c>
      <c r="F17" s="217">
        <v>221.05199999999999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0.498</v>
      </c>
      <c r="E18" s="217">
        <v>0</v>
      </c>
      <c r="F18" s="217">
        <v>221.55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44</v>
      </c>
      <c r="E19" s="217">
        <v>0</v>
      </c>
      <c r="F19" s="217">
        <v>265.55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265.55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265.55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22</v>
      </c>
      <c r="E22" s="217">
        <v>0</v>
      </c>
      <c r="F22" s="217">
        <v>287.55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287.55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287.55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287.55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287.55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287.55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21.998999999999999</v>
      </c>
      <c r="E28" s="217">
        <v>44</v>
      </c>
      <c r="F28" s="217">
        <v>265.54899999999998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265.54899999999998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265.54899999999998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265.54899999999998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265.54899999999998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265.54899999999998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44</v>
      </c>
      <c r="F34" s="217">
        <v>221.54900000000001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286.49700000000001</v>
      </c>
      <c r="E36" s="71">
        <v>88</v>
      </c>
      <c r="F36" s="71">
        <v>5342.0190000000002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45095.78</v>
      </c>
      <c r="N36" s="215">
        <v>14358.48</v>
      </c>
      <c r="O36" s="215">
        <v>111104.69</v>
      </c>
      <c r="P36" s="215">
        <v>0</v>
      </c>
      <c r="Q36" s="215">
        <v>0</v>
      </c>
      <c r="R36" s="215">
        <v>0</v>
      </c>
      <c r="S36" s="215">
        <v>0</v>
      </c>
      <c r="T36" s="215">
        <v>170558.95</v>
      </c>
    </row>
    <row r="37" spans="1:20">
      <c r="R37" s="74"/>
      <c r="S37" s="74"/>
      <c r="T37" s="216">
        <v>208081.92000000001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45AF-953D-42DA-A366-D514EB1CE25E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196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84.593999999999994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84.593999999999994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84.593999999999994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84.593999999999994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84.593999999999994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84.593999999999994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84.593999999999994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84.593999999999994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84.593999999999994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84.593999999999994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84.593999999999994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84.593999999999994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84.593999999999994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84.593999999999994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84.593999999999994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84.593999999999994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84.593999999999994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84.593999999999994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84.593999999999994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84.593999999999994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84.593999999999994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84.593999999999994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84.593999999999994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84.593999999999994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84.593999999999994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84.593999999999994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84.593999999999994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84.593999999999994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84.593999999999994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84.593999999999994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0</v>
      </c>
      <c r="F36" s="71">
        <v>2537.8200000000011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0</v>
      </c>
      <c r="O36" s="215">
        <v>52782.239999999998</v>
      </c>
      <c r="P36" s="215">
        <v>0</v>
      </c>
      <c r="Q36" s="215">
        <v>0</v>
      </c>
      <c r="R36" s="215">
        <v>0</v>
      </c>
      <c r="S36" s="215">
        <v>0</v>
      </c>
      <c r="T36" s="215">
        <v>52782.239999999998</v>
      </c>
    </row>
    <row r="37" spans="1:20">
      <c r="R37" s="74"/>
      <c r="S37" s="74"/>
      <c r="T37" s="216">
        <v>64394.33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B15E-DC3F-43C5-89DA-4FE328F4C8BE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197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45</v>
      </c>
      <c r="E5" s="217">
        <v>67.5</v>
      </c>
      <c r="F5" s="217">
        <v>8502.57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248.74100000000001</v>
      </c>
      <c r="E6" s="217">
        <v>292</v>
      </c>
      <c r="F6" s="217">
        <v>8459.3109999999997</v>
      </c>
      <c r="G6" s="213">
        <v>0</v>
      </c>
      <c r="H6" s="213">
        <v>0</v>
      </c>
      <c r="I6" s="63">
        <v>99.226000000000013</v>
      </c>
      <c r="J6" s="63">
        <v>171.85100000000006</v>
      </c>
      <c r="K6" s="64">
        <v>74.075999999999979</v>
      </c>
      <c r="L6" s="214">
        <v>11111.4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99226</v>
      </c>
      <c r="S6" s="214">
        <v>34370.199999999997</v>
      </c>
      <c r="T6" s="214">
        <v>144707.6</v>
      </c>
    </row>
    <row r="7" spans="1:20">
      <c r="A7" s="66">
        <v>3</v>
      </c>
      <c r="B7" s="78" t="s">
        <v>165</v>
      </c>
      <c r="C7" s="79"/>
      <c r="D7" s="217">
        <v>506.15199999999999</v>
      </c>
      <c r="E7" s="217">
        <v>21</v>
      </c>
      <c r="F7" s="217">
        <v>8944.4629999999997</v>
      </c>
      <c r="G7" s="213">
        <v>0</v>
      </c>
      <c r="H7" s="213">
        <v>0</v>
      </c>
      <c r="I7" s="63">
        <v>21.444999999999993</v>
      </c>
      <c r="J7" s="63">
        <v>25.369999999999997</v>
      </c>
      <c r="K7" s="64">
        <v>19.969999999999992</v>
      </c>
      <c r="L7" s="214">
        <v>2995.5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21445</v>
      </c>
      <c r="S7" s="214">
        <v>5074</v>
      </c>
      <c r="T7" s="214">
        <v>29514.5</v>
      </c>
    </row>
    <row r="8" spans="1:20">
      <c r="A8" s="66">
        <v>4</v>
      </c>
      <c r="B8" s="78" t="s">
        <v>166</v>
      </c>
      <c r="C8" s="79"/>
      <c r="D8" s="217">
        <v>405</v>
      </c>
      <c r="E8" s="217">
        <v>114</v>
      </c>
      <c r="F8" s="217">
        <v>9235.4629999999997</v>
      </c>
      <c r="G8" s="213">
        <v>0</v>
      </c>
      <c r="H8" s="213">
        <v>0</v>
      </c>
      <c r="I8" s="63">
        <v>3</v>
      </c>
      <c r="J8" s="63">
        <v>3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3000</v>
      </c>
      <c r="S8" s="214">
        <v>600</v>
      </c>
      <c r="T8" s="214">
        <v>3600</v>
      </c>
    </row>
    <row r="9" spans="1:20">
      <c r="A9" s="66">
        <v>5</v>
      </c>
      <c r="B9" s="78" t="s">
        <v>167</v>
      </c>
      <c r="C9" s="79"/>
      <c r="D9" s="217">
        <v>769.44899999999996</v>
      </c>
      <c r="E9" s="217">
        <v>90</v>
      </c>
      <c r="F9" s="217">
        <v>9914.9120000000003</v>
      </c>
      <c r="G9" s="213">
        <v>0</v>
      </c>
      <c r="H9" s="213">
        <v>0</v>
      </c>
      <c r="I9" s="63">
        <v>1.5</v>
      </c>
      <c r="J9" s="63">
        <v>1.5</v>
      </c>
      <c r="K9" s="64">
        <v>2.5000000000000001E-2</v>
      </c>
      <c r="L9" s="214">
        <v>3.75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1500</v>
      </c>
      <c r="S9" s="214">
        <v>300</v>
      </c>
      <c r="T9" s="214">
        <v>1803.75</v>
      </c>
    </row>
    <row r="10" spans="1:20">
      <c r="A10" s="66">
        <v>6</v>
      </c>
      <c r="B10" s="78" t="s">
        <v>168</v>
      </c>
      <c r="C10" s="79"/>
      <c r="D10" s="217">
        <v>372.61700000000002</v>
      </c>
      <c r="E10" s="217">
        <v>89.5</v>
      </c>
      <c r="F10" s="217">
        <v>10198.029</v>
      </c>
      <c r="G10" s="213">
        <v>0</v>
      </c>
      <c r="H10" s="213">
        <v>0</v>
      </c>
      <c r="I10" s="63">
        <v>47.819999999999993</v>
      </c>
      <c r="J10" s="63">
        <v>47.819999999999993</v>
      </c>
      <c r="K10" s="64">
        <v>46.344999999999992</v>
      </c>
      <c r="L10" s="214">
        <v>6951.75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47820</v>
      </c>
      <c r="S10" s="214">
        <v>9564</v>
      </c>
      <c r="T10" s="214">
        <v>64335.75</v>
      </c>
    </row>
    <row r="11" spans="1:20">
      <c r="A11" s="66">
        <v>7</v>
      </c>
      <c r="B11" s="78" t="s">
        <v>169</v>
      </c>
      <c r="C11" s="79"/>
      <c r="D11" s="217">
        <v>478.68599999999998</v>
      </c>
      <c r="E11" s="217">
        <v>44.5</v>
      </c>
      <c r="F11" s="217">
        <v>10632.215</v>
      </c>
      <c r="G11" s="213">
        <v>0</v>
      </c>
      <c r="H11" s="213">
        <v>0</v>
      </c>
      <c r="I11" s="63">
        <v>43.494</v>
      </c>
      <c r="J11" s="63">
        <v>42.283999999999999</v>
      </c>
      <c r="K11" s="64">
        <v>38.099000000000004</v>
      </c>
      <c r="L11" s="214">
        <v>5714.85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43494</v>
      </c>
      <c r="S11" s="214">
        <v>8456.7999999999993</v>
      </c>
      <c r="T11" s="214">
        <v>57665.65</v>
      </c>
    </row>
    <row r="12" spans="1:20">
      <c r="A12" s="66">
        <v>8</v>
      </c>
      <c r="B12" s="78" t="s">
        <v>170</v>
      </c>
      <c r="C12" s="79"/>
      <c r="D12" s="217">
        <v>488.78500000000003</v>
      </c>
      <c r="E12" s="217">
        <v>22.5</v>
      </c>
      <c r="F12" s="217">
        <v>11098.5</v>
      </c>
      <c r="G12" s="213">
        <v>0</v>
      </c>
      <c r="H12" s="213">
        <v>0</v>
      </c>
      <c r="I12" s="63">
        <v>15.516999999999999</v>
      </c>
      <c r="J12" s="63">
        <v>14.968999999999999</v>
      </c>
      <c r="K12" s="64">
        <v>14.420999999999999</v>
      </c>
      <c r="L12" s="214">
        <v>2163.15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15517</v>
      </c>
      <c r="S12" s="214">
        <v>2993.8</v>
      </c>
      <c r="T12" s="214">
        <v>20673.95</v>
      </c>
    </row>
    <row r="13" spans="1:20">
      <c r="A13" s="66">
        <v>9</v>
      </c>
      <c r="B13" s="78" t="s">
        <v>171</v>
      </c>
      <c r="C13" s="79"/>
      <c r="D13" s="217">
        <v>495</v>
      </c>
      <c r="E13" s="217">
        <v>118.7</v>
      </c>
      <c r="F13" s="217">
        <v>11474.8</v>
      </c>
      <c r="G13" s="213">
        <v>0</v>
      </c>
      <c r="H13" s="213">
        <v>0</v>
      </c>
      <c r="I13" s="63">
        <v>46.397999999999989</v>
      </c>
      <c r="J13" s="63">
        <v>47.49799999999999</v>
      </c>
      <c r="K13" s="64">
        <v>46.397999999999989</v>
      </c>
      <c r="L13" s="214">
        <v>6959.7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46398</v>
      </c>
      <c r="S13" s="214">
        <v>9499.6</v>
      </c>
      <c r="T13" s="214">
        <v>62857.3</v>
      </c>
    </row>
    <row r="14" spans="1:20">
      <c r="A14" s="66">
        <v>10</v>
      </c>
      <c r="B14" s="78" t="s">
        <v>172</v>
      </c>
      <c r="C14" s="79"/>
      <c r="D14" s="217">
        <v>739.18299999999999</v>
      </c>
      <c r="E14" s="217">
        <v>94.5</v>
      </c>
      <c r="F14" s="217">
        <v>12119.483</v>
      </c>
      <c r="G14" s="213">
        <v>0</v>
      </c>
      <c r="H14" s="213">
        <v>0</v>
      </c>
      <c r="I14" s="63">
        <v>7.8360000000000003</v>
      </c>
      <c r="J14" s="63">
        <v>7.8360000000000003</v>
      </c>
      <c r="K14" s="64">
        <v>8.7040000000000006</v>
      </c>
      <c r="L14" s="214">
        <v>1305.5999999999999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7836</v>
      </c>
      <c r="S14" s="214">
        <v>1567.2</v>
      </c>
      <c r="T14" s="214">
        <v>10708.8</v>
      </c>
    </row>
    <row r="15" spans="1:20">
      <c r="A15" s="66">
        <v>11</v>
      </c>
      <c r="B15" s="78" t="s">
        <v>173</v>
      </c>
      <c r="C15" s="79"/>
      <c r="D15" s="217">
        <v>427.5</v>
      </c>
      <c r="E15" s="217">
        <v>24.018999999999998</v>
      </c>
      <c r="F15" s="217">
        <v>12522.964</v>
      </c>
      <c r="G15" s="213">
        <v>0</v>
      </c>
      <c r="H15" s="213">
        <v>0</v>
      </c>
      <c r="I15" s="63">
        <v>19.195</v>
      </c>
      <c r="J15" s="63">
        <v>20.495000000000001</v>
      </c>
      <c r="K15" s="64">
        <v>14.845000000000001</v>
      </c>
      <c r="L15" s="214">
        <v>2226.75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19195</v>
      </c>
      <c r="S15" s="214">
        <v>4099</v>
      </c>
      <c r="T15" s="214">
        <v>25520.75</v>
      </c>
    </row>
    <row r="16" spans="1:20">
      <c r="A16" s="66">
        <v>12</v>
      </c>
      <c r="B16" s="78" t="s">
        <v>174</v>
      </c>
      <c r="C16" s="79"/>
      <c r="D16" s="217">
        <v>22.5</v>
      </c>
      <c r="E16" s="217">
        <v>0</v>
      </c>
      <c r="F16" s="217">
        <v>12545.464</v>
      </c>
      <c r="G16" s="213">
        <v>0</v>
      </c>
      <c r="H16" s="213">
        <v>0</v>
      </c>
      <c r="I16" s="63">
        <v>118.80300000000001</v>
      </c>
      <c r="J16" s="63">
        <v>128.10300000000001</v>
      </c>
      <c r="K16" s="64">
        <v>54.147999999999989</v>
      </c>
      <c r="L16" s="214">
        <v>8122.2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118803</v>
      </c>
      <c r="S16" s="214">
        <v>25620.6</v>
      </c>
      <c r="T16" s="214">
        <v>152545.79999999999</v>
      </c>
    </row>
    <row r="17" spans="1:20">
      <c r="A17" s="66">
        <v>13</v>
      </c>
      <c r="B17" s="78" t="s">
        <v>175</v>
      </c>
      <c r="C17" s="79"/>
      <c r="D17" s="217">
        <v>135</v>
      </c>
      <c r="E17" s="217">
        <v>0</v>
      </c>
      <c r="F17" s="217">
        <v>12680.464</v>
      </c>
      <c r="G17" s="213">
        <v>0</v>
      </c>
      <c r="H17" s="213">
        <v>0</v>
      </c>
      <c r="I17" s="63">
        <v>43.946000000000005</v>
      </c>
      <c r="J17" s="63">
        <v>43.946000000000005</v>
      </c>
      <c r="K17" s="64">
        <v>42.471000000000004</v>
      </c>
      <c r="L17" s="214">
        <v>6370.65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43946</v>
      </c>
      <c r="S17" s="214">
        <v>8789.2000000000007</v>
      </c>
      <c r="T17" s="214">
        <v>59105.85</v>
      </c>
    </row>
    <row r="18" spans="1:20">
      <c r="A18" s="66">
        <v>14</v>
      </c>
      <c r="B18" s="78" t="s">
        <v>176</v>
      </c>
      <c r="C18" s="79"/>
      <c r="D18" s="217">
        <v>139.453</v>
      </c>
      <c r="E18" s="217">
        <v>0</v>
      </c>
      <c r="F18" s="217">
        <v>12819.916999999999</v>
      </c>
      <c r="G18" s="213">
        <v>0</v>
      </c>
      <c r="H18" s="213">
        <v>0</v>
      </c>
      <c r="I18" s="63">
        <v>10.206000000000001</v>
      </c>
      <c r="J18" s="63">
        <v>10.931000000000001</v>
      </c>
      <c r="K18" s="64">
        <v>3.456</v>
      </c>
      <c r="L18" s="214">
        <v>518.4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10206</v>
      </c>
      <c r="S18" s="214">
        <v>2186.1999999999998</v>
      </c>
      <c r="T18" s="214">
        <v>12910.6</v>
      </c>
    </row>
    <row r="19" spans="1:20">
      <c r="A19" s="66">
        <v>15</v>
      </c>
      <c r="B19" s="78" t="s">
        <v>177</v>
      </c>
      <c r="C19" s="79"/>
      <c r="D19" s="217">
        <v>8.9499999999999993</v>
      </c>
      <c r="E19" s="217">
        <v>44</v>
      </c>
      <c r="F19" s="217">
        <v>12784.867</v>
      </c>
      <c r="G19" s="213">
        <v>0</v>
      </c>
      <c r="H19" s="213">
        <v>0</v>
      </c>
      <c r="I19" s="63">
        <v>15.12</v>
      </c>
      <c r="J19" s="63">
        <v>20.22</v>
      </c>
      <c r="K19" s="64">
        <v>1.6199999999999997</v>
      </c>
      <c r="L19" s="214">
        <v>243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15120</v>
      </c>
      <c r="S19" s="214">
        <v>4044</v>
      </c>
      <c r="T19" s="214">
        <v>19407</v>
      </c>
    </row>
    <row r="20" spans="1:20">
      <c r="A20" s="66">
        <v>16</v>
      </c>
      <c r="B20" s="78" t="s">
        <v>178</v>
      </c>
      <c r="C20" s="79"/>
      <c r="D20" s="217">
        <v>72.863</v>
      </c>
      <c r="E20" s="217">
        <v>90.375</v>
      </c>
      <c r="F20" s="217">
        <v>12767.355</v>
      </c>
      <c r="G20" s="213">
        <v>0</v>
      </c>
      <c r="H20" s="213">
        <v>0</v>
      </c>
      <c r="I20" s="63">
        <v>35.367000000000004</v>
      </c>
      <c r="J20" s="63">
        <v>38.367000000000004</v>
      </c>
      <c r="K20" s="64">
        <v>0.28799999999999998</v>
      </c>
      <c r="L20" s="214">
        <v>43.2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35367</v>
      </c>
      <c r="S20" s="214">
        <v>7673.4</v>
      </c>
      <c r="T20" s="214">
        <v>43083.6</v>
      </c>
    </row>
    <row r="21" spans="1:20">
      <c r="A21" s="66">
        <v>17</v>
      </c>
      <c r="B21" s="78" t="s">
        <v>179</v>
      </c>
      <c r="C21" s="79"/>
      <c r="D21" s="217">
        <v>89.971999999999994</v>
      </c>
      <c r="E21" s="217">
        <v>124.875</v>
      </c>
      <c r="F21" s="217">
        <v>12732.451999999999</v>
      </c>
      <c r="G21" s="213">
        <v>0</v>
      </c>
      <c r="H21" s="213">
        <v>0</v>
      </c>
      <c r="I21" s="63">
        <v>22.5</v>
      </c>
      <c r="J21" s="63">
        <v>22.5</v>
      </c>
      <c r="K21" s="64">
        <v>0.124</v>
      </c>
      <c r="L21" s="214">
        <v>18.600000000000001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22500</v>
      </c>
      <c r="S21" s="214">
        <v>4500</v>
      </c>
      <c r="T21" s="214">
        <v>27018.6</v>
      </c>
    </row>
    <row r="22" spans="1:20">
      <c r="A22" s="66">
        <v>18</v>
      </c>
      <c r="B22" s="78" t="s">
        <v>180</v>
      </c>
      <c r="C22" s="79"/>
      <c r="D22" s="217">
        <v>22.5</v>
      </c>
      <c r="E22" s="217">
        <v>91</v>
      </c>
      <c r="F22" s="217">
        <v>12663.951999999999</v>
      </c>
      <c r="G22" s="213">
        <v>0</v>
      </c>
      <c r="H22" s="213">
        <v>0</v>
      </c>
      <c r="I22" s="63">
        <v>1.5</v>
      </c>
      <c r="J22" s="63">
        <v>1.5</v>
      </c>
      <c r="K22" s="64">
        <v>2.5000000000000001E-2</v>
      </c>
      <c r="L22" s="214">
        <v>3.75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1500</v>
      </c>
      <c r="S22" s="214">
        <v>300</v>
      </c>
      <c r="T22" s="214">
        <v>1803.75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66</v>
      </c>
      <c r="F23" s="217">
        <v>12597.951999999999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90</v>
      </c>
      <c r="F24" s="217">
        <v>12507.951999999999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45</v>
      </c>
      <c r="F25" s="217">
        <v>12462.951999999999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45</v>
      </c>
      <c r="E26" s="217">
        <v>112.5</v>
      </c>
      <c r="F26" s="217">
        <v>12395.451999999999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28.95</v>
      </c>
      <c r="F27" s="217">
        <v>12366.502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202.5</v>
      </c>
      <c r="F28" s="217">
        <v>12164.002</v>
      </c>
      <c r="G28" s="213">
        <v>0</v>
      </c>
      <c r="H28" s="213">
        <v>0</v>
      </c>
      <c r="I28" s="63">
        <v>1.375</v>
      </c>
      <c r="J28" s="63">
        <v>1.375</v>
      </c>
      <c r="K28" s="64">
        <v>2.4E-2</v>
      </c>
      <c r="L28" s="214">
        <v>3.6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1375</v>
      </c>
      <c r="S28" s="214">
        <v>275</v>
      </c>
      <c r="T28" s="214">
        <v>1653.6</v>
      </c>
    </row>
    <row r="29" spans="1:20">
      <c r="A29" s="66">
        <v>25</v>
      </c>
      <c r="B29" s="78" t="s">
        <v>187</v>
      </c>
      <c r="C29" s="79"/>
      <c r="D29" s="217">
        <v>18.52</v>
      </c>
      <c r="E29" s="217">
        <v>247.55</v>
      </c>
      <c r="F29" s="217">
        <v>11934.972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345.75</v>
      </c>
      <c r="F30" s="217">
        <v>11589.222</v>
      </c>
      <c r="G30" s="213">
        <v>0</v>
      </c>
      <c r="H30" s="213">
        <v>0</v>
      </c>
      <c r="I30" s="63">
        <v>18.52</v>
      </c>
      <c r="J30" s="63">
        <v>18.52</v>
      </c>
      <c r="K30" s="64">
        <v>18.52</v>
      </c>
      <c r="L30" s="214">
        <v>2778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18520</v>
      </c>
      <c r="S30" s="214">
        <v>3704</v>
      </c>
      <c r="T30" s="214">
        <v>25002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565.25</v>
      </c>
      <c r="F31" s="217">
        <v>11023.972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472.5</v>
      </c>
      <c r="F32" s="217">
        <v>10551.472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654.20000000000005</v>
      </c>
      <c r="F33" s="217">
        <v>9897.2720000000008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22.5</v>
      </c>
      <c r="E34" s="217">
        <v>584.67499999999995</v>
      </c>
      <c r="F34" s="217">
        <v>9335.0969999999998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5553.371000000001</v>
      </c>
      <c r="E36" s="71">
        <v>4743.3440000000001</v>
      </c>
      <c r="F36" s="71">
        <v>340924</v>
      </c>
      <c r="G36" s="71">
        <v>0</v>
      </c>
      <c r="H36" s="71">
        <v>0</v>
      </c>
      <c r="I36" s="71">
        <v>572.76800000000003</v>
      </c>
      <c r="J36" s="71">
        <v>668.08500000000004</v>
      </c>
      <c r="K36" s="71">
        <v>383.55899999999997</v>
      </c>
      <c r="L36" s="215">
        <v>57533.85</v>
      </c>
      <c r="M36" s="215">
        <v>874122.94</v>
      </c>
      <c r="N36" s="215">
        <v>773945.58</v>
      </c>
      <c r="O36" s="215">
        <v>7090625.5199999996</v>
      </c>
      <c r="P36" s="215">
        <v>0</v>
      </c>
      <c r="Q36" s="215">
        <v>0</v>
      </c>
      <c r="R36" s="215">
        <v>572768</v>
      </c>
      <c r="S36" s="215">
        <v>133617</v>
      </c>
      <c r="T36" s="215">
        <v>9502612.8900000006</v>
      </c>
    </row>
    <row r="37" spans="1:20">
      <c r="R37" s="74"/>
      <c r="S37" s="74"/>
      <c r="T37" s="216">
        <v>11593187.73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E2F5-130E-4DD8-A795-0A3AF71F4487}">
  <sheetPr>
    <pageSetUpPr fitToPage="1"/>
  </sheetPr>
  <dimension ref="A1:T37"/>
  <sheetViews>
    <sheetView workbookViewId="0">
      <selection activeCell="K10" sqref="K10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198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1085.588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22</v>
      </c>
      <c r="F6" s="217">
        <v>1063.588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1.3</v>
      </c>
      <c r="E7" s="217">
        <v>0</v>
      </c>
      <c r="F7" s="217">
        <v>1064.8879999999999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1064.8879999999999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1064.8879999999999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3.7410000000000001</v>
      </c>
      <c r="E10" s="217">
        <v>22</v>
      </c>
      <c r="F10" s="217">
        <v>1046.6289999999999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1.2749999999999999</v>
      </c>
      <c r="E11" s="217">
        <v>0</v>
      </c>
      <c r="F11" s="217">
        <v>1047.904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1047.904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1047.904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1.5149999999999999</v>
      </c>
      <c r="E14" s="217">
        <v>44</v>
      </c>
      <c r="F14" s="217">
        <v>1005.419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22</v>
      </c>
      <c r="F15" s="217">
        <v>983.41899999999998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983.41899999999998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22</v>
      </c>
      <c r="F17" s="217">
        <v>961.41899999999998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3.9780000000000002</v>
      </c>
      <c r="E18" s="217">
        <v>22</v>
      </c>
      <c r="F18" s="217">
        <v>943.39700000000005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0.27</v>
      </c>
      <c r="E19" s="217">
        <v>22</v>
      </c>
      <c r="F19" s="217">
        <v>921.66700000000003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88</v>
      </c>
      <c r="F20" s="217">
        <v>833.66700000000003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44</v>
      </c>
      <c r="F21" s="217">
        <v>789.66700000000003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789.66700000000003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44</v>
      </c>
      <c r="F23" s="217">
        <v>745.66700000000003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88</v>
      </c>
      <c r="F24" s="217">
        <v>657.66700000000003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22</v>
      </c>
      <c r="F25" s="217">
        <v>635.66700000000003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88</v>
      </c>
      <c r="F26" s="217">
        <v>547.66700000000003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110</v>
      </c>
      <c r="F27" s="217">
        <v>437.66699999999997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22</v>
      </c>
      <c r="F28" s="217">
        <v>415.66699999999997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22</v>
      </c>
      <c r="F29" s="217">
        <v>393.66699999999997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22</v>
      </c>
      <c r="F30" s="217">
        <v>371.66699999999997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22</v>
      </c>
      <c r="F31" s="217">
        <v>349.66699999999997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349.66699999999997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22</v>
      </c>
      <c r="F33" s="217">
        <v>327.66699999999997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44</v>
      </c>
      <c r="F34" s="217">
        <v>283.66699999999997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12.079000000000001</v>
      </c>
      <c r="E36" s="71">
        <v>814</v>
      </c>
      <c r="F36" s="71">
        <v>23261.926000000018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1901.28</v>
      </c>
      <c r="N36" s="215">
        <v>132815.94</v>
      </c>
      <c r="O36" s="215">
        <v>483807.55</v>
      </c>
      <c r="P36" s="215">
        <v>0</v>
      </c>
      <c r="Q36" s="215">
        <v>0</v>
      </c>
      <c r="R36" s="215">
        <v>0</v>
      </c>
      <c r="S36" s="215">
        <v>0</v>
      </c>
      <c r="T36" s="215">
        <v>618524.77</v>
      </c>
    </row>
    <row r="37" spans="1:20">
      <c r="R37" s="74"/>
      <c r="S37" s="74"/>
      <c r="T37" s="216">
        <v>754600.22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F75B-A996-47CB-884C-0545BBE35E4B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199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0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0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0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0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0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0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0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0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0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0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0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0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0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0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0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0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66</v>
      </c>
      <c r="E21" s="217">
        <v>0</v>
      </c>
      <c r="F21" s="217">
        <v>66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66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66</v>
      </c>
      <c r="E23" s="217">
        <v>0</v>
      </c>
      <c r="F23" s="217">
        <v>132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132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22</v>
      </c>
      <c r="E25" s="217">
        <v>0</v>
      </c>
      <c r="F25" s="217">
        <v>154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154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154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154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154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154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154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154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154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154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154</v>
      </c>
      <c r="E36" s="71">
        <v>0</v>
      </c>
      <c r="F36" s="71">
        <v>1936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11401.54</v>
      </c>
      <c r="N36" s="215">
        <v>0</v>
      </c>
      <c r="O36" s="215">
        <v>83302.259999999995</v>
      </c>
      <c r="P36" s="215">
        <v>0</v>
      </c>
      <c r="Q36" s="215">
        <v>0</v>
      </c>
      <c r="R36" s="215">
        <v>0</v>
      </c>
      <c r="S36" s="215">
        <v>0</v>
      </c>
      <c r="T36" s="215">
        <v>94703.8</v>
      </c>
    </row>
    <row r="37" spans="1:20">
      <c r="R37" s="74"/>
      <c r="S37" s="74"/>
      <c r="T37" s="216">
        <v>115538.64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8C79-4F26-4DB7-9AFF-9DAF6438E126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0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0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0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0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0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0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0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0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0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0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0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270</v>
      </c>
      <c r="E16" s="217">
        <v>0</v>
      </c>
      <c r="F16" s="217">
        <v>270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112.5</v>
      </c>
      <c r="E17" s="217">
        <v>0</v>
      </c>
      <c r="F17" s="217">
        <v>382.5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382.5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382.5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382.5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1507.5</v>
      </c>
      <c r="E21" s="217">
        <v>0</v>
      </c>
      <c r="F21" s="217">
        <v>1890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1260</v>
      </c>
      <c r="E22" s="217">
        <v>0</v>
      </c>
      <c r="F22" s="217">
        <v>3150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1305</v>
      </c>
      <c r="E23" s="217">
        <v>0</v>
      </c>
      <c r="F23" s="217">
        <v>4455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562.5</v>
      </c>
      <c r="E24" s="217">
        <v>0</v>
      </c>
      <c r="F24" s="217">
        <v>5017.5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1102.5</v>
      </c>
      <c r="E25" s="217">
        <v>0</v>
      </c>
      <c r="F25" s="217">
        <v>6120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720</v>
      </c>
      <c r="E26" s="217">
        <v>0</v>
      </c>
      <c r="F26" s="217">
        <v>6840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607.5</v>
      </c>
      <c r="E27" s="217">
        <v>0</v>
      </c>
      <c r="F27" s="217">
        <v>7447.5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720</v>
      </c>
      <c r="E28" s="217">
        <v>0</v>
      </c>
      <c r="F28" s="217">
        <v>8167.5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607.072</v>
      </c>
      <c r="E29" s="217">
        <v>0</v>
      </c>
      <c r="F29" s="217">
        <v>8774.5720000000001</v>
      </c>
      <c r="G29" s="213">
        <v>0</v>
      </c>
      <c r="H29" s="213">
        <v>0</v>
      </c>
      <c r="I29" s="63">
        <v>22.446999999999999</v>
      </c>
      <c r="J29" s="63">
        <v>22.446999999999999</v>
      </c>
      <c r="K29" s="64">
        <v>0.17200000000000001</v>
      </c>
      <c r="L29" s="214">
        <v>25.8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22447</v>
      </c>
      <c r="S29" s="214">
        <v>4489.3999999999996</v>
      </c>
      <c r="T29" s="214">
        <v>26962.2</v>
      </c>
    </row>
    <row r="30" spans="1:20">
      <c r="A30" s="66">
        <v>26</v>
      </c>
      <c r="B30" s="78" t="s">
        <v>188</v>
      </c>
      <c r="C30" s="79"/>
      <c r="D30" s="217">
        <v>67.5</v>
      </c>
      <c r="E30" s="217">
        <v>45</v>
      </c>
      <c r="F30" s="217">
        <v>8797.0720000000001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45</v>
      </c>
      <c r="E31" s="217">
        <v>43.5</v>
      </c>
      <c r="F31" s="217">
        <v>8798.5720000000001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22.5</v>
      </c>
      <c r="F32" s="217">
        <v>8776.0720000000001</v>
      </c>
      <c r="G32" s="213">
        <v>0</v>
      </c>
      <c r="H32" s="213">
        <v>0</v>
      </c>
      <c r="I32" s="63">
        <v>2.75</v>
      </c>
      <c r="J32" s="63">
        <v>2.75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2750</v>
      </c>
      <c r="S32" s="214">
        <v>550</v>
      </c>
      <c r="T32" s="214">
        <v>3300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109.5</v>
      </c>
      <c r="F33" s="217">
        <v>8666.5720000000001</v>
      </c>
      <c r="G33" s="213">
        <v>0</v>
      </c>
      <c r="H33" s="213">
        <v>0</v>
      </c>
      <c r="I33" s="63">
        <v>2.75</v>
      </c>
      <c r="J33" s="63">
        <v>2.75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2750</v>
      </c>
      <c r="S33" s="214">
        <v>550</v>
      </c>
      <c r="T33" s="214">
        <v>3300</v>
      </c>
    </row>
    <row r="34" spans="1:20">
      <c r="A34" s="66">
        <v>30</v>
      </c>
      <c r="B34" s="78" t="s">
        <v>192</v>
      </c>
      <c r="C34" s="79"/>
      <c r="D34" s="217">
        <v>22.5</v>
      </c>
      <c r="E34" s="217">
        <v>514.5</v>
      </c>
      <c r="F34" s="217">
        <v>8174.5720000000001</v>
      </c>
      <c r="G34" s="213">
        <v>0</v>
      </c>
      <c r="H34" s="213">
        <v>0</v>
      </c>
      <c r="I34" s="63">
        <v>5.5</v>
      </c>
      <c r="J34" s="63">
        <v>5.5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5500</v>
      </c>
      <c r="S34" s="214">
        <v>1100</v>
      </c>
      <c r="T34" s="214">
        <v>6600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8909.5720000000001</v>
      </c>
      <c r="E36" s="71">
        <v>735</v>
      </c>
      <c r="F36" s="71">
        <v>96874.932000000001</v>
      </c>
      <c r="G36" s="71">
        <v>0</v>
      </c>
      <c r="H36" s="71">
        <v>0</v>
      </c>
      <c r="I36" s="71">
        <v>33.447000000000003</v>
      </c>
      <c r="J36" s="71">
        <v>33.447000000000003</v>
      </c>
      <c r="K36" s="71">
        <v>0.17200000000000001</v>
      </c>
      <c r="L36" s="215">
        <v>25.8</v>
      </c>
      <c r="M36" s="215">
        <v>659629.06999999995</v>
      </c>
      <c r="N36" s="215">
        <v>715008</v>
      </c>
      <c r="O36" s="215">
        <v>4168337.36</v>
      </c>
      <c r="P36" s="215">
        <v>0</v>
      </c>
      <c r="Q36" s="215">
        <v>0</v>
      </c>
      <c r="R36" s="215">
        <v>33447</v>
      </c>
      <c r="S36" s="215">
        <v>6689.4</v>
      </c>
      <c r="T36" s="215">
        <v>5583136.6299999999</v>
      </c>
    </row>
    <row r="37" spans="1:20">
      <c r="R37" s="74"/>
      <c r="S37" s="74"/>
      <c r="T37" s="216">
        <v>6811426.6900000004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F8B1-9EC5-4FB8-9B87-CA00BF5771F5}">
  <sheetPr>
    <pageSetUpPr fitToPage="1"/>
  </sheetPr>
  <dimension ref="A1:T37"/>
  <sheetViews>
    <sheetView topLeftCell="A16" workbookViewId="0">
      <selection activeCell="Q37" sqref="Q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1" width="9.140625" style="48"/>
    <col min="12" max="12" width="14" style="48" customWidth="1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201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0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0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0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0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0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0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0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0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0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0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0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0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0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0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0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0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0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0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0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0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0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0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0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0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0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0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66</v>
      </c>
      <c r="E31" s="217">
        <v>0</v>
      </c>
      <c r="F31" s="217">
        <v>66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88</v>
      </c>
      <c r="E32" s="217">
        <v>0</v>
      </c>
      <c r="F32" s="217">
        <v>154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330</v>
      </c>
      <c r="E33" s="217">
        <v>0</v>
      </c>
      <c r="F33" s="217">
        <v>484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110</v>
      </c>
      <c r="E34" s="217">
        <v>0</v>
      </c>
      <c r="F34" s="217">
        <v>594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594</v>
      </c>
      <c r="E36" s="71">
        <v>0</v>
      </c>
      <c r="F36" s="71">
        <v>1298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43977.38</v>
      </c>
      <c r="N36" s="215">
        <v>0</v>
      </c>
      <c r="O36" s="215">
        <v>55850.38</v>
      </c>
      <c r="P36" s="215">
        <v>0</v>
      </c>
      <c r="Q36" s="215">
        <v>0</v>
      </c>
      <c r="R36" s="215">
        <v>0</v>
      </c>
      <c r="S36" s="215">
        <v>0</v>
      </c>
      <c r="T36" s="215">
        <v>99827.76</v>
      </c>
    </row>
    <row r="37" spans="1:20">
      <c r="R37" s="74"/>
      <c r="S37" s="74"/>
      <c r="T37" s="216">
        <v>121789.87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2EB8-17FA-4922-AE6C-BA9AD65DC14A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202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44</v>
      </c>
      <c r="E5" s="217">
        <v>111</v>
      </c>
      <c r="F5" s="217">
        <v>661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109.25</v>
      </c>
      <c r="F6" s="217">
        <v>551.75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66</v>
      </c>
      <c r="F7" s="217">
        <v>485.75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308</v>
      </c>
      <c r="E8" s="217">
        <v>0</v>
      </c>
      <c r="F8" s="217">
        <v>793.75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44.5</v>
      </c>
      <c r="F9" s="217">
        <v>749.25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88</v>
      </c>
      <c r="E10" s="217">
        <v>22.5</v>
      </c>
      <c r="F10" s="217">
        <v>814.75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44</v>
      </c>
      <c r="F11" s="217">
        <v>770.75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65.25</v>
      </c>
      <c r="F12" s="217">
        <v>705.5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44</v>
      </c>
      <c r="E13" s="217">
        <v>44.5</v>
      </c>
      <c r="F13" s="217">
        <v>705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88</v>
      </c>
      <c r="E14" s="217">
        <v>0</v>
      </c>
      <c r="F14" s="217">
        <v>793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88</v>
      </c>
      <c r="E15" s="217">
        <v>22</v>
      </c>
      <c r="F15" s="217">
        <v>859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88</v>
      </c>
      <c r="E16" s="217">
        <v>66</v>
      </c>
      <c r="F16" s="217">
        <v>881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22.5</v>
      </c>
      <c r="F17" s="217">
        <v>858.5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22</v>
      </c>
      <c r="F18" s="217">
        <v>836.5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66</v>
      </c>
      <c r="E19" s="217">
        <v>44</v>
      </c>
      <c r="F19" s="217">
        <v>858.5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88</v>
      </c>
      <c r="E20" s="217">
        <v>0</v>
      </c>
      <c r="F20" s="217">
        <v>946.5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946.5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946.5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110</v>
      </c>
      <c r="E23" s="217">
        <v>0</v>
      </c>
      <c r="F23" s="217">
        <v>1056.5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44.475000000000001</v>
      </c>
      <c r="F24" s="217">
        <v>1012.025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22</v>
      </c>
      <c r="F25" s="217">
        <v>990.02499999999998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66</v>
      </c>
      <c r="F26" s="217">
        <v>924.02499999999998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22</v>
      </c>
      <c r="F27" s="217">
        <v>902.02499999999998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44</v>
      </c>
      <c r="F28" s="217">
        <v>858.02499999999998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22</v>
      </c>
      <c r="F29" s="217">
        <v>836.02499999999998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44</v>
      </c>
      <c r="F30" s="217">
        <v>792.02499999999998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44</v>
      </c>
      <c r="F31" s="217">
        <v>748.02499999999998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22</v>
      </c>
      <c r="F32" s="217">
        <v>726.02499999999998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22</v>
      </c>
      <c r="F33" s="217">
        <v>704.02499999999998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88</v>
      </c>
      <c r="F34" s="217">
        <v>616.02499999999998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1012</v>
      </c>
      <c r="E36" s="71">
        <v>1123.9749999999999</v>
      </c>
      <c r="F36" s="71">
        <v>24328.275000000012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137306.51</v>
      </c>
      <c r="N36" s="215">
        <v>125678.19</v>
      </c>
      <c r="O36" s="215">
        <v>193429.88</v>
      </c>
      <c r="P36" s="215">
        <v>0</v>
      </c>
      <c r="Q36" s="215">
        <v>0</v>
      </c>
      <c r="R36" s="215">
        <v>0</v>
      </c>
      <c r="S36" s="215">
        <v>0</v>
      </c>
      <c r="T36" s="215">
        <v>456414.58</v>
      </c>
    </row>
    <row r="37" spans="1:20">
      <c r="R37" s="74"/>
      <c r="S37" s="74"/>
      <c r="T37" s="216">
        <v>556825.79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C47D-28B7-4265-B351-18B3B6708CD5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203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132</v>
      </c>
      <c r="E5" s="217">
        <v>91.7</v>
      </c>
      <c r="F5" s="217">
        <v>12405.458000000001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155</v>
      </c>
      <c r="E6" s="217">
        <v>137.23500000000001</v>
      </c>
      <c r="F6" s="217">
        <v>12423.223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399.5</v>
      </c>
      <c r="E7" s="217">
        <v>246.5</v>
      </c>
      <c r="F7" s="217">
        <v>12576.223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242</v>
      </c>
      <c r="E8" s="217">
        <v>397</v>
      </c>
      <c r="F8" s="217">
        <v>12421.223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264</v>
      </c>
      <c r="E9" s="217">
        <v>134</v>
      </c>
      <c r="F9" s="217">
        <v>12551.223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374</v>
      </c>
      <c r="E10" s="217">
        <v>312.625</v>
      </c>
      <c r="F10" s="217">
        <v>12612.598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466</v>
      </c>
      <c r="E11" s="217">
        <v>88.5</v>
      </c>
      <c r="F11" s="217">
        <v>12990.098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421</v>
      </c>
      <c r="E12" s="217">
        <v>228.875</v>
      </c>
      <c r="F12" s="217">
        <v>13182.223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397.875</v>
      </c>
      <c r="E13" s="217">
        <v>203.375</v>
      </c>
      <c r="F13" s="217">
        <v>13376.723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264.5</v>
      </c>
      <c r="E14" s="217">
        <v>201.125</v>
      </c>
      <c r="F14" s="217">
        <v>13440.098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379.5</v>
      </c>
      <c r="E15" s="217">
        <v>291.97500000000002</v>
      </c>
      <c r="F15" s="217">
        <v>13527.623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355.125</v>
      </c>
      <c r="E16" s="217">
        <v>332.5</v>
      </c>
      <c r="F16" s="217">
        <v>13550.248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555</v>
      </c>
      <c r="E17" s="217">
        <v>242.375</v>
      </c>
      <c r="F17" s="217">
        <v>13862.873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221</v>
      </c>
      <c r="E18" s="217">
        <v>230.404</v>
      </c>
      <c r="F18" s="217">
        <v>13853.468999999999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244.5</v>
      </c>
      <c r="E19" s="217">
        <v>273.42500000000001</v>
      </c>
      <c r="F19" s="217">
        <v>13824.544</v>
      </c>
      <c r="G19" s="213">
        <v>0</v>
      </c>
      <c r="H19" s="213">
        <v>0</v>
      </c>
      <c r="I19" s="63">
        <v>2.25</v>
      </c>
      <c r="J19" s="63">
        <v>2.25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2137.5</v>
      </c>
      <c r="S19" s="214">
        <v>270</v>
      </c>
      <c r="T19" s="214">
        <v>2407.5</v>
      </c>
    </row>
    <row r="20" spans="1:20">
      <c r="A20" s="66">
        <v>16</v>
      </c>
      <c r="B20" s="78" t="s">
        <v>178</v>
      </c>
      <c r="C20" s="79"/>
      <c r="D20" s="217">
        <v>380</v>
      </c>
      <c r="E20" s="217">
        <v>233.6</v>
      </c>
      <c r="F20" s="217">
        <v>13970.944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156.44999999999999</v>
      </c>
      <c r="E21" s="217">
        <v>491.2</v>
      </c>
      <c r="F21" s="217">
        <v>13636.194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245.5</v>
      </c>
      <c r="E22" s="217">
        <v>279</v>
      </c>
      <c r="F22" s="217">
        <v>13602.694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154.85</v>
      </c>
      <c r="E23" s="217">
        <v>287.375</v>
      </c>
      <c r="F23" s="217">
        <v>13470.169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168.624</v>
      </c>
      <c r="E24" s="217">
        <v>319.5</v>
      </c>
      <c r="F24" s="217">
        <v>13319.293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201.5</v>
      </c>
      <c r="E25" s="217">
        <v>154.5</v>
      </c>
      <c r="F25" s="217">
        <v>13366.293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201</v>
      </c>
      <c r="E26" s="217">
        <v>288.10000000000002</v>
      </c>
      <c r="F26" s="217">
        <v>13279.192999999999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112.5</v>
      </c>
      <c r="E27" s="217">
        <v>316.3</v>
      </c>
      <c r="F27" s="217">
        <v>13075.393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270</v>
      </c>
      <c r="E28" s="217">
        <v>516.625</v>
      </c>
      <c r="F28" s="217">
        <v>12828.768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67.5</v>
      </c>
      <c r="E29" s="217">
        <v>154.52500000000001</v>
      </c>
      <c r="F29" s="217">
        <v>12741.743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180</v>
      </c>
      <c r="E30" s="217">
        <v>177.375</v>
      </c>
      <c r="F30" s="217">
        <v>12744.368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112.5</v>
      </c>
      <c r="E31" s="217">
        <v>121</v>
      </c>
      <c r="F31" s="217">
        <v>12735.868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157.5</v>
      </c>
      <c r="E32" s="217">
        <v>309.125</v>
      </c>
      <c r="F32" s="217">
        <v>12584.243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135</v>
      </c>
      <c r="E33" s="217">
        <v>848.75</v>
      </c>
      <c r="F33" s="217">
        <v>11870.493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45</v>
      </c>
      <c r="E34" s="217">
        <v>1299.5250000000001</v>
      </c>
      <c r="F34" s="217">
        <v>10615.968000000001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7458.924</v>
      </c>
      <c r="E36" s="71">
        <v>9208.1139999999996</v>
      </c>
      <c r="F36" s="71">
        <v>390439.47100000002</v>
      </c>
      <c r="G36" s="71">
        <v>0</v>
      </c>
      <c r="H36" s="71">
        <v>0</v>
      </c>
      <c r="I36" s="71">
        <v>2.25</v>
      </c>
      <c r="J36" s="71">
        <v>2.25</v>
      </c>
      <c r="K36" s="71">
        <v>0</v>
      </c>
      <c r="L36" s="215">
        <v>0</v>
      </c>
      <c r="M36" s="215">
        <v>1012014.64</v>
      </c>
      <c r="N36" s="215">
        <v>1029612.81</v>
      </c>
      <c r="O36" s="215">
        <v>3104316.28</v>
      </c>
      <c r="P36" s="215">
        <v>1439054.14</v>
      </c>
      <c r="Q36" s="215">
        <v>111351.03</v>
      </c>
      <c r="R36" s="215">
        <v>2137.5</v>
      </c>
      <c r="S36" s="215">
        <v>270</v>
      </c>
      <c r="T36" s="215">
        <v>6698756.4000000004</v>
      </c>
    </row>
    <row r="37" spans="1:20">
      <c r="R37" s="74"/>
      <c r="S37" s="74"/>
      <c r="T37" s="216">
        <v>8172482.8099999996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B631-9106-4DED-A77F-7BB49C9773FB}">
  <sheetPr>
    <pageSetUpPr fitToPage="1"/>
  </sheetPr>
  <dimension ref="A1:T37"/>
  <sheetViews>
    <sheetView topLeftCell="D1" workbookViewId="0">
      <selection activeCell="I5" sqref="I5:K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204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0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0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0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0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0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0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0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0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0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0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0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0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0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0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0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0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0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0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0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0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0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0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0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0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0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0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0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0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0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44</v>
      </c>
      <c r="E34" s="217">
        <v>0</v>
      </c>
      <c r="F34" s="217">
        <v>44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44</v>
      </c>
      <c r="E36" s="71">
        <v>0</v>
      </c>
      <c r="F36" s="71">
        <v>44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5969.85</v>
      </c>
      <c r="N36" s="215">
        <v>0</v>
      </c>
      <c r="O36" s="215">
        <v>349.84</v>
      </c>
      <c r="P36" s="215">
        <v>0</v>
      </c>
      <c r="Q36" s="215">
        <v>0</v>
      </c>
      <c r="R36" s="215">
        <v>0</v>
      </c>
      <c r="S36" s="215">
        <v>0</v>
      </c>
      <c r="T36" s="215">
        <v>6319.69</v>
      </c>
    </row>
    <row r="37" spans="1:20">
      <c r="R37" s="74"/>
      <c r="S37" s="74"/>
      <c r="T37" s="216">
        <v>7710.02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8982-2B6D-46CD-BECA-0CC38E5DFF0B}">
  <sheetPr>
    <pageSetUpPr fitToPage="1"/>
  </sheetPr>
  <dimension ref="A1:T37"/>
  <sheetViews>
    <sheetView workbookViewId="0">
      <selection activeCell="L36" sqref="L36"/>
    </sheetView>
  </sheetViews>
  <sheetFormatPr defaultRowHeight="15"/>
  <cols>
    <col min="1" max="3" width="9.140625" style="48"/>
    <col min="4" max="5" width="9.42578125" style="48" bestFit="1" customWidth="1"/>
    <col min="6" max="6" width="12.42578125" style="48" customWidth="1"/>
    <col min="7" max="7" width="10.5703125" style="48" bestFit="1" customWidth="1"/>
    <col min="8" max="8" width="9.5703125" style="48" bestFit="1" customWidth="1"/>
    <col min="9" max="9" width="10.5703125" style="48" bestFit="1" customWidth="1"/>
    <col min="10" max="12" width="9.140625" style="48"/>
    <col min="13" max="13" width="14.140625" style="48" customWidth="1"/>
    <col min="14" max="14" width="13.5703125" style="48" customWidth="1"/>
    <col min="15" max="15" width="17.5703125" style="48" customWidth="1"/>
    <col min="16" max="16" width="15.85546875" style="48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205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206</v>
      </c>
      <c r="H3" s="165" t="s">
        <v>6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207</v>
      </c>
      <c r="P3" s="165" t="s">
        <v>14</v>
      </c>
      <c r="Q3" s="165" t="s">
        <v>15</v>
      </c>
      <c r="R3" s="165" t="s">
        <v>16</v>
      </c>
      <c r="S3" s="165" t="s">
        <v>17</v>
      </c>
      <c r="T3" s="165" t="s">
        <v>18</v>
      </c>
    </row>
    <row r="4" spans="1:20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132</v>
      </c>
      <c r="E5" s="217">
        <v>182.82499999999999</v>
      </c>
      <c r="F5" s="217">
        <v>13339.712</v>
      </c>
      <c r="G5" s="213">
        <v>0</v>
      </c>
      <c r="H5" s="213">
        <v>0</v>
      </c>
      <c r="I5" s="63">
        <v>0</v>
      </c>
      <c r="J5" s="64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242</v>
      </c>
      <c r="E6" s="217">
        <v>22</v>
      </c>
      <c r="F6" s="217">
        <v>13559.712</v>
      </c>
      <c r="G6" s="213">
        <v>0</v>
      </c>
      <c r="H6" s="213">
        <v>0</v>
      </c>
      <c r="I6" s="63">
        <v>0</v>
      </c>
      <c r="J6" s="64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155.5</v>
      </c>
      <c r="E7" s="217">
        <v>176</v>
      </c>
      <c r="F7" s="217">
        <v>13539.212</v>
      </c>
      <c r="G7" s="213">
        <v>0</v>
      </c>
      <c r="H7" s="213">
        <v>0</v>
      </c>
      <c r="I7" s="63">
        <v>0</v>
      </c>
      <c r="J7" s="64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466</v>
      </c>
      <c r="E8" s="217">
        <v>165.5</v>
      </c>
      <c r="F8" s="217">
        <v>13839.712</v>
      </c>
      <c r="G8" s="213">
        <v>0</v>
      </c>
      <c r="H8" s="213">
        <v>0</v>
      </c>
      <c r="I8" s="63">
        <v>0</v>
      </c>
      <c r="J8" s="64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377.5</v>
      </c>
      <c r="E9" s="217">
        <v>110</v>
      </c>
      <c r="F9" s="217">
        <v>14107.212</v>
      </c>
      <c r="G9" s="213">
        <v>0</v>
      </c>
      <c r="H9" s="213">
        <v>0</v>
      </c>
      <c r="I9" s="63">
        <v>0</v>
      </c>
      <c r="J9" s="64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265.5</v>
      </c>
      <c r="E10" s="217">
        <v>105.875</v>
      </c>
      <c r="F10" s="217">
        <v>14266.837</v>
      </c>
      <c r="G10" s="213">
        <v>0</v>
      </c>
      <c r="H10" s="213">
        <v>0</v>
      </c>
      <c r="I10" s="63">
        <v>0</v>
      </c>
      <c r="J10" s="64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242</v>
      </c>
      <c r="E11" s="217">
        <v>113.25</v>
      </c>
      <c r="F11" s="217">
        <v>14395.587</v>
      </c>
      <c r="G11" s="213">
        <v>0</v>
      </c>
      <c r="H11" s="213">
        <v>0</v>
      </c>
      <c r="I11" s="63">
        <v>0</v>
      </c>
      <c r="J11" s="64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374.5</v>
      </c>
      <c r="E12" s="217">
        <v>66.025000000000006</v>
      </c>
      <c r="F12" s="217">
        <v>14704.062</v>
      </c>
      <c r="G12" s="213">
        <v>0</v>
      </c>
      <c r="H12" s="213">
        <v>0</v>
      </c>
      <c r="I12" s="63">
        <v>0</v>
      </c>
      <c r="J12" s="64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198</v>
      </c>
      <c r="E13" s="217">
        <v>65.825000000000003</v>
      </c>
      <c r="F13" s="217">
        <v>14836.236999999999</v>
      </c>
      <c r="G13" s="213">
        <v>0</v>
      </c>
      <c r="H13" s="213">
        <v>0</v>
      </c>
      <c r="I13" s="63">
        <v>0</v>
      </c>
      <c r="J13" s="64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66</v>
      </c>
      <c r="E14" s="217">
        <v>53.924999999999997</v>
      </c>
      <c r="F14" s="217">
        <v>14848.312</v>
      </c>
      <c r="G14" s="213">
        <v>0</v>
      </c>
      <c r="H14" s="213">
        <v>0</v>
      </c>
      <c r="I14" s="63">
        <v>0</v>
      </c>
      <c r="J14" s="64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83.875</v>
      </c>
      <c r="F15" s="217">
        <v>14764.437</v>
      </c>
      <c r="G15" s="213">
        <v>0</v>
      </c>
      <c r="H15" s="213">
        <v>0</v>
      </c>
      <c r="I15" s="63">
        <v>0</v>
      </c>
      <c r="J15" s="64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157.5</v>
      </c>
      <c r="E16" s="217">
        <v>176</v>
      </c>
      <c r="F16" s="217">
        <v>14745.937</v>
      </c>
      <c r="G16" s="213">
        <v>0</v>
      </c>
      <c r="H16" s="213">
        <v>0</v>
      </c>
      <c r="I16" s="63">
        <v>0</v>
      </c>
      <c r="J16" s="64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45</v>
      </c>
      <c r="E17" s="217">
        <v>154</v>
      </c>
      <c r="F17" s="217">
        <v>14636.937</v>
      </c>
      <c r="G17" s="213">
        <v>0</v>
      </c>
      <c r="H17" s="213">
        <v>0</v>
      </c>
      <c r="I17" s="63">
        <v>0</v>
      </c>
      <c r="J17" s="64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22</v>
      </c>
      <c r="F18" s="217">
        <v>14614.937</v>
      </c>
      <c r="G18" s="213">
        <v>0</v>
      </c>
      <c r="H18" s="213">
        <v>0</v>
      </c>
      <c r="I18" s="63">
        <v>0</v>
      </c>
      <c r="J18" s="64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110</v>
      </c>
      <c r="F19" s="217">
        <v>14504.937</v>
      </c>
      <c r="G19" s="213">
        <v>0</v>
      </c>
      <c r="H19" s="213">
        <v>0</v>
      </c>
      <c r="I19" s="63">
        <v>0</v>
      </c>
      <c r="J19" s="64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88</v>
      </c>
      <c r="E20" s="217">
        <v>316.25</v>
      </c>
      <c r="F20" s="217">
        <v>14276.687</v>
      </c>
      <c r="G20" s="213">
        <v>0</v>
      </c>
      <c r="H20" s="213">
        <v>0</v>
      </c>
      <c r="I20" s="63">
        <v>0</v>
      </c>
      <c r="J20" s="64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111.375</v>
      </c>
      <c r="F21" s="217">
        <v>14165.312</v>
      </c>
      <c r="G21" s="213">
        <v>0</v>
      </c>
      <c r="H21" s="213">
        <v>0</v>
      </c>
      <c r="I21" s="63">
        <v>0</v>
      </c>
      <c r="J21" s="64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112.5</v>
      </c>
      <c r="E22" s="217">
        <v>22</v>
      </c>
      <c r="F22" s="217">
        <v>14255.812</v>
      </c>
      <c r="G22" s="213">
        <v>0</v>
      </c>
      <c r="H22" s="213">
        <v>0</v>
      </c>
      <c r="I22" s="63">
        <v>37.5</v>
      </c>
      <c r="J22" s="64">
        <v>37.5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37500</v>
      </c>
      <c r="S22" s="214">
        <v>7500</v>
      </c>
      <c r="T22" s="214">
        <v>45000</v>
      </c>
    </row>
    <row r="23" spans="1:20">
      <c r="A23" s="66">
        <v>19</v>
      </c>
      <c r="B23" s="78" t="s">
        <v>181</v>
      </c>
      <c r="C23" s="79"/>
      <c r="D23" s="217">
        <v>90</v>
      </c>
      <c r="E23" s="217">
        <v>39.625</v>
      </c>
      <c r="F23" s="217">
        <v>14306.187</v>
      </c>
      <c r="G23" s="213">
        <v>0</v>
      </c>
      <c r="H23" s="213">
        <v>0</v>
      </c>
      <c r="I23" s="63">
        <v>0</v>
      </c>
      <c r="J23" s="64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154.5</v>
      </c>
      <c r="E24" s="217">
        <v>87.375</v>
      </c>
      <c r="F24" s="217">
        <v>14373.312</v>
      </c>
      <c r="G24" s="213">
        <v>0</v>
      </c>
      <c r="H24" s="213">
        <v>0</v>
      </c>
      <c r="I24" s="63">
        <v>0</v>
      </c>
      <c r="J24" s="64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266</v>
      </c>
      <c r="E25" s="217">
        <v>44</v>
      </c>
      <c r="F25" s="217">
        <v>14595.312</v>
      </c>
      <c r="G25" s="213">
        <v>0</v>
      </c>
      <c r="H25" s="213">
        <v>0</v>
      </c>
      <c r="I25" s="63">
        <v>0</v>
      </c>
      <c r="J25" s="64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110.5</v>
      </c>
      <c r="E26" s="217">
        <v>199.42500000000001</v>
      </c>
      <c r="F26" s="217">
        <v>14506.387000000001</v>
      </c>
      <c r="G26" s="213">
        <v>0</v>
      </c>
      <c r="H26" s="213">
        <v>0</v>
      </c>
      <c r="I26" s="63">
        <v>0</v>
      </c>
      <c r="J26" s="64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134.5</v>
      </c>
      <c r="E27" s="217">
        <v>490.875</v>
      </c>
      <c r="F27" s="217">
        <v>14150.012000000001</v>
      </c>
      <c r="G27" s="213">
        <v>0</v>
      </c>
      <c r="H27" s="213">
        <v>0</v>
      </c>
      <c r="I27" s="63">
        <v>0</v>
      </c>
      <c r="J27" s="64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45</v>
      </c>
      <c r="E28" s="217">
        <v>125.125</v>
      </c>
      <c r="F28" s="217">
        <v>14069.887000000001</v>
      </c>
      <c r="G28" s="213">
        <v>0</v>
      </c>
      <c r="H28" s="213">
        <v>0</v>
      </c>
      <c r="I28" s="63">
        <v>0</v>
      </c>
      <c r="J28" s="64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44</v>
      </c>
      <c r="E29" s="217">
        <v>175.4</v>
      </c>
      <c r="F29" s="217">
        <v>13938.486999999999</v>
      </c>
      <c r="G29" s="213">
        <v>0</v>
      </c>
      <c r="H29" s="213">
        <v>0</v>
      </c>
      <c r="I29" s="63">
        <v>0</v>
      </c>
      <c r="J29" s="64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45.375</v>
      </c>
      <c r="E30" s="217">
        <v>309</v>
      </c>
      <c r="F30" s="217">
        <v>13674.861999999999</v>
      </c>
      <c r="G30" s="213">
        <v>0</v>
      </c>
      <c r="H30" s="213">
        <v>0</v>
      </c>
      <c r="I30" s="63">
        <v>0.27500000000000002</v>
      </c>
      <c r="J30" s="64">
        <v>0.27500000000000002</v>
      </c>
      <c r="K30" s="64">
        <v>0.27500000000000002</v>
      </c>
      <c r="L30" s="214">
        <v>41.25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275</v>
      </c>
      <c r="S30" s="214">
        <v>55</v>
      </c>
      <c r="T30" s="214">
        <v>371.25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554.875</v>
      </c>
      <c r="F31" s="217">
        <v>13119.986999999999</v>
      </c>
      <c r="G31" s="213">
        <v>0</v>
      </c>
      <c r="H31" s="213">
        <v>0</v>
      </c>
      <c r="I31" s="63">
        <v>0</v>
      </c>
      <c r="J31" s="64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112.5</v>
      </c>
      <c r="E32" s="217">
        <v>314.5</v>
      </c>
      <c r="F32" s="217">
        <v>12917.986999999999</v>
      </c>
      <c r="G32" s="213">
        <v>0</v>
      </c>
      <c r="H32" s="213">
        <v>0</v>
      </c>
      <c r="I32" s="63">
        <v>0</v>
      </c>
      <c r="J32" s="64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465.625</v>
      </c>
      <c r="F33" s="217">
        <v>12452.361999999999</v>
      </c>
      <c r="G33" s="213">
        <v>0</v>
      </c>
      <c r="H33" s="213">
        <v>0</v>
      </c>
      <c r="I33" s="63">
        <v>0</v>
      </c>
      <c r="J33" s="64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19.975000000000001</v>
      </c>
      <c r="E34" s="217">
        <v>675.125</v>
      </c>
      <c r="F34" s="217">
        <v>11797.212</v>
      </c>
      <c r="G34" s="213">
        <v>0</v>
      </c>
      <c r="H34" s="213">
        <v>0</v>
      </c>
      <c r="I34" s="63">
        <v>0</v>
      </c>
      <c r="J34" s="64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4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3944.35</v>
      </c>
      <c r="E36" s="71">
        <v>5537.6750000000011</v>
      </c>
      <c r="F36" s="71">
        <v>421303.58500000008</v>
      </c>
      <c r="G36" s="71">
        <v>0</v>
      </c>
      <c r="H36" s="71">
        <v>0</v>
      </c>
      <c r="I36" s="71">
        <v>37.774999999999999</v>
      </c>
      <c r="J36" s="72">
        <v>37.774999999999999</v>
      </c>
      <c r="K36" s="72">
        <v>0.27500000000000002</v>
      </c>
      <c r="L36" s="215">
        <v>41.25</v>
      </c>
      <c r="M36" s="215">
        <v>1172376</v>
      </c>
      <c r="N36" s="215">
        <v>1172376</v>
      </c>
      <c r="O36" s="215">
        <v>12759646.85</v>
      </c>
      <c r="P36" s="215">
        <v>0</v>
      </c>
      <c r="Q36" s="215">
        <v>0</v>
      </c>
      <c r="R36" s="215">
        <v>37775</v>
      </c>
      <c r="S36" s="215">
        <v>7555</v>
      </c>
      <c r="T36" s="215">
        <v>15149770.1</v>
      </c>
    </row>
    <row r="37" spans="1:20">
      <c r="R37" s="74"/>
      <c r="S37" s="74"/>
      <c r="T37" s="216">
        <v>18482719.530000001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4C16-7DBE-4517-BC54-193332F1AF6E}">
  <sheetPr>
    <pageSetUpPr fitToPage="1"/>
  </sheetPr>
  <dimension ref="A1:T37"/>
  <sheetViews>
    <sheetView workbookViewId="0">
      <selection activeCell="L36" sqref="L36"/>
    </sheetView>
  </sheetViews>
  <sheetFormatPr defaultRowHeight="15"/>
  <cols>
    <col min="1" max="3" width="9.140625" style="48"/>
    <col min="4" max="5" width="9.42578125" style="48" bestFit="1" customWidth="1"/>
    <col min="6" max="6" width="12.42578125" style="48" customWidth="1"/>
    <col min="7" max="7" width="10.5703125" style="48" bestFit="1" customWidth="1"/>
    <col min="8" max="8" width="9.5703125" style="48" bestFit="1" customWidth="1"/>
    <col min="9" max="9" width="10.5703125" style="48" bestFit="1" customWidth="1"/>
    <col min="10" max="12" width="9.140625" style="48"/>
    <col min="13" max="13" width="14.140625" style="48" customWidth="1"/>
    <col min="14" max="14" width="13.5703125" style="48" customWidth="1"/>
    <col min="15" max="15" width="17.5703125" style="48" customWidth="1"/>
    <col min="16" max="16" width="15.85546875" style="48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208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206</v>
      </c>
      <c r="H3" s="165" t="s">
        <v>6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207</v>
      </c>
      <c r="P3" s="165" t="s">
        <v>14</v>
      </c>
      <c r="Q3" s="165" t="s">
        <v>15</v>
      </c>
      <c r="R3" s="165" t="s">
        <v>16</v>
      </c>
      <c r="S3" s="165" t="s">
        <v>17</v>
      </c>
      <c r="T3" s="165" t="s">
        <v>18</v>
      </c>
    </row>
    <row r="4" spans="1:20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24.25</v>
      </c>
      <c r="G5" s="213">
        <v>0</v>
      </c>
      <c r="H5" s="213">
        <v>0</v>
      </c>
      <c r="I5" s="63">
        <v>0</v>
      </c>
      <c r="J5" s="64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24.25</v>
      </c>
      <c r="G6" s="213">
        <v>0</v>
      </c>
      <c r="H6" s="213">
        <v>0</v>
      </c>
      <c r="I6" s="63">
        <v>0</v>
      </c>
      <c r="J6" s="64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24.25</v>
      </c>
      <c r="G7" s="213">
        <v>0</v>
      </c>
      <c r="H7" s="213">
        <v>0</v>
      </c>
      <c r="I7" s="63">
        <v>0</v>
      </c>
      <c r="J7" s="64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24.25</v>
      </c>
      <c r="G8" s="213">
        <v>0</v>
      </c>
      <c r="H8" s="213">
        <v>0</v>
      </c>
      <c r="I8" s="63">
        <v>0</v>
      </c>
      <c r="J8" s="64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24.25</v>
      </c>
      <c r="G9" s="213">
        <v>0</v>
      </c>
      <c r="H9" s="213">
        <v>0</v>
      </c>
      <c r="I9" s="63">
        <v>0</v>
      </c>
      <c r="J9" s="64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24.25</v>
      </c>
      <c r="G10" s="213">
        <v>0</v>
      </c>
      <c r="H10" s="213">
        <v>0</v>
      </c>
      <c r="I10" s="63">
        <v>0</v>
      </c>
      <c r="J10" s="64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24.25</v>
      </c>
      <c r="G11" s="213">
        <v>0</v>
      </c>
      <c r="H11" s="213">
        <v>0</v>
      </c>
      <c r="I11" s="63">
        <v>0</v>
      </c>
      <c r="J11" s="64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24.25</v>
      </c>
      <c r="G12" s="213">
        <v>0</v>
      </c>
      <c r="H12" s="213">
        <v>0</v>
      </c>
      <c r="I12" s="63">
        <v>0</v>
      </c>
      <c r="J12" s="64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24.25</v>
      </c>
      <c r="G13" s="213">
        <v>0</v>
      </c>
      <c r="H13" s="213">
        <v>0</v>
      </c>
      <c r="I13" s="63">
        <v>0</v>
      </c>
      <c r="J13" s="64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24.25</v>
      </c>
      <c r="G14" s="213">
        <v>0</v>
      </c>
      <c r="H14" s="213">
        <v>0</v>
      </c>
      <c r="I14" s="63">
        <v>0</v>
      </c>
      <c r="J14" s="64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24.25</v>
      </c>
      <c r="G15" s="213">
        <v>0</v>
      </c>
      <c r="H15" s="213">
        <v>0</v>
      </c>
      <c r="I15" s="63">
        <v>0</v>
      </c>
      <c r="J15" s="64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24.25</v>
      </c>
      <c r="G16" s="213">
        <v>0</v>
      </c>
      <c r="H16" s="213">
        <v>0</v>
      </c>
      <c r="I16" s="63">
        <v>0</v>
      </c>
      <c r="J16" s="64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24.25</v>
      </c>
      <c r="G17" s="213">
        <v>0</v>
      </c>
      <c r="H17" s="213">
        <v>0</v>
      </c>
      <c r="I17" s="63">
        <v>0</v>
      </c>
      <c r="J17" s="64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24.25</v>
      </c>
      <c r="G18" s="213">
        <v>0</v>
      </c>
      <c r="H18" s="213">
        <v>0</v>
      </c>
      <c r="I18" s="63">
        <v>0</v>
      </c>
      <c r="J18" s="64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24.25</v>
      </c>
      <c r="G19" s="213">
        <v>0</v>
      </c>
      <c r="H19" s="213">
        <v>0</v>
      </c>
      <c r="I19" s="63">
        <v>0</v>
      </c>
      <c r="J19" s="64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24.25</v>
      </c>
      <c r="G20" s="213">
        <v>0</v>
      </c>
      <c r="H20" s="213">
        <v>0</v>
      </c>
      <c r="I20" s="63">
        <v>0</v>
      </c>
      <c r="J20" s="64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24.25</v>
      </c>
      <c r="G21" s="213">
        <v>0</v>
      </c>
      <c r="H21" s="213">
        <v>0</v>
      </c>
      <c r="I21" s="63">
        <v>0</v>
      </c>
      <c r="J21" s="64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24.25</v>
      </c>
      <c r="G22" s="213">
        <v>0</v>
      </c>
      <c r="H22" s="213">
        <v>0</v>
      </c>
      <c r="I22" s="63">
        <v>0</v>
      </c>
      <c r="J22" s="64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24.25</v>
      </c>
      <c r="G23" s="213">
        <v>0</v>
      </c>
      <c r="H23" s="213">
        <v>0</v>
      </c>
      <c r="I23" s="63">
        <v>0</v>
      </c>
      <c r="J23" s="64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24.25</v>
      </c>
      <c r="G24" s="213">
        <v>0</v>
      </c>
      <c r="H24" s="213">
        <v>0</v>
      </c>
      <c r="I24" s="63">
        <v>0</v>
      </c>
      <c r="J24" s="64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24.25</v>
      </c>
      <c r="G25" s="213">
        <v>0</v>
      </c>
      <c r="H25" s="213">
        <v>0</v>
      </c>
      <c r="I25" s="63">
        <v>0</v>
      </c>
      <c r="J25" s="64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24.25</v>
      </c>
      <c r="G26" s="213">
        <v>0</v>
      </c>
      <c r="H26" s="213">
        <v>0</v>
      </c>
      <c r="I26" s="63">
        <v>0</v>
      </c>
      <c r="J26" s="64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24.25</v>
      </c>
      <c r="G27" s="213">
        <v>0</v>
      </c>
      <c r="H27" s="213">
        <v>0</v>
      </c>
      <c r="I27" s="63">
        <v>0</v>
      </c>
      <c r="J27" s="64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24.25</v>
      </c>
      <c r="G28" s="213">
        <v>0</v>
      </c>
      <c r="H28" s="213">
        <v>0</v>
      </c>
      <c r="I28" s="63">
        <v>0</v>
      </c>
      <c r="J28" s="64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24.25</v>
      </c>
      <c r="G29" s="213">
        <v>0</v>
      </c>
      <c r="H29" s="213">
        <v>0</v>
      </c>
      <c r="I29" s="63">
        <v>0</v>
      </c>
      <c r="J29" s="64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24.25</v>
      </c>
      <c r="G30" s="213">
        <v>0</v>
      </c>
      <c r="H30" s="213">
        <v>0</v>
      </c>
      <c r="I30" s="63">
        <v>0</v>
      </c>
      <c r="J30" s="64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24.25</v>
      </c>
      <c r="G31" s="213">
        <v>0</v>
      </c>
      <c r="H31" s="213">
        <v>0</v>
      </c>
      <c r="I31" s="63">
        <v>0</v>
      </c>
      <c r="J31" s="64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24.25</v>
      </c>
      <c r="G32" s="213">
        <v>0</v>
      </c>
      <c r="H32" s="213">
        <v>0</v>
      </c>
      <c r="I32" s="63">
        <v>0</v>
      </c>
      <c r="J32" s="64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24.25</v>
      </c>
      <c r="G33" s="213">
        <v>0</v>
      </c>
      <c r="H33" s="213">
        <v>0</v>
      </c>
      <c r="I33" s="63">
        <v>0</v>
      </c>
      <c r="J33" s="64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24.25</v>
      </c>
      <c r="G34" s="213">
        <v>0</v>
      </c>
      <c r="H34" s="213">
        <v>0</v>
      </c>
      <c r="I34" s="63">
        <v>0</v>
      </c>
      <c r="J34" s="64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4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0</v>
      </c>
      <c r="F36" s="71">
        <v>727.5</v>
      </c>
      <c r="G36" s="71">
        <v>0</v>
      </c>
      <c r="H36" s="71">
        <v>0</v>
      </c>
      <c r="I36" s="71">
        <v>0</v>
      </c>
      <c r="J36" s="72">
        <v>0</v>
      </c>
      <c r="K36" s="72">
        <v>0</v>
      </c>
      <c r="L36" s="215">
        <v>0</v>
      </c>
      <c r="M36" s="215">
        <v>0</v>
      </c>
      <c r="N36" s="215">
        <v>0</v>
      </c>
      <c r="O36" s="215">
        <v>22033.15</v>
      </c>
      <c r="P36" s="215">
        <v>0</v>
      </c>
      <c r="Q36" s="215">
        <v>0</v>
      </c>
      <c r="R36" s="215">
        <v>0</v>
      </c>
      <c r="S36" s="215">
        <v>0</v>
      </c>
      <c r="T36" s="215">
        <v>22033.15</v>
      </c>
    </row>
    <row r="37" spans="1:20">
      <c r="R37" s="74"/>
      <c r="S37" s="74"/>
      <c r="T37" s="216">
        <v>26880.44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FE9E4-EBC1-44C6-887A-F91F82D96702}">
  <sheetPr>
    <pageSetUpPr fitToPage="1"/>
  </sheetPr>
  <dimension ref="A1:T37"/>
  <sheetViews>
    <sheetView workbookViewId="0">
      <selection activeCell="R5" sqref="R5:S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209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176</v>
      </c>
      <c r="E5" s="217">
        <v>44</v>
      </c>
      <c r="F5" s="217">
        <v>7446.5249999999996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198</v>
      </c>
      <c r="E6" s="217">
        <v>44</v>
      </c>
      <c r="F6" s="217">
        <v>7600.5249999999996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176</v>
      </c>
      <c r="E7" s="217">
        <v>176</v>
      </c>
      <c r="F7" s="217">
        <v>7600.5249999999996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132</v>
      </c>
      <c r="E8" s="217">
        <v>22</v>
      </c>
      <c r="F8" s="217">
        <v>7710.5249999999996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88</v>
      </c>
      <c r="E9" s="217">
        <v>133</v>
      </c>
      <c r="F9" s="217">
        <v>7665.5249999999996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176</v>
      </c>
      <c r="E10" s="217">
        <v>44</v>
      </c>
      <c r="F10" s="217">
        <v>7797.5249999999996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66</v>
      </c>
      <c r="E11" s="217">
        <v>22</v>
      </c>
      <c r="F11" s="217">
        <v>7841.5249999999996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7841.5249999999996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110</v>
      </c>
      <c r="F13" s="217">
        <v>7731.5249999999996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110</v>
      </c>
      <c r="E14" s="217">
        <v>48.125</v>
      </c>
      <c r="F14" s="217">
        <v>7793.4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200</v>
      </c>
      <c r="E15" s="217">
        <v>44</v>
      </c>
      <c r="F15" s="217">
        <v>7949.4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176.5</v>
      </c>
      <c r="E16" s="217">
        <v>88</v>
      </c>
      <c r="F16" s="217">
        <v>8037.9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22</v>
      </c>
      <c r="E17" s="217">
        <v>66</v>
      </c>
      <c r="F17" s="217">
        <v>7993.9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66.5</v>
      </c>
      <c r="F18" s="217">
        <v>7927.4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44</v>
      </c>
      <c r="F19" s="217">
        <v>7883.4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110</v>
      </c>
      <c r="E20" s="217">
        <v>132</v>
      </c>
      <c r="F20" s="217">
        <v>7861.4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198</v>
      </c>
      <c r="F21" s="217">
        <v>7663.4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112</v>
      </c>
      <c r="E22" s="217">
        <v>66</v>
      </c>
      <c r="F22" s="217">
        <v>7709.4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110.5</v>
      </c>
      <c r="E23" s="217">
        <v>158.875</v>
      </c>
      <c r="F23" s="217">
        <v>7661.0249999999996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44</v>
      </c>
      <c r="E24" s="217">
        <v>88</v>
      </c>
      <c r="F24" s="217">
        <v>7617.0249999999996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7617.0249999999996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134</v>
      </c>
      <c r="E26" s="217">
        <v>44</v>
      </c>
      <c r="F26" s="217">
        <v>7707.0249999999996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66.5</v>
      </c>
      <c r="E27" s="217">
        <v>223.25</v>
      </c>
      <c r="F27" s="217">
        <v>7550.2749999999996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90</v>
      </c>
      <c r="E28" s="217">
        <v>180.125</v>
      </c>
      <c r="F28" s="217">
        <v>7460.15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135.25</v>
      </c>
      <c r="F29" s="217">
        <v>7324.9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45</v>
      </c>
      <c r="E30" s="217">
        <v>176</v>
      </c>
      <c r="F30" s="217">
        <v>7193.9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109.375</v>
      </c>
      <c r="F31" s="217">
        <v>7084.5249999999996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88</v>
      </c>
      <c r="F32" s="217">
        <v>6996.5249999999996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497.125</v>
      </c>
      <c r="F33" s="217">
        <v>6499.4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22.5</v>
      </c>
      <c r="E34" s="217">
        <v>263.375</v>
      </c>
      <c r="F34" s="217">
        <v>6258.5249999999996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2255</v>
      </c>
      <c r="E36" s="71">
        <v>3311</v>
      </c>
      <c r="F36" s="71">
        <v>227025.62499999988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711360</v>
      </c>
      <c r="N36" s="215">
        <v>711360</v>
      </c>
      <c r="O36" s="215">
        <v>5107200</v>
      </c>
      <c r="P36" s="215">
        <v>1249517.5</v>
      </c>
      <c r="Q36" s="215">
        <v>0</v>
      </c>
      <c r="R36" s="215">
        <v>0</v>
      </c>
      <c r="S36" s="215">
        <v>0</v>
      </c>
      <c r="T36" s="215">
        <v>7779437.5</v>
      </c>
    </row>
    <row r="37" spans="1:20">
      <c r="R37" s="74"/>
      <c r="S37" s="74"/>
      <c r="T37" s="216">
        <v>9490913.75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AF3E-7C87-49EE-B21E-6720A98EE972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210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26.303000000000001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26.303000000000001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26.303000000000001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26.303000000000001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26.303000000000001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26.303000000000001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26.303000000000001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26.303000000000001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26.303000000000001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26.303000000000001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26.303000000000001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26.303000000000001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26.303000000000001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26.303000000000001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26.303000000000001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26.303000000000001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26.303000000000001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26.303000000000001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26.303000000000001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26.303000000000001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26.303000000000001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26.303000000000001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26.303000000000001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26.303000000000001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26.303000000000001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26.303000000000001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26.303000000000001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26.303000000000001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26.303000000000001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26.303000000000001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0</v>
      </c>
      <c r="F36" s="71">
        <v>789.09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0</v>
      </c>
      <c r="O36" s="215">
        <v>12301.89</v>
      </c>
      <c r="P36" s="215">
        <v>0</v>
      </c>
      <c r="Q36" s="215">
        <v>0</v>
      </c>
      <c r="R36" s="215">
        <v>0</v>
      </c>
      <c r="S36" s="215">
        <v>0</v>
      </c>
      <c r="T36" s="215">
        <v>12301.89</v>
      </c>
    </row>
    <row r="37" spans="1:20">
      <c r="R37" s="74"/>
      <c r="S37" s="74"/>
      <c r="T37" s="216">
        <v>15008.31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937A-D12F-4C75-83A2-CD59718B41D5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211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88.5</v>
      </c>
      <c r="E5" s="217">
        <v>0</v>
      </c>
      <c r="F5" s="217">
        <v>14027.35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287.5</v>
      </c>
      <c r="E6" s="217">
        <v>66</v>
      </c>
      <c r="F6" s="217">
        <v>14248.85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313</v>
      </c>
      <c r="E7" s="217">
        <v>177.5</v>
      </c>
      <c r="F7" s="217">
        <v>14384.35</v>
      </c>
      <c r="G7" s="213">
        <v>0</v>
      </c>
      <c r="H7" s="213">
        <v>0</v>
      </c>
      <c r="I7" s="63">
        <v>2.75</v>
      </c>
      <c r="J7" s="63">
        <v>2.75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2612.5</v>
      </c>
      <c r="S7" s="214">
        <v>330</v>
      </c>
      <c r="T7" s="214">
        <v>2942.5</v>
      </c>
    </row>
    <row r="8" spans="1:20">
      <c r="A8" s="66">
        <v>4</v>
      </c>
      <c r="B8" s="78" t="s">
        <v>166</v>
      </c>
      <c r="C8" s="79"/>
      <c r="D8" s="217">
        <v>112</v>
      </c>
      <c r="E8" s="217">
        <v>183.5</v>
      </c>
      <c r="F8" s="217">
        <v>14312.85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110</v>
      </c>
      <c r="E9" s="217">
        <v>156</v>
      </c>
      <c r="F9" s="217">
        <v>14266.85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88</v>
      </c>
      <c r="E10" s="217">
        <v>44.5</v>
      </c>
      <c r="F10" s="217">
        <v>14310.35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66.5</v>
      </c>
      <c r="E11" s="217">
        <v>66.5</v>
      </c>
      <c r="F11" s="217">
        <v>14310.35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198.5</v>
      </c>
      <c r="E12" s="217">
        <v>110</v>
      </c>
      <c r="F12" s="217">
        <v>14398.85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111.5</v>
      </c>
      <c r="E13" s="217">
        <v>132</v>
      </c>
      <c r="F13" s="217">
        <v>14378.35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112</v>
      </c>
      <c r="E14" s="217">
        <v>178.5</v>
      </c>
      <c r="F14" s="217">
        <v>14311.85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222</v>
      </c>
      <c r="E15" s="217">
        <v>48.125</v>
      </c>
      <c r="F15" s="217">
        <v>14485.725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66</v>
      </c>
      <c r="E16" s="217">
        <v>66</v>
      </c>
      <c r="F16" s="217">
        <v>14485.725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156</v>
      </c>
      <c r="F17" s="217">
        <v>14329.725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112</v>
      </c>
      <c r="E18" s="217">
        <v>44</v>
      </c>
      <c r="F18" s="217">
        <v>14397.725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243</v>
      </c>
      <c r="E19" s="217">
        <v>88</v>
      </c>
      <c r="F19" s="217">
        <v>14552.725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356</v>
      </c>
      <c r="E20" s="217">
        <v>202</v>
      </c>
      <c r="F20" s="217">
        <v>14706.725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376</v>
      </c>
      <c r="E21" s="217">
        <v>95.375</v>
      </c>
      <c r="F21" s="217">
        <v>14987.35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399</v>
      </c>
      <c r="E22" s="217">
        <v>88.5</v>
      </c>
      <c r="F22" s="217">
        <v>15297.85</v>
      </c>
      <c r="G22" s="213">
        <v>0</v>
      </c>
      <c r="H22" s="213">
        <v>0</v>
      </c>
      <c r="I22" s="63">
        <v>9</v>
      </c>
      <c r="J22" s="63">
        <v>9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8550</v>
      </c>
      <c r="S22" s="214">
        <v>1080</v>
      </c>
      <c r="T22" s="214">
        <v>9630</v>
      </c>
    </row>
    <row r="23" spans="1:20">
      <c r="A23" s="66">
        <v>19</v>
      </c>
      <c r="B23" s="78" t="s">
        <v>181</v>
      </c>
      <c r="C23" s="79"/>
      <c r="D23" s="217">
        <v>268</v>
      </c>
      <c r="E23" s="217">
        <v>151.5</v>
      </c>
      <c r="F23" s="217">
        <v>15414.35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134</v>
      </c>
      <c r="E24" s="217">
        <v>212.25</v>
      </c>
      <c r="F24" s="217">
        <v>15336.1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89.5</v>
      </c>
      <c r="E25" s="217">
        <v>146.25</v>
      </c>
      <c r="F25" s="217">
        <v>15279.35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44.95</v>
      </c>
      <c r="F26" s="217">
        <v>15234.4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140.85</v>
      </c>
      <c r="F27" s="217">
        <v>15093.55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155.5</v>
      </c>
      <c r="F28" s="217">
        <v>14938.05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22.5</v>
      </c>
      <c r="E29" s="217">
        <v>379.5</v>
      </c>
      <c r="F29" s="217">
        <v>14581.05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96.25</v>
      </c>
      <c r="F30" s="217">
        <v>14484.8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310</v>
      </c>
      <c r="F31" s="217">
        <v>14174.8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152.25</v>
      </c>
      <c r="F32" s="217">
        <v>14022.55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342.125</v>
      </c>
      <c r="F33" s="217">
        <v>13680.424999999999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789.875</v>
      </c>
      <c r="F34" s="217">
        <v>12890.55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3775.5</v>
      </c>
      <c r="E36" s="71">
        <v>4823.7999999999993</v>
      </c>
      <c r="F36" s="71">
        <v>435323.52499999997</v>
      </c>
      <c r="G36" s="71">
        <v>0</v>
      </c>
      <c r="H36" s="71">
        <v>0</v>
      </c>
      <c r="I36" s="71">
        <v>11.75</v>
      </c>
      <c r="J36" s="71">
        <v>11.75</v>
      </c>
      <c r="K36" s="71">
        <v>0</v>
      </c>
      <c r="L36" s="215">
        <v>0</v>
      </c>
      <c r="M36" s="215">
        <v>912000</v>
      </c>
      <c r="N36" s="215">
        <v>872220.47</v>
      </c>
      <c r="O36" s="215">
        <v>6786679.9699999997</v>
      </c>
      <c r="P36" s="215">
        <v>0</v>
      </c>
      <c r="Q36" s="215">
        <v>0</v>
      </c>
      <c r="R36" s="215">
        <v>11162.5</v>
      </c>
      <c r="S36" s="215">
        <v>1410</v>
      </c>
      <c r="T36" s="215">
        <v>8583472.9399999995</v>
      </c>
    </row>
    <row r="37" spans="1:20">
      <c r="R37" s="74"/>
      <c r="S37" s="74"/>
      <c r="T37" s="216">
        <v>10471836.99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E4D5-D061-4673-8D64-A00BB7E410E3}">
  <sheetPr>
    <pageSetUpPr fitToPage="1"/>
  </sheetPr>
  <dimension ref="A1:T37"/>
  <sheetViews>
    <sheetView topLeftCell="B13" workbookViewId="0">
      <selection activeCell="T37" sqref="T37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212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235.102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235.102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22</v>
      </c>
      <c r="F7" s="217">
        <v>213.102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213.102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66</v>
      </c>
      <c r="F9" s="217">
        <v>147.102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66</v>
      </c>
      <c r="F10" s="217">
        <v>81.102000000000004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81.102000000000004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81.102000000000004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81.102000000000004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81.102000000000004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81.102000000000004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81.102000000000004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81.102000000000004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81.102000000000004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81.102000000000004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81.102000000000004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81.102000000000004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81.102000000000004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81.102000000000004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22</v>
      </c>
      <c r="F24" s="217">
        <v>59.101999999999997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59.101999999999997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59.101999999999997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22</v>
      </c>
      <c r="F27" s="217">
        <v>37.101999999999997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37.101999999999997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37.101999999999997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37.101999999999997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37.101999999999997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37.101999999999997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37.101999999999997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22</v>
      </c>
      <c r="F34" s="217">
        <v>15.102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220</v>
      </c>
      <c r="F36" s="71">
        <v>2631.0599999999995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39779.53</v>
      </c>
      <c r="O36" s="215">
        <v>41018.14</v>
      </c>
      <c r="P36" s="215">
        <v>0</v>
      </c>
      <c r="Q36" s="215">
        <v>0</v>
      </c>
      <c r="R36" s="215">
        <v>0</v>
      </c>
      <c r="S36" s="215">
        <v>0</v>
      </c>
      <c r="T36" s="215">
        <v>80797.67</v>
      </c>
    </row>
    <row r="37" spans="1:20">
      <c r="R37" s="74"/>
      <c r="S37" s="74"/>
      <c r="T37" s="216">
        <v>98573.16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58C6-FBC3-4BF9-9E77-551EAF10D98C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213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1.2849999999999999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1.2849999999999999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1.2849999999999999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1.2849999999999999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1.2849999999999999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1.2849999999999999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1.2849999999999999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1.2849999999999999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1.2849999999999999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1.2849999999999999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1.2849999999999999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1.2849999999999999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1.2849999999999999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1.2849999999999999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1.2849999999999999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1.2849999999999999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1.2849999999999999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1.2849999999999999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1.2849999999999999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1.2849999999999999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1.2849999999999999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1.2849999999999999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1.2849999999999999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1.2849999999999999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1.2849999999999999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1.2849999999999999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1.2849999999999999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1.2849999999999999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1.2849999999999999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1.2849999999999999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0</v>
      </c>
      <c r="F36" s="71">
        <v>38.549999999999983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0</v>
      </c>
      <c r="O36" s="215">
        <v>817.07</v>
      </c>
      <c r="P36" s="215">
        <v>0</v>
      </c>
      <c r="Q36" s="215">
        <v>0</v>
      </c>
      <c r="R36" s="215">
        <v>0</v>
      </c>
      <c r="S36" s="215">
        <v>0</v>
      </c>
      <c r="T36" s="215">
        <v>817.07</v>
      </c>
    </row>
    <row r="37" spans="1:20">
      <c r="R37" s="74"/>
      <c r="S37" s="74"/>
      <c r="T37" s="216">
        <v>996.83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F709-004D-4B09-A663-561233D52798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214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132</v>
      </c>
      <c r="E5" s="217">
        <v>45</v>
      </c>
      <c r="F5" s="217">
        <v>3394.7719999999999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132</v>
      </c>
      <c r="E6" s="217">
        <v>45</v>
      </c>
      <c r="F6" s="217">
        <v>3481.7719999999999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264</v>
      </c>
      <c r="E7" s="217">
        <v>46.375</v>
      </c>
      <c r="F7" s="217">
        <v>3699.3969999999999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198</v>
      </c>
      <c r="E8" s="217">
        <v>0</v>
      </c>
      <c r="F8" s="217">
        <v>3897.3969999999999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176</v>
      </c>
      <c r="E9" s="217">
        <v>95.625</v>
      </c>
      <c r="F9" s="217">
        <v>3977.7719999999999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3977.7719999999999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3977.7719999999999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292</v>
      </c>
      <c r="E12" s="217">
        <v>22.5</v>
      </c>
      <c r="F12" s="217">
        <v>4247.2719999999999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21.1</v>
      </c>
      <c r="E13" s="217">
        <v>22.5</v>
      </c>
      <c r="F13" s="217">
        <v>4245.8720000000003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2.6930000000000001</v>
      </c>
      <c r="E14" s="217">
        <v>155.5</v>
      </c>
      <c r="F14" s="217">
        <v>4093.0650000000001</v>
      </c>
      <c r="G14" s="213">
        <v>0</v>
      </c>
      <c r="H14" s="213">
        <v>0</v>
      </c>
      <c r="I14" s="63">
        <v>2.6930000000000001</v>
      </c>
      <c r="J14" s="63">
        <v>2.6930000000000001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2693</v>
      </c>
      <c r="S14" s="214">
        <v>377.02</v>
      </c>
      <c r="T14" s="214">
        <v>3070.02</v>
      </c>
    </row>
    <row r="15" spans="1:20">
      <c r="A15" s="66">
        <v>11</v>
      </c>
      <c r="B15" s="78" t="s">
        <v>173</v>
      </c>
      <c r="C15" s="79"/>
      <c r="D15" s="217">
        <v>22</v>
      </c>
      <c r="E15" s="217">
        <v>114</v>
      </c>
      <c r="F15" s="217">
        <v>4001.0650000000001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4001.0650000000001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4001.0650000000001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4001.0650000000001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132</v>
      </c>
      <c r="E19" s="217">
        <v>65.724999999999994</v>
      </c>
      <c r="F19" s="217">
        <v>4067.34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66</v>
      </c>
      <c r="E20" s="217">
        <v>22.5</v>
      </c>
      <c r="F20" s="217">
        <v>4110.84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45</v>
      </c>
      <c r="F21" s="217">
        <v>4065.84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22</v>
      </c>
      <c r="E22" s="217">
        <v>12.375</v>
      </c>
      <c r="F22" s="217">
        <v>4075.4650000000001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22.5</v>
      </c>
      <c r="F23" s="217">
        <v>4052.9650000000001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4052.9650000000001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4052.9650000000001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4052.9650000000001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69</v>
      </c>
      <c r="F27" s="217">
        <v>3983.9650000000001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3983.9650000000001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43.5</v>
      </c>
      <c r="F29" s="217">
        <v>3940.4650000000001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22</v>
      </c>
      <c r="F30" s="217">
        <v>3918.4650000000001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3918.4650000000001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3918.4650000000001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45</v>
      </c>
      <c r="F33" s="217">
        <v>3873.4650000000001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67.5</v>
      </c>
      <c r="F34" s="217">
        <v>3805.9650000000001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1459.7929999999999</v>
      </c>
      <c r="E36" s="71">
        <v>961.6</v>
      </c>
      <c r="F36" s="71">
        <v>118871.68799999997</v>
      </c>
      <c r="G36" s="71">
        <v>0</v>
      </c>
      <c r="H36" s="71">
        <v>0</v>
      </c>
      <c r="I36" s="71">
        <v>2.6930000000000001</v>
      </c>
      <c r="J36" s="71">
        <v>2.6930000000000001</v>
      </c>
      <c r="K36" s="71">
        <v>0</v>
      </c>
      <c r="L36" s="215">
        <v>0</v>
      </c>
      <c r="M36" s="215">
        <v>473010</v>
      </c>
      <c r="N36" s="215">
        <v>377904.97</v>
      </c>
      <c r="O36" s="215">
        <v>2519503.66</v>
      </c>
      <c r="P36" s="215">
        <v>25150.09</v>
      </c>
      <c r="Q36" s="215">
        <v>0</v>
      </c>
      <c r="R36" s="215">
        <v>2693</v>
      </c>
      <c r="S36" s="215">
        <v>377.02</v>
      </c>
      <c r="T36" s="215">
        <v>3398638.74</v>
      </c>
    </row>
    <row r="37" spans="1:20">
      <c r="R37" s="74"/>
      <c r="S37" s="74"/>
      <c r="T37" s="216">
        <v>4146339.26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84FF-6435-4458-9137-C25AFB2130DB}">
  <sheetPr>
    <pageSetUpPr fitToPage="1"/>
  </sheetPr>
  <dimension ref="A1:T37"/>
  <sheetViews>
    <sheetView topLeftCell="B10" workbookViewId="0">
      <selection activeCell="R5" sqref="R5:S35"/>
    </sheetView>
  </sheetViews>
  <sheetFormatPr defaultRowHeight="15"/>
  <cols>
    <col min="1" max="3" width="9.140625" style="48"/>
    <col min="4" max="4" width="11.7109375" style="48" customWidth="1"/>
    <col min="5" max="5" width="12.140625" style="48" customWidth="1"/>
    <col min="6" max="6" width="13.28515625" style="48" customWidth="1"/>
    <col min="7" max="7" width="11.42578125" style="48" customWidth="1"/>
    <col min="8" max="8" width="10.42578125" style="48" customWidth="1"/>
    <col min="9" max="9" width="10.5703125" style="48" bestFit="1" customWidth="1"/>
    <col min="10" max="10" width="9.42578125" style="48" bestFit="1" customWidth="1"/>
    <col min="11" max="12" width="9.140625" style="48"/>
    <col min="13" max="13" width="15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215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154</v>
      </c>
      <c r="H3" s="165" t="s">
        <v>155</v>
      </c>
      <c r="I3" s="165" t="s">
        <v>7</v>
      </c>
      <c r="J3" s="165" t="s">
        <v>8</v>
      </c>
      <c r="K3" s="165" t="s">
        <v>156</v>
      </c>
      <c r="L3" s="165" t="s">
        <v>157</v>
      </c>
      <c r="M3" s="165" t="s">
        <v>158</v>
      </c>
      <c r="N3" s="165" t="s">
        <v>159</v>
      </c>
      <c r="O3" s="165" t="s">
        <v>160</v>
      </c>
      <c r="P3" s="165" t="s">
        <v>161</v>
      </c>
      <c r="Q3" s="165" t="s">
        <v>162</v>
      </c>
      <c r="R3" s="165" t="s">
        <v>16</v>
      </c>
      <c r="S3" s="165" t="s">
        <v>17</v>
      </c>
      <c r="T3" s="165" t="s">
        <v>18</v>
      </c>
    </row>
    <row r="4" spans="1:20" ht="27" customHeight="1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282.10000000000002</v>
      </c>
      <c r="G5" s="213">
        <v>0</v>
      </c>
      <c r="H5" s="213">
        <v>0</v>
      </c>
      <c r="I5" s="63">
        <v>0</v>
      </c>
      <c r="J5" s="63">
        <v>0</v>
      </c>
      <c r="K5" s="64">
        <v>0</v>
      </c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282.10000000000002</v>
      </c>
      <c r="G6" s="213">
        <v>0</v>
      </c>
      <c r="H6" s="213">
        <v>0</v>
      </c>
      <c r="I6" s="63">
        <v>0</v>
      </c>
      <c r="J6" s="63">
        <v>0</v>
      </c>
      <c r="K6" s="64">
        <v>0</v>
      </c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282.10000000000002</v>
      </c>
      <c r="G7" s="213">
        <v>0</v>
      </c>
      <c r="H7" s="213">
        <v>0</v>
      </c>
      <c r="I7" s="63">
        <v>0</v>
      </c>
      <c r="J7" s="63">
        <v>0</v>
      </c>
      <c r="K7" s="64">
        <v>0</v>
      </c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22</v>
      </c>
      <c r="F8" s="217">
        <v>260.10000000000002</v>
      </c>
      <c r="G8" s="213">
        <v>0</v>
      </c>
      <c r="H8" s="213">
        <v>0</v>
      </c>
      <c r="I8" s="63">
        <v>0</v>
      </c>
      <c r="J8" s="63">
        <v>0</v>
      </c>
      <c r="K8" s="64">
        <v>0</v>
      </c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260.10000000000002</v>
      </c>
      <c r="G9" s="213">
        <v>0</v>
      </c>
      <c r="H9" s="213">
        <v>0</v>
      </c>
      <c r="I9" s="63">
        <v>0</v>
      </c>
      <c r="J9" s="63">
        <v>0</v>
      </c>
      <c r="K9" s="64">
        <v>0</v>
      </c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260.10000000000002</v>
      </c>
      <c r="G10" s="213">
        <v>0</v>
      </c>
      <c r="H10" s="213">
        <v>0</v>
      </c>
      <c r="I10" s="63">
        <v>0</v>
      </c>
      <c r="J10" s="63">
        <v>0</v>
      </c>
      <c r="K10" s="64">
        <v>0</v>
      </c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260.10000000000002</v>
      </c>
      <c r="G11" s="213">
        <v>0</v>
      </c>
      <c r="H11" s="213">
        <v>0</v>
      </c>
      <c r="I11" s="63">
        <v>0</v>
      </c>
      <c r="J11" s="63">
        <v>0</v>
      </c>
      <c r="K11" s="64">
        <v>0</v>
      </c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44</v>
      </c>
      <c r="F12" s="217">
        <v>216.1</v>
      </c>
      <c r="G12" s="213">
        <v>0</v>
      </c>
      <c r="H12" s="213">
        <v>0</v>
      </c>
      <c r="I12" s="63">
        <v>0</v>
      </c>
      <c r="J12" s="63">
        <v>0</v>
      </c>
      <c r="K12" s="64">
        <v>0</v>
      </c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88</v>
      </c>
      <c r="F13" s="217">
        <v>128.1</v>
      </c>
      <c r="G13" s="213">
        <v>0</v>
      </c>
      <c r="H13" s="213">
        <v>0</v>
      </c>
      <c r="I13" s="63">
        <v>0</v>
      </c>
      <c r="J13" s="63">
        <v>0</v>
      </c>
      <c r="K13" s="64">
        <v>0</v>
      </c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128.1</v>
      </c>
      <c r="G14" s="213">
        <v>0</v>
      </c>
      <c r="H14" s="213">
        <v>0</v>
      </c>
      <c r="I14" s="63">
        <v>0</v>
      </c>
      <c r="J14" s="63">
        <v>0</v>
      </c>
      <c r="K14" s="64">
        <v>0</v>
      </c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128.1</v>
      </c>
      <c r="G15" s="213">
        <v>0</v>
      </c>
      <c r="H15" s="213">
        <v>0</v>
      </c>
      <c r="I15" s="63">
        <v>0</v>
      </c>
      <c r="J15" s="63">
        <v>0</v>
      </c>
      <c r="K15" s="64">
        <v>0</v>
      </c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128.1</v>
      </c>
      <c r="G16" s="213">
        <v>0</v>
      </c>
      <c r="H16" s="213">
        <v>0</v>
      </c>
      <c r="I16" s="63">
        <v>0</v>
      </c>
      <c r="J16" s="63">
        <v>0</v>
      </c>
      <c r="K16" s="64">
        <v>0</v>
      </c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128.1</v>
      </c>
      <c r="G17" s="213">
        <v>0</v>
      </c>
      <c r="H17" s="213">
        <v>0</v>
      </c>
      <c r="I17" s="63">
        <v>0</v>
      </c>
      <c r="J17" s="63">
        <v>0</v>
      </c>
      <c r="K17" s="64">
        <v>0</v>
      </c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128.1</v>
      </c>
      <c r="G18" s="213">
        <v>0</v>
      </c>
      <c r="H18" s="213">
        <v>0</v>
      </c>
      <c r="I18" s="63">
        <v>0</v>
      </c>
      <c r="J18" s="63">
        <v>0</v>
      </c>
      <c r="K18" s="64">
        <v>0</v>
      </c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44</v>
      </c>
      <c r="F19" s="217">
        <v>84.1</v>
      </c>
      <c r="G19" s="213">
        <v>0</v>
      </c>
      <c r="H19" s="213">
        <v>0</v>
      </c>
      <c r="I19" s="63">
        <v>0</v>
      </c>
      <c r="J19" s="63">
        <v>0</v>
      </c>
      <c r="K19" s="64">
        <v>0</v>
      </c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0</v>
      </c>
      <c r="F20" s="217">
        <v>84.1</v>
      </c>
      <c r="G20" s="213">
        <v>0</v>
      </c>
      <c r="H20" s="213">
        <v>0</v>
      </c>
      <c r="I20" s="63">
        <v>0</v>
      </c>
      <c r="J20" s="63">
        <v>0</v>
      </c>
      <c r="K20" s="64">
        <v>0</v>
      </c>
      <c r="L20" s="214">
        <v>0</v>
      </c>
      <c r="M20" s="214">
        <v>0</v>
      </c>
      <c r="N20" s="214">
        <v>0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0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84.1</v>
      </c>
      <c r="G21" s="213">
        <v>0</v>
      </c>
      <c r="H21" s="213">
        <v>0</v>
      </c>
      <c r="I21" s="63">
        <v>0</v>
      </c>
      <c r="J21" s="63">
        <v>0</v>
      </c>
      <c r="K21" s="64">
        <v>0</v>
      </c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84.1</v>
      </c>
      <c r="G22" s="213">
        <v>0</v>
      </c>
      <c r="H22" s="213">
        <v>0</v>
      </c>
      <c r="I22" s="63">
        <v>0</v>
      </c>
      <c r="J22" s="63">
        <v>0</v>
      </c>
      <c r="K22" s="64">
        <v>0</v>
      </c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84.1</v>
      </c>
      <c r="G23" s="213">
        <v>0</v>
      </c>
      <c r="H23" s="213">
        <v>0</v>
      </c>
      <c r="I23" s="63">
        <v>0</v>
      </c>
      <c r="J23" s="63">
        <v>0</v>
      </c>
      <c r="K23" s="64">
        <v>0</v>
      </c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84.1</v>
      </c>
      <c r="G24" s="213">
        <v>0</v>
      </c>
      <c r="H24" s="213">
        <v>0</v>
      </c>
      <c r="I24" s="63">
        <v>0</v>
      </c>
      <c r="J24" s="63">
        <v>0</v>
      </c>
      <c r="K24" s="64">
        <v>0</v>
      </c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84.1</v>
      </c>
      <c r="G25" s="213">
        <v>0</v>
      </c>
      <c r="H25" s="213">
        <v>0</v>
      </c>
      <c r="I25" s="63">
        <v>0</v>
      </c>
      <c r="J25" s="63">
        <v>0</v>
      </c>
      <c r="K25" s="64">
        <v>0</v>
      </c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22</v>
      </c>
      <c r="F26" s="217">
        <v>62.1</v>
      </c>
      <c r="G26" s="213">
        <v>0</v>
      </c>
      <c r="H26" s="213">
        <v>0</v>
      </c>
      <c r="I26" s="63">
        <v>0</v>
      </c>
      <c r="J26" s="63">
        <v>0</v>
      </c>
      <c r="K26" s="64">
        <v>0</v>
      </c>
      <c r="L26" s="214">
        <v>0</v>
      </c>
      <c r="M26" s="214">
        <v>0</v>
      </c>
      <c r="N26" s="214">
        <v>0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0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62.1</v>
      </c>
      <c r="G27" s="213">
        <v>0</v>
      </c>
      <c r="H27" s="213">
        <v>0</v>
      </c>
      <c r="I27" s="63">
        <v>0</v>
      </c>
      <c r="J27" s="63">
        <v>0</v>
      </c>
      <c r="K27" s="64">
        <v>0</v>
      </c>
      <c r="L27" s="214">
        <v>0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22</v>
      </c>
      <c r="F28" s="217">
        <v>40.1</v>
      </c>
      <c r="G28" s="213">
        <v>0</v>
      </c>
      <c r="H28" s="213">
        <v>0</v>
      </c>
      <c r="I28" s="63">
        <v>0</v>
      </c>
      <c r="J28" s="63">
        <v>0</v>
      </c>
      <c r="K28" s="64">
        <v>0</v>
      </c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40.1</v>
      </c>
      <c r="G29" s="213">
        <v>0</v>
      </c>
      <c r="H29" s="213">
        <v>0</v>
      </c>
      <c r="I29" s="63">
        <v>0</v>
      </c>
      <c r="J29" s="63">
        <v>0</v>
      </c>
      <c r="K29" s="64">
        <v>0</v>
      </c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40.1</v>
      </c>
      <c r="G30" s="213">
        <v>0</v>
      </c>
      <c r="H30" s="213">
        <v>0</v>
      </c>
      <c r="I30" s="63">
        <v>0</v>
      </c>
      <c r="J30" s="63">
        <v>0</v>
      </c>
      <c r="K30" s="64">
        <v>0</v>
      </c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40.1</v>
      </c>
      <c r="G31" s="213">
        <v>0</v>
      </c>
      <c r="H31" s="213">
        <v>0</v>
      </c>
      <c r="I31" s="63">
        <v>0</v>
      </c>
      <c r="J31" s="63">
        <v>0</v>
      </c>
      <c r="K31" s="64">
        <v>0</v>
      </c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40.1</v>
      </c>
      <c r="G32" s="213">
        <v>0</v>
      </c>
      <c r="H32" s="213">
        <v>0</v>
      </c>
      <c r="I32" s="63">
        <v>0</v>
      </c>
      <c r="J32" s="63">
        <v>0</v>
      </c>
      <c r="K32" s="64">
        <v>0</v>
      </c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40.1</v>
      </c>
      <c r="G33" s="213">
        <v>0</v>
      </c>
      <c r="H33" s="213">
        <v>0</v>
      </c>
      <c r="I33" s="63">
        <v>0</v>
      </c>
      <c r="J33" s="63">
        <v>0</v>
      </c>
      <c r="K33" s="64">
        <v>0</v>
      </c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40.1</v>
      </c>
      <c r="G34" s="213">
        <v>0</v>
      </c>
      <c r="H34" s="213">
        <v>0</v>
      </c>
      <c r="I34" s="63">
        <v>0</v>
      </c>
      <c r="J34" s="63">
        <v>0</v>
      </c>
      <c r="K34" s="64">
        <v>0</v>
      </c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3">
        <v>0</v>
      </c>
      <c r="K35" s="64">
        <v>0</v>
      </c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242</v>
      </c>
      <c r="F36" s="71">
        <v>3864.9999999999977</v>
      </c>
      <c r="G36" s="71">
        <v>0</v>
      </c>
      <c r="H36" s="71">
        <v>0</v>
      </c>
      <c r="I36" s="71">
        <v>0</v>
      </c>
      <c r="J36" s="71">
        <v>0</v>
      </c>
      <c r="K36" s="71">
        <v>0</v>
      </c>
      <c r="L36" s="215">
        <v>0</v>
      </c>
      <c r="M36" s="215">
        <v>0</v>
      </c>
      <c r="N36" s="215">
        <v>95105.03</v>
      </c>
      <c r="O36" s="215">
        <v>81919.27</v>
      </c>
      <c r="P36" s="215">
        <v>0</v>
      </c>
      <c r="Q36" s="215">
        <v>0</v>
      </c>
      <c r="R36" s="215">
        <v>0</v>
      </c>
      <c r="S36" s="215">
        <v>0</v>
      </c>
      <c r="T36" s="215">
        <v>177024.3</v>
      </c>
    </row>
    <row r="37" spans="1:20">
      <c r="R37" s="74"/>
      <c r="S37" s="74"/>
      <c r="T37" s="216">
        <v>215969.65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3BC8-41EF-4C31-A295-DE1DB24D3BF7}">
  <sheetPr>
    <pageSetUpPr fitToPage="1"/>
  </sheetPr>
  <dimension ref="A1:T42"/>
  <sheetViews>
    <sheetView topLeftCell="A17" workbookViewId="0">
      <selection activeCell="P36" sqref="P36"/>
    </sheetView>
  </sheetViews>
  <sheetFormatPr defaultRowHeight="15"/>
  <cols>
    <col min="1" max="3" width="9.140625" style="48"/>
    <col min="4" max="4" width="11.85546875" style="48" customWidth="1"/>
    <col min="5" max="5" width="12.28515625" style="48" customWidth="1"/>
    <col min="6" max="6" width="13.140625" style="48" customWidth="1"/>
    <col min="7" max="7" width="11.42578125" style="48" customWidth="1"/>
    <col min="8" max="8" width="10.7109375" style="48" customWidth="1"/>
    <col min="9" max="9" width="10.5703125" style="48" bestFit="1" customWidth="1"/>
    <col min="10" max="12" width="9.140625" style="48"/>
    <col min="13" max="13" width="13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216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206</v>
      </c>
      <c r="H3" s="165" t="s">
        <v>155</v>
      </c>
      <c r="I3" s="165" t="s">
        <v>7</v>
      </c>
      <c r="J3" s="165" t="s">
        <v>8</v>
      </c>
      <c r="K3" s="165" t="s">
        <v>9</v>
      </c>
      <c r="L3" s="165" t="s">
        <v>10</v>
      </c>
      <c r="M3" s="165" t="s">
        <v>11</v>
      </c>
      <c r="N3" s="165" t="s">
        <v>12</v>
      </c>
      <c r="O3" s="165" t="s">
        <v>207</v>
      </c>
      <c r="P3" s="165" t="s">
        <v>161</v>
      </c>
      <c r="Q3" s="165" t="s">
        <v>15</v>
      </c>
      <c r="R3" s="165" t="s">
        <v>16</v>
      </c>
      <c r="S3" s="165" t="s">
        <v>17</v>
      </c>
      <c r="T3" s="165" t="s">
        <v>18</v>
      </c>
    </row>
    <row r="4" spans="1:20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0</v>
      </c>
      <c r="E5" s="217">
        <v>0</v>
      </c>
      <c r="F5" s="217">
        <v>727.84299999999996</v>
      </c>
      <c r="G5" s="213">
        <v>0</v>
      </c>
      <c r="H5" s="213">
        <v>0</v>
      </c>
      <c r="I5" s="63">
        <v>0</v>
      </c>
      <c r="J5" s="64">
        <v>0</v>
      </c>
      <c r="K5" s="64"/>
      <c r="L5" s="214">
        <v>0</v>
      </c>
      <c r="M5" s="214">
        <v>0</v>
      </c>
      <c r="N5" s="214">
        <v>0</v>
      </c>
      <c r="O5" s="214">
        <v>0</v>
      </c>
      <c r="P5" s="214">
        <v>0</v>
      </c>
      <c r="Q5" s="214">
        <v>0</v>
      </c>
      <c r="R5" s="214">
        <v>0</v>
      </c>
      <c r="S5" s="214">
        <v>0</v>
      </c>
      <c r="T5" s="214">
        <v>0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727.84299999999996</v>
      </c>
      <c r="G6" s="213">
        <v>0</v>
      </c>
      <c r="H6" s="213">
        <v>0</v>
      </c>
      <c r="I6" s="63">
        <v>0</v>
      </c>
      <c r="J6" s="64">
        <v>0</v>
      </c>
      <c r="K6" s="64"/>
      <c r="L6" s="214">
        <v>0</v>
      </c>
      <c r="M6" s="214">
        <v>0</v>
      </c>
      <c r="N6" s="214">
        <v>0</v>
      </c>
      <c r="O6" s="214">
        <v>0</v>
      </c>
      <c r="P6" s="214">
        <v>0</v>
      </c>
      <c r="Q6" s="214">
        <v>0</v>
      </c>
      <c r="R6" s="214">
        <v>0</v>
      </c>
      <c r="S6" s="214">
        <v>0</v>
      </c>
      <c r="T6" s="214">
        <v>0</v>
      </c>
    </row>
    <row r="7" spans="1:20">
      <c r="A7" s="66">
        <v>3</v>
      </c>
      <c r="B7" s="78" t="s">
        <v>165</v>
      </c>
      <c r="C7" s="79"/>
      <c r="D7" s="217">
        <v>0</v>
      </c>
      <c r="E7" s="217">
        <v>0</v>
      </c>
      <c r="F7" s="217">
        <v>727.84299999999996</v>
      </c>
      <c r="G7" s="213">
        <v>0</v>
      </c>
      <c r="H7" s="213">
        <v>0</v>
      </c>
      <c r="I7" s="63">
        <v>0</v>
      </c>
      <c r="J7" s="64">
        <v>0</v>
      </c>
      <c r="K7" s="64"/>
      <c r="L7" s="214">
        <v>0</v>
      </c>
      <c r="M7" s="214">
        <v>0</v>
      </c>
      <c r="N7" s="214">
        <v>0</v>
      </c>
      <c r="O7" s="214">
        <v>0</v>
      </c>
      <c r="P7" s="214">
        <v>0</v>
      </c>
      <c r="Q7" s="214">
        <v>0</v>
      </c>
      <c r="R7" s="214">
        <v>0</v>
      </c>
      <c r="S7" s="214">
        <v>0</v>
      </c>
      <c r="T7" s="214">
        <v>0</v>
      </c>
    </row>
    <row r="8" spans="1:20">
      <c r="A8" s="66">
        <v>4</v>
      </c>
      <c r="B8" s="78" t="s">
        <v>166</v>
      </c>
      <c r="C8" s="79"/>
      <c r="D8" s="217">
        <v>0</v>
      </c>
      <c r="E8" s="217">
        <v>0</v>
      </c>
      <c r="F8" s="217">
        <v>727.84299999999996</v>
      </c>
      <c r="G8" s="213">
        <v>0</v>
      </c>
      <c r="H8" s="213">
        <v>0</v>
      </c>
      <c r="I8" s="63">
        <v>0</v>
      </c>
      <c r="J8" s="64">
        <v>0</v>
      </c>
      <c r="K8" s="64"/>
      <c r="L8" s="214">
        <v>0</v>
      </c>
      <c r="M8" s="214">
        <v>0</v>
      </c>
      <c r="N8" s="214">
        <v>0</v>
      </c>
      <c r="O8" s="214">
        <v>0</v>
      </c>
      <c r="P8" s="214">
        <v>0</v>
      </c>
      <c r="Q8" s="214">
        <v>0</v>
      </c>
      <c r="R8" s="214">
        <v>0</v>
      </c>
      <c r="S8" s="214">
        <v>0</v>
      </c>
      <c r="T8" s="214">
        <v>0</v>
      </c>
    </row>
    <row r="9" spans="1:20">
      <c r="A9" s="66">
        <v>5</v>
      </c>
      <c r="B9" s="78" t="s">
        <v>167</v>
      </c>
      <c r="C9" s="79"/>
      <c r="D9" s="217">
        <v>0</v>
      </c>
      <c r="E9" s="217">
        <v>0</v>
      </c>
      <c r="F9" s="217">
        <v>727.84299999999996</v>
      </c>
      <c r="G9" s="213">
        <v>0</v>
      </c>
      <c r="H9" s="213">
        <v>0</v>
      </c>
      <c r="I9" s="63">
        <v>0</v>
      </c>
      <c r="J9" s="64">
        <v>0</v>
      </c>
      <c r="K9" s="64"/>
      <c r="L9" s="214">
        <v>0</v>
      </c>
      <c r="M9" s="214">
        <v>0</v>
      </c>
      <c r="N9" s="214">
        <v>0</v>
      </c>
      <c r="O9" s="214">
        <v>0</v>
      </c>
      <c r="P9" s="214">
        <v>0</v>
      </c>
      <c r="Q9" s="214">
        <v>0</v>
      </c>
      <c r="R9" s="214">
        <v>0</v>
      </c>
      <c r="S9" s="214">
        <v>0</v>
      </c>
      <c r="T9" s="214">
        <v>0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727.84299999999996</v>
      </c>
      <c r="G10" s="213">
        <v>0</v>
      </c>
      <c r="H10" s="213">
        <v>0</v>
      </c>
      <c r="I10" s="63">
        <v>0</v>
      </c>
      <c r="J10" s="64">
        <v>0</v>
      </c>
      <c r="K10" s="64"/>
      <c r="L10" s="214">
        <v>0</v>
      </c>
      <c r="M10" s="214">
        <v>0</v>
      </c>
      <c r="N10" s="214">
        <v>0</v>
      </c>
      <c r="O10" s="214">
        <v>0</v>
      </c>
      <c r="P10" s="214">
        <v>0</v>
      </c>
      <c r="Q10" s="214">
        <v>0</v>
      </c>
      <c r="R10" s="214">
        <v>0</v>
      </c>
      <c r="S10" s="214">
        <v>0</v>
      </c>
      <c r="T10" s="214">
        <v>0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727.84299999999996</v>
      </c>
      <c r="G11" s="213">
        <v>0</v>
      </c>
      <c r="H11" s="213">
        <v>0</v>
      </c>
      <c r="I11" s="63">
        <v>0</v>
      </c>
      <c r="J11" s="64">
        <v>0</v>
      </c>
      <c r="K11" s="64"/>
      <c r="L11" s="214">
        <v>0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</row>
    <row r="12" spans="1:20">
      <c r="A12" s="66">
        <v>8</v>
      </c>
      <c r="B12" s="78" t="s">
        <v>170</v>
      </c>
      <c r="C12" s="79"/>
      <c r="D12" s="217">
        <v>0</v>
      </c>
      <c r="E12" s="217">
        <v>0</v>
      </c>
      <c r="F12" s="217">
        <v>727.84299999999996</v>
      </c>
      <c r="G12" s="213">
        <v>0</v>
      </c>
      <c r="H12" s="213">
        <v>0</v>
      </c>
      <c r="I12" s="63">
        <v>0</v>
      </c>
      <c r="J12" s="64">
        <v>0</v>
      </c>
      <c r="K12" s="64"/>
      <c r="L12" s="214">
        <v>0</v>
      </c>
      <c r="M12" s="214">
        <v>0</v>
      </c>
      <c r="N12" s="214">
        <v>0</v>
      </c>
      <c r="O12" s="214">
        <v>0</v>
      </c>
      <c r="P12" s="214">
        <v>0</v>
      </c>
      <c r="Q12" s="214">
        <v>0</v>
      </c>
      <c r="R12" s="214">
        <v>0</v>
      </c>
      <c r="S12" s="214">
        <v>0</v>
      </c>
      <c r="T12" s="214">
        <v>0</v>
      </c>
    </row>
    <row r="13" spans="1:20">
      <c r="A13" s="66">
        <v>9</v>
      </c>
      <c r="B13" s="78" t="s">
        <v>171</v>
      </c>
      <c r="C13" s="79"/>
      <c r="D13" s="217">
        <v>0</v>
      </c>
      <c r="E13" s="217">
        <v>0</v>
      </c>
      <c r="F13" s="217">
        <v>727.84299999999996</v>
      </c>
      <c r="G13" s="213">
        <v>0</v>
      </c>
      <c r="H13" s="213">
        <v>0</v>
      </c>
      <c r="I13" s="63">
        <v>0</v>
      </c>
      <c r="J13" s="64">
        <v>0</v>
      </c>
      <c r="K13" s="64"/>
      <c r="L13" s="214">
        <v>0</v>
      </c>
      <c r="M13" s="214">
        <v>0</v>
      </c>
      <c r="N13" s="214">
        <v>0</v>
      </c>
      <c r="O13" s="214">
        <v>0</v>
      </c>
      <c r="P13" s="214">
        <v>0</v>
      </c>
      <c r="Q13" s="214">
        <v>0</v>
      </c>
      <c r="R13" s="214">
        <v>0</v>
      </c>
      <c r="S13" s="214">
        <v>0</v>
      </c>
      <c r="T13" s="214">
        <v>0</v>
      </c>
    </row>
    <row r="14" spans="1:20">
      <c r="A14" s="66">
        <v>10</v>
      </c>
      <c r="B14" s="78" t="s">
        <v>172</v>
      </c>
      <c r="C14" s="79"/>
      <c r="D14" s="217">
        <v>0</v>
      </c>
      <c r="E14" s="217">
        <v>0</v>
      </c>
      <c r="F14" s="217">
        <v>727.84299999999996</v>
      </c>
      <c r="G14" s="213">
        <v>0</v>
      </c>
      <c r="H14" s="213">
        <v>0</v>
      </c>
      <c r="I14" s="63">
        <v>0</v>
      </c>
      <c r="J14" s="64">
        <v>0</v>
      </c>
      <c r="K14" s="64"/>
      <c r="L14" s="214">
        <v>0</v>
      </c>
      <c r="M14" s="214">
        <v>0</v>
      </c>
      <c r="N14" s="214">
        <v>0</v>
      </c>
      <c r="O14" s="214">
        <v>0</v>
      </c>
      <c r="P14" s="214">
        <v>0</v>
      </c>
      <c r="Q14" s="214">
        <v>0</v>
      </c>
      <c r="R14" s="214">
        <v>0</v>
      </c>
      <c r="S14" s="214">
        <v>0</v>
      </c>
      <c r="T14" s="214">
        <v>0</v>
      </c>
    </row>
    <row r="15" spans="1:20">
      <c r="A15" s="66">
        <v>11</v>
      </c>
      <c r="B15" s="78" t="s">
        <v>173</v>
      </c>
      <c r="C15" s="79"/>
      <c r="D15" s="217">
        <v>0</v>
      </c>
      <c r="E15" s="217">
        <v>0</v>
      </c>
      <c r="F15" s="217">
        <v>727.84299999999996</v>
      </c>
      <c r="G15" s="213">
        <v>0</v>
      </c>
      <c r="H15" s="213">
        <v>0</v>
      </c>
      <c r="I15" s="63">
        <v>0</v>
      </c>
      <c r="J15" s="64">
        <v>0</v>
      </c>
      <c r="K15" s="64"/>
      <c r="L15" s="214">
        <v>0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727.84299999999996</v>
      </c>
      <c r="G16" s="213">
        <v>0</v>
      </c>
      <c r="H16" s="213">
        <v>0</v>
      </c>
      <c r="I16" s="63">
        <v>0</v>
      </c>
      <c r="J16" s="64">
        <v>0</v>
      </c>
      <c r="K16" s="69"/>
      <c r="L16" s="214">
        <v>0</v>
      </c>
      <c r="M16" s="214">
        <v>0</v>
      </c>
      <c r="N16" s="214">
        <v>0</v>
      </c>
      <c r="O16" s="214">
        <v>0</v>
      </c>
      <c r="P16" s="214">
        <v>0</v>
      </c>
      <c r="Q16" s="214">
        <v>0</v>
      </c>
      <c r="R16" s="214">
        <v>0</v>
      </c>
      <c r="S16" s="214">
        <v>0</v>
      </c>
      <c r="T16" s="214">
        <v>0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727.84299999999996</v>
      </c>
      <c r="G17" s="213">
        <v>0</v>
      </c>
      <c r="H17" s="213">
        <v>0</v>
      </c>
      <c r="I17" s="63">
        <v>0</v>
      </c>
      <c r="J17" s="64">
        <v>0</v>
      </c>
      <c r="K17" s="64"/>
      <c r="L17" s="214">
        <v>0</v>
      </c>
      <c r="M17" s="214">
        <v>0</v>
      </c>
      <c r="N17" s="214">
        <v>0</v>
      </c>
      <c r="O17" s="214">
        <v>0</v>
      </c>
      <c r="P17" s="214">
        <v>0</v>
      </c>
      <c r="Q17" s="214">
        <v>0</v>
      </c>
      <c r="R17" s="214">
        <v>0</v>
      </c>
      <c r="S17" s="214">
        <v>0</v>
      </c>
      <c r="T17" s="214">
        <v>0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727.84299999999996</v>
      </c>
      <c r="G18" s="213">
        <v>0</v>
      </c>
      <c r="H18" s="213">
        <v>0</v>
      </c>
      <c r="I18" s="63">
        <v>0</v>
      </c>
      <c r="J18" s="64">
        <v>0</v>
      </c>
      <c r="K18" s="64"/>
      <c r="L18" s="214">
        <v>0</v>
      </c>
      <c r="M18" s="214">
        <v>0</v>
      </c>
      <c r="N18" s="214">
        <v>0</v>
      </c>
      <c r="O18" s="214">
        <v>0</v>
      </c>
      <c r="P18" s="214">
        <v>0</v>
      </c>
      <c r="Q18" s="214">
        <v>0</v>
      </c>
      <c r="R18" s="214">
        <v>0</v>
      </c>
      <c r="S18" s="214">
        <v>0</v>
      </c>
      <c r="T18" s="214">
        <v>0</v>
      </c>
    </row>
    <row r="19" spans="1:20">
      <c r="A19" s="66">
        <v>15</v>
      </c>
      <c r="B19" s="78" t="s">
        <v>177</v>
      </c>
      <c r="C19" s="79"/>
      <c r="D19" s="217">
        <v>0</v>
      </c>
      <c r="E19" s="217">
        <v>0</v>
      </c>
      <c r="F19" s="217">
        <v>727.84299999999996</v>
      </c>
      <c r="G19" s="213">
        <v>0</v>
      </c>
      <c r="H19" s="213">
        <v>0</v>
      </c>
      <c r="I19" s="63">
        <v>0</v>
      </c>
      <c r="J19" s="64">
        <v>0</v>
      </c>
      <c r="K19" s="64"/>
      <c r="L19" s="214">
        <v>0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</row>
    <row r="20" spans="1:20">
      <c r="A20" s="66">
        <v>16</v>
      </c>
      <c r="B20" s="78" t="s">
        <v>178</v>
      </c>
      <c r="C20" s="79"/>
      <c r="D20" s="217">
        <v>0</v>
      </c>
      <c r="E20" s="217">
        <v>34.743000000000002</v>
      </c>
      <c r="F20" s="217">
        <v>693.1</v>
      </c>
      <c r="G20" s="213">
        <v>0</v>
      </c>
      <c r="H20" s="213">
        <v>0</v>
      </c>
      <c r="I20" s="63">
        <v>0</v>
      </c>
      <c r="J20" s="64">
        <v>0</v>
      </c>
      <c r="K20" s="64"/>
      <c r="L20" s="214">
        <v>0</v>
      </c>
      <c r="M20" s="214">
        <v>0</v>
      </c>
      <c r="N20" s="214">
        <v>3992.67</v>
      </c>
      <c r="O20" s="214">
        <v>0</v>
      </c>
      <c r="P20" s="214">
        <v>0</v>
      </c>
      <c r="Q20" s="214">
        <v>0</v>
      </c>
      <c r="R20" s="214">
        <v>0</v>
      </c>
      <c r="S20" s="214">
        <v>0</v>
      </c>
      <c r="T20" s="214">
        <v>3992.67</v>
      </c>
    </row>
    <row r="21" spans="1:20">
      <c r="A21" s="66">
        <v>17</v>
      </c>
      <c r="B21" s="78" t="s">
        <v>179</v>
      </c>
      <c r="C21" s="79"/>
      <c r="D21" s="217">
        <v>0</v>
      </c>
      <c r="E21" s="217">
        <v>0</v>
      </c>
      <c r="F21" s="217">
        <v>693.1</v>
      </c>
      <c r="G21" s="213">
        <v>0</v>
      </c>
      <c r="H21" s="213">
        <v>0</v>
      </c>
      <c r="I21" s="63">
        <v>0</v>
      </c>
      <c r="J21" s="64">
        <v>0</v>
      </c>
      <c r="K21" s="64"/>
      <c r="L21" s="214">
        <v>0</v>
      </c>
      <c r="M21" s="214">
        <v>0</v>
      </c>
      <c r="N21" s="214">
        <v>0</v>
      </c>
      <c r="O21" s="214">
        <v>0</v>
      </c>
      <c r="P21" s="214">
        <v>0</v>
      </c>
      <c r="Q21" s="214">
        <v>0</v>
      </c>
      <c r="R21" s="214">
        <v>0</v>
      </c>
      <c r="S21" s="214">
        <v>0</v>
      </c>
      <c r="T21" s="214">
        <v>0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0</v>
      </c>
      <c r="F22" s="217">
        <v>693.1</v>
      </c>
      <c r="G22" s="213">
        <v>0</v>
      </c>
      <c r="H22" s="213">
        <v>0</v>
      </c>
      <c r="I22" s="63">
        <v>0</v>
      </c>
      <c r="J22" s="64">
        <v>0</v>
      </c>
      <c r="K22" s="64"/>
      <c r="L22" s="214">
        <v>0</v>
      </c>
      <c r="M22" s="214">
        <v>0</v>
      </c>
      <c r="N22" s="214">
        <v>0</v>
      </c>
      <c r="O22" s="214">
        <v>0</v>
      </c>
      <c r="P22" s="214">
        <v>0</v>
      </c>
      <c r="Q22" s="214">
        <v>0</v>
      </c>
      <c r="R22" s="214">
        <v>0</v>
      </c>
      <c r="S22" s="214">
        <v>0</v>
      </c>
      <c r="T22" s="214">
        <v>0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0</v>
      </c>
      <c r="F23" s="217">
        <v>693.1</v>
      </c>
      <c r="G23" s="213">
        <v>0</v>
      </c>
      <c r="H23" s="213">
        <v>0</v>
      </c>
      <c r="I23" s="63">
        <v>0</v>
      </c>
      <c r="J23" s="64">
        <v>0</v>
      </c>
      <c r="K23" s="64"/>
      <c r="L23" s="214">
        <v>0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693.1</v>
      </c>
      <c r="G24" s="213">
        <v>0</v>
      </c>
      <c r="H24" s="213">
        <v>0</v>
      </c>
      <c r="I24" s="63">
        <v>0</v>
      </c>
      <c r="J24" s="64">
        <v>0</v>
      </c>
      <c r="K24" s="64"/>
      <c r="L24" s="214">
        <v>0</v>
      </c>
      <c r="M24" s="214">
        <v>0</v>
      </c>
      <c r="N24" s="214">
        <v>0</v>
      </c>
      <c r="O24" s="214">
        <v>0</v>
      </c>
      <c r="P24" s="214">
        <v>0</v>
      </c>
      <c r="Q24" s="214">
        <v>0</v>
      </c>
      <c r="R24" s="214">
        <v>0</v>
      </c>
      <c r="S24" s="214">
        <v>0</v>
      </c>
      <c r="T24" s="214">
        <v>0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693.1</v>
      </c>
      <c r="G25" s="213">
        <v>0</v>
      </c>
      <c r="H25" s="213">
        <v>0</v>
      </c>
      <c r="I25" s="63">
        <v>0</v>
      </c>
      <c r="J25" s="64">
        <v>0</v>
      </c>
      <c r="K25" s="64"/>
      <c r="L25" s="214">
        <v>0</v>
      </c>
      <c r="M25" s="214">
        <v>0</v>
      </c>
      <c r="N25" s="214">
        <v>0</v>
      </c>
      <c r="O25" s="214">
        <v>0</v>
      </c>
      <c r="P25" s="214">
        <v>0</v>
      </c>
      <c r="Q25" s="214">
        <v>0</v>
      </c>
      <c r="R25" s="214">
        <v>0</v>
      </c>
      <c r="S25" s="214">
        <v>0</v>
      </c>
      <c r="T25" s="214">
        <v>0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21.408999999999999</v>
      </c>
      <c r="F26" s="217">
        <v>671.69100000000003</v>
      </c>
      <c r="G26" s="213">
        <v>0</v>
      </c>
      <c r="H26" s="213">
        <v>0</v>
      </c>
      <c r="I26" s="63">
        <v>0</v>
      </c>
      <c r="J26" s="64">
        <v>0</v>
      </c>
      <c r="K26" s="64"/>
      <c r="L26" s="214">
        <v>0</v>
      </c>
      <c r="M26" s="214">
        <v>0</v>
      </c>
      <c r="N26" s="214">
        <v>2460.3200000000002</v>
      </c>
      <c r="O26" s="214">
        <v>0</v>
      </c>
      <c r="P26" s="214">
        <v>0</v>
      </c>
      <c r="Q26" s="214">
        <v>0</v>
      </c>
      <c r="R26" s="214">
        <v>0</v>
      </c>
      <c r="S26" s="214">
        <v>0</v>
      </c>
      <c r="T26" s="214">
        <v>2460.3200000000002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9.8550000000000004</v>
      </c>
      <c r="F27" s="217">
        <v>661.83600000000001</v>
      </c>
      <c r="G27" s="213">
        <v>0</v>
      </c>
      <c r="H27" s="213">
        <v>0</v>
      </c>
      <c r="I27" s="63">
        <v>0</v>
      </c>
      <c r="J27" s="64">
        <v>0</v>
      </c>
      <c r="K27" s="64"/>
      <c r="L27" s="214">
        <v>0</v>
      </c>
      <c r="M27" s="214">
        <v>0</v>
      </c>
      <c r="N27" s="214">
        <v>1132.54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1132.54</v>
      </c>
    </row>
    <row r="28" spans="1:20">
      <c r="A28" s="66">
        <v>24</v>
      </c>
      <c r="B28" s="78" t="s">
        <v>186</v>
      </c>
      <c r="C28" s="79"/>
      <c r="D28" s="217">
        <v>0</v>
      </c>
      <c r="E28" s="217">
        <v>0</v>
      </c>
      <c r="F28" s="217">
        <v>661.83600000000001</v>
      </c>
      <c r="G28" s="213">
        <v>0</v>
      </c>
      <c r="H28" s="213">
        <v>0</v>
      </c>
      <c r="I28" s="63">
        <v>0</v>
      </c>
      <c r="J28" s="64">
        <v>0</v>
      </c>
      <c r="K28" s="64"/>
      <c r="L28" s="214">
        <v>0</v>
      </c>
      <c r="M28" s="214">
        <v>0</v>
      </c>
      <c r="N28" s="214">
        <v>0</v>
      </c>
      <c r="O28" s="214">
        <v>0</v>
      </c>
      <c r="P28" s="214">
        <v>0</v>
      </c>
      <c r="Q28" s="214">
        <v>0</v>
      </c>
      <c r="R28" s="214">
        <v>0</v>
      </c>
      <c r="S28" s="214">
        <v>0</v>
      </c>
      <c r="T28" s="214">
        <v>0</v>
      </c>
    </row>
    <row r="29" spans="1:20">
      <c r="A29" s="66">
        <v>25</v>
      </c>
      <c r="B29" s="78" t="s">
        <v>187</v>
      </c>
      <c r="C29" s="79"/>
      <c r="D29" s="217">
        <v>0</v>
      </c>
      <c r="E29" s="217">
        <v>0</v>
      </c>
      <c r="F29" s="217">
        <v>661.83600000000001</v>
      </c>
      <c r="G29" s="213">
        <v>0</v>
      </c>
      <c r="H29" s="213">
        <v>0</v>
      </c>
      <c r="I29" s="63">
        <v>0</v>
      </c>
      <c r="J29" s="64">
        <v>0</v>
      </c>
      <c r="K29" s="64"/>
      <c r="L29" s="214">
        <v>0</v>
      </c>
      <c r="M29" s="214">
        <v>0</v>
      </c>
      <c r="N29" s="214">
        <v>0</v>
      </c>
      <c r="O29" s="214">
        <v>0</v>
      </c>
      <c r="P29" s="214">
        <v>0</v>
      </c>
      <c r="Q29" s="214">
        <v>0</v>
      </c>
      <c r="R29" s="214">
        <v>0</v>
      </c>
      <c r="S29" s="214">
        <v>0</v>
      </c>
      <c r="T29" s="214">
        <v>0</v>
      </c>
    </row>
    <row r="30" spans="1:20">
      <c r="A30" s="66">
        <v>26</v>
      </c>
      <c r="B30" s="78" t="s">
        <v>188</v>
      </c>
      <c r="C30" s="79"/>
      <c r="D30" s="217">
        <v>0</v>
      </c>
      <c r="E30" s="217">
        <v>0</v>
      </c>
      <c r="F30" s="217">
        <v>661.83600000000001</v>
      </c>
      <c r="G30" s="213">
        <v>0</v>
      </c>
      <c r="H30" s="213">
        <v>0</v>
      </c>
      <c r="I30" s="63">
        <v>0</v>
      </c>
      <c r="J30" s="64">
        <v>0</v>
      </c>
      <c r="K30" s="64"/>
      <c r="L30" s="214">
        <v>0</v>
      </c>
      <c r="M30" s="214">
        <v>0</v>
      </c>
      <c r="N30" s="214">
        <v>0</v>
      </c>
      <c r="O30" s="214">
        <v>0</v>
      </c>
      <c r="P30" s="214">
        <v>0</v>
      </c>
      <c r="Q30" s="214">
        <v>0</v>
      </c>
      <c r="R30" s="214">
        <v>0</v>
      </c>
      <c r="S30" s="214">
        <v>0</v>
      </c>
      <c r="T30" s="214">
        <v>0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661.83600000000001</v>
      </c>
      <c r="G31" s="213">
        <v>0</v>
      </c>
      <c r="H31" s="213">
        <v>0</v>
      </c>
      <c r="I31" s="63">
        <v>0</v>
      </c>
      <c r="J31" s="64">
        <v>0</v>
      </c>
      <c r="K31" s="64"/>
      <c r="L31" s="214">
        <v>0</v>
      </c>
      <c r="M31" s="214">
        <v>0</v>
      </c>
      <c r="N31" s="214">
        <v>0</v>
      </c>
      <c r="O31" s="214">
        <v>0</v>
      </c>
      <c r="P31" s="214">
        <v>0</v>
      </c>
      <c r="Q31" s="214">
        <v>0</v>
      </c>
      <c r="R31" s="214">
        <v>0</v>
      </c>
      <c r="S31" s="214">
        <v>0</v>
      </c>
      <c r="T31" s="214">
        <v>0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661.83600000000001</v>
      </c>
      <c r="G32" s="213">
        <v>0</v>
      </c>
      <c r="H32" s="213">
        <v>0</v>
      </c>
      <c r="I32" s="63">
        <v>0</v>
      </c>
      <c r="J32" s="64">
        <v>0</v>
      </c>
      <c r="K32" s="64"/>
      <c r="L32" s="214">
        <v>0</v>
      </c>
      <c r="M32" s="214">
        <v>0</v>
      </c>
      <c r="N32" s="214">
        <v>0</v>
      </c>
      <c r="O32" s="214">
        <v>0</v>
      </c>
      <c r="P32" s="214">
        <v>0</v>
      </c>
      <c r="Q32" s="214">
        <v>0</v>
      </c>
      <c r="R32" s="214">
        <v>0</v>
      </c>
      <c r="S32" s="214">
        <v>0</v>
      </c>
      <c r="T32" s="214">
        <v>0</v>
      </c>
    </row>
    <row r="33" spans="1:20">
      <c r="A33" s="66">
        <v>29</v>
      </c>
      <c r="B33" s="78" t="s">
        <v>191</v>
      </c>
      <c r="C33" s="79"/>
      <c r="D33" s="217">
        <v>0</v>
      </c>
      <c r="E33" s="217">
        <v>0</v>
      </c>
      <c r="F33" s="217">
        <v>661.83600000000001</v>
      </c>
      <c r="G33" s="213">
        <v>0</v>
      </c>
      <c r="H33" s="213">
        <v>0</v>
      </c>
      <c r="I33" s="63">
        <v>0</v>
      </c>
      <c r="J33" s="64">
        <v>0</v>
      </c>
      <c r="K33" s="64"/>
      <c r="L33" s="214">
        <v>0</v>
      </c>
      <c r="M33" s="214">
        <v>0</v>
      </c>
      <c r="N33" s="214">
        <v>0</v>
      </c>
      <c r="O33" s="214">
        <v>0</v>
      </c>
      <c r="P33" s="214">
        <v>0</v>
      </c>
      <c r="Q33" s="214">
        <v>0</v>
      </c>
      <c r="R33" s="214">
        <v>0</v>
      </c>
      <c r="S33" s="214">
        <v>0</v>
      </c>
      <c r="T33" s="214">
        <v>0</v>
      </c>
    </row>
    <row r="34" spans="1:20">
      <c r="A34" s="66">
        <v>30</v>
      </c>
      <c r="B34" s="78" t="s">
        <v>192</v>
      </c>
      <c r="C34" s="79"/>
      <c r="D34" s="217">
        <v>0</v>
      </c>
      <c r="E34" s="217">
        <v>0</v>
      </c>
      <c r="F34" s="217">
        <v>661.83600000000001</v>
      </c>
      <c r="G34" s="213">
        <v>0</v>
      </c>
      <c r="H34" s="213">
        <v>0</v>
      </c>
      <c r="I34" s="63">
        <v>0</v>
      </c>
      <c r="J34" s="64">
        <v>0</v>
      </c>
      <c r="K34" s="64"/>
      <c r="L34" s="214">
        <v>0</v>
      </c>
      <c r="M34" s="214">
        <v>0</v>
      </c>
      <c r="N34" s="214">
        <v>0</v>
      </c>
      <c r="O34" s="214">
        <v>0</v>
      </c>
      <c r="P34" s="214">
        <v>0</v>
      </c>
      <c r="Q34" s="214">
        <v>0</v>
      </c>
      <c r="R34" s="214">
        <v>0</v>
      </c>
      <c r="S34" s="214">
        <v>0</v>
      </c>
      <c r="T34" s="214">
        <v>0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4">
        <v>0</v>
      </c>
      <c r="K35" s="64"/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0</v>
      </c>
      <c r="E36" s="71">
        <v>66.007000000000005</v>
      </c>
      <c r="F36" s="71">
        <v>21042.624</v>
      </c>
      <c r="G36" s="71">
        <v>0</v>
      </c>
      <c r="H36" s="71">
        <v>0</v>
      </c>
      <c r="I36" s="71">
        <v>0</v>
      </c>
      <c r="J36" s="72">
        <v>0</v>
      </c>
      <c r="K36" s="72">
        <v>0</v>
      </c>
      <c r="L36" s="215">
        <v>0</v>
      </c>
      <c r="M36" s="215">
        <v>0</v>
      </c>
      <c r="N36" s="215">
        <v>7585.52</v>
      </c>
      <c r="O36" s="215">
        <v>1007760</v>
      </c>
      <c r="P36" s="215">
        <v>360010.56</v>
      </c>
      <c r="Q36" s="215">
        <v>0</v>
      </c>
      <c r="R36" s="215">
        <v>0</v>
      </c>
      <c r="S36" s="215">
        <v>0</v>
      </c>
      <c r="T36" s="215">
        <v>1375356.08</v>
      </c>
    </row>
    <row r="37" spans="1:20">
      <c r="R37" s="74"/>
      <c r="S37" s="74"/>
      <c r="T37" s="216">
        <v>1677934.42</v>
      </c>
    </row>
    <row r="42" spans="1:20">
      <c r="J42" s="48">
        <v>5538.6239999999998</v>
      </c>
      <c r="K42" s="218">
        <v>15504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A57F-9A83-4429-B741-785E4DEFC2B9}">
  <sheetPr>
    <pageSetUpPr fitToPage="1"/>
  </sheetPr>
  <dimension ref="A1:T37"/>
  <sheetViews>
    <sheetView topLeftCell="A5" workbookViewId="0">
      <selection activeCell="H5" sqref="H5:H35"/>
    </sheetView>
  </sheetViews>
  <sheetFormatPr defaultRowHeight="15"/>
  <cols>
    <col min="1" max="3" width="9.140625" style="48"/>
    <col min="4" max="4" width="11.85546875" style="48" customWidth="1"/>
    <col min="5" max="5" width="12.28515625" style="48" customWidth="1"/>
    <col min="6" max="6" width="13.140625" style="48" customWidth="1"/>
    <col min="7" max="7" width="11.42578125" style="48" customWidth="1"/>
    <col min="8" max="8" width="10.7109375" style="48" customWidth="1"/>
    <col min="9" max="9" width="10.5703125" style="48" bestFit="1" customWidth="1"/>
    <col min="10" max="12" width="9.140625" style="48"/>
    <col min="13" max="13" width="13.140625" style="48" customWidth="1"/>
    <col min="14" max="14" width="13.5703125" style="48" customWidth="1"/>
    <col min="15" max="15" width="14.5703125" style="48" customWidth="1"/>
    <col min="16" max="16" width="14.5703125" style="48" bestFit="1" customWidth="1"/>
    <col min="17" max="17" width="15" style="48" customWidth="1"/>
    <col min="18" max="18" width="13.28515625" style="48" customWidth="1"/>
    <col min="19" max="19" width="11.7109375" style="48" customWidth="1"/>
    <col min="20" max="20" width="24.28515625" style="48" customWidth="1"/>
    <col min="21" max="16384" width="9.140625" style="48"/>
  </cols>
  <sheetData>
    <row r="1" spans="1:20">
      <c r="I1" s="49"/>
    </row>
    <row r="2" spans="1:20" ht="28.9" customHeight="1">
      <c r="A2" s="77" t="s">
        <v>217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20" ht="28.9" customHeight="1">
      <c r="A3" s="165" t="s">
        <v>0</v>
      </c>
      <c r="B3" s="166" t="s">
        <v>1</v>
      </c>
      <c r="C3" s="167"/>
      <c r="D3" s="165" t="s">
        <v>2</v>
      </c>
      <c r="E3" s="165" t="s">
        <v>3</v>
      </c>
      <c r="F3" s="168" t="s">
        <v>4</v>
      </c>
      <c r="G3" s="165" t="s">
        <v>218</v>
      </c>
      <c r="H3" s="165" t="s">
        <v>219</v>
      </c>
      <c r="I3" s="165" t="s">
        <v>7</v>
      </c>
      <c r="J3" s="165" t="s">
        <v>8</v>
      </c>
      <c r="K3" s="165" t="s">
        <v>9</v>
      </c>
      <c r="L3" s="165" t="s">
        <v>10</v>
      </c>
      <c r="M3" s="165" t="s">
        <v>11</v>
      </c>
      <c r="N3" s="165" t="s">
        <v>12</v>
      </c>
      <c r="O3" s="165" t="s">
        <v>13</v>
      </c>
      <c r="P3" s="165" t="s">
        <v>14</v>
      </c>
      <c r="Q3" s="165" t="s">
        <v>15</v>
      </c>
      <c r="R3" s="165" t="s">
        <v>16</v>
      </c>
      <c r="S3" s="165" t="s">
        <v>17</v>
      </c>
      <c r="T3" s="165" t="s">
        <v>18</v>
      </c>
    </row>
    <row r="4" spans="1:20">
      <c r="A4" s="54"/>
      <c r="B4" s="55"/>
      <c r="C4" s="56"/>
      <c r="D4" s="54"/>
      <c r="E4" s="54"/>
      <c r="F4" s="57"/>
      <c r="G4" s="54"/>
      <c r="H4" s="54"/>
      <c r="I4" s="54"/>
      <c r="J4" s="54"/>
      <c r="K4" s="58"/>
      <c r="L4" s="58"/>
      <c r="M4" s="54"/>
      <c r="N4" s="54"/>
      <c r="O4" s="54"/>
      <c r="P4" s="54"/>
      <c r="Q4" s="54"/>
      <c r="R4" s="54"/>
      <c r="S4" s="54"/>
      <c r="T4" s="54"/>
    </row>
    <row r="5" spans="1:20">
      <c r="A5" s="66">
        <v>1</v>
      </c>
      <c r="B5" s="78" t="s">
        <v>163</v>
      </c>
      <c r="C5" s="79"/>
      <c r="D5" s="217">
        <v>41.253</v>
      </c>
      <c r="E5" s="217">
        <v>0</v>
      </c>
      <c r="F5" s="217">
        <v>2069.39</v>
      </c>
      <c r="G5" s="213">
        <v>0</v>
      </c>
      <c r="H5" s="213">
        <v>33.747</v>
      </c>
      <c r="I5" s="63">
        <v>0</v>
      </c>
      <c r="J5" s="64">
        <v>0</v>
      </c>
      <c r="K5" s="64"/>
      <c r="L5" s="214">
        <v>0</v>
      </c>
      <c r="M5" s="214">
        <v>6187.95</v>
      </c>
      <c r="N5" s="214">
        <v>0</v>
      </c>
      <c r="O5" s="214">
        <v>134510.35</v>
      </c>
      <c r="P5" s="214">
        <v>0</v>
      </c>
      <c r="Q5" s="214">
        <v>5062.05</v>
      </c>
      <c r="R5" s="214">
        <v>0</v>
      </c>
      <c r="S5" s="214">
        <v>0</v>
      </c>
      <c r="T5" s="214">
        <v>145760.35</v>
      </c>
    </row>
    <row r="6" spans="1:20">
      <c r="A6" s="66">
        <v>2</v>
      </c>
      <c r="B6" s="78" t="s">
        <v>164</v>
      </c>
      <c r="C6" s="79"/>
      <c r="D6" s="217">
        <v>0</v>
      </c>
      <c r="E6" s="217">
        <v>0</v>
      </c>
      <c r="F6" s="217">
        <v>2069.39</v>
      </c>
      <c r="G6" s="213">
        <v>0</v>
      </c>
      <c r="H6" s="213">
        <v>75</v>
      </c>
      <c r="I6" s="63">
        <v>0</v>
      </c>
      <c r="J6" s="64">
        <v>0</v>
      </c>
      <c r="K6" s="64"/>
      <c r="L6" s="214">
        <v>0</v>
      </c>
      <c r="M6" s="214">
        <v>0</v>
      </c>
      <c r="N6" s="214">
        <v>0</v>
      </c>
      <c r="O6" s="214">
        <v>134510.35</v>
      </c>
      <c r="P6" s="214">
        <v>0</v>
      </c>
      <c r="Q6" s="214">
        <v>11250</v>
      </c>
      <c r="R6" s="214">
        <v>0</v>
      </c>
      <c r="S6" s="214">
        <v>0</v>
      </c>
      <c r="T6" s="214">
        <v>145760.35</v>
      </c>
    </row>
    <row r="7" spans="1:20">
      <c r="A7" s="66">
        <v>3</v>
      </c>
      <c r="B7" s="78" t="s">
        <v>165</v>
      </c>
      <c r="C7" s="79"/>
      <c r="D7" s="217">
        <v>8.8770000000000007</v>
      </c>
      <c r="E7" s="217">
        <v>0</v>
      </c>
      <c r="F7" s="217">
        <v>2078.2669999999998</v>
      </c>
      <c r="G7" s="213">
        <v>0</v>
      </c>
      <c r="H7" s="213">
        <v>66.123000000000005</v>
      </c>
      <c r="I7" s="63">
        <v>0</v>
      </c>
      <c r="J7" s="64">
        <v>0</v>
      </c>
      <c r="K7" s="64"/>
      <c r="L7" s="214">
        <v>0</v>
      </c>
      <c r="M7" s="214">
        <v>1331.55</v>
      </c>
      <c r="N7" s="214">
        <v>0</v>
      </c>
      <c r="O7" s="214">
        <v>135087.35999999999</v>
      </c>
      <c r="P7" s="214">
        <v>0</v>
      </c>
      <c r="Q7" s="214">
        <v>9918.4500000000007</v>
      </c>
      <c r="R7" s="214">
        <v>0</v>
      </c>
      <c r="S7" s="214">
        <v>0</v>
      </c>
      <c r="T7" s="214">
        <v>146337.35999999999</v>
      </c>
    </row>
    <row r="8" spans="1:20">
      <c r="A8" s="66">
        <v>4</v>
      </c>
      <c r="B8" s="78" t="s">
        <v>166</v>
      </c>
      <c r="C8" s="79"/>
      <c r="D8" s="217">
        <v>35.756</v>
      </c>
      <c r="E8" s="217">
        <v>0</v>
      </c>
      <c r="F8" s="217">
        <v>2114.0230000000001</v>
      </c>
      <c r="G8" s="213">
        <v>0</v>
      </c>
      <c r="H8" s="213">
        <v>39.244</v>
      </c>
      <c r="I8" s="63">
        <v>0</v>
      </c>
      <c r="J8" s="64">
        <v>0</v>
      </c>
      <c r="K8" s="64"/>
      <c r="L8" s="214">
        <v>0</v>
      </c>
      <c r="M8" s="214">
        <v>5363.4</v>
      </c>
      <c r="N8" s="214">
        <v>0</v>
      </c>
      <c r="O8" s="214">
        <v>137411.5</v>
      </c>
      <c r="P8" s="214">
        <v>0</v>
      </c>
      <c r="Q8" s="214">
        <v>5886.6</v>
      </c>
      <c r="R8" s="214">
        <v>0</v>
      </c>
      <c r="S8" s="214">
        <v>0</v>
      </c>
      <c r="T8" s="214">
        <v>148661.5</v>
      </c>
    </row>
    <row r="9" spans="1:20">
      <c r="A9" s="66">
        <v>5</v>
      </c>
      <c r="B9" s="78" t="s">
        <v>167</v>
      </c>
      <c r="C9" s="79"/>
      <c r="D9" s="217">
        <v>17.457000000000001</v>
      </c>
      <c r="E9" s="217">
        <v>0</v>
      </c>
      <c r="F9" s="217">
        <v>2131.48</v>
      </c>
      <c r="G9" s="213">
        <v>0</v>
      </c>
      <c r="H9" s="213">
        <v>57.542999999999999</v>
      </c>
      <c r="I9" s="63">
        <v>0</v>
      </c>
      <c r="J9" s="64">
        <v>0</v>
      </c>
      <c r="K9" s="64"/>
      <c r="L9" s="214">
        <v>0</v>
      </c>
      <c r="M9" s="214">
        <v>2618.5500000000002</v>
      </c>
      <c r="N9" s="214">
        <v>0</v>
      </c>
      <c r="O9" s="214">
        <v>138546.20000000001</v>
      </c>
      <c r="P9" s="214">
        <v>0</v>
      </c>
      <c r="Q9" s="214">
        <v>8631.4500000000007</v>
      </c>
      <c r="R9" s="214">
        <v>0</v>
      </c>
      <c r="S9" s="214">
        <v>0</v>
      </c>
      <c r="T9" s="214">
        <v>149796.20000000001</v>
      </c>
    </row>
    <row r="10" spans="1:20">
      <c r="A10" s="66">
        <v>6</v>
      </c>
      <c r="B10" s="78" t="s">
        <v>168</v>
      </c>
      <c r="C10" s="79"/>
      <c r="D10" s="217">
        <v>0</v>
      </c>
      <c r="E10" s="217">
        <v>0</v>
      </c>
      <c r="F10" s="217">
        <v>2131.48</v>
      </c>
      <c r="G10" s="213">
        <v>0</v>
      </c>
      <c r="H10" s="213">
        <v>75</v>
      </c>
      <c r="I10" s="63">
        <v>0</v>
      </c>
      <c r="J10" s="64">
        <v>0</v>
      </c>
      <c r="K10" s="64"/>
      <c r="L10" s="214">
        <v>0</v>
      </c>
      <c r="M10" s="214">
        <v>0</v>
      </c>
      <c r="N10" s="214">
        <v>0</v>
      </c>
      <c r="O10" s="214">
        <v>138546.20000000001</v>
      </c>
      <c r="P10" s="214">
        <v>0</v>
      </c>
      <c r="Q10" s="214">
        <v>11250</v>
      </c>
      <c r="R10" s="214">
        <v>0</v>
      </c>
      <c r="S10" s="214">
        <v>0</v>
      </c>
      <c r="T10" s="214">
        <v>149796.20000000001</v>
      </c>
    </row>
    <row r="11" spans="1:20">
      <c r="A11" s="66">
        <v>7</v>
      </c>
      <c r="B11" s="78" t="s">
        <v>169</v>
      </c>
      <c r="C11" s="79"/>
      <c r="D11" s="217">
        <v>0</v>
      </c>
      <c r="E11" s="217">
        <v>0</v>
      </c>
      <c r="F11" s="217">
        <v>2131.48</v>
      </c>
      <c r="G11" s="213">
        <v>0</v>
      </c>
      <c r="H11" s="213">
        <v>75</v>
      </c>
      <c r="I11" s="63">
        <v>0</v>
      </c>
      <c r="J11" s="64">
        <v>0</v>
      </c>
      <c r="K11" s="64"/>
      <c r="L11" s="214">
        <v>0</v>
      </c>
      <c r="M11" s="214">
        <v>0</v>
      </c>
      <c r="N11" s="214">
        <v>0</v>
      </c>
      <c r="O11" s="214">
        <v>138546.20000000001</v>
      </c>
      <c r="P11" s="214">
        <v>0</v>
      </c>
      <c r="Q11" s="214">
        <v>11250</v>
      </c>
      <c r="R11" s="214">
        <v>0</v>
      </c>
      <c r="S11" s="214">
        <v>0</v>
      </c>
      <c r="T11" s="214">
        <v>149796.20000000001</v>
      </c>
    </row>
    <row r="12" spans="1:20">
      <c r="A12" s="66">
        <v>8</v>
      </c>
      <c r="B12" s="78" t="s">
        <v>170</v>
      </c>
      <c r="C12" s="79"/>
      <c r="D12" s="217">
        <v>71.831000000000003</v>
      </c>
      <c r="E12" s="217">
        <v>0</v>
      </c>
      <c r="F12" s="217">
        <v>2203.3110000000001</v>
      </c>
      <c r="G12" s="213">
        <v>0</v>
      </c>
      <c r="H12" s="213">
        <v>3.1689999999999969</v>
      </c>
      <c r="I12" s="63">
        <v>0</v>
      </c>
      <c r="J12" s="64">
        <v>0</v>
      </c>
      <c r="K12" s="64"/>
      <c r="L12" s="214">
        <v>0</v>
      </c>
      <c r="M12" s="214">
        <v>10774.65</v>
      </c>
      <c r="N12" s="214">
        <v>0</v>
      </c>
      <c r="O12" s="214">
        <v>143215.22</v>
      </c>
      <c r="P12" s="214">
        <v>0</v>
      </c>
      <c r="Q12" s="214">
        <v>475.35</v>
      </c>
      <c r="R12" s="214">
        <v>0</v>
      </c>
      <c r="S12" s="214">
        <v>0</v>
      </c>
      <c r="T12" s="214">
        <v>154465.22</v>
      </c>
    </row>
    <row r="13" spans="1:20">
      <c r="A13" s="66">
        <v>9</v>
      </c>
      <c r="B13" s="78" t="s">
        <v>171</v>
      </c>
      <c r="C13" s="79"/>
      <c r="D13" s="217">
        <v>64.885999999999996</v>
      </c>
      <c r="E13" s="217">
        <v>0</v>
      </c>
      <c r="F13" s="217">
        <v>2268.1970000000001</v>
      </c>
      <c r="G13" s="213">
        <v>0</v>
      </c>
      <c r="H13" s="213">
        <v>10.114000000000004</v>
      </c>
      <c r="I13" s="63">
        <v>0</v>
      </c>
      <c r="J13" s="64">
        <v>0</v>
      </c>
      <c r="K13" s="64"/>
      <c r="L13" s="214">
        <v>0</v>
      </c>
      <c r="M13" s="214">
        <v>9732.9</v>
      </c>
      <c r="N13" s="214">
        <v>0</v>
      </c>
      <c r="O13" s="214">
        <v>147432.81</v>
      </c>
      <c r="P13" s="214">
        <v>0</v>
      </c>
      <c r="Q13" s="214">
        <v>1517.1</v>
      </c>
      <c r="R13" s="214">
        <v>0</v>
      </c>
      <c r="S13" s="214">
        <v>0</v>
      </c>
      <c r="T13" s="214">
        <v>158682.81</v>
      </c>
    </row>
    <row r="14" spans="1:20">
      <c r="A14" s="66">
        <v>10</v>
      </c>
      <c r="B14" s="78" t="s">
        <v>172</v>
      </c>
      <c r="C14" s="79"/>
      <c r="D14" s="217">
        <v>16.213000000000001</v>
      </c>
      <c r="E14" s="217">
        <v>0</v>
      </c>
      <c r="F14" s="217">
        <v>2284.41</v>
      </c>
      <c r="G14" s="213">
        <v>0</v>
      </c>
      <c r="H14" s="213">
        <v>58.786999999999999</v>
      </c>
      <c r="I14" s="63">
        <v>0</v>
      </c>
      <c r="J14" s="64">
        <v>0</v>
      </c>
      <c r="K14" s="64"/>
      <c r="L14" s="214">
        <v>0</v>
      </c>
      <c r="M14" s="214">
        <v>2431.9499999999998</v>
      </c>
      <c r="N14" s="214">
        <v>0</v>
      </c>
      <c r="O14" s="214">
        <v>148486.65</v>
      </c>
      <c r="P14" s="214">
        <v>0</v>
      </c>
      <c r="Q14" s="214">
        <v>8818.0499999999993</v>
      </c>
      <c r="R14" s="214">
        <v>0</v>
      </c>
      <c r="S14" s="214">
        <v>0</v>
      </c>
      <c r="T14" s="214">
        <v>159736.65</v>
      </c>
    </row>
    <row r="15" spans="1:20">
      <c r="A15" s="66">
        <v>11</v>
      </c>
      <c r="B15" s="78" t="s">
        <v>173</v>
      </c>
      <c r="C15" s="79"/>
      <c r="D15" s="217">
        <v>12.493</v>
      </c>
      <c r="E15" s="217">
        <v>0</v>
      </c>
      <c r="F15" s="217">
        <v>2296.9029999999998</v>
      </c>
      <c r="G15" s="213">
        <v>0</v>
      </c>
      <c r="H15" s="213">
        <v>62.506999999999998</v>
      </c>
      <c r="I15" s="63">
        <v>0</v>
      </c>
      <c r="J15" s="64">
        <v>0</v>
      </c>
      <c r="K15" s="64"/>
      <c r="L15" s="214">
        <v>0</v>
      </c>
      <c r="M15" s="214">
        <v>1873.95</v>
      </c>
      <c r="N15" s="214">
        <v>0</v>
      </c>
      <c r="O15" s="214">
        <v>149298.70000000001</v>
      </c>
      <c r="P15" s="214">
        <v>0</v>
      </c>
      <c r="Q15" s="214">
        <v>9376.0499999999993</v>
      </c>
      <c r="R15" s="214">
        <v>0</v>
      </c>
      <c r="S15" s="214">
        <v>0</v>
      </c>
      <c r="T15" s="214">
        <v>160548.70000000001</v>
      </c>
    </row>
    <row r="16" spans="1:20">
      <c r="A16" s="66">
        <v>12</v>
      </c>
      <c r="B16" s="78" t="s">
        <v>174</v>
      </c>
      <c r="C16" s="79"/>
      <c r="D16" s="217">
        <v>0</v>
      </c>
      <c r="E16" s="217">
        <v>0</v>
      </c>
      <c r="F16" s="217">
        <v>2296.9029999999998</v>
      </c>
      <c r="G16" s="213">
        <v>0</v>
      </c>
      <c r="H16" s="213">
        <v>75</v>
      </c>
      <c r="I16" s="63">
        <v>0</v>
      </c>
      <c r="J16" s="64">
        <v>0</v>
      </c>
      <c r="K16" s="69"/>
      <c r="L16" s="214">
        <v>0</v>
      </c>
      <c r="M16" s="214">
        <v>0</v>
      </c>
      <c r="N16" s="214">
        <v>0</v>
      </c>
      <c r="O16" s="214">
        <v>149298.70000000001</v>
      </c>
      <c r="P16" s="214">
        <v>0</v>
      </c>
      <c r="Q16" s="214">
        <v>11250</v>
      </c>
      <c r="R16" s="214">
        <v>0</v>
      </c>
      <c r="S16" s="214">
        <v>0</v>
      </c>
      <c r="T16" s="214">
        <v>160548.70000000001</v>
      </c>
    </row>
    <row r="17" spans="1:20">
      <c r="A17" s="66">
        <v>13</v>
      </c>
      <c r="B17" s="78" t="s">
        <v>175</v>
      </c>
      <c r="C17" s="79"/>
      <c r="D17" s="217">
        <v>0</v>
      </c>
      <c r="E17" s="217">
        <v>0</v>
      </c>
      <c r="F17" s="217">
        <v>2296.9029999999998</v>
      </c>
      <c r="G17" s="213">
        <v>0</v>
      </c>
      <c r="H17" s="213">
        <v>75</v>
      </c>
      <c r="I17" s="63">
        <v>0</v>
      </c>
      <c r="J17" s="64">
        <v>0</v>
      </c>
      <c r="K17" s="64"/>
      <c r="L17" s="214">
        <v>0</v>
      </c>
      <c r="M17" s="214">
        <v>0</v>
      </c>
      <c r="N17" s="214">
        <v>0</v>
      </c>
      <c r="O17" s="214">
        <v>149298.70000000001</v>
      </c>
      <c r="P17" s="214">
        <v>0</v>
      </c>
      <c r="Q17" s="214">
        <v>11250</v>
      </c>
      <c r="R17" s="214">
        <v>0</v>
      </c>
      <c r="S17" s="214">
        <v>0</v>
      </c>
      <c r="T17" s="214">
        <v>160548.70000000001</v>
      </c>
    </row>
    <row r="18" spans="1:20">
      <c r="A18" s="66">
        <v>14</v>
      </c>
      <c r="B18" s="78" t="s">
        <v>176</v>
      </c>
      <c r="C18" s="79"/>
      <c r="D18" s="217">
        <v>0</v>
      </c>
      <c r="E18" s="217">
        <v>0</v>
      </c>
      <c r="F18" s="217">
        <v>2296.9029999999998</v>
      </c>
      <c r="G18" s="213">
        <v>0</v>
      </c>
      <c r="H18" s="213">
        <v>75</v>
      </c>
      <c r="I18" s="63">
        <v>0</v>
      </c>
      <c r="J18" s="64">
        <v>0</v>
      </c>
      <c r="K18" s="64"/>
      <c r="L18" s="214">
        <v>0</v>
      </c>
      <c r="M18" s="214">
        <v>0</v>
      </c>
      <c r="N18" s="214">
        <v>0</v>
      </c>
      <c r="O18" s="214">
        <v>149298.70000000001</v>
      </c>
      <c r="P18" s="214">
        <v>0</v>
      </c>
      <c r="Q18" s="214">
        <v>11250</v>
      </c>
      <c r="R18" s="214">
        <v>0</v>
      </c>
      <c r="S18" s="214">
        <v>0</v>
      </c>
      <c r="T18" s="214">
        <v>160548.70000000001</v>
      </c>
    </row>
    <row r="19" spans="1:20">
      <c r="A19" s="66">
        <v>15</v>
      </c>
      <c r="B19" s="78" t="s">
        <v>177</v>
      </c>
      <c r="C19" s="79"/>
      <c r="D19" s="217">
        <v>95.498999999999995</v>
      </c>
      <c r="E19" s="217">
        <v>0</v>
      </c>
      <c r="F19" s="217">
        <v>2392.402</v>
      </c>
      <c r="G19" s="213">
        <v>0</v>
      </c>
      <c r="H19" s="213">
        <v>0</v>
      </c>
      <c r="I19" s="63">
        <v>0</v>
      </c>
      <c r="J19" s="64">
        <v>0</v>
      </c>
      <c r="K19" s="64"/>
      <c r="L19" s="214">
        <v>0</v>
      </c>
      <c r="M19" s="214">
        <v>14324.85</v>
      </c>
      <c r="N19" s="214">
        <v>0</v>
      </c>
      <c r="O19" s="214">
        <v>155506.13</v>
      </c>
      <c r="P19" s="214">
        <v>0</v>
      </c>
      <c r="Q19" s="214">
        <v>0</v>
      </c>
      <c r="R19" s="214">
        <v>0</v>
      </c>
      <c r="S19" s="214">
        <v>0</v>
      </c>
      <c r="T19" s="214">
        <v>169830.98</v>
      </c>
    </row>
    <row r="20" spans="1:20">
      <c r="A20" s="66">
        <v>16</v>
      </c>
      <c r="B20" s="78" t="s">
        <v>178</v>
      </c>
      <c r="C20" s="79"/>
      <c r="D20" s="217">
        <v>16.196999999999999</v>
      </c>
      <c r="E20" s="217">
        <v>0</v>
      </c>
      <c r="F20" s="217">
        <v>2408.5990000000002</v>
      </c>
      <c r="G20" s="213">
        <v>0</v>
      </c>
      <c r="H20" s="213">
        <v>58.802999999999997</v>
      </c>
      <c r="I20" s="63">
        <v>0</v>
      </c>
      <c r="J20" s="64">
        <v>0</v>
      </c>
      <c r="K20" s="64"/>
      <c r="L20" s="214">
        <v>0</v>
      </c>
      <c r="M20" s="214">
        <v>2429.5500000000002</v>
      </c>
      <c r="N20" s="214">
        <v>0</v>
      </c>
      <c r="O20" s="214">
        <v>156558.94</v>
      </c>
      <c r="P20" s="214">
        <v>0</v>
      </c>
      <c r="Q20" s="214">
        <v>8820.4500000000007</v>
      </c>
      <c r="R20" s="214">
        <v>0</v>
      </c>
      <c r="S20" s="214">
        <v>0</v>
      </c>
      <c r="T20" s="214">
        <v>167808.94</v>
      </c>
    </row>
    <row r="21" spans="1:20">
      <c r="A21" s="66">
        <v>17</v>
      </c>
      <c r="B21" s="78" t="s">
        <v>179</v>
      </c>
      <c r="C21" s="79"/>
      <c r="D21" s="217">
        <v>16.059000000000001</v>
      </c>
      <c r="E21" s="217">
        <v>0</v>
      </c>
      <c r="F21" s="217">
        <v>2424.6579999999999</v>
      </c>
      <c r="G21" s="213">
        <v>0</v>
      </c>
      <c r="H21" s="213">
        <v>58.941000000000003</v>
      </c>
      <c r="I21" s="63">
        <v>0</v>
      </c>
      <c r="J21" s="64">
        <v>0</v>
      </c>
      <c r="K21" s="64"/>
      <c r="L21" s="214">
        <v>0</v>
      </c>
      <c r="M21" s="214">
        <v>2408.85</v>
      </c>
      <c r="N21" s="214">
        <v>0</v>
      </c>
      <c r="O21" s="214">
        <v>157602.76999999999</v>
      </c>
      <c r="P21" s="214">
        <v>0</v>
      </c>
      <c r="Q21" s="214">
        <v>8841.15</v>
      </c>
      <c r="R21" s="214">
        <v>0</v>
      </c>
      <c r="S21" s="214">
        <v>0</v>
      </c>
      <c r="T21" s="214">
        <v>168852.77</v>
      </c>
    </row>
    <row r="22" spans="1:20">
      <c r="A22" s="66">
        <v>18</v>
      </c>
      <c r="B22" s="78" t="s">
        <v>180</v>
      </c>
      <c r="C22" s="79"/>
      <c r="D22" s="217">
        <v>0</v>
      </c>
      <c r="E22" s="217">
        <v>19.670000000000002</v>
      </c>
      <c r="F22" s="217">
        <v>2404.9879999999998</v>
      </c>
      <c r="G22" s="213">
        <v>0</v>
      </c>
      <c r="H22" s="213">
        <v>55.33</v>
      </c>
      <c r="I22" s="63">
        <v>0</v>
      </c>
      <c r="J22" s="64">
        <v>0</v>
      </c>
      <c r="K22" s="64"/>
      <c r="L22" s="214">
        <v>0</v>
      </c>
      <c r="M22" s="214">
        <v>0</v>
      </c>
      <c r="N22" s="214">
        <v>2950.5</v>
      </c>
      <c r="O22" s="214">
        <v>156324.22</v>
      </c>
      <c r="P22" s="214">
        <v>0</v>
      </c>
      <c r="Q22" s="214">
        <v>8299.5</v>
      </c>
      <c r="R22" s="214">
        <v>0</v>
      </c>
      <c r="S22" s="214">
        <v>0</v>
      </c>
      <c r="T22" s="214">
        <v>167574.22</v>
      </c>
    </row>
    <row r="23" spans="1:20">
      <c r="A23" s="66">
        <v>19</v>
      </c>
      <c r="B23" s="78" t="s">
        <v>181</v>
      </c>
      <c r="C23" s="79"/>
      <c r="D23" s="217">
        <v>0</v>
      </c>
      <c r="E23" s="217">
        <v>11.061999999999999</v>
      </c>
      <c r="F23" s="217">
        <v>2393.9259999999999</v>
      </c>
      <c r="G23" s="213">
        <v>0</v>
      </c>
      <c r="H23" s="213">
        <v>63.938000000000002</v>
      </c>
      <c r="I23" s="63">
        <v>0</v>
      </c>
      <c r="J23" s="64">
        <v>0</v>
      </c>
      <c r="K23" s="64"/>
      <c r="L23" s="214">
        <v>0</v>
      </c>
      <c r="M23" s="214">
        <v>0</v>
      </c>
      <c r="N23" s="214">
        <v>1659.3</v>
      </c>
      <c r="O23" s="214">
        <v>155605.19</v>
      </c>
      <c r="P23" s="214">
        <v>0</v>
      </c>
      <c r="Q23" s="214">
        <v>9590.7000000000007</v>
      </c>
      <c r="R23" s="214">
        <v>0</v>
      </c>
      <c r="S23" s="214">
        <v>0</v>
      </c>
      <c r="T23" s="214">
        <v>166855.19</v>
      </c>
    </row>
    <row r="24" spans="1:20">
      <c r="A24" s="66">
        <v>20</v>
      </c>
      <c r="B24" s="78" t="s">
        <v>182</v>
      </c>
      <c r="C24" s="79"/>
      <c r="D24" s="217">
        <v>0</v>
      </c>
      <c r="E24" s="217">
        <v>0</v>
      </c>
      <c r="F24" s="217">
        <v>2393.9259999999999</v>
      </c>
      <c r="G24" s="213">
        <v>0</v>
      </c>
      <c r="H24" s="213">
        <v>75</v>
      </c>
      <c r="I24" s="63">
        <v>0</v>
      </c>
      <c r="J24" s="64">
        <v>0</v>
      </c>
      <c r="K24" s="64"/>
      <c r="L24" s="214">
        <v>0</v>
      </c>
      <c r="M24" s="214">
        <v>0</v>
      </c>
      <c r="N24" s="214">
        <v>0</v>
      </c>
      <c r="O24" s="214">
        <v>155605.19</v>
      </c>
      <c r="P24" s="214">
        <v>0</v>
      </c>
      <c r="Q24" s="214">
        <v>11250</v>
      </c>
      <c r="R24" s="214">
        <v>0</v>
      </c>
      <c r="S24" s="214">
        <v>0</v>
      </c>
      <c r="T24" s="214">
        <v>166855.19</v>
      </c>
    </row>
    <row r="25" spans="1:20">
      <c r="A25" s="66">
        <v>21</v>
      </c>
      <c r="B25" s="78" t="s">
        <v>183</v>
      </c>
      <c r="C25" s="79"/>
      <c r="D25" s="217">
        <v>0</v>
      </c>
      <c r="E25" s="217">
        <v>0</v>
      </c>
      <c r="F25" s="217">
        <v>2393.9259999999999</v>
      </c>
      <c r="G25" s="213">
        <v>0</v>
      </c>
      <c r="H25" s="213">
        <v>75</v>
      </c>
      <c r="I25" s="63">
        <v>0</v>
      </c>
      <c r="J25" s="64">
        <v>0</v>
      </c>
      <c r="K25" s="64"/>
      <c r="L25" s="214">
        <v>0</v>
      </c>
      <c r="M25" s="214">
        <v>0</v>
      </c>
      <c r="N25" s="214">
        <v>0</v>
      </c>
      <c r="O25" s="214">
        <v>155605.19</v>
      </c>
      <c r="P25" s="214">
        <v>0</v>
      </c>
      <c r="Q25" s="214">
        <v>11250</v>
      </c>
      <c r="R25" s="214">
        <v>0</v>
      </c>
      <c r="S25" s="214">
        <v>0</v>
      </c>
      <c r="T25" s="214">
        <v>166855.19</v>
      </c>
    </row>
    <row r="26" spans="1:20">
      <c r="A26" s="66">
        <v>22</v>
      </c>
      <c r="B26" s="78" t="s">
        <v>184</v>
      </c>
      <c r="C26" s="79"/>
      <c r="D26" s="217">
        <v>0</v>
      </c>
      <c r="E26" s="217">
        <v>0</v>
      </c>
      <c r="F26" s="217">
        <v>2393.9259999999999</v>
      </c>
      <c r="G26" s="213">
        <v>0</v>
      </c>
      <c r="H26" s="213">
        <v>75</v>
      </c>
      <c r="I26" s="63">
        <v>0</v>
      </c>
      <c r="J26" s="64">
        <v>0</v>
      </c>
      <c r="K26" s="64"/>
      <c r="L26" s="214">
        <v>0</v>
      </c>
      <c r="M26" s="214">
        <v>0</v>
      </c>
      <c r="N26" s="214">
        <v>0</v>
      </c>
      <c r="O26" s="214">
        <v>155605.19</v>
      </c>
      <c r="P26" s="214">
        <v>0</v>
      </c>
      <c r="Q26" s="214">
        <v>11250</v>
      </c>
      <c r="R26" s="214">
        <v>0</v>
      </c>
      <c r="S26" s="214">
        <v>0</v>
      </c>
      <c r="T26" s="214">
        <v>166855.19</v>
      </c>
    </row>
    <row r="27" spans="1:20">
      <c r="A27" s="66">
        <v>23</v>
      </c>
      <c r="B27" s="78" t="s">
        <v>185</v>
      </c>
      <c r="C27" s="79"/>
      <c r="D27" s="217">
        <v>0</v>
      </c>
      <c r="E27" s="217">
        <v>0</v>
      </c>
      <c r="F27" s="217">
        <v>2393.9259999999999</v>
      </c>
      <c r="G27" s="213">
        <v>0</v>
      </c>
      <c r="H27" s="213">
        <v>75</v>
      </c>
      <c r="I27" s="63">
        <v>0</v>
      </c>
      <c r="J27" s="64">
        <v>0</v>
      </c>
      <c r="K27" s="64"/>
      <c r="L27" s="214">
        <v>0</v>
      </c>
      <c r="M27" s="214">
        <v>0</v>
      </c>
      <c r="N27" s="214">
        <v>0</v>
      </c>
      <c r="O27" s="214">
        <v>155605.19</v>
      </c>
      <c r="P27" s="214">
        <v>0</v>
      </c>
      <c r="Q27" s="214">
        <v>11250</v>
      </c>
      <c r="R27" s="214">
        <v>0</v>
      </c>
      <c r="S27" s="214">
        <v>0</v>
      </c>
      <c r="T27" s="214">
        <v>166855.19</v>
      </c>
    </row>
    <row r="28" spans="1:20">
      <c r="A28" s="66">
        <v>24</v>
      </c>
      <c r="B28" s="78" t="s">
        <v>186</v>
      </c>
      <c r="C28" s="79"/>
      <c r="D28" s="217">
        <v>8.5269999999999992</v>
      </c>
      <c r="E28" s="217">
        <v>32.133000000000003</v>
      </c>
      <c r="F28" s="217">
        <v>2370.3200000000002</v>
      </c>
      <c r="G28" s="213">
        <v>0</v>
      </c>
      <c r="H28" s="213">
        <v>34.339999999999996</v>
      </c>
      <c r="I28" s="63">
        <v>0</v>
      </c>
      <c r="J28" s="64">
        <v>0</v>
      </c>
      <c r="K28" s="64"/>
      <c r="L28" s="214">
        <v>0</v>
      </c>
      <c r="M28" s="214">
        <v>1279.05</v>
      </c>
      <c r="N28" s="214">
        <v>4819.95</v>
      </c>
      <c r="O28" s="214">
        <v>154070.79999999999</v>
      </c>
      <c r="P28" s="214">
        <v>0</v>
      </c>
      <c r="Q28" s="214">
        <v>5151</v>
      </c>
      <c r="R28" s="214">
        <v>0</v>
      </c>
      <c r="S28" s="214">
        <v>0</v>
      </c>
      <c r="T28" s="214">
        <v>165320.79999999999</v>
      </c>
    </row>
    <row r="29" spans="1:20">
      <c r="A29" s="66">
        <v>25</v>
      </c>
      <c r="B29" s="78" t="s">
        <v>187</v>
      </c>
      <c r="C29" s="79"/>
      <c r="D29" s="217">
        <v>8.44</v>
      </c>
      <c r="E29" s="217">
        <v>40.42</v>
      </c>
      <c r="F29" s="217">
        <v>2338.34</v>
      </c>
      <c r="G29" s="213">
        <v>0</v>
      </c>
      <c r="H29" s="213">
        <v>26.14</v>
      </c>
      <c r="I29" s="63">
        <v>0</v>
      </c>
      <c r="J29" s="64">
        <v>0</v>
      </c>
      <c r="K29" s="64"/>
      <c r="L29" s="214">
        <v>0</v>
      </c>
      <c r="M29" s="214">
        <v>1266</v>
      </c>
      <c r="N29" s="214">
        <v>6063</v>
      </c>
      <c r="O29" s="214">
        <v>151992.1</v>
      </c>
      <c r="P29" s="214">
        <v>0</v>
      </c>
      <c r="Q29" s="214">
        <v>3921</v>
      </c>
      <c r="R29" s="214">
        <v>0</v>
      </c>
      <c r="S29" s="214">
        <v>0</v>
      </c>
      <c r="T29" s="214">
        <v>163242.1</v>
      </c>
    </row>
    <row r="30" spans="1:20">
      <c r="A30" s="66">
        <v>26</v>
      </c>
      <c r="B30" s="78" t="s">
        <v>188</v>
      </c>
      <c r="C30" s="79"/>
      <c r="D30" s="217">
        <v>46.061</v>
      </c>
      <c r="E30" s="217">
        <v>10.856</v>
      </c>
      <c r="F30" s="217">
        <v>2373.5450000000001</v>
      </c>
      <c r="G30" s="213">
        <v>0</v>
      </c>
      <c r="H30" s="213">
        <v>18.083000000000006</v>
      </c>
      <c r="I30" s="63">
        <v>0</v>
      </c>
      <c r="J30" s="64">
        <v>0</v>
      </c>
      <c r="K30" s="64"/>
      <c r="L30" s="214">
        <v>0</v>
      </c>
      <c r="M30" s="214">
        <v>6909.15</v>
      </c>
      <c r="N30" s="214">
        <v>1628.4</v>
      </c>
      <c r="O30" s="214">
        <v>154280.43</v>
      </c>
      <c r="P30" s="214">
        <v>0</v>
      </c>
      <c r="Q30" s="214">
        <v>2712.45</v>
      </c>
      <c r="R30" s="214">
        <v>0</v>
      </c>
      <c r="S30" s="214">
        <v>0</v>
      </c>
      <c r="T30" s="214">
        <v>165530.43</v>
      </c>
    </row>
    <row r="31" spans="1:20">
      <c r="A31" s="66">
        <v>27</v>
      </c>
      <c r="B31" s="78" t="s">
        <v>189</v>
      </c>
      <c r="C31" s="79"/>
      <c r="D31" s="217">
        <v>0</v>
      </c>
      <c r="E31" s="217">
        <v>0</v>
      </c>
      <c r="F31" s="217">
        <v>2373.5450000000001</v>
      </c>
      <c r="G31" s="213">
        <v>0</v>
      </c>
      <c r="H31" s="213">
        <v>75</v>
      </c>
      <c r="I31" s="63">
        <v>0</v>
      </c>
      <c r="J31" s="64">
        <v>0</v>
      </c>
      <c r="K31" s="64"/>
      <c r="L31" s="214">
        <v>0</v>
      </c>
      <c r="M31" s="214">
        <v>0</v>
      </c>
      <c r="N31" s="214">
        <v>0</v>
      </c>
      <c r="O31" s="214">
        <v>154280.43</v>
      </c>
      <c r="P31" s="214">
        <v>0</v>
      </c>
      <c r="Q31" s="214">
        <v>11250</v>
      </c>
      <c r="R31" s="214">
        <v>0</v>
      </c>
      <c r="S31" s="214">
        <v>0</v>
      </c>
      <c r="T31" s="214">
        <v>165530.43</v>
      </c>
    </row>
    <row r="32" spans="1:20">
      <c r="A32" s="66">
        <v>28</v>
      </c>
      <c r="B32" s="78" t="s">
        <v>190</v>
      </c>
      <c r="C32" s="79"/>
      <c r="D32" s="217">
        <v>0</v>
      </c>
      <c r="E32" s="217">
        <v>0</v>
      </c>
      <c r="F32" s="217">
        <v>2373.5450000000001</v>
      </c>
      <c r="G32" s="213">
        <v>0</v>
      </c>
      <c r="H32" s="213">
        <v>75</v>
      </c>
      <c r="I32" s="63">
        <v>0</v>
      </c>
      <c r="J32" s="64">
        <v>0</v>
      </c>
      <c r="K32" s="64"/>
      <c r="L32" s="214">
        <v>0</v>
      </c>
      <c r="M32" s="214">
        <v>0</v>
      </c>
      <c r="N32" s="214">
        <v>0</v>
      </c>
      <c r="O32" s="214">
        <v>154280.43</v>
      </c>
      <c r="P32" s="214">
        <v>0</v>
      </c>
      <c r="Q32" s="214">
        <v>11250</v>
      </c>
      <c r="R32" s="214">
        <v>0</v>
      </c>
      <c r="S32" s="214">
        <v>0</v>
      </c>
      <c r="T32" s="214">
        <v>165530.43</v>
      </c>
    </row>
    <row r="33" spans="1:20">
      <c r="A33" s="66">
        <v>29</v>
      </c>
      <c r="B33" s="78" t="s">
        <v>191</v>
      </c>
      <c r="C33" s="79"/>
      <c r="D33" s="217">
        <v>26.748000000000001</v>
      </c>
      <c r="E33" s="217">
        <v>0</v>
      </c>
      <c r="F33" s="217">
        <v>2400.2930000000001</v>
      </c>
      <c r="G33" s="213">
        <v>0</v>
      </c>
      <c r="H33" s="213">
        <v>48.251999999999995</v>
      </c>
      <c r="I33" s="63">
        <v>0</v>
      </c>
      <c r="J33" s="64">
        <v>0</v>
      </c>
      <c r="K33" s="64"/>
      <c r="L33" s="214">
        <v>0</v>
      </c>
      <c r="M33" s="214">
        <v>4012.2</v>
      </c>
      <c r="N33" s="214">
        <v>0</v>
      </c>
      <c r="O33" s="214">
        <v>156019.04999999999</v>
      </c>
      <c r="P33" s="214">
        <v>0</v>
      </c>
      <c r="Q33" s="214">
        <v>7237.8</v>
      </c>
      <c r="R33" s="214">
        <v>0</v>
      </c>
      <c r="S33" s="214">
        <v>0</v>
      </c>
      <c r="T33" s="214">
        <v>167269.04999999999</v>
      </c>
    </row>
    <row r="34" spans="1:20">
      <c r="A34" s="66">
        <v>30</v>
      </c>
      <c r="B34" s="78" t="s">
        <v>192</v>
      </c>
      <c r="C34" s="79"/>
      <c r="D34" s="217">
        <v>57.216999999999999</v>
      </c>
      <c r="E34" s="217">
        <v>0</v>
      </c>
      <c r="F34" s="217">
        <v>2457.5100000000002</v>
      </c>
      <c r="G34" s="213">
        <v>0</v>
      </c>
      <c r="H34" s="213">
        <v>17.783000000000001</v>
      </c>
      <c r="I34" s="63">
        <v>0</v>
      </c>
      <c r="J34" s="64">
        <v>0</v>
      </c>
      <c r="K34" s="64"/>
      <c r="L34" s="214">
        <v>0</v>
      </c>
      <c r="M34" s="214">
        <v>8582.5499999999993</v>
      </c>
      <c r="N34" s="214">
        <v>0</v>
      </c>
      <c r="O34" s="214">
        <v>159738.15</v>
      </c>
      <c r="P34" s="214">
        <v>0</v>
      </c>
      <c r="Q34" s="214">
        <v>2667.45</v>
      </c>
      <c r="R34" s="214">
        <v>0</v>
      </c>
      <c r="S34" s="214">
        <v>0</v>
      </c>
      <c r="T34" s="214">
        <v>170988.15</v>
      </c>
    </row>
    <row r="35" spans="1:20">
      <c r="A35" s="66">
        <v>31</v>
      </c>
      <c r="B35" s="78"/>
      <c r="C35" s="79"/>
      <c r="D35" s="217">
        <v>0</v>
      </c>
      <c r="E35" s="217">
        <v>0</v>
      </c>
      <c r="F35" s="217">
        <v>0</v>
      </c>
      <c r="G35" s="213">
        <v>0</v>
      </c>
      <c r="H35" s="213">
        <v>0</v>
      </c>
      <c r="I35" s="63">
        <v>0</v>
      </c>
      <c r="J35" s="64">
        <v>0</v>
      </c>
      <c r="K35" s="64"/>
      <c r="L35" s="214">
        <v>0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</row>
    <row r="36" spans="1:20">
      <c r="D36" s="71">
        <v>543.51400000000001</v>
      </c>
      <c r="E36" s="71">
        <v>114.14099999999999</v>
      </c>
      <c r="F36" s="71">
        <v>68956.414999999994</v>
      </c>
      <c r="G36" s="71">
        <v>0</v>
      </c>
      <c r="H36" s="71">
        <v>1612.8440000000001</v>
      </c>
      <c r="I36" s="71">
        <v>0</v>
      </c>
      <c r="J36" s="72">
        <v>0</v>
      </c>
      <c r="K36" s="72">
        <v>0</v>
      </c>
      <c r="L36" s="215">
        <v>0</v>
      </c>
      <c r="M36" s="215">
        <v>81527.100000000006</v>
      </c>
      <c r="N36" s="215">
        <v>17121.150000000001</v>
      </c>
      <c r="O36" s="215">
        <v>4482166.9800000004</v>
      </c>
      <c r="P36" s="215">
        <v>0</v>
      </c>
      <c r="Q36" s="215">
        <v>241926.6</v>
      </c>
      <c r="R36" s="215">
        <v>0</v>
      </c>
      <c r="S36" s="215">
        <v>0</v>
      </c>
      <c r="T36" s="215">
        <v>4822741.83</v>
      </c>
    </row>
    <row r="37" spans="1:20">
      <c r="R37" s="74"/>
      <c r="S37" s="74"/>
      <c r="T37" s="216">
        <v>5883745.0300000003</v>
      </c>
    </row>
  </sheetData>
  <mergeCells count="50"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31:C31"/>
    <mergeCell ref="B20:C20"/>
    <mergeCell ref="B21:C21"/>
    <mergeCell ref="B22:C22"/>
    <mergeCell ref="B23:C23"/>
    <mergeCell ref="B24:C24"/>
    <mergeCell ref="B25:C25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R3:R4"/>
    <mergeCell ref="S3:S4"/>
    <mergeCell ref="T3:T4"/>
    <mergeCell ref="B5:C5"/>
    <mergeCell ref="B6:C6"/>
    <mergeCell ref="B7:C7"/>
    <mergeCell ref="L3:L4"/>
    <mergeCell ref="M3:M4"/>
    <mergeCell ref="N3:N4"/>
    <mergeCell ref="O3:O4"/>
    <mergeCell ref="P3:P4"/>
    <mergeCell ref="Q3:Q4"/>
    <mergeCell ref="A2:K2"/>
    <mergeCell ref="A3:A4"/>
    <mergeCell ref="B3:C4"/>
    <mergeCell ref="D3:D4"/>
    <mergeCell ref="E3:E4"/>
    <mergeCell ref="G3:G4"/>
    <mergeCell ref="H3:H4"/>
    <mergeCell ref="I3:I4"/>
    <mergeCell ref="J3:J4"/>
    <mergeCell ref="K3:K4"/>
  </mergeCells>
  <pageMargins left="0.7" right="0.7" top="0.75" bottom="0.75" header="0.3" footer="0.3"/>
  <pageSetup paperSize="9" fitToHeight="5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B183-97C2-4144-88A8-00E31E102121}">
  <dimension ref="A1:A18"/>
  <sheetViews>
    <sheetView workbookViewId="0">
      <selection activeCell="D31" sqref="D31"/>
    </sheetView>
  </sheetViews>
  <sheetFormatPr defaultRowHeight="15"/>
  <cols>
    <col min="1" max="1" width="14.140625" style="48" customWidth="1"/>
    <col min="2" max="16384" width="9.140625" style="48"/>
  </cols>
  <sheetData>
    <row r="1" spans="1:1">
      <c r="A1" s="219">
        <v>46023</v>
      </c>
    </row>
    <row r="2" spans="1:1">
      <c r="A2" s="219">
        <v>46024</v>
      </c>
    </row>
    <row r="3" spans="1:1">
      <c r="A3" s="219">
        <v>46025</v>
      </c>
    </row>
    <row r="4" spans="1:1">
      <c r="A4" s="219">
        <v>46026</v>
      </c>
    </row>
    <row r="5" spans="1:1">
      <c r="A5" s="219">
        <v>46027</v>
      </c>
    </row>
    <row r="6" spans="1:1">
      <c r="A6" s="219">
        <v>46028</v>
      </c>
    </row>
    <row r="7" spans="1:1">
      <c r="A7" s="219">
        <v>46029</v>
      </c>
    </row>
    <row r="8" spans="1:1">
      <c r="A8" s="219">
        <v>46030</v>
      </c>
    </row>
    <row r="9" spans="1:1">
      <c r="A9" s="219">
        <v>46031</v>
      </c>
    </row>
    <row r="10" spans="1:1">
      <c r="A10" s="219">
        <v>46032</v>
      </c>
    </row>
    <row r="11" spans="1:1">
      <c r="A11" s="219">
        <v>46033</v>
      </c>
    </row>
    <row r="12" spans="1:1">
      <c r="A12" s="219">
        <v>46076</v>
      </c>
    </row>
    <row r="13" spans="1:1">
      <c r="A13" s="219">
        <v>46090</v>
      </c>
    </row>
    <row r="14" spans="1:1">
      <c r="A14" s="219">
        <v>46143</v>
      </c>
    </row>
    <row r="15" spans="1:1">
      <c r="A15" s="219">
        <v>46153</v>
      </c>
    </row>
    <row r="16" spans="1:1">
      <c r="A16" s="219">
        <v>46185</v>
      </c>
    </row>
    <row r="17" spans="1:1">
      <c r="A17" s="219">
        <v>46330</v>
      </c>
    </row>
    <row r="18" spans="1:1">
      <c r="A18" s="219">
        <v>46387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59</vt:i4>
      </vt:variant>
    </vt:vector>
  </HeadingPairs>
  <TitlesOfParts>
    <vt:vector size="59" baseType="lpstr">
      <vt:lpstr>Лист1</vt:lpstr>
      <vt:lpstr>Биаксплен Новосибирск</vt:lpstr>
      <vt:lpstr>ИТОГО</vt:lpstr>
      <vt:lpstr>Другое</vt:lpstr>
      <vt:lpstr>Нижнекамск завод</vt:lpstr>
      <vt:lpstr>Сводка</vt:lpstr>
      <vt:lpstr>Центрополимер Зеленодольск</vt:lpstr>
      <vt:lpstr>Центрополимер Баумана</vt:lpstr>
      <vt:lpstr>Центрополимер Новикова-Прибоя</vt:lpstr>
      <vt:lpstr>Центрополимер Екатеринбург</vt:lpstr>
      <vt:lpstr>Центрополимер Новосибирск</vt:lpstr>
      <vt:lpstr>Юг Полимер Зеленодольск</vt:lpstr>
      <vt:lpstr>Юг Полимер Новикова-Прибоя</vt:lpstr>
      <vt:lpstr>Юг Полимер Баумана</vt:lpstr>
      <vt:lpstr>Приоритет Казань_Автосервисная</vt:lpstr>
      <vt:lpstr>Приоритет Казань_Приволжская</vt:lpstr>
      <vt:lpstr>Приоритет Зеленодольск</vt:lpstr>
      <vt:lpstr>Приоритет Екатеринбург</vt:lpstr>
      <vt:lpstr>Приоритет Новикова-Прибоя</vt:lpstr>
      <vt:lpstr>Приоритет Баумана</vt:lpstr>
      <vt:lpstr>Фармпласт Казань_Автосервисная</vt:lpstr>
      <vt:lpstr>Фармпласт Новосибирск</vt:lpstr>
      <vt:lpstr>Фармпласт Новикова-Прибоя</vt:lpstr>
      <vt:lpstr>Фармпласт Баумана</vt:lpstr>
      <vt:lpstr>Фармпласт Екатеринбург</vt:lpstr>
      <vt:lpstr>Литейные решения</vt:lpstr>
      <vt:lpstr>ЛС-Техномет</vt:lpstr>
      <vt:lpstr>Сандекс</vt:lpstr>
      <vt:lpstr>СтройТех</vt:lpstr>
      <vt:lpstr>Ергарда</vt:lpstr>
      <vt:lpstr>Казань_Приволжская экспорт</vt:lpstr>
      <vt:lpstr>Казань_Автосервисная экспорт</vt:lpstr>
      <vt:lpstr>Казань_Автосервисная Доп услуги</vt:lpstr>
      <vt:lpstr>Екатеринбург экспорт</vt:lpstr>
      <vt:lpstr>Баумана KPI</vt:lpstr>
      <vt:lpstr>Баумана Полимеры</vt:lpstr>
      <vt:lpstr>Баумана Полиом</vt:lpstr>
      <vt:lpstr>Екатеринбург KPI</vt:lpstr>
      <vt:lpstr>Екатеринбург НПЭГ</vt:lpstr>
      <vt:lpstr>Екатеринбург Полимеры</vt:lpstr>
      <vt:lpstr>Екатеринбург Полиом</vt:lpstr>
      <vt:lpstr>ЕкатеринбургЧкаловский KPI</vt:lpstr>
      <vt:lpstr>ЕкатеринбургЧкаловский Полимеры</vt:lpstr>
      <vt:lpstr>ЕкатеринбургЧкаловский Полиом</vt:lpstr>
      <vt:lpstr>Зеленодольск Данафлекс</vt:lpstr>
      <vt:lpstr>Зеленодольск Полимеры</vt:lpstr>
      <vt:lpstr>Зеленодольск Полиом</vt:lpstr>
      <vt:lpstr>Казань_Автосервисная Полимеры</vt:lpstr>
      <vt:lpstr>Казань_Автосервисная Полиом</vt:lpstr>
      <vt:lpstr>Казань_Приволжская Полимеры</vt:lpstr>
      <vt:lpstr>Новикова-Прибоя KPI</vt:lpstr>
      <vt:lpstr>Новикова-Прибоя Полимеры</vt:lpstr>
      <vt:lpstr>Новикова-Прибоя Полиом</vt:lpstr>
      <vt:lpstr>Новосибирск KPI</vt:lpstr>
      <vt:lpstr>Новосибирск Полимеры</vt:lpstr>
      <vt:lpstr>Новосибирск Полиом</vt:lpstr>
      <vt:lpstr>Новосибирск Порошок</vt:lpstr>
      <vt:lpstr>Новосибирск_Пасечная Порошок</vt:lpstr>
      <vt:lpstr>Праздники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2026-07-20T16:07:53Z</dcterms:created>
  <dcterms:modified xsi:type="dcterms:W3CDTF">2026-07-20T16:07:59Z</dcterms:modified>
</cp:coreProperties>
</file>
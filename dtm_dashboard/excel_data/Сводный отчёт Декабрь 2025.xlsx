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CCB6026-2033-4438-B1DA-61A85AE96283}" xr6:coauthVersionLast="47" xr6:coauthVersionMax="47" xr10:uidLastSave="{00000000-0000-0000-0000-000000000000}"/>
  <bookViews>
    <workbookView xWindow="-120" yWindow="-120" windowWidth="29040" windowHeight="15840" firstSheet="2" activeTab="2" xr2:uid="{536134C1-8834-4DD7-BF4B-3AC5C6B3F8D5}"/>
  </bookViews>
  <sheets>
    <sheet name="Лист1" sheetId="1" r:id="rId1"/>
    <sheet name="Биаксплен Новосибирск" sheetId="2" r:id="rId2"/>
    <sheet name="ИТОГО" sheetId="3" r:id="rId3"/>
    <sheet name="Другое" sheetId="4" r:id="rId4"/>
    <sheet name="Нижнекамск завод" sheetId="5" r:id="rId5"/>
    <sheet name="Резерв" sheetId="7" r:id="rId6"/>
    <sheet name="РВ Баумана" sheetId="8" r:id="rId7"/>
    <sheet name="РВ Березовая Пойма" sheetId="10" r:id="rId8"/>
    <sheet name="РВ Новикова-Прибоя" sheetId="11" r:id="rId9"/>
    <sheet name="Нижнекамск экспорт" sheetId="16" r:id="rId10"/>
    <sheet name="Баумана экспорт" sheetId="17" r:id="rId11"/>
    <sheet name="Зеленодольск экспорт" sheetId="18" r:id="rId12"/>
    <sheet name="Литейные решения" sheetId="19" r:id="rId13"/>
    <sheet name="ЛС-Техномет" sheetId="20" r:id="rId14"/>
    <sheet name="Сандекс" sheetId="21" r:id="rId15"/>
    <sheet name="СтройТех" sheetId="22" r:id="rId16"/>
    <sheet name="Доктор Франк" sheetId="23" r:id="rId17"/>
    <sheet name="Ергарда" sheetId="24" r:id="rId18"/>
    <sheet name="Зеленодольск Доп услуги" sheetId="25" r:id="rId19"/>
    <sheet name="Казань_Приволжская экспорт" sheetId="26" r:id="rId20"/>
    <sheet name="Казань_Автосервисная экспорт" sheetId="27" r:id="rId21"/>
    <sheet name="Казань_Автосервисная Доп услуги" sheetId="28" r:id="rId22"/>
    <sheet name="Казань_Приволжская Доп услуги" sheetId="29" r:id="rId23"/>
    <sheet name="Новикова-Прибоя Доп услуги" sheetId="30" r:id="rId24"/>
    <sheet name="Екатеринбург экспорт" sheetId="31" r:id="rId25"/>
    <sheet name="ИП Ксендз Нижнекамск" sheetId="32" r:id="rId26"/>
    <sheet name="Баумана KPI" sheetId="33" r:id="rId27"/>
    <sheet name="Баумана Полимеры" sheetId="34" r:id="rId28"/>
    <sheet name="Баумана Полиом" sheetId="35" r:id="rId29"/>
    <sheet name="Баумана Каучук" sheetId="36" r:id="rId30"/>
    <sheet name="Екатеринбург KPI" sheetId="37" r:id="rId31"/>
    <sheet name="Екатеринбург Полимеры" sheetId="38" r:id="rId32"/>
    <sheet name="Екатеринбург Полиом" sheetId="39" r:id="rId33"/>
    <sheet name="Екатеринбург НПЭГ" sheetId="40" r:id="rId34"/>
    <sheet name="Зеленодольск Полимеры" sheetId="41" r:id="rId35"/>
    <sheet name="Данафлекс Зеленодольск" sheetId="42" r:id="rId36"/>
    <sheet name="Казань_Автосервисная Полимеры" sheetId="43" r:id="rId37"/>
    <sheet name="Казань_Автосервисная Полиом" sheetId="44" r:id="rId38"/>
    <sheet name="Казань_Приволжская Полимеры" sheetId="45" r:id="rId39"/>
    <sheet name="Нижнекамск Каучук" sheetId="46" r:id="rId40"/>
    <sheet name="Нижнекамск НПЭГ" sheetId="47" r:id="rId41"/>
    <sheet name="Нижнекамск ПСОН" sheetId="48" r:id="rId42"/>
    <sheet name="Нижнекамск СБС" sheetId="49" r:id="rId43"/>
    <sheet name="Новикова-Прибоя KPI" sheetId="50" r:id="rId44"/>
    <sheet name="Новикова-Прибоя Полимеры" sheetId="51" r:id="rId45"/>
    <sheet name="Новикова-Прибоя Полиом" sheetId="52" r:id="rId46"/>
    <sheet name="Новосибирск KPI" sheetId="53" r:id="rId47"/>
    <sheet name="Новосибирск Полимеры" sheetId="54" r:id="rId48"/>
    <sheet name="Новосибирск Полиом" sheetId="55" r:id="rId49"/>
    <sheet name="Новосибирск Порошок" sheetId="56" r:id="rId50"/>
    <sheet name="Новосибирск_Пасечная Порошок" sheetId="57" r:id="rId51"/>
    <sheet name="Праздники" sheetId="15" state="hidden" r:id="rId52"/>
    <sheet name="АВР Березовая Пойма" sheetId="14" state="hidden" r:id="rId53"/>
    <sheet name="АВР Новикова" sheetId="13" state="hidden" r:id="rId54"/>
    <sheet name="АВР Баумана" sheetId="12" state="hidden" r:id="rId55"/>
    <sheet name="Окская Мешки" sheetId="9" state="hidden" r:id="rId56"/>
    <sheet name="Общее и резерв" sheetId="6" state="hidden" r:id="rId57"/>
  </sheets>
  <externalReferences>
    <externalReference r:id="rId58"/>
    <externalReference r:id="rId59"/>
    <externalReference r:id="rId6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6" i="52" l="1"/>
  <c r="T36" i="52" s="1"/>
  <c r="T37" i="52" s="1"/>
  <c r="O36" i="51" l="1"/>
  <c r="T36" i="51" s="1"/>
  <c r="T37" i="51" s="1"/>
  <c r="O36" i="50"/>
  <c r="N35" i="50"/>
  <c r="M35" i="50"/>
  <c r="T35" i="50" s="1"/>
  <c r="N34" i="50"/>
  <c r="M34" i="50"/>
  <c r="T34" i="50" s="1"/>
  <c r="N33" i="50"/>
  <c r="M33" i="50"/>
  <c r="T33" i="50" s="1"/>
  <c r="N32" i="50"/>
  <c r="T32" i="50" s="1"/>
  <c r="M32" i="50"/>
  <c r="N31" i="50"/>
  <c r="M31" i="50"/>
  <c r="T31" i="50" s="1"/>
  <c r="N30" i="50"/>
  <c r="M30" i="50"/>
  <c r="T30" i="50" s="1"/>
  <c r="N29" i="50"/>
  <c r="M29" i="50"/>
  <c r="T29" i="50" s="1"/>
  <c r="N28" i="50"/>
  <c r="M28" i="50"/>
  <c r="T28" i="50" s="1"/>
  <c r="N27" i="50"/>
  <c r="M27" i="50"/>
  <c r="T27" i="50" s="1"/>
  <c r="N26" i="50"/>
  <c r="M26" i="50"/>
  <c r="T26" i="50" s="1"/>
  <c r="N25" i="50"/>
  <c r="M25" i="50"/>
  <c r="T25" i="50" s="1"/>
  <c r="N24" i="50"/>
  <c r="M24" i="50"/>
  <c r="T24" i="50" s="1"/>
  <c r="N23" i="50"/>
  <c r="M23" i="50"/>
  <c r="T23" i="50" s="1"/>
  <c r="N22" i="50"/>
  <c r="M22" i="50"/>
  <c r="T22" i="50" s="1"/>
  <c r="T21" i="50"/>
  <c r="N21" i="50"/>
  <c r="M21" i="50"/>
  <c r="N20" i="50"/>
  <c r="M20" i="50"/>
  <c r="T20" i="50" s="1"/>
  <c r="N19" i="50"/>
  <c r="M19" i="50"/>
  <c r="T19" i="50" s="1"/>
  <c r="N18" i="50"/>
  <c r="M18" i="50"/>
  <c r="T18" i="50" s="1"/>
  <c r="N17" i="50"/>
  <c r="M17" i="50"/>
  <c r="T17" i="50" s="1"/>
  <c r="N16" i="50"/>
  <c r="T16" i="50" s="1"/>
  <c r="M16" i="50"/>
  <c r="N15" i="50"/>
  <c r="M15" i="50"/>
  <c r="T15" i="50" s="1"/>
  <c r="N14" i="50"/>
  <c r="M14" i="50"/>
  <c r="T14" i="50" s="1"/>
  <c r="N13" i="50"/>
  <c r="M13" i="50"/>
  <c r="T13" i="50" s="1"/>
  <c r="N12" i="50"/>
  <c r="M12" i="50"/>
  <c r="T12" i="50" s="1"/>
  <c r="N11" i="50"/>
  <c r="M11" i="50"/>
  <c r="T11" i="50" s="1"/>
  <c r="N10" i="50"/>
  <c r="M10" i="50"/>
  <c r="T10" i="50" s="1"/>
  <c r="N9" i="50"/>
  <c r="M9" i="50"/>
  <c r="T9" i="50" s="1"/>
  <c r="N8" i="50"/>
  <c r="M8" i="50"/>
  <c r="T8" i="50" s="1"/>
  <c r="N7" i="50"/>
  <c r="M7" i="50"/>
  <c r="T7" i="50" s="1"/>
  <c r="N6" i="50"/>
  <c r="M6" i="50"/>
  <c r="M36" i="50" s="1"/>
  <c r="T5" i="50"/>
  <c r="N5" i="50"/>
  <c r="N36" i="50" s="1"/>
  <c r="M5" i="50"/>
  <c r="T36" i="50" l="1"/>
  <c r="T37" i="50" s="1"/>
  <c r="T6" i="50"/>
  <c r="H36" i="32"/>
  <c r="G36" i="32"/>
  <c r="E36" i="32"/>
  <c r="D36" i="32"/>
  <c r="M35" i="32"/>
  <c r="L35" i="32"/>
  <c r="J35" i="32"/>
  <c r="I35" i="32"/>
  <c r="M34" i="32"/>
  <c r="L34" i="32"/>
  <c r="J34" i="32"/>
  <c r="I34" i="32"/>
  <c r="M33" i="32"/>
  <c r="L33" i="32"/>
  <c r="J33" i="32"/>
  <c r="I33" i="32"/>
  <c r="M32" i="32"/>
  <c r="L32" i="32"/>
  <c r="J32" i="32"/>
  <c r="I32" i="32"/>
  <c r="M31" i="32"/>
  <c r="L31" i="32"/>
  <c r="J31" i="32"/>
  <c r="I31" i="32"/>
  <c r="F31" i="32"/>
  <c r="F32" i="32" s="1"/>
  <c r="M30" i="32"/>
  <c r="L30" i="32"/>
  <c r="J30" i="32"/>
  <c r="I30" i="32"/>
  <c r="F30" i="32"/>
  <c r="K30" i="32" s="1"/>
  <c r="N30" i="32" s="1"/>
  <c r="M29" i="32"/>
  <c r="L29" i="32"/>
  <c r="K29" i="32"/>
  <c r="J29" i="32"/>
  <c r="I29" i="32"/>
  <c r="N29" i="32" s="1"/>
  <c r="M28" i="32"/>
  <c r="L28" i="32"/>
  <c r="J28" i="32"/>
  <c r="I28" i="32"/>
  <c r="M27" i="32"/>
  <c r="L27" i="32"/>
  <c r="J27" i="32"/>
  <c r="I27" i="32"/>
  <c r="M26" i="32"/>
  <c r="L26" i="32"/>
  <c r="J26" i="32"/>
  <c r="I26" i="32"/>
  <c r="M25" i="32"/>
  <c r="L25" i="32"/>
  <c r="J25" i="32"/>
  <c r="I25" i="32"/>
  <c r="M24" i="32"/>
  <c r="L24" i="32"/>
  <c r="J24" i="32"/>
  <c r="I24" i="32"/>
  <c r="M23" i="32"/>
  <c r="L23" i="32"/>
  <c r="J23" i="32"/>
  <c r="I23" i="32"/>
  <c r="M22" i="32"/>
  <c r="L22" i="32"/>
  <c r="J22" i="32"/>
  <c r="I22" i="32"/>
  <c r="M21" i="32"/>
  <c r="L21" i="32"/>
  <c r="J21" i="32"/>
  <c r="I21" i="32"/>
  <c r="M20" i="32"/>
  <c r="L20" i="32"/>
  <c r="J20" i="32"/>
  <c r="I20" i="32"/>
  <c r="M19" i="32"/>
  <c r="L19" i="32"/>
  <c r="J19" i="32"/>
  <c r="I19" i="32"/>
  <c r="M18" i="32"/>
  <c r="L18" i="32"/>
  <c r="J18" i="32"/>
  <c r="I18" i="32"/>
  <c r="M17" i="32"/>
  <c r="L17" i="32"/>
  <c r="J17" i="32"/>
  <c r="I17" i="32"/>
  <c r="M16" i="32"/>
  <c r="L16" i="32"/>
  <c r="J16" i="32"/>
  <c r="I16" i="32"/>
  <c r="M15" i="32"/>
  <c r="L15" i="32"/>
  <c r="J15" i="32"/>
  <c r="I15" i="32"/>
  <c r="M14" i="32"/>
  <c r="L14" i="32"/>
  <c r="J14" i="32"/>
  <c r="I14" i="32"/>
  <c r="M13" i="32"/>
  <c r="L13" i="32"/>
  <c r="J13" i="32"/>
  <c r="I13" i="32"/>
  <c r="M12" i="32"/>
  <c r="L12" i="32"/>
  <c r="J12" i="32"/>
  <c r="I12" i="32"/>
  <c r="M11" i="32"/>
  <c r="L11" i="32"/>
  <c r="J11" i="32"/>
  <c r="I11" i="32"/>
  <c r="M10" i="32"/>
  <c r="L10" i="32"/>
  <c r="J10" i="32"/>
  <c r="I10" i="32"/>
  <c r="M9" i="32"/>
  <c r="L9" i="32"/>
  <c r="J9" i="32"/>
  <c r="I9" i="32"/>
  <c r="M8" i="32"/>
  <c r="L8" i="32"/>
  <c r="J8" i="32"/>
  <c r="I8" i="32"/>
  <c r="M7" i="32"/>
  <c r="L7" i="32"/>
  <c r="J7" i="32"/>
  <c r="I7" i="32"/>
  <c r="M6" i="32"/>
  <c r="L6" i="32"/>
  <c r="J6" i="32"/>
  <c r="I6" i="32"/>
  <c r="F6" i="32"/>
  <c r="F7" i="32" s="1"/>
  <c r="M5" i="32"/>
  <c r="M36" i="32" s="1"/>
  <c r="L5" i="32"/>
  <c r="L36" i="32" s="1"/>
  <c r="K5" i="32"/>
  <c r="J5" i="32"/>
  <c r="J36" i="32" s="1"/>
  <c r="I5" i="32"/>
  <c r="I36" i="32" s="1"/>
  <c r="A2" i="32"/>
  <c r="K7" i="32" l="1"/>
  <c r="N7" i="32" s="1"/>
  <c r="F8" i="32"/>
  <c r="F33" i="32"/>
  <c r="K32" i="32"/>
  <c r="N32" i="32" s="1"/>
  <c r="N31" i="32"/>
  <c r="K31" i="32"/>
  <c r="N5" i="32"/>
  <c r="K6" i="32"/>
  <c r="N6" i="32" s="1"/>
  <c r="F9" i="32" l="1"/>
  <c r="K8" i="32"/>
  <c r="N8" i="32" s="1"/>
  <c r="F34" i="32"/>
  <c r="K33" i="32"/>
  <c r="N33" i="32" s="1"/>
  <c r="F35" i="32" l="1"/>
  <c r="K35" i="32" s="1"/>
  <c r="N35" i="32" s="1"/>
  <c r="K34" i="32"/>
  <c r="N34" i="32" s="1"/>
  <c r="F10" i="32"/>
  <c r="K9" i="32"/>
  <c r="N9" i="32" s="1"/>
  <c r="F11" i="32" l="1"/>
  <c r="K10" i="32"/>
  <c r="N10" i="32" s="1"/>
  <c r="K11" i="32" l="1"/>
  <c r="N11" i="32" s="1"/>
  <c r="F12" i="32"/>
  <c r="K12" i="32" l="1"/>
  <c r="N12" i="32" s="1"/>
  <c r="F13" i="32"/>
  <c r="F14" i="32" l="1"/>
  <c r="K13" i="32"/>
  <c r="N13" i="32" s="1"/>
  <c r="F15" i="32" l="1"/>
  <c r="K14" i="32"/>
  <c r="N14" i="32" s="1"/>
  <c r="F16" i="32" l="1"/>
  <c r="K15" i="32"/>
  <c r="N15" i="32" s="1"/>
  <c r="F17" i="32" l="1"/>
  <c r="K16" i="32"/>
  <c r="N16" i="32" s="1"/>
  <c r="F18" i="32" l="1"/>
  <c r="K17" i="32"/>
  <c r="N17" i="32" s="1"/>
  <c r="F19" i="32" l="1"/>
  <c r="K18" i="32"/>
  <c r="N18" i="32" s="1"/>
  <c r="K19" i="32" l="1"/>
  <c r="N19" i="32" s="1"/>
  <c r="F20" i="32"/>
  <c r="F21" i="32" l="1"/>
  <c r="K20" i="32"/>
  <c r="N20" i="32" s="1"/>
  <c r="K21" i="32" l="1"/>
  <c r="N21" i="32" s="1"/>
  <c r="F22" i="32"/>
  <c r="F23" i="32" l="1"/>
  <c r="K22" i="32"/>
  <c r="N22" i="32" s="1"/>
  <c r="K23" i="32" l="1"/>
  <c r="N23" i="32" s="1"/>
  <c r="F24" i="32"/>
  <c r="F25" i="32" l="1"/>
  <c r="K24" i="32"/>
  <c r="N24" i="32" s="1"/>
  <c r="F26" i="32" l="1"/>
  <c r="K25" i="32"/>
  <c r="N25" i="32" s="1"/>
  <c r="K26" i="32" l="1"/>
  <c r="N26" i="32" s="1"/>
  <c r="F27" i="32"/>
  <c r="F28" i="32" l="1"/>
  <c r="K27" i="32"/>
  <c r="N27" i="32" s="1"/>
  <c r="K28" i="32" l="1"/>
  <c r="F36" i="32"/>
  <c r="N28" i="32" l="1"/>
  <c r="N36" i="32" s="1"/>
  <c r="N37" i="32" s="1"/>
  <c r="A1" i="32" s="1"/>
  <c r="K36" i="32"/>
  <c r="B14" i="31" l="1"/>
  <c r="F11" i="31"/>
  <c r="G11" i="31" s="1"/>
  <c r="F10" i="31"/>
  <c r="G10" i="31" s="1"/>
  <c r="G12" i="31" s="1"/>
  <c r="A7" i="31"/>
  <c r="A4" i="31"/>
  <c r="A3" i="31"/>
  <c r="F12" i="31" l="1"/>
  <c r="F11" i="30"/>
  <c r="F10" i="30"/>
  <c r="D10" i="30"/>
  <c r="F9" i="30"/>
  <c r="F12" i="30" s="1"/>
  <c r="F13" i="30" s="1"/>
  <c r="F14" i="30" s="1"/>
  <c r="A6" i="30"/>
  <c r="A3" i="30"/>
  <c r="A2" i="30"/>
  <c r="F11" i="29" l="1"/>
  <c r="D10" i="29"/>
  <c r="F10" i="29" s="1"/>
  <c r="F9" i="29"/>
  <c r="F12" i="29" s="1"/>
  <c r="F13" i="29" s="1"/>
  <c r="F14" i="29" s="1"/>
  <c r="A6" i="29"/>
  <c r="A3" i="29"/>
  <c r="A2" i="29"/>
  <c r="F11" i="28" l="1"/>
  <c r="D10" i="28"/>
  <c r="F10" i="28" s="1"/>
  <c r="F9" i="28"/>
  <c r="F12" i="28" s="1"/>
  <c r="F13" i="28" s="1"/>
  <c r="F14" i="28" s="1"/>
  <c r="A6" i="28"/>
  <c r="A3" i="28"/>
  <c r="A2" i="28"/>
  <c r="B14" i="27" l="1"/>
  <c r="F11" i="27"/>
  <c r="G11" i="27" s="1"/>
  <c r="F10" i="27"/>
  <c r="G10" i="27" s="1"/>
  <c r="G12" i="27" s="1"/>
  <c r="A7" i="27"/>
  <c r="A4" i="27"/>
  <c r="A3" i="27"/>
  <c r="F12" i="27" l="1"/>
  <c r="B14" i="26"/>
  <c r="F11" i="26"/>
  <c r="G11" i="26" s="1"/>
  <c r="F10" i="26"/>
  <c r="G10" i="26" s="1"/>
  <c r="G12" i="26" s="1"/>
  <c r="A4" i="26"/>
  <c r="F12" i="26" l="1"/>
  <c r="F11" i="25" l="1"/>
  <c r="D10" i="25"/>
  <c r="F10" i="25" s="1"/>
  <c r="F9" i="25"/>
  <c r="F12" i="25" s="1"/>
  <c r="F13" i="25" s="1"/>
  <c r="F14" i="25" s="1"/>
  <c r="A6" i="25"/>
  <c r="A3" i="25"/>
  <c r="A2" i="25"/>
  <c r="I34" i="24" l="1"/>
  <c r="H34" i="24"/>
  <c r="G34" i="24"/>
  <c r="J34" i="24" s="1"/>
  <c r="I33" i="24"/>
  <c r="H33" i="24"/>
  <c r="G33" i="24"/>
  <c r="J33" i="24" s="1"/>
  <c r="I32" i="24"/>
  <c r="H32" i="24"/>
  <c r="G32" i="24"/>
  <c r="J32" i="24" s="1"/>
  <c r="I31" i="24"/>
  <c r="H31" i="24"/>
  <c r="G31" i="24"/>
  <c r="J31" i="24" s="1"/>
  <c r="I30" i="24"/>
  <c r="H30" i="24"/>
  <c r="G30" i="24"/>
  <c r="J30" i="24" s="1"/>
  <c r="I29" i="24"/>
  <c r="H29" i="24"/>
  <c r="G29" i="24"/>
  <c r="J29" i="24" s="1"/>
  <c r="I28" i="24"/>
  <c r="H28" i="24"/>
  <c r="G28" i="24"/>
  <c r="J28" i="24" s="1"/>
  <c r="I27" i="24"/>
  <c r="H27" i="24"/>
  <c r="G27" i="24"/>
  <c r="J27" i="24" s="1"/>
  <c r="I26" i="24"/>
  <c r="H26" i="24"/>
  <c r="G26" i="24"/>
  <c r="J26" i="24" s="1"/>
  <c r="I25" i="24"/>
  <c r="H25" i="24"/>
  <c r="G25" i="24"/>
  <c r="J25" i="24" s="1"/>
  <c r="I24" i="24"/>
  <c r="H24" i="24"/>
  <c r="G24" i="24"/>
  <c r="J24" i="24" s="1"/>
  <c r="I23" i="24"/>
  <c r="H23" i="24"/>
  <c r="G23" i="24"/>
  <c r="J23" i="24" s="1"/>
  <c r="I22" i="24"/>
  <c r="H22" i="24"/>
  <c r="G22" i="24"/>
  <c r="J22" i="24" s="1"/>
  <c r="I21" i="24"/>
  <c r="H21" i="24"/>
  <c r="G21" i="24"/>
  <c r="J21" i="24" s="1"/>
  <c r="I20" i="24"/>
  <c r="H20" i="24"/>
  <c r="G20" i="24"/>
  <c r="J20" i="24" s="1"/>
  <c r="I19" i="24"/>
  <c r="H19" i="24"/>
  <c r="G19" i="24"/>
  <c r="J19" i="24" s="1"/>
  <c r="I18" i="24"/>
  <c r="H18" i="24"/>
  <c r="G18" i="24"/>
  <c r="J18" i="24" s="1"/>
  <c r="I17" i="24"/>
  <c r="H17" i="24"/>
  <c r="G17" i="24"/>
  <c r="J17" i="24" s="1"/>
  <c r="I16" i="24"/>
  <c r="H16" i="24"/>
  <c r="G16" i="24"/>
  <c r="J16" i="24" s="1"/>
  <c r="I15" i="24"/>
  <c r="H15" i="24"/>
  <c r="G15" i="24"/>
  <c r="J15" i="24" s="1"/>
  <c r="I14" i="24"/>
  <c r="H14" i="24"/>
  <c r="G14" i="24"/>
  <c r="J14" i="24" s="1"/>
  <c r="I13" i="24"/>
  <c r="H13" i="24"/>
  <c r="G13" i="24"/>
  <c r="J13" i="24" s="1"/>
  <c r="I12" i="24"/>
  <c r="H12" i="24"/>
  <c r="G12" i="24"/>
  <c r="J12" i="24" s="1"/>
  <c r="I11" i="24"/>
  <c r="H11" i="24"/>
  <c r="G11" i="24"/>
  <c r="J11" i="24" s="1"/>
  <c r="I10" i="24"/>
  <c r="H10" i="24"/>
  <c r="G10" i="24"/>
  <c r="J10" i="24" s="1"/>
  <c r="I9" i="24"/>
  <c r="H9" i="24"/>
  <c r="G9" i="24"/>
  <c r="J9" i="24" s="1"/>
  <c r="I8" i="24"/>
  <c r="H8" i="24"/>
  <c r="G8" i="24"/>
  <c r="J8" i="24" s="1"/>
  <c r="I7" i="24"/>
  <c r="H7" i="24"/>
  <c r="G7" i="24"/>
  <c r="J7" i="24" s="1"/>
  <c r="I6" i="24"/>
  <c r="H6" i="24"/>
  <c r="G6" i="24"/>
  <c r="J6" i="24" s="1"/>
  <c r="I5" i="24"/>
  <c r="H5" i="24"/>
  <c r="G5" i="24"/>
  <c r="J5" i="24" s="1"/>
  <c r="I4" i="24"/>
  <c r="I35" i="24" s="1"/>
  <c r="H4" i="24"/>
  <c r="H35" i="24" s="1"/>
  <c r="G4" i="24"/>
  <c r="G35" i="24" s="1"/>
  <c r="AE40" i="23"/>
  <c r="N38" i="23"/>
  <c r="M38" i="23"/>
  <c r="L38" i="23"/>
  <c r="J38" i="23"/>
  <c r="I38" i="23"/>
  <c r="H38" i="23"/>
  <c r="G38" i="23"/>
  <c r="F38" i="23"/>
  <c r="E38" i="23"/>
  <c r="D38" i="23"/>
  <c r="C38" i="23"/>
  <c r="AB37" i="23"/>
  <c r="AA37" i="23"/>
  <c r="Z37" i="23"/>
  <c r="Y37" i="23"/>
  <c r="X37" i="23"/>
  <c r="W37" i="23"/>
  <c r="V37" i="23"/>
  <c r="U37" i="23"/>
  <c r="T37" i="23"/>
  <c r="S37" i="23"/>
  <c r="R37" i="23"/>
  <c r="Q37" i="23"/>
  <c r="O37" i="23"/>
  <c r="AC37" i="23" s="1"/>
  <c r="AC36" i="23"/>
  <c r="AB36" i="23"/>
  <c r="AA36" i="23"/>
  <c r="Z36" i="23"/>
  <c r="Y36" i="23"/>
  <c r="X36" i="23"/>
  <c r="W36" i="23"/>
  <c r="V36" i="23"/>
  <c r="U36" i="23"/>
  <c r="T36" i="23"/>
  <c r="S36" i="23"/>
  <c r="R36" i="23"/>
  <c r="Q36" i="23"/>
  <c r="O36" i="23"/>
  <c r="K36" i="23"/>
  <c r="AB35" i="23"/>
  <c r="AA35" i="23"/>
  <c r="Z35" i="23"/>
  <c r="Y35" i="23"/>
  <c r="X35" i="23"/>
  <c r="W35" i="23"/>
  <c r="V35" i="23"/>
  <c r="U35" i="23"/>
  <c r="T35" i="23"/>
  <c r="S35" i="23"/>
  <c r="R35" i="23"/>
  <c r="Q35" i="23"/>
  <c r="O35" i="23"/>
  <c r="AC35" i="23" s="1"/>
  <c r="K35" i="23"/>
  <c r="AC34" i="23"/>
  <c r="AB34" i="23"/>
  <c r="AA34" i="23"/>
  <c r="Z34" i="23"/>
  <c r="Y34" i="23"/>
  <c r="X34" i="23"/>
  <c r="W34" i="23"/>
  <c r="V34" i="23"/>
  <c r="U34" i="23"/>
  <c r="T34" i="23"/>
  <c r="S34" i="23"/>
  <c r="R34" i="23"/>
  <c r="Q34" i="23"/>
  <c r="O34" i="23"/>
  <c r="K34" i="23"/>
  <c r="AC33" i="23"/>
  <c r="AB33" i="23"/>
  <c r="AA33" i="23"/>
  <c r="Z33" i="23"/>
  <c r="Y33" i="23"/>
  <c r="X33" i="23"/>
  <c r="W33" i="23"/>
  <c r="V33" i="23"/>
  <c r="U33" i="23"/>
  <c r="T33" i="23"/>
  <c r="S33" i="23"/>
  <c r="R33" i="23"/>
  <c r="Q33" i="23"/>
  <c r="O33" i="23"/>
  <c r="K33" i="23"/>
  <c r="AC32" i="23"/>
  <c r="AB32" i="23"/>
  <c r="AA32" i="23"/>
  <c r="Z32" i="23"/>
  <c r="Y32" i="23"/>
  <c r="X32" i="23"/>
  <c r="W32" i="23"/>
  <c r="V32" i="23"/>
  <c r="U32" i="23"/>
  <c r="T32" i="23"/>
  <c r="S32" i="23"/>
  <c r="R32" i="23"/>
  <c r="Q32" i="23"/>
  <c r="O32" i="23"/>
  <c r="K32" i="23"/>
  <c r="AC31" i="23"/>
  <c r="AB31" i="23"/>
  <c r="AA31" i="23"/>
  <c r="Z31" i="23"/>
  <c r="X31" i="23"/>
  <c r="W31" i="23"/>
  <c r="V31" i="23"/>
  <c r="U31" i="23"/>
  <c r="T31" i="23"/>
  <c r="S31" i="23"/>
  <c r="R31" i="23"/>
  <c r="Q31" i="23"/>
  <c r="O31" i="23"/>
  <c r="K31" i="23"/>
  <c r="Y31" i="23" s="1"/>
  <c r="AC30" i="23"/>
  <c r="AB30" i="23"/>
  <c r="AA30" i="23"/>
  <c r="Z30" i="23"/>
  <c r="X30" i="23"/>
  <c r="W30" i="23"/>
  <c r="V30" i="23"/>
  <c r="U30" i="23"/>
  <c r="T30" i="23"/>
  <c r="S30" i="23"/>
  <c r="R30" i="23"/>
  <c r="Q30" i="23"/>
  <c r="O30" i="23"/>
  <c r="K30" i="23"/>
  <c r="Y30" i="23" s="1"/>
  <c r="AB29" i="23"/>
  <c r="AA29" i="23"/>
  <c r="Z29" i="23"/>
  <c r="X29" i="23"/>
  <c r="W29" i="23"/>
  <c r="V29" i="23"/>
  <c r="U29" i="23"/>
  <c r="T29" i="23"/>
  <c r="S29" i="23"/>
  <c r="R29" i="23"/>
  <c r="Q29" i="23"/>
  <c r="O29" i="23"/>
  <c r="AC29" i="23" s="1"/>
  <c r="K29" i="23"/>
  <c r="Y29" i="23" s="1"/>
  <c r="AC28" i="23"/>
  <c r="AB28" i="23"/>
  <c r="AA28" i="23"/>
  <c r="Z28" i="23"/>
  <c r="Y28" i="23"/>
  <c r="X28" i="23"/>
  <c r="W28" i="23"/>
  <c r="V28" i="23"/>
  <c r="U28" i="23"/>
  <c r="T28" i="23"/>
  <c r="S28" i="23"/>
  <c r="R28" i="23"/>
  <c r="Q28" i="23"/>
  <c r="O28" i="23"/>
  <c r="K28" i="23"/>
  <c r="AB27" i="23"/>
  <c r="AA27" i="23"/>
  <c r="Z27" i="23"/>
  <c r="Y27" i="23"/>
  <c r="X27" i="23"/>
  <c r="W27" i="23"/>
  <c r="V27" i="23"/>
  <c r="U27" i="23"/>
  <c r="T27" i="23"/>
  <c r="S27" i="23"/>
  <c r="R27" i="23"/>
  <c r="Q27" i="23"/>
  <c r="O27" i="23"/>
  <c r="AC27" i="23" s="1"/>
  <c r="K27" i="23"/>
  <c r="AC26" i="23"/>
  <c r="AB26" i="23"/>
  <c r="AA26" i="23"/>
  <c r="Z26" i="23"/>
  <c r="Y26" i="23"/>
  <c r="X26" i="23"/>
  <c r="W26" i="23"/>
  <c r="V26" i="23"/>
  <c r="U26" i="23"/>
  <c r="T26" i="23"/>
  <c r="S26" i="23"/>
  <c r="R26" i="23"/>
  <c r="Q26" i="23"/>
  <c r="O26" i="23"/>
  <c r="K26" i="23"/>
  <c r="AC25" i="23"/>
  <c r="AB25" i="23"/>
  <c r="AA25" i="23"/>
  <c r="Z25" i="23"/>
  <c r="Y25" i="23"/>
  <c r="X25" i="23"/>
  <c r="W25" i="23"/>
  <c r="V25" i="23"/>
  <c r="U25" i="23"/>
  <c r="T25" i="23"/>
  <c r="S25" i="23"/>
  <c r="R25" i="23"/>
  <c r="Q25" i="23"/>
  <c r="O25" i="23"/>
  <c r="K25" i="23"/>
  <c r="AC24" i="23"/>
  <c r="AB24" i="23"/>
  <c r="AA24" i="23"/>
  <c r="Z24" i="23"/>
  <c r="Y24" i="23"/>
  <c r="X24" i="23"/>
  <c r="W24" i="23"/>
  <c r="V24" i="23"/>
  <c r="U24" i="23"/>
  <c r="T24" i="23"/>
  <c r="S24" i="23"/>
  <c r="R24" i="23"/>
  <c r="Q24" i="23"/>
  <c r="O24" i="23"/>
  <c r="K24" i="23"/>
  <c r="AC23" i="23"/>
  <c r="AB23" i="23"/>
  <c r="AA23" i="23"/>
  <c r="Z23" i="23"/>
  <c r="X23" i="23"/>
  <c r="W23" i="23"/>
  <c r="V23" i="23"/>
  <c r="U23" i="23"/>
  <c r="T23" i="23"/>
  <c r="S23" i="23"/>
  <c r="R23" i="23"/>
  <c r="Q23" i="23"/>
  <c r="O23" i="23"/>
  <c r="K23" i="23"/>
  <c r="Y23" i="23" s="1"/>
  <c r="AC22" i="23"/>
  <c r="AB22" i="23"/>
  <c r="AA22" i="23"/>
  <c r="Z22" i="23"/>
  <c r="X22" i="23"/>
  <c r="W22" i="23"/>
  <c r="V22" i="23"/>
  <c r="U22" i="23"/>
  <c r="T22" i="23"/>
  <c r="S22" i="23"/>
  <c r="R22" i="23"/>
  <c r="Q22" i="23"/>
  <c r="O22" i="23"/>
  <c r="K22" i="23"/>
  <c r="Y22" i="23" s="1"/>
  <c r="AB21" i="23"/>
  <c r="AA21" i="23"/>
  <c r="Z21" i="23"/>
  <c r="X21" i="23"/>
  <c r="W21" i="23"/>
  <c r="V21" i="23"/>
  <c r="U21" i="23"/>
  <c r="T21" i="23"/>
  <c r="S21" i="23"/>
  <c r="R21" i="23"/>
  <c r="Q21" i="23"/>
  <c r="O21" i="23"/>
  <c r="AC21" i="23" s="1"/>
  <c r="K21" i="23"/>
  <c r="Y21" i="23" s="1"/>
  <c r="AB20" i="23"/>
  <c r="AA20" i="23"/>
  <c r="Z20" i="23"/>
  <c r="Y20" i="23"/>
  <c r="X20" i="23"/>
  <c r="W20" i="23"/>
  <c r="V20" i="23"/>
  <c r="U20" i="23"/>
  <c r="T20" i="23"/>
  <c r="S20" i="23"/>
  <c r="R20" i="23"/>
  <c r="Q20" i="23"/>
  <c r="O20" i="23"/>
  <c r="AC20" i="23" s="1"/>
  <c r="K20" i="23"/>
  <c r="AB19" i="23"/>
  <c r="AA19" i="23"/>
  <c r="Z19" i="23"/>
  <c r="Y19" i="23"/>
  <c r="X19" i="23"/>
  <c r="W19" i="23"/>
  <c r="V19" i="23"/>
  <c r="U19" i="23"/>
  <c r="T19" i="23"/>
  <c r="S19" i="23"/>
  <c r="R19" i="23"/>
  <c r="Q19" i="23"/>
  <c r="O19" i="23"/>
  <c r="AC19" i="23" s="1"/>
  <c r="K19" i="23"/>
  <c r="AC18" i="23"/>
  <c r="AB18" i="23"/>
  <c r="AA18" i="23"/>
  <c r="Z18" i="23"/>
  <c r="Y18" i="23"/>
  <c r="X18" i="23"/>
  <c r="W18" i="23"/>
  <c r="V18" i="23"/>
  <c r="U18" i="23"/>
  <c r="T18" i="23"/>
  <c r="S18" i="23"/>
  <c r="R18" i="23"/>
  <c r="Q18" i="23"/>
  <c r="O18" i="23"/>
  <c r="K18" i="23"/>
  <c r="AC17" i="23"/>
  <c r="AB17" i="23"/>
  <c r="AA17" i="23"/>
  <c r="Z17" i="23"/>
  <c r="Y17" i="23"/>
  <c r="X17" i="23"/>
  <c r="W17" i="23"/>
  <c r="V17" i="23"/>
  <c r="U17" i="23"/>
  <c r="T17" i="23"/>
  <c r="S17" i="23"/>
  <c r="R17" i="23"/>
  <c r="Q17" i="23"/>
  <c r="O17" i="23"/>
  <c r="K17" i="23"/>
  <c r="AC16" i="23"/>
  <c r="AB16" i="23"/>
  <c r="AA16" i="23"/>
  <c r="Z16" i="23"/>
  <c r="Y16" i="23"/>
  <c r="X16" i="23"/>
  <c r="W16" i="23"/>
  <c r="V16" i="23"/>
  <c r="U16" i="23"/>
  <c r="T16" i="23"/>
  <c r="S16" i="23"/>
  <c r="R16" i="23"/>
  <c r="Q16" i="23"/>
  <c r="O16" i="23"/>
  <c r="K16" i="23"/>
  <c r="AC15" i="23"/>
  <c r="AB15" i="23"/>
  <c r="AA15" i="23"/>
  <c r="Z15" i="23"/>
  <c r="X15" i="23"/>
  <c r="W15" i="23"/>
  <c r="V15" i="23"/>
  <c r="U15" i="23"/>
  <c r="T15" i="23"/>
  <c r="S15" i="23"/>
  <c r="R15" i="23"/>
  <c r="Q15" i="23"/>
  <c r="O15" i="23"/>
  <c r="K15" i="23"/>
  <c r="Y15" i="23" s="1"/>
  <c r="AC14" i="23"/>
  <c r="AB14" i="23"/>
  <c r="AA14" i="23"/>
  <c r="Z14" i="23"/>
  <c r="X14" i="23"/>
  <c r="W14" i="23"/>
  <c r="V14" i="23"/>
  <c r="U14" i="23"/>
  <c r="T14" i="23"/>
  <c r="S14" i="23"/>
  <c r="R14" i="23"/>
  <c r="Q14" i="23"/>
  <c r="O14" i="23"/>
  <c r="K14" i="23"/>
  <c r="Y14" i="23" s="1"/>
  <c r="AB13" i="23"/>
  <c r="AA13" i="23"/>
  <c r="Z13" i="23"/>
  <c r="X13" i="23"/>
  <c r="W13" i="23"/>
  <c r="V13" i="23"/>
  <c r="U13" i="23"/>
  <c r="T13" i="23"/>
  <c r="S13" i="23"/>
  <c r="R13" i="23"/>
  <c r="Q13" i="23"/>
  <c r="O13" i="23"/>
  <c r="AC13" i="23" s="1"/>
  <c r="K13" i="23"/>
  <c r="Y13" i="23" s="1"/>
  <c r="AC12" i="23"/>
  <c r="AB12" i="23"/>
  <c r="AA12" i="23"/>
  <c r="Z12" i="23"/>
  <c r="Y12" i="23"/>
  <c r="X12" i="23"/>
  <c r="W12" i="23"/>
  <c r="V12" i="23"/>
  <c r="U12" i="23"/>
  <c r="T12" i="23"/>
  <c r="S12" i="23"/>
  <c r="R12" i="23"/>
  <c r="Q12" i="23"/>
  <c r="O12" i="23"/>
  <c r="K12" i="23"/>
  <c r="AB11" i="23"/>
  <c r="AA11" i="23"/>
  <c r="Z11" i="23"/>
  <c r="Y11" i="23"/>
  <c r="X11" i="23"/>
  <c r="W11" i="23"/>
  <c r="V11" i="23"/>
  <c r="U11" i="23"/>
  <c r="T11" i="23"/>
  <c r="S11" i="23"/>
  <c r="S38" i="23" s="1"/>
  <c r="R11" i="23"/>
  <c r="Q11" i="23"/>
  <c r="O11" i="23"/>
  <c r="AC11" i="23" s="1"/>
  <c r="K11" i="23"/>
  <c r="AC10" i="23"/>
  <c r="AB10" i="23"/>
  <c r="AA10" i="23"/>
  <c r="Z10" i="23"/>
  <c r="Y10" i="23"/>
  <c r="X10" i="23"/>
  <c r="W10" i="23"/>
  <c r="V10" i="23"/>
  <c r="U10" i="23"/>
  <c r="U38" i="23" s="1"/>
  <c r="T10" i="23"/>
  <c r="T38" i="23" s="1"/>
  <c r="S10" i="23"/>
  <c r="R10" i="23"/>
  <c r="Q10" i="23"/>
  <c r="O10" i="23"/>
  <c r="K10" i="23"/>
  <c r="AC9" i="23"/>
  <c r="AB9" i="23"/>
  <c r="AA9" i="23"/>
  <c r="Z9" i="23"/>
  <c r="Y9" i="23"/>
  <c r="X9" i="23"/>
  <c r="W9" i="23"/>
  <c r="V9" i="23"/>
  <c r="U9" i="23"/>
  <c r="T9" i="23"/>
  <c r="S9" i="23"/>
  <c r="R9" i="23"/>
  <c r="Q9" i="23"/>
  <c r="O9" i="23"/>
  <c r="K9" i="23"/>
  <c r="AC8" i="23"/>
  <c r="AB8" i="23"/>
  <c r="AA8" i="23"/>
  <c r="Z8" i="23"/>
  <c r="Y8" i="23"/>
  <c r="X8" i="23"/>
  <c r="W8" i="23"/>
  <c r="V8" i="23"/>
  <c r="V38" i="23" s="1"/>
  <c r="U8" i="23"/>
  <c r="T8" i="23"/>
  <c r="S8" i="23"/>
  <c r="R8" i="23"/>
  <c r="Q8" i="23"/>
  <c r="P8" i="23"/>
  <c r="P9" i="23" s="1"/>
  <c r="O8" i="23"/>
  <c r="K8" i="23"/>
  <c r="AC7" i="23"/>
  <c r="AB7" i="23"/>
  <c r="AB38" i="23" s="1"/>
  <c r="AA7" i="23"/>
  <c r="AA38" i="23" s="1"/>
  <c r="Z7" i="23"/>
  <c r="Z38" i="23" s="1"/>
  <c r="X7" i="23"/>
  <c r="X38" i="23" s="1"/>
  <c r="W7" i="23"/>
  <c r="W38" i="23" s="1"/>
  <c r="V7" i="23"/>
  <c r="U7" i="23"/>
  <c r="T7" i="23"/>
  <c r="S7" i="23"/>
  <c r="R7" i="23"/>
  <c r="Q7" i="23"/>
  <c r="Q38" i="23" s="1"/>
  <c r="P7" i="23"/>
  <c r="O7" i="23"/>
  <c r="O38" i="23" s="1"/>
  <c r="K7" i="23"/>
  <c r="Y7" i="23" s="1"/>
  <c r="G36" i="22"/>
  <c r="J35" i="22"/>
  <c r="I35" i="22"/>
  <c r="H35" i="22"/>
  <c r="K35" i="22" s="1"/>
  <c r="J34" i="22"/>
  <c r="I34" i="22"/>
  <c r="H34" i="22"/>
  <c r="K34" i="22" s="1"/>
  <c r="J33" i="22"/>
  <c r="I33" i="22"/>
  <c r="K33" i="22" s="1"/>
  <c r="H33" i="22"/>
  <c r="J32" i="22"/>
  <c r="I32" i="22"/>
  <c r="H32" i="22"/>
  <c r="K32" i="22" s="1"/>
  <c r="J31" i="22"/>
  <c r="I31" i="22"/>
  <c r="H31" i="22"/>
  <c r="K31" i="22" s="1"/>
  <c r="J30" i="22"/>
  <c r="I30" i="22"/>
  <c r="H30" i="22"/>
  <c r="K30" i="22" s="1"/>
  <c r="J29" i="22"/>
  <c r="I29" i="22"/>
  <c r="K29" i="22" s="1"/>
  <c r="H29" i="22"/>
  <c r="J28" i="22"/>
  <c r="I28" i="22"/>
  <c r="H28" i="22"/>
  <c r="K28" i="22" s="1"/>
  <c r="J27" i="22"/>
  <c r="I27" i="22"/>
  <c r="H27" i="22"/>
  <c r="K27" i="22" s="1"/>
  <c r="J26" i="22"/>
  <c r="I26" i="22"/>
  <c r="H26" i="22"/>
  <c r="K26" i="22" s="1"/>
  <c r="J25" i="22"/>
  <c r="I25" i="22"/>
  <c r="K25" i="22" s="1"/>
  <c r="H25" i="22"/>
  <c r="J24" i="22"/>
  <c r="I24" i="22"/>
  <c r="H24" i="22"/>
  <c r="K24" i="22" s="1"/>
  <c r="J23" i="22"/>
  <c r="I23" i="22"/>
  <c r="H23" i="22"/>
  <c r="K23" i="22" s="1"/>
  <c r="J22" i="22"/>
  <c r="I22" i="22"/>
  <c r="H22" i="22"/>
  <c r="K22" i="22" s="1"/>
  <c r="J21" i="22"/>
  <c r="I21" i="22"/>
  <c r="K21" i="22" s="1"/>
  <c r="H21" i="22"/>
  <c r="J20" i="22"/>
  <c r="I20" i="22"/>
  <c r="H20" i="22"/>
  <c r="K20" i="22" s="1"/>
  <c r="J19" i="22"/>
  <c r="I19" i="22"/>
  <c r="H19" i="22"/>
  <c r="K19" i="22" s="1"/>
  <c r="J18" i="22"/>
  <c r="I18" i="22"/>
  <c r="H18" i="22"/>
  <c r="K18" i="22" s="1"/>
  <c r="J17" i="22"/>
  <c r="I17" i="22"/>
  <c r="K17" i="22" s="1"/>
  <c r="H17" i="22"/>
  <c r="J16" i="22"/>
  <c r="I16" i="22"/>
  <c r="H16" i="22"/>
  <c r="K16" i="22" s="1"/>
  <c r="J15" i="22"/>
  <c r="I15" i="22"/>
  <c r="H15" i="22"/>
  <c r="K15" i="22" s="1"/>
  <c r="J14" i="22"/>
  <c r="I14" i="22"/>
  <c r="H14" i="22"/>
  <c r="K14" i="22" s="1"/>
  <c r="J13" i="22"/>
  <c r="I13" i="22"/>
  <c r="K13" i="22" s="1"/>
  <c r="H13" i="22"/>
  <c r="J12" i="22"/>
  <c r="I12" i="22"/>
  <c r="H12" i="22"/>
  <c r="K12" i="22" s="1"/>
  <c r="J11" i="22"/>
  <c r="I11" i="22"/>
  <c r="H11" i="22"/>
  <c r="K11" i="22" s="1"/>
  <c r="J10" i="22"/>
  <c r="I10" i="22"/>
  <c r="H10" i="22"/>
  <c r="K10" i="22" s="1"/>
  <c r="J9" i="22"/>
  <c r="I9" i="22"/>
  <c r="K9" i="22" s="1"/>
  <c r="H9" i="22"/>
  <c r="J8" i="22"/>
  <c r="I8" i="22"/>
  <c r="H8" i="22"/>
  <c r="K8" i="22" s="1"/>
  <c r="J7" i="22"/>
  <c r="I7" i="22"/>
  <c r="H7" i="22"/>
  <c r="K7" i="22" s="1"/>
  <c r="J6" i="22"/>
  <c r="I6" i="22"/>
  <c r="H6" i="22"/>
  <c r="K6" i="22" s="1"/>
  <c r="J5" i="22"/>
  <c r="J36" i="22" s="1"/>
  <c r="I5" i="22"/>
  <c r="I36" i="22" s="1"/>
  <c r="H5" i="22"/>
  <c r="H36" i="22" s="1"/>
  <c r="J38" i="21"/>
  <c r="I38" i="21"/>
  <c r="H38" i="21"/>
  <c r="G38" i="21"/>
  <c r="F38" i="21"/>
  <c r="E38" i="21"/>
  <c r="D38" i="21"/>
  <c r="C38" i="21"/>
  <c r="Q37" i="21"/>
  <c r="P37" i="21"/>
  <c r="O37" i="21"/>
  <c r="N37" i="21"/>
  <c r="M37" i="21"/>
  <c r="L37" i="21"/>
  <c r="Q36" i="21"/>
  <c r="P36" i="21"/>
  <c r="O36" i="21"/>
  <c r="N36" i="21"/>
  <c r="M36" i="21"/>
  <c r="L36" i="21"/>
  <c r="Q35" i="21"/>
  <c r="P35" i="21"/>
  <c r="O35" i="21"/>
  <c r="N35" i="21"/>
  <c r="M35" i="21"/>
  <c r="L35" i="21"/>
  <c r="Q34" i="21"/>
  <c r="P34" i="21"/>
  <c r="O34" i="21"/>
  <c r="N34" i="21"/>
  <c r="M34" i="21"/>
  <c r="L34" i="21"/>
  <c r="Q33" i="21"/>
  <c r="P33" i="21"/>
  <c r="O33" i="21"/>
  <c r="N33" i="21"/>
  <c r="M33" i="21"/>
  <c r="L33" i="21"/>
  <c r="Q32" i="21"/>
  <c r="P32" i="21"/>
  <c r="O32" i="21"/>
  <c r="N32" i="21"/>
  <c r="M32" i="21"/>
  <c r="L32" i="21"/>
  <c r="Q31" i="21"/>
  <c r="P31" i="21"/>
  <c r="O31" i="21"/>
  <c r="N31" i="21"/>
  <c r="M31" i="21"/>
  <c r="L31" i="21"/>
  <c r="Q30" i="21"/>
  <c r="P30" i="21"/>
  <c r="O30" i="21"/>
  <c r="N30" i="21"/>
  <c r="M30" i="21"/>
  <c r="L30" i="21"/>
  <c r="Q29" i="21"/>
  <c r="P29" i="21"/>
  <c r="O29" i="21"/>
  <c r="N29" i="21"/>
  <c r="M29" i="21"/>
  <c r="L29" i="21"/>
  <c r="Q28" i="21"/>
  <c r="P28" i="21"/>
  <c r="O28" i="21"/>
  <c r="N28" i="21"/>
  <c r="M28" i="21"/>
  <c r="L28" i="21"/>
  <c r="Q27" i="21"/>
  <c r="P27" i="21"/>
  <c r="O27" i="21"/>
  <c r="N27" i="21"/>
  <c r="M27" i="21"/>
  <c r="L27" i="21"/>
  <c r="Q26" i="21"/>
  <c r="P26" i="21"/>
  <c r="O26" i="21"/>
  <c r="N26" i="21"/>
  <c r="M26" i="21"/>
  <c r="L26" i="21"/>
  <c r="Q25" i="21"/>
  <c r="P25" i="21"/>
  <c r="O25" i="21"/>
  <c r="N25" i="21"/>
  <c r="M25" i="21"/>
  <c r="L25" i="21"/>
  <c r="Q24" i="21"/>
  <c r="P24" i="21"/>
  <c r="O24" i="21"/>
  <c r="N24" i="21"/>
  <c r="M24" i="21"/>
  <c r="L24" i="21"/>
  <c r="Q23" i="21"/>
  <c r="P23" i="21"/>
  <c r="O23" i="21"/>
  <c r="N23" i="21"/>
  <c r="M23" i="21"/>
  <c r="L23" i="21"/>
  <c r="Q22" i="21"/>
  <c r="P22" i="21"/>
  <c r="O22" i="21"/>
  <c r="N22" i="21"/>
  <c r="M22" i="21"/>
  <c r="L22" i="21"/>
  <c r="Q21" i="21"/>
  <c r="P21" i="21"/>
  <c r="O21" i="21"/>
  <c r="N21" i="21"/>
  <c r="M21" i="21"/>
  <c r="L21" i="21"/>
  <c r="Q20" i="21"/>
  <c r="P20" i="21"/>
  <c r="O20" i="21"/>
  <c r="N20" i="21"/>
  <c r="M20" i="21"/>
  <c r="L20" i="21"/>
  <c r="Q19" i="21"/>
  <c r="P19" i="21"/>
  <c r="O19" i="21"/>
  <c r="N19" i="21"/>
  <c r="M19" i="21"/>
  <c r="L19" i="21"/>
  <c r="Q18" i="21"/>
  <c r="P18" i="21"/>
  <c r="O18" i="21"/>
  <c r="N18" i="21"/>
  <c r="M18" i="21"/>
  <c r="L18" i="21"/>
  <c r="Q17" i="21"/>
  <c r="P17" i="21"/>
  <c r="O17" i="21"/>
  <c r="N17" i="21"/>
  <c r="M17" i="21"/>
  <c r="L17" i="21"/>
  <c r="Q16" i="21"/>
  <c r="P16" i="21"/>
  <c r="O16" i="21"/>
  <c r="N16" i="21"/>
  <c r="M16" i="21"/>
  <c r="L16" i="21"/>
  <c r="Q15" i="21"/>
  <c r="P15" i="21"/>
  <c r="O15" i="21"/>
  <c r="N15" i="21"/>
  <c r="M15" i="21"/>
  <c r="L15" i="21"/>
  <c r="Q14" i="21"/>
  <c r="P14" i="21"/>
  <c r="O14" i="21"/>
  <c r="N14" i="21"/>
  <c r="M14" i="21"/>
  <c r="L14" i="21"/>
  <c r="Q13" i="21"/>
  <c r="P13" i="21"/>
  <c r="O13" i="21"/>
  <c r="N13" i="21"/>
  <c r="M13" i="21"/>
  <c r="L13" i="21"/>
  <c r="Q12" i="21"/>
  <c r="P12" i="21"/>
  <c r="O12" i="21"/>
  <c r="N12" i="21"/>
  <c r="M12" i="21"/>
  <c r="L12" i="21"/>
  <c r="Q11" i="21"/>
  <c r="P11" i="21"/>
  <c r="O11" i="21"/>
  <c r="N11" i="21"/>
  <c r="M11" i="21"/>
  <c r="L11" i="21"/>
  <c r="Q10" i="21"/>
  <c r="P10" i="21"/>
  <c r="O10" i="21"/>
  <c r="N10" i="21"/>
  <c r="M10" i="21"/>
  <c r="L10" i="21"/>
  <c r="Q9" i="21"/>
  <c r="P9" i="21"/>
  <c r="O9" i="21"/>
  <c r="N9" i="21"/>
  <c r="M9" i="21"/>
  <c r="L9" i="21"/>
  <c r="Q8" i="21"/>
  <c r="P8" i="21"/>
  <c r="O8" i="21"/>
  <c r="N8" i="21"/>
  <c r="M8" i="21"/>
  <c r="L8" i="21"/>
  <c r="K8" i="21"/>
  <c r="R8" i="21" s="1"/>
  <c r="R7" i="21"/>
  <c r="Q7" i="21"/>
  <c r="Q38" i="21" s="1"/>
  <c r="P7" i="21"/>
  <c r="P38" i="21" s="1"/>
  <c r="O7" i="21"/>
  <c r="O38" i="21" s="1"/>
  <c r="N7" i="21"/>
  <c r="N38" i="21" s="1"/>
  <c r="M7" i="21"/>
  <c r="M38" i="21" s="1"/>
  <c r="L7" i="21"/>
  <c r="S7" i="21" s="1"/>
  <c r="H36" i="20"/>
  <c r="F36" i="20"/>
  <c r="E36" i="20"/>
  <c r="D36" i="20"/>
  <c r="Q35" i="20"/>
  <c r="P35" i="20"/>
  <c r="O35" i="20"/>
  <c r="R35" i="20" s="1"/>
  <c r="N35" i="20"/>
  <c r="M35" i="20"/>
  <c r="L35" i="20"/>
  <c r="K35" i="20"/>
  <c r="Q34" i="20"/>
  <c r="P34" i="20"/>
  <c r="O34" i="20"/>
  <c r="N34" i="20"/>
  <c r="M34" i="20"/>
  <c r="L34" i="20"/>
  <c r="K34" i="20"/>
  <c r="R34" i="20" s="1"/>
  <c r="Q33" i="20"/>
  <c r="P33" i="20"/>
  <c r="O33" i="20"/>
  <c r="R33" i="20" s="1"/>
  <c r="N33" i="20"/>
  <c r="M33" i="20"/>
  <c r="L33" i="20"/>
  <c r="K33" i="20"/>
  <c r="Q32" i="20"/>
  <c r="P32" i="20"/>
  <c r="O32" i="20"/>
  <c r="N32" i="20"/>
  <c r="M32" i="20"/>
  <c r="L32" i="20"/>
  <c r="K32" i="20"/>
  <c r="R32" i="20" s="1"/>
  <c r="Q31" i="20"/>
  <c r="P31" i="20"/>
  <c r="O31" i="20"/>
  <c r="R31" i="20" s="1"/>
  <c r="N31" i="20"/>
  <c r="M31" i="20"/>
  <c r="L31" i="20"/>
  <c r="K31" i="20"/>
  <c r="Q30" i="20"/>
  <c r="P30" i="20"/>
  <c r="O30" i="20"/>
  <c r="N30" i="20"/>
  <c r="M30" i="20"/>
  <c r="L30" i="20"/>
  <c r="K30" i="20"/>
  <c r="R30" i="20" s="1"/>
  <c r="Q29" i="20"/>
  <c r="P29" i="20"/>
  <c r="O29" i="20"/>
  <c r="R29" i="20" s="1"/>
  <c r="N29" i="20"/>
  <c r="M29" i="20"/>
  <c r="L29" i="20"/>
  <c r="K29" i="20"/>
  <c r="Q28" i="20"/>
  <c r="P28" i="20"/>
  <c r="O28" i="20"/>
  <c r="N28" i="20"/>
  <c r="M28" i="20"/>
  <c r="L28" i="20"/>
  <c r="K28" i="20"/>
  <c r="R28" i="20" s="1"/>
  <c r="Q27" i="20"/>
  <c r="P27" i="20"/>
  <c r="O27" i="20"/>
  <c r="R27" i="20" s="1"/>
  <c r="N27" i="20"/>
  <c r="M27" i="20"/>
  <c r="L27" i="20"/>
  <c r="K27" i="20"/>
  <c r="Q26" i="20"/>
  <c r="P26" i="20"/>
  <c r="O26" i="20"/>
  <c r="N26" i="20"/>
  <c r="M26" i="20"/>
  <c r="L26" i="20"/>
  <c r="K26" i="20"/>
  <c r="R26" i="20" s="1"/>
  <c r="Q25" i="20"/>
  <c r="P25" i="20"/>
  <c r="O25" i="20"/>
  <c r="R25" i="20" s="1"/>
  <c r="N25" i="20"/>
  <c r="M25" i="20"/>
  <c r="L25" i="20"/>
  <c r="K25" i="20"/>
  <c r="Q24" i="20"/>
  <c r="P24" i="20"/>
  <c r="O24" i="20"/>
  <c r="N24" i="20"/>
  <c r="M24" i="20"/>
  <c r="L24" i="20"/>
  <c r="K24" i="20"/>
  <c r="R24" i="20" s="1"/>
  <c r="Q23" i="20"/>
  <c r="P23" i="20"/>
  <c r="O23" i="20"/>
  <c r="R23" i="20" s="1"/>
  <c r="N23" i="20"/>
  <c r="M23" i="20"/>
  <c r="L23" i="20"/>
  <c r="K23" i="20"/>
  <c r="Q22" i="20"/>
  <c r="P22" i="20"/>
  <c r="O22" i="20"/>
  <c r="N22" i="20"/>
  <c r="M22" i="20"/>
  <c r="L22" i="20"/>
  <c r="K22" i="20"/>
  <c r="R22" i="20" s="1"/>
  <c r="Q21" i="20"/>
  <c r="P21" i="20"/>
  <c r="O21" i="20"/>
  <c r="R21" i="20" s="1"/>
  <c r="N21" i="20"/>
  <c r="M21" i="20"/>
  <c r="L21" i="20"/>
  <c r="K21" i="20"/>
  <c r="Q20" i="20"/>
  <c r="P20" i="20"/>
  <c r="O20" i="20"/>
  <c r="N20" i="20"/>
  <c r="M20" i="20"/>
  <c r="L20" i="20"/>
  <c r="K20" i="20"/>
  <c r="R20" i="20" s="1"/>
  <c r="Q19" i="20"/>
  <c r="P19" i="20"/>
  <c r="O19" i="20"/>
  <c r="R19" i="20" s="1"/>
  <c r="N19" i="20"/>
  <c r="M19" i="20"/>
  <c r="L19" i="20"/>
  <c r="K19" i="20"/>
  <c r="Q18" i="20"/>
  <c r="P18" i="20"/>
  <c r="O18" i="20"/>
  <c r="N18" i="20"/>
  <c r="M18" i="20"/>
  <c r="L18" i="20"/>
  <c r="K18" i="20"/>
  <c r="R18" i="20" s="1"/>
  <c r="Q17" i="20"/>
  <c r="P17" i="20"/>
  <c r="O17" i="20"/>
  <c r="R17" i="20" s="1"/>
  <c r="N17" i="20"/>
  <c r="M17" i="20"/>
  <c r="L17" i="20"/>
  <c r="K17" i="20"/>
  <c r="Q16" i="20"/>
  <c r="P16" i="20"/>
  <c r="O16" i="20"/>
  <c r="N16" i="20"/>
  <c r="M16" i="20"/>
  <c r="L16" i="20"/>
  <c r="K16" i="20"/>
  <c r="R16" i="20" s="1"/>
  <c r="Q15" i="20"/>
  <c r="P15" i="20"/>
  <c r="O15" i="20"/>
  <c r="R15" i="20" s="1"/>
  <c r="N15" i="20"/>
  <c r="M15" i="20"/>
  <c r="L15" i="20"/>
  <c r="K15" i="20"/>
  <c r="Q14" i="20"/>
  <c r="P14" i="20"/>
  <c r="O14" i="20"/>
  <c r="N14" i="20"/>
  <c r="M14" i="20"/>
  <c r="L14" i="20"/>
  <c r="K14" i="20"/>
  <c r="R14" i="20" s="1"/>
  <c r="Q13" i="20"/>
  <c r="P13" i="20"/>
  <c r="O13" i="20"/>
  <c r="R13" i="20" s="1"/>
  <c r="N13" i="20"/>
  <c r="M13" i="20"/>
  <c r="L13" i="20"/>
  <c r="K13" i="20"/>
  <c r="Q12" i="20"/>
  <c r="P12" i="20"/>
  <c r="O12" i="20"/>
  <c r="N12" i="20"/>
  <c r="M12" i="20"/>
  <c r="L12" i="20"/>
  <c r="K12" i="20"/>
  <c r="R12" i="20" s="1"/>
  <c r="Q11" i="20"/>
  <c r="P11" i="20"/>
  <c r="O11" i="20"/>
  <c r="R11" i="20" s="1"/>
  <c r="N11" i="20"/>
  <c r="M11" i="20"/>
  <c r="L11" i="20"/>
  <c r="K11" i="20"/>
  <c r="Q10" i="20"/>
  <c r="P10" i="20"/>
  <c r="O10" i="20"/>
  <c r="N10" i="20"/>
  <c r="M10" i="20"/>
  <c r="L10" i="20"/>
  <c r="K10" i="20"/>
  <c r="R10" i="20" s="1"/>
  <c r="Q9" i="20"/>
  <c r="P9" i="20"/>
  <c r="O9" i="20"/>
  <c r="R9" i="20" s="1"/>
  <c r="N9" i="20"/>
  <c r="M9" i="20"/>
  <c r="L9" i="20"/>
  <c r="K9" i="20"/>
  <c r="Q8" i="20"/>
  <c r="P8" i="20"/>
  <c r="O8" i="20"/>
  <c r="N8" i="20"/>
  <c r="M8" i="20"/>
  <c r="L8" i="20"/>
  <c r="K8" i="20"/>
  <c r="R8" i="20" s="1"/>
  <c r="Q7" i="20"/>
  <c r="P7" i="20"/>
  <c r="O7" i="20"/>
  <c r="R7" i="20" s="1"/>
  <c r="N7" i="20"/>
  <c r="M7" i="20"/>
  <c r="L7" i="20"/>
  <c r="K7" i="20"/>
  <c r="Q6" i="20"/>
  <c r="P6" i="20"/>
  <c r="O6" i="20"/>
  <c r="N6" i="20"/>
  <c r="M6" i="20"/>
  <c r="M36" i="20" s="1"/>
  <c r="L6" i="20"/>
  <c r="L36" i="20" s="1"/>
  <c r="K6" i="20"/>
  <c r="R6" i="20" s="1"/>
  <c r="Q5" i="20"/>
  <c r="Q36" i="20" s="1"/>
  <c r="P5" i="20"/>
  <c r="P36" i="20" s="1"/>
  <c r="O5" i="20"/>
  <c r="O36" i="20" s="1"/>
  <c r="N5" i="20"/>
  <c r="N36" i="20" s="1"/>
  <c r="M5" i="20"/>
  <c r="L5" i="20"/>
  <c r="K5" i="20"/>
  <c r="F36" i="19"/>
  <c r="E36" i="19"/>
  <c r="D36" i="19"/>
  <c r="Q35" i="19"/>
  <c r="P35" i="19"/>
  <c r="N35" i="19"/>
  <c r="M35" i="19"/>
  <c r="L35" i="19"/>
  <c r="K35" i="19"/>
  <c r="Q34" i="19"/>
  <c r="P34" i="19"/>
  <c r="N34" i="19"/>
  <c r="M34" i="19"/>
  <c r="L34" i="19"/>
  <c r="K34" i="19"/>
  <c r="Q33" i="19"/>
  <c r="P33" i="19"/>
  <c r="N33" i="19"/>
  <c r="M33" i="19"/>
  <c r="L33" i="19"/>
  <c r="K33" i="19"/>
  <c r="Q32" i="19"/>
  <c r="P32" i="19"/>
  <c r="N32" i="19"/>
  <c r="M32" i="19"/>
  <c r="L32" i="19"/>
  <c r="K32" i="19"/>
  <c r="Q31" i="19"/>
  <c r="P31" i="19"/>
  <c r="N31" i="19"/>
  <c r="M31" i="19"/>
  <c r="L31" i="19"/>
  <c r="K31" i="19"/>
  <c r="Q30" i="19"/>
  <c r="P30" i="19"/>
  <c r="N30" i="19"/>
  <c r="M30" i="19"/>
  <c r="L30" i="19"/>
  <c r="K30" i="19"/>
  <c r="Q29" i="19"/>
  <c r="P29" i="19"/>
  <c r="N29" i="19"/>
  <c r="M29" i="19"/>
  <c r="L29" i="19"/>
  <c r="K29" i="19"/>
  <c r="Q28" i="19"/>
  <c r="P28" i="19"/>
  <c r="N28" i="19"/>
  <c r="M28" i="19"/>
  <c r="L28" i="19"/>
  <c r="K28" i="19"/>
  <c r="Q27" i="19"/>
  <c r="P27" i="19"/>
  <c r="N27" i="19"/>
  <c r="M27" i="19"/>
  <c r="L27" i="19"/>
  <c r="K27" i="19"/>
  <c r="Q26" i="19"/>
  <c r="P26" i="19"/>
  <c r="N26" i="19"/>
  <c r="M26" i="19"/>
  <c r="L26" i="19"/>
  <c r="K26" i="19"/>
  <c r="Q25" i="19"/>
  <c r="P25" i="19"/>
  <c r="N25" i="19"/>
  <c r="M25" i="19"/>
  <c r="L25" i="19"/>
  <c r="K25" i="19"/>
  <c r="Q24" i="19"/>
  <c r="P24" i="19"/>
  <c r="N24" i="19"/>
  <c r="M24" i="19"/>
  <c r="L24" i="19"/>
  <c r="K24" i="19"/>
  <c r="Q23" i="19"/>
  <c r="P23" i="19"/>
  <c r="N23" i="19"/>
  <c r="M23" i="19"/>
  <c r="L23" i="19"/>
  <c r="K23" i="19"/>
  <c r="Q22" i="19"/>
  <c r="P22" i="19"/>
  <c r="N22" i="19"/>
  <c r="M22" i="19"/>
  <c r="L22" i="19"/>
  <c r="K22" i="19"/>
  <c r="Q21" i="19"/>
  <c r="P21" i="19"/>
  <c r="N21" i="19"/>
  <c r="M21" i="19"/>
  <c r="L21" i="19"/>
  <c r="K21" i="19"/>
  <c r="Q20" i="19"/>
  <c r="P20" i="19"/>
  <c r="N20" i="19"/>
  <c r="M20" i="19"/>
  <c r="L20" i="19"/>
  <c r="K20" i="19"/>
  <c r="Q19" i="19"/>
  <c r="P19" i="19"/>
  <c r="N19" i="19"/>
  <c r="M19" i="19"/>
  <c r="L19" i="19"/>
  <c r="K19" i="19"/>
  <c r="Q18" i="19"/>
  <c r="P18" i="19"/>
  <c r="N18" i="19"/>
  <c r="M18" i="19"/>
  <c r="L18" i="19"/>
  <c r="K18" i="19"/>
  <c r="Q17" i="19"/>
  <c r="P17" i="19"/>
  <c r="N17" i="19"/>
  <c r="M17" i="19"/>
  <c r="L17" i="19"/>
  <c r="K17" i="19"/>
  <c r="Q16" i="19"/>
  <c r="P16" i="19"/>
  <c r="N16" i="19"/>
  <c r="M16" i="19"/>
  <c r="L16" i="19"/>
  <c r="K16" i="19"/>
  <c r="Q15" i="19"/>
  <c r="P15" i="19"/>
  <c r="N15" i="19"/>
  <c r="M15" i="19"/>
  <c r="L15" i="19"/>
  <c r="K15" i="19"/>
  <c r="Q14" i="19"/>
  <c r="P14" i="19"/>
  <c r="N14" i="19"/>
  <c r="M14" i="19"/>
  <c r="L14" i="19"/>
  <c r="K14" i="19"/>
  <c r="Q13" i="19"/>
  <c r="P13" i="19"/>
  <c r="N13" i="19"/>
  <c r="M13" i="19"/>
  <c r="L13" i="19"/>
  <c r="K13" i="19"/>
  <c r="Q12" i="19"/>
  <c r="P12" i="19"/>
  <c r="N12" i="19"/>
  <c r="M12" i="19"/>
  <c r="L12" i="19"/>
  <c r="K12" i="19"/>
  <c r="Q11" i="19"/>
  <c r="P11" i="19"/>
  <c r="N11" i="19"/>
  <c r="M11" i="19"/>
  <c r="L11" i="19"/>
  <c r="K11" i="19"/>
  <c r="Q10" i="19"/>
  <c r="P10" i="19"/>
  <c r="N10" i="19"/>
  <c r="M10" i="19"/>
  <c r="L10" i="19"/>
  <c r="K10" i="19"/>
  <c r="Q9" i="19"/>
  <c r="P9" i="19"/>
  <c r="N9" i="19"/>
  <c r="M9" i="19"/>
  <c r="L9" i="19"/>
  <c r="K9" i="19"/>
  <c r="Q8" i="19"/>
  <c r="P8" i="19"/>
  <c r="N8" i="19"/>
  <c r="M8" i="19"/>
  <c r="L8" i="19"/>
  <c r="K8" i="19"/>
  <c r="Q7" i="19"/>
  <c r="P7" i="19"/>
  <c r="N7" i="19"/>
  <c r="M7" i="19"/>
  <c r="L7" i="19"/>
  <c r="K7" i="19"/>
  <c r="Q6" i="19"/>
  <c r="P6" i="19"/>
  <c r="N6" i="19"/>
  <c r="M6" i="19"/>
  <c r="L6" i="19"/>
  <c r="L36" i="19" s="1"/>
  <c r="K6" i="19"/>
  <c r="H6" i="19"/>
  <c r="H7" i="19" s="1"/>
  <c r="Q5" i="19"/>
  <c r="Q36" i="19" s="1"/>
  <c r="P5" i="19"/>
  <c r="P36" i="19" s="1"/>
  <c r="O5" i="19"/>
  <c r="N5" i="19"/>
  <c r="N36" i="19" s="1"/>
  <c r="M5" i="19"/>
  <c r="R5" i="19" s="1"/>
  <c r="L5" i="19"/>
  <c r="K5" i="19"/>
  <c r="J4" i="24" l="1"/>
  <c r="J35" i="24" s="1"/>
  <c r="A1" i="24" s="1"/>
  <c r="AC38" i="23"/>
  <c r="Y38" i="23"/>
  <c r="P10" i="23"/>
  <c r="AD9" i="23"/>
  <c r="AE9" i="23" s="1"/>
  <c r="AE8" i="23"/>
  <c r="R38" i="23"/>
  <c r="AD7" i="23"/>
  <c r="AD8" i="23"/>
  <c r="K38" i="23"/>
  <c r="K5" i="22"/>
  <c r="K36" i="22" s="1"/>
  <c r="A1" i="22" s="1"/>
  <c r="S8" i="21"/>
  <c r="L38" i="21"/>
  <c r="K9" i="21"/>
  <c r="R5" i="20"/>
  <c r="R36" i="20" s="1"/>
  <c r="A1" i="20" s="1"/>
  <c r="K36" i="20"/>
  <c r="H8" i="19"/>
  <c r="O7" i="19"/>
  <c r="R7" i="19" s="1"/>
  <c r="K36" i="19"/>
  <c r="M36" i="19"/>
  <c r="O6" i="19"/>
  <c r="P11" i="23" l="1"/>
  <c r="AD10" i="23"/>
  <c r="AE10" i="23" s="1"/>
  <c r="AE7" i="23"/>
  <c r="R9" i="21"/>
  <c r="K10" i="21"/>
  <c r="O8" i="19"/>
  <c r="R8" i="19" s="1"/>
  <c r="H9" i="19"/>
  <c r="R6" i="19"/>
  <c r="AD11" i="23" l="1"/>
  <c r="P12" i="23"/>
  <c r="K11" i="21"/>
  <c r="R10" i="21"/>
  <c r="S10" i="21" s="1"/>
  <c r="S9" i="21"/>
  <c r="H10" i="19"/>
  <c r="O9" i="19"/>
  <c r="R9" i="19" s="1"/>
  <c r="AD12" i="23" l="1"/>
  <c r="AE12" i="23" s="1"/>
  <c r="P13" i="23"/>
  <c r="AE11" i="23"/>
  <c r="K12" i="21"/>
  <c r="R11" i="21"/>
  <c r="O10" i="19"/>
  <c r="R10" i="19" s="1"/>
  <c r="H11" i="19"/>
  <c r="P14" i="23" l="1"/>
  <c r="AD13" i="23"/>
  <c r="K13" i="21"/>
  <c r="R12" i="21"/>
  <c r="S12" i="21" s="1"/>
  <c r="S11" i="21"/>
  <c r="H12" i="19"/>
  <c r="O11" i="19"/>
  <c r="R11" i="19" s="1"/>
  <c r="AE13" i="23" l="1"/>
  <c r="P15" i="23"/>
  <c r="AD14" i="23"/>
  <c r="AE14" i="23" s="1"/>
  <c r="R13" i="21"/>
  <c r="K14" i="21"/>
  <c r="H13" i="19"/>
  <c r="O12" i="19"/>
  <c r="R12" i="19" s="1"/>
  <c r="P16" i="23" l="1"/>
  <c r="AD15" i="23"/>
  <c r="AE15" i="23" s="1"/>
  <c r="S13" i="21"/>
  <c r="K15" i="21"/>
  <c r="R14" i="21"/>
  <c r="S14" i="21" s="1"/>
  <c r="O13" i="19"/>
  <c r="R13" i="19" s="1"/>
  <c r="H14" i="19"/>
  <c r="P17" i="23" l="1"/>
  <c r="AD16" i="23"/>
  <c r="AE16" i="23" s="1"/>
  <c r="K16" i="21"/>
  <c r="R15" i="21"/>
  <c r="S15" i="21" s="1"/>
  <c r="H15" i="19"/>
  <c r="O14" i="19"/>
  <c r="R14" i="19" s="1"/>
  <c r="P18" i="23" l="1"/>
  <c r="AD17" i="23"/>
  <c r="AE17" i="23" s="1"/>
  <c r="R16" i="21"/>
  <c r="S16" i="21" s="1"/>
  <c r="K17" i="21"/>
  <c r="H16" i="19"/>
  <c r="O15" i="19"/>
  <c r="R15" i="19" s="1"/>
  <c r="P19" i="23" l="1"/>
  <c r="AD18" i="23"/>
  <c r="AE18" i="23" s="1"/>
  <c r="K18" i="21"/>
  <c r="R17" i="21"/>
  <c r="S17" i="21" s="1"/>
  <c r="H17" i="19"/>
  <c r="O16" i="19"/>
  <c r="R16" i="19" s="1"/>
  <c r="AD19" i="23" l="1"/>
  <c r="AE19" i="23" s="1"/>
  <c r="P20" i="23"/>
  <c r="K19" i="21"/>
  <c r="R18" i="21"/>
  <c r="S18" i="21" s="1"/>
  <c r="H18" i="19"/>
  <c r="O17" i="19"/>
  <c r="R17" i="19" s="1"/>
  <c r="AD20" i="23" l="1"/>
  <c r="AE20" i="23" s="1"/>
  <c r="P21" i="23"/>
  <c r="K20" i="21"/>
  <c r="R19" i="21"/>
  <c r="S19" i="21" s="1"/>
  <c r="O18" i="19"/>
  <c r="R18" i="19" s="1"/>
  <c r="H19" i="19"/>
  <c r="P22" i="23" l="1"/>
  <c r="AD21" i="23"/>
  <c r="AE21" i="23" s="1"/>
  <c r="K21" i="21"/>
  <c r="R20" i="21"/>
  <c r="S20" i="21" s="1"/>
  <c r="H20" i="19"/>
  <c r="O19" i="19"/>
  <c r="R19" i="19" s="1"/>
  <c r="P23" i="23" l="1"/>
  <c r="AD22" i="23"/>
  <c r="AE22" i="23" s="1"/>
  <c r="K22" i="21"/>
  <c r="R21" i="21"/>
  <c r="S21" i="21" s="1"/>
  <c r="H21" i="19"/>
  <c r="O20" i="19"/>
  <c r="R20" i="19" s="1"/>
  <c r="P24" i="23" l="1"/>
  <c r="AD23" i="23"/>
  <c r="AE23" i="23" s="1"/>
  <c r="K23" i="21"/>
  <c r="R22" i="21"/>
  <c r="S22" i="21" s="1"/>
  <c r="O21" i="19"/>
  <c r="R21" i="19" s="1"/>
  <c r="H22" i="19"/>
  <c r="P25" i="23" l="1"/>
  <c r="AD24" i="23"/>
  <c r="AE24" i="23" s="1"/>
  <c r="R23" i="21"/>
  <c r="S23" i="21" s="1"/>
  <c r="K24" i="21"/>
  <c r="H23" i="19"/>
  <c r="O22" i="19"/>
  <c r="R22" i="19" s="1"/>
  <c r="P26" i="23" l="1"/>
  <c r="AD25" i="23"/>
  <c r="AE25" i="23" s="1"/>
  <c r="K25" i="21"/>
  <c r="R24" i="21"/>
  <c r="S24" i="21" s="1"/>
  <c r="H24" i="19"/>
  <c r="O23" i="19"/>
  <c r="R23" i="19" s="1"/>
  <c r="P27" i="23" l="1"/>
  <c r="AD26" i="23"/>
  <c r="AE26" i="23" s="1"/>
  <c r="R25" i="21"/>
  <c r="S25" i="21" s="1"/>
  <c r="K26" i="21"/>
  <c r="O24" i="19"/>
  <c r="R24" i="19" s="1"/>
  <c r="H25" i="19"/>
  <c r="AD27" i="23" l="1"/>
  <c r="AE27" i="23" s="1"/>
  <c r="P28" i="23"/>
  <c r="K27" i="21"/>
  <c r="R26" i="21"/>
  <c r="S26" i="21" s="1"/>
  <c r="H26" i="19"/>
  <c r="O25" i="19"/>
  <c r="R25" i="19" s="1"/>
  <c r="AD28" i="23" l="1"/>
  <c r="AE28" i="23" s="1"/>
  <c r="P29" i="23"/>
  <c r="K28" i="21"/>
  <c r="R27" i="21"/>
  <c r="S27" i="21" s="1"/>
  <c r="O26" i="19"/>
  <c r="R26" i="19" s="1"/>
  <c r="H27" i="19"/>
  <c r="P30" i="23" l="1"/>
  <c r="AD29" i="23"/>
  <c r="AE29" i="23" s="1"/>
  <c r="K29" i="21"/>
  <c r="R28" i="21"/>
  <c r="S28" i="21" s="1"/>
  <c r="H28" i="19"/>
  <c r="O27" i="19"/>
  <c r="R27" i="19" s="1"/>
  <c r="P31" i="23" l="1"/>
  <c r="AD30" i="23"/>
  <c r="AE30" i="23" s="1"/>
  <c r="K30" i="21"/>
  <c r="R29" i="21"/>
  <c r="S29" i="21" s="1"/>
  <c r="H29" i="19"/>
  <c r="O28" i="19"/>
  <c r="R28" i="19" s="1"/>
  <c r="P32" i="23" l="1"/>
  <c r="AD31" i="23"/>
  <c r="AE31" i="23" s="1"/>
  <c r="K31" i="21"/>
  <c r="R30" i="21"/>
  <c r="S30" i="21" s="1"/>
  <c r="H30" i="19"/>
  <c r="O29" i="19"/>
  <c r="R29" i="19" s="1"/>
  <c r="P33" i="23" l="1"/>
  <c r="AD32" i="23"/>
  <c r="AE32" i="23" s="1"/>
  <c r="K32" i="21"/>
  <c r="R31" i="21"/>
  <c r="S31" i="21" s="1"/>
  <c r="H31" i="19"/>
  <c r="O30" i="19"/>
  <c r="R30" i="19" s="1"/>
  <c r="P34" i="23" l="1"/>
  <c r="AD33" i="23"/>
  <c r="AE33" i="23" s="1"/>
  <c r="R32" i="21"/>
  <c r="S32" i="21" s="1"/>
  <c r="K33" i="21"/>
  <c r="O31" i="19"/>
  <c r="R31" i="19" s="1"/>
  <c r="H32" i="19"/>
  <c r="P35" i="23" l="1"/>
  <c r="AD34" i="23"/>
  <c r="AE34" i="23" s="1"/>
  <c r="K34" i="21"/>
  <c r="R33" i="21"/>
  <c r="S33" i="21" s="1"/>
  <c r="H33" i="19"/>
  <c r="O32" i="19"/>
  <c r="R32" i="19" s="1"/>
  <c r="AD35" i="23" l="1"/>
  <c r="AE35" i="23" s="1"/>
  <c r="P36" i="23"/>
  <c r="K35" i="21"/>
  <c r="R34" i="21"/>
  <c r="S34" i="21" s="1"/>
  <c r="O33" i="19"/>
  <c r="R33" i="19" s="1"/>
  <c r="H34" i="19"/>
  <c r="AD36" i="23" l="1"/>
  <c r="AE36" i="23" s="1"/>
  <c r="P37" i="23"/>
  <c r="K36" i="21"/>
  <c r="R35" i="21"/>
  <c r="S35" i="21" s="1"/>
  <c r="O34" i="19"/>
  <c r="R34" i="19" s="1"/>
  <c r="H35" i="19"/>
  <c r="AD37" i="23" l="1"/>
  <c r="P38" i="23"/>
  <c r="K37" i="21"/>
  <c r="R36" i="21"/>
  <c r="S36" i="21" s="1"/>
  <c r="O35" i="19"/>
  <c r="H36" i="19"/>
  <c r="AE37" i="23" l="1"/>
  <c r="AE38" i="23" s="1"/>
  <c r="AE41" i="23" s="1"/>
  <c r="A1" i="23" s="1"/>
  <c r="AD38" i="23"/>
  <c r="R37" i="21"/>
  <c r="K38" i="21"/>
  <c r="R35" i="19"/>
  <c r="R36" i="19" s="1"/>
  <c r="A1" i="19" s="1"/>
  <c r="O36" i="19"/>
  <c r="S37" i="21" l="1"/>
  <c r="S38" i="21" s="1"/>
  <c r="S39" i="21" s="1"/>
  <c r="A1" i="21" s="1"/>
  <c r="R38" i="21"/>
  <c r="B14" i="18" l="1"/>
  <c r="F11" i="18"/>
  <c r="G11" i="18" s="1"/>
  <c r="F10" i="18"/>
  <c r="F12" i="18" s="1"/>
  <c r="A7" i="18"/>
  <c r="A4" i="18"/>
  <c r="A3" i="18"/>
  <c r="G10" i="18" l="1"/>
  <c r="G12" i="18" s="1"/>
  <c r="B14" i="17" l="1"/>
  <c r="F11" i="17"/>
  <c r="G11" i="17" s="1"/>
  <c r="F10" i="17"/>
  <c r="F12" i="17" s="1"/>
  <c r="A7" i="17"/>
  <c r="A4" i="17"/>
  <c r="A3" i="17"/>
  <c r="G10" i="17" l="1"/>
  <c r="G12" i="17" s="1"/>
  <c r="B14" i="16"/>
  <c r="F11" i="16"/>
  <c r="G11" i="16" s="1"/>
  <c r="F10" i="16"/>
  <c r="G10" i="16" s="1"/>
  <c r="G12" i="16" s="1"/>
  <c r="A7" i="16"/>
  <c r="A4" i="16"/>
  <c r="A3" i="16"/>
  <c r="F12" i="16" l="1"/>
  <c r="D15" i="14" l="1"/>
  <c r="F15" i="14" s="1"/>
  <c r="D14" i="14"/>
  <c r="F14" i="14" s="1"/>
  <c r="D13" i="14"/>
  <c r="F13" i="14" s="1"/>
  <c r="F12" i="14"/>
  <c r="D11" i="14"/>
  <c r="F11" i="14" s="1"/>
  <c r="D10" i="14"/>
  <c r="F10" i="14" s="1"/>
  <c r="F17" i="14" s="1"/>
  <c r="F18" i="14" s="1"/>
  <c r="F19" i="14" s="1"/>
  <c r="A7" i="14"/>
  <c r="A4" i="14"/>
  <c r="A3" i="14"/>
  <c r="D15" i="13"/>
  <c r="F15" i="13" s="1"/>
  <c r="D14" i="13"/>
  <c r="F14" i="13" s="1"/>
  <c r="D13" i="13"/>
  <c r="F13" i="13" s="1"/>
  <c r="F12" i="13"/>
  <c r="D11" i="13"/>
  <c r="F11" i="13" s="1"/>
  <c r="D10" i="13"/>
  <c r="F10" i="13" s="1"/>
  <c r="A7" i="13"/>
  <c r="A4" i="13"/>
  <c r="A3" i="13"/>
  <c r="F17" i="12"/>
  <c r="D16" i="12"/>
  <c r="F16" i="12" s="1"/>
  <c r="D15" i="12"/>
  <c r="F15" i="12" s="1"/>
  <c r="D14" i="12"/>
  <c r="F14" i="12" s="1"/>
  <c r="D13" i="12"/>
  <c r="F13" i="12" s="1"/>
  <c r="F12" i="12"/>
  <c r="F11" i="12"/>
  <c r="D11" i="12"/>
  <c r="D10" i="12"/>
  <c r="F10" i="12" s="1"/>
  <c r="A7" i="12"/>
  <c r="A4" i="12"/>
  <c r="A3" i="12"/>
  <c r="H37" i="11"/>
  <c r="F37" i="11"/>
  <c r="E37" i="11"/>
  <c r="D37" i="11"/>
  <c r="C37" i="11"/>
  <c r="P36" i="11"/>
  <c r="J36" i="11" s="1"/>
  <c r="N36" i="11"/>
  <c r="L36" i="11"/>
  <c r="K36" i="11"/>
  <c r="P35" i="11"/>
  <c r="J35" i="11" s="1"/>
  <c r="N35" i="11"/>
  <c r="L35" i="11"/>
  <c r="K35" i="11"/>
  <c r="P34" i="11"/>
  <c r="J34" i="11" s="1"/>
  <c r="N34" i="11"/>
  <c r="L34" i="11"/>
  <c r="K34" i="11"/>
  <c r="P33" i="11"/>
  <c r="I33" i="11" s="1"/>
  <c r="N33" i="11"/>
  <c r="L33" i="11"/>
  <c r="K33" i="11"/>
  <c r="P32" i="11"/>
  <c r="J32" i="11" s="1"/>
  <c r="N32" i="11"/>
  <c r="L32" i="11"/>
  <c r="K32" i="11"/>
  <c r="P31" i="11"/>
  <c r="J31" i="11" s="1"/>
  <c r="N31" i="11"/>
  <c r="L31" i="11"/>
  <c r="K31" i="11"/>
  <c r="P30" i="11"/>
  <c r="J30" i="11" s="1"/>
  <c r="N30" i="11"/>
  <c r="L30" i="11"/>
  <c r="K30" i="11"/>
  <c r="P29" i="11"/>
  <c r="J29" i="11" s="1"/>
  <c r="N29" i="11"/>
  <c r="L29" i="11"/>
  <c r="K29" i="11"/>
  <c r="P28" i="11"/>
  <c r="J28" i="11" s="1"/>
  <c r="N28" i="11"/>
  <c r="L28" i="11"/>
  <c r="K28" i="11"/>
  <c r="P27" i="11"/>
  <c r="J27" i="11" s="1"/>
  <c r="N27" i="11"/>
  <c r="L27" i="11"/>
  <c r="K27" i="11"/>
  <c r="P26" i="11"/>
  <c r="I26" i="11" s="1"/>
  <c r="N26" i="11"/>
  <c r="L26" i="11"/>
  <c r="K26" i="11"/>
  <c r="P25" i="11"/>
  <c r="J25" i="11" s="1"/>
  <c r="N25" i="11"/>
  <c r="L25" i="11"/>
  <c r="K25" i="11"/>
  <c r="P24" i="11"/>
  <c r="J24" i="11" s="1"/>
  <c r="N24" i="11"/>
  <c r="L24" i="11"/>
  <c r="K24" i="11"/>
  <c r="P23" i="11"/>
  <c r="J23" i="11" s="1"/>
  <c r="N23" i="11"/>
  <c r="L23" i="11"/>
  <c r="K23" i="11"/>
  <c r="P22" i="11"/>
  <c r="J22" i="11" s="1"/>
  <c r="N22" i="11"/>
  <c r="L22" i="11"/>
  <c r="K22" i="11"/>
  <c r="P21" i="11"/>
  <c r="I21" i="11" s="1"/>
  <c r="N21" i="11"/>
  <c r="L21" i="11"/>
  <c r="K21" i="11"/>
  <c r="J21" i="11"/>
  <c r="P20" i="11"/>
  <c r="J20" i="11" s="1"/>
  <c r="N20" i="11"/>
  <c r="L20" i="11"/>
  <c r="K20" i="11"/>
  <c r="P19" i="11"/>
  <c r="J19" i="11" s="1"/>
  <c r="N19" i="11"/>
  <c r="L19" i="11"/>
  <c r="K19" i="11"/>
  <c r="P18" i="11"/>
  <c r="J18" i="11" s="1"/>
  <c r="N18" i="11"/>
  <c r="L18" i="11"/>
  <c r="K18" i="11"/>
  <c r="P17" i="11"/>
  <c r="I17" i="11" s="1"/>
  <c r="N17" i="11"/>
  <c r="L17" i="11"/>
  <c r="K17" i="11"/>
  <c r="P16" i="11"/>
  <c r="J16" i="11" s="1"/>
  <c r="N16" i="11"/>
  <c r="L16" i="11"/>
  <c r="K16" i="11"/>
  <c r="P15" i="11"/>
  <c r="J15" i="11" s="1"/>
  <c r="N15" i="11"/>
  <c r="L15" i="11"/>
  <c r="K15" i="11"/>
  <c r="P14" i="11"/>
  <c r="J14" i="11" s="1"/>
  <c r="N14" i="11"/>
  <c r="L14" i="11"/>
  <c r="K14" i="11"/>
  <c r="I14" i="11"/>
  <c r="P13" i="11"/>
  <c r="J13" i="11" s="1"/>
  <c r="N13" i="11"/>
  <c r="L13" i="11"/>
  <c r="K13" i="11"/>
  <c r="P12" i="11"/>
  <c r="J12" i="11" s="1"/>
  <c r="N12" i="11"/>
  <c r="L12" i="11"/>
  <c r="K12" i="11"/>
  <c r="P11" i="11"/>
  <c r="J11" i="11" s="1"/>
  <c r="N11" i="11"/>
  <c r="L11" i="11"/>
  <c r="K11" i="11"/>
  <c r="P10" i="11"/>
  <c r="J10" i="11" s="1"/>
  <c r="N10" i="11"/>
  <c r="L10" i="11"/>
  <c r="K10" i="11"/>
  <c r="P9" i="11"/>
  <c r="J9" i="11" s="1"/>
  <c r="N9" i="11"/>
  <c r="L9" i="11"/>
  <c r="K9" i="11"/>
  <c r="P8" i="11"/>
  <c r="J8" i="11" s="1"/>
  <c r="N8" i="11"/>
  <c r="L8" i="11"/>
  <c r="K8" i="11"/>
  <c r="P7" i="11"/>
  <c r="J7" i="11" s="1"/>
  <c r="N7" i="11"/>
  <c r="L7" i="11"/>
  <c r="K7" i="11"/>
  <c r="I7" i="11"/>
  <c r="G7" i="11"/>
  <c r="G8" i="11" s="1"/>
  <c r="P6" i="11"/>
  <c r="J6" i="11" s="1"/>
  <c r="N6" i="11"/>
  <c r="N37" i="11" s="1"/>
  <c r="M6" i="11"/>
  <c r="L6" i="11"/>
  <c r="K6" i="11"/>
  <c r="A3" i="11"/>
  <c r="H37" i="10"/>
  <c r="F37" i="10"/>
  <c r="E37" i="10"/>
  <c r="D37" i="10"/>
  <c r="C37" i="10"/>
  <c r="P36" i="10"/>
  <c r="J36" i="10" s="1"/>
  <c r="N36" i="10"/>
  <c r="L36" i="10"/>
  <c r="K36" i="10"/>
  <c r="P35" i="10"/>
  <c r="J35" i="10" s="1"/>
  <c r="N35" i="10"/>
  <c r="L35" i="10"/>
  <c r="K35" i="10"/>
  <c r="P34" i="10"/>
  <c r="J34" i="10" s="1"/>
  <c r="N34" i="10"/>
  <c r="L34" i="10"/>
  <c r="K34" i="10"/>
  <c r="P33" i="10"/>
  <c r="I33" i="10" s="1"/>
  <c r="N33" i="10"/>
  <c r="L33" i="10"/>
  <c r="K33" i="10"/>
  <c r="P32" i="10"/>
  <c r="J32" i="10" s="1"/>
  <c r="N32" i="10"/>
  <c r="L32" i="10"/>
  <c r="K32" i="10"/>
  <c r="P31" i="10"/>
  <c r="J31" i="10" s="1"/>
  <c r="N31" i="10"/>
  <c r="L31" i="10"/>
  <c r="K31" i="10"/>
  <c r="P30" i="10"/>
  <c r="J30" i="10" s="1"/>
  <c r="N30" i="10"/>
  <c r="L30" i="10"/>
  <c r="K30" i="10"/>
  <c r="P29" i="10"/>
  <c r="J29" i="10" s="1"/>
  <c r="N29" i="10"/>
  <c r="L29" i="10"/>
  <c r="K29" i="10"/>
  <c r="P28" i="10"/>
  <c r="J28" i="10" s="1"/>
  <c r="N28" i="10"/>
  <c r="L28" i="10"/>
  <c r="K28" i="10"/>
  <c r="P27" i="10"/>
  <c r="J27" i="10" s="1"/>
  <c r="N27" i="10"/>
  <c r="L27" i="10"/>
  <c r="K27" i="10"/>
  <c r="P26" i="10"/>
  <c r="I26" i="10" s="1"/>
  <c r="N26" i="10"/>
  <c r="L26" i="10"/>
  <c r="K26" i="10"/>
  <c r="P25" i="10"/>
  <c r="J25" i="10" s="1"/>
  <c r="N25" i="10"/>
  <c r="L25" i="10"/>
  <c r="K25" i="10"/>
  <c r="P24" i="10"/>
  <c r="J24" i="10" s="1"/>
  <c r="N24" i="10"/>
  <c r="L24" i="10"/>
  <c r="K24" i="10"/>
  <c r="P23" i="10"/>
  <c r="J23" i="10" s="1"/>
  <c r="N23" i="10"/>
  <c r="L23" i="10"/>
  <c r="K23" i="10"/>
  <c r="P22" i="10"/>
  <c r="J22" i="10" s="1"/>
  <c r="N22" i="10"/>
  <c r="L22" i="10"/>
  <c r="K22" i="10"/>
  <c r="P21" i="10"/>
  <c r="J21" i="10" s="1"/>
  <c r="N21" i="10"/>
  <c r="L21" i="10"/>
  <c r="K21" i="10"/>
  <c r="I21" i="10"/>
  <c r="P20" i="10"/>
  <c r="J20" i="10" s="1"/>
  <c r="N20" i="10"/>
  <c r="L20" i="10"/>
  <c r="K20" i="10"/>
  <c r="P19" i="10"/>
  <c r="J19" i="10" s="1"/>
  <c r="N19" i="10"/>
  <c r="L19" i="10"/>
  <c r="K19" i="10"/>
  <c r="P18" i="10"/>
  <c r="J18" i="10" s="1"/>
  <c r="N18" i="10"/>
  <c r="L18" i="10"/>
  <c r="K18" i="10"/>
  <c r="P17" i="10"/>
  <c r="I17" i="10" s="1"/>
  <c r="N17" i="10"/>
  <c r="L17" i="10"/>
  <c r="K17" i="10"/>
  <c r="P16" i="10"/>
  <c r="J16" i="10" s="1"/>
  <c r="N16" i="10"/>
  <c r="L16" i="10"/>
  <c r="K16" i="10"/>
  <c r="P15" i="10"/>
  <c r="J15" i="10" s="1"/>
  <c r="N15" i="10"/>
  <c r="L15" i="10"/>
  <c r="K15" i="10"/>
  <c r="P14" i="10"/>
  <c r="I14" i="10" s="1"/>
  <c r="N14" i="10"/>
  <c r="L14" i="10"/>
  <c r="K14" i="10"/>
  <c r="J14" i="10"/>
  <c r="P13" i="10"/>
  <c r="J13" i="10" s="1"/>
  <c r="N13" i="10"/>
  <c r="L13" i="10"/>
  <c r="K13" i="10"/>
  <c r="P12" i="10"/>
  <c r="J12" i="10" s="1"/>
  <c r="N12" i="10"/>
  <c r="L12" i="10"/>
  <c r="K12" i="10"/>
  <c r="P11" i="10"/>
  <c r="J11" i="10" s="1"/>
  <c r="N11" i="10"/>
  <c r="L11" i="10"/>
  <c r="K11" i="10"/>
  <c r="P10" i="10"/>
  <c r="J10" i="10" s="1"/>
  <c r="N10" i="10"/>
  <c r="L10" i="10"/>
  <c r="K10" i="10"/>
  <c r="P9" i="10"/>
  <c r="J9" i="10" s="1"/>
  <c r="N9" i="10"/>
  <c r="L9" i="10"/>
  <c r="K9" i="10"/>
  <c r="P8" i="10"/>
  <c r="J8" i="10" s="1"/>
  <c r="N8" i="10"/>
  <c r="L8" i="10"/>
  <c r="K8" i="10"/>
  <c r="P7" i="10"/>
  <c r="J7" i="10" s="1"/>
  <c r="N7" i="10"/>
  <c r="L7" i="10"/>
  <c r="K7" i="10"/>
  <c r="G7" i="10"/>
  <c r="G8" i="10" s="1"/>
  <c r="P6" i="10"/>
  <c r="J6" i="10" s="1"/>
  <c r="N6" i="10"/>
  <c r="N37" i="10" s="1"/>
  <c r="M6" i="10"/>
  <c r="L6" i="10"/>
  <c r="K6" i="10"/>
  <c r="A3" i="10"/>
  <c r="H37" i="9"/>
  <c r="F37" i="9"/>
  <c r="E37" i="9"/>
  <c r="P36" i="9"/>
  <c r="J36" i="9" s="1"/>
  <c r="N36" i="9"/>
  <c r="M36" i="9"/>
  <c r="L36" i="9"/>
  <c r="K36" i="9"/>
  <c r="P35" i="9"/>
  <c r="I35" i="9" s="1"/>
  <c r="N35" i="9"/>
  <c r="L35" i="9"/>
  <c r="K35" i="9"/>
  <c r="D35" i="9"/>
  <c r="C35" i="9"/>
  <c r="P34" i="9"/>
  <c r="J34" i="9" s="1"/>
  <c r="N34" i="9"/>
  <c r="L34" i="9"/>
  <c r="K34" i="9"/>
  <c r="D34" i="9"/>
  <c r="C34" i="9"/>
  <c r="P33" i="9"/>
  <c r="J33" i="9" s="1"/>
  <c r="N33" i="9"/>
  <c r="L33" i="9"/>
  <c r="K33" i="9"/>
  <c r="D33" i="9"/>
  <c r="C33" i="9"/>
  <c r="P32" i="9"/>
  <c r="J32" i="9" s="1"/>
  <c r="N32" i="9"/>
  <c r="L32" i="9"/>
  <c r="K32" i="9"/>
  <c r="D32" i="9"/>
  <c r="C32" i="9"/>
  <c r="P31" i="9"/>
  <c r="J31" i="9" s="1"/>
  <c r="N31" i="9"/>
  <c r="L31" i="9"/>
  <c r="K31" i="9"/>
  <c r="D31" i="9"/>
  <c r="C31" i="9"/>
  <c r="P30" i="9"/>
  <c r="J30" i="9" s="1"/>
  <c r="N30" i="9"/>
  <c r="L30" i="9"/>
  <c r="K30" i="9"/>
  <c r="D30" i="9"/>
  <c r="C30" i="9"/>
  <c r="P29" i="9"/>
  <c r="I29" i="9" s="1"/>
  <c r="N29" i="9"/>
  <c r="L29" i="9"/>
  <c r="K29" i="9"/>
  <c r="D29" i="9"/>
  <c r="C29" i="9"/>
  <c r="P28" i="9"/>
  <c r="J28" i="9" s="1"/>
  <c r="N28" i="9"/>
  <c r="L28" i="9"/>
  <c r="K28" i="9"/>
  <c r="D28" i="9"/>
  <c r="C28" i="9"/>
  <c r="P27" i="9"/>
  <c r="J27" i="9" s="1"/>
  <c r="N27" i="9"/>
  <c r="L27" i="9"/>
  <c r="K27" i="9"/>
  <c r="D27" i="9"/>
  <c r="C27" i="9"/>
  <c r="P26" i="9"/>
  <c r="I26" i="9" s="1"/>
  <c r="N26" i="9"/>
  <c r="L26" i="9"/>
  <c r="K26" i="9"/>
  <c r="D26" i="9"/>
  <c r="C26" i="9"/>
  <c r="P25" i="9"/>
  <c r="N25" i="9"/>
  <c r="L25" i="9"/>
  <c r="K25" i="9"/>
  <c r="D25" i="9"/>
  <c r="C25" i="9"/>
  <c r="I25" i="9" s="1"/>
  <c r="P24" i="9"/>
  <c r="J24" i="9" s="1"/>
  <c r="N24" i="9"/>
  <c r="L24" i="9"/>
  <c r="K24" i="9"/>
  <c r="D24" i="9"/>
  <c r="C24" i="9"/>
  <c r="P23" i="9"/>
  <c r="J23" i="9" s="1"/>
  <c r="N23" i="9"/>
  <c r="L23" i="9"/>
  <c r="K23" i="9"/>
  <c r="D23" i="9"/>
  <c r="C23" i="9"/>
  <c r="P22" i="9"/>
  <c r="N22" i="9"/>
  <c r="L22" i="9"/>
  <c r="K22" i="9"/>
  <c r="D22" i="9"/>
  <c r="C22" i="9"/>
  <c r="P21" i="9"/>
  <c r="N21" i="9"/>
  <c r="L21" i="9"/>
  <c r="K21" i="9"/>
  <c r="D21" i="9"/>
  <c r="C21" i="9"/>
  <c r="P20" i="9"/>
  <c r="J20" i="9" s="1"/>
  <c r="N20" i="9"/>
  <c r="L20" i="9"/>
  <c r="K20" i="9"/>
  <c r="D20" i="9"/>
  <c r="C20" i="9"/>
  <c r="P19" i="9"/>
  <c r="I19" i="9" s="1"/>
  <c r="N19" i="9"/>
  <c r="L19" i="9"/>
  <c r="K19" i="9"/>
  <c r="D19" i="9"/>
  <c r="C19" i="9"/>
  <c r="P18" i="9"/>
  <c r="N18" i="9"/>
  <c r="L18" i="9"/>
  <c r="K18" i="9"/>
  <c r="D18" i="9"/>
  <c r="C18" i="9"/>
  <c r="P17" i="9"/>
  <c r="J17" i="9" s="1"/>
  <c r="N17" i="9"/>
  <c r="L17" i="9"/>
  <c r="K17" i="9"/>
  <c r="D17" i="9"/>
  <c r="C17" i="9"/>
  <c r="P16" i="9"/>
  <c r="J16" i="9" s="1"/>
  <c r="N16" i="9"/>
  <c r="L16" i="9"/>
  <c r="K16" i="9"/>
  <c r="D16" i="9"/>
  <c r="C16" i="9"/>
  <c r="P15" i="9"/>
  <c r="N15" i="9"/>
  <c r="L15" i="9"/>
  <c r="K15" i="9"/>
  <c r="D15" i="9"/>
  <c r="C15" i="9"/>
  <c r="I15" i="9" s="1"/>
  <c r="P14" i="9"/>
  <c r="J14" i="9" s="1"/>
  <c r="N14" i="9"/>
  <c r="L14" i="9"/>
  <c r="K14" i="9"/>
  <c r="D14" i="9"/>
  <c r="C14" i="9"/>
  <c r="P13" i="9"/>
  <c r="J13" i="9" s="1"/>
  <c r="N13" i="9"/>
  <c r="L13" i="9"/>
  <c r="K13" i="9"/>
  <c r="D13" i="9"/>
  <c r="C13" i="9"/>
  <c r="P12" i="9"/>
  <c r="N12" i="9"/>
  <c r="L12" i="9"/>
  <c r="K12" i="9"/>
  <c r="D12" i="9"/>
  <c r="C12" i="9"/>
  <c r="P11" i="9"/>
  <c r="J11" i="9" s="1"/>
  <c r="N11" i="9"/>
  <c r="L11" i="9"/>
  <c r="K11" i="9"/>
  <c r="D11" i="9"/>
  <c r="C11" i="9"/>
  <c r="P10" i="9"/>
  <c r="I10" i="9" s="1"/>
  <c r="N10" i="9"/>
  <c r="L10" i="9"/>
  <c r="K10" i="9"/>
  <c r="D10" i="9"/>
  <c r="C10" i="9"/>
  <c r="P9" i="9"/>
  <c r="N9" i="9"/>
  <c r="L9" i="9"/>
  <c r="K9" i="9"/>
  <c r="D9" i="9"/>
  <c r="C9" i="9"/>
  <c r="P8" i="9"/>
  <c r="J8" i="9" s="1"/>
  <c r="N8" i="9"/>
  <c r="L8" i="9"/>
  <c r="K8" i="9"/>
  <c r="D8" i="9"/>
  <c r="C8" i="9"/>
  <c r="P7" i="9"/>
  <c r="J7" i="9" s="1"/>
  <c r="N7" i="9"/>
  <c r="L7" i="9"/>
  <c r="K7" i="9"/>
  <c r="D7" i="9"/>
  <c r="C7" i="9"/>
  <c r="P6" i="9"/>
  <c r="N6" i="9"/>
  <c r="N37" i="9" s="1"/>
  <c r="L6" i="9"/>
  <c r="K6" i="9"/>
  <c r="G6" i="9"/>
  <c r="G7" i="9" s="1"/>
  <c r="D6" i="9"/>
  <c r="C6" i="9"/>
  <c r="A3" i="9"/>
  <c r="H37" i="8"/>
  <c r="F37" i="8"/>
  <c r="E37" i="8"/>
  <c r="D37" i="8"/>
  <c r="C37" i="8"/>
  <c r="P36" i="8"/>
  <c r="J36" i="8" s="1"/>
  <c r="N36" i="8"/>
  <c r="L36" i="8"/>
  <c r="K36" i="8"/>
  <c r="P35" i="8"/>
  <c r="J35" i="8" s="1"/>
  <c r="N35" i="8"/>
  <c r="L35" i="8"/>
  <c r="K35" i="8"/>
  <c r="P34" i="8"/>
  <c r="J34" i="8" s="1"/>
  <c r="N34" i="8"/>
  <c r="L34" i="8"/>
  <c r="K34" i="8"/>
  <c r="P33" i="8"/>
  <c r="I33" i="8" s="1"/>
  <c r="N33" i="8"/>
  <c r="L33" i="8"/>
  <c r="K33" i="8"/>
  <c r="J33" i="8"/>
  <c r="P32" i="8"/>
  <c r="J32" i="8" s="1"/>
  <c r="N32" i="8"/>
  <c r="L32" i="8"/>
  <c r="K32" i="8"/>
  <c r="P31" i="8"/>
  <c r="J31" i="8" s="1"/>
  <c r="N31" i="8"/>
  <c r="L31" i="8"/>
  <c r="K31" i="8"/>
  <c r="P30" i="8"/>
  <c r="J30" i="8" s="1"/>
  <c r="N30" i="8"/>
  <c r="L30" i="8"/>
  <c r="K30" i="8"/>
  <c r="I30" i="8"/>
  <c r="P29" i="8"/>
  <c r="J29" i="8" s="1"/>
  <c r="N29" i="8"/>
  <c r="L29" i="8"/>
  <c r="K29" i="8"/>
  <c r="P28" i="8"/>
  <c r="J28" i="8" s="1"/>
  <c r="N28" i="8"/>
  <c r="L28" i="8"/>
  <c r="K28" i="8"/>
  <c r="P27" i="8"/>
  <c r="J27" i="8" s="1"/>
  <c r="N27" i="8"/>
  <c r="L27" i="8"/>
  <c r="K27" i="8"/>
  <c r="P26" i="8"/>
  <c r="I26" i="8" s="1"/>
  <c r="N26" i="8"/>
  <c r="L26" i="8"/>
  <c r="K26" i="8"/>
  <c r="J26" i="8"/>
  <c r="P25" i="8"/>
  <c r="J25" i="8" s="1"/>
  <c r="N25" i="8"/>
  <c r="L25" i="8"/>
  <c r="K25" i="8"/>
  <c r="P24" i="8"/>
  <c r="I24" i="8" s="1"/>
  <c r="N24" i="8"/>
  <c r="L24" i="8"/>
  <c r="K24" i="8"/>
  <c r="P23" i="8"/>
  <c r="N23" i="8"/>
  <c r="L23" i="8"/>
  <c r="K23" i="8"/>
  <c r="J23" i="8"/>
  <c r="I23" i="8"/>
  <c r="P22" i="8"/>
  <c r="J22" i="8" s="1"/>
  <c r="N22" i="8"/>
  <c r="L22" i="8"/>
  <c r="K22" i="8"/>
  <c r="P21" i="8"/>
  <c r="I21" i="8" s="1"/>
  <c r="N21" i="8"/>
  <c r="L21" i="8"/>
  <c r="K21" i="8"/>
  <c r="P20" i="8"/>
  <c r="J20" i="8" s="1"/>
  <c r="N20" i="8"/>
  <c r="L20" i="8"/>
  <c r="K20" i="8"/>
  <c r="P19" i="8"/>
  <c r="J19" i="8" s="1"/>
  <c r="N19" i="8"/>
  <c r="L19" i="8"/>
  <c r="K19" i="8"/>
  <c r="P18" i="8"/>
  <c r="J18" i="8" s="1"/>
  <c r="N18" i="8"/>
  <c r="L18" i="8"/>
  <c r="K18" i="8"/>
  <c r="P17" i="8"/>
  <c r="J17" i="8" s="1"/>
  <c r="N17" i="8"/>
  <c r="L17" i="8"/>
  <c r="K17" i="8"/>
  <c r="P16" i="8"/>
  <c r="J16" i="8" s="1"/>
  <c r="N16" i="8"/>
  <c r="L16" i="8"/>
  <c r="K16" i="8"/>
  <c r="P15" i="8"/>
  <c r="J15" i="8" s="1"/>
  <c r="N15" i="8"/>
  <c r="L15" i="8"/>
  <c r="K15" i="8"/>
  <c r="P14" i="8"/>
  <c r="I14" i="8" s="1"/>
  <c r="N14" i="8"/>
  <c r="L14" i="8"/>
  <c r="K14" i="8"/>
  <c r="J14" i="8"/>
  <c r="P13" i="8"/>
  <c r="J13" i="8" s="1"/>
  <c r="N13" i="8"/>
  <c r="L13" i="8"/>
  <c r="K13" i="8"/>
  <c r="P12" i="8"/>
  <c r="N12" i="8"/>
  <c r="L12" i="8"/>
  <c r="K12" i="8"/>
  <c r="J12" i="8"/>
  <c r="I12" i="8"/>
  <c r="P11" i="8"/>
  <c r="N11" i="8"/>
  <c r="L11" i="8"/>
  <c r="K11" i="8"/>
  <c r="P10" i="8"/>
  <c r="J10" i="8" s="1"/>
  <c r="N10" i="8"/>
  <c r="L10" i="8"/>
  <c r="K10" i="8"/>
  <c r="P9" i="8"/>
  <c r="N9" i="8"/>
  <c r="L9" i="8"/>
  <c r="K9" i="8"/>
  <c r="J9" i="8"/>
  <c r="I9" i="8"/>
  <c r="P8" i="8"/>
  <c r="I8" i="8" s="1"/>
  <c r="N8" i="8"/>
  <c r="L8" i="8"/>
  <c r="K8" i="8"/>
  <c r="J8" i="8"/>
  <c r="P7" i="8"/>
  <c r="J7" i="8" s="1"/>
  <c r="N7" i="8"/>
  <c r="L7" i="8"/>
  <c r="K7" i="8"/>
  <c r="G7" i="8"/>
  <c r="G8" i="8" s="1"/>
  <c r="P6" i="8"/>
  <c r="J6" i="8" s="1"/>
  <c r="N6" i="8"/>
  <c r="N37" i="8" s="1"/>
  <c r="M6" i="8"/>
  <c r="L6" i="8"/>
  <c r="K6" i="8"/>
  <c r="A3" i="8"/>
  <c r="J36" i="7"/>
  <c r="E36" i="7"/>
  <c r="D36" i="7"/>
  <c r="C36" i="7"/>
  <c r="F36" i="7" s="1"/>
  <c r="G36" i="7" s="1"/>
  <c r="H36" i="7" s="1"/>
  <c r="I36" i="7" s="1"/>
  <c r="J35" i="7"/>
  <c r="E35" i="7"/>
  <c r="D35" i="7"/>
  <c r="C35" i="7"/>
  <c r="J34" i="7"/>
  <c r="E34" i="7"/>
  <c r="D34" i="7"/>
  <c r="C34" i="7"/>
  <c r="F34" i="7" s="1"/>
  <c r="G34" i="7" s="1"/>
  <c r="H34" i="7" s="1"/>
  <c r="I34" i="7" s="1"/>
  <c r="J33" i="7"/>
  <c r="E33" i="7"/>
  <c r="D33" i="7"/>
  <c r="C33" i="7"/>
  <c r="F33" i="7" s="1"/>
  <c r="G33" i="7" s="1"/>
  <c r="H33" i="7" s="1"/>
  <c r="I33" i="7" s="1"/>
  <c r="J32" i="7"/>
  <c r="E32" i="7"/>
  <c r="D32" i="7"/>
  <c r="C32" i="7"/>
  <c r="F32" i="7" s="1"/>
  <c r="G32" i="7" s="1"/>
  <c r="H32" i="7" s="1"/>
  <c r="I32" i="7" s="1"/>
  <c r="J31" i="7"/>
  <c r="E31" i="7"/>
  <c r="D31" i="7"/>
  <c r="C31" i="7"/>
  <c r="J30" i="7"/>
  <c r="E30" i="7"/>
  <c r="D30" i="7"/>
  <c r="C30" i="7"/>
  <c r="F30" i="7" s="1"/>
  <c r="G30" i="7" s="1"/>
  <c r="H30" i="7" s="1"/>
  <c r="I30" i="7" s="1"/>
  <c r="J29" i="7"/>
  <c r="E29" i="7"/>
  <c r="D29" i="7"/>
  <c r="C29" i="7"/>
  <c r="F29" i="7" s="1"/>
  <c r="G29" i="7" s="1"/>
  <c r="H29" i="7" s="1"/>
  <c r="I29" i="7" s="1"/>
  <c r="J28" i="7"/>
  <c r="E28" i="7"/>
  <c r="D28" i="7"/>
  <c r="C28" i="7"/>
  <c r="F28" i="7" s="1"/>
  <c r="G28" i="7" s="1"/>
  <c r="H28" i="7" s="1"/>
  <c r="I28" i="7" s="1"/>
  <c r="J27" i="7"/>
  <c r="E27" i="7"/>
  <c r="D27" i="7"/>
  <c r="C27" i="7"/>
  <c r="J26" i="7"/>
  <c r="E26" i="7"/>
  <c r="D26" i="7"/>
  <c r="C26" i="7"/>
  <c r="F26" i="7" s="1"/>
  <c r="G26" i="7" s="1"/>
  <c r="H26" i="7" s="1"/>
  <c r="I26" i="7" s="1"/>
  <c r="J25" i="7"/>
  <c r="E25" i="7"/>
  <c r="D25" i="7"/>
  <c r="C25" i="7"/>
  <c r="F25" i="7" s="1"/>
  <c r="G25" i="7" s="1"/>
  <c r="H25" i="7" s="1"/>
  <c r="I25" i="7" s="1"/>
  <c r="J24" i="7"/>
  <c r="E24" i="7"/>
  <c r="D24" i="7"/>
  <c r="C24" i="7"/>
  <c r="F24" i="7" s="1"/>
  <c r="G24" i="7" s="1"/>
  <c r="H24" i="7" s="1"/>
  <c r="I24" i="7" s="1"/>
  <c r="J23" i="7"/>
  <c r="E23" i="7"/>
  <c r="D23" i="7"/>
  <c r="C23" i="7"/>
  <c r="J22" i="7"/>
  <c r="E22" i="7"/>
  <c r="D22" i="7"/>
  <c r="C22" i="7"/>
  <c r="F22" i="7" s="1"/>
  <c r="G22" i="7" s="1"/>
  <c r="H22" i="7" s="1"/>
  <c r="I22" i="7" s="1"/>
  <c r="J21" i="7"/>
  <c r="E21" i="7"/>
  <c r="D21" i="7"/>
  <c r="C21" i="7"/>
  <c r="F21" i="7" s="1"/>
  <c r="G21" i="7" s="1"/>
  <c r="H21" i="7" s="1"/>
  <c r="I21" i="7" s="1"/>
  <c r="J20" i="7"/>
  <c r="E20" i="7"/>
  <c r="D20" i="7"/>
  <c r="C20" i="7"/>
  <c r="F20" i="7" s="1"/>
  <c r="G20" i="7" s="1"/>
  <c r="H20" i="7" s="1"/>
  <c r="I20" i="7" s="1"/>
  <c r="J19" i="7"/>
  <c r="E19" i="7"/>
  <c r="D19" i="7"/>
  <c r="C19" i="7"/>
  <c r="J18" i="7"/>
  <c r="E18" i="7"/>
  <c r="D18" i="7"/>
  <c r="C18" i="7"/>
  <c r="F18" i="7" s="1"/>
  <c r="G18" i="7" s="1"/>
  <c r="H18" i="7" s="1"/>
  <c r="I18" i="7" s="1"/>
  <c r="J17" i="7"/>
  <c r="E17" i="7"/>
  <c r="D17" i="7"/>
  <c r="C17" i="7"/>
  <c r="F17" i="7" s="1"/>
  <c r="G17" i="7" s="1"/>
  <c r="H17" i="7" s="1"/>
  <c r="I17" i="7" s="1"/>
  <c r="J16" i="7"/>
  <c r="E16" i="7"/>
  <c r="D16" i="7"/>
  <c r="C16" i="7"/>
  <c r="F16" i="7" s="1"/>
  <c r="G16" i="7" s="1"/>
  <c r="H16" i="7" s="1"/>
  <c r="I16" i="7" s="1"/>
  <c r="J15" i="7"/>
  <c r="E15" i="7"/>
  <c r="D15" i="7"/>
  <c r="C15" i="7"/>
  <c r="J14" i="7"/>
  <c r="E14" i="7"/>
  <c r="D14" i="7"/>
  <c r="C14" i="7"/>
  <c r="F14" i="7" s="1"/>
  <c r="G14" i="7" s="1"/>
  <c r="H14" i="7" s="1"/>
  <c r="I14" i="7" s="1"/>
  <c r="J13" i="7"/>
  <c r="E13" i="7"/>
  <c r="D13" i="7"/>
  <c r="C13" i="7"/>
  <c r="F13" i="7" s="1"/>
  <c r="G13" i="7" s="1"/>
  <c r="H13" i="7" s="1"/>
  <c r="I13" i="7" s="1"/>
  <c r="J12" i="7"/>
  <c r="E12" i="7"/>
  <c r="D12" i="7"/>
  <c r="C12" i="7"/>
  <c r="F12" i="7" s="1"/>
  <c r="G12" i="7" s="1"/>
  <c r="H12" i="7" s="1"/>
  <c r="I12" i="7" s="1"/>
  <c r="J11" i="7"/>
  <c r="E11" i="7"/>
  <c r="D11" i="7"/>
  <c r="C11" i="7"/>
  <c r="J10" i="7"/>
  <c r="E10" i="7"/>
  <c r="D10" i="7"/>
  <c r="C10" i="7"/>
  <c r="F10" i="7" s="1"/>
  <c r="G10" i="7" s="1"/>
  <c r="H10" i="7" s="1"/>
  <c r="I10" i="7" s="1"/>
  <c r="J9" i="7"/>
  <c r="E9" i="7"/>
  <c r="D9" i="7"/>
  <c r="C9" i="7"/>
  <c r="F9" i="7" s="1"/>
  <c r="G9" i="7" s="1"/>
  <c r="H9" i="7" s="1"/>
  <c r="I9" i="7" s="1"/>
  <c r="J8" i="7"/>
  <c r="E8" i="7"/>
  <c r="D8" i="7"/>
  <c r="C8" i="7"/>
  <c r="F8" i="7" s="1"/>
  <c r="G8" i="7" s="1"/>
  <c r="H8" i="7" s="1"/>
  <c r="I8" i="7" s="1"/>
  <c r="J7" i="7"/>
  <c r="E7" i="7"/>
  <c r="D7" i="7"/>
  <c r="C7" i="7"/>
  <c r="J6" i="7"/>
  <c r="E6" i="7"/>
  <c r="D6" i="7"/>
  <c r="C6" i="7"/>
  <c r="A3" i="7"/>
  <c r="M36" i="6"/>
  <c r="F36" i="6"/>
  <c r="E36" i="6"/>
  <c r="G36" i="6" s="1"/>
  <c r="C36" i="6"/>
  <c r="H36" i="6" s="1"/>
  <c r="L36" i="6" s="1"/>
  <c r="M35" i="6"/>
  <c r="F35" i="6"/>
  <c r="E35" i="6"/>
  <c r="G35" i="6" s="1"/>
  <c r="C35" i="6"/>
  <c r="H35" i="6" s="1"/>
  <c r="L35" i="6" s="1"/>
  <c r="M34" i="6"/>
  <c r="F34" i="6"/>
  <c r="E34" i="6"/>
  <c r="G34" i="6" s="1"/>
  <c r="C34" i="6"/>
  <c r="H34" i="6" s="1"/>
  <c r="L34" i="6" s="1"/>
  <c r="M33" i="6"/>
  <c r="F33" i="6"/>
  <c r="E33" i="6"/>
  <c r="G33" i="6" s="1"/>
  <c r="C33" i="6"/>
  <c r="H33" i="6" s="1"/>
  <c r="L33" i="6" s="1"/>
  <c r="M32" i="6"/>
  <c r="F32" i="6"/>
  <c r="E32" i="6"/>
  <c r="G32" i="6" s="1"/>
  <c r="C32" i="6"/>
  <c r="D32" i="6" s="1"/>
  <c r="I32" i="6" s="1"/>
  <c r="M31" i="6"/>
  <c r="F31" i="6"/>
  <c r="E31" i="6"/>
  <c r="C31" i="6"/>
  <c r="H31" i="6" s="1"/>
  <c r="L31" i="6" s="1"/>
  <c r="M30" i="6"/>
  <c r="F30" i="6"/>
  <c r="E30" i="6"/>
  <c r="G30" i="6" s="1"/>
  <c r="C30" i="6"/>
  <c r="H30" i="6" s="1"/>
  <c r="L30" i="6" s="1"/>
  <c r="M29" i="6"/>
  <c r="F29" i="6"/>
  <c r="E29" i="6"/>
  <c r="C29" i="6"/>
  <c r="H29" i="6" s="1"/>
  <c r="L29" i="6" s="1"/>
  <c r="M28" i="6"/>
  <c r="F28" i="6"/>
  <c r="E28" i="6"/>
  <c r="C28" i="6"/>
  <c r="H28" i="6" s="1"/>
  <c r="L28" i="6" s="1"/>
  <c r="M27" i="6"/>
  <c r="F27" i="6"/>
  <c r="E27" i="6"/>
  <c r="G27" i="6" s="1"/>
  <c r="C27" i="6"/>
  <c r="H27" i="6" s="1"/>
  <c r="L27" i="6" s="1"/>
  <c r="M26" i="6"/>
  <c r="F26" i="6"/>
  <c r="K26" i="6" s="1"/>
  <c r="E26" i="6"/>
  <c r="C26" i="6"/>
  <c r="D26" i="6" s="1"/>
  <c r="I26" i="6" s="1"/>
  <c r="M25" i="6"/>
  <c r="F25" i="6"/>
  <c r="K25" i="6" s="1"/>
  <c r="E25" i="6"/>
  <c r="C25" i="6"/>
  <c r="H25" i="6" s="1"/>
  <c r="L25" i="6" s="1"/>
  <c r="M24" i="6"/>
  <c r="F24" i="6"/>
  <c r="E24" i="6"/>
  <c r="G24" i="6" s="1"/>
  <c r="C24" i="6"/>
  <c r="H24" i="6" s="1"/>
  <c r="L24" i="6" s="1"/>
  <c r="M23" i="6"/>
  <c r="F23" i="6"/>
  <c r="K23" i="6" s="1"/>
  <c r="E23" i="6"/>
  <c r="G23" i="6" s="1"/>
  <c r="J23" i="6" s="1"/>
  <c r="C23" i="6"/>
  <c r="D23" i="6" s="1"/>
  <c r="I23" i="6" s="1"/>
  <c r="M22" i="6"/>
  <c r="F22" i="6"/>
  <c r="K22" i="6" s="1"/>
  <c r="E22" i="6"/>
  <c r="C22" i="6"/>
  <c r="H22" i="6" s="1"/>
  <c r="L22" i="6" s="1"/>
  <c r="M21" i="6"/>
  <c r="F21" i="6"/>
  <c r="K21" i="6" s="1"/>
  <c r="E21" i="6"/>
  <c r="C21" i="6"/>
  <c r="H21" i="6" s="1"/>
  <c r="L21" i="6" s="1"/>
  <c r="M20" i="6"/>
  <c r="F20" i="6"/>
  <c r="E20" i="6"/>
  <c r="G20" i="6" s="1"/>
  <c r="C20" i="6"/>
  <c r="H20" i="6" s="1"/>
  <c r="L20" i="6" s="1"/>
  <c r="M19" i="6"/>
  <c r="F19" i="6"/>
  <c r="E19" i="6"/>
  <c r="C19" i="6"/>
  <c r="D19" i="6" s="1"/>
  <c r="I19" i="6" s="1"/>
  <c r="M18" i="6"/>
  <c r="F18" i="6"/>
  <c r="E18" i="6"/>
  <c r="G18" i="6" s="1"/>
  <c r="C18" i="6"/>
  <c r="H18" i="6" s="1"/>
  <c r="L18" i="6" s="1"/>
  <c r="M17" i="6"/>
  <c r="F17" i="6"/>
  <c r="E17" i="6"/>
  <c r="G17" i="6" s="1"/>
  <c r="C17" i="6"/>
  <c r="H17" i="6" s="1"/>
  <c r="L17" i="6" s="1"/>
  <c r="M16" i="6"/>
  <c r="F16" i="6"/>
  <c r="E16" i="6"/>
  <c r="G16" i="6" s="1"/>
  <c r="C16" i="6"/>
  <c r="D16" i="6" s="1"/>
  <c r="I16" i="6" s="1"/>
  <c r="M15" i="6"/>
  <c r="F15" i="6"/>
  <c r="E15" i="6"/>
  <c r="C15" i="6"/>
  <c r="D15" i="6" s="1"/>
  <c r="I15" i="6" s="1"/>
  <c r="M14" i="6"/>
  <c r="F14" i="6"/>
  <c r="E14" i="6"/>
  <c r="G14" i="6" s="1"/>
  <c r="C14" i="6"/>
  <c r="H14" i="6" s="1"/>
  <c r="L14" i="6" s="1"/>
  <c r="M13" i="6"/>
  <c r="F13" i="6"/>
  <c r="E13" i="6"/>
  <c r="C13" i="6"/>
  <c r="D13" i="6" s="1"/>
  <c r="I13" i="6" s="1"/>
  <c r="M12" i="6"/>
  <c r="F12" i="6"/>
  <c r="E12" i="6"/>
  <c r="C12" i="6"/>
  <c r="D12" i="6" s="1"/>
  <c r="I12" i="6" s="1"/>
  <c r="M11" i="6"/>
  <c r="F11" i="6"/>
  <c r="E11" i="6"/>
  <c r="C11" i="6"/>
  <c r="H11" i="6" s="1"/>
  <c r="L11" i="6" s="1"/>
  <c r="M10" i="6"/>
  <c r="F10" i="6"/>
  <c r="K10" i="6" s="1"/>
  <c r="E10" i="6"/>
  <c r="G10" i="6" s="1"/>
  <c r="J10" i="6" s="1"/>
  <c r="C10" i="6"/>
  <c r="D10" i="6" s="1"/>
  <c r="I10" i="6" s="1"/>
  <c r="M9" i="6"/>
  <c r="F9" i="6"/>
  <c r="K9" i="6" s="1"/>
  <c r="E9" i="6"/>
  <c r="C9" i="6"/>
  <c r="D9" i="6" s="1"/>
  <c r="I9" i="6" s="1"/>
  <c r="M8" i="6"/>
  <c r="F8" i="6"/>
  <c r="E8" i="6"/>
  <c r="G8" i="6" s="1"/>
  <c r="C8" i="6"/>
  <c r="H8" i="6" s="1"/>
  <c r="L8" i="6" s="1"/>
  <c r="M7" i="6"/>
  <c r="F7" i="6"/>
  <c r="K7" i="6" s="1"/>
  <c r="E7" i="6"/>
  <c r="C7" i="6"/>
  <c r="D7" i="6" s="1"/>
  <c r="I7" i="6" s="1"/>
  <c r="M6" i="6"/>
  <c r="F6" i="6"/>
  <c r="K6" i="6" s="1"/>
  <c r="K37" i="6" s="1"/>
  <c r="E6" i="6"/>
  <c r="G6" i="6" s="1"/>
  <c r="G37" i="6" s="1"/>
  <c r="C6" i="6"/>
  <c r="H6" i="6" s="1"/>
  <c r="A3" i="6"/>
  <c r="J29" i="9" l="1"/>
  <c r="F18" i="12"/>
  <c r="F19" i="12" s="1"/>
  <c r="F20" i="12" s="1"/>
  <c r="J9" i="9"/>
  <c r="J25" i="9"/>
  <c r="H19" i="6"/>
  <c r="L19" i="6" s="1"/>
  <c r="J21" i="8"/>
  <c r="I12" i="9"/>
  <c r="J15" i="9"/>
  <c r="J26" i="10"/>
  <c r="I19" i="11"/>
  <c r="J26" i="11"/>
  <c r="J10" i="9"/>
  <c r="I12" i="11"/>
  <c r="I12" i="10"/>
  <c r="I9" i="11"/>
  <c r="I9" i="10"/>
  <c r="K15" i="6"/>
  <c r="D35" i="6"/>
  <c r="I35" i="6" s="1"/>
  <c r="K8" i="6"/>
  <c r="I17" i="8"/>
  <c r="G7" i="6"/>
  <c r="J7" i="6" s="1"/>
  <c r="G11" i="6"/>
  <c r="G15" i="6"/>
  <c r="J24" i="8"/>
  <c r="J19" i="9"/>
  <c r="I10" i="11"/>
  <c r="I22" i="9"/>
  <c r="I28" i="10"/>
  <c r="I25" i="10"/>
  <c r="I18" i="11"/>
  <c r="K37" i="11"/>
  <c r="F17" i="13"/>
  <c r="F18" i="13" s="1"/>
  <c r="F19" i="13" s="1"/>
  <c r="I18" i="9"/>
  <c r="I16" i="10"/>
  <c r="I19" i="10"/>
  <c r="I35" i="10"/>
  <c r="L37" i="11"/>
  <c r="I25" i="11"/>
  <c r="I28" i="11"/>
  <c r="I13" i="9"/>
  <c r="J18" i="9"/>
  <c r="I32" i="10"/>
  <c r="I35" i="11"/>
  <c r="I7" i="10"/>
  <c r="I10" i="10"/>
  <c r="I21" i="9"/>
  <c r="J26" i="9"/>
  <c r="I16" i="11"/>
  <c r="I32" i="11"/>
  <c r="I32" i="8"/>
  <c r="I35" i="8"/>
  <c r="S3" i="9"/>
  <c r="I16" i="9"/>
  <c r="J21" i="9"/>
  <c r="I23" i="10"/>
  <c r="K31" i="6"/>
  <c r="L37" i="9"/>
  <c r="G19" i="6"/>
  <c r="J19" i="6" s="1"/>
  <c r="K28" i="6"/>
  <c r="K12" i="6"/>
  <c r="H16" i="6"/>
  <c r="L16" i="6" s="1"/>
  <c r="K19" i="6"/>
  <c r="D29" i="6"/>
  <c r="I29" i="6" s="1"/>
  <c r="K35" i="6"/>
  <c r="K16" i="6"/>
  <c r="G26" i="6"/>
  <c r="J26" i="6" s="1"/>
  <c r="H32" i="6"/>
  <c r="L32" i="6" s="1"/>
  <c r="G13" i="6"/>
  <c r="J13" i="6" s="1"/>
  <c r="D20" i="6"/>
  <c r="I20" i="6" s="1"/>
  <c r="H23" i="6"/>
  <c r="L23" i="6" s="1"/>
  <c r="H26" i="6"/>
  <c r="L26" i="6" s="1"/>
  <c r="G29" i="6"/>
  <c r="J29" i="6" s="1"/>
  <c r="K32" i="6"/>
  <c r="H13" i="6"/>
  <c r="L13" i="6" s="1"/>
  <c r="K37" i="8"/>
  <c r="R2" i="8"/>
  <c r="K13" i="6"/>
  <c r="K36" i="6"/>
  <c r="L37" i="8"/>
  <c r="H10" i="6"/>
  <c r="L10" i="6" s="1"/>
  <c r="K17" i="6"/>
  <c r="K29" i="6"/>
  <c r="H7" i="6"/>
  <c r="L7" i="6" s="1"/>
  <c r="K20" i="6"/>
  <c r="K33" i="6"/>
  <c r="C37" i="7"/>
  <c r="D27" i="6"/>
  <c r="I27" i="6" s="1"/>
  <c r="D37" i="7"/>
  <c r="I25" i="8"/>
  <c r="I28" i="8"/>
  <c r="E37" i="7"/>
  <c r="I16" i="8"/>
  <c r="I19" i="8"/>
  <c r="K24" i="6"/>
  <c r="I7" i="8"/>
  <c r="S2" i="9"/>
  <c r="K18" i="6"/>
  <c r="K27" i="6"/>
  <c r="K34" i="6"/>
  <c r="F7" i="7"/>
  <c r="G7" i="7" s="1"/>
  <c r="H7" i="7" s="1"/>
  <c r="I7" i="7" s="1"/>
  <c r="F11" i="7"/>
  <c r="G11" i="7" s="1"/>
  <c r="H11" i="7" s="1"/>
  <c r="I11" i="7" s="1"/>
  <c r="F15" i="7"/>
  <c r="G15" i="7" s="1"/>
  <c r="H15" i="7" s="1"/>
  <c r="I15" i="7" s="1"/>
  <c r="F19" i="7"/>
  <c r="G19" i="7" s="1"/>
  <c r="H19" i="7" s="1"/>
  <c r="I19" i="7" s="1"/>
  <c r="F23" i="7"/>
  <c r="G23" i="7" s="1"/>
  <c r="H23" i="7" s="1"/>
  <c r="I23" i="7" s="1"/>
  <c r="F27" i="7"/>
  <c r="G27" i="7" s="1"/>
  <c r="H27" i="7" s="1"/>
  <c r="I27" i="7" s="1"/>
  <c r="F31" i="7"/>
  <c r="G31" i="7" s="1"/>
  <c r="H31" i="7" s="1"/>
  <c r="I31" i="7" s="1"/>
  <c r="F35" i="7"/>
  <c r="G35" i="7" s="1"/>
  <c r="H35" i="7" s="1"/>
  <c r="I35" i="7" s="1"/>
  <c r="I10" i="8"/>
  <c r="K11" i="6"/>
  <c r="G31" i="6"/>
  <c r="K37" i="9"/>
  <c r="I9" i="9"/>
  <c r="J17" i="10"/>
  <c r="J33" i="10"/>
  <c r="I23" i="11"/>
  <c r="I30" i="10"/>
  <c r="J17" i="11"/>
  <c r="J33" i="11"/>
  <c r="J12" i="9"/>
  <c r="J22" i="9"/>
  <c r="I32" i="9"/>
  <c r="I30" i="11"/>
  <c r="I18" i="10"/>
  <c r="I34" i="10"/>
  <c r="K37" i="10"/>
  <c r="J35" i="9"/>
  <c r="L37" i="10"/>
  <c r="I28" i="9"/>
  <c r="G9" i="11"/>
  <c r="M8" i="11"/>
  <c r="R2" i="11"/>
  <c r="S2" i="11"/>
  <c r="I34" i="11"/>
  <c r="M7" i="11"/>
  <c r="I11" i="11"/>
  <c r="I27" i="11"/>
  <c r="R3" i="11"/>
  <c r="I20" i="11"/>
  <c r="I36" i="11"/>
  <c r="S3" i="11"/>
  <c r="I13" i="11"/>
  <c r="I29" i="11"/>
  <c r="I6" i="11"/>
  <c r="I22" i="11"/>
  <c r="I15" i="11"/>
  <c r="I31" i="11"/>
  <c r="I8" i="11"/>
  <c r="I24" i="11"/>
  <c r="J37" i="10"/>
  <c r="G9" i="10"/>
  <c r="M8" i="10"/>
  <c r="R2" i="10"/>
  <c r="S2" i="10"/>
  <c r="M7" i="10"/>
  <c r="O7" i="10" s="1"/>
  <c r="I11" i="10"/>
  <c r="I27" i="10"/>
  <c r="R3" i="10"/>
  <c r="I20" i="10"/>
  <c r="I36" i="10"/>
  <c r="S3" i="10"/>
  <c r="I13" i="10"/>
  <c r="I29" i="10"/>
  <c r="I6" i="10"/>
  <c r="I22" i="10"/>
  <c r="I15" i="10"/>
  <c r="I31" i="10"/>
  <c r="I8" i="10"/>
  <c r="O8" i="10" s="1"/>
  <c r="I24" i="10"/>
  <c r="G8" i="9"/>
  <c r="M7" i="9"/>
  <c r="D37" i="9"/>
  <c r="J6" i="9"/>
  <c r="J37" i="9" s="1"/>
  <c r="I31" i="9"/>
  <c r="C37" i="9"/>
  <c r="M6" i="9"/>
  <c r="I34" i="9"/>
  <c r="I6" i="9"/>
  <c r="I8" i="9"/>
  <c r="I24" i="9"/>
  <c r="I11" i="9"/>
  <c r="I27" i="9"/>
  <c r="I36" i="9"/>
  <c r="O36" i="9" s="1"/>
  <c r="R2" i="9"/>
  <c r="I14" i="9"/>
  <c r="I30" i="9"/>
  <c r="I17" i="9"/>
  <c r="I33" i="9"/>
  <c r="I20" i="9"/>
  <c r="R3" i="9"/>
  <c r="I7" i="9"/>
  <c r="I23" i="9"/>
  <c r="G9" i="8"/>
  <c r="M8" i="8"/>
  <c r="O8" i="8" s="1"/>
  <c r="S2" i="8"/>
  <c r="I18" i="8"/>
  <c r="I34" i="8"/>
  <c r="M7" i="8"/>
  <c r="I11" i="8"/>
  <c r="I27" i="8"/>
  <c r="R3" i="8"/>
  <c r="J11" i="8"/>
  <c r="J37" i="8" s="1"/>
  <c r="I20" i="8"/>
  <c r="I36" i="8"/>
  <c r="S3" i="8"/>
  <c r="I13" i="8"/>
  <c r="I29" i="8"/>
  <c r="I6" i="8"/>
  <c r="I22" i="8"/>
  <c r="I15" i="8"/>
  <c r="I31" i="8"/>
  <c r="F6" i="7"/>
  <c r="G6" i="7" s="1"/>
  <c r="J30" i="6"/>
  <c r="J14" i="6"/>
  <c r="H37" i="6"/>
  <c r="L6" i="6"/>
  <c r="L37" i="6" s="1"/>
  <c r="L38" i="6" s="1"/>
  <c r="K14" i="6"/>
  <c r="J17" i="6"/>
  <c r="K30" i="6"/>
  <c r="J33" i="6"/>
  <c r="J20" i="6"/>
  <c r="D22" i="6"/>
  <c r="I22" i="6" s="1"/>
  <c r="J36" i="6"/>
  <c r="D25" i="6"/>
  <c r="I25" i="6" s="1"/>
  <c r="D28" i="6"/>
  <c r="I28" i="6" s="1"/>
  <c r="G22" i="6"/>
  <c r="J22" i="6" s="1"/>
  <c r="D31" i="6"/>
  <c r="I31" i="6" s="1"/>
  <c r="G9" i="6"/>
  <c r="J9" i="6" s="1"/>
  <c r="J16" i="6"/>
  <c r="D18" i="6"/>
  <c r="I18" i="6" s="1"/>
  <c r="G25" i="6"/>
  <c r="J25" i="6" s="1"/>
  <c r="J32" i="6"/>
  <c r="D34" i="6"/>
  <c r="I34" i="6" s="1"/>
  <c r="C37" i="6"/>
  <c r="H9" i="6"/>
  <c r="L9" i="6" s="1"/>
  <c r="G12" i="6"/>
  <c r="J12" i="6" s="1"/>
  <c r="D21" i="6"/>
  <c r="I21" i="6" s="1"/>
  <c r="G28" i="6"/>
  <c r="J28" i="6" s="1"/>
  <c r="J35" i="6"/>
  <c r="J6" i="6"/>
  <c r="J37" i="6" s="1"/>
  <c r="H12" i="6"/>
  <c r="L12" i="6" s="1"/>
  <c r="D24" i="6"/>
  <c r="I24" i="6" s="1"/>
  <c r="E37" i="6"/>
  <c r="F37" i="6"/>
  <c r="D11" i="6"/>
  <c r="I11" i="6" s="1"/>
  <c r="D14" i="6"/>
  <c r="I14" i="6" s="1"/>
  <c r="G21" i="6"/>
  <c r="J21" i="6" s="1"/>
  <c r="D30" i="6"/>
  <c r="I30" i="6" s="1"/>
  <c r="D6" i="6"/>
  <c r="D8" i="6"/>
  <c r="I8" i="6" s="1"/>
  <c r="J15" i="6"/>
  <c r="D17" i="6"/>
  <c r="I17" i="6" s="1"/>
  <c r="J31" i="6"/>
  <c r="D33" i="6"/>
  <c r="I33" i="6" s="1"/>
  <c r="J18" i="6"/>
  <c r="J34" i="6"/>
  <c r="D36" i="6"/>
  <c r="I36" i="6" s="1"/>
  <c r="H15" i="6"/>
  <c r="L15" i="6" s="1"/>
  <c r="J8" i="6"/>
  <c r="J24" i="6"/>
  <c r="J11" i="6"/>
  <c r="J27" i="6"/>
  <c r="J37" i="11" l="1"/>
  <c r="G10" i="11"/>
  <c r="M9" i="11"/>
  <c r="O9" i="11" s="1"/>
  <c r="O7" i="11"/>
  <c r="O8" i="11"/>
  <c r="I37" i="11"/>
  <c r="O6" i="11"/>
  <c r="G10" i="10"/>
  <c r="M9" i="10"/>
  <c r="I37" i="10"/>
  <c r="O6" i="10"/>
  <c r="O6" i="9"/>
  <c r="I37" i="9"/>
  <c r="M8" i="9"/>
  <c r="G9" i="9"/>
  <c r="O7" i="9"/>
  <c r="O7" i="8"/>
  <c r="I37" i="8"/>
  <c r="O6" i="8"/>
  <c r="G10" i="8"/>
  <c r="M9" i="8"/>
  <c r="O9" i="8" s="1"/>
  <c r="G37" i="7"/>
  <c r="H6" i="7"/>
  <c r="I6" i="6"/>
  <c r="I37" i="6" s="1"/>
  <c r="D37" i="6"/>
  <c r="G11" i="11" l="1"/>
  <c r="M10" i="11"/>
  <c r="O10" i="11" s="1"/>
  <c r="O9" i="10"/>
  <c r="G11" i="10"/>
  <c r="M10" i="10"/>
  <c r="O10" i="10" s="1"/>
  <c r="O8" i="9"/>
  <c r="G10" i="9"/>
  <c r="M9" i="9"/>
  <c r="O9" i="9" s="1"/>
  <c r="G11" i="8"/>
  <c r="M10" i="8"/>
  <c r="O10" i="8" s="1"/>
  <c r="H37" i="7"/>
  <c r="I6" i="7"/>
  <c r="I37" i="7" s="1"/>
  <c r="I38" i="7" s="1"/>
  <c r="M11" i="11" l="1"/>
  <c r="O11" i="11" s="1"/>
  <c r="G12" i="11"/>
  <c r="M11" i="10"/>
  <c r="O11" i="10" s="1"/>
  <c r="G12" i="10"/>
  <c r="G11" i="9"/>
  <c r="M10" i="9"/>
  <c r="O10" i="9" s="1"/>
  <c r="M11" i="8"/>
  <c r="O11" i="8" s="1"/>
  <c r="G12" i="8"/>
  <c r="G13" i="11" l="1"/>
  <c r="M12" i="11"/>
  <c r="O12" i="11" s="1"/>
  <c r="G13" i="10"/>
  <c r="M12" i="10"/>
  <c r="M11" i="9"/>
  <c r="O11" i="9" s="1"/>
  <c r="G12" i="9"/>
  <c r="G13" i="8"/>
  <c r="M12" i="8"/>
  <c r="O12" i="8" s="1"/>
  <c r="M13" i="11" l="1"/>
  <c r="O13" i="11" s="1"/>
  <c r="G14" i="11"/>
  <c r="O12" i="10"/>
  <c r="M13" i="10"/>
  <c r="O13" i="10" s="1"/>
  <c r="G14" i="10"/>
  <c r="G13" i="9"/>
  <c r="M12" i="9"/>
  <c r="O12" i="9" s="1"/>
  <c r="M13" i="8"/>
  <c r="O13" i="8" s="1"/>
  <c r="G14" i="8"/>
  <c r="G15" i="11" l="1"/>
  <c r="M14" i="11"/>
  <c r="O14" i="11" s="1"/>
  <c r="G15" i="10"/>
  <c r="M14" i="10"/>
  <c r="O14" i="10" s="1"/>
  <c r="G14" i="9"/>
  <c r="M13" i="9"/>
  <c r="O13" i="9" s="1"/>
  <c r="G15" i="8"/>
  <c r="M14" i="8"/>
  <c r="O14" i="8" s="1"/>
  <c r="M15" i="11" l="1"/>
  <c r="O15" i="11" s="1"/>
  <c r="G16" i="11"/>
  <c r="G16" i="10"/>
  <c r="M15" i="10"/>
  <c r="O15" i="10" s="1"/>
  <c r="M14" i="9"/>
  <c r="O14" i="9" s="1"/>
  <c r="G15" i="9"/>
  <c r="G16" i="8"/>
  <c r="M15" i="8"/>
  <c r="O15" i="8" s="1"/>
  <c r="G17" i="11" l="1"/>
  <c r="M16" i="11"/>
  <c r="O16" i="11" s="1"/>
  <c r="G17" i="10"/>
  <c r="M16" i="10"/>
  <c r="O16" i="10" s="1"/>
  <c r="G16" i="9"/>
  <c r="M15" i="9"/>
  <c r="O15" i="9" s="1"/>
  <c r="G17" i="8"/>
  <c r="M16" i="8"/>
  <c r="O16" i="8" s="1"/>
  <c r="G18" i="11" l="1"/>
  <c r="M17" i="11"/>
  <c r="O17" i="11" s="1"/>
  <c r="G18" i="10"/>
  <c r="M17" i="10"/>
  <c r="O17" i="10" s="1"/>
  <c r="G17" i="9"/>
  <c r="M16" i="9"/>
  <c r="O16" i="9" s="1"/>
  <c r="G18" i="8"/>
  <c r="M17" i="8"/>
  <c r="O17" i="8" s="1"/>
  <c r="M18" i="11" l="1"/>
  <c r="O18" i="11" s="1"/>
  <c r="G19" i="11"/>
  <c r="G19" i="10"/>
  <c r="M18" i="10"/>
  <c r="O18" i="10" s="1"/>
  <c r="G18" i="9"/>
  <c r="M17" i="9"/>
  <c r="O17" i="9" s="1"/>
  <c r="M18" i="8"/>
  <c r="O18" i="8" s="1"/>
  <c r="G19" i="8"/>
  <c r="G20" i="11" l="1"/>
  <c r="M19" i="11"/>
  <c r="O19" i="11" s="1"/>
  <c r="G20" i="10"/>
  <c r="M19" i="10"/>
  <c r="O19" i="10" s="1"/>
  <c r="M18" i="9"/>
  <c r="O18" i="9" s="1"/>
  <c r="G19" i="9"/>
  <c r="G20" i="8"/>
  <c r="M19" i="8"/>
  <c r="O19" i="8" s="1"/>
  <c r="M20" i="11" l="1"/>
  <c r="O20" i="11" s="1"/>
  <c r="G21" i="11"/>
  <c r="M20" i="10"/>
  <c r="O20" i="10" s="1"/>
  <c r="G21" i="10"/>
  <c r="G20" i="9"/>
  <c r="M19" i="9"/>
  <c r="O19" i="9" s="1"/>
  <c r="M20" i="8"/>
  <c r="O20" i="8" s="1"/>
  <c r="G21" i="8"/>
  <c r="G22" i="11" l="1"/>
  <c r="M21" i="11"/>
  <c r="O21" i="11" s="1"/>
  <c r="G22" i="10"/>
  <c r="M21" i="10"/>
  <c r="O21" i="10" s="1"/>
  <c r="G21" i="9"/>
  <c r="M20" i="9"/>
  <c r="O20" i="9" s="1"/>
  <c r="G22" i="8"/>
  <c r="M21" i="8"/>
  <c r="O21" i="8" s="1"/>
  <c r="M22" i="11" l="1"/>
  <c r="O22" i="11" s="1"/>
  <c r="G23" i="11"/>
  <c r="G23" i="10"/>
  <c r="M22" i="10"/>
  <c r="O22" i="10" s="1"/>
  <c r="M21" i="9"/>
  <c r="O21" i="9" s="1"/>
  <c r="G22" i="9"/>
  <c r="M22" i="8"/>
  <c r="O22" i="8" s="1"/>
  <c r="G23" i="8"/>
  <c r="G24" i="11" l="1"/>
  <c r="M23" i="11"/>
  <c r="O23" i="11" s="1"/>
  <c r="G24" i="10"/>
  <c r="M23" i="10"/>
  <c r="O23" i="10" s="1"/>
  <c r="G23" i="9"/>
  <c r="M22" i="9"/>
  <c r="O22" i="9" s="1"/>
  <c r="G24" i="8"/>
  <c r="M23" i="8"/>
  <c r="O23" i="8" s="1"/>
  <c r="G25" i="11" l="1"/>
  <c r="M24" i="11"/>
  <c r="O24" i="11" s="1"/>
  <c r="G25" i="10"/>
  <c r="M24" i="10"/>
  <c r="O24" i="10" s="1"/>
  <c r="G24" i="9"/>
  <c r="M23" i="9"/>
  <c r="O23" i="9" s="1"/>
  <c r="G25" i="8"/>
  <c r="M24" i="8"/>
  <c r="O24" i="8" s="1"/>
  <c r="G26" i="11" l="1"/>
  <c r="M25" i="11"/>
  <c r="O25" i="11" s="1"/>
  <c r="G26" i="10"/>
  <c r="M25" i="10"/>
  <c r="O25" i="10" s="1"/>
  <c r="M24" i="9"/>
  <c r="O24" i="9" s="1"/>
  <c r="G25" i="9"/>
  <c r="G26" i="8"/>
  <c r="M25" i="8"/>
  <c r="O25" i="8" s="1"/>
  <c r="G27" i="11" l="1"/>
  <c r="M26" i="11"/>
  <c r="O26" i="11" s="1"/>
  <c r="G27" i="10"/>
  <c r="M26" i="10"/>
  <c r="O26" i="10" s="1"/>
  <c r="G26" i="9"/>
  <c r="M25" i="9"/>
  <c r="O25" i="9" s="1"/>
  <c r="G27" i="8"/>
  <c r="M26" i="8"/>
  <c r="O26" i="8" s="1"/>
  <c r="M27" i="11" l="1"/>
  <c r="O27" i="11" s="1"/>
  <c r="G28" i="11"/>
  <c r="M27" i="10"/>
  <c r="O27" i="10" s="1"/>
  <c r="G28" i="10"/>
  <c r="G27" i="9"/>
  <c r="M26" i="9"/>
  <c r="O26" i="9" s="1"/>
  <c r="M27" i="8"/>
  <c r="O27" i="8" s="1"/>
  <c r="G28" i="8"/>
  <c r="G29" i="11" l="1"/>
  <c r="M28" i="11"/>
  <c r="O28" i="11" s="1"/>
  <c r="G29" i="10"/>
  <c r="M28" i="10"/>
  <c r="O28" i="10" s="1"/>
  <c r="M27" i="9"/>
  <c r="O27" i="9" s="1"/>
  <c r="G28" i="9"/>
  <c r="G29" i="8"/>
  <c r="M28" i="8"/>
  <c r="O28" i="8" s="1"/>
  <c r="M29" i="11" l="1"/>
  <c r="O29" i="11" s="1"/>
  <c r="G30" i="11"/>
  <c r="M29" i="10"/>
  <c r="O29" i="10" s="1"/>
  <c r="G30" i="10"/>
  <c r="G29" i="9"/>
  <c r="M28" i="9"/>
  <c r="O28" i="9" s="1"/>
  <c r="M29" i="8"/>
  <c r="O29" i="8" s="1"/>
  <c r="G30" i="8"/>
  <c r="G31" i="11" l="1"/>
  <c r="M30" i="11"/>
  <c r="O30" i="11" s="1"/>
  <c r="G31" i="10"/>
  <c r="M30" i="10"/>
  <c r="O30" i="10" s="1"/>
  <c r="G30" i="9"/>
  <c r="M29" i="9"/>
  <c r="O29" i="9" s="1"/>
  <c r="G31" i="8"/>
  <c r="M30" i="8"/>
  <c r="O30" i="8" s="1"/>
  <c r="G32" i="11" l="1"/>
  <c r="M31" i="11"/>
  <c r="O31" i="11" s="1"/>
  <c r="G32" i="10"/>
  <c r="M31" i="10"/>
  <c r="O31" i="10" s="1"/>
  <c r="M30" i="9"/>
  <c r="O30" i="9" s="1"/>
  <c r="G31" i="9"/>
  <c r="G32" i="8"/>
  <c r="M31" i="8"/>
  <c r="O31" i="8" s="1"/>
  <c r="G33" i="11" l="1"/>
  <c r="M32" i="11"/>
  <c r="O32" i="11" s="1"/>
  <c r="G33" i="10"/>
  <c r="M32" i="10"/>
  <c r="O32" i="10" s="1"/>
  <c r="M31" i="9"/>
  <c r="O31" i="9" s="1"/>
  <c r="G32" i="9"/>
  <c r="G33" i="8"/>
  <c r="M32" i="8"/>
  <c r="O32" i="8" s="1"/>
  <c r="G34" i="11" l="1"/>
  <c r="M33" i="11"/>
  <c r="O33" i="11" s="1"/>
  <c r="G34" i="10"/>
  <c r="M33" i="10"/>
  <c r="O33" i="10" s="1"/>
  <c r="G33" i="9"/>
  <c r="M32" i="9"/>
  <c r="O32" i="9" s="1"/>
  <c r="G34" i="8"/>
  <c r="M33" i="8"/>
  <c r="O33" i="8" s="1"/>
  <c r="M34" i="11" l="1"/>
  <c r="O34" i="11" s="1"/>
  <c r="G35" i="11"/>
  <c r="M34" i="10"/>
  <c r="O34" i="10" s="1"/>
  <c r="G35" i="10"/>
  <c r="G34" i="9"/>
  <c r="M33" i="9"/>
  <c r="O33" i="9" s="1"/>
  <c r="M34" i="8"/>
  <c r="O34" i="8" s="1"/>
  <c r="G35" i="8"/>
  <c r="G36" i="11" l="1"/>
  <c r="M35" i="11"/>
  <c r="O35" i="11" s="1"/>
  <c r="G36" i="10"/>
  <c r="M35" i="10"/>
  <c r="O35" i="10" s="1"/>
  <c r="M34" i="9"/>
  <c r="O34" i="9" s="1"/>
  <c r="G35" i="9"/>
  <c r="G36" i="8"/>
  <c r="M35" i="8"/>
  <c r="O35" i="8" s="1"/>
  <c r="M36" i="11" l="1"/>
  <c r="G37" i="11"/>
  <c r="M36" i="10"/>
  <c r="G37" i="10"/>
  <c r="M35" i="9"/>
  <c r="G37" i="9"/>
  <c r="M36" i="8"/>
  <c r="G37" i="8"/>
  <c r="O36" i="11" l="1"/>
  <c r="O37" i="11" s="1"/>
  <c r="O38" i="11" s="1"/>
  <c r="M37" i="11"/>
  <c r="O36" i="10"/>
  <c r="O37" i="10" s="1"/>
  <c r="O38" i="10" s="1"/>
  <c r="M37" i="10"/>
  <c r="O35" i="9"/>
  <c r="O37" i="9" s="1"/>
  <c r="O38" i="9" s="1"/>
  <c r="M37" i="9"/>
  <c r="O36" i="8"/>
  <c r="O37" i="8" s="1"/>
  <c r="O38" i="8" s="1"/>
  <c r="M37" i="8"/>
  <c r="F14" i="5" l="1"/>
  <c r="F15" i="5" s="1"/>
  <c r="F16" i="5" s="1"/>
  <c r="C37" i="3"/>
  <c r="C36" i="3"/>
  <c r="F15" i="3"/>
  <c r="E15" i="3"/>
  <c r="F14" i="3"/>
  <c r="E14" i="3"/>
  <c r="F13" i="3"/>
  <c r="E13" i="3"/>
  <c r="F12" i="3"/>
  <c r="F11" i="3"/>
  <c r="F10" i="3"/>
  <c r="F9" i="3"/>
  <c r="F8" i="3"/>
  <c r="E8" i="3"/>
  <c r="F7" i="3"/>
  <c r="F6" i="3"/>
  <c r="G24" i="3" a="1"/>
  <c r="G34" i="3" a="1"/>
  <c r="G39" i="3" a="1"/>
  <c r="E49" i="3" a="1"/>
  <c r="D46" i="3" a="1"/>
  <c r="G35" i="3" a="1"/>
  <c r="L47" i="3" a="1"/>
  <c r="B57" i="3" a="1"/>
  <c r="C45" i="3" a="1"/>
  <c r="B67" i="3" a="1"/>
  <c r="E45" i="3" a="1"/>
  <c r="L52" i="3" a="1"/>
  <c r="D52" i="3" a="1"/>
  <c r="H53" i="3" a="1"/>
  <c r="K51" i="3" a="1"/>
  <c r="B52" i="3" a="1"/>
  <c r="G52" i="3" a="1"/>
  <c r="G47" i="3" a="1"/>
  <c r="E51" i="3" a="1"/>
  <c r="I53" i="3" a="1"/>
  <c r="G26" i="3" a="1"/>
  <c r="G48" i="3" a="1"/>
  <c r="B63" i="3" a="1"/>
  <c r="F49" i="3" a="1"/>
  <c r="G46" i="3" a="1"/>
  <c r="F50" i="3" a="1"/>
  <c r="K44" i="3" a="1"/>
  <c r="B47" i="3" a="1"/>
  <c r="B44" i="3" a="1"/>
  <c r="K50" i="3" a="1"/>
  <c r="K52" i="3" a="1"/>
  <c r="K45" i="3" a="1"/>
  <c r="J52" i="3" a="1"/>
  <c r="C25" i="3" a="1"/>
  <c r="L51" i="3" a="1"/>
  <c r="G50" i="3" a="1"/>
  <c r="F45" i="3" a="1"/>
  <c r="G20" i="3" a="1"/>
  <c r="G53" i="3" a="1"/>
  <c r="C23" i="3" a="1"/>
  <c r="L46" i="3" a="1"/>
  <c r="K53" i="3" a="1"/>
  <c r="G36" i="3" a="1"/>
  <c r="G31" i="3" a="1"/>
  <c r="J50" i="3" a="1"/>
  <c r="D49" i="3" a="1"/>
  <c r="D51" i="3" a="1"/>
  <c r="G38" i="3" a="1"/>
  <c r="D50" i="3" a="1"/>
  <c r="B49" i="3" a="1"/>
  <c r="G51" i="3" a="1"/>
  <c r="G30" i="3" a="1"/>
  <c r="C30" i="3" a="1"/>
  <c r="G32" i="3" a="1"/>
  <c r="K49" i="3" a="1"/>
  <c r="I49" i="3" a="1"/>
  <c r="F52" i="3" a="1"/>
  <c r="B48" i="3" a="1"/>
  <c r="F48" i="3" a="1"/>
  <c r="G25" i="3" a="1"/>
  <c r="I47" i="3" a="1"/>
  <c r="C52" i="3" a="1"/>
  <c r="E47" i="3" a="1"/>
  <c r="J49" i="3" a="1"/>
  <c r="F44" i="3" a="1"/>
  <c r="L50" i="3" a="1"/>
  <c r="D47" i="3" a="1"/>
  <c r="L45" i="3" a="1"/>
  <c r="D45" i="3" a="1"/>
  <c r="C34" i="3" a="1"/>
  <c r="C31" i="3" a="1"/>
  <c r="B46" i="3" a="1"/>
  <c r="H44" i="3" a="1"/>
  <c r="B50" i="3" a="1"/>
  <c r="E50" i="3" a="1"/>
  <c r="C21" i="3" a="1"/>
  <c r="G49" i="3" a="1"/>
  <c r="C24" i="3" a="1"/>
  <c r="C33" i="3" a="1"/>
  <c r="L44" i="3" a="1"/>
  <c r="G45" i="3" a="1"/>
  <c r="K48" i="3" a="1"/>
  <c r="B61" i="3" a="1"/>
  <c r="B62" i="3" a="1"/>
  <c r="E46" i="3" a="1"/>
  <c r="I46" i="3" a="1"/>
  <c r="H51" i="3" a="1"/>
  <c r="H50" i="3" a="1"/>
  <c r="C22" i="3" a="1"/>
  <c r="C53" i="3" a="1"/>
  <c r="F46" i="3" a="1"/>
  <c r="C46" i="3" a="1"/>
  <c r="B56" i="3" a="1"/>
  <c r="G28" i="3" a="1"/>
  <c r="I52" i="3" a="1"/>
  <c r="E48" i="3" a="1"/>
  <c r="J45" i="3" a="1"/>
  <c r="G27" i="3" a="1"/>
  <c r="G21" i="3" a="1"/>
  <c r="J51" i="3" a="1"/>
  <c r="I44" i="3" a="1"/>
  <c r="G33" i="3" a="1"/>
  <c r="H49" i="3" a="1"/>
  <c r="L53" i="3" a="1"/>
  <c r="F53" i="3" a="1"/>
  <c r="C20" i="3" a="1"/>
  <c r="C51" i="3" a="1"/>
  <c r="G40" i="3" a="1"/>
  <c r="L48" i="3" a="1"/>
  <c r="G29" i="3" a="1"/>
  <c r="B66" i="3" a="1"/>
  <c r="H45" i="3" a="1"/>
  <c r="K47" i="3" a="1"/>
  <c r="C49" i="3" a="1"/>
  <c r="G19" i="3" a="1"/>
  <c r="J48" i="3" a="1"/>
  <c r="E52" i="3" a="1"/>
  <c r="C47" i="3" a="1"/>
  <c r="E44" i="3" a="1"/>
  <c r="D48" i="3" a="1"/>
  <c r="B51" i="3" a="1"/>
  <c r="I51" i="3" a="1"/>
  <c r="C19" i="3" a="1"/>
  <c r="B45" i="3" a="1"/>
  <c r="G22" i="3" a="1"/>
  <c r="I48" i="3" a="1"/>
  <c r="B60" i="3" a="1"/>
  <c r="E53" i="3" a="1"/>
  <c r="B64" i="3" a="1"/>
  <c r="B59" i="3" a="1"/>
  <c r="G23" i="3" a="1"/>
  <c r="G44" i="3" a="1"/>
  <c r="I50" i="3" a="1"/>
  <c r="D53" i="3" a="1"/>
  <c r="C27" i="3" a="1"/>
  <c r="I45" i="3" a="1"/>
  <c r="C48" i="3" a="1"/>
  <c r="C44" i="3" a="1"/>
  <c r="J53" i="3" a="1"/>
  <c r="G37" i="3" a="1"/>
  <c r="J47" i="3" a="1"/>
  <c r="D44" i="3" a="1"/>
  <c r="F51" i="3" a="1"/>
  <c r="C50" i="3" a="1"/>
  <c r="C32" i="3" a="1"/>
  <c r="B58" i="3" a="1"/>
  <c r="J44" i="3" a="1"/>
  <c r="B53" i="3" a="1"/>
  <c r="C26" i="3" a="1"/>
  <c r="H52" i="3" a="1"/>
  <c r="L49" i="3" a="1"/>
  <c r="H48" i="3" a="1"/>
  <c r="K46" i="3" a="1"/>
  <c r="H46" i="3" a="1"/>
  <c r="F47" i="3" a="1"/>
  <c r="H47" i="3" a="1"/>
  <c r="J46" i="3" a="1"/>
  <c r="B65" i="3" a="1"/>
  <c r="G30" i="3" l="1"/>
  <c r="G34" i="3"/>
  <c r="F45" i="3"/>
  <c r="G47" i="3"/>
  <c r="H49" i="3"/>
  <c r="I51" i="3"/>
  <c r="B53" i="3"/>
  <c r="J53" i="3"/>
  <c r="B60" i="3"/>
  <c r="D7" i="3" s="1"/>
  <c r="C22" i="3"/>
  <c r="C26" i="3"/>
  <c r="B44" i="3"/>
  <c r="J44" i="3"/>
  <c r="C46" i="3"/>
  <c r="K46" i="3"/>
  <c r="D48" i="3"/>
  <c r="L48" i="3"/>
  <c r="E50" i="3"/>
  <c r="F52" i="3"/>
  <c r="C31" i="3"/>
  <c r="G35" i="3"/>
  <c r="G45" i="3"/>
  <c r="H47" i="3"/>
  <c r="I49" i="3"/>
  <c r="B51" i="3"/>
  <c r="J51" i="3"/>
  <c r="C53" i="3"/>
  <c r="K53" i="3"/>
  <c r="B61" i="3"/>
  <c r="D10" i="3" s="1"/>
  <c r="G22" i="3"/>
  <c r="E6" i="3" s="1"/>
  <c r="G26" i="3"/>
  <c r="C44" i="3"/>
  <c r="K44" i="3"/>
  <c r="D46" i="3"/>
  <c r="L46" i="3"/>
  <c r="E48" i="3"/>
  <c r="F50" i="3"/>
  <c r="G52" i="3"/>
  <c r="G31" i="3"/>
  <c r="H45" i="3"/>
  <c r="I47" i="3"/>
  <c r="B49" i="3"/>
  <c r="J49" i="3"/>
  <c r="C51" i="3"/>
  <c r="K51" i="3"/>
  <c r="D53" i="3"/>
  <c r="L53" i="3"/>
  <c r="B62" i="3"/>
  <c r="D9" i="3" s="1"/>
  <c r="C19" i="3"/>
  <c r="C23" i="3"/>
  <c r="C27" i="3"/>
  <c r="G36" i="3"/>
  <c r="E9" i="3" s="1"/>
  <c r="D44" i="3"/>
  <c r="L44" i="3"/>
  <c r="E46" i="3"/>
  <c r="F48" i="3"/>
  <c r="G50" i="3"/>
  <c r="H52" i="3"/>
  <c r="C32" i="3"/>
  <c r="I45" i="3"/>
  <c r="B47" i="3"/>
  <c r="J47" i="3"/>
  <c r="C49" i="3"/>
  <c r="K49" i="3"/>
  <c r="D51" i="3"/>
  <c r="L51" i="3"/>
  <c r="E53" i="3"/>
  <c r="B63" i="3"/>
  <c r="D11" i="3" s="1"/>
  <c r="G19" i="3"/>
  <c r="G23" i="3"/>
  <c r="G27" i="3"/>
  <c r="E12" i="3" s="1"/>
  <c r="E44" i="3"/>
  <c r="F46" i="3"/>
  <c r="G48" i="3"/>
  <c r="H50" i="3"/>
  <c r="I52" i="3"/>
  <c r="G32" i="3"/>
  <c r="E7" i="3" s="1"/>
  <c r="G37" i="3"/>
  <c r="E10" i="3" s="1"/>
  <c r="B45" i="3"/>
  <c r="J45" i="3"/>
  <c r="C47" i="3"/>
  <c r="K47" i="3"/>
  <c r="D49" i="3"/>
  <c r="L49" i="3"/>
  <c r="E51" i="3"/>
  <c r="F53" i="3"/>
  <c r="B56" i="3"/>
  <c r="B64" i="3"/>
  <c r="D12" i="3" s="1"/>
  <c r="C20" i="3"/>
  <c r="C24" i="3"/>
  <c r="G28" i="3"/>
  <c r="E5" i="3" s="1"/>
  <c r="F44" i="3"/>
  <c r="G46" i="3"/>
  <c r="H48" i="3"/>
  <c r="I50" i="3"/>
  <c r="B52" i="3"/>
  <c r="M52" i="3" s="1"/>
  <c r="B12" i="3" s="1"/>
  <c r="J52" i="3"/>
  <c r="C33" i="3"/>
  <c r="G38" i="3"/>
  <c r="C45" i="3"/>
  <c r="K45" i="3"/>
  <c r="D47" i="3"/>
  <c r="L47" i="3"/>
  <c r="E49" i="3"/>
  <c r="F51" i="3"/>
  <c r="G53" i="3"/>
  <c r="B57" i="3"/>
  <c r="D5" i="3" s="1"/>
  <c r="B65" i="3"/>
  <c r="D13" i="3" s="1"/>
  <c r="G20" i="3"/>
  <c r="G24" i="3"/>
  <c r="G44" i="3"/>
  <c r="H46" i="3"/>
  <c r="I48" i="3"/>
  <c r="B50" i="3"/>
  <c r="J50" i="3"/>
  <c r="C52" i="3"/>
  <c r="K52" i="3"/>
  <c r="G29" i="3"/>
  <c r="G33" i="3"/>
  <c r="G39" i="3"/>
  <c r="D45" i="3"/>
  <c r="L45" i="3"/>
  <c r="E47" i="3"/>
  <c r="F49" i="3"/>
  <c r="G51" i="3"/>
  <c r="H53" i="3"/>
  <c r="B58" i="3"/>
  <c r="D14" i="3" s="1"/>
  <c r="G14" i="3" s="1"/>
  <c r="B66" i="3"/>
  <c r="D15" i="3" s="1"/>
  <c r="C21" i="3"/>
  <c r="C25" i="3"/>
  <c r="H44" i="3"/>
  <c r="I46" i="3"/>
  <c r="B48" i="3"/>
  <c r="J48" i="3"/>
  <c r="C50" i="3"/>
  <c r="K50" i="3"/>
  <c r="D52" i="3"/>
  <c r="L52" i="3"/>
  <c r="C30" i="3"/>
  <c r="C34" i="3"/>
  <c r="G40" i="3"/>
  <c r="E45" i="3"/>
  <c r="F47" i="3"/>
  <c r="G49" i="3"/>
  <c r="H51" i="3"/>
  <c r="I53" i="3"/>
  <c r="B59" i="3"/>
  <c r="D6" i="3" s="1"/>
  <c r="B67" i="3"/>
  <c r="D8" i="3" s="1"/>
  <c r="G21" i="3"/>
  <c r="G25" i="3"/>
  <c r="I44" i="3"/>
  <c r="B46" i="3"/>
  <c r="J46" i="3"/>
  <c r="C48" i="3"/>
  <c r="K48" i="3"/>
  <c r="D50" i="3"/>
  <c r="L50" i="3"/>
  <c r="E52" i="3"/>
  <c r="C29" i="3" l="1"/>
  <c r="C13" i="3" s="1"/>
  <c r="C16" i="3" s="1"/>
  <c r="G12" i="3"/>
  <c r="G13" i="3"/>
  <c r="M49" i="3"/>
  <c r="B9" i="3" s="1"/>
  <c r="G9" i="3" s="1"/>
  <c r="M53" i="3"/>
  <c r="B15" i="3" s="1"/>
  <c r="G15" i="3" s="1"/>
  <c r="M45" i="3"/>
  <c r="B5" i="3" s="1"/>
  <c r="M44" i="3"/>
  <c r="E11" i="3"/>
  <c r="D4" i="3"/>
  <c r="D16" i="3" s="1"/>
  <c r="B55" i="3"/>
  <c r="M48" i="3"/>
  <c r="B8" i="3" s="1"/>
  <c r="G8" i="3" s="1"/>
  <c r="E4" i="3"/>
  <c r="G18" i="3"/>
  <c r="M46" i="3"/>
  <c r="B6" i="3" s="1"/>
  <c r="G6" i="3" s="1"/>
  <c r="M47" i="3"/>
  <c r="B7" i="3" s="1"/>
  <c r="G7" i="3" s="1"/>
  <c r="M51" i="3"/>
  <c r="B11" i="3" s="1"/>
  <c r="F5" i="3"/>
  <c r="M50" i="3"/>
  <c r="B10" i="3" s="1"/>
  <c r="G10" i="3" s="1"/>
  <c r="F4" i="3"/>
  <c r="C18" i="3"/>
  <c r="E16" i="3" l="1"/>
  <c r="G11" i="3"/>
  <c r="B4" i="3"/>
  <c r="K42" i="3"/>
  <c r="G5" i="3"/>
  <c r="F16" i="3"/>
  <c r="B16" i="3" l="1"/>
  <c r="G4" i="3"/>
  <c r="G16" i="3" s="1"/>
  <c r="A1" i="3" s="1"/>
  <c r="K36" i="2" l="1"/>
  <c r="J36" i="2"/>
  <c r="I36" i="2"/>
  <c r="H36" i="2"/>
  <c r="S35" i="2"/>
  <c r="R35" i="2"/>
  <c r="Q35" i="2"/>
  <c r="N35" i="2"/>
  <c r="M35" i="2"/>
  <c r="L35" i="2"/>
  <c r="S34" i="2"/>
  <c r="R34" i="2"/>
  <c r="Q34" i="2"/>
  <c r="N34" i="2"/>
  <c r="M34" i="2"/>
  <c r="L34" i="2"/>
  <c r="S33" i="2"/>
  <c r="R33" i="2"/>
  <c r="Q33" i="2"/>
  <c r="N33" i="2"/>
  <c r="M33" i="2"/>
  <c r="L33" i="2"/>
  <c r="S32" i="2"/>
  <c r="R32" i="2"/>
  <c r="Q32" i="2"/>
  <c r="N32" i="2"/>
  <c r="M32" i="2"/>
  <c r="L32" i="2"/>
  <c r="S31" i="2"/>
  <c r="R31" i="2"/>
  <c r="Q31" i="2"/>
  <c r="N31" i="2"/>
  <c r="M31" i="2"/>
  <c r="L31" i="2"/>
  <c r="S30" i="2"/>
  <c r="R30" i="2"/>
  <c r="Q30" i="2"/>
  <c r="N30" i="2"/>
  <c r="M30" i="2"/>
  <c r="L30" i="2"/>
  <c r="S29" i="2"/>
  <c r="R29" i="2"/>
  <c r="Q29" i="2"/>
  <c r="N29" i="2"/>
  <c r="M29" i="2"/>
  <c r="L29" i="2"/>
  <c r="S28" i="2"/>
  <c r="R28" i="2"/>
  <c r="Q28" i="2"/>
  <c r="N28" i="2"/>
  <c r="M28" i="2"/>
  <c r="L28" i="2"/>
  <c r="S27" i="2"/>
  <c r="R27" i="2"/>
  <c r="Q27" i="2"/>
  <c r="N27" i="2"/>
  <c r="M27" i="2"/>
  <c r="L27" i="2"/>
  <c r="S26" i="2"/>
  <c r="R26" i="2"/>
  <c r="Q26" i="2"/>
  <c r="N26" i="2"/>
  <c r="M26" i="2"/>
  <c r="L26" i="2"/>
  <c r="S25" i="2"/>
  <c r="R25" i="2"/>
  <c r="Q25" i="2"/>
  <c r="N25" i="2"/>
  <c r="M25" i="2"/>
  <c r="L25" i="2"/>
  <c r="S24" i="2"/>
  <c r="R24" i="2"/>
  <c r="Q24" i="2"/>
  <c r="N24" i="2"/>
  <c r="M24" i="2"/>
  <c r="L24" i="2"/>
  <c r="S23" i="2"/>
  <c r="R23" i="2"/>
  <c r="Q23" i="2"/>
  <c r="N23" i="2"/>
  <c r="M23" i="2"/>
  <c r="L23" i="2"/>
  <c r="S22" i="2"/>
  <c r="R22" i="2"/>
  <c r="Q22" i="2"/>
  <c r="N22" i="2"/>
  <c r="M22" i="2"/>
  <c r="L22" i="2"/>
  <c r="S21" i="2"/>
  <c r="R21" i="2"/>
  <c r="Q21" i="2"/>
  <c r="N21" i="2"/>
  <c r="M21" i="2"/>
  <c r="L21" i="2"/>
  <c r="S20" i="2"/>
  <c r="R20" i="2"/>
  <c r="Q20" i="2"/>
  <c r="N20" i="2"/>
  <c r="M20" i="2"/>
  <c r="L20" i="2"/>
  <c r="S19" i="2"/>
  <c r="R19" i="2"/>
  <c r="Q19" i="2"/>
  <c r="N19" i="2"/>
  <c r="M19" i="2"/>
  <c r="L19" i="2"/>
  <c r="S18" i="2"/>
  <c r="R18" i="2"/>
  <c r="Q18" i="2"/>
  <c r="N18" i="2"/>
  <c r="M18" i="2"/>
  <c r="L18" i="2"/>
  <c r="S17" i="2"/>
  <c r="R17" i="2"/>
  <c r="Q17" i="2"/>
  <c r="N17" i="2"/>
  <c r="M17" i="2"/>
  <c r="L17" i="2"/>
  <c r="S16" i="2"/>
  <c r="S36" i="2" s="1"/>
  <c r="R16" i="2"/>
  <c r="Q16" i="2"/>
  <c r="N16" i="2"/>
  <c r="M16" i="2"/>
  <c r="L16" i="2"/>
  <c r="S15" i="2"/>
  <c r="R15" i="2"/>
  <c r="Q15" i="2"/>
  <c r="N15" i="2"/>
  <c r="M15" i="2"/>
  <c r="L15" i="2"/>
  <c r="S14" i="2"/>
  <c r="R14" i="2"/>
  <c r="Q14" i="2"/>
  <c r="N14" i="2"/>
  <c r="M14" i="2"/>
  <c r="L14" i="2"/>
  <c r="S13" i="2"/>
  <c r="R13" i="2"/>
  <c r="Q13" i="2"/>
  <c r="N13" i="2"/>
  <c r="M13" i="2"/>
  <c r="L13" i="2"/>
  <c r="S12" i="2"/>
  <c r="R12" i="2"/>
  <c r="Q12" i="2"/>
  <c r="N12" i="2"/>
  <c r="M12" i="2"/>
  <c r="L12" i="2"/>
  <c r="S11" i="2"/>
  <c r="R11" i="2"/>
  <c r="Q11" i="2"/>
  <c r="N11" i="2"/>
  <c r="M11" i="2"/>
  <c r="L11" i="2"/>
  <c r="S10" i="2"/>
  <c r="R10" i="2"/>
  <c r="Q10" i="2"/>
  <c r="N10" i="2"/>
  <c r="M10" i="2"/>
  <c r="L10" i="2"/>
  <c r="S9" i="2"/>
  <c r="R9" i="2"/>
  <c r="Q9" i="2"/>
  <c r="N9" i="2"/>
  <c r="M9" i="2"/>
  <c r="L9" i="2"/>
  <c r="S8" i="2"/>
  <c r="R8" i="2"/>
  <c r="Q8" i="2"/>
  <c r="N8" i="2"/>
  <c r="M8" i="2"/>
  <c r="L8" i="2"/>
  <c r="S7" i="2"/>
  <c r="R7" i="2"/>
  <c r="Q7" i="2"/>
  <c r="N7" i="2"/>
  <c r="M7" i="2"/>
  <c r="L7" i="2"/>
  <c r="F7" i="2"/>
  <c r="F8" i="2" s="1"/>
  <c r="S6" i="2"/>
  <c r="R6" i="2"/>
  <c r="Q6" i="2"/>
  <c r="N6" i="2"/>
  <c r="M6" i="2"/>
  <c r="L6" i="2"/>
  <c r="F6" i="2"/>
  <c r="O6" i="2" s="1"/>
  <c r="S5" i="2"/>
  <c r="R5" i="2"/>
  <c r="R36" i="2" s="1"/>
  <c r="Q5" i="2"/>
  <c r="Q36" i="2" s="1"/>
  <c r="O5" i="2"/>
  <c r="N5" i="2"/>
  <c r="N36" i="2" s="1"/>
  <c r="M5" i="2"/>
  <c r="M36" i="2" s="1"/>
  <c r="L5" i="2"/>
  <c r="L36" i="2" s="1"/>
  <c r="F5" i="2"/>
  <c r="A2" i="2"/>
  <c r="F9" i="2" l="1"/>
  <c r="O8" i="2"/>
  <c r="T8" i="2"/>
  <c r="G8" i="2"/>
  <c r="P8" i="2" s="1"/>
  <c r="G7" i="2"/>
  <c r="P7" i="2" s="1"/>
  <c r="T7" i="2" s="1"/>
  <c r="O7" i="2"/>
  <c r="G9" i="2"/>
  <c r="P9" i="2" s="1"/>
  <c r="G6" i="2"/>
  <c r="P6" i="2" s="1"/>
  <c r="T6" i="2" s="1"/>
  <c r="G5" i="2"/>
  <c r="P5" i="2" l="1"/>
  <c r="O9" i="2"/>
  <c r="T9" i="2" s="1"/>
  <c r="F10" i="2"/>
  <c r="T5" i="2" l="1"/>
  <c r="O10" i="2"/>
  <c r="F11" i="2"/>
  <c r="G10" i="2"/>
  <c r="T10" i="2" l="1"/>
  <c r="P10" i="2"/>
  <c r="F12" i="2"/>
  <c r="O11" i="2"/>
  <c r="G11" i="2"/>
  <c r="P11" i="2" s="1"/>
  <c r="T11" i="2" l="1"/>
  <c r="O12" i="2"/>
  <c r="F13" i="2"/>
  <c r="G12" i="2"/>
  <c r="P12" i="2" s="1"/>
  <c r="F14" i="2" l="1"/>
  <c r="O13" i="2"/>
  <c r="G13" i="2"/>
  <c r="P13" i="2" s="1"/>
  <c r="T12" i="2"/>
  <c r="T13" i="2" l="1"/>
  <c r="F15" i="2"/>
  <c r="O14" i="2"/>
  <c r="G14" i="2"/>
  <c r="P14" i="2" s="1"/>
  <c r="T14" i="2" l="1"/>
  <c r="O15" i="2"/>
  <c r="F16" i="2"/>
  <c r="G15" i="2"/>
  <c r="P15" i="2" s="1"/>
  <c r="T15" i="2" l="1"/>
  <c r="O16" i="2"/>
  <c r="F17" i="2"/>
  <c r="G16" i="2"/>
  <c r="P16" i="2" s="1"/>
  <c r="F18" i="2" l="1"/>
  <c r="O17" i="2"/>
  <c r="G17" i="2"/>
  <c r="P17" i="2" s="1"/>
  <c r="T16" i="2"/>
  <c r="T17" i="2" l="1"/>
  <c r="O18" i="2"/>
  <c r="F19" i="2"/>
  <c r="G18" i="2"/>
  <c r="P18" i="2" s="1"/>
  <c r="T18" i="2" l="1"/>
  <c r="O19" i="2"/>
  <c r="F20" i="2"/>
  <c r="G19" i="2"/>
  <c r="P19" i="2" s="1"/>
  <c r="F21" i="2" l="1"/>
  <c r="O20" i="2"/>
  <c r="G20" i="2"/>
  <c r="P20" i="2" s="1"/>
  <c r="T19" i="2"/>
  <c r="T20" i="2" l="1"/>
  <c r="F22" i="2"/>
  <c r="O21" i="2"/>
  <c r="G21" i="2"/>
  <c r="P21" i="2" s="1"/>
  <c r="T21" i="2" l="1"/>
  <c r="O22" i="2"/>
  <c r="F23" i="2"/>
  <c r="G22" i="2"/>
  <c r="P22" i="2" s="1"/>
  <c r="F24" i="2" l="1"/>
  <c r="O23" i="2"/>
  <c r="G23" i="2"/>
  <c r="P23" i="2" s="1"/>
  <c r="T22" i="2"/>
  <c r="T23" i="2" l="1"/>
  <c r="F25" i="2"/>
  <c r="O24" i="2"/>
  <c r="G24" i="2"/>
  <c r="P24" i="2" s="1"/>
  <c r="T24" i="2" l="1"/>
  <c r="O25" i="2"/>
  <c r="F26" i="2"/>
  <c r="G25" i="2"/>
  <c r="P25" i="2" s="1"/>
  <c r="F27" i="2" l="1"/>
  <c r="O26" i="2"/>
  <c r="G26" i="2"/>
  <c r="P26" i="2" s="1"/>
  <c r="T25" i="2"/>
  <c r="T26" i="2" l="1"/>
  <c r="F28" i="2"/>
  <c r="O27" i="2"/>
  <c r="G27" i="2"/>
  <c r="P27" i="2" s="1"/>
  <c r="T27" i="2" l="1"/>
  <c r="O28" i="2"/>
  <c r="F29" i="2"/>
  <c r="G28" i="2"/>
  <c r="P28" i="2" s="1"/>
  <c r="F30" i="2" l="1"/>
  <c r="O29" i="2"/>
  <c r="G29" i="2"/>
  <c r="P29" i="2" s="1"/>
  <c r="T28" i="2"/>
  <c r="T29" i="2" l="1"/>
  <c r="F31" i="2"/>
  <c r="O30" i="2"/>
  <c r="G30" i="2"/>
  <c r="P30" i="2" s="1"/>
  <c r="T30" i="2" l="1"/>
  <c r="F32" i="2"/>
  <c r="O31" i="2"/>
  <c r="G31" i="2"/>
  <c r="P31" i="2" s="1"/>
  <c r="F33" i="2" l="1"/>
  <c r="O32" i="2"/>
  <c r="G32" i="2"/>
  <c r="P32" i="2" s="1"/>
  <c r="T31" i="2"/>
  <c r="T32" i="2" l="1"/>
  <c r="F34" i="2"/>
  <c r="O33" i="2"/>
  <c r="G33" i="2"/>
  <c r="P33" i="2" s="1"/>
  <c r="T33" i="2" l="1"/>
  <c r="O34" i="2"/>
  <c r="F35" i="2"/>
  <c r="G34" i="2"/>
  <c r="P34" i="2" s="1"/>
  <c r="O35" i="2" l="1"/>
  <c r="G35" i="2"/>
  <c r="F36" i="2"/>
  <c r="T34" i="2"/>
  <c r="P35" i="2" l="1"/>
  <c r="P36" i="2" s="1"/>
  <c r="G36" i="2"/>
  <c r="T35" i="2"/>
  <c r="T36" i="2" s="1"/>
  <c r="T37" i="2" s="1"/>
  <c r="A1" i="2" s="1"/>
  <c r="O36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<sst xmlns="http://schemas.openxmlformats.org/spreadsheetml/2006/main" count="2020" uniqueCount="287">
  <si>
    <t>№</t>
  </si>
  <si>
    <t>дата</t>
  </si>
  <si>
    <t>Выгрузка кол-во</t>
  </si>
  <si>
    <t>Загрузка кол-во</t>
  </si>
  <si>
    <t>Хранение</t>
  </si>
  <si>
    <t>Резервирование 70 т</t>
  </si>
  <si>
    <t>Мин. Суточный резерв 0 т</t>
  </si>
  <si>
    <t>переконсолидация (тонн)</t>
  </si>
  <si>
    <t>Паллетирование</t>
  </si>
  <si>
    <t xml:space="preserve">Ночная загруска выгрузка </t>
  </si>
  <si>
    <t>стоимость ночной загруски</t>
  </si>
  <si>
    <t>стоимость выгрузки</t>
  </si>
  <si>
    <t>стоимость загрузки</t>
  </si>
  <si>
    <t>стоимость хранения</t>
  </si>
  <si>
    <t>Стоимость резервирования</t>
  </si>
  <si>
    <t>Стоимость мин.суточной бработки</t>
  </si>
  <si>
    <t>стоимость переконс.</t>
  </si>
  <si>
    <t>Стоимость паллетирования</t>
  </si>
  <si>
    <t>итого</t>
  </si>
  <si>
    <t>ТОП</t>
  </si>
  <si>
    <t>Склад</t>
  </si>
  <si>
    <t>Сибур</t>
  </si>
  <si>
    <t>Завод</t>
  </si>
  <si>
    <t>Русвинил</t>
  </si>
  <si>
    <t>Клиенты сибура</t>
  </si>
  <si>
    <t>Остальные</t>
  </si>
  <si>
    <t>Итого</t>
  </si>
  <si>
    <t>Казань_Автосервисная</t>
  </si>
  <si>
    <t>Баумана</t>
  </si>
  <si>
    <t>Нижнекамск завод</t>
  </si>
  <si>
    <t>Новикова-Прибоя</t>
  </si>
  <si>
    <t>Екатеринбург</t>
  </si>
  <si>
    <t>Новосибирск</t>
  </si>
  <si>
    <t>Новосибирск_Пасечная</t>
  </si>
  <si>
    <t>Казань_Приволжская</t>
  </si>
  <si>
    <t>Зеленодольск</t>
  </si>
  <si>
    <t>Нижнекамск</t>
  </si>
  <si>
    <t>ГАЗ</t>
  </si>
  <si>
    <t>Монастырка</t>
  </si>
  <si>
    <t>Березовая Пойма</t>
  </si>
  <si>
    <t>Остальные клиенты</t>
  </si>
  <si>
    <t>Стройтех</t>
  </si>
  <si>
    <t>Приоритет</t>
  </si>
  <si>
    <t>Ергарда</t>
  </si>
  <si>
    <t>Фармпласт</t>
  </si>
  <si>
    <t>Литейные решения</t>
  </si>
  <si>
    <t>Юг Полимер</t>
  </si>
  <si>
    <t>Сандекс</t>
  </si>
  <si>
    <t>Центрополимер</t>
  </si>
  <si>
    <t>ЛС-Техномет</t>
  </si>
  <si>
    <t>РусДжам</t>
  </si>
  <si>
    <t>Виго</t>
  </si>
  <si>
    <t>Доктор Франк</t>
  </si>
  <si>
    <t>Данафлекс</t>
  </si>
  <si>
    <t>Нефтезол</t>
  </si>
  <si>
    <t>ИП Ксендз</t>
  </si>
  <si>
    <t>ПРР</t>
  </si>
  <si>
    <t>Кладовки</t>
  </si>
  <si>
    <t>Стропальщики</t>
  </si>
  <si>
    <t>Биаксплен</t>
  </si>
  <si>
    <t>Мойка контейнеров</t>
  </si>
  <si>
    <t>МТО</t>
  </si>
  <si>
    <t>Контейнерные площадки</t>
  </si>
  <si>
    <t>КОС</t>
  </si>
  <si>
    <t>Оникс</t>
  </si>
  <si>
    <t>СИБУР</t>
  </si>
  <si>
    <t>KPI</t>
  </si>
  <si>
    <t>Полиом</t>
  </si>
  <si>
    <t>Полимеры</t>
  </si>
  <si>
    <t>Каучук</t>
  </si>
  <si>
    <t>ПСОН</t>
  </si>
  <si>
    <t>Полиэфир</t>
  </si>
  <si>
    <t>СБС</t>
  </si>
  <si>
    <t>Порошок</t>
  </si>
  <si>
    <t>НПЭГ</t>
  </si>
  <si>
    <t>Экспорт</t>
  </si>
  <si>
    <t>Доп услуги</t>
  </si>
  <si>
    <t>ИТОГО</t>
  </si>
  <si>
    <t xml:space="preserve">Наименование услуг (работ) </t>
  </si>
  <si>
    <t>Ед. изм.</t>
  </si>
  <si>
    <t>Количество</t>
  </si>
  <si>
    <t>Цена</t>
  </si>
  <si>
    <t>Сумма</t>
  </si>
  <si>
    <t>Итого:</t>
  </si>
  <si>
    <t>Без налога (НДС)</t>
  </si>
  <si>
    <t>Всего (с учетом НДС)</t>
  </si>
  <si>
    <t>Вышеперечисленные услуги (работы) выполнены полностью.</t>
  </si>
  <si>
    <t>ПОКЛАЖЕДАТЕЛЬ претензий по объему, качеству и срокам оказания услуг претензий не имеет.</t>
  </si>
  <si>
    <t>Контейнеры</t>
  </si>
  <si>
    <t>ООО "ДТМ"</t>
  </si>
  <si>
    <t>ПАО "Нижнекамскнефтехим"</t>
  </si>
  <si>
    <t>____________________Молькова Т.Ю.</t>
  </si>
  <si>
    <t>Расстегаев Д.О.</t>
  </si>
  <si>
    <t>____________________</t>
  </si>
  <si>
    <t>Резерв 8000 т</t>
  </si>
  <si>
    <t>Приемка</t>
  </si>
  <si>
    <t>Отгрузка</t>
  </si>
  <si>
    <t>Резерв ПРР 300 т</t>
  </si>
  <si>
    <t>Стоимость резерва хранения</t>
  </si>
  <si>
    <t>Стоимость ПРР</t>
  </si>
  <si>
    <t>Стоимость резерва ПРР</t>
  </si>
  <si>
    <t>Хранение Баумана</t>
  </si>
  <si>
    <t>Хранение Новикова</t>
  </si>
  <si>
    <t>Хранение Березовая Пойма</t>
  </si>
  <si>
    <t>Общее хранение</t>
  </si>
  <si>
    <t>стоимость резерва</t>
  </si>
  <si>
    <t>Выходной</t>
  </si>
  <si>
    <t>Рабочий</t>
  </si>
  <si>
    <t>Выгрузка</t>
  </si>
  <si>
    <t>Выгрузка кол-во тонн</t>
  </si>
  <si>
    <t>Загрузка кол-во тонн</t>
  </si>
  <si>
    <t>Выгрузка после 20:00</t>
  </si>
  <si>
    <t>Загрузка после 20:00</t>
  </si>
  <si>
    <t>Стоимость выгрузки после 20:00</t>
  </si>
  <si>
    <t>Стоимость загрузки после 20:00</t>
  </si>
  <si>
    <t>(кол-во тонн)</t>
  </si>
  <si>
    <t>С НДС;</t>
  </si>
  <si>
    <t xml:space="preserve">по Договору хранения № РУС 4102 от «20» февраля 2023 г.      </t>
  </si>
  <si>
    <t xml:space="preserve">     </t>
  </si>
  <si>
    <t>Приемка товара</t>
  </si>
  <si>
    <t>тонн</t>
  </si>
  <si>
    <t>Приемка товара в выходные дни</t>
  </si>
  <si>
    <t>Приемка после 20:00</t>
  </si>
  <si>
    <t>Загрузка товара в выходные дни</t>
  </si>
  <si>
    <t>Загрузка товара</t>
  </si>
  <si>
    <t>Хранение товара</t>
  </si>
  <si>
    <t>Резерв хранения</t>
  </si>
  <si>
    <t>Резерв ПРР</t>
  </si>
  <si>
    <t>ООО "РусВинил"</t>
  </si>
  <si>
    <t>____________________Расстегаев Д.О.</t>
  </si>
  <si>
    <t xml:space="preserve">по Договору хранения № СХ.47103 от «10» апреля 2025 г.      </t>
  </si>
  <si>
    <t xml:space="preserve">Сумма без НДС </t>
  </si>
  <si>
    <t>Сумма с НДС</t>
  </si>
  <si>
    <t>оформление документов</t>
  </si>
  <si>
    <t>шт.</t>
  </si>
  <si>
    <t>Оформление сертификата</t>
  </si>
  <si>
    <t xml:space="preserve">Итого: </t>
  </si>
  <si>
    <t>тридцать тысячь рублей ноль копеек</t>
  </si>
  <si>
    <t xml:space="preserve">Без налога (НДС): </t>
  </si>
  <si>
    <t>тридцать шесть тысяч рублей ноль копеек</t>
  </si>
  <si>
    <t>ПАО "СИБУР Холдинг"</t>
  </si>
  <si>
    <t xml:space="preserve">по Договору хранения № СХ.45411 от «01» января 2025 г.      </t>
  </si>
  <si>
    <t>одна тысяча рублей ноль копеек</t>
  </si>
  <si>
    <t>одна тысяча двести рублей ноль копеек</t>
  </si>
  <si>
    <t>тридцать тысяч рублей ноль копеек</t>
  </si>
  <si>
    <t>Отчет по хранению  товара  за Декабрь</t>
  </si>
  <si>
    <t>Выгрузка кол-во паллет</t>
  </si>
  <si>
    <t>Загрузка кол-во паллет</t>
  </si>
  <si>
    <t>Ручная загрузка</t>
  </si>
  <si>
    <t>Ручная выгрузка</t>
  </si>
  <si>
    <t>предоставление паллеты</t>
  </si>
  <si>
    <t>Фильмаж (паллет)</t>
  </si>
  <si>
    <t>Стоимость ручной загрузки</t>
  </si>
  <si>
    <t>Стоимость ручной выгрузки</t>
  </si>
  <si>
    <t>Стоимость предоставления паллета</t>
  </si>
  <si>
    <t>стоимость услуги фильмаж</t>
  </si>
  <si>
    <t>(кол-во паллет)</t>
  </si>
  <si>
    <t>Отчет "Сандекс" Декабрь 2025</t>
  </si>
  <si>
    <t>Стоимость</t>
  </si>
  <si>
    <t>Выгрузка паллет</t>
  </si>
  <si>
    <t>Выгрузка короб</t>
  </si>
  <si>
    <t>Загрузка паллет</t>
  </si>
  <si>
    <t>Загрузка короб</t>
  </si>
  <si>
    <t>Наборка короб</t>
  </si>
  <si>
    <t>Палетирование</t>
  </si>
  <si>
    <t>Выгрузка палллет</t>
  </si>
  <si>
    <t>Наборка</t>
  </si>
  <si>
    <t>Отчет по хранению  товара  СтройТех за Декабрь</t>
  </si>
  <si>
    <t>ручная загрузка</t>
  </si>
  <si>
    <t>стоимость загр.. Работ</t>
  </si>
  <si>
    <t>мультипак</t>
  </si>
  <si>
    <t>шт,.</t>
  </si>
  <si>
    <t>Отчет "Доктор Франк" Декабрь 2025</t>
  </si>
  <si>
    <t>Предоставление паддона</t>
  </si>
  <si>
    <t>оформление и выдача ТТН</t>
  </si>
  <si>
    <t>Печать этикеток</t>
  </si>
  <si>
    <t>Маркировка</t>
  </si>
  <si>
    <t xml:space="preserve">Перекладка Товара  </t>
  </si>
  <si>
    <t>Упаковка в стрейч</t>
  </si>
  <si>
    <t>Упаковка в пупырку</t>
  </si>
  <si>
    <t>Паллеты</t>
  </si>
  <si>
    <t>Документы</t>
  </si>
  <si>
    <t xml:space="preserve">Перекладка товара </t>
  </si>
  <si>
    <t>Отчет по хранению  товара  Ергарда за Декабрь</t>
  </si>
  <si>
    <t>Переконсолидация Товара</t>
  </si>
  <si>
    <t>тонна</t>
  </si>
  <si>
    <t>Предоставление фито поддона</t>
  </si>
  <si>
    <t>штука</t>
  </si>
  <si>
    <t>Акт  №    от  «30» Сентября 2025 г. Казань_Приволжская</t>
  </si>
  <si>
    <t xml:space="preserve"> Во исполнение Договора в период с "01" Сентября 2025 г. по "30" Сентября  2025 г. ХРАНИТЕЛЬ оказал ПОКЛАЖЕДАТЕЛЮ следующие услуги (работы):</t>
  </si>
  <si>
    <t>десять тысяч рублей ноль копеек</t>
  </si>
  <si>
    <t>двеналцать тысяч рублей ноль копеек</t>
  </si>
  <si>
    <t>пятьдесят шесть тысячь рублей ноль копеек</t>
  </si>
  <si>
    <t>шестьдесят семь тысяч двести рублей ноль копеек</t>
  </si>
  <si>
    <t xml:space="preserve">по Договору хранения № СХ.45111 от «01» января 2025 г.      </t>
  </si>
  <si>
    <t>двести шестнадцать тысяч рублей ноль копеек</t>
  </si>
  <si>
    <t>двести пятьдесят девять тысяч двести рублей ноль копеек</t>
  </si>
  <si>
    <t>Отчет по хранению товара за Декабрь 2025 Баумана KPI</t>
  </si>
  <si>
    <t>Резервирование 6920 ГЕ</t>
  </si>
  <si>
    <t>Мин. Суточный резерв 625</t>
  </si>
  <si>
    <t>Взвешивание</t>
  </si>
  <si>
    <t>Стоимость взвешивания</t>
  </si>
  <si>
    <t>01.12.2025</t>
  </si>
  <si>
    <t>02.12.2025</t>
  </si>
  <si>
    <t>03.12.2025</t>
  </si>
  <si>
    <t>04.12.2025</t>
  </si>
  <si>
    <t>05.12.2025</t>
  </si>
  <si>
    <t>06.12.2025</t>
  </si>
  <si>
    <t>07.12.2025</t>
  </si>
  <si>
    <t>08.12.2025</t>
  </si>
  <si>
    <t>09.12.2025</t>
  </si>
  <si>
    <t>10.12.2025</t>
  </si>
  <si>
    <t>11.12.2025</t>
  </si>
  <si>
    <t>12.12.2025</t>
  </si>
  <si>
    <t>13.12.2025</t>
  </si>
  <si>
    <t>14.12.2025</t>
  </si>
  <si>
    <t>15.12.2025</t>
  </si>
  <si>
    <t>16.12.2025</t>
  </si>
  <si>
    <t>17.12.2025</t>
  </si>
  <si>
    <t>18.12.2025</t>
  </si>
  <si>
    <t>19.12.2025</t>
  </si>
  <si>
    <t>20.12.2025</t>
  </si>
  <si>
    <t>21.12.2025</t>
  </si>
  <si>
    <t>22.12.2025</t>
  </si>
  <si>
    <t>23.12.2025</t>
  </si>
  <si>
    <t>24.12.2025</t>
  </si>
  <si>
    <t>25.12.2025</t>
  </si>
  <si>
    <t>26.12.2025</t>
  </si>
  <si>
    <t>27.12.2025</t>
  </si>
  <si>
    <t>28.12.2025</t>
  </si>
  <si>
    <t>29.12.2025</t>
  </si>
  <si>
    <t>30.12.2025</t>
  </si>
  <si>
    <t>31.12.2025</t>
  </si>
  <si>
    <t>Отчет по хранению товара за Декабрь 2025 Баумана Полимеры</t>
  </si>
  <si>
    <t>Отчет по хранению товара за Декабрь 2025 Баумана Полиом</t>
  </si>
  <si>
    <t>Отчет по хранению товара за Декабрь 2025 Баумана Каучук Каучук</t>
  </si>
  <si>
    <t>Резервирование 8000 ГЕ</t>
  </si>
  <si>
    <t>Мин. Суточный резерв 200</t>
  </si>
  <si>
    <t>Отчет по хранению товара за Декабрь 2025 Екатеринбург KPI</t>
  </si>
  <si>
    <t>Резервирование 10500 ГЕ</t>
  </si>
  <si>
    <t>Мин. Суточный резерв 1000</t>
  </si>
  <si>
    <t>стоимость взвешивания</t>
  </si>
  <si>
    <t>Отчет по хранению товара за Декабрь 2025 Екатеринбург Полимеры</t>
  </si>
  <si>
    <t>Отчет по хранению товара за Декабрь 2025 Екатеринбург Полиом</t>
  </si>
  <si>
    <t>Отчет по хранению товара за Декабрь 2025 Екатеринбург НПЭГ НПЭГ</t>
  </si>
  <si>
    <t>Отчет по хранению товара за Декабрь 2025 Зеленодольск Полимеры</t>
  </si>
  <si>
    <t>Резервирование 9500 ГЕ</t>
  </si>
  <si>
    <t>Мин. Суточный резерв 700</t>
  </si>
  <si>
    <t>Отчет по хранению товара за Декабрь 2025 Зеленодольск Данафлекс Данафлекс</t>
  </si>
  <si>
    <t>Мин. Суточный резерв 800</t>
  </si>
  <si>
    <t>Отчет по хранению товара за Декабрь 2025 Казань_Автосервисная Полимеры</t>
  </si>
  <si>
    <t>Резервирование 12000 т</t>
  </si>
  <si>
    <t>Мин. Суточный резерв 1000 т</t>
  </si>
  <si>
    <t>Отчет по хранению товара за Декабрь 2025 Казань_Автосервисная Полиом</t>
  </si>
  <si>
    <t>Отчет по хранению товара за Декабрь 2025 Казань_Приволжская Полимеры</t>
  </si>
  <si>
    <t>Резервирование 6000 т</t>
  </si>
  <si>
    <t>Мин. Суточный резерв 500 т</t>
  </si>
  <si>
    <t>Отчет по хранению товара за Декабрь 2025 Нижнекамск Каучук Каучук</t>
  </si>
  <si>
    <t>Резервирование 3250 ГЕ</t>
  </si>
  <si>
    <t>Отчет по хранению товара за Декабрь 2025 Нижнекамск НПЭГ НПЭГ</t>
  </si>
  <si>
    <t>Резервирование 1000 ГЕ</t>
  </si>
  <si>
    <t>Мин. Суточный резерв 100</t>
  </si>
  <si>
    <t>Отчет по хранению товара за Декабрь 2025 Нижнекамск ПСОН ПСОН</t>
  </si>
  <si>
    <t>Отчет по хранению товара за Декабрь 2025 Нижнекамск СБС СБС</t>
  </si>
  <si>
    <t>Отчет по хранению товара за Декабрь 2025 Новикова-Прибоя KPI</t>
  </si>
  <si>
    <t>Резервирование 12000 ГЕ</t>
  </si>
  <si>
    <t>Мин. Суточный резерв 1400</t>
  </si>
  <si>
    <t>стоимость хранения в месяц</t>
  </si>
  <si>
    <t>Хранение Сибур</t>
  </si>
  <si>
    <t>Хранение Полиом</t>
  </si>
  <si>
    <t>Отчет по хранению товара за Декабрь 2025 Новикова-Прибоя Полимеры</t>
  </si>
  <si>
    <t>Резервирование 0</t>
  </si>
  <si>
    <t>Мин. Суточный резерв 400</t>
  </si>
  <si>
    <t>стоимость хранения 
6 840 000 в месяц</t>
  </si>
  <si>
    <t>Хранение KPI</t>
  </si>
  <si>
    <t>Отчет по хранению товара за Декабрь 2025 Новикова-Прибоя Полиом</t>
  </si>
  <si>
    <t>Отчет по хранению товара за Декабрь 2025 Новосибирск KPI</t>
  </si>
  <si>
    <t>Резервирование 4000 ГЕ</t>
  </si>
  <si>
    <t>Мин. Суточный резерв 600</t>
  </si>
  <si>
    <t>Отчет по хранению товара за Декабрь 2025 Новосибирск Полимеры</t>
  </si>
  <si>
    <t>Отчет по хранению товара за Декабрь 2025 Новосибирск Полиом</t>
  </si>
  <si>
    <t>Отчет по хранению товара за Декабрь 2025 Новосибирск Порошок Порошок</t>
  </si>
  <si>
    <t>Резервирование 510 т</t>
  </si>
  <si>
    <t>Мин. Суточный резерв 0</t>
  </si>
  <si>
    <t>Отчет по хранению товара за Декабрь 2025 Новосибирск_Пасечная Порошок</t>
  </si>
  <si>
    <t>Резервирование 1870 т</t>
  </si>
  <si>
    <t>Мин. Суточный резерв 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</si>
</sst>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&quot;₽&quot;#,##0.00_);\(&quot;₽&quot;#,##0.00\)"/>
    <numFmt numFmtId="165" formatCode="_(&quot;₽&quot;* #,##0.00_);_(&quot;₽&quot;* \(#,##0.00\);_(&quot;₽&quot;* &quot;-&quot;??_);_(@_)"/>
    <numFmt numFmtId="166" formatCode="0.000000"/>
    <numFmt numFmtId="167" formatCode="0.000"/>
    <numFmt numFmtId="168" formatCode="0.0000"/>
    <numFmt numFmtId="169" formatCode="#,##0.00\ &quot;₽&quot;"/>
    <numFmt numFmtId="170" formatCode="#,##0.000"/>
    <numFmt numFmtId="171" formatCode="_-* #,##0.00\ [$₽-419]_-;\-* #,##0.00\ [$₽-419]_-;_-* &quot;-&quot;??\ [$₽-419]_-;_-@_-"/>
    <numFmt numFmtId="172" formatCode="_-* #,##0.00\ &quot;₽&quot;_-;\-* #,##0.00\ &quot;₽&quot;_-;_-* &quot;-&quot;??\ &quot;₽&quot;_-;_-@"/>
  </numFmts>
  <fonts count="31">
    <font>
      <sz val="12"/>
      <color theme="1"/>
      <name val="0xProto"/>
      <family val="2"/>
      <charset val="204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Arial"/>
      <family val="2"/>
    </font>
    <font>
      <b/>
      <sz val="10"/>
      <name val="Times New Roman"/>
      <family val="1"/>
      <charset val="204"/>
    </font>
    <font>
      <sz val="12"/>
      <name val="Arial"/>
      <family val="2"/>
    </font>
    <font>
      <sz val="11"/>
      <name val="Arial"/>
      <family val="2"/>
    </font>
    <font>
      <sz val="11"/>
      <name val="Calibri"/>
      <family val="2"/>
      <charset val="204"/>
      <scheme val="minor"/>
    </font>
    <font>
      <b/>
      <sz val="11"/>
      <color rgb="FF00B050"/>
      <name val="Calibri"/>
      <family val="2"/>
      <charset val="204"/>
      <scheme val="minor"/>
    </font>
    <font>
      <b/>
      <sz val="48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1"/>
      <name val="Calibri"/>
      <family val="2"/>
      <charset val="204"/>
    </font>
    <font>
      <b/>
      <sz val="12"/>
      <color rgb="FF00B050"/>
      <name val="Calibri"/>
      <family val="2"/>
      <charset val="204"/>
      <scheme val="minor"/>
    </font>
    <font>
      <b/>
      <sz val="11"/>
      <name val="Calibri"/>
      <family val="2"/>
      <charset val="204"/>
    </font>
    <font>
      <sz val="10"/>
      <color rgb="FF00000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11"/>
      <color rgb="FFFF0000"/>
      <name val="Calibri"/>
      <family val="2"/>
      <scheme val="minor"/>
    </font>
    <font>
      <sz val="11"/>
      <color theme="1"/>
      <name val="Times New Roman"/>
      <family val="1"/>
      <charset val="204"/>
    </font>
    <font>
      <sz val="11"/>
      <color theme="1"/>
      <name val="Arial"/>
      <family val="2"/>
      <charset val="204"/>
    </font>
    <font>
      <b/>
      <sz val="12"/>
      <color theme="1"/>
      <name val="Arial"/>
      <family val="2"/>
      <charset val="204"/>
    </font>
    <font>
      <b/>
      <sz val="16"/>
      <color theme="1"/>
      <name val="Calibri"/>
      <family val="2"/>
      <charset val="204"/>
    </font>
    <font>
      <b/>
      <sz val="14"/>
      <color theme="1"/>
      <name val="Arial"/>
      <family val="2"/>
      <charset val="204"/>
    </font>
    <font>
      <b/>
      <sz val="11"/>
      <color theme="1"/>
      <name val="Calibri"/>
      <family val="2"/>
      <charset val="204"/>
    </font>
    <font>
      <b/>
      <sz val="10"/>
      <color theme="1"/>
      <name val="Times New Roman"/>
      <family val="1"/>
      <charset val="204"/>
    </font>
    <font>
      <sz val="11"/>
      <color theme="1"/>
      <name val="Calibri"/>
      <family val="2"/>
      <charset val="204"/>
    </font>
    <font>
      <b/>
      <sz val="12"/>
      <color rgb="FF00B050"/>
      <name val="Calibri"/>
      <family val="2"/>
      <charset val="204"/>
    </font>
    <font>
      <b/>
      <sz val="11"/>
      <color rgb="FFFF0000"/>
      <name val="Arial"/>
      <family val="2"/>
      <charset val="204"/>
    </font>
    <font>
      <sz val="10"/>
      <color theme="1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rgb="FFFFFFC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6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2">
    <xf numFmtId="0" fontId="0" fillId="0" borderId="0"/>
    <xf numFmtId="0" fontId="1" fillId="0" borderId="0"/>
    <xf numFmtId="0" fontId="4" fillId="0" borderId="0"/>
    <xf numFmtId="0" fontId="4" fillId="0" borderId="0"/>
    <xf numFmtId="0" fontId="4" fillId="0" borderId="0"/>
    <xf numFmtId="165" fontId="1" fillId="0" borderId="0" applyFont="0" applyFill="0" applyBorder="0" applyAlignment="0" applyProtection="0"/>
    <xf numFmtId="0" fontId="8" fillId="0" borderId="0"/>
    <xf numFmtId="0" fontId="4" fillId="0" borderId="0"/>
    <xf numFmtId="0" fontId="4" fillId="0" borderId="0"/>
    <xf numFmtId="0" fontId="4" fillId="0" borderId="0"/>
    <xf numFmtId="0" fontId="16" fillId="0" borderId="0"/>
    <xf numFmtId="0" fontId="4" fillId="0" borderId="0"/>
  </cellStyleXfs>
  <cellXfs count="277">
    <xf numFmtId="0" fontId="0" fillId="0" borderId="0" xfId="0"/>
    <xf numFmtId="165" fontId="1" fillId="0" borderId="0" xfId="1" applyNumberFormat="1"/>
    <xf numFmtId="0" fontId="1" fillId="0" borderId="0" xfId="1"/>
    <xf numFmtId="0" fontId="1" fillId="0" borderId="0" xfId="1" quotePrefix="1"/>
    <xf numFmtId="0" fontId="3" fillId="0" borderId="2" xfId="1" applyFont="1" applyBorder="1" applyAlignment="1">
      <alignment horizontal="center" wrapText="1"/>
    </xf>
    <xf numFmtId="0" fontId="3" fillId="0" borderId="5" xfId="1" applyFont="1" applyBorder="1" applyAlignment="1">
      <alignment horizontal="center" wrapText="1"/>
    </xf>
    <xf numFmtId="0" fontId="1" fillId="0" borderId="8" xfId="1" applyBorder="1" applyAlignment="1">
      <alignment horizontal="center"/>
    </xf>
    <xf numFmtId="0" fontId="6" fillId="0" borderId="10" xfId="3" applyFont="1" applyBorder="1" applyAlignment="1">
      <alignment vertical="top"/>
    </xf>
    <xf numFmtId="166" fontId="7" fillId="0" borderId="10" xfId="4" applyNumberFormat="1" applyFont="1" applyBorder="1" applyAlignment="1">
      <alignment horizontal="right" vertical="top"/>
    </xf>
    <xf numFmtId="166" fontId="8" fillId="0" borderId="11" xfId="2" applyNumberFormat="1" applyFont="1" applyBorder="1" applyAlignment="1">
      <alignment horizontal="right" vertical="top"/>
    </xf>
    <xf numFmtId="167" fontId="1" fillId="0" borderId="11" xfId="1" applyNumberFormat="1" applyBorder="1"/>
    <xf numFmtId="0" fontId="1" fillId="0" borderId="11" xfId="1" applyBorder="1"/>
    <xf numFmtId="165" fontId="1" fillId="0" borderId="11" xfId="1" applyNumberFormat="1" applyBorder="1"/>
    <xf numFmtId="0" fontId="1" fillId="0" borderId="11" xfId="1" applyBorder="1" applyAlignment="1">
      <alignment horizontal="center"/>
    </xf>
    <xf numFmtId="0" fontId="7" fillId="0" borderId="10" xfId="3" applyFont="1" applyBorder="1" applyAlignment="1">
      <alignment horizontal="right" vertical="top"/>
    </xf>
    <xf numFmtId="167" fontId="7" fillId="0" borderId="10" xfId="3" applyNumberFormat="1" applyFont="1" applyBorder="1" applyAlignment="1">
      <alignment horizontal="right" vertical="top"/>
    </xf>
    <xf numFmtId="0" fontId="7" fillId="0" borderId="10" xfId="3" applyFont="1" applyBorder="1" applyAlignment="1">
      <alignment vertical="top"/>
    </xf>
    <xf numFmtId="168" fontId="7" fillId="0" borderId="10" xfId="3" applyNumberFormat="1" applyFont="1" applyBorder="1" applyAlignment="1">
      <alignment horizontal="right" vertical="top"/>
    </xf>
    <xf numFmtId="0" fontId="1" fillId="0" borderId="12" xfId="1" applyBorder="1"/>
    <xf numFmtId="167" fontId="3" fillId="0" borderId="11" xfId="1" applyNumberFormat="1" applyFont="1" applyBorder="1"/>
    <xf numFmtId="1" fontId="3" fillId="0" borderId="11" xfId="1" applyNumberFormat="1" applyFont="1" applyBorder="1"/>
    <xf numFmtId="165" fontId="3" fillId="0" borderId="11" xfId="1" applyNumberFormat="1" applyFont="1" applyBorder="1"/>
    <xf numFmtId="0" fontId="3" fillId="0" borderId="0" xfId="1" applyFont="1"/>
    <xf numFmtId="165" fontId="9" fillId="0" borderId="11" xfId="1" applyNumberFormat="1" applyFont="1" applyBorder="1"/>
    <xf numFmtId="166" fontId="1" fillId="0" borderId="0" xfId="1" applyNumberFormat="1"/>
    <xf numFmtId="0" fontId="8" fillId="0" borderId="0" xfId="6"/>
    <xf numFmtId="165" fontId="10" fillId="0" borderId="13" xfId="6" applyNumberFormat="1" applyFont="1" applyBorder="1" applyAlignment="1">
      <alignment vertical="center"/>
    </xf>
    <xf numFmtId="0" fontId="10" fillId="0" borderId="13" xfId="6" applyFont="1" applyBorder="1" applyAlignment="1">
      <alignment vertical="center"/>
    </xf>
    <xf numFmtId="0" fontId="11" fillId="0" borderId="16" xfId="6" applyFont="1" applyBorder="1" applyAlignment="1">
      <alignment horizontal="center"/>
    </xf>
    <xf numFmtId="0" fontId="11" fillId="0" borderId="17" xfId="6" applyFont="1" applyBorder="1" applyAlignment="1">
      <alignment horizontal="center"/>
    </xf>
    <xf numFmtId="0" fontId="11" fillId="0" borderId="18" xfId="6" applyFont="1" applyBorder="1" applyAlignment="1">
      <alignment horizontal="center"/>
    </xf>
    <xf numFmtId="165" fontId="8" fillId="0" borderId="19" xfId="5" applyFont="1" applyBorder="1"/>
    <xf numFmtId="169" fontId="8" fillId="0" borderId="20" xfId="5" applyNumberFormat="1" applyFont="1" applyBorder="1"/>
    <xf numFmtId="0" fontId="8" fillId="0" borderId="21" xfId="6" applyBorder="1" applyAlignment="1">
      <alignment horizontal="center"/>
    </xf>
    <xf numFmtId="169" fontId="8" fillId="0" borderId="5" xfId="5" applyNumberFormat="1" applyFont="1" applyBorder="1" applyAlignment="1">
      <alignment horizontal="right"/>
    </xf>
    <xf numFmtId="169" fontId="9" fillId="0" borderId="22" xfId="5" applyNumberFormat="1" applyFont="1" applyBorder="1" applyAlignment="1">
      <alignment horizontal="right"/>
    </xf>
    <xf numFmtId="165" fontId="8" fillId="0" borderId="9" xfId="5" applyFont="1" applyBorder="1"/>
    <xf numFmtId="169" fontId="8" fillId="0" borderId="23" xfId="5" applyNumberFormat="1" applyFont="1" applyBorder="1"/>
    <xf numFmtId="0" fontId="8" fillId="0" borderId="9" xfId="6" applyBorder="1" applyAlignment="1">
      <alignment horizontal="center"/>
    </xf>
    <xf numFmtId="0" fontId="12" fillId="0" borderId="9" xfId="6" applyFont="1" applyBorder="1" applyAlignment="1">
      <alignment horizontal="center"/>
    </xf>
    <xf numFmtId="0" fontId="12" fillId="0" borderId="24" xfId="6" applyFont="1" applyBorder="1" applyAlignment="1">
      <alignment horizontal="center"/>
    </xf>
    <xf numFmtId="165" fontId="8" fillId="0" borderId="25" xfId="5" applyFont="1" applyBorder="1"/>
    <xf numFmtId="169" fontId="8" fillId="0" borderId="26" xfId="5" applyNumberFormat="1" applyFont="1" applyBorder="1"/>
    <xf numFmtId="0" fontId="11" fillId="0" borderId="8" xfId="6" applyFont="1" applyBorder="1" applyAlignment="1">
      <alignment horizontal="center"/>
    </xf>
    <xf numFmtId="0" fontId="12" fillId="0" borderId="16" xfId="6" applyFont="1" applyBorder="1"/>
    <xf numFmtId="169" fontId="3" fillId="0" borderId="27" xfId="5" applyNumberFormat="1" applyFont="1" applyBorder="1" applyAlignment="1">
      <alignment horizontal="right" vertical="center"/>
    </xf>
    <xf numFmtId="169" fontId="13" fillId="0" borderId="27" xfId="5" applyNumberFormat="1" applyFont="1" applyBorder="1" applyAlignment="1">
      <alignment horizontal="right" vertical="center"/>
    </xf>
    <xf numFmtId="0" fontId="12" fillId="0" borderId="0" xfId="6" applyFont="1"/>
    <xf numFmtId="165" fontId="3" fillId="0" borderId="0" xfId="5" applyFont="1" applyBorder="1" applyAlignment="1"/>
    <xf numFmtId="165" fontId="13" fillId="0" borderId="0" xfId="5" applyFont="1" applyBorder="1" applyAlignment="1"/>
    <xf numFmtId="169" fontId="9" fillId="0" borderId="30" xfId="6" applyNumberFormat="1" applyFont="1" applyBorder="1" applyAlignment="1">
      <alignment horizontal="right"/>
    </xf>
    <xf numFmtId="169" fontId="9" fillId="0" borderId="18" xfId="6" applyNumberFormat="1" applyFont="1" applyBorder="1" applyAlignment="1">
      <alignment horizontal="right"/>
    </xf>
    <xf numFmtId="165" fontId="9" fillId="0" borderId="0" xfId="6" applyNumberFormat="1" applyFont="1"/>
    <xf numFmtId="0" fontId="11" fillId="0" borderId="0" xfId="6" applyFont="1" applyAlignment="1">
      <alignment horizontal="center"/>
    </xf>
    <xf numFmtId="0" fontId="12" fillId="0" borderId="5" xfId="6" applyFont="1" applyBorder="1"/>
    <xf numFmtId="169" fontId="12" fillId="0" borderId="5" xfId="6" applyNumberFormat="1" applyFont="1" applyBorder="1"/>
    <xf numFmtId="169" fontId="14" fillId="0" borderId="5" xfId="5" applyNumberFormat="1" applyFont="1" applyBorder="1" applyAlignment="1">
      <alignment horizontal="right" vertical="center" wrapText="1"/>
    </xf>
    <xf numFmtId="169" fontId="14" fillId="0" borderId="8" xfId="5" applyNumberFormat="1" applyFont="1" applyBorder="1" applyAlignment="1">
      <alignment horizontal="right" vertical="center" wrapText="1"/>
    </xf>
    <xf numFmtId="165" fontId="14" fillId="0" borderId="0" xfId="5" applyFont="1" applyBorder="1" applyAlignment="1">
      <alignment horizontal="center" vertical="center" wrapText="1"/>
    </xf>
    <xf numFmtId="0" fontId="12" fillId="0" borderId="8" xfId="6" applyFont="1" applyBorder="1"/>
    <xf numFmtId="169" fontId="12" fillId="0" borderId="8" xfId="6" applyNumberFormat="1" applyFont="1" applyBorder="1"/>
    <xf numFmtId="169" fontId="12" fillId="0" borderId="0" xfId="6" applyNumberFormat="1" applyFont="1"/>
    <xf numFmtId="0" fontId="12" fillId="0" borderId="0" xfId="6" applyFont="1" applyAlignment="1">
      <alignment horizontal="center"/>
    </xf>
    <xf numFmtId="169" fontId="14" fillId="0" borderId="0" xfId="5" applyNumberFormat="1" applyFont="1" applyBorder="1" applyAlignment="1">
      <alignment horizontal="right" vertical="center" wrapText="1"/>
    </xf>
    <xf numFmtId="169" fontId="14" fillId="0" borderId="0" xfId="5" applyNumberFormat="1" applyFont="1" applyBorder="1" applyAlignment="1">
      <alignment horizontal="center" vertical="center" wrapText="1"/>
    </xf>
    <xf numFmtId="0" fontId="8" fillId="0" borderId="16" xfId="6" applyBorder="1"/>
    <xf numFmtId="0" fontId="11" fillId="0" borderId="35" xfId="6" applyFont="1" applyBorder="1" applyAlignment="1">
      <alignment horizontal="center"/>
    </xf>
    <xf numFmtId="0" fontId="11" fillId="0" borderId="29" xfId="6" applyFont="1" applyBorder="1" applyAlignment="1">
      <alignment horizontal="center"/>
    </xf>
    <xf numFmtId="0" fontId="11" fillId="0" borderId="27" xfId="6" applyFont="1" applyBorder="1" applyAlignment="1">
      <alignment horizontal="center"/>
    </xf>
    <xf numFmtId="0" fontId="11" fillId="0" borderId="5" xfId="6" applyFont="1" applyBorder="1" applyAlignment="1">
      <alignment horizontal="center"/>
    </xf>
    <xf numFmtId="169" fontId="8" fillId="0" borderId="5" xfId="5" applyNumberFormat="1" applyFont="1" applyBorder="1"/>
    <xf numFmtId="169" fontId="11" fillId="0" borderId="5" xfId="6" applyNumberFormat="1" applyFont="1" applyBorder="1"/>
    <xf numFmtId="0" fontId="14" fillId="0" borderId="8" xfId="6" applyFont="1" applyBorder="1" applyAlignment="1">
      <alignment horizontal="center"/>
    </xf>
    <xf numFmtId="165" fontId="8" fillId="0" borderId="0" xfId="5" applyFont="1" applyBorder="1"/>
    <xf numFmtId="165" fontId="11" fillId="0" borderId="0" xfId="6" applyNumberFormat="1" applyFont="1"/>
    <xf numFmtId="0" fontId="11" fillId="0" borderId="28" xfId="6" applyFont="1" applyBorder="1" applyAlignment="1">
      <alignment horizontal="center"/>
    </xf>
    <xf numFmtId="165" fontId="0" fillId="0" borderId="0" xfId="5" applyFont="1"/>
    <xf numFmtId="0" fontId="2" fillId="0" borderId="0" xfId="1" applyFont="1"/>
    <xf numFmtId="0" fontId="15" fillId="0" borderId="0" xfId="1" applyFont="1"/>
    <xf numFmtId="0" fontId="1" fillId="0" borderId="8" xfId="1" applyBorder="1"/>
    <xf numFmtId="0" fontId="1" fillId="0" borderId="8" xfId="1" applyBorder="1" applyAlignment="1">
      <alignment horizontal="center" vertical="center"/>
    </xf>
    <xf numFmtId="0" fontId="16" fillId="0" borderId="0" xfId="1" applyFont="1" applyAlignment="1">
      <alignment wrapText="1"/>
    </xf>
    <xf numFmtId="1" fontId="16" fillId="0" borderId="8" xfId="1" applyNumberFormat="1" applyFont="1" applyBorder="1" applyAlignment="1">
      <alignment horizontal="center" vertical="center"/>
    </xf>
    <xf numFmtId="165" fontId="0" fillId="0" borderId="8" xfId="5" applyFont="1" applyBorder="1" applyAlignment="1">
      <alignment vertical="center"/>
    </xf>
    <xf numFmtId="0" fontId="16" fillId="0" borderId="36" xfId="1" applyFont="1" applyBorder="1" applyAlignment="1">
      <alignment vertical="center" wrapText="1"/>
    </xf>
    <xf numFmtId="0" fontId="16" fillId="0" borderId="8" xfId="1" applyFont="1" applyBorder="1" applyAlignment="1">
      <alignment horizontal="left" vertical="top" wrapText="1"/>
    </xf>
    <xf numFmtId="165" fontId="0" fillId="0" borderId="8" xfId="5" applyFont="1" applyBorder="1"/>
    <xf numFmtId="165" fontId="3" fillId="0" borderId="0" xfId="5" applyFont="1"/>
    <xf numFmtId="165" fontId="3" fillId="0" borderId="0" xfId="5" applyFont="1" applyFill="1" applyBorder="1"/>
    <xf numFmtId="0" fontId="1" fillId="3" borderId="0" xfId="1" applyFill="1"/>
    <xf numFmtId="167" fontId="1" fillId="3" borderId="8" xfId="1" applyNumberFormat="1" applyFill="1" applyBorder="1"/>
    <xf numFmtId="0" fontId="1" fillId="3" borderId="8" xfId="1" applyFill="1" applyBorder="1"/>
    <xf numFmtId="165" fontId="1" fillId="3" borderId="8" xfId="1" applyNumberFormat="1" applyFill="1" applyBorder="1"/>
    <xf numFmtId="167" fontId="3" fillId="0" borderId="16" xfId="1" applyNumberFormat="1" applyFont="1" applyBorder="1"/>
    <xf numFmtId="165" fontId="3" fillId="0" borderId="16" xfId="1" applyNumberFormat="1" applyFont="1" applyBorder="1"/>
    <xf numFmtId="165" fontId="9" fillId="0" borderId="16" xfId="1" applyNumberFormat="1" applyFont="1" applyBorder="1"/>
    <xf numFmtId="165" fontId="9" fillId="0" borderId="18" xfId="1" applyNumberFormat="1" applyFont="1" applyBorder="1"/>
    <xf numFmtId="165" fontId="17" fillId="0" borderId="0" xfId="1" applyNumberFormat="1" applyFont="1"/>
    <xf numFmtId="167" fontId="18" fillId="3" borderId="8" xfId="8" applyNumberFormat="1" applyFont="1" applyFill="1" applyBorder="1" applyAlignment="1">
      <alignment horizontal="center" vertical="top"/>
    </xf>
    <xf numFmtId="167" fontId="1" fillId="3" borderId="8" xfId="1" applyNumberFormat="1" applyFill="1" applyBorder="1" applyAlignment="1">
      <alignment horizontal="center" vertical="center"/>
    </xf>
    <xf numFmtId="167" fontId="3" fillId="3" borderId="8" xfId="1" applyNumberFormat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wrapText="1"/>
    </xf>
    <xf numFmtId="0" fontId="3" fillId="3" borderId="5" xfId="1" applyFont="1" applyFill="1" applyBorder="1" applyAlignment="1">
      <alignment horizontal="center" wrapText="1"/>
    </xf>
    <xf numFmtId="167" fontId="16" fillId="3" borderId="8" xfId="1" applyNumberFormat="1" applyFont="1" applyFill="1" applyBorder="1" applyAlignment="1">
      <alignment horizontal="center" vertical="center"/>
    </xf>
    <xf numFmtId="167" fontId="19" fillId="3" borderId="8" xfId="1" applyNumberFormat="1" applyFont="1" applyFill="1" applyBorder="1" applyAlignment="1">
      <alignment horizontal="center" vertical="center"/>
    </xf>
    <xf numFmtId="0" fontId="3" fillId="0" borderId="16" xfId="1" applyFont="1" applyBorder="1"/>
    <xf numFmtId="167" fontId="1" fillId="3" borderId="12" xfId="1" applyNumberFormat="1" applyFill="1" applyBorder="1"/>
    <xf numFmtId="167" fontId="3" fillId="3" borderId="12" xfId="1" applyNumberFormat="1" applyFont="1" applyFill="1" applyBorder="1" applyAlignment="1">
      <alignment horizontal="center" vertical="center"/>
    </xf>
    <xf numFmtId="0" fontId="1" fillId="3" borderId="12" xfId="1" applyFill="1" applyBorder="1"/>
    <xf numFmtId="167" fontId="1" fillId="3" borderId="0" xfId="1" applyNumberFormat="1" applyFill="1"/>
    <xf numFmtId="170" fontId="16" fillId="0" borderId="8" xfId="1" applyNumberFormat="1" applyFont="1" applyBorder="1" applyAlignment="1">
      <alignment horizontal="center"/>
    </xf>
    <xf numFmtId="171" fontId="1" fillId="0" borderId="8" xfId="1" applyNumberFormat="1" applyBorder="1"/>
    <xf numFmtId="170" fontId="1" fillId="0" borderId="8" xfId="1" applyNumberFormat="1" applyBorder="1" applyAlignment="1">
      <alignment horizontal="center"/>
    </xf>
    <xf numFmtId="0" fontId="20" fillId="0" borderId="8" xfId="1" applyFont="1" applyBorder="1"/>
    <xf numFmtId="0" fontId="20" fillId="0" borderId="0" xfId="1" applyFont="1"/>
    <xf numFmtId="165" fontId="1" fillId="0" borderId="8" xfId="1" applyNumberFormat="1" applyBorder="1"/>
    <xf numFmtId="171" fontId="1" fillId="0" borderId="0" xfId="1" applyNumberFormat="1"/>
    <xf numFmtId="14" fontId="1" fillId="0" borderId="0" xfId="1" applyNumberFormat="1"/>
    <xf numFmtId="0" fontId="1" fillId="0" borderId="0" xfId="1" applyAlignment="1">
      <alignment horizontal="center" vertical="center"/>
    </xf>
    <xf numFmtId="0" fontId="1" fillId="0" borderId="0" xfId="1" applyAlignment="1">
      <alignment horizontal="center"/>
    </xf>
    <xf numFmtId="1" fontId="1" fillId="0" borderId="0" xfId="1" applyNumberFormat="1"/>
    <xf numFmtId="169" fontId="1" fillId="0" borderId="8" xfId="1" applyNumberFormat="1" applyBorder="1" applyAlignment="1">
      <alignment horizontal="center"/>
    </xf>
    <xf numFmtId="0" fontId="18" fillId="0" borderId="8" xfId="8" applyFont="1" applyBorder="1" applyAlignment="1">
      <alignment horizontal="center" vertical="top"/>
    </xf>
    <xf numFmtId="0" fontId="1" fillId="3" borderId="8" xfId="1" applyFill="1" applyBorder="1" applyAlignment="1">
      <alignment horizontal="center"/>
    </xf>
    <xf numFmtId="0" fontId="18" fillId="3" borderId="8" xfId="8" applyFont="1" applyFill="1" applyBorder="1" applyAlignment="1">
      <alignment horizontal="center" vertical="top"/>
    </xf>
    <xf numFmtId="0" fontId="1" fillId="3" borderId="8" xfId="1" applyFill="1" applyBorder="1" applyAlignment="1">
      <alignment horizontal="center" vertical="center"/>
    </xf>
    <xf numFmtId="0" fontId="3" fillId="0" borderId="17" xfId="1" applyFont="1" applyBorder="1"/>
    <xf numFmtId="1" fontId="3" fillId="0" borderId="17" xfId="1" applyNumberFormat="1" applyFont="1" applyBorder="1"/>
    <xf numFmtId="167" fontId="3" fillId="0" borderId="17" xfId="1" applyNumberFormat="1" applyFont="1" applyBorder="1"/>
    <xf numFmtId="169" fontId="9" fillId="0" borderId="18" xfId="1" applyNumberFormat="1" applyFont="1" applyBorder="1"/>
    <xf numFmtId="172" fontId="1" fillId="0" borderId="0" xfId="1" applyNumberFormat="1"/>
    <xf numFmtId="0" fontId="21" fillId="0" borderId="0" xfId="1" applyFont="1" applyAlignment="1">
      <alignment horizontal="center"/>
    </xf>
    <xf numFmtId="172" fontId="21" fillId="0" borderId="0" xfId="1" applyNumberFormat="1" applyFont="1"/>
    <xf numFmtId="0" fontId="25" fillId="0" borderId="41" xfId="1" applyFont="1" applyBorder="1" applyAlignment="1">
      <alignment horizontal="center" vertical="center" wrapText="1"/>
    </xf>
    <xf numFmtId="0" fontId="25" fillId="0" borderId="47" xfId="1" applyFont="1" applyBorder="1" applyAlignment="1">
      <alignment horizontal="center" vertical="center" wrapText="1"/>
    </xf>
    <xf numFmtId="0" fontId="16" fillId="0" borderId="5" xfId="1" applyFont="1" applyBorder="1" applyAlignment="1">
      <alignment horizontal="center" vertical="top"/>
    </xf>
    <xf numFmtId="0" fontId="16" fillId="0" borderId="5" xfId="1" applyFont="1" applyBorder="1" applyAlignment="1">
      <alignment horizontal="center" vertical="center"/>
    </xf>
    <xf numFmtId="0" fontId="16" fillId="0" borderId="5" xfId="1" applyFont="1" applyBorder="1" applyAlignment="1">
      <alignment horizontal="center" wrapText="1"/>
    </xf>
    <xf numFmtId="0" fontId="16" fillId="0" borderId="8" xfId="1" applyFont="1" applyBorder="1" applyAlignment="1">
      <alignment horizontal="center" vertical="top"/>
    </xf>
    <xf numFmtId="169" fontId="27" fillId="0" borderId="5" xfId="1" applyNumberFormat="1" applyFont="1" applyBorder="1" applyAlignment="1">
      <alignment horizontal="right"/>
    </xf>
    <xf numFmtId="172" fontId="25" fillId="0" borderId="5" xfId="1" applyNumberFormat="1" applyFont="1" applyBorder="1" applyAlignment="1">
      <alignment horizontal="right"/>
    </xf>
    <xf numFmtId="0" fontId="16" fillId="0" borderId="8" xfId="1" applyFont="1" applyBorder="1" applyAlignment="1">
      <alignment horizontal="center" vertical="center"/>
    </xf>
    <xf numFmtId="0" fontId="16" fillId="0" borderId="8" xfId="1" applyFont="1" applyBorder="1" applyAlignment="1">
      <alignment horizontal="center" wrapText="1"/>
    </xf>
    <xf numFmtId="172" fontId="25" fillId="0" borderId="8" xfId="1" applyNumberFormat="1" applyFont="1" applyBorder="1" applyAlignment="1">
      <alignment horizontal="right"/>
    </xf>
    <xf numFmtId="0" fontId="16" fillId="5" borderId="8" xfId="1" applyFont="1" applyFill="1" applyBorder="1" applyAlignment="1">
      <alignment horizontal="center" vertical="top"/>
    </xf>
    <xf numFmtId="0" fontId="16" fillId="5" borderId="8" xfId="1" applyFont="1" applyFill="1" applyBorder="1" applyAlignment="1">
      <alignment horizontal="center" vertical="center"/>
    </xf>
    <xf numFmtId="0" fontId="16" fillId="5" borderId="8" xfId="1" applyFont="1" applyFill="1" applyBorder="1" applyAlignment="1">
      <alignment horizontal="center" wrapText="1"/>
    </xf>
    <xf numFmtId="0" fontId="16" fillId="0" borderId="8" xfId="1" applyFont="1" applyBorder="1" applyAlignment="1">
      <alignment horizontal="center"/>
    </xf>
    <xf numFmtId="0" fontId="25" fillId="0" borderId="16" xfId="1" applyFont="1" applyBorder="1" applyAlignment="1">
      <alignment horizontal="center"/>
    </xf>
    <xf numFmtId="169" fontId="25" fillId="0" borderId="17" xfId="1" applyNumberFormat="1" applyFont="1" applyBorder="1" applyAlignment="1">
      <alignment horizontal="right"/>
    </xf>
    <xf numFmtId="169" fontId="25" fillId="0" borderId="54" xfId="1" applyNumberFormat="1" applyFont="1" applyBorder="1" applyAlignment="1">
      <alignment horizontal="right"/>
    </xf>
    <xf numFmtId="172" fontId="25" fillId="0" borderId="55" xfId="1" applyNumberFormat="1" applyFont="1" applyBorder="1" applyAlignment="1">
      <alignment horizontal="right"/>
    </xf>
    <xf numFmtId="0" fontId="3" fillId="0" borderId="19" xfId="1" applyFont="1" applyBorder="1" applyAlignment="1">
      <alignment horizontal="center"/>
    </xf>
    <xf numFmtId="172" fontId="28" fillId="0" borderId="20" xfId="1" applyNumberFormat="1" applyFont="1" applyBorder="1" applyAlignment="1">
      <alignment horizontal="center"/>
    </xf>
    <xf numFmtId="4" fontId="1" fillId="0" borderId="0" xfId="1" applyNumberFormat="1"/>
    <xf numFmtId="0" fontId="3" fillId="0" borderId="8" xfId="1" applyFont="1" applyBorder="1" applyAlignment="1">
      <alignment horizontal="center"/>
    </xf>
    <xf numFmtId="0" fontId="18" fillId="0" borderId="8" xfId="9" applyFont="1" applyBorder="1" applyAlignment="1">
      <alignment horizontal="center" vertical="top"/>
    </xf>
    <xf numFmtId="4" fontId="1" fillId="0" borderId="8" xfId="1" applyNumberFormat="1" applyBorder="1"/>
    <xf numFmtId="172" fontId="16" fillId="0" borderId="0" xfId="10" applyNumberFormat="1"/>
    <xf numFmtId="0" fontId="16" fillId="0" borderId="0" xfId="10"/>
    <xf numFmtId="0" fontId="21" fillId="0" borderId="0" xfId="10" applyFont="1" applyAlignment="1">
      <alignment horizontal="center"/>
    </xf>
    <xf numFmtId="172" fontId="21" fillId="0" borderId="0" xfId="10" applyNumberFormat="1" applyFont="1"/>
    <xf numFmtId="0" fontId="25" fillId="0" borderId="41" xfId="10" applyFont="1" applyBorder="1" applyAlignment="1">
      <alignment horizontal="center" vertical="center" wrapText="1"/>
    </xf>
    <xf numFmtId="0" fontId="25" fillId="0" borderId="47" xfId="10" applyFont="1" applyBorder="1" applyAlignment="1">
      <alignment horizontal="center" vertical="center" wrapText="1"/>
    </xf>
    <xf numFmtId="0" fontId="16" fillId="0" borderId="5" xfId="10" applyBorder="1" applyAlignment="1">
      <alignment horizontal="center" vertical="top"/>
    </xf>
    <xf numFmtId="0" fontId="16" fillId="0" borderId="5" xfId="10" applyBorder="1" applyAlignment="1">
      <alignment horizontal="center" vertical="center"/>
    </xf>
    <xf numFmtId="0" fontId="16" fillId="0" borderId="5" xfId="10" applyBorder="1" applyAlignment="1">
      <alignment horizontal="center" wrapText="1"/>
    </xf>
    <xf numFmtId="169" fontId="27" fillId="0" borderId="5" xfId="10" applyNumberFormat="1" applyFont="1" applyBorder="1" applyAlignment="1">
      <alignment horizontal="right"/>
    </xf>
    <xf numFmtId="172" fontId="25" fillId="0" borderId="5" xfId="10" applyNumberFormat="1" applyFont="1" applyBorder="1" applyAlignment="1">
      <alignment horizontal="right"/>
    </xf>
    <xf numFmtId="0" fontId="16" fillId="0" borderId="8" xfId="10" applyBorder="1" applyAlignment="1">
      <alignment horizontal="center" vertical="top"/>
    </xf>
    <xf numFmtId="0" fontId="16" fillId="0" borderId="8" xfId="10" applyBorder="1" applyAlignment="1">
      <alignment horizontal="center" vertical="center"/>
    </xf>
    <xf numFmtId="0" fontId="16" fillId="0" borderId="8" xfId="10" applyBorder="1" applyAlignment="1">
      <alignment horizontal="center" wrapText="1"/>
    </xf>
    <xf numFmtId="172" fontId="25" fillId="0" borderId="8" xfId="10" applyNumberFormat="1" applyFont="1" applyBorder="1" applyAlignment="1">
      <alignment horizontal="right"/>
    </xf>
    <xf numFmtId="0" fontId="16" fillId="5" borderId="8" xfId="10" applyFill="1" applyBorder="1" applyAlignment="1">
      <alignment horizontal="center" vertical="top"/>
    </xf>
    <xf numFmtId="0" fontId="16" fillId="5" borderId="8" xfId="10" applyFill="1" applyBorder="1" applyAlignment="1">
      <alignment horizontal="center" vertical="center"/>
    </xf>
    <xf numFmtId="0" fontId="16" fillId="5" borderId="8" xfId="10" applyFill="1" applyBorder="1" applyAlignment="1">
      <alignment horizontal="center" wrapText="1"/>
    </xf>
    <xf numFmtId="0" fontId="16" fillId="0" borderId="8" xfId="10" applyBorder="1" applyAlignment="1">
      <alignment horizontal="center"/>
    </xf>
    <xf numFmtId="0" fontId="25" fillId="0" borderId="16" xfId="10" applyFont="1" applyBorder="1" applyAlignment="1">
      <alignment horizontal="center"/>
    </xf>
    <xf numFmtId="169" fontId="25" fillId="0" borderId="17" xfId="10" applyNumberFormat="1" applyFont="1" applyBorder="1" applyAlignment="1">
      <alignment horizontal="right"/>
    </xf>
    <xf numFmtId="172" fontId="25" fillId="0" borderId="18" xfId="10" applyNumberFormat="1" applyFont="1" applyBorder="1" applyAlignment="1">
      <alignment horizontal="right"/>
    </xf>
    <xf numFmtId="172" fontId="29" fillId="0" borderId="56" xfId="10" applyNumberFormat="1" applyFont="1" applyBorder="1" applyAlignment="1">
      <alignment horizontal="center"/>
    </xf>
    <xf numFmtId="0" fontId="29" fillId="0" borderId="57" xfId="10" applyFont="1" applyBorder="1" applyAlignment="1">
      <alignment horizontal="center"/>
    </xf>
    <xf numFmtId="172" fontId="29" fillId="0" borderId="57" xfId="10" applyNumberFormat="1" applyFont="1" applyBorder="1" applyAlignment="1">
      <alignment horizontal="center"/>
    </xf>
    <xf numFmtId="172" fontId="28" fillId="0" borderId="58" xfId="10" applyNumberFormat="1" applyFont="1" applyBorder="1" applyAlignment="1">
      <alignment horizontal="center"/>
    </xf>
    <xf numFmtId="0" fontId="18" fillId="0" borderId="8" xfId="11" applyFont="1" applyBorder="1" applyAlignment="1">
      <alignment horizontal="center" vertical="top"/>
    </xf>
    <xf numFmtId="167" fontId="1" fillId="0" borderId="8" xfId="1" applyNumberFormat="1" applyBorder="1" applyAlignment="1">
      <alignment horizontal="center"/>
    </xf>
    <xf numFmtId="169" fontId="0" fillId="0" borderId="8" xfId="5" applyNumberFormat="1" applyFont="1" applyBorder="1"/>
    <xf numFmtId="0" fontId="30" fillId="0" borderId="8" xfId="1" applyFont="1" applyBorder="1"/>
    <xf numFmtId="167" fontId="16" fillId="0" borderId="8" xfId="1" applyNumberFormat="1" applyFont="1" applyBorder="1" applyAlignment="1">
      <alignment horizontal="center"/>
    </xf>
    <xf numFmtId="167" fontId="7" fillId="0" borderId="10" xfId="4" applyNumberFormat="1" applyFont="1" applyBorder="1" applyAlignment="1">
      <alignment horizontal="right" vertical="top"/>
    </xf>
    <xf numFmtId="1" fontId="7" fillId="0" borderId="10" xfId="4" applyNumberFormat="1" applyFont="1" applyBorder="1" applyAlignment="1">
      <alignment horizontal="right" vertical="top"/>
    </xf>
    <xf numFmtId="3" fontId="7" fillId="0" borderId="10" xfId="4" applyNumberFormat="1" applyFont="1" applyBorder="1" applyAlignment="1">
      <alignment horizontal="right" vertical="top"/>
    </xf>
    <xf numFmtId="3" fontId="8" fillId="0" borderId="11" xfId="2" applyNumberFormat="1" applyFont="1" applyBorder="1" applyAlignment="1">
      <alignment horizontal="right" vertical="top"/>
    </xf>
    <xf numFmtId="164" fontId="1" fillId="0" borderId="11" xfId="1" applyNumberFormat="1" applyBorder="1"/>
    <xf numFmtId="164" fontId="3" fillId="0" borderId="11" xfId="1" applyNumberFormat="1" applyFont="1" applyBorder="1"/>
    <xf numFmtId="164" fontId="9" fillId="0" borderId="11" xfId="1" applyNumberFormat="1" applyFont="1" applyBorder="1"/>
    <xf numFmtId="1" fontId="7" fillId="0" borderId="59" xfId="4" applyNumberFormat="1" applyFont="1" applyBorder="1" applyAlignment="1">
      <alignment horizontal="right" vertical="top"/>
    </xf>
    <xf numFmtId="3" fontId="7" fillId="0" borderId="59" xfId="4" applyNumberFormat="1" applyFont="1" applyBorder="1" applyAlignment="1">
      <alignment horizontal="right" vertical="top"/>
    </xf>
    <xf numFmtId="167" fontId="7" fillId="0" borderId="59" xfId="4" applyNumberFormat="1" applyFont="1" applyBorder="1" applyAlignment="1">
      <alignment horizontal="right" vertical="top"/>
    </xf>
    <xf numFmtId="167" fontId="8" fillId="0" borderId="11" xfId="2" applyNumberFormat="1" applyFont="1" applyBorder="1" applyAlignment="1">
      <alignment horizontal="right" vertical="top"/>
    </xf>
    <xf numFmtId="0" fontId="3" fillId="0" borderId="0" xfId="1" applyFont="1" applyAlignment="1">
      <alignment horizontal="center"/>
    </xf>
    <xf numFmtId="167" fontId="1" fillId="0" borderId="0" xfId="1" applyNumberFormat="1"/>
    <xf numFmtId="2" fontId="1" fillId="0" borderId="12" xfId="1" applyNumberFormat="1" applyBorder="1"/>
    <xf numFmtId="169" fontId="8" fillId="6" borderId="5" xfId="5" applyNumberFormat="1" applyFont="1" applyFill="1" applyBorder="1"/>
    <xf numFmtId="14" fontId="5" fillId="2" borderId="9" xfId="2" applyNumberFormat="1" applyFont="1" applyFill="1" applyBorder="1" applyAlignment="1">
      <alignment horizontal="center" vertical="top"/>
    </xf>
    <xf numFmtId="0" fontId="5" fillId="2" borderId="9" xfId="2" applyFont="1" applyFill="1" applyBorder="1" applyAlignment="1">
      <alignment horizontal="center" vertical="top"/>
    </xf>
    <xf numFmtId="0" fontId="3" fillId="0" borderId="2" xfId="1" applyFont="1" applyBorder="1" applyAlignment="1">
      <alignment horizontal="center" wrapText="1"/>
    </xf>
    <xf numFmtId="0" fontId="3" fillId="0" borderId="5" xfId="1" applyFont="1" applyBorder="1" applyAlignment="1">
      <alignment horizontal="center" wrapText="1"/>
    </xf>
    <xf numFmtId="0" fontId="1" fillId="0" borderId="5" xfId="1" applyBorder="1" applyAlignment="1">
      <alignment horizontal="center" wrapText="1"/>
    </xf>
    <xf numFmtId="0" fontId="2" fillId="0" borderId="1" xfId="1" applyFont="1" applyBorder="1" applyAlignment="1">
      <alignment horizontal="center"/>
    </xf>
    <xf numFmtId="0" fontId="3" fillId="0" borderId="3" xfId="1" applyFont="1" applyBorder="1" applyAlignment="1">
      <alignment horizontal="center" wrapText="1"/>
    </xf>
    <xf numFmtId="0" fontId="3" fillId="0" borderId="4" xfId="1" applyFont="1" applyBorder="1" applyAlignment="1">
      <alignment horizontal="center" wrapText="1"/>
    </xf>
    <xf numFmtId="0" fontId="3" fillId="0" borderId="6" xfId="1" applyFont="1" applyBorder="1" applyAlignment="1">
      <alignment horizontal="center" wrapText="1"/>
    </xf>
    <xf numFmtId="0" fontId="3" fillId="0" borderId="7" xfId="1" applyFont="1" applyBorder="1" applyAlignment="1">
      <alignment horizontal="center" wrapText="1"/>
    </xf>
    <xf numFmtId="169" fontId="9" fillId="0" borderId="28" xfId="6" applyNumberFormat="1" applyFont="1" applyBorder="1" applyAlignment="1">
      <alignment horizontal="center"/>
    </xf>
    <xf numFmtId="169" fontId="9" fillId="0" borderId="29" xfId="6" applyNumberFormat="1" applyFont="1" applyBorder="1" applyAlignment="1">
      <alignment horizontal="center"/>
    </xf>
    <xf numFmtId="169" fontId="9" fillId="0" borderId="30" xfId="6" applyNumberFormat="1" applyFont="1" applyBorder="1" applyAlignment="1">
      <alignment horizontal="center"/>
    </xf>
    <xf numFmtId="0" fontId="12" fillId="0" borderId="33" xfId="6" applyFont="1" applyBorder="1" applyAlignment="1">
      <alignment horizontal="center"/>
    </xf>
    <xf numFmtId="0" fontId="12" fillId="0" borderId="34" xfId="6" applyFont="1" applyBorder="1" applyAlignment="1">
      <alignment horizontal="center"/>
    </xf>
    <xf numFmtId="0" fontId="11" fillId="0" borderId="28" xfId="6" applyFont="1" applyBorder="1" applyAlignment="1">
      <alignment horizontal="center"/>
    </xf>
    <xf numFmtId="0" fontId="11" fillId="0" borderId="29" xfId="6" applyFont="1" applyBorder="1" applyAlignment="1">
      <alignment horizontal="center"/>
    </xf>
    <xf numFmtId="0" fontId="12" fillId="0" borderId="31" xfId="6" applyFont="1" applyBorder="1" applyAlignment="1">
      <alignment horizontal="center"/>
    </xf>
    <xf numFmtId="0" fontId="12" fillId="0" borderId="32" xfId="6" applyFont="1" applyBorder="1" applyAlignment="1">
      <alignment horizontal="center"/>
    </xf>
    <xf numFmtId="0" fontId="11" fillId="0" borderId="30" xfId="6" applyFont="1" applyBorder="1" applyAlignment="1">
      <alignment horizontal="center"/>
    </xf>
    <xf numFmtId="169" fontId="10" fillId="0" borderId="0" xfId="5" applyNumberFormat="1" applyFont="1" applyBorder="1" applyAlignment="1">
      <alignment horizontal="center" vertical="center"/>
    </xf>
    <xf numFmtId="0" fontId="11" fillId="0" borderId="14" xfId="6" applyFont="1" applyBorder="1" applyAlignment="1">
      <alignment horizontal="center"/>
    </xf>
    <xf numFmtId="0" fontId="11" fillId="0" borderId="15" xfId="6" applyFont="1" applyBorder="1" applyAlignment="1">
      <alignment horizontal="center"/>
    </xf>
    <xf numFmtId="0" fontId="11" fillId="0" borderId="16" xfId="6" applyFont="1" applyBorder="1" applyAlignment="1">
      <alignment horizontal="center"/>
    </xf>
    <xf numFmtId="0" fontId="11" fillId="0" borderId="17" xfId="6" applyFont="1" applyBorder="1" applyAlignment="1">
      <alignment horizontal="center"/>
    </xf>
    <xf numFmtId="14" fontId="5" fillId="3" borderId="9" xfId="7" applyNumberFormat="1" applyFont="1" applyFill="1" applyBorder="1" applyAlignment="1">
      <alignment horizontal="center" vertical="top"/>
    </xf>
    <xf numFmtId="0" fontId="5" fillId="3" borderId="9" xfId="7" applyFont="1" applyFill="1" applyBorder="1" applyAlignment="1">
      <alignment horizontal="center" vertical="top"/>
    </xf>
    <xf numFmtId="0" fontId="3" fillId="3" borderId="2" xfId="1" applyFont="1" applyFill="1" applyBorder="1" applyAlignment="1">
      <alignment horizontal="center" wrapText="1"/>
    </xf>
    <xf numFmtId="0" fontId="3" fillId="3" borderId="5" xfId="1" applyFont="1" applyFill="1" applyBorder="1" applyAlignment="1">
      <alignment horizontal="center" wrapText="1"/>
    </xf>
    <xf numFmtId="14" fontId="26" fillId="4" borderId="52" xfId="1" applyNumberFormat="1" applyFont="1" applyFill="1" applyBorder="1" applyAlignment="1">
      <alignment horizontal="center" vertical="top"/>
    </xf>
    <xf numFmtId="0" fontId="12" fillId="0" borderId="53" xfId="1" applyFont="1" applyBorder="1"/>
    <xf numFmtId="14" fontId="26" fillId="4" borderId="50" xfId="1" applyNumberFormat="1" applyFont="1" applyFill="1" applyBorder="1" applyAlignment="1">
      <alignment horizontal="center" vertical="top"/>
    </xf>
    <xf numFmtId="0" fontId="12" fillId="0" borderId="51" xfId="1" applyFont="1" applyBorder="1"/>
    <xf numFmtId="0" fontId="25" fillId="0" borderId="40" xfId="1" applyFont="1" applyBorder="1" applyAlignment="1">
      <alignment horizontal="center" vertical="center" wrapText="1"/>
    </xf>
    <xf numFmtId="0" fontId="12" fillId="0" borderId="46" xfId="1" applyFont="1" applyBorder="1"/>
    <xf numFmtId="172" fontId="25" fillId="0" borderId="43" xfId="1" applyNumberFormat="1" applyFont="1" applyBorder="1" applyAlignment="1">
      <alignment horizontal="center" vertical="center" wrapText="1"/>
    </xf>
    <xf numFmtId="0" fontId="12" fillId="0" borderId="49" xfId="1" applyFont="1" applyBorder="1"/>
    <xf numFmtId="0" fontId="25" fillId="0" borderId="46" xfId="1" applyFont="1" applyBorder="1" applyAlignment="1">
      <alignment horizontal="center" vertical="center" wrapText="1"/>
    </xf>
    <xf numFmtId="0" fontId="25" fillId="0" borderId="42" xfId="1" applyFont="1" applyBorder="1" applyAlignment="1">
      <alignment horizontal="center" vertical="center" wrapText="1"/>
    </xf>
    <xf numFmtId="0" fontId="12" fillId="0" borderId="48" xfId="1" applyFont="1" applyBorder="1"/>
    <xf numFmtId="0" fontId="25" fillId="0" borderId="14" xfId="1" applyFont="1" applyBorder="1" applyAlignment="1">
      <alignment horizontal="center" vertical="center" wrapText="1"/>
    </xf>
    <xf numFmtId="0" fontId="12" fillId="0" borderId="39" xfId="1" applyFont="1" applyBorder="1"/>
    <xf numFmtId="0" fontId="12" fillId="0" borderId="44" xfId="1" applyFont="1" applyBorder="1"/>
    <xf numFmtId="0" fontId="12" fillId="0" borderId="45" xfId="1" applyFont="1" applyBorder="1"/>
    <xf numFmtId="0" fontId="24" fillId="0" borderId="37" xfId="1" applyFont="1" applyBorder="1" applyAlignment="1">
      <alignment horizontal="center"/>
    </xf>
    <xf numFmtId="0" fontId="12" fillId="0" borderId="38" xfId="1" applyFont="1" applyBorder="1"/>
    <xf numFmtId="0" fontId="12" fillId="0" borderId="36" xfId="1" applyFont="1" applyBorder="1"/>
    <xf numFmtId="0" fontId="22" fillId="0" borderId="0" xfId="1" applyFont="1" applyAlignment="1">
      <alignment horizontal="center"/>
    </xf>
    <xf numFmtId="0" fontId="23" fillId="0" borderId="0" xfId="1" applyFont="1" applyAlignment="1">
      <alignment horizontal="center"/>
    </xf>
    <xf numFmtId="0" fontId="1" fillId="0" borderId="0" xfId="1"/>
    <xf numFmtId="0" fontId="22" fillId="0" borderId="13" xfId="1" applyFont="1" applyBorder="1" applyAlignment="1">
      <alignment horizontal="center"/>
    </xf>
    <xf numFmtId="0" fontId="3" fillId="0" borderId="33" xfId="1" applyFont="1" applyBorder="1" applyAlignment="1">
      <alignment horizontal="center"/>
    </xf>
    <xf numFmtId="0" fontId="3" fillId="0" borderId="34" xfId="1" applyFont="1" applyBorder="1" applyAlignment="1">
      <alignment horizontal="center"/>
    </xf>
    <xf numFmtId="14" fontId="26" fillId="4" borderId="52" xfId="10" applyNumberFormat="1" applyFont="1" applyFill="1" applyBorder="1" applyAlignment="1">
      <alignment horizontal="center" vertical="top"/>
    </xf>
    <xf numFmtId="0" fontId="12" fillId="0" borderId="53" xfId="10" applyFont="1" applyBorder="1"/>
    <xf numFmtId="14" fontId="26" fillId="4" borderId="50" xfId="10" applyNumberFormat="1" applyFont="1" applyFill="1" applyBorder="1" applyAlignment="1">
      <alignment horizontal="center" vertical="top"/>
    </xf>
    <xf numFmtId="0" fontId="12" fillId="0" borderId="51" xfId="10" applyFont="1" applyBorder="1"/>
    <xf numFmtId="0" fontId="25" fillId="0" borderId="40" xfId="10" applyFont="1" applyBorder="1" applyAlignment="1">
      <alignment horizontal="center" vertical="center" wrapText="1"/>
    </xf>
    <xf numFmtId="0" fontId="12" fillId="0" borderId="46" xfId="10" applyFont="1" applyBorder="1"/>
    <xf numFmtId="172" fontId="25" fillId="0" borderId="43" xfId="10" applyNumberFormat="1" applyFont="1" applyBorder="1" applyAlignment="1">
      <alignment horizontal="center" vertical="center" wrapText="1"/>
    </xf>
    <xf numFmtId="0" fontId="12" fillId="0" borderId="49" xfId="10" applyFont="1" applyBorder="1"/>
    <xf numFmtId="0" fontId="23" fillId="0" borderId="0" xfId="10" applyFont="1" applyAlignment="1">
      <alignment horizontal="center"/>
    </xf>
    <xf numFmtId="0" fontId="16" fillId="0" borderId="0" xfId="10"/>
    <xf numFmtId="0" fontId="22" fillId="0" borderId="0" xfId="10" applyFont="1" applyAlignment="1">
      <alignment horizontal="center"/>
    </xf>
    <xf numFmtId="0" fontId="24" fillId="0" borderId="37" xfId="10" applyFont="1" applyBorder="1" applyAlignment="1">
      <alignment horizontal="center"/>
    </xf>
    <xf numFmtId="0" fontId="12" fillId="0" borderId="38" xfId="10" applyFont="1" applyBorder="1"/>
    <xf numFmtId="0" fontId="12" fillId="0" borderId="36" xfId="10" applyFont="1" applyBorder="1"/>
    <xf numFmtId="0" fontId="25" fillId="0" borderId="14" xfId="10" applyFont="1" applyBorder="1" applyAlignment="1">
      <alignment horizontal="center" vertical="center" wrapText="1"/>
    </xf>
    <xf numFmtId="0" fontId="12" fillId="0" borderId="39" xfId="10" applyFont="1" applyBorder="1"/>
    <xf numFmtId="0" fontId="12" fillId="0" borderId="44" xfId="10" applyFont="1" applyBorder="1"/>
    <xf numFmtId="0" fontId="12" fillId="0" borderId="45" xfId="10" applyFont="1" applyBorder="1"/>
    <xf numFmtId="0" fontId="25" fillId="0" borderId="42" xfId="10" applyFont="1" applyBorder="1" applyAlignment="1">
      <alignment horizontal="center" vertical="center" wrapText="1"/>
    </xf>
    <xf numFmtId="0" fontId="12" fillId="0" borderId="48" xfId="10" applyFont="1" applyBorder="1"/>
  </cellXfs>
  <cellStyles count="12">
    <cellStyle name="Денежный 2" xfId="5" xr:uid="{92539BEB-A52B-4B0B-93AF-E26F1CAC531D}"/>
    <cellStyle name="Обычный" xfId="0" builtinId="0"/>
    <cellStyle name="Обычный 2" xfId="1" xr:uid="{E8853667-3CCA-4C08-BED0-391F69B639DA}"/>
    <cellStyle name="Обычный 4" xfId="10" xr:uid="{98677700-11AD-48F5-8B95-3E21573BC04B}"/>
    <cellStyle name="Обычный 5" xfId="6" xr:uid="{1E5EC210-507D-4520-8CDE-89668C35B76E}"/>
    <cellStyle name="Обычный_Биаксплен Новосибирск" xfId="3" xr:uid="{12CC4F11-81D3-4752-B642-48C373FBFF79}"/>
    <cellStyle name="Обычный_Ергарда" xfId="11" xr:uid="{2481983A-F667-422B-8396-25BFBDB1EEB3}"/>
    <cellStyle name="Обычный_Лист1" xfId="8" xr:uid="{376E816A-D8DB-4E1E-8640-89F94B288AB7}"/>
    <cellStyle name="Обычный_РусВинил ББ" xfId="7" xr:uid="{25D82110-1C92-4EAE-A7B1-33F160A14706}"/>
    <cellStyle name="Обычный_Сибур" xfId="2" xr:uid="{8E3BA08E-5C68-4708-98ED-D0A931390B9D}"/>
    <cellStyle name="Обычный_Сибур 1" xfId="4" xr:uid="{7BCB8212-1FA3-4468-9625-5A4505F9B5BF}"/>
    <cellStyle name="Обычный_СтройТех" xfId="9" xr:uid="{60DD5D70-1A1D-4E53-BB00-3497668731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61" Type="http://schemas.openxmlformats.org/officeDocument/2006/relationships/theme" Target="theme/theme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heetMetadata" Target="metadata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externalLink" Target="externalLinks/externalLink2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externalLink" Target="externalLinks/externalLink3.xml"/><Relationship Id="rId65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10</xdr:row>
      <xdr:rowOff>0</xdr:rowOff>
    </xdr:from>
    <xdr:to>
      <xdr:col>1</xdr:col>
      <xdr:colOff>279400</xdr:colOff>
      <xdr:row>11</xdr:row>
      <xdr:rowOff>12700</xdr:rowOff>
    </xdr:to>
    <xdr:sp macro="[2]!o1110010110100111011.o0100000011011010000" textlink="">
      <xdr:nvSpPr>
        <xdr:cNvPr id="2" name="Прямоугольник 1">
          <a:extLst>
            <a:ext uri="{FF2B5EF4-FFF2-40B4-BE49-F238E27FC236}">
              <a16:creationId xmlns:a16="http://schemas.microsoft.com/office/drawing/2014/main" id="{6894C12E-F1AF-47D5-A025-A8E994674A39}"/>
            </a:ext>
          </a:extLst>
        </xdr:cNvPr>
        <xdr:cNvSpPr/>
      </xdr:nvSpPr>
      <xdr:spPr>
        <a:xfrm>
          <a:off x="685800" y="1981200"/>
          <a:ext cx="203200" cy="20320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5</xdr:row>
      <xdr:rowOff>0</xdr:rowOff>
    </xdr:from>
    <xdr:to>
      <xdr:col>1</xdr:col>
      <xdr:colOff>279400</xdr:colOff>
      <xdr:row>6</xdr:row>
      <xdr:rowOff>12700</xdr:rowOff>
    </xdr:to>
    <xdr:sp macro="[2]!o1110010110100111011.o0100000011011010000" textlink="">
      <xdr:nvSpPr>
        <xdr:cNvPr id="2" name="Прямоугольник 1">
          <a:extLst>
            <a:ext uri="{FF2B5EF4-FFF2-40B4-BE49-F238E27FC236}">
              <a16:creationId xmlns:a16="http://schemas.microsoft.com/office/drawing/2014/main" id="{1813DA86-62CD-475C-9B54-64E10E2EECD6}"/>
            </a:ext>
          </a:extLst>
        </xdr:cNvPr>
        <xdr:cNvSpPr/>
      </xdr:nvSpPr>
      <xdr:spPr>
        <a:xfrm>
          <a:off x="685800" y="1219200"/>
          <a:ext cx="203200" cy="20320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5</xdr:row>
      <xdr:rowOff>0</xdr:rowOff>
    </xdr:from>
    <xdr:to>
      <xdr:col>1</xdr:col>
      <xdr:colOff>279400</xdr:colOff>
      <xdr:row>6</xdr:row>
      <xdr:rowOff>12700</xdr:rowOff>
    </xdr:to>
    <xdr:sp macro="[2]!o1110010110100111011.o0100000011011010000" textlink="">
      <xdr:nvSpPr>
        <xdr:cNvPr id="2" name="Прямоугольник 1">
          <a:extLst>
            <a:ext uri="{FF2B5EF4-FFF2-40B4-BE49-F238E27FC236}">
              <a16:creationId xmlns:a16="http://schemas.microsoft.com/office/drawing/2014/main" id="{120EB73C-0C38-40AD-B592-7BCC7F4A506C}"/>
            </a:ext>
          </a:extLst>
        </xdr:cNvPr>
        <xdr:cNvSpPr/>
      </xdr:nvSpPr>
      <xdr:spPr>
        <a:xfrm>
          <a:off x="685800" y="1219200"/>
          <a:ext cx="203200" cy="20320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56;&#1091;&#1089;&#1074;&#1080;&#1085;&#1080;&#1083;/&#1056;&#1042;%20&#1054;&#1090;&#1095;&#1077;&#1090;/&#1056;&#1042;%20&#1044;&#1077;&#1082;&#1072;&#1073;&#1088;&#1100;%2020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AppData/Roaming/Microsoft/AddIns/EXCELTools.xla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1056;&#1091;&#1089;&#1074;&#1080;&#1085;&#1080;&#1083;/&#1056;&#1042;%20&#1054;&#1090;&#1095;&#1077;&#1090;/Temp/&#1054;&#105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бщее и резерв"/>
      <sheetName val="Резерв"/>
      <sheetName val="РВ Баумана"/>
      <sheetName val="Окская Мешки"/>
      <sheetName val="РВ Березовая Пойма"/>
      <sheetName val="РВ Новикова-Прибоя"/>
      <sheetName val="АВР Баумана"/>
      <sheetName val="АВР Новикова"/>
      <sheetName val="АВР Березовая Пойма"/>
      <sheetName val="Праздники"/>
    </sheetNames>
    <sheetDataSet>
      <sheetData sheetId="0"/>
      <sheetData sheetId="1">
        <row r="37">
          <cell r="G37">
            <v>178146.71499999997</v>
          </cell>
        </row>
      </sheetData>
      <sheetData sheetId="2">
        <row r="2">
          <cell r="R2">
            <v>0</v>
          </cell>
          <cell r="S2">
            <v>0</v>
          </cell>
        </row>
        <row r="3">
          <cell r="R3">
            <v>90.625</v>
          </cell>
          <cell r="S3">
            <v>420.44500000000005</v>
          </cell>
        </row>
        <row r="6">
          <cell r="C6">
            <v>0</v>
          </cell>
          <cell r="D6">
            <v>0</v>
          </cell>
          <cell r="G6">
            <v>1394.2950000000001</v>
          </cell>
        </row>
        <row r="7">
          <cell r="C7">
            <v>0</v>
          </cell>
          <cell r="D7">
            <v>0</v>
          </cell>
          <cell r="G7">
            <v>1394.2950000000001</v>
          </cell>
        </row>
        <row r="8">
          <cell r="C8">
            <v>0</v>
          </cell>
          <cell r="D8">
            <v>1.17</v>
          </cell>
          <cell r="G8">
            <v>1394.2950000000001</v>
          </cell>
        </row>
        <row r="9">
          <cell r="C9">
            <v>0</v>
          </cell>
          <cell r="D9">
            <v>0</v>
          </cell>
          <cell r="G9">
            <v>1393.125</v>
          </cell>
        </row>
        <row r="10">
          <cell r="C10">
            <v>0</v>
          </cell>
          <cell r="D10">
            <v>0</v>
          </cell>
          <cell r="G10">
            <v>1393.125</v>
          </cell>
        </row>
        <row r="11">
          <cell r="C11">
            <v>0</v>
          </cell>
          <cell r="D11">
            <v>0</v>
          </cell>
          <cell r="G11">
            <v>1393.125</v>
          </cell>
        </row>
        <row r="12">
          <cell r="C12">
            <v>0</v>
          </cell>
          <cell r="D12">
            <v>0</v>
          </cell>
          <cell r="G12">
            <v>1393.125</v>
          </cell>
        </row>
        <row r="13">
          <cell r="C13">
            <v>0</v>
          </cell>
          <cell r="D13">
            <v>13.275</v>
          </cell>
          <cell r="G13">
            <v>1393.125</v>
          </cell>
        </row>
        <row r="14">
          <cell r="C14">
            <v>0</v>
          </cell>
          <cell r="D14">
            <v>0</v>
          </cell>
          <cell r="G14">
            <v>1379.85</v>
          </cell>
        </row>
        <row r="15">
          <cell r="C15">
            <v>0</v>
          </cell>
          <cell r="D15">
            <v>0</v>
          </cell>
          <cell r="G15">
            <v>1379.85</v>
          </cell>
        </row>
        <row r="16">
          <cell r="C16">
            <v>0</v>
          </cell>
          <cell r="D16">
            <v>17.350000000000001</v>
          </cell>
          <cell r="G16">
            <v>1379.85</v>
          </cell>
        </row>
        <row r="17">
          <cell r="C17">
            <v>0</v>
          </cell>
          <cell r="D17">
            <v>0</v>
          </cell>
          <cell r="G17">
            <v>1362.5</v>
          </cell>
        </row>
        <row r="18">
          <cell r="C18">
            <v>0</v>
          </cell>
          <cell r="D18">
            <v>0</v>
          </cell>
          <cell r="G18">
            <v>1362.5</v>
          </cell>
        </row>
        <row r="19">
          <cell r="C19">
            <v>0</v>
          </cell>
          <cell r="D19">
            <v>0</v>
          </cell>
          <cell r="G19">
            <v>1362.5</v>
          </cell>
        </row>
        <row r="20">
          <cell r="C20">
            <v>0</v>
          </cell>
          <cell r="D20">
            <v>5.2249999999999996</v>
          </cell>
          <cell r="G20">
            <v>1362.5</v>
          </cell>
        </row>
        <row r="21">
          <cell r="C21">
            <v>0</v>
          </cell>
          <cell r="D21">
            <v>0</v>
          </cell>
          <cell r="G21">
            <v>1357.2750000000001</v>
          </cell>
        </row>
        <row r="22">
          <cell r="C22">
            <v>0</v>
          </cell>
          <cell r="D22">
            <v>0</v>
          </cell>
          <cell r="G22">
            <v>1357.2750000000001</v>
          </cell>
        </row>
        <row r="23">
          <cell r="C23">
            <v>0</v>
          </cell>
          <cell r="D23">
            <v>44</v>
          </cell>
          <cell r="G23">
            <v>1357.2750000000001</v>
          </cell>
        </row>
        <row r="24">
          <cell r="C24">
            <v>0</v>
          </cell>
          <cell r="D24">
            <v>0</v>
          </cell>
          <cell r="G24">
            <v>1313.2750000000001</v>
          </cell>
        </row>
        <row r="25">
          <cell r="C25">
            <v>0</v>
          </cell>
          <cell r="D25">
            <v>0</v>
          </cell>
          <cell r="G25">
            <v>1313.2750000000001</v>
          </cell>
        </row>
        <row r="26">
          <cell r="C26">
            <v>0</v>
          </cell>
          <cell r="D26">
            <v>0</v>
          </cell>
          <cell r="G26">
            <v>1313.2750000000001</v>
          </cell>
        </row>
        <row r="27">
          <cell r="C27">
            <v>0</v>
          </cell>
          <cell r="D27">
            <v>9.625</v>
          </cell>
          <cell r="G27">
            <v>1313.2750000000001</v>
          </cell>
        </row>
        <row r="28">
          <cell r="C28">
            <v>0</v>
          </cell>
          <cell r="D28">
            <v>87.375</v>
          </cell>
          <cell r="G28">
            <v>1303.6500000000001</v>
          </cell>
        </row>
        <row r="29">
          <cell r="C29">
            <v>0</v>
          </cell>
          <cell r="D29">
            <v>108.7</v>
          </cell>
          <cell r="G29">
            <v>1216.2750000000001</v>
          </cell>
        </row>
        <row r="30">
          <cell r="C30">
            <v>0</v>
          </cell>
          <cell r="D30">
            <v>88</v>
          </cell>
          <cell r="G30">
            <v>1107.575</v>
          </cell>
        </row>
        <row r="31">
          <cell r="C31">
            <v>0</v>
          </cell>
          <cell r="D31">
            <v>33</v>
          </cell>
          <cell r="G31">
            <v>1019.575</v>
          </cell>
        </row>
        <row r="32">
          <cell r="C32">
            <v>0</v>
          </cell>
          <cell r="D32">
            <v>5.625</v>
          </cell>
          <cell r="G32">
            <v>986.57500000000005</v>
          </cell>
        </row>
        <row r="33">
          <cell r="C33">
            <v>0</v>
          </cell>
          <cell r="D33">
            <v>85</v>
          </cell>
          <cell r="G33">
            <v>980.95</v>
          </cell>
        </row>
        <row r="34">
          <cell r="C34">
            <v>0</v>
          </cell>
          <cell r="D34">
            <v>11</v>
          </cell>
          <cell r="G34">
            <v>895.95</v>
          </cell>
        </row>
        <row r="35">
          <cell r="C35">
            <v>0</v>
          </cell>
          <cell r="D35">
            <v>1.7250000000000001</v>
          </cell>
          <cell r="G35">
            <v>884.95</v>
          </cell>
        </row>
        <row r="36">
          <cell r="C36">
            <v>0</v>
          </cell>
          <cell r="D36">
            <v>0</v>
          </cell>
          <cell r="G36">
            <v>883.22500000000002</v>
          </cell>
        </row>
        <row r="37">
          <cell r="G37">
            <v>39341.71</v>
          </cell>
        </row>
      </sheetData>
      <sheetData sheetId="3"/>
      <sheetData sheetId="4">
        <row r="2">
          <cell r="R2">
            <v>676.23</v>
          </cell>
          <cell r="S2">
            <v>723</v>
          </cell>
        </row>
        <row r="3">
          <cell r="R3">
            <v>22</v>
          </cell>
          <cell r="S3">
            <v>591</v>
          </cell>
        </row>
        <row r="6">
          <cell r="C6">
            <v>0</v>
          </cell>
          <cell r="D6">
            <v>0</v>
          </cell>
          <cell r="G6">
            <v>0</v>
          </cell>
        </row>
        <row r="7">
          <cell r="C7">
            <v>21</v>
          </cell>
          <cell r="D7">
            <v>0</v>
          </cell>
          <cell r="G7">
            <v>21</v>
          </cell>
        </row>
        <row r="8">
          <cell r="C8">
            <v>21</v>
          </cell>
          <cell r="D8">
            <v>0</v>
          </cell>
          <cell r="G8">
            <v>42</v>
          </cell>
        </row>
        <row r="9">
          <cell r="C9">
            <v>325</v>
          </cell>
          <cell r="D9">
            <v>0</v>
          </cell>
          <cell r="G9">
            <v>367</v>
          </cell>
        </row>
        <row r="10">
          <cell r="C10">
            <v>196</v>
          </cell>
          <cell r="D10">
            <v>0</v>
          </cell>
          <cell r="G10">
            <v>563</v>
          </cell>
        </row>
        <row r="11">
          <cell r="C11">
            <v>66</v>
          </cell>
          <cell r="D11">
            <v>0</v>
          </cell>
          <cell r="G11">
            <v>629</v>
          </cell>
        </row>
        <row r="12">
          <cell r="C12">
            <v>21</v>
          </cell>
          <cell r="D12">
            <v>0</v>
          </cell>
          <cell r="G12">
            <v>650</v>
          </cell>
        </row>
        <row r="13">
          <cell r="C13">
            <v>0</v>
          </cell>
          <cell r="D13">
            <v>0</v>
          </cell>
          <cell r="G13">
            <v>650</v>
          </cell>
        </row>
        <row r="14">
          <cell r="C14">
            <v>0</v>
          </cell>
          <cell r="D14">
            <v>0</v>
          </cell>
          <cell r="G14">
            <v>650</v>
          </cell>
        </row>
        <row r="15">
          <cell r="C15">
            <v>89</v>
          </cell>
          <cell r="D15">
            <v>0</v>
          </cell>
          <cell r="G15">
            <v>739</v>
          </cell>
        </row>
        <row r="16">
          <cell r="C16">
            <v>0</v>
          </cell>
          <cell r="D16">
            <v>0</v>
          </cell>
          <cell r="G16">
            <v>739</v>
          </cell>
        </row>
        <row r="17">
          <cell r="C17">
            <v>0</v>
          </cell>
          <cell r="D17">
            <v>0</v>
          </cell>
          <cell r="G17">
            <v>739</v>
          </cell>
        </row>
        <row r="18">
          <cell r="C18">
            <v>0</v>
          </cell>
          <cell r="D18">
            <v>0</v>
          </cell>
          <cell r="G18">
            <v>739</v>
          </cell>
        </row>
        <row r="19">
          <cell r="C19">
            <v>0</v>
          </cell>
          <cell r="D19">
            <v>0</v>
          </cell>
          <cell r="G19">
            <v>739</v>
          </cell>
        </row>
        <row r="20">
          <cell r="C20">
            <v>0</v>
          </cell>
          <cell r="D20">
            <v>0</v>
          </cell>
          <cell r="G20">
            <v>739</v>
          </cell>
        </row>
        <row r="21">
          <cell r="C21">
            <v>0</v>
          </cell>
          <cell r="D21">
            <v>0</v>
          </cell>
          <cell r="G21">
            <v>739</v>
          </cell>
        </row>
        <row r="22">
          <cell r="C22">
            <v>0</v>
          </cell>
          <cell r="D22">
            <v>0</v>
          </cell>
          <cell r="G22">
            <v>739</v>
          </cell>
        </row>
        <row r="23">
          <cell r="C23">
            <v>0</v>
          </cell>
          <cell r="D23">
            <v>0</v>
          </cell>
          <cell r="G23">
            <v>739</v>
          </cell>
        </row>
        <row r="24">
          <cell r="C24">
            <v>0</v>
          </cell>
          <cell r="D24">
            <v>0</v>
          </cell>
          <cell r="G24">
            <v>739</v>
          </cell>
        </row>
        <row r="25">
          <cell r="C25">
            <v>220</v>
          </cell>
          <cell r="D25">
            <v>0</v>
          </cell>
          <cell r="G25">
            <v>959</v>
          </cell>
        </row>
        <row r="26">
          <cell r="C26">
            <v>0</v>
          </cell>
          <cell r="D26">
            <v>0</v>
          </cell>
          <cell r="G26">
            <v>959</v>
          </cell>
        </row>
        <row r="27">
          <cell r="C27">
            <v>0</v>
          </cell>
          <cell r="D27">
            <v>0</v>
          </cell>
          <cell r="G27">
            <v>959</v>
          </cell>
        </row>
        <row r="28">
          <cell r="C28">
            <v>0</v>
          </cell>
          <cell r="D28">
            <v>0</v>
          </cell>
          <cell r="G28">
            <v>959</v>
          </cell>
        </row>
        <row r="29">
          <cell r="C29">
            <v>0</v>
          </cell>
          <cell r="D29">
            <v>0</v>
          </cell>
          <cell r="G29">
            <v>959</v>
          </cell>
        </row>
        <row r="30">
          <cell r="C30">
            <v>0</v>
          </cell>
          <cell r="D30">
            <v>0</v>
          </cell>
          <cell r="G30">
            <v>959</v>
          </cell>
        </row>
        <row r="31">
          <cell r="C31">
            <v>0</v>
          </cell>
          <cell r="D31">
            <v>22</v>
          </cell>
          <cell r="G31">
            <v>959</v>
          </cell>
        </row>
        <row r="32">
          <cell r="C32">
            <v>0</v>
          </cell>
          <cell r="D32">
            <v>0</v>
          </cell>
          <cell r="G32">
            <v>937</v>
          </cell>
        </row>
        <row r="33">
          <cell r="C33">
            <v>0</v>
          </cell>
          <cell r="D33">
            <v>132</v>
          </cell>
          <cell r="G33">
            <v>937</v>
          </cell>
        </row>
        <row r="34">
          <cell r="C34">
            <v>220</v>
          </cell>
          <cell r="D34">
            <v>242</v>
          </cell>
          <cell r="G34">
            <v>1025</v>
          </cell>
        </row>
        <row r="35">
          <cell r="C35">
            <v>0</v>
          </cell>
          <cell r="D35">
            <v>195</v>
          </cell>
          <cell r="G35">
            <v>783</v>
          </cell>
        </row>
        <row r="36">
          <cell r="C36">
            <v>220.23</v>
          </cell>
          <cell r="D36">
            <v>22</v>
          </cell>
          <cell r="G36">
            <v>808.23</v>
          </cell>
        </row>
        <row r="37">
          <cell r="G37">
            <v>22165.23</v>
          </cell>
        </row>
      </sheetData>
      <sheetData sheetId="5">
        <row r="2">
          <cell r="R2">
            <v>0</v>
          </cell>
          <cell r="S2">
            <v>0</v>
          </cell>
        </row>
        <row r="3">
          <cell r="R3">
            <v>60.224999999999994</v>
          </cell>
          <cell r="S3">
            <v>48.25</v>
          </cell>
        </row>
        <row r="6">
          <cell r="C6">
            <v>0</v>
          </cell>
          <cell r="D6">
            <v>0</v>
          </cell>
          <cell r="G6">
            <v>299.14499999999998</v>
          </cell>
        </row>
        <row r="7">
          <cell r="C7">
            <v>0</v>
          </cell>
          <cell r="D7">
            <v>0</v>
          </cell>
          <cell r="G7">
            <v>299.14499999999998</v>
          </cell>
        </row>
        <row r="8">
          <cell r="C8">
            <v>0</v>
          </cell>
          <cell r="D8">
            <v>0</v>
          </cell>
          <cell r="G8">
            <v>299.14499999999998</v>
          </cell>
        </row>
        <row r="9">
          <cell r="C9">
            <v>0</v>
          </cell>
          <cell r="D9">
            <v>0</v>
          </cell>
          <cell r="G9">
            <v>299.14499999999998</v>
          </cell>
        </row>
        <row r="10">
          <cell r="C10">
            <v>0</v>
          </cell>
          <cell r="D10">
            <v>1.375</v>
          </cell>
          <cell r="G10">
            <v>299.14499999999998</v>
          </cell>
        </row>
        <row r="11">
          <cell r="C11">
            <v>0</v>
          </cell>
          <cell r="D11">
            <v>0</v>
          </cell>
          <cell r="G11">
            <v>297.77</v>
          </cell>
        </row>
        <row r="12">
          <cell r="C12">
            <v>0</v>
          </cell>
          <cell r="D12">
            <v>0</v>
          </cell>
          <cell r="G12">
            <v>297.77</v>
          </cell>
        </row>
        <row r="13">
          <cell r="C13">
            <v>0</v>
          </cell>
          <cell r="D13">
            <v>8.125</v>
          </cell>
          <cell r="G13">
            <v>297.77</v>
          </cell>
        </row>
        <row r="14">
          <cell r="C14">
            <v>0</v>
          </cell>
          <cell r="D14">
            <v>0</v>
          </cell>
          <cell r="G14">
            <v>289.64499999999998</v>
          </cell>
        </row>
        <row r="15">
          <cell r="C15">
            <v>0</v>
          </cell>
          <cell r="D15">
            <v>1.375</v>
          </cell>
          <cell r="G15">
            <v>289.64499999999998</v>
          </cell>
        </row>
        <row r="16">
          <cell r="C16">
            <v>0</v>
          </cell>
          <cell r="D16">
            <v>0</v>
          </cell>
          <cell r="G16">
            <v>288.27</v>
          </cell>
        </row>
        <row r="17">
          <cell r="C17">
            <v>0</v>
          </cell>
          <cell r="D17">
            <v>0</v>
          </cell>
          <cell r="G17">
            <v>288.27</v>
          </cell>
        </row>
        <row r="18">
          <cell r="C18">
            <v>0</v>
          </cell>
          <cell r="D18">
            <v>0</v>
          </cell>
          <cell r="G18">
            <v>288.27</v>
          </cell>
        </row>
        <row r="19">
          <cell r="C19">
            <v>0</v>
          </cell>
          <cell r="D19">
            <v>12.375</v>
          </cell>
          <cell r="G19">
            <v>288.27</v>
          </cell>
        </row>
        <row r="20">
          <cell r="C20">
            <v>0</v>
          </cell>
          <cell r="D20">
            <v>0</v>
          </cell>
          <cell r="G20">
            <v>275.89499999999998</v>
          </cell>
        </row>
        <row r="21">
          <cell r="C21">
            <v>0</v>
          </cell>
          <cell r="D21">
            <v>0</v>
          </cell>
          <cell r="G21">
            <v>275.89499999999998</v>
          </cell>
        </row>
        <row r="22">
          <cell r="C22">
            <v>0</v>
          </cell>
          <cell r="D22">
            <v>0</v>
          </cell>
          <cell r="G22">
            <v>275.89499999999998</v>
          </cell>
        </row>
        <row r="23">
          <cell r="C23">
            <v>0</v>
          </cell>
          <cell r="D23">
            <v>0</v>
          </cell>
          <cell r="G23">
            <v>275.89499999999998</v>
          </cell>
        </row>
        <row r="24">
          <cell r="C24">
            <v>0</v>
          </cell>
          <cell r="D24">
            <v>0</v>
          </cell>
          <cell r="G24">
            <v>275.89499999999998</v>
          </cell>
        </row>
        <row r="25">
          <cell r="C25">
            <v>0</v>
          </cell>
          <cell r="D25">
            <v>0</v>
          </cell>
          <cell r="G25">
            <v>275.89499999999998</v>
          </cell>
        </row>
        <row r="26">
          <cell r="C26">
            <v>0</v>
          </cell>
          <cell r="D26">
            <v>0</v>
          </cell>
          <cell r="G26">
            <v>275.89499999999998</v>
          </cell>
        </row>
        <row r="27">
          <cell r="C27">
            <v>0</v>
          </cell>
          <cell r="D27">
            <v>0</v>
          </cell>
          <cell r="G27">
            <v>275.89499999999998</v>
          </cell>
        </row>
        <row r="28">
          <cell r="C28">
            <v>0</v>
          </cell>
          <cell r="D28">
            <v>0</v>
          </cell>
          <cell r="G28">
            <v>275.89499999999998</v>
          </cell>
        </row>
        <row r="29">
          <cell r="C29">
            <v>0</v>
          </cell>
          <cell r="D29">
            <v>43.924999999999997</v>
          </cell>
          <cell r="G29">
            <v>275.89499999999998</v>
          </cell>
        </row>
        <row r="30">
          <cell r="C30">
            <v>0</v>
          </cell>
          <cell r="D30">
            <v>6.8</v>
          </cell>
          <cell r="G30">
            <v>231.96999999999997</v>
          </cell>
        </row>
        <row r="31">
          <cell r="C31">
            <v>0</v>
          </cell>
          <cell r="D31">
            <v>0</v>
          </cell>
          <cell r="G31">
            <v>225.16999999999996</v>
          </cell>
        </row>
        <row r="32">
          <cell r="C32">
            <v>0</v>
          </cell>
          <cell r="D32">
            <v>13.5</v>
          </cell>
          <cell r="G32">
            <v>225.16999999999996</v>
          </cell>
        </row>
        <row r="33">
          <cell r="C33">
            <v>0</v>
          </cell>
          <cell r="D33">
            <v>21</v>
          </cell>
          <cell r="G33">
            <v>211.66999999999996</v>
          </cell>
        </row>
        <row r="34">
          <cell r="C34">
            <v>0</v>
          </cell>
          <cell r="D34">
            <v>0</v>
          </cell>
          <cell r="G34">
            <v>190.66999999999996</v>
          </cell>
        </row>
        <row r="35">
          <cell r="C35">
            <v>0</v>
          </cell>
          <cell r="D35">
            <v>0</v>
          </cell>
          <cell r="G35">
            <v>190.66999999999996</v>
          </cell>
        </row>
        <row r="36">
          <cell r="C36">
            <v>0</v>
          </cell>
          <cell r="D36">
            <v>0</v>
          </cell>
          <cell r="G36">
            <v>190.66999999999996</v>
          </cell>
        </row>
        <row r="37">
          <cell r="G37">
            <v>8346.345000000003</v>
          </cell>
        </row>
      </sheetData>
      <sheetData sheetId="6"/>
      <sheetData sheetId="7"/>
      <sheetData sheetId="8"/>
      <sheetData sheetId="9">
        <row r="1">
          <cell r="A1">
            <v>45292</v>
          </cell>
        </row>
        <row r="2">
          <cell r="A2">
            <v>45293</v>
          </cell>
        </row>
        <row r="3">
          <cell r="A3">
            <v>45294</v>
          </cell>
        </row>
        <row r="4">
          <cell r="A4">
            <v>45295</v>
          </cell>
        </row>
        <row r="5">
          <cell r="A5">
            <v>45296</v>
          </cell>
        </row>
        <row r="6">
          <cell r="A6">
            <v>45297</v>
          </cell>
        </row>
        <row r="7">
          <cell r="A7">
            <v>45298</v>
          </cell>
        </row>
        <row r="8">
          <cell r="A8">
            <v>45299</v>
          </cell>
        </row>
        <row r="9">
          <cell r="A9">
            <v>45345</v>
          </cell>
        </row>
        <row r="10">
          <cell r="A10">
            <v>45359</v>
          </cell>
        </row>
        <row r="11">
          <cell r="A11">
            <v>45410</v>
          </cell>
        </row>
        <row r="12">
          <cell r="A12">
            <v>45411</v>
          </cell>
        </row>
        <row r="13">
          <cell r="A13">
            <v>45412</v>
          </cell>
        </row>
        <row r="14">
          <cell r="A14">
            <v>45778</v>
          </cell>
        </row>
        <row r="15">
          <cell r="A15">
            <v>45779</v>
          </cell>
        </row>
        <row r="16">
          <cell r="A16">
            <v>45780</v>
          </cell>
        </row>
        <row r="17">
          <cell r="A17">
            <v>45781</v>
          </cell>
        </row>
        <row r="18">
          <cell r="A18">
            <v>45785</v>
          </cell>
        </row>
        <row r="19">
          <cell r="A19">
            <v>45786</v>
          </cell>
        </row>
        <row r="20">
          <cell r="A20">
            <v>45787</v>
          </cell>
        </row>
        <row r="21">
          <cell r="A21">
            <v>45788</v>
          </cell>
        </row>
        <row r="22">
          <cell r="A22">
            <v>45820</v>
          </cell>
        </row>
        <row r="23">
          <cell r="A23">
            <v>45821</v>
          </cell>
        </row>
        <row r="24">
          <cell r="A24">
            <v>45822</v>
          </cell>
        </row>
        <row r="25">
          <cell r="A25">
            <v>45823</v>
          </cell>
        </row>
        <row r="26">
          <cell r="A26">
            <v>45963</v>
          </cell>
        </row>
        <row r="27">
          <cell r="A27">
            <v>45964</v>
          </cell>
        </row>
        <row r="28">
          <cell r="A28">
            <v>45965</v>
          </cell>
        </row>
        <row r="29">
          <cell r="A29">
            <v>46022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Установка"/>
      <sheetName val="Set"/>
    </sheetNames>
    <definedNames>
      <definedName name="o1110010110100111011.o0100000011011010000"/>
    </defined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7">
          <cell r="D7"/>
          <cell r="F7"/>
          <cell r="I7"/>
        </row>
        <row r="8">
          <cell r="D8"/>
          <cell r="F8"/>
        </row>
        <row r="9">
          <cell r="D9"/>
          <cell r="F9"/>
        </row>
        <row r="10">
          <cell r="D10"/>
          <cell r="F10"/>
        </row>
        <row r="11">
          <cell r="D11"/>
          <cell r="F11"/>
        </row>
        <row r="12">
          <cell r="D12"/>
          <cell r="F12"/>
        </row>
        <row r="13">
          <cell r="D13"/>
          <cell r="F13"/>
        </row>
        <row r="14">
          <cell r="D14"/>
          <cell r="F14"/>
        </row>
        <row r="15">
          <cell r="D15"/>
          <cell r="F15"/>
        </row>
        <row r="16">
          <cell r="D16"/>
          <cell r="F16"/>
        </row>
        <row r="17">
          <cell r="D17"/>
          <cell r="F17"/>
        </row>
        <row r="18">
          <cell r="D18"/>
          <cell r="F18"/>
        </row>
        <row r="19">
          <cell r="D19"/>
          <cell r="F19"/>
        </row>
        <row r="20">
          <cell r="D20"/>
          <cell r="F20"/>
        </row>
        <row r="21">
          <cell r="D21"/>
          <cell r="F21"/>
        </row>
        <row r="22">
          <cell r="D22"/>
          <cell r="F22"/>
        </row>
        <row r="23">
          <cell r="D23"/>
          <cell r="F23"/>
        </row>
        <row r="24">
          <cell r="D24"/>
          <cell r="F24"/>
        </row>
        <row r="25">
          <cell r="D25"/>
          <cell r="F25"/>
        </row>
        <row r="26">
          <cell r="D26"/>
          <cell r="F26"/>
        </row>
        <row r="27">
          <cell r="D27"/>
          <cell r="F27"/>
        </row>
        <row r="28">
          <cell r="D28"/>
          <cell r="F28"/>
        </row>
        <row r="29">
          <cell r="D29"/>
          <cell r="F29"/>
        </row>
        <row r="30">
          <cell r="D30"/>
          <cell r="F30"/>
        </row>
        <row r="31">
          <cell r="D31"/>
          <cell r="F31"/>
        </row>
        <row r="32">
          <cell r="D32"/>
          <cell r="F32"/>
        </row>
        <row r="33">
          <cell r="D33"/>
          <cell r="F33"/>
        </row>
        <row r="34">
          <cell r="D34"/>
          <cell r="F34"/>
        </row>
        <row r="35">
          <cell r="D35"/>
          <cell r="F35"/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0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BA25D-31C8-44F4-AAB9-3E01AB20CF34}">
  <sheetPr codeName="Лист1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FE02E-1D23-4E25-AED2-1317CA72D358}">
  <sheetPr codeName="Лист2"/>
  <dimension ref="A1:T40"/>
  <sheetViews>
    <sheetView workbookViewId="0">
      <selection activeCell="J23" sqref="J23"/>
    </sheetView>
  </sheetViews>
  <sheetFormatPr defaultRowHeight="15"/>
  <cols>
    <col min="1" max="1" width="9.19921875" style="2" bestFit="1" customWidth="1"/>
    <col min="2" max="3" width="8.796875" style="2"/>
    <col min="4" max="4" width="8.19921875" style="2" customWidth="1"/>
    <col min="5" max="5" width="8.5" style="2" customWidth="1"/>
    <col min="6" max="6" width="9.296875" style="2" customWidth="1"/>
    <col min="7" max="7" width="8" style="2" customWidth="1"/>
    <col min="8" max="8" width="7.296875" style="2" customWidth="1"/>
    <col min="9" max="9" width="7.3984375" style="2" bestFit="1" customWidth="1"/>
    <col min="10" max="10" width="6.59765625" style="2" bestFit="1" customWidth="1"/>
    <col min="11" max="12" width="8.796875" style="2"/>
    <col min="13" max="13" width="10.59765625" style="2" customWidth="1"/>
    <col min="14" max="14" width="9.5" style="2" customWidth="1"/>
    <col min="15" max="15" width="10.19921875" style="2" customWidth="1"/>
    <col min="16" max="16" width="10.19921875" style="2" bestFit="1" customWidth="1"/>
    <col min="17" max="17" width="10.5" style="2" customWidth="1"/>
    <col min="18" max="18" width="9.296875" style="2" customWidth="1"/>
    <col min="19" max="19" width="8.19921875" style="2" customWidth="1"/>
    <col min="20" max="20" width="17" style="2" customWidth="1"/>
    <col min="21" max="16384" width="8.796875" style="2"/>
  </cols>
  <sheetData>
    <row r="1" spans="1:20">
      <c r="A1" s="1">
        <f>T37</f>
        <v>312363.25704000005</v>
      </c>
      <c r="I1" s="3"/>
    </row>
    <row r="2" spans="1:20" ht="28.9" customHeight="1">
      <c r="A2" s="209" t="str">
        <f>"Отчет по хранению товара за " &amp; TEXT(B5,"ММММ ГГГГ")</f>
        <v>Отчет по хранению товара за Декабрь 2025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</row>
    <row r="3" spans="1:20" ht="28.9" customHeight="1">
      <c r="A3" s="206" t="s">
        <v>0</v>
      </c>
      <c r="B3" s="210" t="s">
        <v>1</v>
      </c>
      <c r="C3" s="211"/>
      <c r="D3" s="206" t="s">
        <v>2</v>
      </c>
      <c r="E3" s="206" t="s">
        <v>3</v>
      </c>
      <c r="F3" s="4" t="s">
        <v>4</v>
      </c>
      <c r="G3" s="206" t="s">
        <v>5</v>
      </c>
      <c r="H3" s="206" t="s">
        <v>6</v>
      </c>
      <c r="I3" s="206" t="s">
        <v>7</v>
      </c>
      <c r="J3" s="206" t="s">
        <v>8</v>
      </c>
      <c r="K3" s="206" t="s">
        <v>9</v>
      </c>
      <c r="L3" s="206" t="s">
        <v>10</v>
      </c>
      <c r="M3" s="206" t="s">
        <v>11</v>
      </c>
      <c r="N3" s="206" t="s">
        <v>12</v>
      </c>
      <c r="O3" s="206" t="s">
        <v>13</v>
      </c>
      <c r="P3" s="206" t="s">
        <v>14</v>
      </c>
      <c r="Q3" s="206" t="s">
        <v>15</v>
      </c>
      <c r="R3" s="206" t="s">
        <v>16</v>
      </c>
      <c r="S3" s="206" t="s">
        <v>17</v>
      </c>
      <c r="T3" s="206" t="s">
        <v>18</v>
      </c>
    </row>
    <row r="4" spans="1:20">
      <c r="A4" s="207"/>
      <c r="B4" s="212"/>
      <c r="C4" s="213"/>
      <c r="D4" s="207"/>
      <c r="E4" s="207"/>
      <c r="F4" s="5"/>
      <c r="G4" s="207"/>
      <c r="H4" s="207"/>
      <c r="I4" s="207"/>
      <c r="J4" s="207"/>
      <c r="K4" s="208"/>
      <c r="L4" s="208"/>
      <c r="M4" s="207"/>
      <c r="N4" s="207"/>
      <c r="O4" s="207"/>
      <c r="P4" s="207"/>
      <c r="Q4" s="207"/>
      <c r="R4" s="207"/>
      <c r="S4" s="207"/>
      <c r="T4" s="207"/>
    </row>
    <row r="5" spans="1:20">
      <c r="A5" s="6">
        <v>1</v>
      </c>
      <c r="B5" s="204">
        <v>45992</v>
      </c>
      <c r="C5" s="205"/>
      <c r="D5" s="7"/>
      <c r="E5" s="7"/>
      <c r="F5" s="8">
        <f>194.4843+D5-E5</f>
        <v>194.48429999999999</v>
      </c>
      <c r="G5" s="9">
        <f>IF(OR(B5="",NOT(ISERROR(SEARCH("KPI",$A$2))),NOT(ISERROR(SEARCH("Полиом",$A$2)))),0,IF(70-F5&lt;=0,0,70-F5))</f>
        <v>0</v>
      </c>
      <c r="H5" s="9"/>
      <c r="I5" s="10"/>
      <c r="J5" s="10"/>
      <c r="K5" s="11"/>
      <c r="L5" s="12">
        <f>SUM(K5*240)</f>
        <v>0</v>
      </c>
      <c r="M5" s="12">
        <f>SUM(D5*120)</f>
        <v>0</v>
      </c>
      <c r="N5" s="12">
        <f>SUM(E5*120)</f>
        <v>0</v>
      </c>
      <c r="O5" s="12">
        <f>SUM(F5*54)</f>
        <v>10502.152199999999</v>
      </c>
      <c r="P5" s="12">
        <f>SUM(G5*54)</f>
        <v>0</v>
      </c>
      <c r="Q5" s="12">
        <f>SUM(H5*120)</f>
        <v>0</v>
      </c>
      <c r="R5" s="12">
        <f>SUM(I5*1000)</f>
        <v>0</v>
      </c>
      <c r="S5" s="12">
        <f>SUM(J5*140)</f>
        <v>0</v>
      </c>
      <c r="T5" s="12">
        <f>SUM(L5:S5)</f>
        <v>10502.152199999999</v>
      </c>
    </row>
    <row r="6" spans="1:20">
      <c r="A6" s="13">
        <v>2</v>
      </c>
      <c r="B6" s="204">
        <v>45993</v>
      </c>
      <c r="C6" s="205"/>
      <c r="D6" s="14"/>
      <c r="E6" s="15">
        <v>4.032</v>
      </c>
      <c r="F6" s="8">
        <f>F5-E6+D6</f>
        <v>190.45229999999998</v>
      </c>
      <c r="G6" s="9">
        <f t="shared" ref="G6:G33" si="0">IF(OR(B6="",NOT(ISERROR(SEARCH("KPI",$A$2))),NOT(ISERROR(SEARCH("Полиом",$A$2)))),0,IF(70-F6&lt;=0,0,70-F6))</f>
        <v>0</v>
      </c>
      <c r="H6" s="9"/>
      <c r="I6" s="10"/>
      <c r="J6" s="10"/>
      <c r="K6" s="11"/>
      <c r="L6" s="12">
        <f t="shared" ref="L6:L35" si="1">SUM(K6*240)</f>
        <v>0</v>
      </c>
      <c r="M6" s="12">
        <f t="shared" ref="M6:N35" si="2">SUM(D6*120)</f>
        <v>0</v>
      </c>
      <c r="N6" s="12">
        <f t="shared" si="2"/>
        <v>483.84000000000003</v>
      </c>
      <c r="O6" s="12">
        <f t="shared" ref="O6:P35" si="3">SUM(F6*54)</f>
        <v>10284.424199999999</v>
      </c>
      <c r="P6" s="12">
        <f t="shared" si="3"/>
        <v>0</v>
      </c>
      <c r="Q6" s="12">
        <f t="shared" ref="Q6:Q35" si="4">SUM(H6*120)</f>
        <v>0</v>
      </c>
      <c r="R6" s="12">
        <f t="shared" ref="R6:R35" si="5">SUM(I6*1000)</f>
        <v>0</v>
      </c>
      <c r="S6" s="12">
        <f t="shared" ref="S6:S35" si="6">SUM(J6*140)</f>
        <v>0</v>
      </c>
      <c r="T6" s="12">
        <f t="shared" ref="T6:T35" si="7">SUM(L6:S6)</f>
        <v>10768.2642</v>
      </c>
    </row>
    <row r="7" spans="1:20">
      <c r="A7" s="13">
        <v>3</v>
      </c>
      <c r="B7" s="204">
        <v>45994</v>
      </c>
      <c r="C7" s="205"/>
      <c r="D7" s="16"/>
      <c r="E7" s="16"/>
      <c r="F7" s="8">
        <f t="shared" ref="F7:F31" si="8">F6-E7+D7</f>
        <v>190.45229999999998</v>
      </c>
      <c r="G7" s="9">
        <f t="shared" si="0"/>
        <v>0</v>
      </c>
      <c r="H7" s="9"/>
      <c r="I7" s="10"/>
      <c r="J7" s="10"/>
      <c r="K7" s="11"/>
      <c r="L7" s="12">
        <f t="shared" si="1"/>
        <v>0</v>
      </c>
      <c r="M7" s="12">
        <f t="shared" si="2"/>
        <v>0</v>
      </c>
      <c r="N7" s="12">
        <f t="shared" si="2"/>
        <v>0</v>
      </c>
      <c r="O7" s="12">
        <f t="shared" si="3"/>
        <v>10284.424199999999</v>
      </c>
      <c r="P7" s="12">
        <f t="shared" si="3"/>
        <v>0</v>
      </c>
      <c r="Q7" s="12">
        <f t="shared" si="4"/>
        <v>0</v>
      </c>
      <c r="R7" s="12">
        <f t="shared" si="5"/>
        <v>0</v>
      </c>
      <c r="S7" s="12">
        <f t="shared" si="6"/>
        <v>0</v>
      </c>
      <c r="T7" s="12">
        <f t="shared" si="7"/>
        <v>10284.424199999999</v>
      </c>
    </row>
    <row r="8" spans="1:20">
      <c r="A8" s="13">
        <v>4</v>
      </c>
      <c r="B8" s="204">
        <v>45995</v>
      </c>
      <c r="C8" s="205"/>
      <c r="D8" s="14"/>
      <c r="E8" s="17">
        <v>6.7291999999999996</v>
      </c>
      <c r="F8" s="8">
        <f t="shared" si="8"/>
        <v>183.72309999999999</v>
      </c>
      <c r="G8" s="9">
        <f t="shared" si="0"/>
        <v>0</v>
      </c>
      <c r="H8" s="9"/>
      <c r="I8" s="10"/>
      <c r="J8" s="10"/>
      <c r="K8" s="11"/>
      <c r="L8" s="12">
        <f t="shared" si="1"/>
        <v>0</v>
      </c>
      <c r="M8" s="12">
        <f t="shared" si="2"/>
        <v>0</v>
      </c>
      <c r="N8" s="12">
        <f t="shared" si="2"/>
        <v>807.50399999999991</v>
      </c>
      <c r="O8" s="12">
        <f t="shared" si="3"/>
        <v>9921.0473999999995</v>
      </c>
      <c r="P8" s="12">
        <f t="shared" si="3"/>
        <v>0</v>
      </c>
      <c r="Q8" s="12">
        <f t="shared" si="4"/>
        <v>0</v>
      </c>
      <c r="R8" s="12">
        <f t="shared" si="5"/>
        <v>0</v>
      </c>
      <c r="S8" s="12">
        <f t="shared" si="6"/>
        <v>0</v>
      </c>
      <c r="T8" s="12">
        <f t="shared" si="7"/>
        <v>10728.5514</v>
      </c>
    </row>
    <row r="9" spans="1:20">
      <c r="A9" s="13">
        <v>5</v>
      </c>
      <c r="B9" s="204">
        <v>45996</v>
      </c>
      <c r="C9" s="205"/>
      <c r="D9" s="16"/>
      <c r="E9" s="16"/>
      <c r="F9" s="8">
        <f t="shared" si="8"/>
        <v>183.72309999999999</v>
      </c>
      <c r="G9" s="9">
        <f t="shared" si="0"/>
        <v>0</v>
      </c>
      <c r="H9" s="9"/>
      <c r="I9" s="10"/>
      <c r="J9" s="10"/>
      <c r="K9" s="11"/>
      <c r="L9" s="12">
        <f t="shared" si="1"/>
        <v>0</v>
      </c>
      <c r="M9" s="12">
        <f t="shared" si="2"/>
        <v>0</v>
      </c>
      <c r="N9" s="12">
        <f t="shared" si="2"/>
        <v>0</v>
      </c>
      <c r="O9" s="12">
        <f t="shared" si="3"/>
        <v>9921.0473999999995</v>
      </c>
      <c r="P9" s="12">
        <f t="shared" si="3"/>
        <v>0</v>
      </c>
      <c r="Q9" s="12">
        <f t="shared" si="4"/>
        <v>0</v>
      </c>
      <c r="R9" s="12">
        <f t="shared" si="5"/>
        <v>0</v>
      </c>
      <c r="S9" s="12">
        <f t="shared" si="6"/>
        <v>0</v>
      </c>
      <c r="T9" s="12">
        <f t="shared" si="7"/>
        <v>9921.0473999999995</v>
      </c>
    </row>
    <row r="10" spans="1:20">
      <c r="A10" s="13">
        <v>6</v>
      </c>
      <c r="B10" s="204">
        <v>45997</v>
      </c>
      <c r="C10" s="205"/>
      <c r="D10" s="14"/>
      <c r="E10" s="17">
        <v>7.2236000000000002</v>
      </c>
      <c r="F10" s="8">
        <f t="shared" si="8"/>
        <v>176.49949999999998</v>
      </c>
      <c r="G10" s="9">
        <f t="shared" si="0"/>
        <v>0</v>
      </c>
      <c r="H10" s="9"/>
      <c r="I10" s="10"/>
      <c r="J10" s="10"/>
      <c r="K10" s="11"/>
      <c r="L10" s="12">
        <f t="shared" si="1"/>
        <v>0</v>
      </c>
      <c r="M10" s="12">
        <f t="shared" si="2"/>
        <v>0</v>
      </c>
      <c r="N10" s="12">
        <f t="shared" si="2"/>
        <v>866.83199999999999</v>
      </c>
      <c r="O10" s="12">
        <f t="shared" si="3"/>
        <v>9530.973</v>
      </c>
      <c r="P10" s="12">
        <f t="shared" si="3"/>
        <v>0</v>
      </c>
      <c r="Q10" s="12">
        <f t="shared" si="4"/>
        <v>0</v>
      </c>
      <c r="R10" s="12">
        <f t="shared" si="5"/>
        <v>0</v>
      </c>
      <c r="S10" s="12">
        <f t="shared" si="6"/>
        <v>0</v>
      </c>
      <c r="T10" s="12">
        <f t="shared" si="7"/>
        <v>10397.805</v>
      </c>
    </row>
    <row r="11" spans="1:20">
      <c r="A11" s="13">
        <v>7</v>
      </c>
      <c r="B11" s="204">
        <v>45998</v>
      </c>
      <c r="C11" s="205"/>
      <c r="D11" s="16"/>
      <c r="E11" s="16"/>
      <c r="F11" s="8">
        <f t="shared" si="8"/>
        <v>176.49949999999998</v>
      </c>
      <c r="G11" s="9">
        <f t="shared" si="0"/>
        <v>0</v>
      </c>
      <c r="H11" s="9"/>
      <c r="I11" s="10"/>
      <c r="J11" s="10"/>
      <c r="K11" s="11"/>
      <c r="L11" s="12">
        <f t="shared" si="1"/>
        <v>0</v>
      </c>
      <c r="M11" s="12">
        <f t="shared" si="2"/>
        <v>0</v>
      </c>
      <c r="N11" s="12">
        <f t="shared" si="2"/>
        <v>0</v>
      </c>
      <c r="O11" s="12">
        <f t="shared" si="3"/>
        <v>9530.973</v>
      </c>
      <c r="P11" s="12">
        <f t="shared" si="3"/>
        <v>0</v>
      </c>
      <c r="Q11" s="12">
        <f t="shared" si="4"/>
        <v>0</v>
      </c>
      <c r="R11" s="12">
        <f t="shared" si="5"/>
        <v>0</v>
      </c>
      <c r="S11" s="12">
        <f t="shared" si="6"/>
        <v>0</v>
      </c>
      <c r="T11" s="12">
        <f t="shared" si="7"/>
        <v>9530.973</v>
      </c>
    </row>
    <row r="12" spans="1:20">
      <c r="A12" s="13">
        <v>8</v>
      </c>
      <c r="B12" s="204">
        <v>45999</v>
      </c>
      <c r="C12" s="205"/>
      <c r="D12" s="16"/>
      <c r="E12" s="16"/>
      <c r="F12" s="8">
        <f t="shared" si="8"/>
        <v>176.49949999999998</v>
      </c>
      <c r="G12" s="9">
        <f t="shared" si="0"/>
        <v>0</v>
      </c>
      <c r="H12" s="9"/>
      <c r="I12" s="10"/>
      <c r="J12" s="10"/>
      <c r="K12" s="11"/>
      <c r="L12" s="12">
        <f t="shared" si="1"/>
        <v>0</v>
      </c>
      <c r="M12" s="12">
        <f t="shared" si="2"/>
        <v>0</v>
      </c>
      <c r="N12" s="12">
        <f t="shared" si="2"/>
        <v>0</v>
      </c>
      <c r="O12" s="12">
        <f t="shared" si="3"/>
        <v>9530.973</v>
      </c>
      <c r="P12" s="12">
        <f t="shared" si="3"/>
        <v>0</v>
      </c>
      <c r="Q12" s="12">
        <f t="shared" si="4"/>
        <v>0</v>
      </c>
      <c r="R12" s="12">
        <f t="shared" si="5"/>
        <v>0</v>
      </c>
      <c r="S12" s="12">
        <f t="shared" si="6"/>
        <v>0</v>
      </c>
      <c r="T12" s="12">
        <f t="shared" si="7"/>
        <v>9530.973</v>
      </c>
    </row>
    <row r="13" spans="1:20">
      <c r="A13" s="13">
        <v>9</v>
      </c>
      <c r="B13" s="204">
        <v>46000</v>
      </c>
      <c r="C13" s="205"/>
      <c r="D13" s="14"/>
      <c r="E13" s="17">
        <v>4.1532</v>
      </c>
      <c r="F13" s="8">
        <f t="shared" si="8"/>
        <v>172.34629999999999</v>
      </c>
      <c r="G13" s="9">
        <f t="shared" si="0"/>
        <v>0</v>
      </c>
      <c r="H13" s="9"/>
      <c r="I13" s="10"/>
      <c r="J13" s="10"/>
      <c r="K13" s="11"/>
      <c r="L13" s="12">
        <f t="shared" si="1"/>
        <v>0</v>
      </c>
      <c r="M13" s="12">
        <f t="shared" si="2"/>
        <v>0</v>
      </c>
      <c r="N13" s="12">
        <f t="shared" si="2"/>
        <v>498.38400000000001</v>
      </c>
      <c r="O13" s="12">
        <f t="shared" si="3"/>
        <v>9306.7001999999993</v>
      </c>
      <c r="P13" s="12">
        <f t="shared" si="3"/>
        <v>0</v>
      </c>
      <c r="Q13" s="12">
        <f t="shared" si="4"/>
        <v>0</v>
      </c>
      <c r="R13" s="12">
        <f t="shared" si="5"/>
        <v>0</v>
      </c>
      <c r="S13" s="12">
        <f t="shared" si="6"/>
        <v>0</v>
      </c>
      <c r="T13" s="12">
        <f t="shared" si="7"/>
        <v>9805.0841999999993</v>
      </c>
    </row>
    <row r="14" spans="1:20">
      <c r="A14" s="13">
        <v>10</v>
      </c>
      <c r="B14" s="204">
        <v>46001</v>
      </c>
      <c r="C14" s="205"/>
      <c r="D14" s="16"/>
      <c r="E14" s="16"/>
      <c r="F14" s="8">
        <f t="shared" si="8"/>
        <v>172.34629999999999</v>
      </c>
      <c r="G14" s="9">
        <f t="shared" si="0"/>
        <v>0</v>
      </c>
      <c r="H14" s="9"/>
      <c r="I14" s="10"/>
      <c r="J14" s="10"/>
      <c r="K14" s="11"/>
      <c r="L14" s="12">
        <f t="shared" si="1"/>
        <v>0</v>
      </c>
      <c r="M14" s="12">
        <f t="shared" si="2"/>
        <v>0</v>
      </c>
      <c r="N14" s="12">
        <f t="shared" si="2"/>
        <v>0</v>
      </c>
      <c r="O14" s="12">
        <f t="shared" si="3"/>
        <v>9306.7001999999993</v>
      </c>
      <c r="P14" s="12">
        <f t="shared" si="3"/>
        <v>0</v>
      </c>
      <c r="Q14" s="12">
        <f t="shared" si="4"/>
        <v>0</v>
      </c>
      <c r="R14" s="12">
        <f t="shared" si="5"/>
        <v>0</v>
      </c>
      <c r="S14" s="12">
        <f t="shared" si="6"/>
        <v>0</v>
      </c>
      <c r="T14" s="12">
        <f t="shared" si="7"/>
        <v>9306.7001999999993</v>
      </c>
    </row>
    <row r="15" spans="1:20">
      <c r="A15" s="13">
        <v>11</v>
      </c>
      <c r="B15" s="204">
        <v>46002</v>
      </c>
      <c r="C15" s="205"/>
      <c r="D15" s="14"/>
      <c r="E15" s="17">
        <v>4.4744999999999999</v>
      </c>
      <c r="F15" s="8">
        <f t="shared" si="8"/>
        <v>167.87179999999998</v>
      </c>
      <c r="G15" s="9">
        <f t="shared" si="0"/>
        <v>0</v>
      </c>
      <c r="H15" s="9"/>
      <c r="I15" s="10"/>
      <c r="J15" s="10"/>
      <c r="K15" s="11"/>
      <c r="L15" s="12">
        <f t="shared" si="1"/>
        <v>0</v>
      </c>
      <c r="M15" s="12">
        <f t="shared" si="2"/>
        <v>0</v>
      </c>
      <c r="N15" s="12">
        <f t="shared" si="2"/>
        <v>536.93999999999994</v>
      </c>
      <c r="O15" s="12">
        <f t="shared" si="3"/>
        <v>9065.0771999999997</v>
      </c>
      <c r="P15" s="12">
        <f t="shared" si="3"/>
        <v>0</v>
      </c>
      <c r="Q15" s="12">
        <f t="shared" si="4"/>
        <v>0</v>
      </c>
      <c r="R15" s="12">
        <f t="shared" si="5"/>
        <v>0</v>
      </c>
      <c r="S15" s="12">
        <f t="shared" si="6"/>
        <v>0</v>
      </c>
      <c r="T15" s="12">
        <f t="shared" si="7"/>
        <v>9602.0172000000002</v>
      </c>
    </row>
    <row r="16" spans="1:20">
      <c r="A16" s="13">
        <v>12</v>
      </c>
      <c r="B16" s="204">
        <v>46003</v>
      </c>
      <c r="C16" s="205"/>
      <c r="D16" s="16"/>
      <c r="E16" s="16"/>
      <c r="F16" s="8">
        <f t="shared" si="8"/>
        <v>167.87179999999998</v>
      </c>
      <c r="G16" s="9">
        <f t="shared" si="0"/>
        <v>0</v>
      </c>
      <c r="H16" s="9"/>
      <c r="I16" s="10"/>
      <c r="J16" s="10"/>
      <c r="K16" s="18"/>
      <c r="L16" s="12">
        <f t="shared" si="1"/>
        <v>0</v>
      </c>
      <c r="M16" s="12">
        <f t="shared" si="2"/>
        <v>0</v>
      </c>
      <c r="N16" s="12">
        <f t="shared" si="2"/>
        <v>0</v>
      </c>
      <c r="O16" s="12">
        <f t="shared" si="3"/>
        <v>9065.0771999999997</v>
      </c>
      <c r="P16" s="12">
        <f t="shared" si="3"/>
        <v>0</v>
      </c>
      <c r="Q16" s="12">
        <f t="shared" si="4"/>
        <v>0</v>
      </c>
      <c r="R16" s="12">
        <f t="shared" si="5"/>
        <v>0</v>
      </c>
      <c r="S16" s="12">
        <f t="shared" si="6"/>
        <v>0</v>
      </c>
      <c r="T16" s="12">
        <f t="shared" si="7"/>
        <v>9065.0771999999997</v>
      </c>
    </row>
    <row r="17" spans="1:20">
      <c r="A17" s="13">
        <v>13</v>
      </c>
      <c r="B17" s="204">
        <v>46004</v>
      </c>
      <c r="C17" s="205"/>
      <c r="D17" s="16"/>
      <c r="E17" s="16"/>
      <c r="F17" s="8">
        <f t="shared" si="8"/>
        <v>167.87179999999998</v>
      </c>
      <c r="G17" s="9">
        <f t="shared" si="0"/>
        <v>0</v>
      </c>
      <c r="H17" s="9"/>
      <c r="I17" s="10"/>
      <c r="J17" s="10"/>
      <c r="K17" s="11"/>
      <c r="L17" s="12">
        <f t="shared" si="1"/>
        <v>0</v>
      </c>
      <c r="M17" s="12">
        <f t="shared" si="2"/>
        <v>0</v>
      </c>
      <c r="N17" s="12">
        <f t="shared" si="2"/>
        <v>0</v>
      </c>
      <c r="O17" s="12">
        <f t="shared" si="3"/>
        <v>9065.0771999999997</v>
      </c>
      <c r="P17" s="12">
        <f t="shared" si="3"/>
        <v>0</v>
      </c>
      <c r="Q17" s="12">
        <f t="shared" si="4"/>
        <v>0</v>
      </c>
      <c r="R17" s="12">
        <f t="shared" si="5"/>
        <v>0</v>
      </c>
      <c r="S17" s="12">
        <f t="shared" si="6"/>
        <v>0</v>
      </c>
      <c r="T17" s="12">
        <f t="shared" si="7"/>
        <v>9065.0771999999997</v>
      </c>
    </row>
    <row r="18" spans="1:20">
      <c r="A18" s="13">
        <v>14</v>
      </c>
      <c r="B18" s="204">
        <v>46005</v>
      </c>
      <c r="C18" s="205"/>
      <c r="D18" s="16"/>
      <c r="E18" s="16"/>
      <c r="F18" s="8">
        <f t="shared" si="8"/>
        <v>167.87179999999998</v>
      </c>
      <c r="G18" s="9">
        <f t="shared" si="0"/>
        <v>0</v>
      </c>
      <c r="H18" s="9"/>
      <c r="I18" s="10"/>
      <c r="J18" s="10"/>
      <c r="K18" s="11"/>
      <c r="L18" s="12">
        <f t="shared" si="1"/>
        <v>0</v>
      </c>
      <c r="M18" s="12">
        <f t="shared" si="2"/>
        <v>0</v>
      </c>
      <c r="N18" s="12">
        <f t="shared" si="2"/>
        <v>0</v>
      </c>
      <c r="O18" s="12">
        <f t="shared" si="3"/>
        <v>9065.0771999999997</v>
      </c>
      <c r="P18" s="12">
        <f t="shared" si="3"/>
        <v>0</v>
      </c>
      <c r="Q18" s="12">
        <f t="shared" si="4"/>
        <v>0</v>
      </c>
      <c r="R18" s="12">
        <f t="shared" si="5"/>
        <v>0</v>
      </c>
      <c r="S18" s="12">
        <f t="shared" si="6"/>
        <v>0</v>
      </c>
      <c r="T18" s="12">
        <f t="shared" si="7"/>
        <v>9065.0771999999997</v>
      </c>
    </row>
    <row r="19" spans="1:20">
      <c r="A19" s="13">
        <v>15</v>
      </c>
      <c r="B19" s="204">
        <v>46006</v>
      </c>
      <c r="C19" s="205"/>
      <c r="D19" s="16"/>
      <c r="E19" s="16"/>
      <c r="F19" s="8">
        <f t="shared" si="8"/>
        <v>167.87179999999998</v>
      </c>
      <c r="G19" s="9">
        <f t="shared" si="0"/>
        <v>0</v>
      </c>
      <c r="H19" s="9"/>
      <c r="I19" s="10"/>
      <c r="J19" s="10"/>
      <c r="K19" s="11"/>
      <c r="L19" s="12">
        <f t="shared" si="1"/>
        <v>0</v>
      </c>
      <c r="M19" s="12">
        <f t="shared" si="2"/>
        <v>0</v>
      </c>
      <c r="N19" s="12">
        <f t="shared" si="2"/>
        <v>0</v>
      </c>
      <c r="O19" s="12">
        <f t="shared" si="3"/>
        <v>9065.0771999999997</v>
      </c>
      <c r="P19" s="12">
        <f t="shared" si="3"/>
        <v>0</v>
      </c>
      <c r="Q19" s="12">
        <f t="shared" si="4"/>
        <v>0</v>
      </c>
      <c r="R19" s="12">
        <f t="shared" si="5"/>
        <v>0</v>
      </c>
      <c r="S19" s="12">
        <f t="shared" si="6"/>
        <v>0</v>
      </c>
      <c r="T19" s="12">
        <f t="shared" si="7"/>
        <v>9065.0771999999997</v>
      </c>
    </row>
    <row r="20" spans="1:20">
      <c r="A20" s="13">
        <v>16</v>
      </c>
      <c r="B20" s="204">
        <v>46007</v>
      </c>
      <c r="C20" s="205"/>
      <c r="D20" s="14"/>
      <c r="E20" s="17">
        <v>21.340299999999999</v>
      </c>
      <c r="F20" s="8">
        <f t="shared" si="8"/>
        <v>146.53149999999999</v>
      </c>
      <c r="G20" s="9">
        <f t="shared" si="0"/>
        <v>0</v>
      </c>
      <c r="H20" s="9"/>
      <c r="I20" s="10"/>
      <c r="J20" s="10"/>
      <c r="K20" s="11"/>
      <c r="L20" s="12">
        <f t="shared" si="1"/>
        <v>0</v>
      </c>
      <c r="M20" s="12">
        <f t="shared" si="2"/>
        <v>0</v>
      </c>
      <c r="N20" s="12">
        <f t="shared" si="2"/>
        <v>2560.8359999999998</v>
      </c>
      <c r="O20" s="12">
        <f t="shared" si="3"/>
        <v>7912.701</v>
      </c>
      <c r="P20" s="12">
        <f t="shared" si="3"/>
        <v>0</v>
      </c>
      <c r="Q20" s="12">
        <f t="shared" si="4"/>
        <v>0</v>
      </c>
      <c r="R20" s="12">
        <f t="shared" si="5"/>
        <v>0</v>
      </c>
      <c r="S20" s="12">
        <f t="shared" si="6"/>
        <v>0</v>
      </c>
      <c r="T20" s="12">
        <f t="shared" si="7"/>
        <v>10473.537</v>
      </c>
    </row>
    <row r="21" spans="1:20">
      <c r="A21" s="13">
        <v>17</v>
      </c>
      <c r="B21" s="204">
        <v>46008</v>
      </c>
      <c r="C21" s="205"/>
      <c r="D21" s="16"/>
      <c r="E21" s="16"/>
      <c r="F21" s="8">
        <f t="shared" si="8"/>
        <v>146.53149999999999</v>
      </c>
      <c r="G21" s="9">
        <f t="shared" si="0"/>
        <v>0</v>
      </c>
      <c r="H21" s="9"/>
      <c r="I21" s="10"/>
      <c r="J21" s="10"/>
      <c r="K21" s="11"/>
      <c r="L21" s="12">
        <f t="shared" si="1"/>
        <v>0</v>
      </c>
      <c r="M21" s="12">
        <f t="shared" si="2"/>
        <v>0</v>
      </c>
      <c r="N21" s="12">
        <f t="shared" si="2"/>
        <v>0</v>
      </c>
      <c r="O21" s="12">
        <f t="shared" si="3"/>
        <v>7912.701</v>
      </c>
      <c r="P21" s="12">
        <f t="shared" si="3"/>
        <v>0</v>
      </c>
      <c r="Q21" s="12">
        <f t="shared" si="4"/>
        <v>0</v>
      </c>
      <c r="R21" s="12">
        <f t="shared" si="5"/>
        <v>0</v>
      </c>
      <c r="S21" s="12">
        <f t="shared" si="6"/>
        <v>0</v>
      </c>
      <c r="T21" s="12">
        <f t="shared" si="7"/>
        <v>7912.701</v>
      </c>
    </row>
    <row r="22" spans="1:20">
      <c r="A22" s="13">
        <v>18</v>
      </c>
      <c r="B22" s="204">
        <v>46009</v>
      </c>
      <c r="C22" s="205"/>
      <c r="D22" s="14"/>
      <c r="E22" s="17">
        <v>20.3277</v>
      </c>
      <c r="F22" s="8">
        <f t="shared" si="8"/>
        <v>126.2038</v>
      </c>
      <c r="G22" s="9">
        <f t="shared" si="0"/>
        <v>0</v>
      </c>
      <c r="H22" s="9"/>
      <c r="I22" s="10"/>
      <c r="J22" s="10"/>
      <c r="K22" s="11"/>
      <c r="L22" s="12">
        <f t="shared" si="1"/>
        <v>0</v>
      </c>
      <c r="M22" s="12">
        <f t="shared" si="2"/>
        <v>0</v>
      </c>
      <c r="N22" s="12">
        <f t="shared" si="2"/>
        <v>2439.3240000000001</v>
      </c>
      <c r="O22" s="12">
        <f t="shared" si="3"/>
        <v>6815.0051999999996</v>
      </c>
      <c r="P22" s="12">
        <f t="shared" si="3"/>
        <v>0</v>
      </c>
      <c r="Q22" s="12">
        <f t="shared" si="4"/>
        <v>0</v>
      </c>
      <c r="R22" s="12">
        <f t="shared" si="5"/>
        <v>0</v>
      </c>
      <c r="S22" s="12">
        <f t="shared" si="6"/>
        <v>0</v>
      </c>
      <c r="T22" s="12">
        <f t="shared" si="7"/>
        <v>9254.3292000000001</v>
      </c>
    </row>
    <row r="23" spans="1:20">
      <c r="A23" s="13">
        <v>19</v>
      </c>
      <c r="B23" s="204">
        <v>46010</v>
      </c>
      <c r="C23" s="205"/>
      <c r="D23" s="16"/>
      <c r="E23" s="16"/>
      <c r="F23" s="8">
        <f t="shared" si="8"/>
        <v>126.2038</v>
      </c>
      <c r="G23" s="9">
        <f t="shared" si="0"/>
        <v>0</v>
      </c>
      <c r="H23" s="9"/>
      <c r="I23" s="10"/>
      <c r="J23" s="10"/>
      <c r="K23" s="11"/>
      <c r="L23" s="12">
        <f t="shared" si="1"/>
        <v>0</v>
      </c>
      <c r="M23" s="12">
        <f t="shared" si="2"/>
        <v>0</v>
      </c>
      <c r="N23" s="12">
        <f t="shared" si="2"/>
        <v>0</v>
      </c>
      <c r="O23" s="12">
        <f t="shared" si="3"/>
        <v>6815.0051999999996</v>
      </c>
      <c r="P23" s="12">
        <f t="shared" si="3"/>
        <v>0</v>
      </c>
      <c r="Q23" s="12">
        <f t="shared" si="4"/>
        <v>0</v>
      </c>
      <c r="R23" s="12">
        <f t="shared" si="5"/>
        <v>0</v>
      </c>
      <c r="S23" s="12">
        <f t="shared" si="6"/>
        <v>0</v>
      </c>
      <c r="T23" s="12">
        <f t="shared" si="7"/>
        <v>6815.0051999999996</v>
      </c>
    </row>
    <row r="24" spans="1:20">
      <c r="A24" s="13">
        <v>20</v>
      </c>
      <c r="B24" s="204">
        <v>46011</v>
      </c>
      <c r="C24" s="205"/>
      <c r="D24" s="14"/>
      <c r="E24" s="17">
        <v>5.0472000000000001</v>
      </c>
      <c r="F24" s="8">
        <f t="shared" si="8"/>
        <v>121.1566</v>
      </c>
      <c r="G24" s="9">
        <f t="shared" si="0"/>
        <v>0</v>
      </c>
      <c r="H24" s="9"/>
      <c r="I24" s="10"/>
      <c r="J24" s="10"/>
      <c r="K24" s="11"/>
      <c r="L24" s="12">
        <f t="shared" si="1"/>
        <v>0</v>
      </c>
      <c r="M24" s="12">
        <f t="shared" si="2"/>
        <v>0</v>
      </c>
      <c r="N24" s="12">
        <f t="shared" si="2"/>
        <v>605.66399999999999</v>
      </c>
      <c r="O24" s="12">
        <f t="shared" si="3"/>
        <v>6542.4564</v>
      </c>
      <c r="P24" s="12">
        <f t="shared" si="3"/>
        <v>0</v>
      </c>
      <c r="Q24" s="12">
        <f t="shared" si="4"/>
        <v>0</v>
      </c>
      <c r="R24" s="12">
        <f t="shared" si="5"/>
        <v>0</v>
      </c>
      <c r="S24" s="12">
        <f t="shared" si="6"/>
        <v>0</v>
      </c>
      <c r="T24" s="12">
        <f t="shared" si="7"/>
        <v>7148.1203999999998</v>
      </c>
    </row>
    <row r="25" spans="1:20">
      <c r="A25" s="13">
        <v>21</v>
      </c>
      <c r="B25" s="204">
        <v>46012</v>
      </c>
      <c r="C25" s="205"/>
      <c r="D25" s="16"/>
      <c r="E25" s="16"/>
      <c r="F25" s="8">
        <f t="shared" si="8"/>
        <v>121.1566</v>
      </c>
      <c r="G25" s="9">
        <f t="shared" si="0"/>
        <v>0</v>
      </c>
      <c r="H25" s="9"/>
      <c r="I25" s="10"/>
      <c r="J25" s="10"/>
      <c r="K25" s="11"/>
      <c r="L25" s="12">
        <f t="shared" si="1"/>
        <v>0</v>
      </c>
      <c r="M25" s="12">
        <f t="shared" si="2"/>
        <v>0</v>
      </c>
      <c r="N25" s="12">
        <f t="shared" si="2"/>
        <v>0</v>
      </c>
      <c r="O25" s="12">
        <f t="shared" si="3"/>
        <v>6542.4564</v>
      </c>
      <c r="P25" s="12">
        <f t="shared" si="3"/>
        <v>0</v>
      </c>
      <c r="Q25" s="12">
        <f t="shared" si="4"/>
        <v>0</v>
      </c>
      <c r="R25" s="12">
        <f t="shared" si="5"/>
        <v>0</v>
      </c>
      <c r="S25" s="12">
        <f t="shared" si="6"/>
        <v>0</v>
      </c>
      <c r="T25" s="12">
        <f t="shared" si="7"/>
        <v>6542.4564</v>
      </c>
    </row>
    <row r="26" spans="1:20">
      <c r="A26" s="13">
        <v>22</v>
      </c>
      <c r="B26" s="204">
        <v>46013</v>
      </c>
      <c r="C26" s="205"/>
      <c r="D26" s="16"/>
      <c r="E26" s="16"/>
      <c r="F26" s="8">
        <f t="shared" si="8"/>
        <v>121.1566</v>
      </c>
      <c r="G26" s="9">
        <f t="shared" si="0"/>
        <v>0</v>
      </c>
      <c r="H26" s="9"/>
      <c r="I26" s="10"/>
      <c r="J26" s="10"/>
      <c r="K26" s="11"/>
      <c r="L26" s="12">
        <f t="shared" si="1"/>
        <v>0</v>
      </c>
      <c r="M26" s="12">
        <f t="shared" si="2"/>
        <v>0</v>
      </c>
      <c r="N26" s="12">
        <f t="shared" si="2"/>
        <v>0</v>
      </c>
      <c r="O26" s="12">
        <f t="shared" si="3"/>
        <v>6542.4564</v>
      </c>
      <c r="P26" s="12">
        <f t="shared" si="3"/>
        <v>0</v>
      </c>
      <c r="Q26" s="12">
        <f t="shared" si="4"/>
        <v>0</v>
      </c>
      <c r="R26" s="12">
        <f t="shared" si="5"/>
        <v>0</v>
      </c>
      <c r="S26" s="12">
        <f t="shared" si="6"/>
        <v>0</v>
      </c>
      <c r="T26" s="12">
        <f t="shared" si="7"/>
        <v>6542.4564</v>
      </c>
    </row>
    <row r="27" spans="1:20">
      <c r="A27" s="13">
        <v>23</v>
      </c>
      <c r="B27" s="204">
        <v>46014</v>
      </c>
      <c r="C27" s="205"/>
      <c r="D27" s="14"/>
      <c r="E27" s="17">
        <v>20.136199999999999</v>
      </c>
      <c r="F27" s="8">
        <f t="shared" si="8"/>
        <v>101.0204</v>
      </c>
      <c r="G27" s="9">
        <f t="shared" si="0"/>
        <v>0</v>
      </c>
      <c r="H27" s="9"/>
      <c r="I27" s="10"/>
      <c r="J27" s="10"/>
      <c r="K27" s="11"/>
      <c r="L27" s="12">
        <f t="shared" si="1"/>
        <v>0</v>
      </c>
      <c r="M27" s="12">
        <f t="shared" si="2"/>
        <v>0</v>
      </c>
      <c r="N27" s="12">
        <f t="shared" si="2"/>
        <v>2416.3440000000001</v>
      </c>
      <c r="O27" s="12">
        <f t="shared" si="3"/>
        <v>5455.1016</v>
      </c>
      <c r="P27" s="12">
        <f t="shared" si="3"/>
        <v>0</v>
      </c>
      <c r="Q27" s="12">
        <f t="shared" si="4"/>
        <v>0</v>
      </c>
      <c r="R27" s="12">
        <f t="shared" si="5"/>
        <v>0</v>
      </c>
      <c r="S27" s="12">
        <f t="shared" si="6"/>
        <v>0</v>
      </c>
      <c r="T27" s="12">
        <f t="shared" si="7"/>
        <v>7871.4456</v>
      </c>
    </row>
    <row r="28" spans="1:20">
      <c r="A28" s="13">
        <v>24</v>
      </c>
      <c r="B28" s="204">
        <v>46015</v>
      </c>
      <c r="C28" s="205"/>
      <c r="D28" s="16"/>
      <c r="E28" s="16"/>
      <c r="F28" s="8">
        <f t="shared" si="8"/>
        <v>101.0204</v>
      </c>
      <c r="G28" s="9">
        <f t="shared" si="0"/>
        <v>0</v>
      </c>
      <c r="H28" s="9"/>
      <c r="I28" s="10"/>
      <c r="J28" s="10"/>
      <c r="K28" s="11"/>
      <c r="L28" s="12">
        <f t="shared" si="1"/>
        <v>0</v>
      </c>
      <c r="M28" s="12">
        <f t="shared" si="2"/>
        <v>0</v>
      </c>
      <c r="N28" s="12">
        <f t="shared" si="2"/>
        <v>0</v>
      </c>
      <c r="O28" s="12">
        <f t="shared" si="3"/>
        <v>5455.1016</v>
      </c>
      <c r="P28" s="12">
        <f t="shared" si="3"/>
        <v>0</v>
      </c>
      <c r="Q28" s="12">
        <f t="shared" si="4"/>
        <v>0</v>
      </c>
      <c r="R28" s="12">
        <f t="shared" si="5"/>
        <v>0</v>
      </c>
      <c r="S28" s="12">
        <f t="shared" si="6"/>
        <v>0</v>
      </c>
      <c r="T28" s="12">
        <f t="shared" si="7"/>
        <v>5455.1016</v>
      </c>
    </row>
    <row r="29" spans="1:20">
      <c r="A29" s="13">
        <v>25</v>
      </c>
      <c r="B29" s="204">
        <v>46016</v>
      </c>
      <c r="C29" s="205"/>
      <c r="D29" s="14"/>
      <c r="E29" s="15">
        <v>30.344999999999999</v>
      </c>
      <c r="F29" s="8">
        <f t="shared" si="8"/>
        <v>70.675399999999996</v>
      </c>
      <c r="G29" s="9">
        <f t="shared" si="0"/>
        <v>0</v>
      </c>
      <c r="H29" s="9"/>
      <c r="I29" s="10"/>
      <c r="J29" s="10"/>
      <c r="K29" s="11"/>
      <c r="L29" s="12">
        <f t="shared" si="1"/>
        <v>0</v>
      </c>
      <c r="M29" s="12">
        <f t="shared" si="2"/>
        <v>0</v>
      </c>
      <c r="N29" s="12">
        <f t="shared" si="2"/>
        <v>3641.3999999999996</v>
      </c>
      <c r="O29" s="12">
        <f t="shared" si="3"/>
        <v>3816.4715999999999</v>
      </c>
      <c r="P29" s="12">
        <f t="shared" si="3"/>
        <v>0</v>
      </c>
      <c r="Q29" s="12">
        <f t="shared" si="4"/>
        <v>0</v>
      </c>
      <c r="R29" s="12">
        <f t="shared" si="5"/>
        <v>0</v>
      </c>
      <c r="S29" s="12">
        <f t="shared" si="6"/>
        <v>0</v>
      </c>
      <c r="T29" s="12">
        <f t="shared" si="7"/>
        <v>7457.8715999999995</v>
      </c>
    </row>
    <row r="30" spans="1:20">
      <c r="A30" s="13">
        <v>26</v>
      </c>
      <c r="B30" s="204">
        <v>46017</v>
      </c>
      <c r="C30" s="205"/>
      <c r="D30" s="17">
        <v>35.744100000000003</v>
      </c>
      <c r="E30" s="17">
        <v>3.8176999999999999</v>
      </c>
      <c r="F30" s="8">
        <f t="shared" si="8"/>
        <v>102.6018</v>
      </c>
      <c r="G30" s="9">
        <f t="shared" si="0"/>
        <v>0</v>
      </c>
      <c r="H30" s="9"/>
      <c r="I30" s="10"/>
      <c r="J30" s="10"/>
      <c r="K30" s="11"/>
      <c r="L30" s="12">
        <f t="shared" si="1"/>
        <v>0</v>
      </c>
      <c r="M30" s="12">
        <f t="shared" si="2"/>
        <v>4289.2920000000004</v>
      </c>
      <c r="N30" s="12">
        <f t="shared" si="2"/>
        <v>458.12399999999997</v>
      </c>
      <c r="O30" s="12">
        <f t="shared" si="3"/>
        <v>5540.4971999999998</v>
      </c>
      <c r="P30" s="12">
        <f t="shared" si="3"/>
        <v>0</v>
      </c>
      <c r="Q30" s="12">
        <f t="shared" si="4"/>
        <v>0</v>
      </c>
      <c r="R30" s="12">
        <f t="shared" si="5"/>
        <v>0</v>
      </c>
      <c r="S30" s="12">
        <f t="shared" si="6"/>
        <v>0</v>
      </c>
      <c r="T30" s="12">
        <f t="shared" si="7"/>
        <v>10287.913199999999</v>
      </c>
    </row>
    <row r="31" spans="1:20">
      <c r="A31" s="13">
        <v>27</v>
      </c>
      <c r="B31" s="204">
        <v>46018</v>
      </c>
      <c r="C31" s="205"/>
      <c r="D31" s="14"/>
      <c r="E31" s="17">
        <v>1.6954</v>
      </c>
      <c r="F31" s="8">
        <f t="shared" si="8"/>
        <v>100.90639999999999</v>
      </c>
      <c r="G31" s="9">
        <f t="shared" si="0"/>
        <v>0</v>
      </c>
      <c r="H31" s="9"/>
      <c r="I31" s="10"/>
      <c r="J31" s="10"/>
      <c r="K31" s="11"/>
      <c r="L31" s="12">
        <f t="shared" si="1"/>
        <v>0</v>
      </c>
      <c r="M31" s="12">
        <f t="shared" si="2"/>
        <v>0</v>
      </c>
      <c r="N31" s="12">
        <f t="shared" si="2"/>
        <v>203.44800000000001</v>
      </c>
      <c r="O31" s="12">
        <f t="shared" si="3"/>
        <v>5448.9455999999991</v>
      </c>
      <c r="P31" s="12">
        <f t="shared" si="3"/>
        <v>0</v>
      </c>
      <c r="Q31" s="12">
        <f t="shared" si="4"/>
        <v>0</v>
      </c>
      <c r="R31" s="12">
        <f t="shared" si="5"/>
        <v>0</v>
      </c>
      <c r="S31" s="12">
        <f t="shared" si="6"/>
        <v>0</v>
      </c>
      <c r="T31" s="12">
        <f t="shared" si="7"/>
        <v>5652.3935999999994</v>
      </c>
    </row>
    <row r="32" spans="1:20">
      <c r="A32" s="13">
        <v>28</v>
      </c>
      <c r="B32" s="204">
        <v>46019</v>
      </c>
      <c r="C32" s="205"/>
      <c r="D32" s="16"/>
      <c r="E32" s="16"/>
      <c r="F32" s="8">
        <f>F31-E32+D32</f>
        <v>100.90639999999999</v>
      </c>
      <c r="G32" s="9">
        <f t="shared" si="0"/>
        <v>0</v>
      </c>
      <c r="H32" s="9"/>
      <c r="I32" s="10"/>
      <c r="J32" s="10"/>
      <c r="K32" s="11"/>
      <c r="L32" s="12">
        <f t="shared" si="1"/>
        <v>0</v>
      </c>
      <c r="M32" s="12">
        <f t="shared" si="2"/>
        <v>0</v>
      </c>
      <c r="N32" s="12">
        <f t="shared" si="2"/>
        <v>0</v>
      </c>
      <c r="O32" s="12">
        <f t="shared" si="3"/>
        <v>5448.9455999999991</v>
      </c>
      <c r="P32" s="12">
        <f t="shared" si="3"/>
        <v>0</v>
      </c>
      <c r="Q32" s="12">
        <f t="shared" si="4"/>
        <v>0</v>
      </c>
      <c r="R32" s="12">
        <f t="shared" si="5"/>
        <v>0</v>
      </c>
      <c r="S32" s="12">
        <f t="shared" si="6"/>
        <v>0</v>
      </c>
      <c r="T32" s="12">
        <f t="shared" si="7"/>
        <v>5448.9455999999991</v>
      </c>
    </row>
    <row r="33" spans="1:20">
      <c r="A33" s="13">
        <v>29</v>
      </c>
      <c r="B33" s="204">
        <v>46020</v>
      </c>
      <c r="C33" s="205"/>
      <c r="D33" s="16"/>
      <c r="E33" s="16"/>
      <c r="F33" s="8">
        <f t="shared" ref="F33" si="9">F32-E33+D33</f>
        <v>100.90639999999999</v>
      </c>
      <c r="G33" s="9">
        <f t="shared" si="0"/>
        <v>0</v>
      </c>
      <c r="H33" s="9"/>
      <c r="I33" s="10"/>
      <c r="J33" s="10"/>
      <c r="K33" s="11"/>
      <c r="L33" s="12">
        <f t="shared" si="1"/>
        <v>0</v>
      </c>
      <c r="M33" s="12">
        <f t="shared" si="2"/>
        <v>0</v>
      </c>
      <c r="N33" s="12">
        <f t="shared" si="2"/>
        <v>0</v>
      </c>
      <c r="O33" s="12">
        <f t="shared" si="3"/>
        <v>5448.9455999999991</v>
      </c>
      <c r="P33" s="12">
        <f t="shared" si="3"/>
        <v>0</v>
      </c>
      <c r="Q33" s="12">
        <f t="shared" si="4"/>
        <v>0</v>
      </c>
      <c r="R33" s="12">
        <f t="shared" si="5"/>
        <v>0</v>
      </c>
      <c r="S33" s="12">
        <f t="shared" si="6"/>
        <v>0</v>
      </c>
      <c r="T33" s="12">
        <f t="shared" si="7"/>
        <v>5448.9455999999991</v>
      </c>
    </row>
    <row r="34" spans="1:20">
      <c r="A34" s="13">
        <v>30</v>
      </c>
      <c r="B34" s="204">
        <v>46021</v>
      </c>
      <c r="C34" s="205"/>
      <c r="D34" s="14"/>
      <c r="E34" s="17">
        <v>19.046399999999998</v>
      </c>
      <c r="F34" s="8">
        <f>F33-E34+D34</f>
        <v>81.859999999999985</v>
      </c>
      <c r="G34" s="9">
        <f>IF(OR(B34="",NOT(ISERROR(SEARCH("KPI",$A$2))),NOT(ISERROR(SEARCH("Полиом",$A$2)))),0,IF(70-F34&lt;=0,0,70-F34))</f>
        <v>0</v>
      </c>
      <c r="H34" s="9"/>
      <c r="I34" s="10"/>
      <c r="J34" s="10"/>
      <c r="K34" s="11"/>
      <c r="L34" s="12">
        <f t="shared" si="1"/>
        <v>0</v>
      </c>
      <c r="M34" s="12">
        <f t="shared" si="2"/>
        <v>0</v>
      </c>
      <c r="N34" s="12">
        <f t="shared" si="2"/>
        <v>2285.5679999999998</v>
      </c>
      <c r="O34" s="12">
        <f>SUM(F34*54)</f>
        <v>4420.4399999999996</v>
      </c>
      <c r="P34" s="12">
        <f t="shared" si="3"/>
        <v>0</v>
      </c>
      <c r="Q34" s="12">
        <f t="shared" si="4"/>
        <v>0</v>
      </c>
      <c r="R34" s="12">
        <f t="shared" si="5"/>
        <v>0</v>
      </c>
      <c r="S34" s="12">
        <f t="shared" si="6"/>
        <v>0</v>
      </c>
      <c r="T34" s="12">
        <f t="shared" si="7"/>
        <v>6706.0079999999998</v>
      </c>
    </row>
    <row r="35" spans="1:20">
      <c r="A35" s="13"/>
      <c r="B35" s="204">
        <v>46022</v>
      </c>
      <c r="C35" s="205"/>
      <c r="D35" s="14"/>
      <c r="E35" s="17">
        <v>3.4355000000000002</v>
      </c>
      <c r="F35" s="8">
        <f>F34-E35+D35</f>
        <v>78.424499999999981</v>
      </c>
      <c r="G35" s="9">
        <f>IF(OR(B35="",NOT(ISERROR(SEARCH("KPI",$A$2))),NOT(ISERROR(SEARCH("Полиом",$A$2)))),0,IF(70-F35&lt;=0,0,70-F35))</f>
        <v>0</v>
      </c>
      <c r="H35" s="9"/>
      <c r="I35" s="10"/>
      <c r="J35" s="10"/>
      <c r="K35" s="11"/>
      <c r="L35" s="12">
        <f t="shared" si="1"/>
        <v>0</v>
      </c>
      <c r="M35" s="12">
        <f t="shared" si="2"/>
        <v>0</v>
      </c>
      <c r="N35" s="12">
        <f t="shared" si="2"/>
        <v>412.26000000000005</v>
      </c>
      <c r="O35" s="12">
        <f>SUM(F35*54)</f>
        <v>4234.9229999999989</v>
      </c>
      <c r="P35" s="12">
        <f t="shared" si="3"/>
        <v>0</v>
      </c>
      <c r="Q35" s="12">
        <f t="shared" si="4"/>
        <v>0</v>
      </c>
      <c r="R35" s="12">
        <f t="shared" si="5"/>
        <v>0</v>
      </c>
      <c r="S35" s="12">
        <f t="shared" si="6"/>
        <v>0</v>
      </c>
      <c r="T35" s="12">
        <f t="shared" si="7"/>
        <v>4647.1829999999991</v>
      </c>
    </row>
    <row r="36" spans="1:20">
      <c r="D36" s="16"/>
      <c r="E36" s="16"/>
      <c r="F36" s="19">
        <f>SUM(F5:F35)</f>
        <v>4403.6472999999978</v>
      </c>
      <c r="G36" s="19">
        <f t="shared" ref="G36:T36" si="10">SUM(G5:G35)</f>
        <v>0</v>
      </c>
      <c r="H36" s="19">
        <f t="shared" si="10"/>
        <v>0</v>
      </c>
      <c r="I36" s="19">
        <f t="shared" si="10"/>
        <v>0</v>
      </c>
      <c r="J36" s="19">
        <f t="shared" si="10"/>
        <v>0</v>
      </c>
      <c r="K36" s="20">
        <f t="shared" si="10"/>
        <v>0</v>
      </c>
      <c r="L36" s="21">
        <f t="shared" si="10"/>
        <v>0</v>
      </c>
      <c r="M36" s="21">
        <f t="shared" si="10"/>
        <v>4289.2920000000004</v>
      </c>
      <c r="N36" s="21">
        <f t="shared" si="10"/>
        <v>18216.468000000001</v>
      </c>
      <c r="O36" s="21">
        <f t="shared" si="10"/>
        <v>237796.95420000001</v>
      </c>
      <c r="P36" s="21">
        <f t="shared" si="10"/>
        <v>0</v>
      </c>
      <c r="Q36" s="21">
        <f t="shared" si="10"/>
        <v>0</v>
      </c>
      <c r="R36" s="21">
        <f t="shared" si="10"/>
        <v>0</v>
      </c>
      <c r="S36" s="21">
        <f t="shared" si="10"/>
        <v>0</v>
      </c>
      <c r="T36" s="21">
        <f t="shared" si="10"/>
        <v>260302.71420000007</v>
      </c>
    </row>
    <row r="37" spans="1:20">
      <c r="R37" s="22"/>
      <c r="S37" s="22"/>
      <c r="T37" s="23">
        <f>T36*1.2</f>
        <v>312363.25704000005</v>
      </c>
    </row>
    <row r="40" spans="1:20">
      <c r="F40" s="24"/>
    </row>
  </sheetData>
  <mergeCells count="50">
    <mergeCell ref="B8:C8"/>
    <mergeCell ref="B9:C9"/>
    <mergeCell ref="B10:C10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  <mergeCell ref="B7:C7"/>
    <mergeCell ref="L3:L4"/>
    <mergeCell ref="M3:M4"/>
    <mergeCell ref="N3:N4"/>
    <mergeCell ref="O3:O4"/>
    <mergeCell ref="R3:R4"/>
    <mergeCell ref="S3:S4"/>
    <mergeCell ref="T3:T4"/>
    <mergeCell ref="B5:C5"/>
    <mergeCell ref="B6:C6"/>
    <mergeCell ref="P3:P4"/>
    <mergeCell ref="Q3:Q4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13:C13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097DD-0DB4-4D81-BAEB-AD416004990F}">
  <sheetPr codeName="Лист3"/>
  <dimension ref="A1:M124"/>
  <sheetViews>
    <sheetView tabSelected="1" topLeftCell="A25" zoomScaleNormal="100" workbookViewId="0">
      <selection activeCell="B45" sqref="B45:D45"/>
    </sheetView>
  </sheetViews>
  <sheetFormatPr defaultColWidth="10.09765625" defaultRowHeight="15" customHeight="1"/>
  <cols>
    <col min="1" max="1" width="20" style="25" customWidth="1"/>
    <col min="2" max="2" width="12.3984375" style="25" customWidth="1"/>
    <col min="3" max="3" width="12" style="25" customWidth="1"/>
    <col min="4" max="4" width="12.8984375" style="25" customWidth="1"/>
    <col min="5" max="5" width="14.59765625" style="25" customWidth="1"/>
    <col min="6" max="6" width="15.296875" style="25" customWidth="1"/>
    <col min="7" max="9" width="15.59765625" style="25" customWidth="1"/>
    <col min="10" max="10" width="13.5" style="25" customWidth="1"/>
    <col min="11" max="11" width="15.796875" style="25" customWidth="1"/>
    <col min="12" max="12" width="21.19921875" style="25" customWidth="1"/>
    <col min="13" max="13" width="21.8984375" style="25" customWidth="1"/>
    <col min="14" max="16384" width="10.09765625" style="25"/>
  </cols>
  <sheetData>
    <row r="1" spans="1:10" ht="161.25" customHeight="1" thickBot="1">
      <c r="A1" s="224">
        <f ca="1">G16</f>
        <v>132625891.16103999</v>
      </c>
      <c r="B1" s="224"/>
      <c r="C1" s="224"/>
      <c r="D1" s="224"/>
      <c r="E1" s="224"/>
      <c r="F1" s="224"/>
      <c r="G1" s="224"/>
    </row>
    <row r="2" spans="1:10" ht="12.75" customHeight="1" thickBot="1">
      <c r="A2" s="26"/>
      <c r="B2" s="27"/>
      <c r="C2" s="27"/>
      <c r="D2" s="27"/>
      <c r="E2" s="27"/>
      <c r="F2" s="27"/>
      <c r="I2" s="225" t="s">
        <v>19</v>
      </c>
      <c r="J2" s="226"/>
    </row>
    <row r="3" spans="1:10" ht="14.25" customHeight="1" thickBot="1">
      <c r="A3" s="28" t="s">
        <v>20</v>
      </c>
      <c r="B3" s="29" t="s">
        <v>21</v>
      </c>
      <c r="C3" s="29" t="s">
        <v>22</v>
      </c>
      <c r="D3" s="29" t="s">
        <v>23</v>
      </c>
      <c r="E3" s="29" t="s">
        <v>24</v>
      </c>
      <c r="F3" s="29" t="s">
        <v>25</v>
      </c>
      <c r="G3" s="30" t="s">
        <v>26</v>
      </c>
      <c r="I3" s="31" t="s">
        <v>29</v>
      </c>
      <c r="J3" s="32">
        <v>41304976.399999999</v>
      </c>
    </row>
    <row r="4" spans="1:10" ht="14.25" customHeight="1">
      <c r="A4" s="33" t="s">
        <v>28</v>
      </c>
      <c r="B4" s="34">
        <f t="shared" ref="B4:B12" ca="1" si="0">INDEX($M$44:$M$53,MATCH(A4,$A$44:$A$53,0),1)</f>
        <v>9146660.3400000017</v>
      </c>
      <c r="C4" s="34">
        <v>0</v>
      </c>
      <c r="D4" s="34">
        <f t="shared" ref="D4:D15" ca="1" si="1">INDEX($B$56:$B$72,MATCH(A4,$A$56:$A$72,0),1)</f>
        <v>808299.63</v>
      </c>
      <c r="E4" s="34">
        <f t="shared" ref="E4:E15" ca="1" si="2">SUMIF($F$19:$F$41,A4,$G$19:$G$41)</f>
        <v>0</v>
      </c>
      <c r="F4" s="34">
        <f t="shared" ref="F4:F15" ca="1" si="3">SUMIF($B$19:$B$27,A4,$C$19:$C$27)</f>
        <v>75482.200000000012</v>
      </c>
      <c r="G4" s="35">
        <f t="shared" ref="G4:G13" ca="1" si="4">SUM(B4:F4)</f>
        <v>10030442.170000002</v>
      </c>
      <c r="I4" s="36" t="s">
        <v>27</v>
      </c>
      <c r="J4" s="37">
        <v>20240007</v>
      </c>
    </row>
    <row r="5" spans="1:10" ht="14.25" customHeight="1">
      <c r="A5" s="38" t="s">
        <v>30</v>
      </c>
      <c r="B5" s="34">
        <f t="shared" ca="1" si="0"/>
        <v>11632297.499999998</v>
      </c>
      <c r="C5" s="34">
        <v>0</v>
      </c>
      <c r="D5" s="34">
        <f t="shared" ca="1" si="1"/>
        <v>175179.96</v>
      </c>
      <c r="E5" s="34">
        <f t="shared" ca="1" si="2"/>
        <v>0</v>
      </c>
      <c r="F5" s="34">
        <f t="shared" ca="1" si="3"/>
        <v>8184</v>
      </c>
      <c r="G5" s="35">
        <f t="shared" ca="1" si="4"/>
        <v>11815661.459999999</v>
      </c>
      <c r="I5" s="36" t="s">
        <v>30</v>
      </c>
      <c r="J5" s="37">
        <v>11815661.459999999</v>
      </c>
    </row>
    <row r="6" spans="1:10" ht="14.25" customHeight="1">
      <c r="A6" s="38" t="s">
        <v>31</v>
      </c>
      <c r="B6" s="34">
        <f t="shared" ca="1" si="0"/>
        <v>10552486.549999999</v>
      </c>
      <c r="C6" s="34">
        <v>0</v>
      </c>
      <c r="D6" s="34">
        <f t="shared" ca="1" si="1"/>
        <v>0</v>
      </c>
      <c r="E6" s="34">
        <f t="shared" ca="1" si="2"/>
        <v>0</v>
      </c>
      <c r="F6" s="34">
        <f t="shared" si="3"/>
        <v>0</v>
      </c>
      <c r="G6" s="35">
        <f t="shared" ca="1" si="4"/>
        <v>10552486.549999999</v>
      </c>
      <c r="I6" s="36" t="s">
        <v>31</v>
      </c>
      <c r="J6" s="37">
        <v>10552486.549999999</v>
      </c>
    </row>
    <row r="7" spans="1:10" ht="14.25" customHeight="1">
      <c r="A7" s="39" t="s">
        <v>32</v>
      </c>
      <c r="B7" s="34">
        <f t="shared" ca="1" si="0"/>
        <v>8021379.1600000001</v>
      </c>
      <c r="C7" s="34">
        <v>0</v>
      </c>
      <c r="D7" s="34">
        <f t="shared" ca="1" si="1"/>
        <v>0</v>
      </c>
      <c r="E7" s="34">
        <f t="shared" ca="1" si="2"/>
        <v>312363.25704000005</v>
      </c>
      <c r="F7" s="34">
        <f t="shared" si="3"/>
        <v>0</v>
      </c>
      <c r="G7" s="35">
        <f t="shared" ca="1" si="4"/>
        <v>8333742.4170399997</v>
      </c>
      <c r="I7" s="36" t="s">
        <v>28</v>
      </c>
      <c r="J7" s="37">
        <v>10030442.170000002</v>
      </c>
    </row>
    <row r="8" spans="1:10" ht="14.25" customHeight="1">
      <c r="A8" s="39" t="s">
        <v>33</v>
      </c>
      <c r="B8" s="34">
        <f t="shared" ca="1" si="0"/>
        <v>5576686.6399999997</v>
      </c>
      <c r="C8" s="34">
        <v>0</v>
      </c>
      <c r="D8" s="34">
        <f t="shared" ca="1" si="1"/>
        <v>0</v>
      </c>
      <c r="E8" s="34">
        <f t="shared" si="2"/>
        <v>0</v>
      </c>
      <c r="F8" s="34">
        <f t="shared" si="3"/>
        <v>0</v>
      </c>
      <c r="G8" s="35">
        <f t="shared" ca="1" si="4"/>
        <v>5576686.6399999997</v>
      </c>
      <c r="I8" s="36" t="s">
        <v>34</v>
      </c>
      <c r="J8" s="37">
        <v>8933435.8499999996</v>
      </c>
    </row>
    <row r="9" spans="1:10" ht="14.25" customHeight="1">
      <c r="A9" s="38" t="s">
        <v>27</v>
      </c>
      <c r="B9" s="34">
        <f t="shared" ca="1" si="0"/>
        <v>20240007</v>
      </c>
      <c r="C9" s="34">
        <v>0</v>
      </c>
      <c r="D9" s="34">
        <f t="shared" ca="1" si="1"/>
        <v>0</v>
      </c>
      <c r="E9" s="34">
        <f t="shared" ca="1" si="2"/>
        <v>0</v>
      </c>
      <c r="F9" s="34">
        <f t="shared" si="3"/>
        <v>0</v>
      </c>
      <c r="G9" s="35">
        <f t="shared" ca="1" si="4"/>
        <v>20240007</v>
      </c>
      <c r="I9" s="36" t="s">
        <v>32</v>
      </c>
      <c r="J9" s="37">
        <v>8333742.4170399997</v>
      </c>
    </row>
    <row r="10" spans="1:10" ht="14.25" customHeight="1">
      <c r="A10" s="38" t="s">
        <v>34</v>
      </c>
      <c r="B10" s="34">
        <f t="shared" ca="1" si="0"/>
        <v>8933435.8499999996</v>
      </c>
      <c r="C10" s="34">
        <v>0</v>
      </c>
      <c r="D10" s="34">
        <f t="shared" ca="1" si="1"/>
        <v>0</v>
      </c>
      <c r="E10" s="34">
        <f t="shared" ca="1" si="2"/>
        <v>0</v>
      </c>
      <c r="F10" s="34">
        <f t="shared" si="3"/>
        <v>0</v>
      </c>
      <c r="G10" s="35">
        <f t="shared" ca="1" si="4"/>
        <v>8933435.8499999996</v>
      </c>
      <c r="I10" s="36" t="s">
        <v>35</v>
      </c>
      <c r="J10" s="37">
        <v>7871512.5499999998</v>
      </c>
    </row>
    <row r="11" spans="1:10" ht="14.25" customHeight="1">
      <c r="A11" s="38" t="s">
        <v>35</v>
      </c>
      <c r="B11" s="34">
        <f t="shared" ca="1" si="0"/>
        <v>7252070.3300000001</v>
      </c>
      <c r="C11" s="34">
        <v>0</v>
      </c>
      <c r="D11" s="34">
        <f t="shared" ca="1" si="1"/>
        <v>0</v>
      </c>
      <c r="E11" s="34">
        <f t="shared" ca="1" si="2"/>
        <v>619442.22</v>
      </c>
      <c r="F11" s="34">
        <f t="shared" si="3"/>
        <v>0</v>
      </c>
      <c r="G11" s="35">
        <f t="shared" ca="1" si="4"/>
        <v>7871512.5499999998</v>
      </c>
      <c r="I11" s="36" t="s">
        <v>33</v>
      </c>
      <c r="J11" s="37">
        <v>5576686.6399999997</v>
      </c>
    </row>
    <row r="12" spans="1:10" ht="14.25" customHeight="1">
      <c r="A12" s="38" t="s">
        <v>36</v>
      </c>
      <c r="B12" s="34">
        <f t="shared" ca="1" si="0"/>
        <v>3908030.79</v>
      </c>
      <c r="C12" s="34">
        <v>0</v>
      </c>
      <c r="D12" s="34">
        <f t="shared" ca="1" si="1"/>
        <v>0</v>
      </c>
      <c r="E12" s="34">
        <f t="shared" ca="1" si="2"/>
        <v>28252.223999999998</v>
      </c>
      <c r="F12" s="34">
        <f t="shared" si="3"/>
        <v>0</v>
      </c>
      <c r="G12" s="35">
        <f t="shared" ca="1" si="4"/>
        <v>3936283.014</v>
      </c>
      <c r="I12" s="36" t="s">
        <v>39</v>
      </c>
      <c r="J12" s="37">
        <v>4030657.11</v>
      </c>
    </row>
    <row r="13" spans="1:10" ht="14.25" customHeight="1">
      <c r="A13" s="40" t="s">
        <v>29</v>
      </c>
      <c r="B13" s="34">
        <v>0</v>
      </c>
      <c r="C13" s="34">
        <f ca="1">C29+C36</f>
        <v>41304976.399999999</v>
      </c>
      <c r="D13" s="34">
        <f t="shared" ca="1" si="1"/>
        <v>0</v>
      </c>
      <c r="E13" s="34">
        <f t="shared" si="2"/>
        <v>0</v>
      </c>
      <c r="F13" s="34">
        <f t="shared" si="3"/>
        <v>0</v>
      </c>
      <c r="G13" s="35">
        <f t="shared" ca="1" si="4"/>
        <v>41304976.399999999</v>
      </c>
      <c r="I13" s="36" t="s">
        <v>36</v>
      </c>
      <c r="J13" s="37">
        <v>3936283.014</v>
      </c>
    </row>
    <row r="14" spans="1:10" ht="14.25" customHeight="1" thickBot="1">
      <c r="A14" s="40" t="s">
        <v>38</v>
      </c>
      <c r="B14" s="34">
        <v>0</v>
      </c>
      <c r="C14" s="34">
        <v>0</v>
      </c>
      <c r="D14" s="34">
        <f t="shared" ca="1" si="1"/>
        <v>0</v>
      </c>
      <c r="E14" s="34">
        <f t="shared" si="2"/>
        <v>0</v>
      </c>
      <c r="F14" s="34">
        <f t="shared" si="3"/>
        <v>0</v>
      </c>
      <c r="G14" s="35">
        <f ca="1">SUM(B14:F14)</f>
        <v>0</v>
      </c>
      <c r="I14" s="41" t="s">
        <v>38</v>
      </c>
      <c r="J14" s="42">
        <v>0</v>
      </c>
    </row>
    <row r="15" spans="1:10" ht="14.25" customHeight="1" thickBot="1">
      <c r="A15" s="43" t="s">
        <v>39</v>
      </c>
      <c r="B15" s="34">
        <f ca="1">INDEX($M$44:$M$53,MATCH(A15,$A$44:$A$53,0),1)</f>
        <v>0</v>
      </c>
      <c r="C15" s="34">
        <v>0</v>
      </c>
      <c r="D15" s="34">
        <f t="shared" ca="1" si="1"/>
        <v>4030657.11</v>
      </c>
      <c r="E15" s="34">
        <f t="shared" si="2"/>
        <v>0</v>
      </c>
      <c r="F15" s="34">
        <f t="shared" si="3"/>
        <v>0</v>
      </c>
      <c r="G15" s="35">
        <f ca="1">SUM(B15:F15)</f>
        <v>4030657.11</v>
      </c>
    </row>
    <row r="16" spans="1:10" ht="14.25" customHeight="1" thickBot="1">
      <c r="A16" s="44"/>
      <c r="B16" s="45">
        <f t="shared" ref="B16:G16" ca="1" si="5">SUM(B4:B15)</f>
        <v>85263054.159999996</v>
      </c>
      <c r="C16" s="45">
        <f t="shared" ca="1" si="5"/>
        <v>41304976.399999999</v>
      </c>
      <c r="D16" s="45">
        <f t="shared" ca="1" si="5"/>
        <v>5014136.7</v>
      </c>
      <c r="E16" s="45">
        <f t="shared" ca="1" si="5"/>
        <v>960057.70104000007</v>
      </c>
      <c r="F16" s="45">
        <f t="shared" ca="1" si="5"/>
        <v>83666.200000000012</v>
      </c>
      <c r="G16" s="46">
        <f t="shared" ca="1" si="5"/>
        <v>132625891.16103999</v>
      </c>
    </row>
    <row r="17" spans="1:9" ht="14.25" customHeight="1" thickBot="1">
      <c r="A17" s="47"/>
      <c r="B17" s="48"/>
      <c r="C17" s="48"/>
      <c r="D17" s="48"/>
      <c r="E17" s="48"/>
      <c r="F17" s="49"/>
    </row>
    <row r="18" spans="1:9" ht="14.25" customHeight="1" thickBot="1">
      <c r="A18" s="219" t="s">
        <v>40</v>
      </c>
      <c r="B18" s="220"/>
      <c r="C18" s="50">
        <f ca="1">SUM(C19:C27)</f>
        <v>83666.200000000012</v>
      </c>
      <c r="E18" s="227" t="s">
        <v>24</v>
      </c>
      <c r="F18" s="228"/>
      <c r="G18" s="51">
        <f ca="1">SUM(G19:G40)</f>
        <v>960057.70104000007</v>
      </c>
      <c r="H18" s="52"/>
      <c r="I18" s="53"/>
    </row>
    <row r="19" spans="1:9" ht="14.25" customHeight="1">
      <c r="A19" s="54" t="s">
        <v>41</v>
      </c>
      <c r="B19" s="55" t="s">
        <v>28</v>
      </c>
      <c r="C19" s="56" cm="1">
        <f t="array" aca="1" ref="C19" ca="1">IFERROR(INDIRECT("'" &amp; A19 &amp; "'!A1"),)</f>
        <v>22627</v>
      </c>
      <c r="E19" s="54" t="s">
        <v>42</v>
      </c>
      <c r="F19" s="55" t="s">
        <v>28</v>
      </c>
      <c r="G19" s="57" cm="1">
        <f t="array" aca="1" ref="G19" ca="1">IFERROR(INDIRECT("'" &amp; E19 &amp; " "  &amp; F19 &amp; "'!A1"),0)</f>
        <v>0</v>
      </c>
      <c r="H19" s="58"/>
      <c r="I19" s="58"/>
    </row>
    <row r="20" spans="1:9" ht="14.25" customHeight="1">
      <c r="A20" s="59" t="s">
        <v>43</v>
      </c>
      <c r="B20" s="60" t="s">
        <v>28</v>
      </c>
      <c r="C20" s="56" cm="1">
        <f t="array" aca="1" ref="C20" ca="1">IFERROR(INDIRECT("'" &amp; A20 &amp; "'!A1"),)</f>
        <v>8928</v>
      </c>
      <c r="E20" s="59" t="s">
        <v>44</v>
      </c>
      <c r="F20" s="60" t="s">
        <v>28</v>
      </c>
      <c r="G20" s="57" cm="1">
        <f t="array" aca="1" ref="G20" ca="1">IFERROR(INDIRECT("'" &amp; E20 &amp; " "  &amp; F20 &amp; "'!A1"),0)</f>
        <v>0</v>
      </c>
      <c r="H20" s="58"/>
      <c r="I20" s="58"/>
    </row>
    <row r="21" spans="1:9" ht="14.25" customHeight="1">
      <c r="A21" s="59" t="s">
        <v>45</v>
      </c>
      <c r="B21" s="60" t="s">
        <v>28</v>
      </c>
      <c r="C21" s="56" cm="1">
        <f t="array" aca="1" ref="C21" ca="1">IFERROR(INDIRECT("'" &amp; A21 &amp; "'!A1"),)</f>
        <v>18648</v>
      </c>
      <c r="E21" s="54" t="s">
        <v>46</v>
      </c>
      <c r="F21" s="55" t="s">
        <v>28</v>
      </c>
      <c r="G21" s="57" cm="1">
        <f t="array" aca="1" ref="G21" ca="1">IFERROR(INDIRECT("'" &amp; E21 &amp; " "  &amp; F21 &amp; "'!A1"),0)</f>
        <v>0</v>
      </c>
      <c r="H21" s="58"/>
      <c r="I21" s="58"/>
    </row>
    <row r="22" spans="1:9" ht="14.25" customHeight="1">
      <c r="A22" s="59" t="s">
        <v>47</v>
      </c>
      <c r="B22" s="60" t="s">
        <v>28</v>
      </c>
      <c r="C22" s="56" cm="1">
        <f t="array" aca="1" ref="C22" ca="1">IFERROR(INDIRECT("'" &amp; A22 &amp; "'!A1"),)</f>
        <v>24609.599999999999</v>
      </c>
      <c r="E22" s="54" t="s">
        <v>48</v>
      </c>
      <c r="F22" s="55" t="s">
        <v>31</v>
      </c>
      <c r="G22" s="57" cm="1">
        <f t="array" aca="1" ref="G22" ca="1">IFERROR(INDIRECT("'" &amp; E22 &amp; " "  &amp; F22 &amp; "'!A1"),0)</f>
        <v>0</v>
      </c>
      <c r="H22" s="58"/>
      <c r="I22" s="58"/>
    </row>
    <row r="23" spans="1:9" ht="14.25" customHeight="1">
      <c r="A23" s="59" t="s">
        <v>49</v>
      </c>
      <c r="B23" s="60" t="s">
        <v>28</v>
      </c>
      <c r="C23" s="56" cm="1">
        <f t="array" aca="1" ref="C23" ca="1">IFERROR(INDIRECT("'" &amp; A23 &amp; "'!A1"),)</f>
        <v>669.60000000000036</v>
      </c>
      <c r="E23" s="59" t="s">
        <v>42</v>
      </c>
      <c r="F23" s="60" t="s">
        <v>31</v>
      </c>
      <c r="G23" s="57" cm="1">
        <f t="array" aca="1" ref="G23" ca="1">IFERROR(INDIRECT("'" &amp; E23 &amp; " "  &amp; F23 &amp; "'!A1"),0)</f>
        <v>0</v>
      </c>
      <c r="H23" s="58"/>
      <c r="I23" s="58"/>
    </row>
    <row r="24" spans="1:9" ht="14.25" customHeight="1">
      <c r="A24" s="59" t="s">
        <v>50</v>
      </c>
      <c r="B24" s="60" t="s">
        <v>37</v>
      </c>
      <c r="C24" s="56" cm="1">
        <f t="array" aca="1" ref="C24" ca="1">IFERROR(INDIRECT("'" &amp; A24 &amp; "'!A1"),)</f>
        <v>0</v>
      </c>
      <c r="E24" s="59" t="s">
        <v>44</v>
      </c>
      <c r="F24" s="60" t="s">
        <v>31</v>
      </c>
      <c r="G24" s="57" cm="1">
        <f t="array" aca="1" ref="G24" ca="1">IFERROR(INDIRECT("'" &amp; E24 &amp; " "  &amp; F24 &amp; "'!A1"),0)</f>
        <v>0</v>
      </c>
      <c r="H24" s="58"/>
      <c r="I24" s="58"/>
    </row>
    <row r="25" spans="1:9" ht="14.25" customHeight="1">
      <c r="A25" s="59" t="s">
        <v>51</v>
      </c>
      <c r="B25" s="60" t="s">
        <v>30</v>
      </c>
      <c r="C25" s="56" cm="1">
        <f t="array" aca="1" ref="C25" ca="1">IFERROR(INDIRECT("'" &amp; A25 &amp; "'!A1"),)</f>
        <v>0</v>
      </c>
      <c r="E25" s="59" t="s">
        <v>42</v>
      </c>
      <c r="F25" s="60" t="s">
        <v>35</v>
      </c>
      <c r="G25" s="57" cm="1">
        <f t="array" aca="1" ref="G25" ca="1">IFERROR(INDIRECT("'" &amp; E25 &amp; " "  &amp; F25 &amp; "'!A1"),0)</f>
        <v>0</v>
      </c>
      <c r="H25" s="58"/>
      <c r="I25" s="58"/>
    </row>
    <row r="26" spans="1:9" ht="14.25" customHeight="1">
      <c r="A26" s="59" t="s">
        <v>52</v>
      </c>
      <c r="B26" s="60" t="s">
        <v>30</v>
      </c>
      <c r="C26" s="56" cm="1">
        <f t="array" aca="1" ref="C26" ca="1">IFERROR(INDIRECT("'" &amp; A26 &amp; "'!A1"),)</f>
        <v>8184</v>
      </c>
      <c r="E26" s="59" t="s">
        <v>53</v>
      </c>
      <c r="F26" s="60" t="s">
        <v>35</v>
      </c>
      <c r="G26" s="57" cm="1">
        <f t="array" aca="1" ref="G26" ca="1">IFERROR(INDIRECT("'" &amp; E26 &amp; " "  &amp; F26 &amp; "'!t37"),0)</f>
        <v>619442.22</v>
      </c>
      <c r="H26" s="58"/>
      <c r="I26" s="58"/>
    </row>
    <row r="27" spans="1:9" ht="14.25" customHeight="1">
      <c r="A27" s="59" t="s">
        <v>54</v>
      </c>
      <c r="B27" s="60" t="s">
        <v>30</v>
      </c>
      <c r="C27" s="56" cm="1">
        <f t="array" aca="1" ref="C27" ca="1">IFERROR(INDIRECT("'" &amp; A27 &amp; "'!A1"),)</f>
        <v>0</v>
      </c>
      <c r="E27" s="59" t="s">
        <v>55</v>
      </c>
      <c r="F27" s="60" t="s">
        <v>36</v>
      </c>
      <c r="G27" s="57" cm="1">
        <f t="array" aca="1" ref="G27" ca="1">IFERROR(INDIRECT("'" &amp; E27 &amp; " "  &amp; F27 &amp; "'!A1"),0)</f>
        <v>28252.223999999998</v>
      </c>
      <c r="H27" s="58"/>
      <c r="I27" s="58"/>
    </row>
    <row r="28" spans="1:9" ht="14.25" customHeight="1" thickBot="1">
      <c r="A28" s="47"/>
      <c r="B28" s="61"/>
      <c r="C28" s="58"/>
      <c r="E28" s="59" t="s">
        <v>44</v>
      </c>
      <c r="F28" s="60" t="s">
        <v>30</v>
      </c>
      <c r="G28" s="57" cm="1">
        <f t="array" aca="1" ref="G28" ca="1">IFERROR(INDIRECT("'" &amp; E28 &amp; " "  &amp; F28 &amp; "'!A1"),0)</f>
        <v>0</v>
      </c>
      <c r="H28" s="58"/>
      <c r="I28" s="58"/>
    </row>
    <row r="29" spans="1:9" ht="14.25" customHeight="1" thickBot="1">
      <c r="A29" s="219" t="s">
        <v>29</v>
      </c>
      <c r="B29" s="220"/>
      <c r="C29" s="50">
        <f ca="1">SUM(C30:C34)</f>
        <v>29349092</v>
      </c>
      <c r="E29" s="59" t="s">
        <v>48</v>
      </c>
      <c r="F29" s="60" t="s">
        <v>30</v>
      </c>
      <c r="G29" s="57" cm="1">
        <f t="array" aca="1" ref="G29" ca="1">IFERROR(INDIRECT("'" &amp; E29 &amp; " "  &amp; F29 &amp; "'!A1"),0)</f>
        <v>0</v>
      </c>
      <c r="H29" s="58"/>
      <c r="I29" s="58"/>
    </row>
    <row r="30" spans="1:9" ht="14.25" customHeight="1">
      <c r="A30" s="221" t="s">
        <v>56</v>
      </c>
      <c r="B30" s="222"/>
      <c r="C30" s="56" cm="1">
        <f t="array" aca="1" ref="C30" ca="1">INDIRECT("'" &amp; A29 &amp; "'!F17")</f>
        <v>15902450</v>
      </c>
      <c r="E30" s="59" t="s">
        <v>46</v>
      </c>
      <c r="F30" s="60" t="s">
        <v>30</v>
      </c>
      <c r="G30" s="57" cm="1">
        <f t="array" aca="1" ref="G30" ca="1">IFERROR(INDIRECT("'" &amp; E30 &amp; " "  &amp; F30 &amp; "'!A1"),0)</f>
        <v>0</v>
      </c>
      <c r="H30" s="58"/>
      <c r="I30" s="58"/>
    </row>
    <row r="31" spans="1:9" ht="14.25" customHeight="1">
      <c r="A31" s="217" t="s">
        <v>57</v>
      </c>
      <c r="B31" s="218"/>
      <c r="C31" s="57" cm="1">
        <f t="array" aca="1" ref="C31" ca="1">INDIRECT("'" &amp; A29 &amp; "'!F16")</f>
        <v>0</v>
      </c>
      <c r="E31" s="59" t="s">
        <v>42</v>
      </c>
      <c r="F31" s="60" t="s">
        <v>30</v>
      </c>
      <c r="G31" s="57" cm="1">
        <f t="array" aca="1" ref="G31" ca="1">IFERROR(INDIRECT("'" &amp; E31 &amp; " "  &amp; F31 &amp; "'!A1"),0)</f>
        <v>0</v>
      </c>
      <c r="H31" s="58"/>
      <c r="I31" s="58"/>
    </row>
    <row r="32" spans="1:9" ht="14.25" customHeight="1">
      <c r="A32" s="217" t="s">
        <v>58</v>
      </c>
      <c r="B32" s="218"/>
      <c r="C32" s="57" cm="1">
        <f t="array" aca="1" ref="C32" ca="1">INDIRECT("'" &amp; A29 &amp; "'!F18")</f>
        <v>744000</v>
      </c>
      <c r="E32" s="54" t="s">
        <v>59</v>
      </c>
      <c r="F32" s="55" t="s">
        <v>32</v>
      </c>
      <c r="G32" s="57" cm="1">
        <f t="array" aca="1" ref="G32" ca="1">IFERROR(INDIRECT("'" &amp; E32 &amp; " "  &amp; F32 &amp; "'!A1"),0)</f>
        <v>312363.25704000005</v>
      </c>
      <c r="H32" s="58"/>
      <c r="I32" s="58"/>
    </row>
    <row r="33" spans="1:13" ht="14.25" customHeight="1">
      <c r="A33" s="217" t="s">
        <v>60</v>
      </c>
      <c r="B33" s="218"/>
      <c r="C33" s="57" cm="1">
        <f t="array" aca="1" ref="C33" ca="1">INDIRECT("'" &amp; A29 &amp; "'!F19")</f>
        <v>2313504</v>
      </c>
      <c r="E33" s="54" t="s">
        <v>48</v>
      </c>
      <c r="F33" s="55" t="s">
        <v>32</v>
      </c>
      <c r="G33" s="57" cm="1">
        <f t="array" aca="1" ref="G33" ca="1">IFERROR(INDIRECT("'" &amp; E33 &amp; " "  &amp; F33 &amp; "'!A1"),0)</f>
        <v>0</v>
      </c>
      <c r="H33" s="58"/>
      <c r="I33" s="58"/>
    </row>
    <row r="34" spans="1:13" ht="14.25" customHeight="1">
      <c r="A34" s="217" t="s">
        <v>61</v>
      </c>
      <c r="B34" s="218"/>
      <c r="C34" s="57" cm="1">
        <f t="array" aca="1" ref="C34" ca="1">INDIRECT("'" &amp; A29 &amp; "'!F20")</f>
        <v>10389138</v>
      </c>
      <c r="E34" s="59" t="s">
        <v>44</v>
      </c>
      <c r="F34" s="60" t="s">
        <v>32</v>
      </c>
      <c r="G34" s="57" cm="1">
        <f t="array" aca="1" ref="G34" ca="1">IFERROR(INDIRECT("'" &amp; E34 &amp; " "  &amp; F34 &amp; "'!A1"),0)</f>
        <v>0</v>
      </c>
      <c r="H34" s="58"/>
      <c r="I34" s="58"/>
    </row>
    <row r="35" spans="1:13" ht="14.25" customHeight="1" thickBot="1">
      <c r="A35" s="62"/>
      <c r="B35" s="62"/>
      <c r="C35" s="63"/>
      <c r="E35" s="59" t="s">
        <v>46</v>
      </c>
      <c r="F35" s="60" t="s">
        <v>35</v>
      </c>
      <c r="G35" s="57" cm="1">
        <f t="array" aca="1" ref="G35" ca="1">IFERROR(INDIRECT("'" &amp; E35 &amp; " "  &amp; F35 &amp; "'!A1"),0)</f>
        <v>0</v>
      </c>
      <c r="H35" s="58"/>
      <c r="I35" s="58"/>
    </row>
    <row r="36" spans="1:13" ht="14.25" customHeight="1" thickBot="1">
      <c r="A36" s="219" t="s">
        <v>62</v>
      </c>
      <c r="B36" s="220"/>
      <c r="C36" s="50">
        <f>SUM(C37:C41)</f>
        <v>11955884.399999999</v>
      </c>
      <c r="E36" s="59" t="s">
        <v>44</v>
      </c>
      <c r="F36" s="60" t="s">
        <v>27</v>
      </c>
      <c r="G36" s="57" cm="1">
        <f t="array" aca="1" ref="G36" ca="1">IFERROR(INDIRECT("'" &amp; E36 &amp; " "  &amp; F36 &amp; "'!A1"),0)</f>
        <v>0</v>
      </c>
      <c r="H36" s="58"/>
      <c r="I36" s="58"/>
    </row>
    <row r="37" spans="1:13" ht="14.25" customHeight="1">
      <c r="A37" s="221" t="s">
        <v>63</v>
      </c>
      <c r="B37" s="222"/>
      <c r="C37" s="56">
        <f>3998250+1009221.6</f>
        <v>5007471.5999999996</v>
      </c>
      <c r="E37" s="59" t="s">
        <v>42</v>
      </c>
      <c r="F37" s="60" t="s">
        <v>34</v>
      </c>
      <c r="G37" s="57" cm="1">
        <f t="array" aca="1" ref="G37" ca="1">IFERROR(INDIRECT("'" &amp; E37 &amp; " "  &amp; F37 &amp; "'!A1"),0)</f>
        <v>0</v>
      </c>
      <c r="H37" s="58"/>
      <c r="I37" s="58"/>
    </row>
    <row r="38" spans="1:13" ht="14.25" customHeight="1">
      <c r="A38" s="217" t="s">
        <v>36</v>
      </c>
      <c r="B38" s="218"/>
      <c r="C38" s="57">
        <v>6948412.7999999998</v>
      </c>
      <c r="E38" s="59" t="s">
        <v>48</v>
      </c>
      <c r="F38" s="60" t="s">
        <v>28</v>
      </c>
      <c r="G38" s="57" cm="1">
        <f t="array" aca="1" ref="G38" ca="1">IFERROR(INDIRECT("'" &amp; E38 &amp; " "  &amp; F38 &amp; "'!A1"),0)</f>
        <v>0</v>
      </c>
      <c r="H38" s="58"/>
      <c r="I38" s="58"/>
    </row>
    <row r="39" spans="1:13" ht="14.25" customHeight="1">
      <c r="A39" s="217"/>
      <c r="B39" s="218"/>
      <c r="C39" s="57"/>
      <c r="E39" s="59" t="s">
        <v>42</v>
      </c>
      <c r="F39" s="60" t="s">
        <v>27</v>
      </c>
      <c r="G39" s="57" cm="1">
        <f t="array" aca="1" ref="G39" ca="1">IFERROR(INDIRECT("'" &amp; E39 &amp; " "  &amp; F39 &amp; "'!A1"),0)</f>
        <v>0</v>
      </c>
      <c r="H39" s="58"/>
      <c r="I39" s="58"/>
    </row>
    <row r="40" spans="1:13" ht="14.25" customHeight="1">
      <c r="A40" s="217"/>
      <c r="B40" s="218"/>
      <c r="C40" s="57"/>
      <c r="E40" s="59" t="s">
        <v>64</v>
      </c>
      <c r="F40" s="60" t="s">
        <v>36</v>
      </c>
      <c r="G40" s="57" cm="1">
        <f t="array" aca="1" ref="G40" ca="1">IFERROR(INDIRECT("'" &amp; E40 &amp; " "  &amp; F40 &amp; "'!A1"),0)</f>
        <v>0</v>
      </c>
      <c r="H40" s="58"/>
      <c r="I40" s="58"/>
    </row>
    <row r="41" spans="1:13" ht="14.25" customHeight="1" thickBot="1">
      <c r="A41" s="217"/>
      <c r="B41" s="218"/>
      <c r="C41" s="57"/>
      <c r="E41" s="47"/>
      <c r="F41" s="61"/>
      <c r="G41" s="64"/>
      <c r="H41" s="58"/>
      <c r="I41" s="58"/>
    </row>
    <row r="42" spans="1:13" ht="14.25" customHeight="1" thickBot="1">
      <c r="A42" s="219" t="s">
        <v>65</v>
      </c>
      <c r="B42" s="220"/>
      <c r="C42" s="220"/>
      <c r="D42" s="220"/>
      <c r="E42" s="220"/>
      <c r="F42" s="220"/>
      <c r="G42" s="220"/>
      <c r="H42" s="220"/>
      <c r="I42" s="220"/>
      <c r="J42" s="223"/>
      <c r="K42" s="214">
        <f ca="1">SUM(M44:M53)</f>
        <v>85263054.159999996</v>
      </c>
      <c r="L42" s="215"/>
      <c r="M42" s="216"/>
    </row>
    <row r="43" spans="1:13" ht="14.25" customHeight="1" thickBot="1">
      <c r="A43" s="65"/>
      <c r="B43" s="29" t="s">
        <v>66</v>
      </c>
      <c r="C43" s="29" t="s">
        <v>67</v>
      </c>
      <c r="D43" s="29" t="s">
        <v>68</v>
      </c>
      <c r="E43" s="29" t="s">
        <v>69</v>
      </c>
      <c r="F43" s="29" t="s">
        <v>70</v>
      </c>
      <c r="G43" s="66" t="s">
        <v>71</v>
      </c>
      <c r="H43" s="66" t="s">
        <v>72</v>
      </c>
      <c r="I43" s="66" t="s">
        <v>73</v>
      </c>
      <c r="J43" s="67" t="s">
        <v>74</v>
      </c>
      <c r="K43" s="67" t="s">
        <v>75</v>
      </c>
      <c r="L43" s="67" t="s">
        <v>76</v>
      </c>
      <c r="M43" s="68" t="s">
        <v>77</v>
      </c>
    </row>
    <row r="44" spans="1:13" ht="14.25" customHeight="1">
      <c r="A44" s="69" t="s">
        <v>28</v>
      </c>
      <c r="B44" s="70" cm="1">
        <f t="array" aca="1" ref="B44" ca="1">IFERROR(INDIRECT("'" &amp; $A44 &amp; " " &amp; B$43 &amp; "'!T37"),)</f>
        <v>12554.59</v>
      </c>
      <c r="C44" s="70" cm="1">
        <f t="array" aca="1" ref="C44" ca="1">IFERROR(INDIRECT("'" &amp; $A44 &amp; " " &amp; C$43 &amp; "'!T37"),)</f>
        <v>446934.29</v>
      </c>
      <c r="D44" s="70" cm="1">
        <f t="array" aca="1" ref="D44" ca="1">IFERROR(INDIRECT("'" &amp; $A44 &amp; " " &amp; D$43 &amp; "'!T37"),)</f>
        <v>8663205.0600000005</v>
      </c>
      <c r="E44" s="203" cm="1">
        <f t="array" aca="1" ref="E44" ca="1">IFERROR(INDIRECT("'" &amp; $A44 &amp; " " &amp; E$43 &amp; "'!T37"),)</f>
        <v>22766.400000000001</v>
      </c>
      <c r="F44" s="70" cm="1">
        <f t="array" aca="1" ref="F44" ca="1">IFERROR(INDIRECT("'" &amp; $A44 &amp; " " &amp; F$43 &amp; "'!T37"),)</f>
        <v>0</v>
      </c>
      <c r="G44" s="70" cm="1">
        <f t="array" aca="1" ref="G44" ca="1">IFERROR(INDIRECT("'" &amp; $A44 &amp; " " &amp; G$43 &amp; "'!T37"),)</f>
        <v>0</v>
      </c>
      <c r="H44" s="70" cm="1">
        <f t="array" aca="1" ref="H44" ca="1">IFERROR(INDIRECT("'" &amp; $A44 &amp; " " &amp; H$43 &amp; "'!T37"),)</f>
        <v>0</v>
      </c>
      <c r="I44" s="70" cm="1">
        <f t="array" aca="1" ref="I44" ca="1">IFERROR(INDIRECT("'" &amp; $A44 &amp; " " &amp; I$43 &amp; "'!T37"),)</f>
        <v>0</v>
      </c>
      <c r="J44" s="70" cm="1">
        <f t="array" aca="1" ref="J44" ca="1">IFERROR(INDIRECT("'" &amp; $A44 &amp; " " &amp; J$43 &amp; "'!T37"),)</f>
        <v>0</v>
      </c>
      <c r="K44" s="70" cm="1">
        <f t="array" aca="1" ref="K44" ca="1">IFERROR(INDIRECT("'" &amp; $A44 &amp; " " &amp; K$43 &amp; "'!G12"),)</f>
        <v>1200</v>
      </c>
      <c r="L44" s="70" cm="1">
        <f t="array" aca="1" ref="L44" ca="1">IFERROR(INDIRECT("'" &amp; $A44 &amp; " " &amp; L$43 &amp; "'!F14"),)</f>
        <v>0</v>
      </c>
      <c r="M44" s="71">
        <f ca="1">SUM(B44:L44)</f>
        <v>9146660.3400000017</v>
      </c>
    </row>
    <row r="45" spans="1:13" ht="14.25" customHeight="1">
      <c r="A45" s="43" t="s">
        <v>30</v>
      </c>
      <c r="B45" s="70" cm="1">
        <f t="array" aca="1" ref="B45" ca="1">IFERROR(INDIRECT("'" &amp; $A45 &amp; " " &amp; B$43 &amp; "'!T37"),)</f>
        <v>142661.5591488363</v>
      </c>
      <c r="C45" s="70" cm="1">
        <f t="array" aca="1" ref="C45" ca="1">IFERROR(INDIRECT("'" &amp; $A45 &amp; " " &amp; C$43 &amp; "'!T37"),)</f>
        <v>32251.269953542622</v>
      </c>
      <c r="D45" s="70" cm="1">
        <f t="array" aca="1" ref="D45" ca="1">IFERROR(INDIRECT("'" &amp; $A45 &amp; " " &amp; D$43 &amp; "'!T37"),)</f>
        <v>10294521.67089762</v>
      </c>
      <c r="E45" s="70" cm="1">
        <f t="array" aca="1" ref="E45" ca="1">IFERROR(INDIRECT("'" &amp; $A45 &amp; " " &amp; E$43 &amp; "'!T37"),)</f>
        <v>0</v>
      </c>
      <c r="F45" s="70" cm="1">
        <f t="array" aca="1" ref="F45" ca="1">IFERROR(INDIRECT("'" &amp; $A45 &amp; " " &amp; F$43 &amp; "'!T37"),)</f>
        <v>0</v>
      </c>
      <c r="G45" s="70" cm="1">
        <f t="array" aca="1" ref="G45" ca="1">IFERROR(INDIRECT("'" &amp; $A45 &amp; " " &amp; G$43 &amp; "'!T37"),)</f>
        <v>0</v>
      </c>
      <c r="H45" s="70" cm="1">
        <f t="array" aca="1" ref="H45" ca="1">IFERROR(INDIRECT("'" &amp; $A45 &amp; " " &amp; H$43 &amp; "'!T37"),)</f>
        <v>0</v>
      </c>
      <c r="I45" s="70" cm="1">
        <f t="array" aca="1" ref="I45" ca="1">IFERROR(INDIRECT("'" &amp; $A45 &amp; " " &amp; I$43 &amp; "'!T37"),)</f>
        <v>0</v>
      </c>
      <c r="J45" s="70" cm="1">
        <f t="array" aca="1" ref="J45" ca="1">IFERROR(INDIRECT("'" &amp; $A45 &amp; " " &amp; J$43 &amp; "'!T37"),)</f>
        <v>0</v>
      </c>
      <c r="K45" s="70" cm="1">
        <f t="array" aca="1" ref="K45" ca="1">IFERROR(INDIRECT("'" &amp; $A45 &amp; " " &amp; K$43 &amp; "'!G12"),)</f>
        <v>0</v>
      </c>
      <c r="L45" s="70" cm="1">
        <f t="array" aca="1" ref="L45" ca="1">IFERROR(INDIRECT("'" &amp; $A45 &amp; " " &amp; L$43 &amp; "'!F14"),)</f>
        <v>1162863</v>
      </c>
      <c r="M45" s="71">
        <f t="shared" ref="M45:M53" ca="1" si="6">SUM(B45:L45)</f>
        <v>11632297.499999998</v>
      </c>
    </row>
    <row r="46" spans="1:13" ht="14.25" customHeight="1">
      <c r="A46" s="43" t="s">
        <v>31</v>
      </c>
      <c r="B46" s="70" cm="1">
        <f t="array" aca="1" ref="B46" ca="1">IFERROR(INDIRECT("'" &amp; $A46 &amp; " " &amp; B$43 &amp; "'!T37"),)</f>
        <v>7786.31</v>
      </c>
      <c r="C46" s="70" cm="1">
        <f t="array" aca="1" ref="C46" ca="1">IFERROR(INDIRECT("'" &amp; $A46 &amp; " " &amp; C$43 &amp; "'!T37"),)</f>
        <v>261284.2</v>
      </c>
      <c r="D46" s="70" cm="1">
        <f t="array" aca="1" ref="D46" ca="1">IFERROR(INDIRECT("'" &amp; $A46 &amp; " " &amp; D$43 &amp; "'!T37"),)</f>
        <v>9941945.3399999999</v>
      </c>
      <c r="E46" s="70" cm="1">
        <f t="array" aca="1" ref="E46" ca="1">IFERROR(INDIRECT("'" &amp; $A46 &amp; " " &amp; E$43 &amp; "'!T37"),)</f>
        <v>0</v>
      </c>
      <c r="F46" s="70" cm="1">
        <f t="array" aca="1" ref="F46" ca="1">IFERROR(INDIRECT("'" &amp; $A46 &amp; " " &amp; F$43 &amp; "'!T37"),)</f>
        <v>0</v>
      </c>
      <c r="G46" s="70" cm="1">
        <f t="array" aca="1" ref="G46" ca="1">IFERROR(INDIRECT("'" &amp; $A46 &amp; " " &amp; G$43 &amp; "'!T37"),)</f>
        <v>0</v>
      </c>
      <c r="H46" s="70" cm="1">
        <f t="array" aca="1" ref="H46" ca="1">IFERROR(INDIRECT("'" &amp; $A46 &amp; " " &amp; H$43 &amp; "'!T37"),)</f>
        <v>0</v>
      </c>
      <c r="I46" s="70" cm="1">
        <f t="array" aca="1" ref="I46" ca="1">IFERROR(INDIRECT("'" &amp; $A46 &amp; " " &amp; I$43 &amp; "'!T37"),)</f>
        <v>0</v>
      </c>
      <c r="J46" s="203" cm="1">
        <f t="array" aca="1" ref="J46" ca="1">IFERROR(INDIRECT("'" &amp; $A46 &amp; " " &amp; J$43 &amp; "'!T37"),)</f>
        <v>82270.7</v>
      </c>
      <c r="K46" s="70" cm="1">
        <f t="array" aca="1" ref="K46" ca="1">IFERROR(INDIRECT("'" &amp; $A46 &amp; " " &amp; K$43 &amp; "'!G12"),)</f>
        <v>259200</v>
      </c>
      <c r="L46" s="70" cm="1">
        <f t="array" aca="1" ref="L46" ca="1">IFERROR(INDIRECT("'" &amp; $A46 &amp; " " &amp; L$43 &amp; "'!F14"),)</f>
        <v>0</v>
      </c>
      <c r="M46" s="71">
        <f t="shared" ca="1" si="6"/>
        <v>10552486.549999999</v>
      </c>
    </row>
    <row r="47" spans="1:13" ht="14.25" customHeight="1">
      <c r="A47" s="72" t="s">
        <v>32</v>
      </c>
      <c r="B47" s="70" cm="1">
        <f t="array" aca="1" ref="B47" ca="1">IFERROR(INDIRECT("'" &amp; $A47 &amp; " " &amp; B$43 &amp; "'!T37"),)</f>
        <v>17442.11</v>
      </c>
      <c r="C47" s="70" cm="1">
        <f t="array" aca="1" ref="C47" ca="1">IFERROR(INDIRECT("'" &amp; $A47 &amp; " " &amp; C$43 &amp; "'!T37"),)</f>
        <v>38308.68</v>
      </c>
      <c r="D47" s="70" cm="1">
        <f t="array" aca="1" ref="D47" ca="1">IFERROR(INDIRECT("'" &amp; $A47 &amp; " " &amp; D$43 &amp; "'!T37"),)</f>
        <v>5722104</v>
      </c>
      <c r="E47" s="70" cm="1">
        <f t="array" aca="1" ref="E47" ca="1">IFERROR(INDIRECT("'" &amp; $A47 &amp; " " &amp; E$43 &amp; "'!T37"),)</f>
        <v>0</v>
      </c>
      <c r="F47" s="70" cm="1">
        <f t="array" aca="1" ref="F47" ca="1">IFERROR(INDIRECT("'" &amp; $A47 &amp; " " &amp; F$43 &amp; "'!T37"),)</f>
        <v>0</v>
      </c>
      <c r="G47" s="70" cm="1">
        <f t="array" aca="1" ref="G47" ca="1">IFERROR(INDIRECT("'" &amp; $A47 &amp; " " &amp; G$43 &amp; "'!T37"),)</f>
        <v>0</v>
      </c>
      <c r="H47" s="70" cm="1">
        <f t="array" aca="1" ref="H47" ca="1">IFERROR(INDIRECT("'" &amp; $A47 &amp; " " &amp; H$43 &amp; "'!T37"),)</f>
        <v>0</v>
      </c>
      <c r="I47" s="70" cm="1">
        <f t="array" aca="1" ref="I47" ca="1">IFERROR(INDIRECT("'" &amp; $A47 &amp; " " &amp; I$43 &amp; "'!T37"),)</f>
        <v>2243524.37</v>
      </c>
      <c r="J47" s="70" cm="1">
        <f t="array" aca="1" ref="J47" ca="1">IFERROR(INDIRECT("'" &amp; $A47 &amp; " " &amp; J$43 &amp; "'!T37"),)</f>
        <v>0</v>
      </c>
      <c r="K47" s="70" cm="1">
        <f t="array" aca="1" ref="K47" ca="1">IFERROR(INDIRECT("'" &amp; $A47 &amp; " " &amp; K$43 &amp; "'!G12"),)</f>
        <v>0</v>
      </c>
      <c r="L47" s="70" cm="1">
        <f t="array" aca="1" ref="L47" ca="1">IFERROR(INDIRECT("'" &amp; $A47 &amp; " " &amp; L$43 &amp; "'!F14"),)</f>
        <v>0</v>
      </c>
      <c r="M47" s="71">
        <f t="shared" ca="1" si="6"/>
        <v>8021379.1600000001</v>
      </c>
    </row>
    <row r="48" spans="1:13" ht="14.25" customHeight="1">
      <c r="A48" s="72" t="s">
        <v>33</v>
      </c>
      <c r="B48" s="70" cm="1">
        <f t="array" aca="1" ref="B48" ca="1">IFERROR(INDIRECT("'" &amp; $A48 &amp; " " &amp; B$43 &amp; "'!T37"),)</f>
        <v>0</v>
      </c>
      <c r="C48" s="70" cm="1">
        <f t="array" aca="1" ref="C48" ca="1">IFERROR(INDIRECT("'" &amp; $A48 &amp; " " &amp; C$43 &amp; "'!T37"),)</f>
        <v>0</v>
      </c>
      <c r="D48" s="70" cm="1">
        <f t="array" aca="1" ref="D48" ca="1">IFERROR(INDIRECT("'" &amp; $A48 &amp; " " &amp; D$43 &amp; "'!T37"),)</f>
        <v>0</v>
      </c>
      <c r="E48" s="70" cm="1">
        <f t="array" aca="1" ref="E48" ca="1">IFERROR(INDIRECT("'" &amp; $A48 &amp; " " &amp; E$43 &amp; "'!T37"),)</f>
        <v>0</v>
      </c>
      <c r="F48" s="70" cm="1">
        <f t="array" aca="1" ref="F48" ca="1">IFERROR(INDIRECT("'" &amp; $A48 &amp; " " &amp; F$43 &amp; "'!T37"),)</f>
        <v>0</v>
      </c>
      <c r="G48" s="70" cm="1">
        <f t="array" aca="1" ref="G48" ca="1">IFERROR(INDIRECT("'" &amp; $A48 &amp; " " &amp; G$43 &amp; "'!T37"),)</f>
        <v>0</v>
      </c>
      <c r="H48" s="70" cm="1">
        <f t="array" aca="1" ref="H48" ca="1">IFERROR(INDIRECT("'" &amp; $A48 &amp; " " &amp; H$43 &amp; "'!T37"),)</f>
        <v>0</v>
      </c>
      <c r="I48" s="70" cm="1">
        <f t="array" aca="1" ref="I48" ca="1">IFERROR(INDIRECT("'" &amp; $A48 &amp; " " &amp; I$43 &amp; "'!T37"),)</f>
        <v>5576686.6399999997</v>
      </c>
      <c r="J48" s="70" cm="1">
        <f t="array" aca="1" ref="J48" ca="1">IFERROR(INDIRECT("'" &amp; $A48 &amp; " " &amp; J$43 &amp; "'!T37"),)</f>
        <v>0</v>
      </c>
      <c r="K48" s="70" cm="1">
        <f t="array" aca="1" ref="K48" ca="1">IFERROR(INDIRECT("'" &amp; $A48 &amp; " " &amp; K$43 &amp; "'!G12"),)</f>
        <v>0</v>
      </c>
      <c r="L48" s="70" cm="1">
        <f t="array" aca="1" ref="L48" ca="1">IFERROR(INDIRECT("'" &amp; $A48 &amp; " " &amp; L$43 &amp; "'!F14"),)</f>
        <v>0</v>
      </c>
      <c r="M48" s="71">
        <f t="shared" ca="1" si="6"/>
        <v>5576686.6399999997</v>
      </c>
    </row>
    <row r="49" spans="1:13" ht="14.25" customHeight="1">
      <c r="A49" s="43" t="s">
        <v>27</v>
      </c>
      <c r="B49" s="70" cm="1">
        <f t="array" aca="1" ref="B49" ca="1">IFERROR(INDIRECT("'" &amp; $A49 &amp; " " &amp; B$43 &amp; "'!T37"),)</f>
        <v>0</v>
      </c>
      <c r="C49" s="70" cm="1">
        <f t="array" aca="1" ref="C49" ca="1">IFERROR(INDIRECT("'" &amp; $A49 &amp; " " &amp; C$43 &amp; "'!T37"),)</f>
        <v>13671</v>
      </c>
      <c r="D49" s="70" cm="1">
        <f t="array" aca="1" ref="D49" ca="1">IFERROR(INDIRECT("'" &amp; $A49 &amp; " " &amp; D$43 &amp; "'!T37"),)</f>
        <v>20105568</v>
      </c>
      <c r="E49" s="70" cm="1">
        <f t="array" aca="1" ref="E49" ca="1">IFERROR(INDIRECT("'" &amp; $A49 &amp; " " &amp; E$43 &amp; "'!T37"),)</f>
        <v>0</v>
      </c>
      <c r="F49" s="70" cm="1">
        <f t="array" aca="1" ref="F49" ca="1">IFERROR(INDIRECT("'" &amp; $A49 &amp; " " &amp; F$43 &amp; "'!T37"),)</f>
        <v>0</v>
      </c>
      <c r="G49" s="70" cm="1">
        <f t="array" aca="1" ref="G49" ca="1">IFERROR(INDIRECT("'" &amp; $A49 &amp; " " &amp; G$43 &amp; "'!T37"),)</f>
        <v>0</v>
      </c>
      <c r="H49" s="70" cm="1">
        <f t="array" aca="1" ref="H49" ca="1">IFERROR(INDIRECT("'" &amp; $A49 &amp; " " &amp; H$43 &amp; "'!T37"),)</f>
        <v>0</v>
      </c>
      <c r="I49" s="70" cm="1">
        <f t="array" aca="1" ref="I49" ca="1">IFERROR(INDIRECT("'" &amp; $A49 &amp; " " &amp; I$43 &amp; "'!T37"),)</f>
        <v>0</v>
      </c>
      <c r="J49" s="70" cm="1">
        <f t="array" aca="1" ref="J49" ca="1">IFERROR(INDIRECT("'" &amp; $A49 &amp; " " &amp; J$43 &amp; "'!T37"),)</f>
        <v>0</v>
      </c>
      <c r="K49" s="70" cm="1">
        <f t="array" aca="1" ref="K49" ca="1">IFERROR(INDIRECT("'" &amp; $A49 &amp; " " &amp; K$43 &amp; "'!G12"),)</f>
        <v>67200</v>
      </c>
      <c r="L49" s="70" cm="1">
        <f t="array" aca="1" ref="L49" ca="1">IFERROR(INDIRECT("'" &amp; $A49 &amp; " " &amp; L$43 &amp; "'!F14"),)</f>
        <v>53568</v>
      </c>
      <c r="M49" s="71">
        <f t="shared" ca="1" si="6"/>
        <v>20240007</v>
      </c>
    </row>
    <row r="50" spans="1:13" ht="14.25" customHeight="1">
      <c r="A50" s="43" t="s">
        <v>34</v>
      </c>
      <c r="B50" s="70" cm="1">
        <f t="array" aca="1" ref="B50" ca="1">IFERROR(INDIRECT("'" &amp; $A50 &amp; " " &amp; B$43 &amp; "'!T37"),)</f>
        <v>0</v>
      </c>
      <c r="C50" s="70" cm="1">
        <f t="array" aca="1" ref="C50" ca="1">IFERROR(INDIRECT("'" &amp; $A50 &amp; " " &amp; C$43 &amp; "'!T37"),)</f>
        <v>0</v>
      </c>
      <c r="D50" s="70" cm="1">
        <f t="array" aca="1" ref="D50" ca="1">IFERROR(INDIRECT("'" &amp; $A50 &amp; " " &amp; D$43 &amp; "'!T37"),)</f>
        <v>8879771.8499999996</v>
      </c>
      <c r="E50" s="70" cm="1">
        <f t="array" aca="1" ref="E50" ca="1">IFERROR(INDIRECT("'" &amp; $A50 &amp; " " &amp; E$43 &amp; "'!T37"),)</f>
        <v>0</v>
      </c>
      <c r="F50" s="70" cm="1">
        <f t="array" aca="1" ref="F50" ca="1">IFERROR(INDIRECT("'" &amp; $A50 &amp; " " &amp; F$43 &amp; "'!T37"),)</f>
        <v>0</v>
      </c>
      <c r="G50" s="70" cm="1">
        <f t="array" aca="1" ref="G50" ca="1">IFERROR(INDIRECT("'" &amp; $A50 &amp; " " &amp; G$43 &amp; "'!T37"),)</f>
        <v>0</v>
      </c>
      <c r="H50" s="70" cm="1">
        <f t="array" aca="1" ref="H50" ca="1">IFERROR(INDIRECT("'" &amp; $A50 &amp; " " &amp; H$43 &amp; "'!T37"),)</f>
        <v>0</v>
      </c>
      <c r="I50" s="70" cm="1">
        <f t="array" aca="1" ref="I50" ca="1">IFERROR(INDIRECT("'" &amp; $A50 &amp; " " &amp; I$43 &amp; "'!T37"),)</f>
        <v>0</v>
      </c>
      <c r="J50" s="70" cm="1">
        <f t="array" aca="1" ref="J50" ca="1">IFERROR(INDIRECT("'" &amp; $A50 &amp; " " &amp; J$43 &amp; "'!T37"),)</f>
        <v>0</v>
      </c>
      <c r="K50" s="70" cm="1">
        <f t="array" aca="1" ref="K50" ca="1">IFERROR(INDIRECT("'" &amp; $A50 &amp; " " &amp; K$43 &amp; "'!G12"),)</f>
        <v>12000</v>
      </c>
      <c r="L50" s="70" cm="1">
        <f t="array" aca="1" ref="L50" ca="1">IFERROR(INDIRECT("'" &amp; $A50 &amp; " " &amp; L$43 &amp; "'!F14"),)</f>
        <v>41664</v>
      </c>
      <c r="M50" s="71">
        <f t="shared" ca="1" si="6"/>
        <v>8933435.8499999996</v>
      </c>
    </row>
    <row r="51" spans="1:13" ht="14.25" customHeight="1">
      <c r="A51" s="43" t="s">
        <v>35</v>
      </c>
      <c r="B51" s="70" cm="1">
        <f t="array" aca="1" ref="B51" ca="1">IFERROR(INDIRECT("'" &amp; $A51 &amp; " " &amp; B$43 &amp; "'!T37"),)</f>
        <v>0</v>
      </c>
      <c r="C51" s="70" cm="1">
        <f t="array" aca="1" ref="C51" ca="1">IFERROR(INDIRECT("'" &amp; $A51 &amp; " " &amp; C$43 &amp; "'!T37"),)</f>
        <v>0</v>
      </c>
      <c r="D51" s="70" cm="1">
        <f t="array" aca="1" ref="D51" ca="1">IFERROR(INDIRECT("'" &amp; $A51 &amp; " " &amp; D$43 &amp; "'!T37"),)</f>
        <v>6763184.3300000001</v>
      </c>
      <c r="E51" s="70" cm="1">
        <f t="array" aca="1" ref="E51" ca="1">IFERROR(INDIRECT("'" &amp; $A51 &amp; " " &amp; E$43 &amp; "'!T37"),)</f>
        <v>0</v>
      </c>
      <c r="F51" s="70" cm="1">
        <f t="array" aca="1" ref="F51" ca="1">IFERROR(INDIRECT("'" &amp; $A51 &amp; " " &amp; F$43 &amp; "'!T37"),)</f>
        <v>0</v>
      </c>
      <c r="G51" s="70" cm="1">
        <f t="array" aca="1" ref="G51" ca="1">IFERROR(INDIRECT("'" &amp; $A51 &amp; " " &amp; G$43 &amp; "'!T37"),)</f>
        <v>0</v>
      </c>
      <c r="H51" s="70" cm="1">
        <f t="array" aca="1" ref="H51" ca="1">IFERROR(INDIRECT("'" &amp; $A51 &amp; " " &amp; H$43 &amp; "'!T37"),)</f>
        <v>0</v>
      </c>
      <c r="I51" s="70" cm="1">
        <f t="array" aca="1" ref="I51" ca="1">IFERROR(INDIRECT("'" &amp; $A51 &amp; " " &amp; I$43 &amp; "'!T37"),)</f>
        <v>0</v>
      </c>
      <c r="J51" s="70" cm="1">
        <f t="array" aca="1" ref="J51" ca="1">IFERROR(INDIRECT("'" &amp; $A51 &amp; " " &amp; J$43 &amp; "'!T37"),)</f>
        <v>0</v>
      </c>
      <c r="K51" s="70" cm="1">
        <f t="array" aca="1" ref="K51" ca="1">IFERROR(INDIRECT("'" &amp; $A51 &amp; " " &amp; K$43 &amp; "'!G12"),)</f>
        <v>36000</v>
      </c>
      <c r="L51" s="70" cm="1">
        <f t="array" aca="1" ref="L51" ca="1">IFERROR(INDIRECT("'" &amp; $A51 &amp; " " &amp; L$43 &amp; "'!F14"),)</f>
        <v>452886</v>
      </c>
      <c r="M51" s="71">
        <f t="shared" ca="1" si="6"/>
        <v>7252070.3300000001</v>
      </c>
    </row>
    <row r="52" spans="1:13" ht="14.25" customHeight="1">
      <c r="A52" s="43" t="s">
        <v>36</v>
      </c>
      <c r="B52" s="70" cm="1">
        <f t="array" aca="1" ref="B52" ca="1">IFERROR(INDIRECT("'" &amp; $A52 &amp; " " &amp; B$43 &amp; "'!T37"),)</f>
        <v>0</v>
      </c>
      <c r="C52" s="70" cm="1">
        <f t="array" aca="1" ref="C52" ca="1">IFERROR(INDIRECT("'" &amp; $A52 &amp; " " &amp; C$43 &amp; "'!T37"),)</f>
        <v>0</v>
      </c>
      <c r="D52" s="70" cm="1">
        <f t="array" aca="1" ref="D52" ca="1">IFERROR(INDIRECT("'" &amp; $A52 &amp; " " &amp; D$43 &amp; "'!T37"),)</f>
        <v>0</v>
      </c>
      <c r="E52" s="70" cm="1">
        <f t="array" aca="1" ref="E52" ca="1">IFERROR(INDIRECT("'" &amp; $A52 &amp; " " &amp; E$43 &amp; "'!T37"),)</f>
        <v>2525605.91</v>
      </c>
      <c r="F52" s="70" cm="1">
        <f t="array" aca="1" ref="F52" ca="1">IFERROR(INDIRECT("'" &amp; $A52 &amp; " " &amp; F$43 &amp; "'!T37"),)</f>
        <v>1288677.31</v>
      </c>
      <c r="G52" s="70" cm="1">
        <f t="array" aca="1" ref="G52" ca="1">IFERROR(INDIRECT("'" &amp; $A52 &amp; " " &amp; G$43 &amp; "'!T37"),)</f>
        <v>0</v>
      </c>
      <c r="H52" s="70" cm="1">
        <f t="array" aca="1" ref="H52" ca="1">IFERROR(INDIRECT("'" &amp; $A52 &amp; " " &amp; H$43 &amp; "'!T37"),)</f>
        <v>52.17</v>
      </c>
      <c r="I52" s="70" cm="1">
        <f t="array" aca="1" ref="I52" ca="1">IFERROR(INDIRECT("'" &amp; $A52 &amp; " " &amp; I$43 &amp; "'!T37"),)</f>
        <v>0</v>
      </c>
      <c r="J52" s="70" cm="1">
        <f t="array" aca="1" ref="J52" ca="1">IFERROR(INDIRECT("'" &amp; $A52 &amp; " " &amp; J$43 &amp; "'!T37"),)</f>
        <v>57695.4</v>
      </c>
      <c r="K52" s="70" cm="1">
        <f t="array" aca="1" ref="K52" ca="1">IFERROR(INDIRECT("'" &amp; $A52 &amp; " " &amp; K$43 &amp; "'!G12"),)</f>
        <v>36000</v>
      </c>
      <c r="L52" s="70" cm="1">
        <f t="array" aca="1" ref="L52" ca="1">IFERROR(INDIRECT("'" &amp; $A52 &amp; " " &amp; L$43 &amp; "'!F14"),)</f>
        <v>0</v>
      </c>
      <c r="M52" s="71">
        <f t="shared" ca="1" si="6"/>
        <v>3908030.79</v>
      </c>
    </row>
    <row r="53" spans="1:13" ht="14.25" customHeight="1">
      <c r="A53" s="43" t="s">
        <v>39</v>
      </c>
      <c r="B53" s="70" cm="1">
        <f t="array" aca="1" ref="B53" ca="1">IFERROR(INDIRECT("'" &amp; $A53 &amp; "'!F16"),) + IFERROR(INDIRECT("'" &amp; $A53 &amp; "'!F17"),)</f>
        <v>0</v>
      </c>
      <c r="C53" s="70" cm="1">
        <f t="array" aca="1" ref="C53" ca="1">IFERROR(INDIRECT("'" &amp; $A53 &amp; "'!F16"),) + IFERROR(INDIRECT("'" &amp; $A53 &amp; "'!F17"),)</f>
        <v>0</v>
      </c>
      <c r="D53" s="70" cm="1">
        <f t="array" aca="1" ref="D53" ca="1">IFERROR(INDIRECT("'" &amp; $A53 &amp; "'!F16"),) + IFERROR(INDIRECT("'" &amp; $A53 &amp; "'!F17"),)</f>
        <v>0</v>
      </c>
      <c r="E53" s="70" cm="1">
        <f t="array" aca="1" ref="E53" ca="1">IFERROR(INDIRECT("'" &amp; $A53 &amp; "'!F16"),) + IFERROR(INDIRECT("'" &amp; $A53 &amp; "'!F17"),)</f>
        <v>0</v>
      </c>
      <c r="F53" s="70" cm="1">
        <f t="array" aca="1" ref="F53" ca="1">IFERROR(INDIRECT("'" &amp; $A53 &amp; "'!F16"),) + IFERROR(INDIRECT("'" &amp; $A53 &amp; "'!F17"),)</f>
        <v>0</v>
      </c>
      <c r="G53" s="70" cm="1">
        <f t="array" aca="1" ref="G53" ca="1">IFERROR(INDIRECT("'" &amp; $A53 &amp; "'!F16"),) + IFERROR(INDIRECT("'" &amp; $A53 &amp; "'!F17"),)</f>
        <v>0</v>
      </c>
      <c r="H53" s="70" cm="1">
        <f t="array" aca="1" ref="H53" ca="1">IFERROR(INDIRECT("'" &amp; $A53 &amp; "'!F16"),) + IFERROR(INDIRECT("'" &amp; $A53 &amp; "'!F17"),)</f>
        <v>0</v>
      </c>
      <c r="I53" s="70" cm="1">
        <f t="array" aca="1" ref="I53" ca="1">IFERROR(INDIRECT("'" &amp; $A53 &amp; "'!F16"),) + IFERROR(INDIRECT("'" &amp; $A53 &amp; "'!F17"),)</f>
        <v>0</v>
      </c>
      <c r="J53" s="70" cm="1">
        <f t="array" aca="1" ref="J53" ca="1">IFERROR(INDIRECT("'" &amp; $A53 &amp; "'!F16"),) + IFERROR(INDIRECT("'" &amp; $A53 &amp; "'!F17"),)</f>
        <v>0</v>
      </c>
      <c r="K53" s="70" cm="1">
        <f t="array" aca="1" ref="K53" ca="1">IFERROR(INDIRECT("'" &amp; $A53 &amp; " " &amp; K$43 &amp; "'!G12"),)</f>
        <v>0</v>
      </c>
      <c r="L53" s="70" cm="1">
        <f t="array" aca="1" ref="L53" ca="1">IFERROR(INDIRECT("'" &amp; $A53 &amp; " " &amp; L$43 &amp; "'!F14"),)</f>
        <v>0</v>
      </c>
      <c r="M53" s="71">
        <f t="shared" ca="1" si="6"/>
        <v>0</v>
      </c>
    </row>
    <row r="54" spans="1:13" ht="14.25" customHeight="1" thickBot="1">
      <c r="A54" s="53"/>
      <c r="B54" s="73"/>
      <c r="C54" s="73"/>
      <c r="D54" s="73"/>
      <c r="E54" s="73"/>
      <c r="F54" s="73"/>
      <c r="G54" s="73"/>
      <c r="H54" s="73"/>
      <c r="I54" s="73"/>
      <c r="J54" s="74"/>
    </row>
    <row r="55" spans="1:13" ht="14.25" customHeight="1" thickBot="1">
      <c r="A55" s="75" t="s">
        <v>23</v>
      </c>
      <c r="B55" s="50">
        <f ca="1">SUM(B56:B66)</f>
        <v>5014136.7</v>
      </c>
    </row>
    <row r="56" spans="1:13" ht="14.25" customHeight="1">
      <c r="A56" s="69" t="s">
        <v>28</v>
      </c>
      <c r="B56" s="34" cm="1">
        <f t="array" aca="1" ref="B56" ca="1">IFERROR(INDIRECT("'РВ " &amp; A56 &amp; "'!O38"),0)</f>
        <v>808299.63</v>
      </c>
    </row>
    <row r="57" spans="1:13" ht="14.25" customHeight="1">
      <c r="A57" s="43" t="s">
        <v>30</v>
      </c>
      <c r="B57" s="34" cm="1">
        <f t="array" aca="1" ref="B57" ca="1">IFERROR(INDIRECT("'РВ " &amp; A57 &amp; "'!O38"),0)</f>
        <v>175179.96</v>
      </c>
    </row>
    <row r="58" spans="1:13" ht="14.25" customHeight="1">
      <c r="A58" s="43" t="s">
        <v>38</v>
      </c>
      <c r="B58" s="34" cm="1">
        <f t="array" aca="1" ref="B58" ca="1">IFERROR(INDIRECT("'РВ " &amp; A58 &amp; "'!O38"),0)</f>
        <v>0</v>
      </c>
    </row>
    <row r="59" spans="1:13" ht="14.25" customHeight="1">
      <c r="A59" s="43" t="s">
        <v>31</v>
      </c>
      <c r="B59" s="34" cm="1">
        <f t="array" aca="1" ref="B59" ca="1">IFERROR(INDIRECT("'РВ " &amp; A59 &amp; "'!O38"),0)</f>
        <v>0</v>
      </c>
    </row>
    <row r="60" spans="1:13" ht="14.25" customHeight="1">
      <c r="A60" s="72" t="s">
        <v>32</v>
      </c>
      <c r="B60" s="34" cm="1">
        <f t="array" aca="1" ref="B60" ca="1">IFERROR(INDIRECT("'РВ " &amp; A60 &amp; "'!O38"),0)</f>
        <v>0</v>
      </c>
    </row>
    <row r="61" spans="1:13" ht="14.25" customHeight="1">
      <c r="A61" s="43" t="s">
        <v>34</v>
      </c>
      <c r="B61" s="34" cm="1">
        <f t="array" aca="1" ref="B61" ca="1">IFERROR(INDIRECT("'РВ " &amp; A61 &amp; "'!O38"),0)</f>
        <v>0</v>
      </c>
    </row>
    <row r="62" spans="1:13" ht="14.25" customHeight="1">
      <c r="A62" s="43" t="s">
        <v>27</v>
      </c>
      <c r="B62" s="34" cm="1">
        <f t="array" aca="1" ref="B62" ca="1">IFERROR(INDIRECT("'РВ " &amp; A62 &amp; "'!O38"),0)</f>
        <v>0</v>
      </c>
    </row>
    <row r="63" spans="1:13" ht="14.25" customHeight="1">
      <c r="A63" s="43" t="s">
        <v>35</v>
      </c>
      <c r="B63" s="34" cm="1">
        <f t="array" aca="1" ref="B63" ca="1">IFERROR(INDIRECT("'РВ " &amp; A63 &amp; "'!O38"),0)</f>
        <v>0</v>
      </c>
    </row>
    <row r="64" spans="1:13" ht="14.25" customHeight="1">
      <c r="A64" s="43" t="s">
        <v>36</v>
      </c>
      <c r="B64" s="34" cm="1">
        <f t="array" aca="1" ref="B64" ca="1">IFERROR(INDIRECT("'РВ " &amp; A64 &amp; "'!O38"),0)</f>
        <v>0</v>
      </c>
    </row>
    <row r="65" spans="1:2" ht="14.25" customHeight="1">
      <c r="A65" s="43" t="s">
        <v>29</v>
      </c>
      <c r="B65" s="34" cm="1">
        <f t="array" aca="1" ref="B65" ca="1">IFERROR(INDIRECT("'РВ " &amp; A65 &amp; "'!O38"),0)</f>
        <v>0</v>
      </c>
    </row>
    <row r="66" spans="1:2" ht="14.25" customHeight="1">
      <c r="A66" s="43" t="s">
        <v>39</v>
      </c>
      <c r="B66" s="34" cm="1">
        <f t="array" aca="1" ref="B66" ca="1">IFERROR(INDIRECT("'РВ " &amp; A66 &amp; "'!O38"),0)+IFERROR(INDIRECT("Резерв!i38"),0)</f>
        <v>4030657.11</v>
      </c>
    </row>
    <row r="67" spans="1:2" ht="14.25" customHeight="1">
      <c r="A67" s="72" t="s">
        <v>33</v>
      </c>
      <c r="B67" s="34" cm="1">
        <f t="array" aca="1" ref="B67" ca="1">IFERROR(INDIRECT("'РВ " &amp; A67 &amp; "'!O38"),0)</f>
        <v>0</v>
      </c>
    </row>
    <row r="68" spans="1:2" ht="14.25" customHeight="1"/>
    <row r="69" spans="1:2" ht="14.25" customHeight="1"/>
    <row r="70" spans="1:2" ht="14.25" customHeight="1"/>
    <row r="71" spans="1:2" ht="14.25" customHeight="1"/>
    <row r="72" spans="1:2" ht="14.25" customHeight="1"/>
    <row r="73" spans="1:2" ht="14.25" customHeight="1"/>
    <row r="74" spans="1:2" ht="14.25" customHeight="1"/>
    <row r="75" spans="1:2" ht="14.25" customHeight="1"/>
    <row r="76" spans="1:2" ht="14.25" customHeight="1"/>
    <row r="77" spans="1:2" ht="14.25" customHeight="1"/>
    <row r="78" spans="1:2" ht="14.25" customHeight="1"/>
    <row r="79" spans="1:2" ht="14.25" customHeight="1"/>
    <row r="80" spans="1:2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</sheetData>
  <sortState xmlns:xlrd2="http://schemas.microsoft.com/office/spreadsheetml/2017/richdata2" ref="I3:J14">
    <sortCondition descending="1" ref="J3:J14"/>
  </sortState>
  <mergeCells count="18">
    <mergeCell ref="A30:B30"/>
    <mergeCell ref="A1:G1"/>
    <mergeCell ref="I2:J2"/>
    <mergeCell ref="A18:B18"/>
    <mergeCell ref="E18:F18"/>
    <mergeCell ref="A29:B29"/>
    <mergeCell ref="K42:M42"/>
    <mergeCell ref="A31:B31"/>
    <mergeCell ref="A32:B32"/>
    <mergeCell ref="A33:B33"/>
    <mergeCell ref="A34:B34"/>
    <mergeCell ref="A36:B36"/>
    <mergeCell ref="A37:B37"/>
    <mergeCell ref="A38:B38"/>
    <mergeCell ref="A39:B39"/>
    <mergeCell ref="A40:B40"/>
    <mergeCell ref="A41:B41"/>
    <mergeCell ref="A42:J42"/>
  </mergeCells>
  <pageMargins left="0.7" right="0.7" top="0.75" bottom="0.75" header="0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D2510-CF45-4EC7-A666-8B8ECA02329D}">
  <sheetPr codeName="Лист44"/>
  <dimension ref="A1:F9"/>
  <sheetViews>
    <sheetView workbookViewId="0">
      <selection sqref="A1:B1"/>
    </sheetView>
  </sheetViews>
  <sheetFormatPr defaultRowHeight="15"/>
  <cols>
    <col min="1" max="1" width="26.796875" style="2" customWidth="1"/>
    <col min="2" max="2" width="28.8984375" style="2" customWidth="1"/>
    <col min="3" max="3" width="8.796875" style="2"/>
    <col min="4" max="4" width="9.296875" style="2" customWidth="1"/>
    <col min="5" max="5" width="10.19921875" style="2" bestFit="1" customWidth="1"/>
    <col min="6" max="6" width="11.296875" style="2" customWidth="1"/>
    <col min="7" max="16384" width="8.796875" style="2"/>
  </cols>
  <sheetData>
    <row r="1" spans="1:6" ht="15.75">
      <c r="A1" s="1"/>
      <c r="B1" s="76"/>
    </row>
    <row r="3" spans="1:6" ht="21">
      <c r="A3" s="77"/>
    </row>
    <row r="4" spans="1:6">
      <c r="A4" s="22"/>
      <c r="B4" s="22"/>
      <c r="C4" s="22"/>
    </row>
    <row r="5" spans="1:6">
      <c r="A5" s="22"/>
      <c r="B5" s="22"/>
      <c r="C5" s="22"/>
    </row>
    <row r="7" spans="1:6">
      <c r="A7" s="78"/>
    </row>
    <row r="9" spans="1:6">
      <c r="E9" s="22"/>
      <c r="F9" s="22"/>
    </row>
  </sheetData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5E8ED-109F-44AE-9CF9-DFF4A1707F86}">
  <sheetPr codeName="Лист4"/>
  <dimension ref="A3:F23"/>
  <sheetViews>
    <sheetView workbookViewId="0">
      <selection activeCell="F20" sqref="F20"/>
    </sheetView>
  </sheetViews>
  <sheetFormatPr defaultRowHeight="15"/>
  <cols>
    <col min="1" max="1" width="8.796875" style="2"/>
    <col min="2" max="2" width="28.8984375" style="2" customWidth="1"/>
    <col min="3" max="3" width="8.796875" style="2"/>
    <col min="4" max="4" width="9.296875" style="2" customWidth="1"/>
    <col min="5" max="5" width="11.8984375" style="2" customWidth="1"/>
    <col min="6" max="6" width="11.296875" style="2" customWidth="1"/>
    <col min="7" max="16384" width="8.796875" style="2"/>
  </cols>
  <sheetData>
    <row r="3" spans="1:6" ht="21">
      <c r="A3" s="77"/>
    </row>
    <row r="4" spans="1:6">
      <c r="A4" s="22"/>
      <c r="B4" s="22"/>
      <c r="C4" s="22"/>
    </row>
    <row r="5" spans="1:6">
      <c r="A5" s="22"/>
      <c r="B5" s="22"/>
      <c r="C5" s="22"/>
    </row>
    <row r="7" spans="1:6">
      <c r="A7" s="78"/>
    </row>
    <row r="9" spans="1:6">
      <c r="A9" s="79" t="s">
        <v>0</v>
      </c>
      <c r="B9" s="79" t="s">
        <v>78</v>
      </c>
      <c r="C9" s="79" t="s">
        <v>79</v>
      </c>
      <c r="D9" s="79" t="s">
        <v>80</v>
      </c>
      <c r="E9" s="79" t="s">
        <v>81</v>
      </c>
      <c r="F9" s="79" t="s">
        <v>82</v>
      </c>
    </row>
    <row r="10" spans="1:6" ht="15.75" thickBot="1">
      <c r="A10" s="80"/>
      <c r="B10" s="81"/>
      <c r="C10" s="80"/>
      <c r="D10" s="82"/>
      <c r="E10" s="83"/>
      <c r="F10" s="83"/>
    </row>
    <row r="11" spans="1:6">
      <c r="A11" s="80"/>
      <c r="B11" s="84"/>
      <c r="C11" s="80"/>
      <c r="D11" s="80"/>
      <c r="E11" s="83"/>
      <c r="F11" s="83"/>
    </row>
    <row r="12" spans="1:6">
      <c r="A12" s="80"/>
      <c r="B12" s="85"/>
      <c r="C12" s="80"/>
      <c r="D12" s="80"/>
      <c r="E12" s="83"/>
      <c r="F12" s="83"/>
    </row>
    <row r="13" spans="1:6">
      <c r="A13" s="80"/>
      <c r="B13" s="81"/>
      <c r="C13" s="80"/>
      <c r="D13" s="80"/>
      <c r="E13" s="83"/>
      <c r="F13" s="83"/>
    </row>
    <row r="14" spans="1:6" ht="15.75">
      <c r="A14" s="2" t="s">
        <v>83</v>
      </c>
      <c r="E14" s="76"/>
      <c r="F14" s="86">
        <f>SUM(F10:F13)</f>
        <v>0</v>
      </c>
    </row>
    <row r="15" spans="1:6" ht="15.75">
      <c r="A15" s="2" t="s">
        <v>84</v>
      </c>
      <c r="E15" s="76"/>
      <c r="F15" s="86">
        <f>SUM(F14)</f>
        <v>0</v>
      </c>
    </row>
    <row r="16" spans="1:6" ht="15.75">
      <c r="A16" s="2" t="s">
        <v>85</v>
      </c>
      <c r="E16" s="76"/>
      <c r="F16" s="86">
        <f>SUM(F15)*1.2</f>
        <v>0</v>
      </c>
    </row>
    <row r="17" spans="1:6">
      <c r="A17" s="2" t="s">
        <v>86</v>
      </c>
      <c r="E17" s="87" t="s">
        <v>56</v>
      </c>
      <c r="F17" s="87">
        <v>15902450</v>
      </c>
    </row>
    <row r="18" spans="1:6">
      <c r="A18" s="2" t="s">
        <v>87</v>
      </c>
      <c r="E18" s="22" t="s">
        <v>58</v>
      </c>
      <c r="F18" s="87">
        <v>744000</v>
      </c>
    </row>
    <row r="19" spans="1:6">
      <c r="E19" s="22" t="s">
        <v>88</v>
      </c>
      <c r="F19" s="87">
        <v>2313504</v>
      </c>
    </row>
    <row r="20" spans="1:6">
      <c r="E20" s="2" t="s">
        <v>61</v>
      </c>
      <c r="F20" s="88">
        <v>10389138</v>
      </c>
    </row>
    <row r="21" spans="1:6">
      <c r="A21" s="2" t="s">
        <v>89</v>
      </c>
      <c r="D21" s="2" t="s">
        <v>90</v>
      </c>
    </row>
    <row r="23" spans="1:6">
      <c r="A23" s="2" t="s">
        <v>91</v>
      </c>
      <c r="B23" s="2" t="s">
        <v>92</v>
      </c>
      <c r="D23" s="2" t="s">
        <v>93</v>
      </c>
    </row>
  </sheetData>
  <pageMargins left="0.7" right="0.7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54C88-129C-4208-9F7D-512DDE523634}">
  <sheetPr codeName="Лист5">
    <pageSetUpPr fitToPage="1"/>
  </sheetPr>
  <dimension ref="A1:M40"/>
  <sheetViews>
    <sheetView workbookViewId="0">
      <selection activeCell="A11" sqref="A11:B11"/>
    </sheetView>
  </sheetViews>
  <sheetFormatPr defaultRowHeight="15"/>
  <cols>
    <col min="1" max="2" width="8.796875" style="2"/>
    <col min="3" max="3" width="6.8984375" style="2" bestFit="1" customWidth="1"/>
    <col min="4" max="4" width="8.3984375" style="2" customWidth="1"/>
    <col min="5" max="6" width="8" style="2" customWidth="1"/>
    <col min="7" max="7" width="8.09765625" style="2" customWidth="1"/>
    <col min="8" max="8" width="11.3984375" style="2" customWidth="1"/>
    <col min="9" max="9" width="11.19921875" style="2" customWidth="1"/>
    <col min="10" max="10" width="8.796875" style="2"/>
    <col min="11" max="11" width="12.796875" style="2" customWidth="1"/>
    <col min="12" max="16384" width="8.796875" style="2"/>
  </cols>
  <sheetData>
    <row r="1" spans="1:13">
      <c r="H1" s="89"/>
      <c r="K1" s="79"/>
      <c r="L1" s="79"/>
      <c r="M1" s="79"/>
    </row>
    <row r="2" spans="1:13">
      <c r="H2" s="89"/>
      <c r="K2" s="79"/>
      <c r="L2" s="79"/>
      <c r="M2" s="79"/>
    </row>
    <row r="3" spans="1:13" ht="21">
      <c r="A3" s="77" t="str">
        <f>"Отчет по резерву хранению  товара  РВ " &amp; TEXT(A6,"ММММ ") &amp; YEAR(A6) &amp; ""</f>
        <v>Отчет по резерву хранению  товара  РВ Декабрь 2025</v>
      </c>
      <c r="H3" s="89"/>
      <c r="K3" s="79"/>
      <c r="L3" s="79"/>
      <c r="M3" s="79"/>
    </row>
    <row r="4" spans="1:13">
      <c r="A4" s="210" t="s">
        <v>1</v>
      </c>
      <c r="B4" s="211"/>
      <c r="C4" s="206" t="s">
        <v>101</v>
      </c>
      <c r="D4" s="206" t="s">
        <v>102</v>
      </c>
      <c r="E4" s="206" t="s">
        <v>103</v>
      </c>
      <c r="F4" s="206" t="s">
        <v>104</v>
      </c>
      <c r="G4" s="206" t="s">
        <v>94</v>
      </c>
      <c r="H4" s="231" t="s">
        <v>105</v>
      </c>
      <c r="I4" s="206" t="s">
        <v>18</v>
      </c>
    </row>
    <row r="5" spans="1:13">
      <c r="A5" s="212"/>
      <c r="B5" s="213"/>
      <c r="C5" s="207"/>
      <c r="D5" s="207"/>
      <c r="E5" s="207"/>
      <c r="F5" s="207"/>
      <c r="G5" s="207"/>
      <c r="H5" s="232"/>
      <c r="I5" s="207"/>
    </row>
    <row r="6" spans="1:13">
      <c r="A6" s="229">
        <v>45992</v>
      </c>
      <c r="B6" s="230"/>
      <c r="C6" s="98">
        <f>'[1]РВ Баумана'!G6</f>
        <v>1394.2950000000001</v>
      </c>
      <c r="D6" s="99">
        <f>'[1]РВ Новикова-Прибоя'!G6</f>
        <v>299.14499999999998</v>
      </c>
      <c r="E6" s="99">
        <f>'[1]РВ Березовая Пойма'!G6</f>
        <v>0</v>
      </c>
      <c r="F6" s="99">
        <f>SUM(C6:E6)</f>
        <v>1693.44</v>
      </c>
      <c r="G6" s="100">
        <f>8000-F6</f>
        <v>6306.5599999999995</v>
      </c>
      <c r="H6" s="92">
        <f>G6*15</f>
        <v>94598.399999999994</v>
      </c>
      <c r="I6" s="92">
        <f t="shared" ref="I6:I36" si="0">SUM(H6:H6)</f>
        <v>94598.399999999994</v>
      </c>
      <c r="J6" s="2" t="str">
        <f>IF(OR(WEEKDAY(A6)=1,WEEKDAY(A6)=7,NOT(ISERROR(MATCH(A6,[1]Праздники!A:A,0)))),"Выходной","Рабочий")</f>
        <v>Рабочий</v>
      </c>
    </row>
    <row r="7" spans="1:13">
      <c r="A7" s="229">
        <v>45993</v>
      </c>
      <c r="B7" s="230"/>
      <c r="C7" s="98">
        <f>'[1]РВ Баумана'!G7</f>
        <v>1394.2950000000001</v>
      </c>
      <c r="D7" s="99">
        <f>'[1]РВ Новикова-Прибоя'!G7</f>
        <v>299.14499999999998</v>
      </c>
      <c r="E7" s="99">
        <f>'[1]РВ Березовая Пойма'!G7</f>
        <v>21</v>
      </c>
      <c r="F7" s="99">
        <f t="shared" ref="F7:F36" si="1">SUM(C7:E7)</f>
        <v>1714.44</v>
      </c>
      <c r="G7" s="100">
        <f t="shared" ref="G7:G36" si="2">8000-F7</f>
        <v>6285.5599999999995</v>
      </c>
      <c r="H7" s="92">
        <f t="shared" ref="H7:H36" si="3">G7*15</f>
        <v>94283.4</v>
      </c>
      <c r="I7" s="92">
        <f t="shared" si="0"/>
        <v>94283.4</v>
      </c>
      <c r="J7" s="2" t="str">
        <f>IF(OR(WEEKDAY(A7)=1,WEEKDAY(A7)=7,NOT(ISERROR(MATCH(A7,[1]Праздники!A:A,0)))),"Выходной","Рабочий")</f>
        <v>Рабочий</v>
      </c>
    </row>
    <row r="8" spans="1:13">
      <c r="A8" s="229">
        <v>45994</v>
      </c>
      <c r="B8" s="230"/>
      <c r="C8" s="98">
        <f>'[1]РВ Баумана'!G8</f>
        <v>1394.2950000000001</v>
      </c>
      <c r="D8" s="99">
        <f>'[1]РВ Новикова-Прибоя'!G8</f>
        <v>299.14499999999998</v>
      </c>
      <c r="E8" s="99">
        <f>'[1]РВ Березовая Пойма'!G8</f>
        <v>42</v>
      </c>
      <c r="F8" s="99">
        <f t="shared" si="1"/>
        <v>1735.44</v>
      </c>
      <c r="G8" s="100">
        <f t="shared" si="2"/>
        <v>6264.5599999999995</v>
      </c>
      <c r="H8" s="92">
        <f t="shared" si="3"/>
        <v>93968.4</v>
      </c>
      <c r="I8" s="92">
        <f t="shared" si="0"/>
        <v>93968.4</v>
      </c>
      <c r="J8" s="2" t="str">
        <f>IF(OR(WEEKDAY(A8)=1,WEEKDAY(A8)=7,NOT(ISERROR(MATCH(A8,[1]Праздники!A:A,0)))),"Выходной","Рабочий")</f>
        <v>Рабочий</v>
      </c>
    </row>
    <row r="9" spans="1:13">
      <c r="A9" s="229">
        <v>45995</v>
      </c>
      <c r="B9" s="230"/>
      <c r="C9" s="98">
        <f>'[1]РВ Баумана'!G9</f>
        <v>1393.125</v>
      </c>
      <c r="D9" s="99">
        <f>'[1]РВ Новикова-Прибоя'!G9</f>
        <v>299.14499999999998</v>
      </c>
      <c r="E9" s="99">
        <f>'[1]РВ Березовая Пойма'!G9</f>
        <v>367</v>
      </c>
      <c r="F9" s="99">
        <f t="shared" si="1"/>
        <v>2059.27</v>
      </c>
      <c r="G9" s="100">
        <f t="shared" si="2"/>
        <v>5940.73</v>
      </c>
      <c r="H9" s="92">
        <f t="shared" si="3"/>
        <v>89110.95</v>
      </c>
      <c r="I9" s="92">
        <f t="shared" si="0"/>
        <v>89110.95</v>
      </c>
      <c r="J9" s="2" t="str">
        <f>IF(OR(WEEKDAY(A9)=1,WEEKDAY(A9)=7,NOT(ISERROR(MATCH(A9,[1]Праздники!A:A,0)))),"Выходной","Рабочий")</f>
        <v>Рабочий</v>
      </c>
    </row>
    <row r="10" spans="1:13">
      <c r="A10" s="229">
        <v>45996</v>
      </c>
      <c r="B10" s="230"/>
      <c r="C10" s="98">
        <f>'[1]РВ Баумана'!G10</f>
        <v>1393.125</v>
      </c>
      <c r="D10" s="99">
        <f>'[1]РВ Новикова-Прибоя'!G10</f>
        <v>299.14499999999998</v>
      </c>
      <c r="E10" s="99">
        <f>'[1]РВ Березовая Пойма'!G10</f>
        <v>563</v>
      </c>
      <c r="F10" s="99">
        <f t="shared" si="1"/>
        <v>2255.27</v>
      </c>
      <c r="G10" s="100">
        <f t="shared" si="2"/>
        <v>5744.73</v>
      </c>
      <c r="H10" s="92">
        <f t="shared" si="3"/>
        <v>86170.95</v>
      </c>
      <c r="I10" s="92">
        <f t="shared" si="0"/>
        <v>86170.95</v>
      </c>
      <c r="J10" s="2" t="str">
        <f>IF(OR(WEEKDAY(A10)=1,WEEKDAY(A10)=7,NOT(ISERROR(MATCH(A10,[1]Праздники!A:A,0)))),"Выходной","Рабочий")</f>
        <v>Рабочий</v>
      </c>
    </row>
    <row r="11" spans="1:13">
      <c r="A11" s="229">
        <v>45997</v>
      </c>
      <c r="B11" s="230"/>
      <c r="C11" s="98">
        <f>'[1]РВ Баумана'!G11</f>
        <v>1393.125</v>
      </c>
      <c r="D11" s="99">
        <f>'[1]РВ Новикова-Прибоя'!G11</f>
        <v>297.77</v>
      </c>
      <c r="E11" s="99">
        <f>'[1]РВ Березовая Пойма'!G11</f>
        <v>629</v>
      </c>
      <c r="F11" s="99">
        <f t="shared" si="1"/>
        <v>2319.895</v>
      </c>
      <c r="G11" s="100">
        <f t="shared" si="2"/>
        <v>5680.1049999999996</v>
      </c>
      <c r="H11" s="92">
        <f t="shared" si="3"/>
        <v>85201.574999999997</v>
      </c>
      <c r="I11" s="92">
        <f t="shared" si="0"/>
        <v>85201.574999999997</v>
      </c>
      <c r="J11" s="2" t="str">
        <f>IF(OR(WEEKDAY(A11)=1,WEEKDAY(A11)=7,NOT(ISERROR(MATCH(A11,[1]Праздники!A:A,0)))),"Выходной","Рабочий")</f>
        <v>Выходной</v>
      </c>
    </row>
    <row r="12" spans="1:13">
      <c r="A12" s="229">
        <v>45998</v>
      </c>
      <c r="B12" s="230"/>
      <c r="C12" s="98">
        <f>'[1]РВ Баумана'!G12</f>
        <v>1393.125</v>
      </c>
      <c r="D12" s="99">
        <f>'[1]РВ Новикова-Прибоя'!G12</f>
        <v>297.77</v>
      </c>
      <c r="E12" s="99">
        <f>'[1]РВ Березовая Пойма'!G12</f>
        <v>650</v>
      </c>
      <c r="F12" s="99">
        <f t="shared" si="1"/>
        <v>2340.895</v>
      </c>
      <c r="G12" s="100">
        <f t="shared" si="2"/>
        <v>5659.1049999999996</v>
      </c>
      <c r="H12" s="92">
        <f t="shared" si="3"/>
        <v>84886.574999999997</v>
      </c>
      <c r="I12" s="92">
        <f t="shared" si="0"/>
        <v>84886.574999999997</v>
      </c>
      <c r="J12" s="2" t="str">
        <f>IF(OR(WEEKDAY(A12)=1,WEEKDAY(A12)=7,NOT(ISERROR(MATCH(A12,[1]Праздники!A:A,0)))),"Выходной","Рабочий")</f>
        <v>Выходной</v>
      </c>
    </row>
    <row r="13" spans="1:13">
      <c r="A13" s="229">
        <v>45999</v>
      </c>
      <c r="B13" s="230"/>
      <c r="C13" s="98">
        <f>'[1]РВ Баумана'!G13</f>
        <v>1393.125</v>
      </c>
      <c r="D13" s="99">
        <f>'[1]РВ Новикова-Прибоя'!G13</f>
        <v>297.77</v>
      </c>
      <c r="E13" s="99">
        <f>'[1]РВ Березовая Пойма'!G13</f>
        <v>650</v>
      </c>
      <c r="F13" s="99">
        <f t="shared" si="1"/>
        <v>2340.895</v>
      </c>
      <c r="G13" s="100">
        <f t="shared" si="2"/>
        <v>5659.1049999999996</v>
      </c>
      <c r="H13" s="92">
        <f t="shared" si="3"/>
        <v>84886.574999999997</v>
      </c>
      <c r="I13" s="92">
        <f t="shared" si="0"/>
        <v>84886.574999999997</v>
      </c>
      <c r="J13" s="2" t="str">
        <f>IF(OR(WEEKDAY(A13)=1,WEEKDAY(A13)=7,NOT(ISERROR(MATCH(A13,[1]Праздники!A:A,0)))),"Выходной","Рабочий")</f>
        <v>Рабочий</v>
      </c>
    </row>
    <row r="14" spans="1:13">
      <c r="A14" s="229">
        <v>46000</v>
      </c>
      <c r="B14" s="230"/>
      <c r="C14" s="98">
        <f>'[1]РВ Баумана'!G14</f>
        <v>1379.85</v>
      </c>
      <c r="D14" s="99">
        <f>'[1]РВ Новикова-Прибоя'!G14</f>
        <v>289.64499999999998</v>
      </c>
      <c r="E14" s="99">
        <f>'[1]РВ Березовая Пойма'!G14</f>
        <v>650</v>
      </c>
      <c r="F14" s="99">
        <f t="shared" si="1"/>
        <v>2319.4949999999999</v>
      </c>
      <c r="G14" s="100">
        <f t="shared" si="2"/>
        <v>5680.5050000000001</v>
      </c>
      <c r="H14" s="92">
        <f t="shared" si="3"/>
        <v>85207.574999999997</v>
      </c>
      <c r="I14" s="92">
        <f t="shared" si="0"/>
        <v>85207.574999999997</v>
      </c>
      <c r="J14" s="2" t="str">
        <f>IF(OR(WEEKDAY(A14)=1,WEEKDAY(A14)=7,NOT(ISERROR(MATCH(A14,[1]Праздники!A:A,0)))),"Выходной","Рабочий")</f>
        <v>Рабочий</v>
      </c>
    </row>
    <row r="15" spans="1:13">
      <c r="A15" s="229">
        <v>46001</v>
      </c>
      <c r="B15" s="230"/>
      <c r="C15" s="98">
        <f>'[1]РВ Баумана'!G15</f>
        <v>1379.85</v>
      </c>
      <c r="D15" s="99">
        <f>'[1]РВ Новикова-Прибоя'!G15</f>
        <v>289.64499999999998</v>
      </c>
      <c r="E15" s="99">
        <f>'[1]РВ Березовая Пойма'!G15</f>
        <v>739</v>
      </c>
      <c r="F15" s="99">
        <f t="shared" si="1"/>
        <v>2408.4949999999999</v>
      </c>
      <c r="G15" s="100">
        <f t="shared" si="2"/>
        <v>5591.5050000000001</v>
      </c>
      <c r="H15" s="92">
        <f t="shared" si="3"/>
        <v>83872.574999999997</v>
      </c>
      <c r="I15" s="92">
        <f t="shared" si="0"/>
        <v>83872.574999999997</v>
      </c>
      <c r="J15" s="2" t="str">
        <f>IF(OR(WEEKDAY(A15)=1,WEEKDAY(A15)=7,NOT(ISERROR(MATCH(A15,[1]Праздники!A:A,0)))),"Выходной","Рабочий")</f>
        <v>Рабочий</v>
      </c>
    </row>
    <row r="16" spans="1:13">
      <c r="A16" s="229">
        <v>46002</v>
      </c>
      <c r="B16" s="230"/>
      <c r="C16" s="98">
        <f>'[1]РВ Баумана'!G16</f>
        <v>1379.85</v>
      </c>
      <c r="D16" s="99">
        <f>'[1]РВ Новикова-Прибоя'!G16</f>
        <v>288.27</v>
      </c>
      <c r="E16" s="99">
        <f>'[1]РВ Березовая Пойма'!G16</f>
        <v>739</v>
      </c>
      <c r="F16" s="99">
        <f t="shared" si="1"/>
        <v>2407.12</v>
      </c>
      <c r="G16" s="100">
        <f t="shared" si="2"/>
        <v>5592.88</v>
      </c>
      <c r="H16" s="92">
        <f t="shared" si="3"/>
        <v>83893.2</v>
      </c>
      <c r="I16" s="92">
        <f t="shared" si="0"/>
        <v>83893.2</v>
      </c>
      <c r="J16" s="2" t="str">
        <f>IF(OR(WEEKDAY(A16)=1,WEEKDAY(A16)=7,NOT(ISERROR(MATCH(A16,[1]Праздники!A:A,0)))),"Выходной","Рабочий")</f>
        <v>Рабочий</v>
      </c>
    </row>
    <row r="17" spans="1:10">
      <c r="A17" s="229">
        <v>46003</v>
      </c>
      <c r="B17" s="230"/>
      <c r="C17" s="98">
        <f>'[1]РВ Баумана'!G17</f>
        <v>1362.5</v>
      </c>
      <c r="D17" s="99">
        <f>'[1]РВ Новикова-Прибоя'!G17</f>
        <v>288.27</v>
      </c>
      <c r="E17" s="99">
        <f>'[1]РВ Березовая Пойма'!G17</f>
        <v>739</v>
      </c>
      <c r="F17" s="99">
        <f t="shared" si="1"/>
        <v>2389.77</v>
      </c>
      <c r="G17" s="100">
        <f t="shared" si="2"/>
        <v>5610.23</v>
      </c>
      <c r="H17" s="92">
        <f t="shared" si="3"/>
        <v>84153.45</v>
      </c>
      <c r="I17" s="92">
        <f t="shared" si="0"/>
        <v>84153.45</v>
      </c>
      <c r="J17" s="2" t="str">
        <f>IF(OR(WEEKDAY(A17)=1,WEEKDAY(A17)=7,NOT(ISERROR(MATCH(A17,[1]Праздники!A:A,0)))),"Выходной","Рабочий")</f>
        <v>Рабочий</v>
      </c>
    </row>
    <row r="18" spans="1:10">
      <c r="A18" s="229">
        <v>46004</v>
      </c>
      <c r="B18" s="230"/>
      <c r="C18" s="98">
        <f>'[1]РВ Баумана'!G18</f>
        <v>1362.5</v>
      </c>
      <c r="D18" s="99">
        <f>'[1]РВ Новикова-Прибоя'!G18</f>
        <v>288.27</v>
      </c>
      <c r="E18" s="99">
        <f>'[1]РВ Березовая Пойма'!G18</f>
        <v>739</v>
      </c>
      <c r="F18" s="99">
        <f t="shared" si="1"/>
        <v>2389.77</v>
      </c>
      <c r="G18" s="100">
        <f t="shared" si="2"/>
        <v>5610.23</v>
      </c>
      <c r="H18" s="92">
        <f t="shared" si="3"/>
        <v>84153.45</v>
      </c>
      <c r="I18" s="92">
        <f t="shared" si="0"/>
        <v>84153.45</v>
      </c>
      <c r="J18" s="2" t="str">
        <f>IF(OR(WEEKDAY(A18)=1,WEEKDAY(A18)=7,NOT(ISERROR(MATCH(A18,[1]Праздники!A:A,0)))),"Выходной","Рабочий")</f>
        <v>Выходной</v>
      </c>
    </row>
    <row r="19" spans="1:10">
      <c r="A19" s="229">
        <v>46005</v>
      </c>
      <c r="B19" s="230"/>
      <c r="C19" s="98">
        <f>'[1]РВ Баумана'!G19</f>
        <v>1362.5</v>
      </c>
      <c r="D19" s="99">
        <f>'[1]РВ Новикова-Прибоя'!G19</f>
        <v>288.27</v>
      </c>
      <c r="E19" s="99">
        <f>'[1]РВ Березовая Пойма'!G19</f>
        <v>739</v>
      </c>
      <c r="F19" s="99">
        <f t="shared" si="1"/>
        <v>2389.77</v>
      </c>
      <c r="G19" s="100">
        <f t="shared" si="2"/>
        <v>5610.23</v>
      </c>
      <c r="H19" s="92">
        <f t="shared" si="3"/>
        <v>84153.45</v>
      </c>
      <c r="I19" s="92">
        <f t="shared" si="0"/>
        <v>84153.45</v>
      </c>
      <c r="J19" s="2" t="str">
        <f>IF(OR(WEEKDAY(A19)=1,WEEKDAY(A19)=7,NOT(ISERROR(MATCH(A19,[1]Праздники!A:A,0)))),"Выходной","Рабочий")</f>
        <v>Выходной</v>
      </c>
    </row>
    <row r="20" spans="1:10">
      <c r="A20" s="229">
        <v>46006</v>
      </c>
      <c r="B20" s="230"/>
      <c r="C20" s="98">
        <f>'[1]РВ Баумана'!G20</f>
        <v>1362.5</v>
      </c>
      <c r="D20" s="99">
        <f>'[1]РВ Новикова-Прибоя'!G20</f>
        <v>275.89499999999998</v>
      </c>
      <c r="E20" s="99">
        <f>'[1]РВ Березовая Пойма'!G20</f>
        <v>739</v>
      </c>
      <c r="F20" s="99">
        <f t="shared" si="1"/>
        <v>2377.395</v>
      </c>
      <c r="G20" s="100">
        <f t="shared" si="2"/>
        <v>5622.6049999999996</v>
      </c>
      <c r="H20" s="92">
        <f t="shared" si="3"/>
        <v>84339.074999999997</v>
      </c>
      <c r="I20" s="92">
        <f t="shared" si="0"/>
        <v>84339.074999999997</v>
      </c>
      <c r="J20" s="2" t="str">
        <f>IF(OR(WEEKDAY(A20)=1,WEEKDAY(A20)=7,NOT(ISERROR(MATCH(A20,[1]Праздники!A:A,0)))),"Выходной","Рабочий")</f>
        <v>Рабочий</v>
      </c>
    </row>
    <row r="21" spans="1:10">
      <c r="A21" s="229">
        <v>46007</v>
      </c>
      <c r="B21" s="230"/>
      <c r="C21" s="98">
        <f>'[1]РВ Баумана'!G21</f>
        <v>1357.2750000000001</v>
      </c>
      <c r="D21" s="99">
        <f>'[1]РВ Новикова-Прибоя'!G21</f>
        <v>275.89499999999998</v>
      </c>
      <c r="E21" s="99">
        <f>'[1]РВ Березовая Пойма'!G21</f>
        <v>739</v>
      </c>
      <c r="F21" s="99">
        <f t="shared" si="1"/>
        <v>2372.17</v>
      </c>
      <c r="G21" s="100">
        <f t="shared" si="2"/>
        <v>5627.83</v>
      </c>
      <c r="H21" s="92">
        <f t="shared" si="3"/>
        <v>84417.45</v>
      </c>
      <c r="I21" s="92">
        <f t="shared" si="0"/>
        <v>84417.45</v>
      </c>
      <c r="J21" s="2" t="str">
        <f>IF(OR(WEEKDAY(A21)=1,WEEKDAY(A21)=7,NOT(ISERROR(MATCH(A21,[1]Праздники!A:A,0)))),"Выходной","Рабочий")</f>
        <v>Рабочий</v>
      </c>
    </row>
    <row r="22" spans="1:10">
      <c r="A22" s="229">
        <v>46008</v>
      </c>
      <c r="B22" s="230"/>
      <c r="C22" s="98">
        <f>'[1]РВ Баумана'!G22</f>
        <v>1357.2750000000001</v>
      </c>
      <c r="D22" s="99">
        <f>'[1]РВ Новикова-Прибоя'!G22</f>
        <v>275.89499999999998</v>
      </c>
      <c r="E22" s="99">
        <f>'[1]РВ Березовая Пойма'!G22</f>
        <v>739</v>
      </c>
      <c r="F22" s="99">
        <f t="shared" si="1"/>
        <v>2372.17</v>
      </c>
      <c r="G22" s="100">
        <f t="shared" si="2"/>
        <v>5627.83</v>
      </c>
      <c r="H22" s="92">
        <f t="shared" si="3"/>
        <v>84417.45</v>
      </c>
      <c r="I22" s="92">
        <f t="shared" si="0"/>
        <v>84417.45</v>
      </c>
      <c r="J22" s="2" t="str">
        <f>IF(OR(WEEKDAY(A22)=1,WEEKDAY(A22)=7,NOT(ISERROR(MATCH(A22,[1]Праздники!A:A,0)))),"Выходной","Рабочий")</f>
        <v>Рабочий</v>
      </c>
    </row>
    <row r="23" spans="1:10">
      <c r="A23" s="229">
        <v>46009</v>
      </c>
      <c r="B23" s="230"/>
      <c r="C23" s="98">
        <f>'[1]РВ Баумана'!G23</f>
        <v>1357.2750000000001</v>
      </c>
      <c r="D23" s="99">
        <f>'[1]РВ Новикова-Прибоя'!G23</f>
        <v>275.89499999999998</v>
      </c>
      <c r="E23" s="99">
        <f>'[1]РВ Березовая Пойма'!G23</f>
        <v>739</v>
      </c>
      <c r="F23" s="99">
        <f t="shared" si="1"/>
        <v>2372.17</v>
      </c>
      <c r="G23" s="100">
        <f t="shared" si="2"/>
        <v>5627.83</v>
      </c>
      <c r="H23" s="92">
        <f t="shared" si="3"/>
        <v>84417.45</v>
      </c>
      <c r="I23" s="92">
        <f t="shared" si="0"/>
        <v>84417.45</v>
      </c>
      <c r="J23" s="2" t="str">
        <f>IF(OR(WEEKDAY(A23)=1,WEEKDAY(A23)=7,NOT(ISERROR(MATCH(A23,[1]Праздники!A:A,0)))),"Выходной","Рабочий")</f>
        <v>Рабочий</v>
      </c>
    </row>
    <row r="24" spans="1:10">
      <c r="A24" s="229">
        <v>46010</v>
      </c>
      <c r="B24" s="230"/>
      <c r="C24" s="98">
        <f>'[1]РВ Баумана'!G24</f>
        <v>1313.2750000000001</v>
      </c>
      <c r="D24" s="99">
        <f>'[1]РВ Новикова-Прибоя'!G24</f>
        <v>275.89499999999998</v>
      </c>
      <c r="E24" s="99">
        <f>'[1]РВ Березовая Пойма'!G24</f>
        <v>739</v>
      </c>
      <c r="F24" s="99">
        <f t="shared" si="1"/>
        <v>2328.17</v>
      </c>
      <c r="G24" s="100">
        <f t="shared" si="2"/>
        <v>5671.83</v>
      </c>
      <c r="H24" s="92">
        <f t="shared" si="3"/>
        <v>85077.45</v>
      </c>
      <c r="I24" s="92">
        <f t="shared" si="0"/>
        <v>85077.45</v>
      </c>
      <c r="J24" s="2" t="str">
        <f>IF(OR(WEEKDAY(A24)=1,WEEKDAY(A24)=7,NOT(ISERROR(MATCH(A24,[1]Праздники!A:A,0)))),"Выходной","Рабочий")</f>
        <v>Рабочий</v>
      </c>
    </row>
    <row r="25" spans="1:10">
      <c r="A25" s="229">
        <v>46011</v>
      </c>
      <c r="B25" s="230"/>
      <c r="C25" s="98">
        <f>'[1]РВ Баумана'!G25</f>
        <v>1313.2750000000001</v>
      </c>
      <c r="D25" s="99">
        <f>'[1]РВ Новикова-Прибоя'!G25</f>
        <v>275.89499999999998</v>
      </c>
      <c r="E25" s="99">
        <f>'[1]РВ Березовая Пойма'!G25</f>
        <v>959</v>
      </c>
      <c r="F25" s="99">
        <f t="shared" si="1"/>
        <v>2548.17</v>
      </c>
      <c r="G25" s="100">
        <f t="shared" si="2"/>
        <v>5451.83</v>
      </c>
      <c r="H25" s="92">
        <f t="shared" si="3"/>
        <v>81777.45</v>
      </c>
      <c r="I25" s="92">
        <f t="shared" si="0"/>
        <v>81777.45</v>
      </c>
      <c r="J25" s="2" t="str">
        <f>IF(OR(WEEKDAY(A25)=1,WEEKDAY(A25)=7,NOT(ISERROR(MATCH(A25,[1]Праздники!A:A,0)))),"Выходной","Рабочий")</f>
        <v>Выходной</v>
      </c>
    </row>
    <row r="26" spans="1:10">
      <c r="A26" s="229">
        <v>46012</v>
      </c>
      <c r="B26" s="230"/>
      <c r="C26" s="98">
        <f>'[1]РВ Баумана'!G26</f>
        <v>1313.2750000000001</v>
      </c>
      <c r="D26" s="99">
        <f>'[1]РВ Новикова-Прибоя'!G26</f>
        <v>275.89499999999998</v>
      </c>
      <c r="E26" s="99">
        <f>'[1]РВ Березовая Пойма'!G26</f>
        <v>959</v>
      </c>
      <c r="F26" s="99">
        <f t="shared" si="1"/>
        <v>2548.17</v>
      </c>
      <c r="G26" s="100">
        <f t="shared" si="2"/>
        <v>5451.83</v>
      </c>
      <c r="H26" s="92">
        <f t="shared" si="3"/>
        <v>81777.45</v>
      </c>
      <c r="I26" s="92">
        <f t="shared" si="0"/>
        <v>81777.45</v>
      </c>
      <c r="J26" s="2" t="str">
        <f>IF(OR(WEEKDAY(A26)=1,WEEKDAY(A26)=7,NOT(ISERROR(MATCH(A26,[1]Праздники!A:A,0)))),"Выходной","Рабочий")</f>
        <v>Выходной</v>
      </c>
    </row>
    <row r="27" spans="1:10" ht="15" customHeight="1">
      <c r="A27" s="229">
        <v>46013</v>
      </c>
      <c r="B27" s="230"/>
      <c r="C27" s="98">
        <f>'[1]РВ Баумана'!G27</f>
        <v>1313.2750000000001</v>
      </c>
      <c r="D27" s="99">
        <f>'[1]РВ Новикова-Прибоя'!G27</f>
        <v>275.89499999999998</v>
      </c>
      <c r="E27" s="99">
        <f>'[1]РВ Березовая Пойма'!G27</f>
        <v>959</v>
      </c>
      <c r="F27" s="99">
        <f t="shared" si="1"/>
        <v>2548.17</v>
      </c>
      <c r="G27" s="100">
        <f t="shared" si="2"/>
        <v>5451.83</v>
      </c>
      <c r="H27" s="92">
        <f t="shared" si="3"/>
        <v>81777.45</v>
      </c>
      <c r="I27" s="92">
        <f t="shared" si="0"/>
        <v>81777.45</v>
      </c>
      <c r="J27" s="2" t="str">
        <f>IF(OR(WEEKDAY(A27)=1,WEEKDAY(A27)=7,NOT(ISERROR(MATCH(A27,[1]Праздники!A:A,0)))),"Выходной","Рабочий")</f>
        <v>Рабочий</v>
      </c>
    </row>
    <row r="28" spans="1:10">
      <c r="A28" s="229">
        <v>46014</v>
      </c>
      <c r="B28" s="230"/>
      <c r="C28" s="98">
        <f>'[1]РВ Баумана'!G28</f>
        <v>1303.6500000000001</v>
      </c>
      <c r="D28" s="99">
        <f>'[1]РВ Новикова-Прибоя'!G28</f>
        <v>275.89499999999998</v>
      </c>
      <c r="E28" s="99">
        <f>'[1]РВ Березовая Пойма'!G28</f>
        <v>959</v>
      </c>
      <c r="F28" s="99">
        <f t="shared" si="1"/>
        <v>2538.5450000000001</v>
      </c>
      <c r="G28" s="100">
        <f t="shared" si="2"/>
        <v>5461.4549999999999</v>
      </c>
      <c r="H28" s="92">
        <f t="shared" si="3"/>
        <v>81921.824999999997</v>
      </c>
      <c r="I28" s="92">
        <f t="shared" si="0"/>
        <v>81921.824999999997</v>
      </c>
      <c r="J28" s="2" t="str">
        <f>IF(OR(WEEKDAY(A28)=1,WEEKDAY(A28)=7,NOT(ISERROR(MATCH(A28,[1]Праздники!A:A,0)))),"Выходной","Рабочий")</f>
        <v>Рабочий</v>
      </c>
    </row>
    <row r="29" spans="1:10">
      <c r="A29" s="229">
        <v>46015</v>
      </c>
      <c r="B29" s="230"/>
      <c r="C29" s="98">
        <f>'[1]РВ Баумана'!G29</f>
        <v>1216.2750000000001</v>
      </c>
      <c r="D29" s="99">
        <f>'[1]РВ Новикова-Прибоя'!G29</f>
        <v>275.89499999999998</v>
      </c>
      <c r="E29" s="99">
        <f>'[1]РВ Березовая Пойма'!G29</f>
        <v>959</v>
      </c>
      <c r="F29" s="99">
        <f t="shared" si="1"/>
        <v>2451.17</v>
      </c>
      <c r="G29" s="100">
        <f t="shared" si="2"/>
        <v>5548.83</v>
      </c>
      <c r="H29" s="92">
        <f t="shared" si="3"/>
        <v>83232.45</v>
      </c>
      <c r="I29" s="92">
        <f t="shared" si="0"/>
        <v>83232.45</v>
      </c>
      <c r="J29" s="2" t="str">
        <f>IF(OR(WEEKDAY(A29)=1,WEEKDAY(A29)=7,NOT(ISERROR(MATCH(A29,[1]Праздники!A:A,0)))),"Выходной","Рабочий")</f>
        <v>Рабочий</v>
      </c>
    </row>
    <row r="30" spans="1:10">
      <c r="A30" s="229">
        <v>46016</v>
      </c>
      <c r="B30" s="230"/>
      <c r="C30" s="98">
        <f>'[1]РВ Баумана'!G30</f>
        <v>1107.575</v>
      </c>
      <c r="D30" s="99">
        <f>'[1]РВ Новикова-Прибоя'!G30</f>
        <v>231.96999999999997</v>
      </c>
      <c r="E30" s="99">
        <f>'[1]РВ Березовая Пойма'!G30</f>
        <v>959</v>
      </c>
      <c r="F30" s="99">
        <f t="shared" si="1"/>
        <v>2298.5450000000001</v>
      </c>
      <c r="G30" s="100">
        <f t="shared" si="2"/>
        <v>5701.4549999999999</v>
      </c>
      <c r="H30" s="92">
        <f t="shared" si="3"/>
        <v>85521.824999999997</v>
      </c>
      <c r="I30" s="92">
        <f t="shared" si="0"/>
        <v>85521.824999999997</v>
      </c>
      <c r="J30" s="2" t="str">
        <f>IF(OR(WEEKDAY(A30)=1,WEEKDAY(A30)=7,NOT(ISERROR(MATCH(A30,[1]Праздники!A:A,0)))),"Выходной","Рабочий")</f>
        <v>Рабочий</v>
      </c>
    </row>
    <row r="31" spans="1:10">
      <c r="A31" s="229">
        <v>46017</v>
      </c>
      <c r="B31" s="230"/>
      <c r="C31" s="98">
        <f>'[1]РВ Баумана'!G31</f>
        <v>1019.575</v>
      </c>
      <c r="D31" s="99">
        <f>'[1]РВ Новикова-Прибоя'!G31</f>
        <v>225.16999999999996</v>
      </c>
      <c r="E31" s="99">
        <f>'[1]РВ Березовая Пойма'!G31</f>
        <v>959</v>
      </c>
      <c r="F31" s="99">
        <f t="shared" si="1"/>
        <v>2203.7449999999999</v>
      </c>
      <c r="G31" s="100">
        <f t="shared" si="2"/>
        <v>5796.2550000000001</v>
      </c>
      <c r="H31" s="92">
        <f t="shared" si="3"/>
        <v>86943.824999999997</v>
      </c>
      <c r="I31" s="92">
        <f t="shared" si="0"/>
        <v>86943.824999999997</v>
      </c>
      <c r="J31" s="2" t="str">
        <f>IF(OR(WEEKDAY(A31)=1,WEEKDAY(A31)=7,NOT(ISERROR(MATCH(A31,[1]Праздники!A:A,0)))),"Выходной","Рабочий")</f>
        <v>Рабочий</v>
      </c>
    </row>
    <row r="32" spans="1:10">
      <c r="A32" s="229">
        <v>46018</v>
      </c>
      <c r="B32" s="230"/>
      <c r="C32" s="98">
        <f>'[1]РВ Баумана'!G32</f>
        <v>986.57500000000005</v>
      </c>
      <c r="D32" s="99">
        <f>'[1]РВ Новикова-Прибоя'!G32</f>
        <v>225.16999999999996</v>
      </c>
      <c r="E32" s="99">
        <f>'[1]РВ Березовая Пойма'!G32</f>
        <v>937</v>
      </c>
      <c r="F32" s="99">
        <f t="shared" si="1"/>
        <v>2148.7449999999999</v>
      </c>
      <c r="G32" s="100">
        <f t="shared" si="2"/>
        <v>5851.2550000000001</v>
      </c>
      <c r="H32" s="92">
        <f t="shared" si="3"/>
        <v>87768.824999999997</v>
      </c>
      <c r="I32" s="92">
        <f t="shared" si="0"/>
        <v>87768.824999999997</v>
      </c>
      <c r="J32" s="2" t="str">
        <f>IF(OR(WEEKDAY(A32)=1,WEEKDAY(A32)=7,NOT(ISERROR(MATCH(A32,[1]Праздники!A:A,0)))),"Выходной","Рабочий")</f>
        <v>Выходной</v>
      </c>
    </row>
    <row r="33" spans="1:11">
      <c r="A33" s="229">
        <v>46019</v>
      </c>
      <c r="B33" s="230"/>
      <c r="C33" s="98">
        <f>'[1]РВ Баумана'!G33</f>
        <v>980.95</v>
      </c>
      <c r="D33" s="99">
        <f>'[1]РВ Новикова-Прибоя'!G33</f>
        <v>211.66999999999996</v>
      </c>
      <c r="E33" s="99">
        <f>'[1]РВ Березовая Пойма'!G33</f>
        <v>937</v>
      </c>
      <c r="F33" s="99">
        <f t="shared" si="1"/>
        <v>2129.62</v>
      </c>
      <c r="G33" s="100">
        <f t="shared" si="2"/>
        <v>5870.38</v>
      </c>
      <c r="H33" s="92">
        <f t="shared" si="3"/>
        <v>88055.7</v>
      </c>
      <c r="I33" s="92">
        <f t="shared" si="0"/>
        <v>88055.7</v>
      </c>
      <c r="J33" s="2" t="str">
        <f>IF(OR(WEEKDAY(A33)=1,WEEKDAY(A33)=7,NOT(ISERROR(MATCH(A33,[1]Праздники!A:A,0)))),"Выходной","Рабочий")</f>
        <v>Выходной</v>
      </c>
    </row>
    <row r="34" spans="1:11">
      <c r="A34" s="229">
        <v>46020</v>
      </c>
      <c r="B34" s="230"/>
      <c r="C34" s="98">
        <f>'[1]РВ Баумана'!G34</f>
        <v>895.95</v>
      </c>
      <c r="D34" s="99">
        <f>'[1]РВ Новикова-Прибоя'!G34</f>
        <v>190.66999999999996</v>
      </c>
      <c r="E34" s="99">
        <f>'[1]РВ Березовая Пойма'!G34</f>
        <v>1025</v>
      </c>
      <c r="F34" s="99">
        <f t="shared" si="1"/>
        <v>2111.62</v>
      </c>
      <c r="G34" s="100">
        <f t="shared" si="2"/>
        <v>5888.38</v>
      </c>
      <c r="H34" s="92">
        <f t="shared" si="3"/>
        <v>88325.7</v>
      </c>
      <c r="I34" s="92">
        <f t="shared" si="0"/>
        <v>88325.7</v>
      </c>
      <c r="J34" s="2" t="str">
        <f>IF(OR(WEEKDAY(A34)=1,WEEKDAY(A34)=7,NOT(ISERROR(MATCH(A34,[1]Праздники!A:A,0)))),"Выходной","Рабочий")</f>
        <v>Рабочий</v>
      </c>
    </row>
    <row r="35" spans="1:11">
      <c r="A35" s="229">
        <v>46021</v>
      </c>
      <c r="B35" s="230"/>
      <c r="C35" s="98">
        <f>'[1]РВ Баумана'!G35</f>
        <v>884.95</v>
      </c>
      <c r="D35" s="99">
        <f>'[1]РВ Новикова-Прибоя'!G35</f>
        <v>190.66999999999996</v>
      </c>
      <c r="E35" s="99">
        <f>'[1]РВ Березовая Пойма'!G35</f>
        <v>783</v>
      </c>
      <c r="F35" s="99">
        <f t="shared" si="1"/>
        <v>1858.62</v>
      </c>
      <c r="G35" s="100">
        <f t="shared" si="2"/>
        <v>6141.38</v>
      </c>
      <c r="H35" s="92">
        <f t="shared" si="3"/>
        <v>92120.7</v>
      </c>
      <c r="I35" s="92">
        <f t="shared" si="0"/>
        <v>92120.7</v>
      </c>
      <c r="J35" s="2" t="str">
        <f>IF(OR(WEEKDAY(A35)=1,WEEKDAY(A35)=7,NOT(ISERROR(MATCH(A35,[1]Праздники!A:A,0)))),"Выходной","Рабочий")</f>
        <v>Рабочий</v>
      </c>
    </row>
    <row r="36" spans="1:11" ht="15.75" thickBot="1">
      <c r="A36" s="229">
        <v>46022</v>
      </c>
      <c r="B36" s="230"/>
      <c r="C36" s="98">
        <f>'[1]РВ Баумана'!G36</f>
        <v>883.22500000000002</v>
      </c>
      <c r="D36" s="99">
        <f>'[1]РВ Новикова-Прибоя'!G36</f>
        <v>190.66999999999996</v>
      </c>
      <c r="E36" s="99">
        <f>'[1]РВ Березовая Пойма'!G36</f>
        <v>808.23</v>
      </c>
      <c r="F36" s="99">
        <f t="shared" si="1"/>
        <v>1882.125</v>
      </c>
      <c r="G36" s="100">
        <f t="shared" si="2"/>
        <v>6117.875</v>
      </c>
      <c r="H36" s="92">
        <f t="shared" si="3"/>
        <v>91768.125</v>
      </c>
      <c r="I36" s="92">
        <f t="shared" si="0"/>
        <v>91768.125</v>
      </c>
      <c r="J36" s="2" t="str">
        <f>IF(OR(WEEKDAY(A36)=1,WEEKDAY(A36)=7,NOT(ISERROR(MATCH(A36,[1]Праздники!A:A,0)))),"Выходной","Рабочий")</f>
        <v>Выходной</v>
      </c>
    </row>
    <row r="37" spans="1:11" ht="15.75" thickBot="1">
      <c r="C37" s="93">
        <f>SUM(C6:C36)</f>
        <v>39341.71</v>
      </c>
      <c r="D37" s="93">
        <f t="shared" ref="D37:I37" si="4">SUM(D6:D36)</f>
        <v>8346.345000000003</v>
      </c>
      <c r="E37" s="93">
        <f t="shared" si="4"/>
        <v>22165.23</v>
      </c>
      <c r="F37" s="93"/>
      <c r="G37" s="93">
        <f t="shared" si="4"/>
        <v>178146.71499999997</v>
      </c>
      <c r="H37" s="94">
        <f t="shared" si="4"/>
        <v>2672200.7250000001</v>
      </c>
      <c r="I37" s="95">
        <f t="shared" si="4"/>
        <v>2672200.7250000001</v>
      </c>
    </row>
    <row r="38" spans="1:11" ht="15.75" thickBot="1">
      <c r="H38" s="89"/>
      <c r="I38" s="96">
        <f>I37*1.2</f>
        <v>3206640.87</v>
      </c>
      <c r="K38" s="97"/>
    </row>
    <row r="39" spans="1:11">
      <c r="H39" s="89"/>
    </row>
    <row r="40" spans="1:11">
      <c r="H40" s="89"/>
    </row>
  </sheetData>
  <mergeCells count="39">
    <mergeCell ref="A10:B10"/>
    <mergeCell ref="A11:B11"/>
    <mergeCell ref="A12:B12"/>
    <mergeCell ref="A9:B9"/>
    <mergeCell ref="A4:B5"/>
    <mergeCell ref="C4:C5"/>
    <mergeCell ref="D4:D5"/>
    <mergeCell ref="E4:E5"/>
    <mergeCell ref="H4:H5"/>
    <mergeCell ref="I4:I5"/>
    <mergeCell ref="A6:B6"/>
    <mergeCell ref="A7:B7"/>
    <mergeCell ref="A8:B8"/>
    <mergeCell ref="F4:F5"/>
    <mergeCell ref="G4:G5"/>
    <mergeCell ref="A13:B13"/>
    <mergeCell ref="A14:B14"/>
    <mergeCell ref="A27:B27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15:B15"/>
    <mergeCell ref="A34:B34"/>
    <mergeCell ref="A35:B35"/>
    <mergeCell ref="A36:B36"/>
    <mergeCell ref="A28:B28"/>
    <mergeCell ref="A29:B29"/>
    <mergeCell ref="A30:B30"/>
    <mergeCell ref="A31:B31"/>
    <mergeCell ref="A32:B32"/>
    <mergeCell ref="A33:B33"/>
  </mergeCells>
  <pageMargins left="0.7" right="0.7" top="0.75" bottom="0.75" header="0.3" footer="0.3"/>
  <pageSetup paperSize="9" scale="86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1BFA9-E8EE-4BEA-9F47-2E9D41B6DF38}">
  <sheetPr codeName="Лист6">
    <pageSetUpPr fitToPage="1"/>
  </sheetPr>
  <dimension ref="A1:S40"/>
  <sheetViews>
    <sheetView workbookViewId="0">
      <selection activeCell="H21" sqref="H21"/>
    </sheetView>
  </sheetViews>
  <sheetFormatPr defaultRowHeight="15"/>
  <cols>
    <col min="1" max="2" width="8.796875" style="2"/>
    <col min="3" max="3" width="6.8984375" style="2" bestFit="1" customWidth="1"/>
    <col min="4" max="6" width="8.796875" style="2"/>
    <col min="7" max="7" width="7.3984375" style="2" bestFit="1" customWidth="1"/>
    <col min="8" max="8" width="8.796875" style="2"/>
    <col min="9" max="9" width="8.8984375" style="2" customWidth="1"/>
    <col min="10" max="10" width="9.19921875" style="2" bestFit="1" customWidth="1"/>
    <col min="11" max="12" width="6.5" style="2" bestFit="1" customWidth="1"/>
    <col min="13" max="13" width="9.69921875" style="2" customWidth="1"/>
    <col min="14" max="14" width="6.5" style="2" bestFit="1" customWidth="1"/>
    <col min="15" max="15" width="11.19921875" style="2" customWidth="1"/>
    <col min="16" max="16" width="8.796875" style="2"/>
    <col min="17" max="17" width="12.796875" style="2" customWidth="1"/>
    <col min="18" max="16384" width="8.796875" style="2"/>
  </cols>
  <sheetData>
    <row r="1" spans="1:19">
      <c r="M1" s="89"/>
      <c r="Q1" s="79"/>
      <c r="R1" s="79" t="s">
        <v>106</v>
      </c>
      <c r="S1" s="79" t="s">
        <v>107</v>
      </c>
    </row>
    <row r="2" spans="1:19">
      <c r="M2" s="89"/>
      <c r="Q2" s="79" t="s">
        <v>108</v>
      </c>
      <c r="R2" s="79">
        <f>SUMIF($P$6:$P$36,R$1,$C6:$C36)</f>
        <v>0</v>
      </c>
      <c r="S2" s="79">
        <f>SUMIF($P$6:$P$36,S$1,$C6:$C36)</f>
        <v>0</v>
      </c>
    </row>
    <row r="3" spans="1:19" ht="21">
      <c r="A3" s="77" t="str">
        <f>"Отчет по хранению  товара  РВ " &amp; TEXT(A6,"ММММ ") &amp; YEAR(A6) &amp; " Баумана"</f>
        <v>Отчет по хранению  товара  РВ Декабрь 2025 Баумана</v>
      </c>
      <c r="G3" s="89"/>
      <c r="M3" s="89"/>
      <c r="Q3" s="79" t="s">
        <v>96</v>
      </c>
      <c r="R3" s="79">
        <f>SUMIF($P$6:$P$36,R$1,$D6:$D36)</f>
        <v>90.625</v>
      </c>
      <c r="S3" s="79">
        <f>SUMIF($P$6:$P$36,S$1,$D6:$D36)</f>
        <v>420.44500000000005</v>
      </c>
    </row>
    <row r="4" spans="1:19">
      <c r="A4" s="210" t="s">
        <v>1</v>
      </c>
      <c r="B4" s="211"/>
      <c r="C4" s="206" t="s">
        <v>109</v>
      </c>
      <c r="D4" s="206" t="s">
        <v>110</v>
      </c>
      <c r="E4" s="206" t="s">
        <v>111</v>
      </c>
      <c r="F4" s="206" t="s">
        <v>112</v>
      </c>
      <c r="G4" s="101" t="s">
        <v>4</v>
      </c>
      <c r="H4" s="206" t="s">
        <v>7</v>
      </c>
      <c r="I4" s="206" t="s">
        <v>11</v>
      </c>
      <c r="J4" s="206" t="s">
        <v>12</v>
      </c>
      <c r="K4" s="206" t="s">
        <v>113</v>
      </c>
      <c r="L4" s="206" t="s">
        <v>114</v>
      </c>
      <c r="M4" s="231" t="s">
        <v>13</v>
      </c>
      <c r="N4" s="206" t="s">
        <v>16</v>
      </c>
      <c r="O4" s="206" t="s">
        <v>18</v>
      </c>
    </row>
    <row r="5" spans="1:19" ht="30">
      <c r="A5" s="212"/>
      <c r="B5" s="213"/>
      <c r="C5" s="207"/>
      <c r="D5" s="207"/>
      <c r="E5" s="207"/>
      <c r="F5" s="207"/>
      <c r="G5" s="102" t="s">
        <v>115</v>
      </c>
      <c r="H5" s="207"/>
      <c r="I5" s="207"/>
      <c r="J5" s="207"/>
      <c r="K5" s="207"/>
      <c r="L5" s="207"/>
      <c r="M5" s="232"/>
      <c r="N5" s="207"/>
      <c r="O5" s="207"/>
    </row>
    <row r="6" spans="1:19">
      <c r="A6" s="229">
        <v>45992</v>
      </c>
      <c r="B6" s="230"/>
      <c r="C6" s="98">
        <v>0</v>
      </c>
      <c r="D6" s="99">
        <v>0</v>
      </c>
      <c r="E6" s="99"/>
      <c r="F6" s="100"/>
      <c r="G6" s="90">
        <v>1394.2950000000001</v>
      </c>
      <c r="H6" s="91"/>
      <c r="I6" s="92">
        <f>IF(P6="Выходной",SUM(C6*150)*1.5,SUM(C6*150))</f>
        <v>0</v>
      </c>
      <c r="J6" s="92">
        <f>IF(P6="Выходной",SUM(D6*150)*1.5,SUM(D6*150))</f>
        <v>0</v>
      </c>
      <c r="K6" s="92">
        <f>IF(OR(WEEKDAY(A6)=1,WEEKDAY(A6)=7,NOT(ISERROR(MATCH(A6,[1]Праздники!A:A,0)))),SUM(E6*225)*1.5,SUM(E6*225))</f>
        <v>0</v>
      </c>
      <c r="L6" s="92">
        <f>IF(OR(WEEKDAY(A6)=1,WEEKDAY(A6)=7,NOT(ISERROR(MATCH(A6,[1]Праздники!A:A,0)))),SUM(F6*225)*1.5,SUM(F6*225))</f>
        <v>0</v>
      </c>
      <c r="M6" s="92">
        <f>SUM(G6*15)</f>
        <v>20914.425000000003</v>
      </c>
      <c r="N6" s="92">
        <f>SUM(H6)*750</f>
        <v>0</v>
      </c>
      <c r="O6" s="92">
        <f>SUM(I6:N6)</f>
        <v>20914.425000000003</v>
      </c>
      <c r="P6" s="2" t="str">
        <f>IF(OR(WEEKDAY(A6)=1,WEEKDAY(A6)=7,NOT(ISERROR(MATCH(A6,[1]Праздники!A:A,0)))),"Выходной","Рабочий")</f>
        <v>Рабочий</v>
      </c>
    </row>
    <row r="7" spans="1:19">
      <c r="A7" s="229">
        <v>45993</v>
      </c>
      <c r="B7" s="230"/>
      <c r="C7" s="98">
        <v>0</v>
      </c>
      <c r="D7" s="99">
        <v>0</v>
      </c>
      <c r="E7" s="99"/>
      <c r="F7" s="100"/>
      <c r="G7" s="90">
        <f>IF(A7 ="",0,G6+C7+E7-D6-F6)</f>
        <v>1394.2950000000001</v>
      </c>
      <c r="H7" s="91"/>
      <c r="I7" s="92">
        <f t="shared" ref="I7:I36" si="0">IF(P7="Выходной",SUM(C7*150)*1.5,SUM(C7*150))</f>
        <v>0</v>
      </c>
      <c r="J7" s="92">
        <f t="shared" ref="J7:J36" si="1">IF(P7="Выходной",SUM(D7*150)*1.5,SUM(D7*150))</f>
        <v>0</v>
      </c>
      <c r="K7" s="92">
        <f>IF(OR(WEEKDAY(A7)=1,WEEKDAY(A7)=7,NOT(ISERROR(MATCH(A7,[1]Праздники!A:A,0)))),SUM(E7*225)*1.5,SUM(E7*225))</f>
        <v>0</v>
      </c>
      <c r="L7" s="92">
        <f>IF(OR(WEEKDAY(A7)=1,WEEKDAY(A7)=7,NOT(ISERROR(MATCH(A7,[1]Праздники!A:A,0)))),SUM(F7*225)*1.5,SUM(F7*225))</f>
        <v>0</v>
      </c>
      <c r="M7" s="92">
        <f t="shared" ref="M7:M36" si="2">SUM(G7*15)</f>
        <v>20914.425000000003</v>
      </c>
      <c r="N7" s="92">
        <f t="shared" ref="N7:N36" si="3">SUM(H7)*750</f>
        <v>0</v>
      </c>
      <c r="O7" s="92">
        <f t="shared" ref="O7:O35" si="4">SUM(I7:N7)</f>
        <v>20914.425000000003</v>
      </c>
      <c r="P7" s="2" t="str">
        <f>IF(OR(WEEKDAY(A7)=1,WEEKDAY(A7)=7,NOT(ISERROR(MATCH(A7,[1]Праздники!A:A,0)))),"Выходной","Рабочий")</f>
        <v>Рабочий</v>
      </c>
    </row>
    <row r="8" spans="1:19">
      <c r="A8" s="229">
        <v>45994</v>
      </c>
      <c r="B8" s="230"/>
      <c r="C8" s="98">
        <v>0</v>
      </c>
      <c r="D8" s="99">
        <v>1.17</v>
      </c>
      <c r="E8" s="99"/>
      <c r="F8" s="100"/>
      <c r="G8" s="90">
        <f t="shared" ref="G8:G36" si="5">IF(A8 ="",0,G7+C8+E8-D7-F7)</f>
        <v>1394.2950000000001</v>
      </c>
      <c r="H8" s="91"/>
      <c r="I8" s="92">
        <f t="shared" si="0"/>
        <v>0</v>
      </c>
      <c r="J8" s="92">
        <f t="shared" si="1"/>
        <v>175.5</v>
      </c>
      <c r="K8" s="92">
        <f>IF(OR(WEEKDAY(A8)=1,WEEKDAY(A8)=7,NOT(ISERROR(MATCH(A8,[1]Праздники!A:A,0)))),SUM(E8*225)*1.5,SUM(E8*225))</f>
        <v>0</v>
      </c>
      <c r="L8" s="92">
        <f>IF(OR(WEEKDAY(A8)=1,WEEKDAY(A8)=7,NOT(ISERROR(MATCH(A8,[1]Праздники!A:A,0)))),SUM(F8*225)*1.5,SUM(F8*225))</f>
        <v>0</v>
      </c>
      <c r="M8" s="92">
        <f t="shared" si="2"/>
        <v>20914.425000000003</v>
      </c>
      <c r="N8" s="92">
        <f t="shared" si="3"/>
        <v>0</v>
      </c>
      <c r="O8" s="92">
        <f t="shared" si="4"/>
        <v>21089.925000000003</v>
      </c>
      <c r="P8" s="2" t="str">
        <f>IF(OR(WEEKDAY(A8)=1,WEEKDAY(A8)=7,NOT(ISERROR(MATCH(A8,[1]Праздники!A:A,0)))),"Выходной","Рабочий")</f>
        <v>Рабочий</v>
      </c>
    </row>
    <row r="9" spans="1:19">
      <c r="A9" s="229">
        <v>45995</v>
      </c>
      <c r="B9" s="230"/>
      <c r="C9" s="98">
        <v>0</v>
      </c>
      <c r="D9" s="99">
        <v>0</v>
      </c>
      <c r="E9" s="99"/>
      <c r="F9" s="100"/>
      <c r="G9" s="90">
        <f t="shared" si="5"/>
        <v>1393.125</v>
      </c>
      <c r="H9" s="91"/>
      <c r="I9" s="92">
        <f t="shared" si="0"/>
        <v>0</v>
      </c>
      <c r="J9" s="92">
        <f t="shared" si="1"/>
        <v>0</v>
      </c>
      <c r="K9" s="92">
        <f>IF(OR(WEEKDAY(A9)=1,WEEKDAY(A9)=7,NOT(ISERROR(MATCH(A9,[1]Праздники!A:A,0)))),SUM(E9*225)*1.5,SUM(E9*225))</f>
        <v>0</v>
      </c>
      <c r="L9" s="92">
        <f>IF(OR(WEEKDAY(A9)=1,WEEKDAY(A9)=7,NOT(ISERROR(MATCH(A9,[1]Праздники!A:A,0)))),SUM(F9*225)*1.5,SUM(F9*225))</f>
        <v>0</v>
      </c>
      <c r="M9" s="92">
        <f t="shared" si="2"/>
        <v>20896.875</v>
      </c>
      <c r="N9" s="92">
        <f t="shared" si="3"/>
        <v>0</v>
      </c>
      <c r="O9" s="92">
        <f t="shared" si="4"/>
        <v>20896.875</v>
      </c>
      <c r="P9" s="2" t="str">
        <f>IF(OR(WEEKDAY(A9)=1,WEEKDAY(A9)=7,NOT(ISERROR(MATCH(A9,[1]Праздники!A:A,0)))),"Выходной","Рабочий")</f>
        <v>Рабочий</v>
      </c>
    </row>
    <row r="10" spans="1:19">
      <c r="A10" s="229">
        <v>45996</v>
      </c>
      <c r="B10" s="230"/>
      <c r="C10" s="98">
        <v>0</v>
      </c>
      <c r="D10" s="99">
        <v>0</v>
      </c>
      <c r="E10" s="99"/>
      <c r="F10" s="100"/>
      <c r="G10" s="90">
        <f t="shared" si="5"/>
        <v>1393.125</v>
      </c>
      <c r="H10" s="91"/>
      <c r="I10" s="92">
        <f t="shared" si="0"/>
        <v>0</v>
      </c>
      <c r="J10" s="92">
        <f t="shared" si="1"/>
        <v>0</v>
      </c>
      <c r="K10" s="92">
        <f>IF(OR(WEEKDAY(A10)=1,WEEKDAY(A10)=7,NOT(ISERROR(MATCH(A10,[1]Праздники!A:A,0)))),SUM(E10*225)*1.5,SUM(E10*225))</f>
        <v>0</v>
      </c>
      <c r="L10" s="92">
        <f>IF(OR(WEEKDAY(A10)=1,WEEKDAY(A10)=7,NOT(ISERROR(MATCH(A10,[1]Праздники!A:A,0)))),SUM(F10*225)*1.5,SUM(F10*225))</f>
        <v>0</v>
      </c>
      <c r="M10" s="92">
        <f t="shared" si="2"/>
        <v>20896.875</v>
      </c>
      <c r="N10" s="92">
        <f t="shared" si="3"/>
        <v>0</v>
      </c>
      <c r="O10" s="92">
        <f t="shared" si="4"/>
        <v>20896.875</v>
      </c>
      <c r="P10" s="2" t="str">
        <f>IF(OR(WEEKDAY(A10)=1,WEEKDAY(A10)=7,NOT(ISERROR(MATCH(A10,[1]Праздники!A:A,0)))),"Выходной","Рабочий")</f>
        <v>Рабочий</v>
      </c>
    </row>
    <row r="11" spans="1:19">
      <c r="A11" s="229">
        <v>45997</v>
      </c>
      <c r="B11" s="230"/>
      <c r="C11" s="98">
        <v>0</v>
      </c>
      <c r="D11" s="99">
        <v>0</v>
      </c>
      <c r="E11" s="99"/>
      <c r="F11" s="100"/>
      <c r="G11" s="90">
        <f t="shared" si="5"/>
        <v>1393.125</v>
      </c>
      <c r="H11" s="91"/>
      <c r="I11" s="92">
        <f t="shared" si="0"/>
        <v>0</v>
      </c>
      <c r="J11" s="92">
        <f t="shared" si="1"/>
        <v>0</v>
      </c>
      <c r="K11" s="92">
        <f>IF(OR(WEEKDAY(A11)=1,WEEKDAY(A11)=7,NOT(ISERROR(MATCH(A11,[1]Праздники!A:A,0)))),SUM(E11*225)*1.5,SUM(E11*225))</f>
        <v>0</v>
      </c>
      <c r="L11" s="92">
        <f>IF(OR(WEEKDAY(A11)=1,WEEKDAY(A11)=7,NOT(ISERROR(MATCH(A11,[1]Праздники!A:A,0)))),SUM(F11*225)*1.5,SUM(F11*225))</f>
        <v>0</v>
      </c>
      <c r="M11" s="92">
        <f t="shared" si="2"/>
        <v>20896.875</v>
      </c>
      <c r="N11" s="92">
        <f t="shared" si="3"/>
        <v>0</v>
      </c>
      <c r="O11" s="92">
        <f t="shared" si="4"/>
        <v>20896.875</v>
      </c>
      <c r="P11" s="2" t="str">
        <f>IF(OR(WEEKDAY(A11)=1,WEEKDAY(A11)=7,NOT(ISERROR(MATCH(A11,[1]Праздники!A:A,0)))),"Выходной","Рабочий")</f>
        <v>Выходной</v>
      </c>
    </row>
    <row r="12" spans="1:19">
      <c r="A12" s="229">
        <v>45998</v>
      </c>
      <c r="B12" s="230"/>
      <c r="C12" s="98">
        <v>0</v>
      </c>
      <c r="D12" s="99">
        <v>0</v>
      </c>
      <c r="E12" s="99"/>
      <c r="F12" s="100"/>
      <c r="G12" s="90">
        <f t="shared" si="5"/>
        <v>1393.125</v>
      </c>
      <c r="H12" s="91"/>
      <c r="I12" s="92">
        <f t="shared" si="0"/>
        <v>0</v>
      </c>
      <c r="J12" s="92">
        <f t="shared" si="1"/>
        <v>0</v>
      </c>
      <c r="K12" s="92">
        <f>IF(OR(WEEKDAY(A12)=1,WEEKDAY(A12)=7,NOT(ISERROR(MATCH(A12,[1]Праздники!A:A,0)))),SUM(E12*225)*1.5,SUM(E12*225))</f>
        <v>0</v>
      </c>
      <c r="L12" s="92">
        <f>IF(OR(WEEKDAY(A12)=1,WEEKDAY(A12)=7,NOT(ISERROR(MATCH(A12,[1]Праздники!A:A,0)))),SUM(F12*225)*1.5,SUM(F12*225))</f>
        <v>0</v>
      </c>
      <c r="M12" s="92">
        <f t="shared" si="2"/>
        <v>20896.875</v>
      </c>
      <c r="N12" s="92">
        <f t="shared" si="3"/>
        <v>0</v>
      </c>
      <c r="O12" s="92">
        <f t="shared" si="4"/>
        <v>20896.875</v>
      </c>
      <c r="P12" s="2" t="str">
        <f>IF(OR(WEEKDAY(A12)=1,WEEKDAY(A12)=7,NOT(ISERROR(MATCH(A12,[1]Праздники!A:A,0)))),"Выходной","Рабочий")</f>
        <v>Выходной</v>
      </c>
    </row>
    <row r="13" spans="1:19">
      <c r="A13" s="229">
        <v>45999</v>
      </c>
      <c r="B13" s="230"/>
      <c r="C13" s="98">
        <v>0</v>
      </c>
      <c r="D13" s="99">
        <v>13.275</v>
      </c>
      <c r="E13" s="99"/>
      <c r="F13" s="103"/>
      <c r="G13" s="90">
        <f t="shared" si="5"/>
        <v>1393.125</v>
      </c>
      <c r="H13" s="91"/>
      <c r="I13" s="92">
        <f t="shared" si="0"/>
        <v>0</v>
      </c>
      <c r="J13" s="92">
        <f t="shared" si="1"/>
        <v>1991.25</v>
      </c>
      <c r="K13" s="92">
        <f>IF(OR(WEEKDAY(A13)=1,WEEKDAY(A13)=7,NOT(ISERROR(MATCH(A13,[1]Праздники!A:A,0)))),SUM(E13*225)*1.5,SUM(E13*225))</f>
        <v>0</v>
      </c>
      <c r="L13" s="92">
        <f>IF(OR(WEEKDAY(A13)=1,WEEKDAY(A13)=7,NOT(ISERROR(MATCH(A13,[1]Праздники!A:A,0)))),SUM(F13*225)*1.5,SUM(F13*225))</f>
        <v>0</v>
      </c>
      <c r="M13" s="92">
        <f t="shared" si="2"/>
        <v>20896.875</v>
      </c>
      <c r="N13" s="92">
        <f t="shared" si="3"/>
        <v>0</v>
      </c>
      <c r="O13" s="92">
        <f t="shared" si="4"/>
        <v>22888.125</v>
      </c>
      <c r="P13" s="2" t="str">
        <f>IF(OR(WEEKDAY(A13)=1,WEEKDAY(A13)=7,NOT(ISERROR(MATCH(A13,[1]Праздники!A:A,0)))),"Выходной","Рабочий")</f>
        <v>Рабочий</v>
      </c>
    </row>
    <row r="14" spans="1:19">
      <c r="A14" s="229">
        <v>46000</v>
      </c>
      <c r="B14" s="230"/>
      <c r="C14" s="98">
        <v>0</v>
      </c>
      <c r="D14" s="99">
        <v>0</v>
      </c>
      <c r="E14" s="99"/>
      <c r="F14" s="103"/>
      <c r="G14" s="90">
        <f t="shared" si="5"/>
        <v>1379.85</v>
      </c>
      <c r="H14" s="91"/>
      <c r="I14" s="92">
        <f t="shared" si="0"/>
        <v>0</v>
      </c>
      <c r="J14" s="92">
        <f t="shared" si="1"/>
        <v>0</v>
      </c>
      <c r="K14" s="92">
        <f>IF(OR(WEEKDAY(A14)=1,WEEKDAY(A14)=7,NOT(ISERROR(MATCH(A14,[1]Праздники!A:A,0)))),SUM(E14*225)*1.5,SUM(E14*225))</f>
        <v>0</v>
      </c>
      <c r="L14" s="92">
        <f>IF(OR(WEEKDAY(A14)=1,WEEKDAY(A14)=7,NOT(ISERROR(MATCH(A14,[1]Праздники!A:A,0)))),SUM(F14*225)*1.5,SUM(F14*225))</f>
        <v>0</v>
      </c>
      <c r="M14" s="92">
        <f t="shared" si="2"/>
        <v>20697.75</v>
      </c>
      <c r="N14" s="92">
        <f t="shared" si="3"/>
        <v>0</v>
      </c>
      <c r="O14" s="92">
        <f t="shared" si="4"/>
        <v>20697.75</v>
      </c>
      <c r="P14" s="2" t="str">
        <f>IF(OR(WEEKDAY(A14)=1,WEEKDAY(A14)=7,NOT(ISERROR(MATCH(A14,[1]Праздники!A:A,0)))),"Выходной","Рабочий")</f>
        <v>Рабочий</v>
      </c>
    </row>
    <row r="15" spans="1:19">
      <c r="A15" s="229">
        <v>46001</v>
      </c>
      <c r="B15" s="230"/>
      <c r="C15" s="98">
        <v>0</v>
      </c>
      <c r="D15" s="99">
        <v>0</v>
      </c>
      <c r="E15" s="99"/>
      <c r="F15" s="100"/>
      <c r="G15" s="90">
        <f t="shared" si="5"/>
        <v>1379.85</v>
      </c>
      <c r="H15" s="91"/>
      <c r="I15" s="92">
        <f t="shared" si="0"/>
        <v>0</v>
      </c>
      <c r="J15" s="92">
        <f t="shared" si="1"/>
        <v>0</v>
      </c>
      <c r="K15" s="92">
        <f>IF(OR(WEEKDAY(A15)=1,WEEKDAY(A15)=7,NOT(ISERROR(MATCH(A15,[1]Праздники!A:A,0)))),SUM(E15*225)*1.5,SUM(E15*225))</f>
        <v>0</v>
      </c>
      <c r="L15" s="92">
        <f>IF(OR(WEEKDAY(A15)=1,WEEKDAY(A15)=7,NOT(ISERROR(MATCH(A15,[1]Праздники!A:A,0)))),SUM(F15*225)*1.5,SUM(F15*225))</f>
        <v>0</v>
      </c>
      <c r="M15" s="92">
        <f t="shared" si="2"/>
        <v>20697.75</v>
      </c>
      <c r="N15" s="92">
        <f t="shared" si="3"/>
        <v>0</v>
      </c>
      <c r="O15" s="92">
        <f t="shared" si="4"/>
        <v>20697.75</v>
      </c>
      <c r="P15" s="2" t="str">
        <f>IF(OR(WEEKDAY(A15)=1,WEEKDAY(A15)=7,NOT(ISERROR(MATCH(A15,[1]Праздники!A:A,0)))),"Выходной","Рабочий")</f>
        <v>Рабочий</v>
      </c>
    </row>
    <row r="16" spans="1:19">
      <c r="A16" s="229">
        <v>46002</v>
      </c>
      <c r="B16" s="230"/>
      <c r="C16" s="98">
        <v>0</v>
      </c>
      <c r="D16" s="99">
        <v>17.350000000000001</v>
      </c>
      <c r="E16" s="99"/>
      <c r="F16" s="100"/>
      <c r="G16" s="90">
        <f t="shared" si="5"/>
        <v>1379.85</v>
      </c>
      <c r="H16" s="91"/>
      <c r="I16" s="92">
        <f t="shared" si="0"/>
        <v>0</v>
      </c>
      <c r="J16" s="92">
        <f t="shared" si="1"/>
        <v>2602.5</v>
      </c>
      <c r="K16" s="92">
        <f>IF(OR(WEEKDAY(A16)=1,WEEKDAY(A16)=7,NOT(ISERROR(MATCH(A16,[1]Праздники!A:A,0)))),SUM(E16*225)*1.5,SUM(E16*225))</f>
        <v>0</v>
      </c>
      <c r="L16" s="92">
        <f>IF(OR(WEEKDAY(A16)=1,WEEKDAY(A16)=7,NOT(ISERROR(MATCH(A16,[1]Праздники!A:A,0)))),SUM(F16*225)*1.5,SUM(F16*225))</f>
        <v>0</v>
      </c>
      <c r="M16" s="92">
        <f t="shared" si="2"/>
        <v>20697.75</v>
      </c>
      <c r="N16" s="92">
        <f t="shared" si="3"/>
        <v>0</v>
      </c>
      <c r="O16" s="92">
        <f t="shared" si="4"/>
        <v>23300.25</v>
      </c>
      <c r="P16" s="2" t="str">
        <f>IF(OR(WEEKDAY(A16)=1,WEEKDAY(A16)=7,NOT(ISERROR(MATCH(A16,[1]Праздники!A:A,0)))),"Выходной","Рабочий")</f>
        <v>Рабочий</v>
      </c>
    </row>
    <row r="17" spans="1:16">
      <c r="A17" s="229">
        <v>46003</v>
      </c>
      <c r="B17" s="230"/>
      <c r="C17" s="98">
        <v>0</v>
      </c>
      <c r="D17" s="99">
        <v>0</v>
      </c>
      <c r="E17" s="99"/>
      <c r="F17" s="100"/>
      <c r="G17" s="90">
        <f t="shared" si="5"/>
        <v>1362.5</v>
      </c>
      <c r="H17" s="91"/>
      <c r="I17" s="92">
        <f t="shared" si="0"/>
        <v>0</v>
      </c>
      <c r="J17" s="92">
        <f t="shared" si="1"/>
        <v>0</v>
      </c>
      <c r="K17" s="92">
        <f>IF(OR(WEEKDAY(A17)=1,WEEKDAY(A17)=7,NOT(ISERROR(MATCH(A17,[1]Праздники!A:A,0)))),SUM(E17*225)*1.5,SUM(E17*225))</f>
        <v>0</v>
      </c>
      <c r="L17" s="92">
        <f>IF(OR(WEEKDAY(A17)=1,WEEKDAY(A17)=7,NOT(ISERROR(MATCH(A17,[1]Праздники!A:A,0)))),SUM(F17*225)*1.5,SUM(F17*225))</f>
        <v>0</v>
      </c>
      <c r="M17" s="92">
        <f t="shared" si="2"/>
        <v>20437.5</v>
      </c>
      <c r="N17" s="92">
        <f t="shared" si="3"/>
        <v>0</v>
      </c>
      <c r="O17" s="92">
        <f t="shared" si="4"/>
        <v>20437.5</v>
      </c>
      <c r="P17" s="2" t="str">
        <f>IF(OR(WEEKDAY(A17)=1,WEEKDAY(A17)=7,NOT(ISERROR(MATCH(A17,[1]Праздники!A:A,0)))),"Выходной","Рабочий")</f>
        <v>Рабочий</v>
      </c>
    </row>
    <row r="18" spans="1:16">
      <c r="A18" s="229">
        <v>46004</v>
      </c>
      <c r="B18" s="230"/>
      <c r="C18" s="98">
        <v>0</v>
      </c>
      <c r="D18" s="99">
        <v>0</v>
      </c>
      <c r="E18" s="99"/>
      <c r="F18" s="100"/>
      <c r="G18" s="90">
        <f t="shared" si="5"/>
        <v>1362.5</v>
      </c>
      <c r="H18" s="91"/>
      <c r="I18" s="92">
        <f t="shared" si="0"/>
        <v>0</v>
      </c>
      <c r="J18" s="92">
        <f t="shared" si="1"/>
        <v>0</v>
      </c>
      <c r="K18" s="92">
        <f>IF(OR(WEEKDAY(A18)=1,WEEKDAY(A18)=7,NOT(ISERROR(MATCH(A18,[1]Праздники!A:A,0)))),SUM(E18*225)*1.5,SUM(E18*225))</f>
        <v>0</v>
      </c>
      <c r="L18" s="92">
        <f>IF(OR(WEEKDAY(A18)=1,WEEKDAY(A18)=7,NOT(ISERROR(MATCH(A18,[1]Праздники!A:A,0)))),SUM(F18*225)*1.5,SUM(F18*225))</f>
        <v>0</v>
      </c>
      <c r="M18" s="92">
        <f t="shared" si="2"/>
        <v>20437.5</v>
      </c>
      <c r="N18" s="92">
        <f t="shared" si="3"/>
        <v>0</v>
      </c>
      <c r="O18" s="92">
        <f t="shared" si="4"/>
        <v>20437.5</v>
      </c>
      <c r="P18" s="2" t="str">
        <f>IF(OR(WEEKDAY(A18)=1,WEEKDAY(A18)=7,NOT(ISERROR(MATCH(A18,[1]Праздники!A:A,0)))),"Выходной","Рабочий")</f>
        <v>Выходной</v>
      </c>
    </row>
    <row r="19" spans="1:16">
      <c r="A19" s="229">
        <v>46005</v>
      </c>
      <c r="B19" s="230"/>
      <c r="C19" s="98">
        <v>0</v>
      </c>
      <c r="D19" s="99">
        <v>0</v>
      </c>
      <c r="E19" s="99"/>
      <c r="F19" s="100"/>
      <c r="G19" s="90">
        <f t="shared" si="5"/>
        <v>1362.5</v>
      </c>
      <c r="H19" s="91"/>
      <c r="I19" s="92">
        <f t="shared" si="0"/>
        <v>0</v>
      </c>
      <c r="J19" s="92">
        <f t="shared" si="1"/>
        <v>0</v>
      </c>
      <c r="K19" s="92">
        <f>IF(OR(WEEKDAY(A19)=1,WEEKDAY(A19)=7,NOT(ISERROR(MATCH(A19,[1]Праздники!A:A,0)))),SUM(E19*225)*1.5,SUM(E19*225))</f>
        <v>0</v>
      </c>
      <c r="L19" s="92">
        <f>IF(OR(WEEKDAY(A19)=1,WEEKDAY(A19)=7,NOT(ISERROR(MATCH(A19,[1]Праздники!A:A,0)))),SUM(F19*225)*1.5,SUM(F19*225))</f>
        <v>0</v>
      </c>
      <c r="M19" s="92">
        <f t="shared" si="2"/>
        <v>20437.5</v>
      </c>
      <c r="N19" s="92">
        <f t="shared" si="3"/>
        <v>0</v>
      </c>
      <c r="O19" s="92">
        <f t="shared" si="4"/>
        <v>20437.5</v>
      </c>
      <c r="P19" s="2" t="str">
        <f>IF(OR(WEEKDAY(A19)=1,WEEKDAY(A19)=7,NOT(ISERROR(MATCH(A19,[1]Праздники!A:A,0)))),"Выходной","Рабочий")</f>
        <v>Выходной</v>
      </c>
    </row>
    <row r="20" spans="1:16">
      <c r="A20" s="229">
        <v>46006</v>
      </c>
      <c r="B20" s="230"/>
      <c r="C20" s="98">
        <v>0</v>
      </c>
      <c r="D20" s="99">
        <v>5.2249999999999996</v>
      </c>
      <c r="E20" s="99"/>
      <c r="F20" s="100"/>
      <c r="G20" s="90">
        <f t="shared" si="5"/>
        <v>1362.5</v>
      </c>
      <c r="H20" s="91"/>
      <c r="I20" s="92">
        <f t="shared" si="0"/>
        <v>0</v>
      </c>
      <c r="J20" s="92">
        <f t="shared" si="1"/>
        <v>783.75</v>
      </c>
      <c r="K20" s="92">
        <f>IF(OR(WEEKDAY(A20)=1,WEEKDAY(A20)=7,NOT(ISERROR(MATCH(A20,[1]Праздники!A:A,0)))),SUM(E20*225)*1.5,SUM(E20*225))</f>
        <v>0</v>
      </c>
      <c r="L20" s="92">
        <f>IF(OR(WEEKDAY(A20)=1,WEEKDAY(A20)=7,NOT(ISERROR(MATCH(A20,[1]Праздники!A:A,0)))),SUM(F20*225)*1.5,SUM(F20*225))</f>
        <v>0</v>
      </c>
      <c r="M20" s="92">
        <f t="shared" si="2"/>
        <v>20437.5</v>
      </c>
      <c r="N20" s="92">
        <f t="shared" si="3"/>
        <v>0</v>
      </c>
      <c r="O20" s="92">
        <f t="shared" si="4"/>
        <v>21221.25</v>
      </c>
      <c r="P20" s="2" t="str">
        <f>IF(OR(WEEKDAY(A20)=1,WEEKDAY(A20)=7,NOT(ISERROR(MATCH(A20,[1]Праздники!A:A,0)))),"Выходной","Рабочий")</f>
        <v>Рабочий</v>
      </c>
    </row>
    <row r="21" spans="1:16">
      <c r="A21" s="229">
        <v>46007</v>
      </c>
      <c r="B21" s="230"/>
      <c r="C21" s="98">
        <v>0</v>
      </c>
      <c r="D21" s="99">
        <v>0</v>
      </c>
      <c r="E21" s="99"/>
      <c r="F21" s="100"/>
      <c r="G21" s="90">
        <f t="shared" si="5"/>
        <v>1357.2750000000001</v>
      </c>
      <c r="H21" s="91"/>
      <c r="I21" s="92">
        <f t="shared" si="0"/>
        <v>0</v>
      </c>
      <c r="J21" s="92">
        <f t="shared" si="1"/>
        <v>0</v>
      </c>
      <c r="K21" s="92">
        <f>IF(OR(WEEKDAY(A21)=1,WEEKDAY(A21)=7,NOT(ISERROR(MATCH(A21,[1]Праздники!A:A,0)))),SUM(E21*225)*1.5,SUM(E21*225))</f>
        <v>0</v>
      </c>
      <c r="L21" s="92">
        <f>IF(OR(WEEKDAY(A21)=1,WEEKDAY(A21)=7,NOT(ISERROR(MATCH(A21,[1]Праздники!A:A,0)))),SUM(F21*225)*1.5,SUM(F21*225))</f>
        <v>0</v>
      </c>
      <c r="M21" s="92">
        <f t="shared" si="2"/>
        <v>20359.125</v>
      </c>
      <c r="N21" s="92">
        <f t="shared" si="3"/>
        <v>0</v>
      </c>
      <c r="O21" s="92">
        <f t="shared" si="4"/>
        <v>20359.125</v>
      </c>
      <c r="P21" s="2" t="str">
        <f>IF(OR(WEEKDAY(A21)=1,WEEKDAY(A21)=7,NOT(ISERROR(MATCH(A21,[1]Праздники!A:A,0)))),"Выходной","Рабочий")</f>
        <v>Рабочий</v>
      </c>
    </row>
    <row r="22" spans="1:16">
      <c r="A22" s="229">
        <v>46008</v>
      </c>
      <c r="B22" s="230"/>
      <c r="C22" s="98">
        <v>0</v>
      </c>
      <c r="D22" s="99">
        <v>0</v>
      </c>
      <c r="E22" s="99"/>
      <c r="F22" s="100"/>
      <c r="G22" s="90">
        <f t="shared" si="5"/>
        <v>1357.2750000000001</v>
      </c>
      <c r="H22" s="91"/>
      <c r="I22" s="92">
        <f t="shared" si="0"/>
        <v>0</v>
      </c>
      <c r="J22" s="92">
        <f t="shared" si="1"/>
        <v>0</v>
      </c>
      <c r="K22" s="92">
        <f>IF(OR(WEEKDAY(A22)=1,WEEKDAY(A22)=7,NOT(ISERROR(MATCH(A22,[1]Праздники!A:A,0)))),SUM(E22*225)*1.5,SUM(E22*225))</f>
        <v>0</v>
      </c>
      <c r="L22" s="92">
        <f>IF(OR(WEEKDAY(A22)=1,WEEKDAY(A22)=7,NOT(ISERROR(MATCH(A22,[1]Праздники!A:A,0)))),SUM(F22*225)*1.5,SUM(F22*225))</f>
        <v>0</v>
      </c>
      <c r="M22" s="92">
        <f t="shared" si="2"/>
        <v>20359.125</v>
      </c>
      <c r="N22" s="92">
        <f t="shared" si="3"/>
        <v>0</v>
      </c>
      <c r="O22" s="92">
        <f t="shared" si="4"/>
        <v>20359.125</v>
      </c>
      <c r="P22" s="2" t="str">
        <f>IF(OR(WEEKDAY(A22)=1,WEEKDAY(A22)=7,NOT(ISERROR(MATCH(A22,[1]Праздники!A:A,0)))),"Выходной","Рабочий")</f>
        <v>Рабочий</v>
      </c>
    </row>
    <row r="23" spans="1:16">
      <c r="A23" s="229">
        <v>46009</v>
      </c>
      <c r="B23" s="230"/>
      <c r="C23" s="98">
        <v>0</v>
      </c>
      <c r="D23" s="99">
        <v>44</v>
      </c>
      <c r="E23" s="99"/>
      <c r="F23" s="100"/>
      <c r="G23" s="90">
        <f t="shared" si="5"/>
        <v>1357.2750000000001</v>
      </c>
      <c r="H23" s="91"/>
      <c r="I23" s="92">
        <f t="shared" si="0"/>
        <v>0</v>
      </c>
      <c r="J23" s="92">
        <f t="shared" si="1"/>
        <v>6600</v>
      </c>
      <c r="K23" s="92">
        <f>IF(OR(WEEKDAY(A23)=1,WEEKDAY(A23)=7,NOT(ISERROR(MATCH(A23,[1]Праздники!A:A,0)))),SUM(E23*225)*1.5,SUM(E23*225))</f>
        <v>0</v>
      </c>
      <c r="L23" s="92">
        <f>IF(OR(WEEKDAY(A23)=1,WEEKDAY(A23)=7,NOT(ISERROR(MATCH(A23,[1]Праздники!A:A,0)))),SUM(F23*225)*1.5,SUM(F23*225))</f>
        <v>0</v>
      </c>
      <c r="M23" s="92">
        <f t="shared" si="2"/>
        <v>20359.125</v>
      </c>
      <c r="N23" s="92">
        <f t="shared" si="3"/>
        <v>0</v>
      </c>
      <c r="O23" s="92">
        <f t="shared" si="4"/>
        <v>26959.125</v>
      </c>
      <c r="P23" s="2" t="str">
        <f>IF(OR(WEEKDAY(A23)=1,WEEKDAY(A23)=7,NOT(ISERROR(MATCH(A23,[1]Праздники!A:A,0)))),"Выходной","Рабочий")</f>
        <v>Рабочий</v>
      </c>
    </row>
    <row r="24" spans="1:16">
      <c r="A24" s="229">
        <v>46010</v>
      </c>
      <c r="B24" s="230"/>
      <c r="C24" s="98">
        <v>0</v>
      </c>
      <c r="D24" s="99">
        <v>0</v>
      </c>
      <c r="E24" s="99"/>
      <c r="F24" s="100"/>
      <c r="G24" s="90">
        <f t="shared" si="5"/>
        <v>1313.2750000000001</v>
      </c>
      <c r="H24" s="91"/>
      <c r="I24" s="92">
        <f t="shared" si="0"/>
        <v>0</v>
      </c>
      <c r="J24" s="92">
        <f t="shared" si="1"/>
        <v>0</v>
      </c>
      <c r="K24" s="92">
        <f>IF(OR(WEEKDAY(A24)=1,WEEKDAY(A24)=7,NOT(ISERROR(MATCH(A24,[1]Праздники!A:A,0)))),SUM(E24*225)*1.5,SUM(E24*225))</f>
        <v>0</v>
      </c>
      <c r="L24" s="92">
        <f>IF(OR(WEEKDAY(A24)=1,WEEKDAY(A24)=7,NOT(ISERROR(MATCH(A24,[1]Праздники!A:A,0)))),SUM(F24*225)*1.5,SUM(F24*225))</f>
        <v>0</v>
      </c>
      <c r="M24" s="92">
        <f t="shared" si="2"/>
        <v>19699.125</v>
      </c>
      <c r="N24" s="92">
        <f t="shared" si="3"/>
        <v>0</v>
      </c>
      <c r="O24" s="92">
        <f t="shared" si="4"/>
        <v>19699.125</v>
      </c>
      <c r="P24" s="2" t="str">
        <f>IF(OR(WEEKDAY(A24)=1,WEEKDAY(A24)=7,NOT(ISERROR(MATCH(A24,[1]Праздники!A:A,0)))),"Выходной","Рабочий")</f>
        <v>Рабочий</v>
      </c>
    </row>
    <row r="25" spans="1:16">
      <c r="A25" s="229">
        <v>46011</v>
      </c>
      <c r="B25" s="230"/>
      <c r="C25" s="98">
        <v>0</v>
      </c>
      <c r="D25" s="99">
        <v>0</v>
      </c>
      <c r="E25" s="99"/>
      <c r="F25" s="100"/>
      <c r="G25" s="90">
        <f t="shared" si="5"/>
        <v>1313.2750000000001</v>
      </c>
      <c r="H25" s="91"/>
      <c r="I25" s="92">
        <f t="shared" si="0"/>
        <v>0</v>
      </c>
      <c r="J25" s="92">
        <f t="shared" si="1"/>
        <v>0</v>
      </c>
      <c r="K25" s="92">
        <f>IF(OR(WEEKDAY(A25)=1,WEEKDAY(A25)=7,NOT(ISERROR(MATCH(A25,[1]Праздники!A:A,0)))),SUM(E25*225)*1.5,SUM(E25*225))</f>
        <v>0</v>
      </c>
      <c r="L25" s="92">
        <f>IF(OR(WEEKDAY(A25)=1,WEEKDAY(A25)=7,NOT(ISERROR(MATCH(A25,[1]Праздники!A:A,0)))),SUM(F25*225)*1.5,SUM(F25*225))</f>
        <v>0</v>
      </c>
      <c r="M25" s="92">
        <f t="shared" si="2"/>
        <v>19699.125</v>
      </c>
      <c r="N25" s="92">
        <f t="shared" si="3"/>
        <v>0</v>
      </c>
      <c r="O25" s="92">
        <f t="shared" si="4"/>
        <v>19699.125</v>
      </c>
      <c r="P25" s="2" t="str">
        <f>IF(OR(WEEKDAY(A25)=1,WEEKDAY(A25)=7,NOT(ISERROR(MATCH(A25,[1]Праздники!A:A,0)))),"Выходной","Рабочий")</f>
        <v>Выходной</v>
      </c>
    </row>
    <row r="26" spans="1:16">
      <c r="A26" s="229">
        <v>46012</v>
      </c>
      <c r="B26" s="230"/>
      <c r="C26" s="98">
        <v>0</v>
      </c>
      <c r="D26" s="99">
        <v>0</v>
      </c>
      <c r="E26" s="104"/>
      <c r="F26" s="100"/>
      <c r="G26" s="90">
        <f t="shared" si="5"/>
        <v>1313.2750000000001</v>
      </c>
      <c r="H26" s="91"/>
      <c r="I26" s="92">
        <f t="shared" si="0"/>
        <v>0</v>
      </c>
      <c r="J26" s="92">
        <f t="shared" si="1"/>
        <v>0</v>
      </c>
      <c r="K26" s="92">
        <f>IF(OR(WEEKDAY(A26)=1,WEEKDAY(A26)=7,NOT(ISERROR(MATCH(A26,[1]Праздники!A:A,0)))),SUM(E26*225)*1.5,SUM(E26*225))</f>
        <v>0</v>
      </c>
      <c r="L26" s="92">
        <f>IF(OR(WEEKDAY(A26)=1,WEEKDAY(A26)=7,NOT(ISERROR(MATCH(A26,[1]Праздники!A:A,0)))),SUM(F26*225)*1.5,SUM(F26*225))</f>
        <v>0</v>
      </c>
      <c r="M26" s="92">
        <f t="shared" si="2"/>
        <v>19699.125</v>
      </c>
      <c r="N26" s="92">
        <f t="shared" si="3"/>
        <v>0</v>
      </c>
      <c r="O26" s="92">
        <f t="shared" si="4"/>
        <v>19699.125</v>
      </c>
      <c r="P26" s="2" t="str">
        <f>IF(OR(WEEKDAY(A26)=1,WEEKDAY(A26)=7,NOT(ISERROR(MATCH(A26,[1]Праздники!A:A,0)))),"Выходной","Рабочий")</f>
        <v>Выходной</v>
      </c>
    </row>
    <row r="27" spans="1:16" ht="15" customHeight="1">
      <c r="A27" s="229">
        <v>46013</v>
      </c>
      <c r="B27" s="230"/>
      <c r="C27" s="98">
        <v>0</v>
      </c>
      <c r="D27" s="99">
        <v>9.625</v>
      </c>
      <c r="E27" s="99"/>
      <c r="F27" s="103"/>
      <c r="G27" s="90">
        <f t="shared" si="5"/>
        <v>1313.2750000000001</v>
      </c>
      <c r="H27" s="91"/>
      <c r="I27" s="92">
        <f t="shared" si="0"/>
        <v>0</v>
      </c>
      <c r="J27" s="92">
        <f t="shared" si="1"/>
        <v>1443.75</v>
      </c>
      <c r="K27" s="92">
        <f>IF(OR(WEEKDAY(A27)=1,WEEKDAY(A27)=7,NOT(ISERROR(MATCH(A27,[1]Праздники!A:A,0)))),SUM(E27*225)*1.5,SUM(E27*225))</f>
        <v>0</v>
      </c>
      <c r="L27" s="92">
        <f>IF(OR(WEEKDAY(A27)=1,WEEKDAY(A27)=7,NOT(ISERROR(MATCH(A27,[1]Праздники!A:A,0)))),SUM(F27*225)*1.5,SUM(F27*225))</f>
        <v>0</v>
      </c>
      <c r="M27" s="92">
        <f t="shared" si="2"/>
        <v>19699.125</v>
      </c>
      <c r="N27" s="92">
        <f t="shared" si="3"/>
        <v>0</v>
      </c>
      <c r="O27" s="92">
        <f t="shared" si="4"/>
        <v>21142.875</v>
      </c>
      <c r="P27" s="2" t="str">
        <f>IF(OR(WEEKDAY(A27)=1,WEEKDAY(A27)=7,NOT(ISERROR(MATCH(A27,[1]Праздники!A:A,0)))),"Выходной","Рабочий")</f>
        <v>Рабочий</v>
      </c>
    </row>
    <row r="28" spans="1:16">
      <c r="A28" s="229">
        <v>46014</v>
      </c>
      <c r="B28" s="230"/>
      <c r="C28" s="98">
        <v>0</v>
      </c>
      <c r="D28" s="99">
        <v>87.375</v>
      </c>
      <c r="E28" s="99"/>
      <c r="F28" s="100"/>
      <c r="G28" s="90">
        <f t="shared" si="5"/>
        <v>1303.6500000000001</v>
      </c>
      <c r="H28" s="91"/>
      <c r="I28" s="92">
        <f t="shared" si="0"/>
        <v>0</v>
      </c>
      <c r="J28" s="92">
        <f t="shared" si="1"/>
        <v>13106.25</v>
      </c>
      <c r="K28" s="92">
        <f>IF(OR(WEEKDAY(A28)=1,WEEKDAY(A28)=7,NOT(ISERROR(MATCH(A28,[1]Праздники!A:A,0)))),SUM(E28*225)*1.5,SUM(E28*225))</f>
        <v>0</v>
      </c>
      <c r="L28" s="92">
        <f>IF(OR(WEEKDAY(A28)=1,WEEKDAY(A28)=7,NOT(ISERROR(MATCH(A28,[1]Праздники!A:A,0)))),SUM(F28*225)*1.5,SUM(F28*225))</f>
        <v>0</v>
      </c>
      <c r="M28" s="92">
        <f t="shared" si="2"/>
        <v>19554.75</v>
      </c>
      <c r="N28" s="92">
        <f t="shared" si="3"/>
        <v>0</v>
      </c>
      <c r="O28" s="92">
        <f t="shared" si="4"/>
        <v>32661</v>
      </c>
      <c r="P28" s="2" t="str">
        <f>IF(OR(WEEKDAY(A28)=1,WEEKDAY(A28)=7,NOT(ISERROR(MATCH(A28,[1]Праздники!A:A,0)))),"Выходной","Рабочий")</f>
        <v>Рабочий</v>
      </c>
    </row>
    <row r="29" spans="1:16">
      <c r="A29" s="229">
        <v>46015</v>
      </c>
      <c r="B29" s="230"/>
      <c r="C29" s="98">
        <v>0</v>
      </c>
      <c r="D29" s="99">
        <v>108.7</v>
      </c>
      <c r="E29" s="99"/>
      <c r="F29" s="100"/>
      <c r="G29" s="90">
        <f t="shared" si="5"/>
        <v>1216.2750000000001</v>
      </c>
      <c r="H29" s="91"/>
      <c r="I29" s="92">
        <f t="shared" si="0"/>
        <v>0</v>
      </c>
      <c r="J29" s="92">
        <f t="shared" si="1"/>
        <v>16305</v>
      </c>
      <c r="K29" s="92">
        <f>IF(OR(WEEKDAY(A29)=1,WEEKDAY(A29)=7,NOT(ISERROR(MATCH(A29,[1]Праздники!A:A,0)))),SUM(E29*225)*1.5,SUM(E29*225))</f>
        <v>0</v>
      </c>
      <c r="L29" s="92">
        <f>IF(OR(WEEKDAY(A29)=1,WEEKDAY(A29)=7,NOT(ISERROR(MATCH(A29,[1]Праздники!A:A,0)))),SUM(F29*225)*1.5,SUM(F29*225))</f>
        <v>0</v>
      </c>
      <c r="M29" s="92">
        <f t="shared" si="2"/>
        <v>18244.125</v>
      </c>
      <c r="N29" s="92">
        <f t="shared" si="3"/>
        <v>0</v>
      </c>
      <c r="O29" s="92">
        <f t="shared" si="4"/>
        <v>34549.125</v>
      </c>
      <c r="P29" s="2" t="str">
        <f>IF(OR(WEEKDAY(A29)=1,WEEKDAY(A29)=7,NOT(ISERROR(MATCH(A29,[1]Праздники!A:A,0)))),"Выходной","Рабочий")</f>
        <v>Рабочий</v>
      </c>
    </row>
    <row r="30" spans="1:16">
      <c r="A30" s="229">
        <v>46016</v>
      </c>
      <c r="B30" s="230"/>
      <c r="C30" s="98">
        <v>0</v>
      </c>
      <c r="D30" s="99">
        <v>88</v>
      </c>
      <c r="E30" s="99"/>
      <c r="F30" s="100"/>
      <c r="G30" s="90">
        <f t="shared" si="5"/>
        <v>1107.575</v>
      </c>
      <c r="H30" s="91"/>
      <c r="I30" s="92">
        <f t="shared" si="0"/>
        <v>0</v>
      </c>
      <c r="J30" s="92">
        <f t="shared" si="1"/>
        <v>13200</v>
      </c>
      <c r="K30" s="92">
        <f>IF(OR(WEEKDAY(A30)=1,WEEKDAY(A30)=7,NOT(ISERROR(MATCH(A30,[1]Праздники!A:A,0)))),SUM(E30*225)*1.5,SUM(E30*225))</f>
        <v>0</v>
      </c>
      <c r="L30" s="92">
        <f>IF(OR(WEEKDAY(A30)=1,WEEKDAY(A30)=7,NOT(ISERROR(MATCH(A30,[1]Праздники!A:A,0)))),SUM(F30*225)*1.5,SUM(F30*225))</f>
        <v>0</v>
      </c>
      <c r="M30" s="92">
        <f t="shared" si="2"/>
        <v>16613.625</v>
      </c>
      <c r="N30" s="92">
        <f t="shared" si="3"/>
        <v>0</v>
      </c>
      <c r="O30" s="92">
        <f t="shared" si="4"/>
        <v>29813.625</v>
      </c>
      <c r="P30" s="2" t="str">
        <f>IF(OR(WEEKDAY(A30)=1,WEEKDAY(A30)=7,NOT(ISERROR(MATCH(A30,[1]Праздники!A:A,0)))),"Выходной","Рабочий")</f>
        <v>Рабочий</v>
      </c>
    </row>
    <row r="31" spans="1:16">
      <c r="A31" s="229">
        <v>46017</v>
      </c>
      <c r="B31" s="230"/>
      <c r="C31" s="98">
        <v>0</v>
      </c>
      <c r="D31" s="99">
        <v>33</v>
      </c>
      <c r="E31" s="99"/>
      <c r="F31" s="100"/>
      <c r="G31" s="90">
        <f t="shared" si="5"/>
        <v>1019.575</v>
      </c>
      <c r="H31" s="91"/>
      <c r="I31" s="92">
        <f t="shared" si="0"/>
        <v>0</v>
      </c>
      <c r="J31" s="92">
        <f t="shared" si="1"/>
        <v>4950</v>
      </c>
      <c r="K31" s="92">
        <f>IF(OR(WEEKDAY(A31)=1,WEEKDAY(A31)=7,NOT(ISERROR(MATCH(A31,[1]Праздники!A:A,0)))),SUM(E31*225)*1.5,SUM(E31*225))</f>
        <v>0</v>
      </c>
      <c r="L31" s="92">
        <f>IF(OR(WEEKDAY(A31)=1,WEEKDAY(A31)=7,NOT(ISERROR(MATCH(A31,[1]Праздники!A:A,0)))),SUM(F31*225)*1.5,SUM(F31*225))</f>
        <v>0</v>
      </c>
      <c r="M31" s="92">
        <f t="shared" si="2"/>
        <v>15293.625</v>
      </c>
      <c r="N31" s="92">
        <f t="shared" si="3"/>
        <v>0</v>
      </c>
      <c r="O31" s="92">
        <f t="shared" si="4"/>
        <v>20243.625</v>
      </c>
      <c r="P31" s="2" t="str">
        <f>IF(OR(WEEKDAY(A31)=1,WEEKDAY(A31)=7,NOT(ISERROR(MATCH(A31,[1]Праздники!A:A,0)))),"Выходной","Рабочий")</f>
        <v>Рабочий</v>
      </c>
    </row>
    <row r="32" spans="1:16">
      <c r="A32" s="229">
        <v>46018</v>
      </c>
      <c r="B32" s="230"/>
      <c r="C32" s="98">
        <v>0</v>
      </c>
      <c r="D32" s="99">
        <v>5.625</v>
      </c>
      <c r="E32" s="99"/>
      <c r="F32" s="100"/>
      <c r="G32" s="90">
        <f t="shared" si="5"/>
        <v>986.57500000000005</v>
      </c>
      <c r="H32" s="91"/>
      <c r="I32" s="92">
        <f t="shared" si="0"/>
        <v>0</v>
      </c>
      <c r="J32" s="92">
        <f t="shared" si="1"/>
        <v>1265.625</v>
      </c>
      <c r="K32" s="92">
        <f>IF(OR(WEEKDAY(A32)=1,WEEKDAY(A32)=7,NOT(ISERROR(MATCH(A32,[1]Праздники!A:A,0)))),SUM(E32*225)*1.5,SUM(E32*225))</f>
        <v>0</v>
      </c>
      <c r="L32" s="92">
        <f>IF(OR(WEEKDAY(A32)=1,WEEKDAY(A32)=7,NOT(ISERROR(MATCH(A32,[1]Праздники!A:A,0)))),SUM(F32*225)*1.5,SUM(F32*225))</f>
        <v>0</v>
      </c>
      <c r="M32" s="92">
        <f t="shared" si="2"/>
        <v>14798.625</v>
      </c>
      <c r="N32" s="92">
        <f t="shared" si="3"/>
        <v>0</v>
      </c>
      <c r="O32" s="92">
        <f t="shared" si="4"/>
        <v>16064.25</v>
      </c>
      <c r="P32" s="2" t="str">
        <f>IF(OR(WEEKDAY(A32)=1,WEEKDAY(A32)=7,NOT(ISERROR(MATCH(A32,[1]Праздники!A:A,0)))),"Выходной","Рабочий")</f>
        <v>Выходной</v>
      </c>
    </row>
    <row r="33" spans="1:17">
      <c r="A33" s="229">
        <v>46019</v>
      </c>
      <c r="B33" s="230"/>
      <c r="C33" s="98">
        <v>0</v>
      </c>
      <c r="D33" s="99">
        <v>85</v>
      </c>
      <c r="E33" s="99"/>
      <c r="F33" s="100"/>
      <c r="G33" s="90">
        <f t="shared" si="5"/>
        <v>980.95</v>
      </c>
      <c r="H33" s="91"/>
      <c r="I33" s="92">
        <f t="shared" si="0"/>
        <v>0</v>
      </c>
      <c r="J33" s="92">
        <f t="shared" si="1"/>
        <v>19125</v>
      </c>
      <c r="K33" s="92">
        <f>IF(OR(WEEKDAY(A33)=1,WEEKDAY(A33)=7,NOT(ISERROR(MATCH(A33,[1]Праздники!A:A,0)))),SUM(E33*225)*1.5,SUM(E33*225))</f>
        <v>0</v>
      </c>
      <c r="L33" s="92">
        <f>IF(OR(WEEKDAY(A33)=1,WEEKDAY(A33)=7,NOT(ISERROR(MATCH(A33,[1]Праздники!A:A,0)))),SUM(F33*225)*1.5,SUM(F33*225))</f>
        <v>0</v>
      </c>
      <c r="M33" s="92">
        <f t="shared" si="2"/>
        <v>14714.25</v>
      </c>
      <c r="N33" s="92">
        <f t="shared" si="3"/>
        <v>0</v>
      </c>
      <c r="O33" s="92">
        <f t="shared" si="4"/>
        <v>33839.25</v>
      </c>
      <c r="P33" s="2" t="str">
        <f>IF(OR(WEEKDAY(A33)=1,WEEKDAY(A33)=7,NOT(ISERROR(MATCH(A33,[1]Праздники!A:A,0)))),"Выходной","Рабочий")</f>
        <v>Выходной</v>
      </c>
    </row>
    <row r="34" spans="1:17">
      <c r="A34" s="229">
        <v>46020</v>
      </c>
      <c r="B34" s="230"/>
      <c r="C34" s="98">
        <v>0</v>
      </c>
      <c r="D34" s="99">
        <v>11</v>
      </c>
      <c r="E34" s="99"/>
      <c r="F34" s="100"/>
      <c r="G34" s="90">
        <f t="shared" si="5"/>
        <v>895.95</v>
      </c>
      <c r="H34" s="91"/>
      <c r="I34" s="92">
        <f t="shared" si="0"/>
        <v>0</v>
      </c>
      <c r="J34" s="92">
        <f t="shared" si="1"/>
        <v>1650</v>
      </c>
      <c r="K34" s="92">
        <f>IF(OR(WEEKDAY(A34)=1,WEEKDAY(A34)=7,NOT(ISERROR(MATCH(A34,[1]Праздники!A:A,0)))),SUM(E34*225)*1.5,SUM(E34*225))</f>
        <v>0</v>
      </c>
      <c r="L34" s="92">
        <f>IF(OR(WEEKDAY(A34)=1,WEEKDAY(A34)=7,NOT(ISERROR(MATCH(A34,[1]Праздники!A:A,0)))),SUM(F34*225)*1.5,SUM(F34*225))</f>
        <v>0</v>
      </c>
      <c r="M34" s="92">
        <f t="shared" si="2"/>
        <v>13439.25</v>
      </c>
      <c r="N34" s="92">
        <f t="shared" si="3"/>
        <v>0</v>
      </c>
      <c r="O34" s="92">
        <f t="shared" si="4"/>
        <v>15089.25</v>
      </c>
      <c r="P34" s="2" t="str">
        <f>IF(OR(WEEKDAY(A34)=1,WEEKDAY(A34)=7,NOT(ISERROR(MATCH(A34,[1]Праздники!A:A,0)))),"Выходной","Рабочий")</f>
        <v>Рабочий</v>
      </c>
    </row>
    <row r="35" spans="1:17">
      <c r="A35" s="229">
        <v>46021</v>
      </c>
      <c r="B35" s="230"/>
      <c r="C35" s="98">
        <v>0</v>
      </c>
      <c r="D35" s="99">
        <v>1.7250000000000001</v>
      </c>
      <c r="E35" s="90"/>
      <c r="F35" s="100"/>
      <c r="G35" s="90">
        <f t="shared" si="5"/>
        <v>884.95</v>
      </c>
      <c r="H35" s="91"/>
      <c r="I35" s="92">
        <f t="shared" si="0"/>
        <v>0</v>
      </c>
      <c r="J35" s="92">
        <f t="shared" si="1"/>
        <v>258.75</v>
      </c>
      <c r="K35" s="92">
        <f>IF(OR(WEEKDAY(A35)=1,WEEKDAY(A35)=7,NOT(ISERROR(MATCH(A35,[1]Праздники!A:A,0)))),SUM(E35*225)*1.5,SUM(E35*225))</f>
        <v>0</v>
      </c>
      <c r="L35" s="92">
        <f>IF(OR(WEEKDAY(A35)=1,WEEKDAY(A35)=7,NOT(ISERROR(MATCH(A35,[1]Праздники!A:A,0)))),SUM(F35*225)*1.5,SUM(F35*225))</f>
        <v>0</v>
      </c>
      <c r="M35" s="92">
        <f t="shared" si="2"/>
        <v>13274.25</v>
      </c>
      <c r="N35" s="92">
        <f t="shared" si="3"/>
        <v>0</v>
      </c>
      <c r="O35" s="92">
        <f t="shared" si="4"/>
        <v>13533</v>
      </c>
      <c r="P35" s="2" t="str">
        <f>IF(OR(WEEKDAY(A35)=1,WEEKDAY(A35)=7,NOT(ISERROR(MATCH(A35,[1]Праздники!A:A,0)))),"Выходной","Рабочий")</f>
        <v>Рабочий</v>
      </c>
    </row>
    <row r="36" spans="1:17" ht="15.75" thickBot="1">
      <c r="A36" s="229">
        <v>46022</v>
      </c>
      <c r="B36" s="230"/>
      <c r="C36" s="98">
        <v>0</v>
      </c>
      <c r="D36" s="99">
        <v>0</v>
      </c>
      <c r="E36" s="90"/>
      <c r="F36" s="100"/>
      <c r="G36" s="90">
        <f t="shared" si="5"/>
        <v>883.22500000000002</v>
      </c>
      <c r="H36" s="91"/>
      <c r="I36" s="92">
        <f t="shared" si="0"/>
        <v>0</v>
      </c>
      <c r="J36" s="92">
        <f t="shared" si="1"/>
        <v>0</v>
      </c>
      <c r="K36" s="92">
        <f>IF(OR(WEEKDAY(A36)=1,WEEKDAY(A36)=7,NOT(ISERROR(MATCH(A36,[1]Праздники!A:A,0)))),SUM(E36*225)*1.5,SUM(E36*225))</f>
        <v>0</v>
      </c>
      <c r="L36" s="92">
        <f>IF(OR(WEEKDAY(A36)=1,WEEKDAY(A36)=7,NOT(ISERROR(MATCH(A36,[1]Праздники!A:A,0)))),SUM(F36*225)*1.5,SUM(F36*225))</f>
        <v>0</v>
      </c>
      <c r="M36" s="92">
        <f t="shared" si="2"/>
        <v>13248.375</v>
      </c>
      <c r="N36" s="92">
        <f t="shared" si="3"/>
        <v>0</v>
      </c>
      <c r="O36" s="92">
        <f t="shared" ref="O36" si="6">SUM(I36:N36)</f>
        <v>13248.375</v>
      </c>
      <c r="P36" s="2" t="str">
        <f>IF(OR(WEEKDAY(A36)=1,WEEKDAY(A36)=7,NOT(ISERROR(MATCH(A36,[1]Праздники!A:A,0)))),"Выходной","Рабочий")</f>
        <v>Выходной</v>
      </c>
    </row>
    <row r="37" spans="1:17" ht="15.75" thickBot="1">
      <c r="C37" s="93">
        <f>SUM(C6:C36)</f>
        <v>0</v>
      </c>
      <c r="D37" s="93">
        <f t="shared" ref="D37:O37" si="7">SUM(D6:D36)</f>
        <v>511.07000000000005</v>
      </c>
      <c r="E37" s="93">
        <f t="shared" si="7"/>
        <v>0</v>
      </c>
      <c r="F37" s="93">
        <f t="shared" si="7"/>
        <v>0</v>
      </c>
      <c r="G37" s="93">
        <f t="shared" si="7"/>
        <v>39341.71</v>
      </c>
      <c r="H37" s="105">
        <f t="shared" si="7"/>
        <v>0</v>
      </c>
      <c r="I37" s="94">
        <f t="shared" si="7"/>
        <v>0</v>
      </c>
      <c r="J37" s="94">
        <f t="shared" si="7"/>
        <v>83457.375</v>
      </c>
      <c r="K37" s="94">
        <f t="shared" si="7"/>
        <v>0</v>
      </c>
      <c r="L37" s="94">
        <f t="shared" si="7"/>
        <v>0</v>
      </c>
      <c r="M37" s="94">
        <f t="shared" si="7"/>
        <v>590125.65</v>
      </c>
      <c r="N37" s="94">
        <f t="shared" si="7"/>
        <v>0</v>
      </c>
      <c r="O37" s="95">
        <f t="shared" si="7"/>
        <v>673583.02500000002</v>
      </c>
    </row>
    <row r="38" spans="1:17" ht="15.75" thickBot="1">
      <c r="G38" s="89"/>
      <c r="L38" s="18"/>
      <c r="M38" s="89"/>
      <c r="N38" s="105" t="s">
        <v>116</v>
      </c>
      <c r="O38" s="96">
        <f>O37*1.2</f>
        <v>808299.63</v>
      </c>
      <c r="Q38" s="97"/>
    </row>
    <row r="39" spans="1:17">
      <c r="G39" s="89"/>
      <c r="M39" s="89"/>
    </row>
    <row r="40" spans="1:17">
      <c r="G40" s="89"/>
      <c r="M40" s="89"/>
    </row>
  </sheetData>
  <mergeCells count="44">
    <mergeCell ref="E4:E5"/>
    <mergeCell ref="F4:F5"/>
    <mergeCell ref="H4:H5"/>
    <mergeCell ref="A16:B16"/>
    <mergeCell ref="O4:O5"/>
    <mergeCell ref="A6:B6"/>
    <mergeCell ref="A7:B7"/>
    <mergeCell ref="A8:B8"/>
    <mergeCell ref="A9:B9"/>
    <mergeCell ref="A10:B10"/>
    <mergeCell ref="I4:I5"/>
    <mergeCell ref="J4:J5"/>
    <mergeCell ref="K4:K5"/>
    <mergeCell ref="L4:L5"/>
    <mergeCell ref="M4:M5"/>
    <mergeCell ref="N4:N5"/>
    <mergeCell ref="A4:B5"/>
    <mergeCell ref="C4:C5"/>
    <mergeCell ref="D4:D5"/>
    <mergeCell ref="A11:B11"/>
    <mergeCell ref="A12:B12"/>
    <mergeCell ref="A13:B13"/>
    <mergeCell ref="A14:B14"/>
    <mergeCell ref="A15:B15"/>
    <mergeCell ref="A28:B28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35:B35"/>
    <mergeCell ref="A36:B36"/>
    <mergeCell ref="A29:B29"/>
    <mergeCell ref="A30:B30"/>
    <mergeCell ref="A31:B31"/>
    <mergeCell ref="A32:B32"/>
    <mergeCell ref="A33:B33"/>
    <mergeCell ref="A34:B34"/>
  </mergeCells>
  <pageMargins left="0.7" right="0.7" top="0.75" bottom="0.75" header="0.3" footer="0.3"/>
  <pageSetup paperSize="9" scale="64" fitToHeight="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48F1F-9C95-4CF3-A8BD-5756F2494935}">
  <sheetPr codeName="Лист8">
    <pageSetUpPr fitToPage="1"/>
  </sheetPr>
  <dimension ref="A1:S40"/>
  <sheetViews>
    <sheetView workbookViewId="0">
      <selection activeCell="G6" sqref="G6"/>
    </sheetView>
  </sheetViews>
  <sheetFormatPr defaultRowHeight="15"/>
  <cols>
    <col min="1" max="2" width="8.796875" style="2"/>
    <col min="3" max="3" width="6.8984375" style="2" bestFit="1" customWidth="1"/>
    <col min="4" max="6" width="8.796875" style="2"/>
    <col min="7" max="7" width="7.3984375" style="2" bestFit="1" customWidth="1"/>
    <col min="8" max="8" width="8.796875" style="2"/>
    <col min="9" max="9" width="8.8984375" style="2" customWidth="1"/>
    <col min="10" max="10" width="9.19921875" style="2" bestFit="1" customWidth="1"/>
    <col min="11" max="12" width="6.5" style="2" bestFit="1" customWidth="1"/>
    <col min="13" max="13" width="10.5" style="2" customWidth="1"/>
    <col min="14" max="14" width="6.5" style="2" bestFit="1" customWidth="1"/>
    <col min="15" max="15" width="11.19921875" style="2" customWidth="1"/>
    <col min="16" max="16" width="8.796875" style="2"/>
    <col min="17" max="17" width="12.796875" style="2" customWidth="1"/>
    <col min="18" max="16384" width="8.796875" style="2"/>
  </cols>
  <sheetData>
    <row r="1" spans="1:19">
      <c r="M1" s="89"/>
      <c r="Q1" s="79"/>
      <c r="R1" s="79" t="s">
        <v>106</v>
      </c>
      <c r="S1" s="79" t="s">
        <v>107</v>
      </c>
    </row>
    <row r="2" spans="1:19">
      <c r="M2" s="89"/>
      <c r="Q2" s="79" t="s">
        <v>108</v>
      </c>
      <c r="R2" s="79">
        <f>SUMIF($P$6:$P$36,R$1,$C6:$C36)</f>
        <v>676.23</v>
      </c>
      <c r="S2" s="79">
        <f>SUMIF($P$6:$P$36,S$1,$C6:$C36)</f>
        <v>723</v>
      </c>
    </row>
    <row r="3" spans="1:19" ht="21">
      <c r="A3" s="77" t="str">
        <f>"Отчет по хранению  товара  РВ " &amp; TEXT(A6,"ММММ ") &amp; YEAR(A6) &amp; " Березовая Пойма"</f>
        <v>Отчет по хранению  товара  РВ Май 2025 Березовая Пойма</v>
      </c>
      <c r="G3" s="89"/>
      <c r="M3" s="89"/>
      <c r="Q3" s="79" t="s">
        <v>96</v>
      </c>
      <c r="R3" s="79">
        <f>SUMIF($P$6:$P$36,R$1,$D6:$D36)</f>
        <v>22</v>
      </c>
      <c r="S3" s="79">
        <f>SUMIF($P$6:$P$36,S$1,$D6:$D36)</f>
        <v>591</v>
      </c>
    </row>
    <row r="4" spans="1:19">
      <c r="A4" s="210" t="s">
        <v>1</v>
      </c>
      <c r="B4" s="211"/>
      <c r="C4" s="206" t="s">
        <v>109</v>
      </c>
      <c r="D4" s="206" t="s">
        <v>110</v>
      </c>
      <c r="E4" s="206" t="s">
        <v>111</v>
      </c>
      <c r="F4" s="206" t="s">
        <v>112</v>
      </c>
      <c r="G4" s="101" t="s">
        <v>4</v>
      </c>
      <c r="H4" s="206" t="s">
        <v>7</v>
      </c>
      <c r="I4" s="206" t="s">
        <v>11</v>
      </c>
      <c r="J4" s="206" t="s">
        <v>12</v>
      </c>
      <c r="K4" s="206" t="s">
        <v>113</v>
      </c>
      <c r="L4" s="206" t="s">
        <v>114</v>
      </c>
      <c r="M4" s="231" t="s">
        <v>13</v>
      </c>
      <c r="N4" s="206" t="s">
        <v>16</v>
      </c>
      <c r="O4" s="206" t="s">
        <v>18</v>
      </c>
    </row>
    <row r="5" spans="1:19" ht="30">
      <c r="A5" s="212"/>
      <c r="B5" s="213"/>
      <c r="C5" s="207"/>
      <c r="D5" s="207"/>
      <c r="E5" s="207"/>
      <c r="F5" s="207"/>
      <c r="G5" s="102" t="s">
        <v>115</v>
      </c>
      <c r="H5" s="207"/>
      <c r="I5" s="207"/>
      <c r="J5" s="207"/>
      <c r="K5" s="207"/>
      <c r="L5" s="207"/>
      <c r="M5" s="232"/>
      <c r="N5" s="207"/>
      <c r="O5" s="207"/>
    </row>
    <row r="6" spans="1:19">
      <c r="A6" s="229">
        <v>45778</v>
      </c>
      <c r="B6" s="230"/>
      <c r="C6" s="98">
        <v>0</v>
      </c>
      <c r="D6" s="99">
        <v>0</v>
      </c>
      <c r="E6" s="99"/>
      <c r="F6" s="100"/>
      <c r="G6" s="90">
        <v>0</v>
      </c>
      <c r="H6" s="91"/>
      <c r="I6" s="92">
        <f>IF(P6="Выходной",SUM(C6*150)*1.5,SUM(C6*150))</f>
        <v>0</v>
      </c>
      <c r="J6" s="92">
        <f>IF(P6="Выходной",SUM(D6*150)*1.5,SUM(D6*150))</f>
        <v>0</v>
      </c>
      <c r="K6" s="92">
        <f>IF(OR(WEEKDAY(A6)=1,WEEKDAY(A6)=7,NOT(ISERROR(MATCH(A6,[1]Праздники!A:A,0)))),SUM(E6*225)*1.5,SUM(E6*225))</f>
        <v>0</v>
      </c>
      <c r="L6" s="92">
        <f>IF(OR(WEEKDAY(A6)=1,WEEKDAY(A6)=7,NOT(ISERROR(MATCH(A6,[1]Праздники!A:A,0)))),SUM(F6*225)*1.5,SUM(F6*225))</f>
        <v>0</v>
      </c>
      <c r="M6" s="92">
        <f>SUM(G6*15)</f>
        <v>0</v>
      </c>
      <c r="N6" s="92">
        <f>SUM(H6)*750</f>
        <v>0</v>
      </c>
      <c r="O6" s="92">
        <f>SUM(I6:N6)</f>
        <v>0</v>
      </c>
      <c r="P6" s="2" t="str">
        <f>IF(OR(WEEKDAY(A6)=1,WEEKDAY(A6)=7,NOT(ISERROR(MATCH(A6,[1]Праздники!A:A,0)))),"Выходной","Рабочий")</f>
        <v>Выходной</v>
      </c>
    </row>
    <row r="7" spans="1:19">
      <c r="A7" s="229">
        <v>45779</v>
      </c>
      <c r="B7" s="230"/>
      <c r="C7" s="98">
        <v>21</v>
      </c>
      <c r="D7" s="99">
        <v>0</v>
      </c>
      <c r="E7" s="99"/>
      <c r="F7" s="100"/>
      <c r="G7" s="90">
        <f>IF(A7 ="",0,G6+C7+E7-D6-F6)</f>
        <v>21</v>
      </c>
      <c r="H7" s="91"/>
      <c r="I7" s="92">
        <f t="shared" ref="I7:I36" si="0">IF(P7="Выходной",SUM(C7*150)*1.5,SUM(C7*150))</f>
        <v>4725</v>
      </c>
      <c r="J7" s="92">
        <f t="shared" ref="J7:J36" si="1">IF(P7="Выходной",SUM(D7*150)*1.5,SUM(D7*150))</f>
        <v>0</v>
      </c>
      <c r="K7" s="92">
        <f>IF(OR(WEEKDAY(A7)=1,WEEKDAY(A7)=7,NOT(ISERROR(MATCH(A7,[1]Праздники!A:A,0)))),SUM(E7*225)*1.5,SUM(E7*225))</f>
        <v>0</v>
      </c>
      <c r="L7" s="92">
        <f>IF(OR(WEEKDAY(A7)=1,WEEKDAY(A7)=7,NOT(ISERROR(MATCH(A7,[1]Праздники!A:A,0)))),SUM(F7*225)*1.5,SUM(F7*225))</f>
        <v>0</v>
      </c>
      <c r="M7" s="92">
        <f t="shared" ref="M7:M36" si="2">SUM(G7*15)</f>
        <v>315</v>
      </c>
      <c r="N7" s="92">
        <f t="shared" ref="N7:N36" si="3">SUM(H7)*750</f>
        <v>0</v>
      </c>
      <c r="O7" s="92">
        <f t="shared" ref="O7:O35" si="4">SUM(I7:N7)</f>
        <v>5040</v>
      </c>
      <c r="P7" s="2" t="str">
        <f>IF(OR(WEEKDAY(A7)=1,WEEKDAY(A7)=7,NOT(ISERROR(MATCH(A7,[1]Праздники!A:A,0)))),"Выходной","Рабочий")</f>
        <v>Выходной</v>
      </c>
    </row>
    <row r="8" spans="1:19">
      <c r="A8" s="229">
        <v>45780</v>
      </c>
      <c r="B8" s="230"/>
      <c r="C8" s="98">
        <v>21</v>
      </c>
      <c r="D8" s="99">
        <v>0</v>
      </c>
      <c r="E8" s="99"/>
      <c r="F8" s="100"/>
      <c r="G8" s="90">
        <f t="shared" ref="G8:G36" si="5">IF(A8 ="",0,G7+C8+E8-D7-F7)</f>
        <v>42</v>
      </c>
      <c r="H8" s="91"/>
      <c r="I8" s="92">
        <f t="shared" si="0"/>
        <v>4725</v>
      </c>
      <c r="J8" s="92">
        <f t="shared" si="1"/>
        <v>0</v>
      </c>
      <c r="K8" s="92">
        <f>IF(OR(WEEKDAY(A8)=1,WEEKDAY(A8)=7,NOT(ISERROR(MATCH(A8,[1]Праздники!A:A,0)))),SUM(E8*225)*1.5,SUM(E8*225))</f>
        <v>0</v>
      </c>
      <c r="L8" s="92">
        <f>IF(OR(WEEKDAY(A8)=1,WEEKDAY(A8)=7,NOT(ISERROR(MATCH(A8,[1]Праздники!A:A,0)))),SUM(F8*225)*1.5,SUM(F8*225))</f>
        <v>0</v>
      </c>
      <c r="M8" s="92">
        <f t="shared" si="2"/>
        <v>630</v>
      </c>
      <c r="N8" s="92">
        <f t="shared" si="3"/>
        <v>0</v>
      </c>
      <c r="O8" s="92">
        <f t="shared" si="4"/>
        <v>5355</v>
      </c>
      <c r="P8" s="2" t="str">
        <f>IF(OR(WEEKDAY(A8)=1,WEEKDAY(A8)=7,NOT(ISERROR(MATCH(A8,[1]Праздники!A:A,0)))),"Выходной","Рабочий")</f>
        <v>Выходной</v>
      </c>
    </row>
    <row r="9" spans="1:19">
      <c r="A9" s="229">
        <v>45781</v>
      </c>
      <c r="B9" s="230"/>
      <c r="C9" s="98">
        <v>325</v>
      </c>
      <c r="D9" s="99">
        <v>0</v>
      </c>
      <c r="E9" s="99"/>
      <c r="F9" s="100"/>
      <c r="G9" s="90">
        <f t="shared" si="5"/>
        <v>367</v>
      </c>
      <c r="H9" s="91"/>
      <c r="I9" s="92">
        <f t="shared" si="0"/>
        <v>73125</v>
      </c>
      <c r="J9" s="92">
        <f t="shared" si="1"/>
        <v>0</v>
      </c>
      <c r="K9" s="92">
        <f>IF(OR(WEEKDAY(A9)=1,WEEKDAY(A9)=7,NOT(ISERROR(MATCH(A9,[1]Праздники!A:A,0)))),SUM(E9*225)*1.5,SUM(E9*225))</f>
        <v>0</v>
      </c>
      <c r="L9" s="92">
        <f>IF(OR(WEEKDAY(A9)=1,WEEKDAY(A9)=7,NOT(ISERROR(MATCH(A9,[1]Праздники!A:A,0)))),SUM(F9*225)*1.5,SUM(F9*225))</f>
        <v>0</v>
      </c>
      <c r="M9" s="92">
        <f t="shared" si="2"/>
        <v>5505</v>
      </c>
      <c r="N9" s="92">
        <f t="shared" si="3"/>
        <v>0</v>
      </c>
      <c r="O9" s="92">
        <f t="shared" si="4"/>
        <v>78630</v>
      </c>
      <c r="P9" s="2" t="str">
        <f>IF(OR(WEEKDAY(A9)=1,WEEKDAY(A9)=7,NOT(ISERROR(MATCH(A9,[1]Праздники!A:A,0)))),"Выходной","Рабочий")</f>
        <v>Выходной</v>
      </c>
    </row>
    <row r="10" spans="1:19">
      <c r="A10" s="229">
        <v>45782</v>
      </c>
      <c r="B10" s="230"/>
      <c r="C10" s="98">
        <v>196</v>
      </c>
      <c r="D10" s="99">
        <v>0</v>
      </c>
      <c r="E10" s="99"/>
      <c r="F10" s="100"/>
      <c r="G10" s="90">
        <f t="shared" si="5"/>
        <v>563</v>
      </c>
      <c r="H10" s="91"/>
      <c r="I10" s="92">
        <f t="shared" si="0"/>
        <v>29400</v>
      </c>
      <c r="J10" s="92">
        <f t="shared" si="1"/>
        <v>0</v>
      </c>
      <c r="K10" s="92">
        <f>IF(OR(WEEKDAY(A10)=1,WEEKDAY(A10)=7,NOT(ISERROR(MATCH(A10,[1]Праздники!A:A,0)))),SUM(E10*225)*1.5,SUM(E10*225))</f>
        <v>0</v>
      </c>
      <c r="L10" s="92">
        <f>IF(OR(WEEKDAY(A10)=1,WEEKDAY(A10)=7,NOT(ISERROR(MATCH(A10,[1]Праздники!A:A,0)))),SUM(F10*225)*1.5,SUM(F10*225))</f>
        <v>0</v>
      </c>
      <c r="M10" s="92">
        <f t="shared" si="2"/>
        <v>8445</v>
      </c>
      <c r="N10" s="92">
        <f t="shared" si="3"/>
        <v>0</v>
      </c>
      <c r="O10" s="92">
        <f t="shared" si="4"/>
        <v>37845</v>
      </c>
      <c r="P10" s="2" t="str">
        <f>IF(OR(WEEKDAY(A10)=1,WEEKDAY(A10)=7,NOT(ISERROR(MATCH(A10,[1]Праздники!A:A,0)))),"Выходной","Рабочий")</f>
        <v>Рабочий</v>
      </c>
    </row>
    <row r="11" spans="1:19">
      <c r="A11" s="229">
        <v>45783</v>
      </c>
      <c r="B11" s="230"/>
      <c r="C11" s="98">
        <v>66</v>
      </c>
      <c r="D11" s="99">
        <v>0</v>
      </c>
      <c r="E11" s="99"/>
      <c r="F11" s="100"/>
      <c r="G11" s="90">
        <f t="shared" si="5"/>
        <v>629</v>
      </c>
      <c r="H11" s="91"/>
      <c r="I11" s="92">
        <f t="shared" si="0"/>
        <v>9900</v>
      </c>
      <c r="J11" s="92">
        <f t="shared" si="1"/>
        <v>0</v>
      </c>
      <c r="K11" s="92">
        <f>IF(OR(WEEKDAY(A11)=1,WEEKDAY(A11)=7,NOT(ISERROR(MATCH(A11,[1]Праздники!A:A,0)))),SUM(E11*225)*1.5,SUM(E11*225))</f>
        <v>0</v>
      </c>
      <c r="L11" s="92">
        <f>IF(OR(WEEKDAY(A11)=1,WEEKDAY(A11)=7,NOT(ISERROR(MATCH(A11,[1]Праздники!A:A,0)))),SUM(F11*225)*1.5,SUM(F11*225))</f>
        <v>0</v>
      </c>
      <c r="M11" s="92">
        <f t="shared" si="2"/>
        <v>9435</v>
      </c>
      <c r="N11" s="92">
        <f t="shared" si="3"/>
        <v>0</v>
      </c>
      <c r="O11" s="92">
        <f t="shared" si="4"/>
        <v>19335</v>
      </c>
      <c r="P11" s="2" t="str">
        <f>IF(OR(WEEKDAY(A11)=1,WEEKDAY(A11)=7,NOT(ISERROR(MATCH(A11,[1]Праздники!A:A,0)))),"Выходной","Рабочий")</f>
        <v>Рабочий</v>
      </c>
    </row>
    <row r="12" spans="1:19">
      <c r="A12" s="229">
        <v>45784</v>
      </c>
      <c r="B12" s="230"/>
      <c r="C12" s="98">
        <v>21</v>
      </c>
      <c r="D12" s="99">
        <v>0</v>
      </c>
      <c r="E12" s="99"/>
      <c r="F12" s="100"/>
      <c r="G12" s="90">
        <f t="shared" si="5"/>
        <v>650</v>
      </c>
      <c r="H12" s="91"/>
      <c r="I12" s="92">
        <f t="shared" si="0"/>
        <v>3150</v>
      </c>
      <c r="J12" s="92">
        <f t="shared" si="1"/>
        <v>0</v>
      </c>
      <c r="K12" s="92">
        <f>IF(OR(WEEKDAY(A12)=1,WEEKDAY(A12)=7,NOT(ISERROR(MATCH(A12,[1]Праздники!A:A,0)))),SUM(E12*225)*1.5,SUM(E12*225))</f>
        <v>0</v>
      </c>
      <c r="L12" s="92">
        <f>IF(OR(WEEKDAY(A12)=1,WEEKDAY(A12)=7,NOT(ISERROR(MATCH(A12,[1]Праздники!A:A,0)))),SUM(F12*225)*1.5,SUM(F12*225))</f>
        <v>0</v>
      </c>
      <c r="M12" s="92">
        <f t="shared" si="2"/>
        <v>9750</v>
      </c>
      <c r="N12" s="92">
        <f t="shared" si="3"/>
        <v>0</v>
      </c>
      <c r="O12" s="92">
        <f t="shared" si="4"/>
        <v>12900</v>
      </c>
      <c r="P12" s="2" t="str">
        <f>IF(OR(WEEKDAY(A12)=1,WEEKDAY(A12)=7,NOT(ISERROR(MATCH(A12,[1]Праздники!A:A,0)))),"Выходной","Рабочий")</f>
        <v>Рабочий</v>
      </c>
    </row>
    <row r="13" spans="1:19">
      <c r="A13" s="229">
        <v>45785</v>
      </c>
      <c r="B13" s="230"/>
      <c r="C13" s="98">
        <v>0</v>
      </c>
      <c r="D13" s="99">
        <v>0</v>
      </c>
      <c r="E13" s="99"/>
      <c r="F13" s="103"/>
      <c r="G13" s="90">
        <f t="shared" si="5"/>
        <v>650</v>
      </c>
      <c r="H13" s="91"/>
      <c r="I13" s="92">
        <f t="shared" si="0"/>
        <v>0</v>
      </c>
      <c r="J13" s="92">
        <f t="shared" si="1"/>
        <v>0</v>
      </c>
      <c r="K13" s="92">
        <f>IF(OR(WEEKDAY(A13)=1,WEEKDAY(A13)=7,NOT(ISERROR(MATCH(A13,[1]Праздники!A:A,0)))),SUM(E13*225)*1.5,SUM(E13*225))</f>
        <v>0</v>
      </c>
      <c r="L13" s="92">
        <f>IF(OR(WEEKDAY(A13)=1,WEEKDAY(A13)=7,NOT(ISERROR(MATCH(A13,[1]Праздники!A:A,0)))),SUM(F13*225)*1.5,SUM(F13*225))</f>
        <v>0</v>
      </c>
      <c r="M13" s="92">
        <f t="shared" si="2"/>
        <v>9750</v>
      </c>
      <c r="N13" s="92">
        <f t="shared" si="3"/>
        <v>0</v>
      </c>
      <c r="O13" s="92">
        <f t="shared" si="4"/>
        <v>9750</v>
      </c>
      <c r="P13" s="2" t="str">
        <f>IF(OR(WEEKDAY(A13)=1,WEEKDAY(A13)=7,NOT(ISERROR(MATCH(A13,[1]Праздники!A:A,0)))),"Выходной","Рабочий")</f>
        <v>Выходной</v>
      </c>
    </row>
    <row r="14" spans="1:19">
      <c r="A14" s="229">
        <v>45786</v>
      </c>
      <c r="B14" s="230"/>
      <c r="C14" s="98">
        <v>0</v>
      </c>
      <c r="D14" s="99">
        <v>0</v>
      </c>
      <c r="E14" s="99"/>
      <c r="F14" s="103"/>
      <c r="G14" s="90">
        <f t="shared" si="5"/>
        <v>650</v>
      </c>
      <c r="H14" s="91"/>
      <c r="I14" s="92">
        <f t="shared" si="0"/>
        <v>0</v>
      </c>
      <c r="J14" s="92">
        <f t="shared" si="1"/>
        <v>0</v>
      </c>
      <c r="K14" s="92">
        <f>IF(OR(WEEKDAY(A14)=1,WEEKDAY(A14)=7,NOT(ISERROR(MATCH(A14,[1]Праздники!A:A,0)))),SUM(E14*225)*1.5,SUM(E14*225))</f>
        <v>0</v>
      </c>
      <c r="L14" s="92">
        <f>IF(OR(WEEKDAY(A14)=1,WEEKDAY(A14)=7,NOT(ISERROR(MATCH(A14,[1]Праздники!A:A,0)))),SUM(F14*225)*1.5,SUM(F14*225))</f>
        <v>0</v>
      </c>
      <c r="M14" s="92">
        <f t="shared" si="2"/>
        <v>9750</v>
      </c>
      <c r="N14" s="92">
        <f t="shared" si="3"/>
        <v>0</v>
      </c>
      <c r="O14" s="92">
        <f t="shared" si="4"/>
        <v>9750</v>
      </c>
      <c r="P14" s="2" t="str">
        <f>IF(OR(WEEKDAY(A14)=1,WEEKDAY(A14)=7,NOT(ISERROR(MATCH(A14,[1]Праздники!A:A,0)))),"Выходной","Рабочий")</f>
        <v>Выходной</v>
      </c>
    </row>
    <row r="15" spans="1:19">
      <c r="A15" s="229">
        <v>45787</v>
      </c>
      <c r="B15" s="230"/>
      <c r="C15" s="98">
        <v>89</v>
      </c>
      <c r="D15" s="99">
        <v>0</v>
      </c>
      <c r="E15" s="99"/>
      <c r="F15" s="100"/>
      <c r="G15" s="90">
        <f t="shared" si="5"/>
        <v>739</v>
      </c>
      <c r="H15" s="91"/>
      <c r="I15" s="92">
        <f t="shared" si="0"/>
        <v>20025</v>
      </c>
      <c r="J15" s="92">
        <f t="shared" si="1"/>
        <v>0</v>
      </c>
      <c r="K15" s="92">
        <f>IF(OR(WEEKDAY(A15)=1,WEEKDAY(A15)=7,NOT(ISERROR(MATCH(A15,[1]Праздники!A:A,0)))),SUM(E15*225)*1.5,SUM(E15*225))</f>
        <v>0</v>
      </c>
      <c r="L15" s="92">
        <f>IF(OR(WEEKDAY(A15)=1,WEEKDAY(A15)=7,NOT(ISERROR(MATCH(A15,[1]Праздники!A:A,0)))),SUM(F15*225)*1.5,SUM(F15*225))</f>
        <v>0</v>
      </c>
      <c r="M15" s="92">
        <f t="shared" si="2"/>
        <v>11085</v>
      </c>
      <c r="N15" s="92">
        <f t="shared" si="3"/>
        <v>0</v>
      </c>
      <c r="O15" s="92">
        <f t="shared" si="4"/>
        <v>31110</v>
      </c>
      <c r="P15" s="2" t="str">
        <f>IF(OR(WEEKDAY(A15)=1,WEEKDAY(A15)=7,NOT(ISERROR(MATCH(A15,[1]Праздники!A:A,0)))),"Выходной","Рабочий")</f>
        <v>Выходной</v>
      </c>
    </row>
    <row r="16" spans="1:19">
      <c r="A16" s="229">
        <v>45788</v>
      </c>
      <c r="B16" s="230"/>
      <c r="C16" s="98">
        <v>0</v>
      </c>
      <c r="D16" s="99">
        <v>0</v>
      </c>
      <c r="E16" s="99"/>
      <c r="F16" s="100"/>
      <c r="G16" s="90">
        <f t="shared" si="5"/>
        <v>739</v>
      </c>
      <c r="H16" s="91"/>
      <c r="I16" s="92">
        <f t="shared" si="0"/>
        <v>0</v>
      </c>
      <c r="J16" s="92">
        <f t="shared" si="1"/>
        <v>0</v>
      </c>
      <c r="K16" s="92">
        <f>IF(OR(WEEKDAY(A16)=1,WEEKDAY(A16)=7,NOT(ISERROR(MATCH(A16,[1]Праздники!A:A,0)))),SUM(E16*225)*1.5,SUM(E16*225))</f>
        <v>0</v>
      </c>
      <c r="L16" s="92">
        <f>IF(OR(WEEKDAY(A16)=1,WEEKDAY(A16)=7,NOT(ISERROR(MATCH(A16,[1]Праздники!A:A,0)))),SUM(F16*225)*1.5,SUM(F16*225))</f>
        <v>0</v>
      </c>
      <c r="M16" s="92">
        <f t="shared" si="2"/>
        <v>11085</v>
      </c>
      <c r="N16" s="92">
        <f t="shared" si="3"/>
        <v>0</v>
      </c>
      <c r="O16" s="92">
        <f t="shared" si="4"/>
        <v>11085</v>
      </c>
      <c r="P16" s="2" t="str">
        <f>IF(OR(WEEKDAY(A16)=1,WEEKDAY(A16)=7,NOT(ISERROR(MATCH(A16,[1]Праздники!A:A,0)))),"Выходной","Рабочий")</f>
        <v>Выходной</v>
      </c>
    </row>
    <row r="17" spans="1:16">
      <c r="A17" s="229">
        <v>45789</v>
      </c>
      <c r="B17" s="230"/>
      <c r="C17" s="98">
        <v>0</v>
      </c>
      <c r="D17" s="99">
        <v>0</v>
      </c>
      <c r="E17" s="99"/>
      <c r="F17" s="100"/>
      <c r="G17" s="90">
        <f t="shared" si="5"/>
        <v>739</v>
      </c>
      <c r="H17" s="91"/>
      <c r="I17" s="92">
        <f t="shared" si="0"/>
        <v>0</v>
      </c>
      <c r="J17" s="92">
        <f t="shared" si="1"/>
        <v>0</v>
      </c>
      <c r="K17" s="92">
        <f>IF(OR(WEEKDAY(A17)=1,WEEKDAY(A17)=7,NOT(ISERROR(MATCH(A17,[1]Праздники!A:A,0)))),SUM(E17*225)*1.5,SUM(E17*225))</f>
        <v>0</v>
      </c>
      <c r="L17" s="92">
        <f>IF(OR(WEEKDAY(A17)=1,WEEKDAY(A17)=7,NOT(ISERROR(MATCH(A17,[1]Праздники!A:A,0)))),SUM(F17*225)*1.5,SUM(F17*225))</f>
        <v>0</v>
      </c>
      <c r="M17" s="92">
        <f t="shared" si="2"/>
        <v>11085</v>
      </c>
      <c r="N17" s="92">
        <f t="shared" si="3"/>
        <v>0</v>
      </c>
      <c r="O17" s="92">
        <f t="shared" si="4"/>
        <v>11085</v>
      </c>
      <c r="P17" s="2" t="str">
        <f>IF(OR(WEEKDAY(A17)=1,WEEKDAY(A17)=7,NOT(ISERROR(MATCH(A17,[1]Праздники!A:A,0)))),"Выходной","Рабочий")</f>
        <v>Рабочий</v>
      </c>
    </row>
    <row r="18" spans="1:16">
      <c r="A18" s="229">
        <v>45790</v>
      </c>
      <c r="B18" s="230"/>
      <c r="C18" s="98">
        <v>0</v>
      </c>
      <c r="D18" s="99">
        <v>0</v>
      </c>
      <c r="E18" s="99"/>
      <c r="F18" s="100"/>
      <c r="G18" s="90">
        <f t="shared" si="5"/>
        <v>739</v>
      </c>
      <c r="H18" s="91"/>
      <c r="I18" s="92">
        <f t="shared" si="0"/>
        <v>0</v>
      </c>
      <c r="J18" s="92">
        <f t="shared" si="1"/>
        <v>0</v>
      </c>
      <c r="K18" s="92">
        <f>IF(OR(WEEKDAY(A18)=1,WEEKDAY(A18)=7,NOT(ISERROR(MATCH(A18,[1]Праздники!A:A,0)))),SUM(E18*225)*1.5,SUM(E18*225))</f>
        <v>0</v>
      </c>
      <c r="L18" s="92">
        <f>IF(OR(WEEKDAY(A18)=1,WEEKDAY(A18)=7,NOT(ISERROR(MATCH(A18,[1]Праздники!A:A,0)))),SUM(F18*225)*1.5,SUM(F18*225))</f>
        <v>0</v>
      </c>
      <c r="M18" s="92">
        <f t="shared" si="2"/>
        <v>11085</v>
      </c>
      <c r="N18" s="92">
        <f t="shared" si="3"/>
        <v>0</v>
      </c>
      <c r="O18" s="92">
        <f t="shared" si="4"/>
        <v>11085</v>
      </c>
      <c r="P18" s="2" t="str">
        <f>IF(OR(WEEKDAY(A18)=1,WEEKDAY(A18)=7,NOT(ISERROR(MATCH(A18,[1]Праздники!A:A,0)))),"Выходной","Рабочий")</f>
        <v>Рабочий</v>
      </c>
    </row>
    <row r="19" spans="1:16">
      <c r="A19" s="229">
        <v>45791</v>
      </c>
      <c r="B19" s="230"/>
      <c r="C19" s="98">
        <v>0</v>
      </c>
      <c r="D19" s="99">
        <v>0</v>
      </c>
      <c r="E19" s="99"/>
      <c r="F19" s="100"/>
      <c r="G19" s="90">
        <f t="shared" si="5"/>
        <v>739</v>
      </c>
      <c r="H19" s="91"/>
      <c r="I19" s="92">
        <f t="shared" si="0"/>
        <v>0</v>
      </c>
      <c r="J19" s="92">
        <f t="shared" si="1"/>
        <v>0</v>
      </c>
      <c r="K19" s="92">
        <f>IF(OR(WEEKDAY(A19)=1,WEEKDAY(A19)=7,NOT(ISERROR(MATCH(A19,[1]Праздники!A:A,0)))),SUM(E19*225)*1.5,SUM(E19*225))</f>
        <v>0</v>
      </c>
      <c r="L19" s="92">
        <f>IF(OR(WEEKDAY(A19)=1,WEEKDAY(A19)=7,NOT(ISERROR(MATCH(A19,[1]Праздники!A:A,0)))),SUM(F19*225)*1.5,SUM(F19*225))</f>
        <v>0</v>
      </c>
      <c r="M19" s="92">
        <f t="shared" si="2"/>
        <v>11085</v>
      </c>
      <c r="N19" s="92">
        <f t="shared" si="3"/>
        <v>0</v>
      </c>
      <c r="O19" s="92">
        <f t="shared" si="4"/>
        <v>11085</v>
      </c>
      <c r="P19" s="2" t="str">
        <f>IF(OR(WEEKDAY(A19)=1,WEEKDAY(A19)=7,NOT(ISERROR(MATCH(A19,[1]Праздники!A:A,0)))),"Выходной","Рабочий")</f>
        <v>Рабочий</v>
      </c>
    </row>
    <row r="20" spans="1:16">
      <c r="A20" s="229">
        <v>45792</v>
      </c>
      <c r="B20" s="230"/>
      <c r="C20" s="98">
        <v>0</v>
      </c>
      <c r="D20" s="99">
        <v>0</v>
      </c>
      <c r="E20" s="99"/>
      <c r="F20" s="100"/>
      <c r="G20" s="90">
        <f t="shared" si="5"/>
        <v>739</v>
      </c>
      <c r="H20" s="91"/>
      <c r="I20" s="92">
        <f t="shared" si="0"/>
        <v>0</v>
      </c>
      <c r="J20" s="92">
        <f t="shared" si="1"/>
        <v>0</v>
      </c>
      <c r="K20" s="92">
        <f>IF(OR(WEEKDAY(A20)=1,WEEKDAY(A20)=7,NOT(ISERROR(MATCH(A20,[1]Праздники!A:A,0)))),SUM(E20*225)*1.5,SUM(E20*225))</f>
        <v>0</v>
      </c>
      <c r="L20" s="92">
        <f>IF(OR(WEEKDAY(A20)=1,WEEKDAY(A20)=7,NOT(ISERROR(MATCH(A20,[1]Праздники!A:A,0)))),SUM(F20*225)*1.5,SUM(F20*225))</f>
        <v>0</v>
      </c>
      <c r="M20" s="92">
        <f t="shared" si="2"/>
        <v>11085</v>
      </c>
      <c r="N20" s="92">
        <f t="shared" si="3"/>
        <v>0</v>
      </c>
      <c r="O20" s="92">
        <f t="shared" si="4"/>
        <v>11085</v>
      </c>
      <c r="P20" s="2" t="str">
        <f>IF(OR(WEEKDAY(A20)=1,WEEKDAY(A20)=7,NOT(ISERROR(MATCH(A20,[1]Праздники!A:A,0)))),"Выходной","Рабочий")</f>
        <v>Рабочий</v>
      </c>
    </row>
    <row r="21" spans="1:16">
      <c r="A21" s="229">
        <v>45793</v>
      </c>
      <c r="B21" s="230"/>
      <c r="C21" s="98">
        <v>0</v>
      </c>
      <c r="D21" s="99">
        <v>0</v>
      </c>
      <c r="E21" s="99"/>
      <c r="F21" s="100"/>
      <c r="G21" s="90">
        <f t="shared" si="5"/>
        <v>739</v>
      </c>
      <c r="H21" s="91"/>
      <c r="I21" s="92">
        <f t="shared" si="0"/>
        <v>0</v>
      </c>
      <c r="J21" s="92">
        <f t="shared" si="1"/>
        <v>0</v>
      </c>
      <c r="K21" s="92">
        <f>IF(OR(WEEKDAY(A21)=1,WEEKDAY(A21)=7,NOT(ISERROR(MATCH(A21,[1]Праздники!A:A,0)))),SUM(E21*225)*1.5,SUM(E21*225))</f>
        <v>0</v>
      </c>
      <c r="L21" s="92">
        <f>IF(OR(WEEKDAY(A21)=1,WEEKDAY(A21)=7,NOT(ISERROR(MATCH(A21,[1]Праздники!A:A,0)))),SUM(F21*225)*1.5,SUM(F21*225))</f>
        <v>0</v>
      </c>
      <c r="M21" s="92">
        <f t="shared" si="2"/>
        <v>11085</v>
      </c>
      <c r="N21" s="92">
        <f t="shared" si="3"/>
        <v>0</v>
      </c>
      <c r="O21" s="92">
        <f t="shared" si="4"/>
        <v>11085</v>
      </c>
      <c r="P21" s="2" t="str">
        <f>IF(OR(WEEKDAY(A21)=1,WEEKDAY(A21)=7,NOT(ISERROR(MATCH(A21,[1]Праздники!A:A,0)))),"Выходной","Рабочий")</f>
        <v>Рабочий</v>
      </c>
    </row>
    <row r="22" spans="1:16">
      <c r="A22" s="229">
        <v>45794</v>
      </c>
      <c r="B22" s="230"/>
      <c r="C22" s="98">
        <v>0</v>
      </c>
      <c r="D22" s="99">
        <v>0</v>
      </c>
      <c r="E22" s="99"/>
      <c r="F22" s="100"/>
      <c r="G22" s="90">
        <f t="shared" si="5"/>
        <v>739</v>
      </c>
      <c r="H22" s="91"/>
      <c r="I22" s="92">
        <f t="shared" si="0"/>
        <v>0</v>
      </c>
      <c r="J22" s="92">
        <f t="shared" si="1"/>
        <v>0</v>
      </c>
      <c r="K22" s="92">
        <f>IF(OR(WEEKDAY(A22)=1,WEEKDAY(A22)=7,NOT(ISERROR(MATCH(A22,[1]Праздники!A:A,0)))),SUM(E22*225)*1.5,SUM(E22*225))</f>
        <v>0</v>
      </c>
      <c r="L22" s="92">
        <f>IF(OR(WEEKDAY(A22)=1,WEEKDAY(A22)=7,NOT(ISERROR(MATCH(A22,[1]Праздники!A:A,0)))),SUM(F22*225)*1.5,SUM(F22*225))</f>
        <v>0</v>
      </c>
      <c r="M22" s="92">
        <f t="shared" si="2"/>
        <v>11085</v>
      </c>
      <c r="N22" s="92">
        <f t="shared" si="3"/>
        <v>0</v>
      </c>
      <c r="O22" s="92">
        <f t="shared" si="4"/>
        <v>11085</v>
      </c>
      <c r="P22" s="2" t="str">
        <f>IF(OR(WEEKDAY(A22)=1,WEEKDAY(A22)=7,NOT(ISERROR(MATCH(A22,[1]Праздники!A:A,0)))),"Выходной","Рабочий")</f>
        <v>Выходной</v>
      </c>
    </row>
    <row r="23" spans="1:16">
      <c r="A23" s="229">
        <v>45795</v>
      </c>
      <c r="B23" s="230"/>
      <c r="C23" s="98">
        <v>0</v>
      </c>
      <c r="D23" s="99">
        <v>0</v>
      </c>
      <c r="E23" s="99"/>
      <c r="F23" s="100"/>
      <c r="G23" s="90">
        <f t="shared" si="5"/>
        <v>739</v>
      </c>
      <c r="H23" s="91"/>
      <c r="I23" s="92">
        <f t="shared" si="0"/>
        <v>0</v>
      </c>
      <c r="J23" s="92">
        <f t="shared" si="1"/>
        <v>0</v>
      </c>
      <c r="K23" s="92">
        <f>IF(OR(WEEKDAY(A23)=1,WEEKDAY(A23)=7,NOT(ISERROR(MATCH(A23,[1]Праздники!A:A,0)))),SUM(E23*225)*1.5,SUM(E23*225))</f>
        <v>0</v>
      </c>
      <c r="L23" s="92">
        <f>IF(OR(WEEKDAY(A23)=1,WEEKDAY(A23)=7,NOT(ISERROR(MATCH(A23,[1]Праздники!A:A,0)))),SUM(F23*225)*1.5,SUM(F23*225))</f>
        <v>0</v>
      </c>
      <c r="M23" s="92">
        <f t="shared" si="2"/>
        <v>11085</v>
      </c>
      <c r="N23" s="92">
        <f t="shared" si="3"/>
        <v>0</v>
      </c>
      <c r="O23" s="92">
        <f t="shared" si="4"/>
        <v>11085</v>
      </c>
      <c r="P23" s="2" t="str">
        <f>IF(OR(WEEKDAY(A23)=1,WEEKDAY(A23)=7,NOT(ISERROR(MATCH(A23,[1]Праздники!A:A,0)))),"Выходной","Рабочий")</f>
        <v>Выходной</v>
      </c>
    </row>
    <row r="24" spans="1:16">
      <c r="A24" s="229">
        <v>45796</v>
      </c>
      <c r="B24" s="230"/>
      <c r="C24" s="98">
        <v>0</v>
      </c>
      <c r="D24" s="99">
        <v>0</v>
      </c>
      <c r="E24" s="99"/>
      <c r="F24" s="100"/>
      <c r="G24" s="90">
        <f t="shared" si="5"/>
        <v>739</v>
      </c>
      <c r="H24" s="91"/>
      <c r="I24" s="92">
        <f t="shared" si="0"/>
        <v>0</v>
      </c>
      <c r="J24" s="92">
        <f t="shared" si="1"/>
        <v>0</v>
      </c>
      <c r="K24" s="92">
        <f>IF(OR(WEEKDAY(A24)=1,WEEKDAY(A24)=7,NOT(ISERROR(MATCH(A24,[1]Праздники!A:A,0)))),SUM(E24*225)*1.5,SUM(E24*225))</f>
        <v>0</v>
      </c>
      <c r="L24" s="92">
        <f>IF(OR(WEEKDAY(A24)=1,WEEKDAY(A24)=7,NOT(ISERROR(MATCH(A24,[1]Праздники!A:A,0)))),SUM(F24*225)*1.5,SUM(F24*225))</f>
        <v>0</v>
      </c>
      <c r="M24" s="92">
        <f t="shared" si="2"/>
        <v>11085</v>
      </c>
      <c r="N24" s="92">
        <f t="shared" si="3"/>
        <v>0</v>
      </c>
      <c r="O24" s="92">
        <f t="shared" si="4"/>
        <v>11085</v>
      </c>
      <c r="P24" s="2" t="str">
        <f>IF(OR(WEEKDAY(A24)=1,WEEKDAY(A24)=7,NOT(ISERROR(MATCH(A24,[1]Праздники!A:A,0)))),"Выходной","Рабочий")</f>
        <v>Рабочий</v>
      </c>
    </row>
    <row r="25" spans="1:16">
      <c r="A25" s="229">
        <v>45797</v>
      </c>
      <c r="B25" s="230"/>
      <c r="C25" s="98">
        <v>220</v>
      </c>
      <c r="D25" s="99">
        <v>0</v>
      </c>
      <c r="E25" s="99"/>
      <c r="F25" s="100"/>
      <c r="G25" s="90">
        <f t="shared" si="5"/>
        <v>959</v>
      </c>
      <c r="H25" s="91"/>
      <c r="I25" s="92">
        <f t="shared" si="0"/>
        <v>33000</v>
      </c>
      <c r="J25" s="92">
        <f t="shared" si="1"/>
        <v>0</v>
      </c>
      <c r="K25" s="92">
        <f>IF(OR(WEEKDAY(A25)=1,WEEKDAY(A25)=7,NOT(ISERROR(MATCH(A25,[1]Праздники!A:A,0)))),SUM(E25*225)*1.5,SUM(E25*225))</f>
        <v>0</v>
      </c>
      <c r="L25" s="92">
        <f>IF(OR(WEEKDAY(A25)=1,WEEKDAY(A25)=7,NOT(ISERROR(MATCH(A25,[1]Праздники!A:A,0)))),SUM(F25*225)*1.5,SUM(F25*225))</f>
        <v>0</v>
      </c>
      <c r="M25" s="92">
        <f t="shared" si="2"/>
        <v>14385</v>
      </c>
      <c r="N25" s="92">
        <f t="shared" si="3"/>
        <v>0</v>
      </c>
      <c r="O25" s="92">
        <f t="shared" si="4"/>
        <v>47385</v>
      </c>
      <c r="P25" s="2" t="str">
        <f>IF(OR(WEEKDAY(A25)=1,WEEKDAY(A25)=7,NOT(ISERROR(MATCH(A25,[1]Праздники!A:A,0)))),"Выходной","Рабочий")</f>
        <v>Рабочий</v>
      </c>
    </row>
    <row r="26" spans="1:16">
      <c r="A26" s="229">
        <v>45798</v>
      </c>
      <c r="B26" s="230"/>
      <c r="C26" s="98">
        <v>0</v>
      </c>
      <c r="D26" s="99">
        <v>0</v>
      </c>
      <c r="E26" s="104"/>
      <c r="F26" s="100"/>
      <c r="G26" s="90">
        <f t="shared" si="5"/>
        <v>959</v>
      </c>
      <c r="H26" s="91"/>
      <c r="I26" s="92">
        <f t="shared" si="0"/>
        <v>0</v>
      </c>
      <c r="J26" s="92">
        <f t="shared" si="1"/>
        <v>0</v>
      </c>
      <c r="K26" s="92">
        <f>IF(OR(WEEKDAY(A26)=1,WEEKDAY(A26)=7,NOT(ISERROR(MATCH(A26,[1]Праздники!A:A,0)))),SUM(E26*225)*1.5,SUM(E26*225))</f>
        <v>0</v>
      </c>
      <c r="L26" s="92">
        <f>IF(OR(WEEKDAY(A26)=1,WEEKDAY(A26)=7,NOT(ISERROR(MATCH(A26,[1]Праздники!A:A,0)))),SUM(F26*225)*1.5,SUM(F26*225))</f>
        <v>0</v>
      </c>
      <c r="M26" s="92">
        <f t="shared" si="2"/>
        <v>14385</v>
      </c>
      <c r="N26" s="92">
        <f t="shared" si="3"/>
        <v>0</v>
      </c>
      <c r="O26" s="92">
        <f t="shared" si="4"/>
        <v>14385</v>
      </c>
      <c r="P26" s="2" t="str">
        <f>IF(OR(WEEKDAY(A26)=1,WEEKDAY(A26)=7,NOT(ISERROR(MATCH(A26,[1]Праздники!A:A,0)))),"Выходной","Рабочий")</f>
        <v>Рабочий</v>
      </c>
    </row>
    <row r="27" spans="1:16" ht="15" customHeight="1">
      <c r="A27" s="229">
        <v>45799</v>
      </c>
      <c r="B27" s="230"/>
      <c r="C27" s="98">
        <v>0</v>
      </c>
      <c r="D27" s="99">
        <v>0</v>
      </c>
      <c r="E27" s="99"/>
      <c r="F27" s="103"/>
      <c r="G27" s="90">
        <f t="shared" si="5"/>
        <v>959</v>
      </c>
      <c r="H27" s="91"/>
      <c r="I27" s="92">
        <f t="shared" si="0"/>
        <v>0</v>
      </c>
      <c r="J27" s="92">
        <f t="shared" si="1"/>
        <v>0</v>
      </c>
      <c r="K27" s="92">
        <f>IF(OR(WEEKDAY(A27)=1,WEEKDAY(A27)=7,NOT(ISERROR(MATCH(A27,[1]Праздники!A:A,0)))),SUM(E27*225)*1.5,SUM(E27*225))</f>
        <v>0</v>
      </c>
      <c r="L27" s="92">
        <f>IF(OR(WEEKDAY(A27)=1,WEEKDAY(A27)=7,NOT(ISERROR(MATCH(A27,[1]Праздники!A:A,0)))),SUM(F27*225)*1.5,SUM(F27*225))</f>
        <v>0</v>
      </c>
      <c r="M27" s="92">
        <f t="shared" si="2"/>
        <v>14385</v>
      </c>
      <c r="N27" s="92">
        <f t="shared" si="3"/>
        <v>0</v>
      </c>
      <c r="O27" s="92">
        <f t="shared" si="4"/>
        <v>14385</v>
      </c>
      <c r="P27" s="2" t="str">
        <f>IF(OR(WEEKDAY(A27)=1,WEEKDAY(A27)=7,NOT(ISERROR(MATCH(A27,[1]Праздники!A:A,0)))),"Выходной","Рабочий")</f>
        <v>Рабочий</v>
      </c>
    </row>
    <row r="28" spans="1:16">
      <c r="A28" s="229">
        <v>45800</v>
      </c>
      <c r="B28" s="230"/>
      <c r="C28" s="98">
        <v>0</v>
      </c>
      <c r="D28" s="99">
        <v>0</v>
      </c>
      <c r="E28" s="99"/>
      <c r="F28" s="100"/>
      <c r="G28" s="90">
        <f t="shared" si="5"/>
        <v>959</v>
      </c>
      <c r="H28" s="91"/>
      <c r="I28" s="92">
        <f t="shared" si="0"/>
        <v>0</v>
      </c>
      <c r="J28" s="92">
        <f t="shared" si="1"/>
        <v>0</v>
      </c>
      <c r="K28" s="92">
        <f>IF(OR(WEEKDAY(A28)=1,WEEKDAY(A28)=7,NOT(ISERROR(MATCH(A28,[1]Праздники!A:A,0)))),SUM(E28*225)*1.5,SUM(E28*225))</f>
        <v>0</v>
      </c>
      <c r="L28" s="92">
        <f>IF(OR(WEEKDAY(A28)=1,WEEKDAY(A28)=7,NOT(ISERROR(MATCH(A28,[1]Праздники!A:A,0)))),SUM(F28*225)*1.5,SUM(F28*225))</f>
        <v>0</v>
      </c>
      <c r="M28" s="92">
        <f t="shared" si="2"/>
        <v>14385</v>
      </c>
      <c r="N28" s="92">
        <f t="shared" si="3"/>
        <v>0</v>
      </c>
      <c r="O28" s="92">
        <f t="shared" si="4"/>
        <v>14385</v>
      </c>
      <c r="P28" s="2" t="str">
        <f>IF(OR(WEEKDAY(A28)=1,WEEKDAY(A28)=7,NOT(ISERROR(MATCH(A28,[1]Праздники!A:A,0)))),"Выходной","Рабочий")</f>
        <v>Рабочий</v>
      </c>
    </row>
    <row r="29" spans="1:16">
      <c r="A29" s="229">
        <v>45801</v>
      </c>
      <c r="B29" s="230"/>
      <c r="C29" s="98">
        <v>0</v>
      </c>
      <c r="D29" s="99">
        <v>0</v>
      </c>
      <c r="E29" s="99"/>
      <c r="F29" s="100"/>
      <c r="G29" s="90">
        <f t="shared" si="5"/>
        <v>959</v>
      </c>
      <c r="H29" s="91"/>
      <c r="I29" s="92">
        <f t="shared" si="0"/>
        <v>0</v>
      </c>
      <c r="J29" s="92">
        <f t="shared" si="1"/>
        <v>0</v>
      </c>
      <c r="K29" s="92">
        <f>IF(OR(WEEKDAY(A29)=1,WEEKDAY(A29)=7,NOT(ISERROR(MATCH(A29,[1]Праздники!A:A,0)))),SUM(E29*225)*1.5,SUM(E29*225))</f>
        <v>0</v>
      </c>
      <c r="L29" s="92">
        <f>IF(OR(WEEKDAY(A29)=1,WEEKDAY(A29)=7,NOT(ISERROR(MATCH(A29,[1]Праздники!A:A,0)))),SUM(F29*225)*1.5,SUM(F29*225))</f>
        <v>0</v>
      </c>
      <c r="M29" s="92">
        <f t="shared" si="2"/>
        <v>14385</v>
      </c>
      <c r="N29" s="92">
        <f t="shared" si="3"/>
        <v>0</v>
      </c>
      <c r="O29" s="92">
        <f t="shared" si="4"/>
        <v>14385</v>
      </c>
      <c r="P29" s="2" t="str">
        <f>IF(OR(WEEKDAY(A29)=1,WEEKDAY(A29)=7,NOT(ISERROR(MATCH(A29,[1]Праздники!A:A,0)))),"Выходной","Рабочий")</f>
        <v>Выходной</v>
      </c>
    </row>
    <row r="30" spans="1:16">
      <c r="A30" s="229">
        <v>45802</v>
      </c>
      <c r="B30" s="230"/>
      <c r="C30" s="98">
        <v>0</v>
      </c>
      <c r="D30" s="99">
        <v>0</v>
      </c>
      <c r="E30" s="99"/>
      <c r="F30" s="100"/>
      <c r="G30" s="90">
        <f t="shared" si="5"/>
        <v>959</v>
      </c>
      <c r="H30" s="91"/>
      <c r="I30" s="92">
        <f t="shared" si="0"/>
        <v>0</v>
      </c>
      <c r="J30" s="92">
        <f t="shared" si="1"/>
        <v>0</v>
      </c>
      <c r="K30" s="92">
        <f>IF(OR(WEEKDAY(A30)=1,WEEKDAY(A30)=7,NOT(ISERROR(MATCH(A30,[1]Праздники!A:A,0)))),SUM(E30*225)*1.5,SUM(E30*225))</f>
        <v>0</v>
      </c>
      <c r="L30" s="92">
        <f>IF(OR(WEEKDAY(A30)=1,WEEKDAY(A30)=7,NOT(ISERROR(MATCH(A30,[1]Праздники!A:A,0)))),SUM(F30*225)*1.5,SUM(F30*225))</f>
        <v>0</v>
      </c>
      <c r="M30" s="92">
        <f t="shared" si="2"/>
        <v>14385</v>
      </c>
      <c r="N30" s="92">
        <f t="shared" si="3"/>
        <v>0</v>
      </c>
      <c r="O30" s="92">
        <f t="shared" si="4"/>
        <v>14385</v>
      </c>
      <c r="P30" s="2" t="str">
        <f>IF(OR(WEEKDAY(A30)=1,WEEKDAY(A30)=7,NOT(ISERROR(MATCH(A30,[1]Праздники!A:A,0)))),"Выходной","Рабочий")</f>
        <v>Выходной</v>
      </c>
    </row>
    <row r="31" spans="1:16">
      <c r="A31" s="229">
        <v>45803</v>
      </c>
      <c r="B31" s="230"/>
      <c r="C31" s="98">
        <v>0</v>
      </c>
      <c r="D31" s="99">
        <v>22</v>
      </c>
      <c r="E31" s="99"/>
      <c r="F31" s="100"/>
      <c r="G31" s="90">
        <f t="shared" si="5"/>
        <v>959</v>
      </c>
      <c r="H31" s="91"/>
      <c r="I31" s="92">
        <f t="shared" si="0"/>
        <v>0</v>
      </c>
      <c r="J31" s="92">
        <f t="shared" si="1"/>
        <v>3300</v>
      </c>
      <c r="K31" s="92">
        <f>IF(OR(WEEKDAY(A31)=1,WEEKDAY(A31)=7,NOT(ISERROR(MATCH(A31,[1]Праздники!A:A,0)))),SUM(E31*225)*1.5,SUM(E31*225))</f>
        <v>0</v>
      </c>
      <c r="L31" s="92">
        <f>IF(OR(WEEKDAY(A31)=1,WEEKDAY(A31)=7,NOT(ISERROR(MATCH(A31,[1]Праздники!A:A,0)))),SUM(F31*225)*1.5,SUM(F31*225))</f>
        <v>0</v>
      </c>
      <c r="M31" s="92">
        <f t="shared" si="2"/>
        <v>14385</v>
      </c>
      <c r="N31" s="92">
        <f t="shared" si="3"/>
        <v>0</v>
      </c>
      <c r="O31" s="92">
        <f t="shared" si="4"/>
        <v>17685</v>
      </c>
      <c r="P31" s="2" t="str">
        <f>IF(OR(WEEKDAY(A31)=1,WEEKDAY(A31)=7,NOT(ISERROR(MATCH(A31,[1]Праздники!A:A,0)))),"Выходной","Рабочий")</f>
        <v>Рабочий</v>
      </c>
    </row>
    <row r="32" spans="1:16">
      <c r="A32" s="229">
        <v>45804</v>
      </c>
      <c r="B32" s="230"/>
      <c r="C32" s="98">
        <v>0</v>
      </c>
      <c r="D32" s="99">
        <v>0</v>
      </c>
      <c r="E32" s="99"/>
      <c r="F32" s="100"/>
      <c r="G32" s="90">
        <f t="shared" si="5"/>
        <v>937</v>
      </c>
      <c r="H32" s="91"/>
      <c r="I32" s="92">
        <f t="shared" si="0"/>
        <v>0</v>
      </c>
      <c r="J32" s="92">
        <f t="shared" si="1"/>
        <v>0</v>
      </c>
      <c r="K32" s="92">
        <f>IF(OR(WEEKDAY(A32)=1,WEEKDAY(A32)=7,NOT(ISERROR(MATCH(A32,[1]Праздники!A:A,0)))),SUM(E32*225)*1.5,SUM(E32*225))</f>
        <v>0</v>
      </c>
      <c r="L32" s="92">
        <f>IF(OR(WEEKDAY(A32)=1,WEEKDAY(A32)=7,NOT(ISERROR(MATCH(A32,[1]Праздники!A:A,0)))),SUM(F32*225)*1.5,SUM(F32*225))</f>
        <v>0</v>
      </c>
      <c r="M32" s="92">
        <f t="shared" si="2"/>
        <v>14055</v>
      </c>
      <c r="N32" s="92">
        <f t="shared" si="3"/>
        <v>0</v>
      </c>
      <c r="O32" s="92">
        <f t="shared" si="4"/>
        <v>14055</v>
      </c>
      <c r="P32" s="2" t="str">
        <f>IF(OR(WEEKDAY(A32)=1,WEEKDAY(A32)=7,NOT(ISERROR(MATCH(A32,[1]Праздники!A:A,0)))),"Выходной","Рабочий")</f>
        <v>Рабочий</v>
      </c>
    </row>
    <row r="33" spans="1:17">
      <c r="A33" s="229">
        <v>45805</v>
      </c>
      <c r="B33" s="230"/>
      <c r="C33" s="98">
        <v>0</v>
      </c>
      <c r="D33" s="99">
        <v>132</v>
      </c>
      <c r="E33" s="99"/>
      <c r="F33" s="100"/>
      <c r="G33" s="90">
        <f t="shared" si="5"/>
        <v>937</v>
      </c>
      <c r="H33" s="91"/>
      <c r="I33" s="92">
        <f t="shared" si="0"/>
        <v>0</v>
      </c>
      <c r="J33" s="92">
        <f t="shared" si="1"/>
        <v>19800</v>
      </c>
      <c r="K33" s="92">
        <f>IF(OR(WEEKDAY(A33)=1,WEEKDAY(A33)=7,NOT(ISERROR(MATCH(A33,[1]Праздники!A:A,0)))),SUM(E33*225)*1.5,SUM(E33*225))</f>
        <v>0</v>
      </c>
      <c r="L33" s="92">
        <f>IF(OR(WEEKDAY(A33)=1,WEEKDAY(A33)=7,NOT(ISERROR(MATCH(A33,[1]Праздники!A:A,0)))),SUM(F33*225)*1.5,SUM(F33*225))</f>
        <v>0</v>
      </c>
      <c r="M33" s="92">
        <f t="shared" si="2"/>
        <v>14055</v>
      </c>
      <c r="N33" s="92">
        <f t="shared" si="3"/>
        <v>0</v>
      </c>
      <c r="O33" s="92">
        <f t="shared" si="4"/>
        <v>33855</v>
      </c>
      <c r="P33" s="2" t="str">
        <f>IF(OR(WEEKDAY(A33)=1,WEEKDAY(A33)=7,NOT(ISERROR(MATCH(A33,[1]Праздники!A:A,0)))),"Выходной","Рабочий")</f>
        <v>Рабочий</v>
      </c>
    </row>
    <row r="34" spans="1:17">
      <c r="A34" s="229">
        <v>45806</v>
      </c>
      <c r="B34" s="230"/>
      <c r="C34" s="98">
        <v>220</v>
      </c>
      <c r="D34" s="99">
        <v>242</v>
      </c>
      <c r="E34" s="99"/>
      <c r="F34" s="100"/>
      <c r="G34" s="90">
        <f t="shared" si="5"/>
        <v>1025</v>
      </c>
      <c r="H34" s="91"/>
      <c r="I34" s="92">
        <f t="shared" si="0"/>
        <v>33000</v>
      </c>
      <c r="J34" s="92">
        <f t="shared" si="1"/>
        <v>36300</v>
      </c>
      <c r="K34" s="92">
        <f>IF(OR(WEEKDAY(A34)=1,WEEKDAY(A34)=7,NOT(ISERROR(MATCH(A34,[1]Праздники!A:A,0)))),SUM(E34*225)*1.5,SUM(E34*225))</f>
        <v>0</v>
      </c>
      <c r="L34" s="92">
        <f>IF(OR(WEEKDAY(A34)=1,WEEKDAY(A34)=7,NOT(ISERROR(MATCH(A34,[1]Праздники!A:A,0)))),SUM(F34*225)*1.5,SUM(F34*225))</f>
        <v>0</v>
      </c>
      <c r="M34" s="92">
        <f t="shared" si="2"/>
        <v>15375</v>
      </c>
      <c r="N34" s="92">
        <f t="shared" si="3"/>
        <v>0</v>
      </c>
      <c r="O34" s="92">
        <f t="shared" si="4"/>
        <v>84675</v>
      </c>
      <c r="P34" s="2" t="str">
        <f>IF(OR(WEEKDAY(A34)=1,WEEKDAY(A34)=7,NOT(ISERROR(MATCH(A34,[1]Праздники!A:A,0)))),"Выходной","Рабочий")</f>
        <v>Рабочий</v>
      </c>
    </row>
    <row r="35" spans="1:17">
      <c r="A35" s="229">
        <v>45807</v>
      </c>
      <c r="B35" s="230"/>
      <c r="C35" s="98">
        <v>0</v>
      </c>
      <c r="D35" s="99">
        <v>195</v>
      </c>
      <c r="E35" s="90"/>
      <c r="F35" s="100"/>
      <c r="G35" s="90">
        <f t="shared" si="5"/>
        <v>783</v>
      </c>
      <c r="H35" s="91"/>
      <c r="I35" s="92">
        <f t="shared" si="0"/>
        <v>0</v>
      </c>
      <c r="J35" s="92">
        <f t="shared" si="1"/>
        <v>29250</v>
      </c>
      <c r="K35" s="92">
        <f>IF(OR(WEEKDAY(A35)=1,WEEKDAY(A35)=7,NOT(ISERROR(MATCH(A35,[1]Праздники!A:A,0)))),SUM(E35*225)*1.5,SUM(E35*225))</f>
        <v>0</v>
      </c>
      <c r="L35" s="92">
        <f>IF(OR(WEEKDAY(A35)=1,WEEKDAY(A35)=7,NOT(ISERROR(MATCH(A35,[1]Праздники!A:A,0)))),SUM(F35*225)*1.5,SUM(F35*225))</f>
        <v>0</v>
      </c>
      <c r="M35" s="92">
        <f t="shared" si="2"/>
        <v>11745</v>
      </c>
      <c r="N35" s="92">
        <f t="shared" si="3"/>
        <v>0</v>
      </c>
      <c r="O35" s="92">
        <f t="shared" si="4"/>
        <v>40995</v>
      </c>
      <c r="P35" s="2" t="str">
        <f>IF(OR(WEEKDAY(A35)=1,WEEKDAY(A35)=7,NOT(ISERROR(MATCH(A35,[1]Праздники!A:A,0)))),"Выходной","Рабочий")</f>
        <v>Рабочий</v>
      </c>
    </row>
    <row r="36" spans="1:17" ht="15.75" thickBot="1">
      <c r="A36" s="229">
        <v>45808</v>
      </c>
      <c r="B36" s="230"/>
      <c r="C36" s="98">
        <v>220.23</v>
      </c>
      <c r="D36" s="99">
        <v>22</v>
      </c>
      <c r="E36" s="90"/>
      <c r="F36" s="100"/>
      <c r="G36" s="90">
        <f t="shared" si="5"/>
        <v>808.23</v>
      </c>
      <c r="H36" s="91"/>
      <c r="I36" s="92">
        <f t="shared" si="0"/>
        <v>49551.75</v>
      </c>
      <c r="J36" s="92">
        <f t="shared" si="1"/>
        <v>4950</v>
      </c>
      <c r="K36" s="92">
        <f>IF(OR(WEEKDAY(A36)=1,WEEKDAY(A36)=7,NOT(ISERROR(MATCH(A36,[1]Праздники!A:A,0)))),SUM(E36*225)*1.5,SUM(E36*225))</f>
        <v>0</v>
      </c>
      <c r="L36" s="92">
        <f>IF(OR(WEEKDAY(A36)=1,WEEKDAY(A36)=7,NOT(ISERROR(MATCH(A36,[1]Праздники!A:A,0)))),SUM(F36*225)*1.5,SUM(F36*225))</f>
        <v>0</v>
      </c>
      <c r="M36" s="92">
        <f t="shared" si="2"/>
        <v>12123.45</v>
      </c>
      <c r="N36" s="92">
        <f t="shared" si="3"/>
        <v>0</v>
      </c>
      <c r="O36" s="92">
        <f t="shared" ref="O36" si="6">SUM(I36:N36)</f>
        <v>66625.2</v>
      </c>
      <c r="P36" s="2" t="str">
        <f>IF(OR(WEEKDAY(A36)=1,WEEKDAY(A36)=7,NOT(ISERROR(MATCH(A36,[1]Праздники!A:A,0)))),"Выходной","Рабочий")</f>
        <v>Выходной</v>
      </c>
    </row>
    <row r="37" spans="1:17" ht="15.75" thickBot="1">
      <c r="C37" s="93">
        <f>SUM(C6:C36)</f>
        <v>1399.23</v>
      </c>
      <c r="D37" s="93">
        <f t="shared" ref="D37:O37" si="7">SUM(D6:D36)</f>
        <v>613</v>
      </c>
      <c r="E37" s="93">
        <f t="shared" si="7"/>
        <v>0</v>
      </c>
      <c r="F37" s="93">
        <f t="shared" si="7"/>
        <v>0</v>
      </c>
      <c r="G37" s="93">
        <f t="shared" si="7"/>
        <v>22165.23</v>
      </c>
      <c r="H37" s="105">
        <f t="shared" si="7"/>
        <v>0</v>
      </c>
      <c r="I37" s="94">
        <f t="shared" si="7"/>
        <v>260601.75</v>
      </c>
      <c r="J37" s="94">
        <f t="shared" si="7"/>
        <v>93600</v>
      </c>
      <c r="K37" s="94">
        <f t="shared" si="7"/>
        <v>0</v>
      </c>
      <c r="L37" s="94">
        <f t="shared" si="7"/>
        <v>0</v>
      </c>
      <c r="M37" s="94">
        <f t="shared" si="7"/>
        <v>332478.45</v>
      </c>
      <c r="N37" s="94">
        <f t="shared" si="7"/>
        <v>0</v>
      </c>
      <c r="O37" s="95">
        <f t="shared" si="7"/>
        <v>686680.2</v>
      </c>
    </row>
    <row r="38" spans="1:17" ht="15.75" thickBot="1">
      <c r="G38" s="89"/>
      <c r="L38" s="18"/>
      <c r="M38" s="89"/>
      <c r="N38" s="105" t="s">
        <v>116</v>
      </c>
      <c r="O38" s="96">
        <f>O37*1.2</f>
        <v>824016.23999999987</v>
      </c>
      <c r="Q38" s="97"/>
    </row>
    <row r="39" spans="1:17">
      <c r="G39" s="109"/>
      <c r="M39" s="89"/>
    </row>
    <row r="40" spans="1:17">
      <c r="G40" s="89"/>
      <c r="M40" s="89"/>
    </row>
  </sheetData>
  <mergeCells count="44">
    <mergeCell ref="E4:E5"/>
    <mergeCell ref="F4:F5"/>
    <mergeCell ref="H4:H5"/>
    <mergeCell ref="A16:B16"/>
    <mergeCell ref="O4:O5"/>
    <mergeCell ref="A6:B6"/>
    <mergeCell ref="A7:B7"/>
    <mergeCell ref="A8:B8"/>
    <mergeCell ref="A9:B9"/>
    <mergeCell ref="A10:B10"/>
    <mergeCell ref="I4:I5"/>
    <mergeCell ref="J4:J5"/>
    <mergeCell ref="K4:K5"/>
    <mergeCell ref="L4:L5"/>
    <mergeCell ref="M4:M5"/>
    <mergeCell ref="N4:N5"/>
    <mergeCell ref="A4:B5"/>
    <mergeCell ref="C4:C5"/>
    <mergeCell ref="D4:D5"/>
    <mergeCell ref="A11:B11"/>
    <mergeCell ref="A12:B12"/>
    <mergeCell ref="A13:B13"/>
    <mergeCell ref="A14:B14"/>
    <mergeCell ref="A15:B15"/>
    <mergeCell ref="A28:B28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35:B35"/>
    <mergeCell ref="A36:B36"/>
    <mergeCell ref="A29:B29"/>
    <mergeCell ref="A30:B30"/>
    <mergeCell ref="A31:B31"/>
    <mergeCell ref="A32:B32"/>
    <mergeCell ref="A33:B33"/>
    <mergeCell ref="A34:B34"/>
  </mergeCells>
  <pageMargins left="0.7" right="0.7" top="0.75" bottom="0.75" header="0.3" footer="0.3"/>
  <pageSetup paperSize="9" scale="64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86E81-06B8-4B3A-9AEF-80747B6AAF5E}">
  <sheetPr codeName="Лист9">
    <pageSetUpPr fitToPage="1"/>
  </sheetPr>
  <dimension ref="A1:S40"/>
  <sheetViews>
    <sheetView topLeftCell="A4" workbookViewId="0">
      <selection activeCell="H21" sqref="H21"/>
    </sheetView>
  </sheetViews>
  <sheetFormatPr defaultRowHeight="15"/>
  <cols>
    <col min="1" max="2" width="8.796875" style="2"/>
    <col min="3" max="3" width="6.8984375" style="2" bestFit="1" customWidth="1"/>
    <col min="4" max="6" width="8.796875" style="2"/>
    <col min="7" max="7" width="7.3984375" style="2" bestFit="1" customWidth="1"/>
    <col min="8" max="8" width="8.796875" style="2"/>
    <col min="9" max="9" width="8.8984375" style="2" customWidth="1"/>
    <col min="10" max="10" width="9.19921875" style="2" bestFit="1" customWidth="1"/>
    <col min="11" max="12" width="6.5" style="2" bestFit="1" customWidth="1"/>
    <col min="13" max="13" width="11.5" style="2" customWidth="1"/>
    <col min="14" max="14" width="6.5" style="2" bestFit="1" customWidth="1"/>
    <col min="15" max="15" width="11.19921875" style="2" customWidth="1"/>
    <col min="16" max="16" width="8.796875" style="2"/>
    <col min="17" max="17" width="12.796875" style="2" customWidth="1"/>
    <col min="18" max="16384" width="8.796875" style="2"/>
  </cols>
  <sheetData>
    <row r="1" spans="1:19">
      <c r="M1" s="89"/>
      <c r="Q1" s="79"/>
      <c r="R1" s="79" t="s">
        <v>106</v>
      </c>
      <c r="S1" s="79" t="s">
        <v>107</v>
      </c>
    </row>
    <row r="2" spans="1:19">
      <c r="M2" s="89"/>
      <c r="Q2" s="79" t="s">
        <v>108</v>
      </c>
      <c r="R2" s="79">
        <f>SUMIF($P$6:$P$36,R$1,$C6:$C36)</f>
        <v>0</v>
      </c>
      <c r="S2" s="79">
        <f>SUMIF($P$6:$P$36,S$1,$C6:$C36)</f>
        <v>0</v>
      </c>
    </row>
    <row r="3" spans="1:19" ht="21">
      <c r="A3" s="77" t="str">
        <f>"Отчет по хранению  товара  РВ " &amp; TEXT(A6,"ММММ ") &amp; YEAR(A6) &amp; " Новикова"</f>
        <v>Отчет по хранению  товара  РВ Май 2025 Новикова</v>
      </c>
      <c r="G3" s="89"/>
      <c r="M3" s="89"/>
      <c r="Q3" s="79" t="s">
        <v>96</v>
      </c>
      <c r="R3" s="79">
        <f>SUMIF($P$6:$P$36,R$1,$D6:$D36)</f>
        <v>60.224999999999994</v>
      </c>
      <c r="S3" s="79">
        <f>SUMIF($P$6:$P$36,S$1,$D6:$D36)</f>
        <v>48.25</v>
      </c>
    </row>
    <row r="4" spans="1:19">
      <c r="A4" s="210" t="s">
        <v>1</v>
      </c>
      <c r="B4" s="211"/>
      <c r="C4" s="206" t="s">
        <v>109</v>
      </c>
      <c r="D4" s="206" t="s">
        <v>110</v>
      </c>
      <c r="E4" s="206" t="s">
        <v>111</v>
      </c>
      <c r="F4" s="206" t="s">
        <v>112</v>
      </c>
      <c r="G4" s="101" t="s">
        <v>4</v>
      </c>
      <c r="H4" s="206" t="s">
        <v>7</v>
      </c>
      <c r="I4" s="206" t="s">
        <v>11</v>
      </c>
      <c r="J4" s="206" t="s">
        <v>12</v>
      </c>
      <c r="K4" s="206" t="s">
        <v>113</v>
      </c>
      <c r="L4" s="206" t="s">
        <v>114</v>
      </c>
      <c r="M4" s="231" t="s">
        <v>13</v>
      </c>
      <c r="N4" s="206" t="s">
        <v>16</v>
      </c>
      <c r="O4" s="206" t="s">
        <v>18</v>
      </c>
    </row>
    <row r="5" spans="1:19" ht="30">
      <c r="A5" s="212"/>
      <c r="B5" s="213"/>
      <c r="C5" s="207"/>
      <c r="D5" s="207"/>
      <c r="E5" s="207"/>
      <c r="F5" s="207"/>
      <c r="G5" s="102" t="s">
        <v>115</v>
      </c>
      <c r="H5" s="207"/>
      <c r="I5" s="207"/>
      <c r="J5" s="207"/>
      <c r="K5" s="207"/>
      <c r="L5" s="207"/>
      <c r="M5" s="232"/>
      <c r="N5" s="207"/>
      <c r="O5" s="207"/>
    </row>
    <row r="6" spans="1:19">
      <c r="A6" s="229">
        <v>45778</v>
      </c>
      <c r="B6" s="230"/>
      <c r="C6" s="98">
        <v>0</v>
      </c>
      <c r="D6" s="99">
        <v>0</v>
      </c>
      <c r="E6" s="99"/>
      <c r="F6" s="100"/>
      <c r="G6" s="90">
        <v>299.14499999999998</v>
      </c>
      <c r="H6" s="91"/>
      <c r="I6" s="92">
        <f>IF(P6="Выходной",SUM(C6*150)*1.5,SUM(C6*150))</f>
        <v>0</v>
      </c>
      <c r="J6" s="92">
        <f>IF(P6="Выходной",SUM(D6*150)*1.5,SUM(D6*150))</f>
        <v>0</v>
      </c>
      <c r="K6" s="92">
        <f>IF(OR(WEEKDAY(A6)=1,WEEKDAY(A6)=7,NOT(ISERROR(MATCH(A6,[1]Праздники!A:A,0)))),SUM(E6*225)*1.5,SUM(E6*225))</f>
        <v>0</v>
      </c>
      <c r="L6" s="92">
        <f>IF(OR(WEEKDAY(A6)=1,WEEKDAY(A6)=7,NOT(ISERROR(MATCH(A6,[1]Праздники!A:A,0)))),SUM(F6*225)*1.5,SUM(F6*225))</f>
        <v>0</v>
      </c>
      <c r="M6" s="92">
        <f>SUM(G6*15)</f>
        <v>4487.1749999999993</v>
      </c>
      <c r="N6" s="92">
        <f>SUM(H6)*750</f>
        <v>0</v>
      </c>
      <c r="O6" s="92">
        <f>SUM(I6:N6)</f>
        <v>4487.1749999999993</v>
      </c>
      <c r="P6" s="2" t="str">
        <f>IF(OR(WEEKDAY(A6)=1,WEEKDAY(A6)=7,NOT(ISERROR(MATCH(A6,[1]Праздники!A:A,0)))),"Выходной","Рабочий")</f>
        <v>Выходной</v>
      </c>
    </row>
    <row r="7" spans="1:19">
      <c r="A7" s="229">
        <v>45779</v>
      </c>
      <c r="B7" s="230"/>
      <c r="C7" s="98">
        <v>0</v>
      </c>
      <c r="D7" s="99">
        <v>0</v>
      </c>
      <c r="E7" s="99"/>
      <c r="F7" s="100"/>
      <c r="G7" s="90">
        <f>IF(A7 ="",0,G6+C7+E7-D6-F6)</f>
        <v>299.14499999999998</v>
      </c>
      <c r="H7" s="91"/>
      <c r="I7" s="92">
        <f t="shared" ref="I7:I36" si="0">IF(P7="Выходной",SUM(C7*150)*1.5,SUM(C7*150))</f>
        <v>0</v>
      </c>
      <c r="J7" s="92">
        <f t="shared" ref="J7:J36" si="1">IF(P7="Выходной",SUM(D7*150)*1.5,SUM(D7*150))</f>
        <v>0</v>
      </c>
      <c r="K7" s="92">
        <f>IF(OR(WEEKDAY(A7)=1,WEEKDAY(A7)=7,NOT(ISERROR(MATCH(A7,[1]Праздники!A:A,0)))),SUM(E7*225)*1.5,SUM(E7*225))</f>
        <v>0</v>
      </c>
      <c r="L7" s="92">
        <f>IF(OR(WEEKDAY(A7)=1,WEEKDAY(A7)=7,NOT(ISERROR(MATCH(A7,[1]Праздники!A:A,0)))),SUM(F7*225)*1.5,SUM(F7*225))</f>
        <v>0</v>
      </c>
      <c r="M7" s="92">
        <f t="shared" ref="M7:M36" si="2">SUM(G7*15)</f>
        <v>4487.1749999999993</v>
      </c>
      <c r="N7" s="92">
        <f t="shared" ref="N7:N36" si="3">SUM(H7)*750</f>
        <v>0</v>
      </c>
      <c r="O7" s="92">
        <f t="shared" ref="O7:O35" si="4">SUM(I7:N7)</f>
        <v>4487.1749999999993</v>
      </c>
      <c r="P7" s="2" t="str">
        <f>IF(OR(WEEKDAY(A7)=1,WEEKDAY(A7)=7,NOT(ISERROR(MATCH(A7,[1]Праздники!A:A,0)))),"Выходной","Рабочий")</f>
        <v>Выходной</v>
      </c>
    </row>
    <row r="8" spans="1:19">
      <c r="A8" s="229">
        <v>45780</v>
      </c>
      <c r="B8" s="230"/>
      <c r="C8" s="98">
        <v>0</v>
      </c>
      <c r="D8" s="99">
        <v>0</v>
      </c>
      <c r="E8" s="99"/>
      <c r="F8" s="100"/>
      <c r="G8" s="90">
        <f t="shared" ref="G8:G36" si="5">IF(A8 ="",0,G7+C8+E8-D7-F7)</f>
        <v>299.14499999999998</v>
      </c>
      <c r="H8" s="91"/>
      <c r="I8" s="92">
        <f t="shared" si="0"/>
        <v>0</v>
      </c>
      <c r="J8" s="92">
        <f t="shared" si="1"/>
        <v>0</v>
      </c>
      <c r="K8" s="92">
        <f>IF(OR(WEEKDAY(A8)=1,WEEKDAY(A8)=7,NOT(ISERROR(MATCH(A8,[1]Праздники!A:A,0)))),SUM(E8*225)*1.5,SUM(E8*225))</f>
        <v>0</v>
      </c>
      <c r="L8" s="92">
        <f>IF(OR(WEEKDAY(A8)=1,WEEKDAY(A8)=7,NOT(ISERROR(MATCH(A8,[1]Праздники!A:A,0)))),SUM(F8*225)*1.5,SUM(F8*225))</f>
        <v>0</v>
      </c>
      <c r="M8" s="92">
        <f t="shared" si="2"/>
        <v>4487.1749999999993</v>
      </c>
      <c r="N8" s="92">
        <f t="shared" si="3"/>
        <v>0</v>
      </c>
      <c r="O8" s="92">
        <f t="shared" si="4"/>
        <v>4487.1749999999993</v>
      </c>
      <c r="P8" s="2" t="str">
        <f>IF(OR(WEEKDAY(A8)=1,WEEKDAY(A8)=7,NOT(ISERROR(MATCH(A8,[1]Праздники!A:A,0)))),"Выходной","Рабочий")</f>
        <v>Выходной</v>
      </c>
    </row>
    <row r="9" spans="1:19">
      <c r="A9" s="229">
        <v>45781</v>
      </c>
      <c r="B9" s="230"/>
      <c r="C9" s="98">
        <v>0</v>
      </c>
      <c r="D9" s="99">
        <v>0</v>
      </c>
      <c r="E9" s="99"/>
      <c r="F9" s="100"/>
      <c r="G9" s="90">
        <f t="shared" si="5"/>
        <v>299.14499999999998</v>
      </c>
      <c r="H9" s="91"/>
      <c r="I9" s="92">
        <f t="shared" si="0"/>
        <v>0</v>
      </c>
      <c r="J9" s="92">
        <f t="shared" si="1"/>
        <v>0</v>
      </c>
      <c r="K9" s="92">
        <f>IF(OR(WEEKDAY(A9)=1,WEEKDAY(A9)=7,NOT(ISERROR(MATCH(A9,[1]Праздники!A:A,0)))),SUM(E9*225)*1.5,SUM(E9*225))</f>
        <v>0</v>
      </c>
      <c r="L9" s="92">
        <f>IF(OR(WEEKDAY(A9)=1,WEEKDAY(A9)=7,NOT(ISERROR(MATCH(A9,[1]Праздники!A:A,0)))),SUM(F9*225)*1.5,SUM(F9*225))</f>
        <v>0</v>
      </c>
      <c r="M9" s="92">
        <f t="shared" si="2"/>
        <v>4487.1749999999993</v>
      </c>
      <c r="N9" s="92">
        <f t="shared" si="3"/>
        <v>0</v>
      </c>
      <c r="O9" s="92">
        <f t="shared" si="4"/>
        <v>4487.1749999999993</v>
      </c>
      <c r="P9" s="2" t="str">
        <f>IF(OR(WEEKDAY(A9)=1,WEEKDAY(A9)=7,NOT(ISERROR(MATCH(A9,[1]Праздники!A:A,0)))),"Выходной","Рабочий")</f>
        <v>Выходной</v>
      </c>
    </row>
    <row r="10" spans="1:19">
      <c r="A10" s="229">
        <v>45782</v>
      </c>
      <c r="B10" s="230"/>
      <c r="C10" s="98">
        <v>0</v>
      </c>
      <c r="D10" s="99">
        <v>1.375</v>
      </c>
      <c r="E10" s="99"/>
      <c r="F10" s="100"/>
      <c r="G10" s="90">
        <f t="shared" si="5"/>
        <v>299.14499999999998</v>
      </c>
      <c r="H10" s="91"/>
      <c r="I10" s="92">
        <f t="shared" si="0"/>
        <v>0</v>
      </c>
      <c r="J10" s="92">
        <f t="shared" si="1"/>
        <v>206.25</v>
      </c>
      <c r="K10" s="92">
        <f>IF(OR(WEEKDAY(A10)=1,WEEKDAY(A10)=7,NOT(ISERROR(MATCH(A10,[1]Праздники!A:A,0)))),SUM(E10*225)*1.5,SUM(E10*225))</f>
        <v>0</v>
      </c>
      <c r="L10" s="92">
        <f>IF(OR(WEEKDAY(A10)=1,WEEKDAY(A10)=7,NOT(ISERROR(MATCH(A10,[1]Праздники!A:A,0)))),SUM(F10*225)*1.5,SUM(F10*225))</f>
        <v>0</v>
      </c>
      <c r="M10" s="92">
        <f t="shared" si="2"/>
        <v>4487.1749999999993</v>
      </c>
      <c r="N10" s="92">
        <f t="shared" si="3"/>
        <v>0</v>
      </c>
      <c r="O10" s="92">
        <f t="shared" si="4"/>
        <v>4693.4249999999993</v>
      </c>
      <c r="P10" s="2" t="str">
        <f>IF(OR(WEEKDAY(A10)=1,WEEKDAY(A10)=7,NOT(ISERROR(MATCH(A10,[1]Праздники!A:A,0)))),"Выходной","Рабочий")</f>
        <v>Рабочий</v>
      </c>
    </row>
    <row r="11" spans="1:19">
      <c r="A11" s="229">
        <v>45783</v>
      </c>
      <c r="B11" s="230"/>
      <c r="C11" s="98">
        <v>0</v>
      </c>
      <c r="D11" s="99">
        <v>0</v>
      </c>
      <c r="E11" s="99"/>
      <c r="F11" s="100"/>
      <c r="G11" s="90">
        <f t="shared" si="5"/>
        <v>297.77</v>
      </c>
      <c r="H11" s="91"/>
      <c r="I11" s="92">
        <f t="shared" si="0"/>
        <v>0</v>
      </c>
      <c r="J11" s="92">
        <f t="shared" si="1"/>
        <v>0</v>
      </c>
      <c r="K11" s="92">
        <f>IF(OR(WEEKDAY(A11)=1,WEEKDAY(A11)=7,NOT(ISERROR(MATCH(A11,[1]Праздники!A:A,0)))),SUM(E11*225)*1.5,SUM(E11*225))</f>
        <v>0</v>
      </c>
      <c r="L11" s="92">
        <f>IF(OR(WEEKDAY(A11)=1,WEEKDAY(A11)=7,NOT(ISERROR(MATCH(A11,[1]Праздники!A:A,0)))),SUM(F11*225)*1.5,SUM(F11*225))</f>
        <v>0</v>
      </c>
      <c r="M11" s="92">
        <f t="shared" si="2"/>
        <v>4466.5499999999993</v>
      </c>
      <c r="N11" s="92">
        <f t="shared" si="3"/>
        <v>0</v>
      </c>
      <c r="O11" s="92">
        <f t="shared" si="4"/>
        <v>4466.5499999999993</v>
      </c>
      <c r="P11" s="2" t="str">
        <f>IF(OR(WEEKDAY(A11)=1,WEEKDAY(A11)=7,NOT(ISERROR(MATCH(A11,[1]Праздники!A:A,0)))),"Выходной","Рабочий")</f>
        <v>Рабочий</v>
      </c>
    </row>
    <row r="12" spans="1:19">
      <c r="A12" s="229">
        <v>45784</v>
      </c>
      <c r="B12" s="230"/>
      <c r="C12" s="98">
        <v>0</v>
      </c>
      <c r="D12" s="99">
        <v>0</v>
      </c>
      <c r="E12" s="99"/>
      <c r="F12" s="100"/>
      <c r="G12" s="90">
        <f t="shared" si="5"/>
        <v>297.77</v>
      </c>
      <c r="H12" s="91"/>
      <c r="I12" s="92">
        <f t="shared" si="0"/>
        <v>0</v>
      </c>
      <c r="J12" s="92">
        <f t="shared" si="1"/>
        <v>0</v>
      </c>
      <c r="K12" s="92">
        <f>IF(OR(WEEKDAY(A12)=1,WEEKDAY(A12)=7,NOT(ISERROR(MATCH(A12,[1]Праздники!A:A,0)))),SUM(E12*225)*1.5,SUM(E12*225))</f>
        <v>0</v>
      </c>
      <c r="L12" s="92">
        <f>IF(OR(WEEKDAY(A12)=1,WEEKDAY(A12)=7,NOT(ISERROR(MATCH(A12,[1]Праздники!A:A,0)))),SUM(F12*225)*1.5,SUM(F12*225))</f>
        <v>0</v>
      </c>
      <c r="M12" s="92">
        <f t="shared" si="2"/>
        <v>4466.5499999999993</v>
      </c>
      <c r="N12" s="92">
        <f t="shared" si="3"/>
        <v>0</v>
      </c>
      <c r="O12" s="92">
        <f t="shared" si="4"/>
        <v>4466.5499999999993</v>
      </c>
      <c r="P12" s="2" t="str">
        <f>IF(OR(WEEKDAY(A12)=1,WEEKDAY(A12)=7,NOT(ISERROR(MATCH(A12,[1]Праздники!A:A,0)))),"Выходной","Рабочий")</f>
        <v>Рабочий</v>
      </c>
    </row>
    <row r="13" spans="1:19">
      <c r="A13" s="229">
        <v>45785</v>
      </c>
      <c r="B13" s="230"/>
      <c r="C13" s="98">
        <v>0</v>
      </c>
      <c r="D13" s="99">
        <v>8.125</v>
      </c>
      <c r="E13" s="99"/>
      <c r="F13" s="103"/>
      <c r="G13" s="90">
        <f t="shared" si="5"/>
        <v>297.77</v>
      </c>
      <c r="H13" s="91"/>
      <c r="I13" s="92">
        <f t="shared" si="0"/>
        <v>0</v>
      </c>
      <c r="J13" s="92">
        <f t="shared" si="1"/>
        <v>1828.125</v>
      </c>
      <c r="K13" s="92">
        <f>IF(OR(WEEKDAY(A13)=1,WEEKDAY(A13)=7,NOT(ISERROR(MATCH(A13,[1]Праздники!A:A,0)))),SUM(E13*225)*1.5,SUM(E13*225))</f>
        <v>0</v>
      </c>
      <c r="L13" s="92">
        <f>IF(OR(WEEKDAY(A13)=1,WEEKDAY(A13)=7,NOT(ISERROR(MATCH(A13,[1]Праздники!A:A,0)))),SUM(F13*225)*1.5,SUM(F13*225))</f>
        <v>0</v>
      </c>
      <c r="M13" s="92">
        <f t="shared" si="2"/>
        <v>4466.5499999999993</v>
      </c>
      <c r="N13" s="92">
        <f t="shared" si="3"/>
        <v>0</v>
      </c>
      <c r="O13" s="92">
        <f t="shared" si="4"/>
        <v>6294.6749999999993</v>
      </c>
      <c r="P13" s="2" t="str">
        <f>IF(OR(WEEKDAY(A13)=1,WEEKDAY(A13)=7,NOT(ISERROR(MATCH(A13,[1]Праздники!A:A,0)))),"Выходной","Рабочий")</f>
        <v>Выходной</v>
      </c>
    </row>
    <row r="14" spans="1:19">
      <c r="A14" s="229">
        <v>45786</v>
      </c>
      <c r="B14" s="230"/>
      <c r="C14" s="98">
        <v>0</v>
      </c>
      <c r="D14" s="99">
        <v>0</v>
      </c>
      <c r="E14" s="99"/>
      <c r="F14" s="103"/>
      <c r="G14" s="90">
        <f t="shared" si="5"/>
        <v>289.64499999999998</v>
      </c>
      <c r="H14" s="91"/>
      <c r="I14" s="92">
        <f t="shared" si="0"/>
        <v>0</v>
      </c>
      <c r="J14" s="92">
        <f t="shared" si="1"/>
        <v>0</v>
      </c>
      <c r="K14" s="92">
        <f>IF(OR(WEEKDAY(A14)=1,WEEKDAY(A14)=7,NOT(ISERROR(MATCH(A14,[1]Праздники!A:A,0)))),SUM(E14*225)*1.5,SUM(E14*225))</f>
        <v>0</v>
      </c>
      <c r="L14" s="92">
        <f>IF(OR(WEEKDAY(A14)=1,WEEKDAY(A14)=7,NOT(ISERROR(MATCH(A14,[1]Праздники!A:A,0)))),SUM(F14*225)*1.5,SUM(F14*225))</f>
        <v>0</v>
      </c>
      <c r="M14" s="92">
        <f t="shared" si="2"/>
        <v>4344.6749999999993</v>
      </c>
      <c r="N14" s="92">
        <f t="shared" si="3"/>
        <v>0</v>
      </c>
      <c r="O14" s="92">
        <f t="shared" si="4"/>
        <v>4344.6749999999993</v>
      </c>
      <c r="P14" s="2" t="str">
        <f>IF(OR(WEEKDAY(A14)=1,WEEKDAY(A14)=7,NOT(ISERROR(MATCH(A14,[1]Праздники!A:A,0)))),"Выходной","Рабочий")</f>
        <v>Выходной</v>
      </c>
    </row>
    <row r="15" spans="1:19">
      <c r="A15" s="229">
        <v>45787</v>
      </c>
      <c r="B15" s="230"/>
      <c r="C15" s="98">
        <v>0</v>
      </c>
      <c r="D15" s="99">
        <v>1.375</v>
      </c>
      <c r="E15" s="99"/>
      <c r="F15" s="100"/>
      <c r="G15" s="90">
        <f t="shared" si="5"/>
        <v>289.64499999999998</v>
      </c>
      <c r="H15" s="91"/>
      <c r="I15" s="92">
        <f t="shared" si="0"/>
        <v>0</v>
      </c>
      <c r="J15" s="92">
        <f t="shared" si="1"/>
        <v>309.375</v>
      </c>
      <c r="K15" s="92">
        <f>IF(OR(WEEKDAY(A15)=1,WEEKDAY(A15)=7,NOT(ISERROR(MATCH(A15,[1]Праздники!A:A,0)))),SUM(E15*225)*1.5,SUM(E15*225))</f>
        <v>0</v>
      </c>
      <c r="L15" s="92">
        <f>IF(OR(WEEKDAY(A15)=1,WEEKDAY(A15)=7,NOT(ISERROR(MATCH(A15,[1]Праздники!A:A,0)))),SUM(F15*225)*1.5,SUM(F15*225))</f>
        <v>0</v>
      </c>
      <c r="M15" s="92">
        <f t="shared" si="2"/>
        <v>4344.6749999999993</v>
      </c>
      <c r="N15" s="92">
        <f t="shared" si="3"/>
        <v>0</v>
      </c>
      <c r="O15" s="92">
        <f t="shared" si="4"/>
        <v>4654.0499999999993</v>
      </c>
      <c r="P15" s="2" t="str">
        <f>IF(OR(WEEKDAY(A15)=1,WEEKDAY(A15)=7,NOT(ISERROR(MATCH(A15,[1]Праздники!A:A,0)))),"Выходной","Рабочий")</f>
        <v>Выходной</v>
      </c>
    </row>
    <row r="16" spans="1:19">
      <c r="A16" s="229">
        <v>45788</v>
      </c>
      <c r="B16" s="230"/>
      <c r="C16" s="98">
        <v>0</v>
      </c>
      <c r="D16" s="99">
        <v>0</v>
      </c>
      <c r="E16" s="99"/>
      <c r="F16" s="100"/>
      <c r="G16" s="90">
        <f t="shared" si="5"/>
        <v>288.27</v>
      </c>
      <c r="H16" s="91"/>
      <c r="I16" s="92">
        <f t="shared" si="0"/>
        <v>0</v>
      </c>
      <c r="J16" s="92">
        <f t="shared" si="1"/>
        <v>0</v>
      </c>
      <c r="K16" s="92">
        <f>IF(OR(WEEKDAY(A16)=1,WEEKDAY(A16)=7,NOT(ISERROR(MATCH(A16,[1]Праздники!A:A,0)))),SUM(E16*225)*1.5,SUM(E16*225))</f>
        <v>0</v>
      </c>
      <c r="L16" s="92">
        <f>IF(OR(WEEKDAY(A16)=1,WEEKDAY(A16)=7,NOT(ISERROR(MATCH(A16,[1]Праздники!A:A,0)))),SUM(F16*225)*1.5,SUM(F16*225))</f>
        <v>0</v>
      </c>
      <c r="M16" s="92">
        <f t="shared" si="2"/>
        <v>4324.0499999999993</v>
      </c>
      <c r="N16" s="92">
        <f t="shared" si="3"/>
        <v>0</v>
      </c>
      <c r="O16" s="92">
        <f t="shared" si="4"/>
        <v>4324.0499999999993</v>
      </c>
      <c r="P16" s="2" t="str">
        <f>IF(OR(WEEKDAY(A16)=1,WEEKDAY(A16)=7,NOT(ISERROR(MATCH(A16,[1]Праздники!A:A,0)))),"Выходной","Рабочий")</f>
        <v>Выходной</v>
      </c>
    </row>
    <row r="17" spans="1:16">
      <c r="A17" s="229">
        <v>45789</v>
      </c>
      <c r="B17" s="230"/>
      <c r="C17" s="98">
        <v>0</v>
      </c>
      <c r="D17" s="99">
        <v>0</v>
      </c>
      <c r="E17" s="99"/>
      <c r="F17" s="100"/>
      <c r="G17" s="90">
        <f t="shared" si="5"/>
        <v>288.27</v>
      </c>
      <c r="H17" s="91"/>
      <c r="I17" s="92">
        <f t="shared" si="0"/>
        <v>0</v>
      </c>
      <c r="J17" s="92">
        <f t="shared" si="1"/>
        <v>0</v>
      </c>
      <c r="K17" s="92">
        <f>IF(OR(WEEKDAY(A17)=1,WEEKDAY(A17)=7,NOT(ISERROR(MATCH(A17,[1]Праздники!A:A,0)))),SUM(E17*225)*1.5,SUM(E17*225))</f>
        <v>0</v>
      </c>
      <c r="L17" s="92">
        <f>IF(OR(WEEKDAY(A17)=1,WEEKDAY(A17)=7,NOT(ISERROR(MATCH(A17,[1]Праздники!A:A,0)))),SUM(F17*225)*1.5,SUM(F17*225))</f>
        <v>0</v>
      </c>
      <c r="M17" s="92">
        <f t="shared" si="2"/>
        <v>4324.0499999999993</v>
      </c>
      <c r="N17" s="92">
        <f t="shared" si="3"/>
        <v>0</v>
      </c>
      <c r="O17" s="92">
        <f t="shared" si="4"/>
        <v>4324.0499999999993</v>
      </c>
      <c r="P17" s="2" t="str">
        <f>IF(OR(WEEKDAY(A17)=1,WEEKDAY(A17)=7,NOT(ISERROR(MATCH(A17,[1]Праздники!A:A,0)))),"Выходной","Рабочий")</f>
        <v>Рабочий</v>
      </c>
    </row>
    <row r="18" spans="1:16">
      <c r="A18" s="229">
        <v>45790</v>
      </c>
      <c r="B18" s="230"/>
      <c r="C18" s="98">
        <v>0</v>
      </c>
      <c r="D18" s="99">
        <v>0</v>
      </c>
      <c r="E18" s="99"/>
      <c r="F18" s="100"/>
      <c r="G18" s="90">
        <f t="shared" si="5"/>
        <v>288.27</v>
      </c>
      <c r="H18" s="91"/>
      <c r="I18" s="92">
        <f t="shared" si="0"/>
        <v>0</v>
      </c>
      <c r="J18" s="92">
        <f t="shared" si="1"/>
        <v>0</v>
      </c>
      <c r="K18" s="92">
        <f>IF(OR(WEEKDAY(A18)=1,WEEKDAY(A18)=7,NOT(ISERROR(MATCH(A18,[1]Праздники!A:A,0)))),SUM(E18*225)*1.5,SUM(E18*225))</f>
        <v>0</v>
      </c>
      <c r="L18" s="92">
        <f>IF(OR(WEEKDAY(A18)=1,WEEKDAY(A18)=7,NOT(ISERROR(MATCH(A18,[1]Праздники!A:A,0)))),SUM(F18*225)*1.5,SUM(F18*225))</f>
        <v>0</v>
      </c>
      <c r="M18" s="92">
        <f t="shared" si="2"/>
        <v>4324.0499999999993</v>
      </c>
      <c r="N18" s="92">
        <f t="shared" si="3"/>
        <v>0</v>
      </c>
      <c r="O18" s="92">
        <f t="shared" si="4"/>
        <v>4324.0499999999993</v>
      </c>
      <c r="P18" s="2" t="str">
        <f>IF(OR(WEEKDAY(A18)=1,WEEKDAY(A18)=7,NOT(ISERROR(MATCH(A18,[1]Праздники!A:A,0)))),"Выходной","Рабочий")</f>
        <v>Рабочий</v>
      </c>
    </row>
    <row r="19" spans="1:16">
      <c r="A19" s="229">
        <v>45791</v>
      </c>
      <c r="B19" s="230"/>
      <c r="C19" s="98">
        <v>0</v>
      </c>
      <c r="D19" s="99">
        <v>12.375</v>
      </c>
      <c r="E19" s="99"/>
      <c r="F19" s="100"/>
      <c r="G19" s="90">
        <f t="shared" si="5"/>
        <v>288.27</v>
      </c>
      <c r="H19" s="91"/>
      <c r="I19" s="92">
        <f t="shared" si="0"/>
        <v>0</v>
      </c>
      <c r="J19" s="92">
        <f t="shared" si="1"/>
        <v>1856.25</v>
      </c>
      <c r="K19" s="92">
        <f>IF(OR(WEEKDAY(A19)=1,WEEKDAY(A19)=7,NOT(ISERROR(MATCH(A19,[1]Праздники!A:A,0)))),SUM(E19*225)*1.5,SUM(E19*225))</f>
        <v>0</v>
      </c>
      <c r="L19" s="92">
        <f>IF(OR(WEEKDAY(A19)=1,WEEKDAY(A19)=7,NOT(ISERROR(MATCH(A19,[1]Праздники!A:A,0)))),SUM(F19*225)*1.5,SUM(F19*225))</f>
        <v>0</v>
      </c>
      <c r="M19" s="92">
        <f t="shared" si="2"/>
        <v>4324.0499999999993</v>
      </c>
      <c r="N19" s="92">
        <f t="shared" si="3"/>
        <v>0</v>
      </c>
      <c r="O19" s="92">
        <f t="shared" si="4"/>
        <v>6180.2999999999993</v>
      </c>
      <c r="P19" s="2" t="str">
        <f>IF(OR(WEEKDAY(A19)=1,WEEKDAY(A19)=7,NOT(ISERROR(MATCH(A19,[1]Праздники!A:A,0)))),"Выходной","Рабочий")</f>
        <v>Рабочий</v>
      </c>
    </row>
    <row r="20" spans="1:16">
      <c r="A20" s="229">
        <v>45792</v>
      </c>
      <c r="B20" s="230"/>
      <c r="C20" s="98">
        <v>0</v>
      </c>
      <c r="D20" s="99">
        <v>0</v>
      </c>
      <c r="E20" s="99"/>
      <c r="F20" s="100"/>
      <c r="G20" s="90">
        <f t="shared" si="5"/>
        <v>275.89499999999998</v>
      </c>
      <c r="H20" s="91"/>
      <c r="I20" s="92">
        <f t="shared" si="0"/>
        <v>0</v>
      </c>
      <c r="J20" s="92">
        <f t="shared" si="1"/>
        <v>0</v>
      </c>
      <c r="K20" s="92">
        <f>IF(OR(WEEKDAY(A20)=1,WEEKDAY(A20)=7,NOT(ISERROR(MATCH(A20,[1]Праздники!A:A,0)))),SUM(E20*225)*1.5,SUM(E20*225))</f>
        <v>0</v>
      </c>
      <c r="L20" s="92">
        <f>IF(OR(WEEKDAY(A20)=1,WEEKDAY(A20)=7,NOT(ISERROR(MATCH(A20,[1]Праздники!A:A,0)))),SUM(F20*225)*1.5,SUM(F20*225))</f>
        <v>0</v>
      </c>
      <c r="M20" s="92">
        <f t="shared" si="2"/>
        <v>4138.4249999999993</v>
      </c>
      <c r="N20" s="92">
        <f t="shared" si="3"/>
        <v>0</v>
      </c>
      <c r="O20" s="92">
        <f t="shared" si="4"/>
        <v>4138.4249999999993</v>
      </c>
      <c r="P20" s="2" t="str">
        <f>IF(OR(WEEKDAY(A20)=1,WEEKDAY(A20)=7,NOT(ISERROR(MATCH(A20,[1]Праздники!A:A,0)))),"Выходной","Рабочий")</f>
        <v>Рабочий</v>
      </c>
    </row>
    <row r="21" spans="1:16">
      <c r="A21" s="229">
        <v>45793</v>
      </c>
      <c r="B21" s="230"/>
      <c r="C21" s="98">
        <v>0</v>
      </c>
      <c r="D21" s="99">
        <v>0</v>
      </c>
      <c r="E21" s="99"/>
      <c r="F21" s="100"/>
      <c r="G21" s="90">
        <f t="shared" si="5"/>
        <v>275.89499999999998</v>
      </c>
      <c r="H21" s="91"/>
      <c r="I21" s="92">
        <f t="shared" si="0"/>
        <v>0</v>
      </c>
      <c r="J21" s="92">
        <f t="shared" si="1"/>
        <v>0</v>
      </c>
      <c r="K21" s="92">
        <f>IF(OR(WEEKDAY(A21)=1,WEEKDAY(A21)=7,NOT(ISERROR(MATCH(A21,[1]Праздники!A:A,0)))),SUM(E21*225)*1.5,SUM(E21*225))</f>
        <v>0</v>
      </c>
      <c r="L21" s="92">
        <f>IF(OR(WEEKDAY(A21)=1,WEEKDAY(A21)=7,NOT(ISERROR(MATCH(A21,[1]Праздники!A:A,0)))),SUM(F21*225)*1.5,SUM(F21*225))</f>
        <v>0</v>
      </c>
      <c r="M21" s="92">
        <f t="shared" si="2"/>
        <v>4138.4249999999993</v>
      </c>
      <c r="N21" s="92">
        <f t="shared" si="3"/>
        <v>0</v>
      </c>
      <c r="O21" s="92">
        <f t="shared" si="4"/>
        <v>4138.4249999999993</v>
      </c>
      <c r="P21" s="2" t="str">
        <f>IF(OR(WEEKDAY(A21)=1,WEEKDAY(A21)=7,NOT(ISERROR(MATCH(A21,[1]Праздники!A:A,0)))),"Выходной","Рабочий")</f>
        <v>Рабочий</v>
      </c>
    </row>
    <row r="22" spans="1:16">
      <c r="A22" s="229">
        <v>45794</v>
      </c>
      <c r="B22" s="230"/>
      <c r="C22" s="98">
        <v>0</v>
      </c>
      <c r="D22" s="99">
        <v>0</v>
      </c>
      <c r="E22" s="99"/>
      <c r="F22" s="100"/>
      <c r="G22" s="90">
        <f t="shared" si="5"/>
        <v>275.89499999999998</v>
      </c>
      <c r="H22" s="91"/>
      <c r="I22" s="92">
        <f t="shared" si="0"/>
        <v>0</v>
      </c>
      <c r="J22" s="92">
        <f t="shared" si="1"/>
        <v>0</v>
      </c>
      <c r="K22" s="92">
        <f>IF(OR(WEEKDAY(A22)=1,WEEKDAY(A22)=7,NOT(ISERROR(MATCH(A22,[1]Праздники!A:A,0)))),SUM(E22*225)*1.5,SUM(E22*225))</f>
        <v>0</v>
      </c>
      <c r="L22" s="92">
        <f>IF(OR(WEEKDAY(A22)=1,WEEKDAY(A22)=7,NOT(ISERROR(MATCH(A22,[1]Праздники!A:A,0)))),SUM(F22*225)*1.5,SUM(F22*225))</f>
        <v>0</v>
      </c>
      <c r="M22" s="92">
        <f t="shared" si="2"/>
        <v>4138.4249999999993</v>
      </c>
      <c r="N22" s="92">
        <f t="shared" si="3"/>
        <v>0</v>
      </c>
      <c r="O22" s="92">
        <f t="shared" si="4"/>
        <v>4138.4249999999993</v>
      </c>
      <c r="P22" s="2" t="str">
        <f>IF(OR(WEEKDAY(A22)=1,WEEKDAY(A22)=7,NOT(ISERROR(MATCH(A22,[1]Праздники!A:A,0)))),"Выходной","Рабочий")</f>
        <v>Выходной</v>
      </c>
    </row>
    <row r="23" spans="1:16">
      <c r="A23" s="229">
        <v>45795</v>
      </c>
      <c r="B23" s="230"/>
      <c r="C23" s="98">
        <v>0</v>
      </c>
      <c r="D23" s="99">
        <v>0</v>
      </c>
      <c r="E23" s="99"/>
      <c r="F23" s="100"/>
      <c r="G23" s="90">
        <f t="shared" si="5"/>
        <v>275.89499999999998</v>
      </c>
      <c r="H23" s="91"/>
      <c r="I23" s="92">
        <f t="shared" si="0"/>
        <v>0</v>
      </c>
      <c r="J23" s="92">
        <f t="shared" si="1"/>
        <v>0</v>
      </c>
      <c r="K23" s="92">
        <f>IF(OR(WEEKDAY(A23)=1,WEEKDAY(A23)=7,NOT(ISERROR(MATCH(A23,[1]Праздники!A:A,0)))),SUM(E23*225)*1.5,SUM(E23*225))</f>
        <v>0</v>
      </c>
      <c r="L23" s="92">
        <f>IF(OR(WEEKDAY(A23)=1,WEEKDAY(A23)=7,NOT(ISERROR(MATCH(A23,[1]Праздники!A:A,0)))),SUM(F23*225)*1.5,SUM(F23*225))</f>
        <v>0</v>
      </c>
      <c r="M23" s="92">
        <f t="shared" si="2"/>
        <v>4138.4249999999993</v>
      </c>
      <c r="N23" s="92">
        <f t="shared" si="3"/>
        <v>0</v>
      </c>
      <c r="O23" s="92">
        <f t="shared" si="4"/>
        <v>4138.4249999999993</v>
      </c>
      <c r="P23" s="2" t="str">
        <f>IF(OR(WEEKDAY(A23)=1,WEEKDAY(A23)=7,NOT(ISERROR(MATCH(A23,[1]Праздники!A:A,0)))),"Выходной","Рабочий")</f>
        <v>Выходной</v>
      </c>
    </row>
    <row r="24" spans="1:16">
      <c r="A24" s="229">
        <v>45796</v>
      </c>
      <c r="B24" s="230"/>
      <c r="C24" s="98">
        <v>0</v>
      </c>
      <c r="D24" s="99">
        <v>0</v>
      </c>
      <c r="E24" s="99"/>
      <c r="F24" s="100"/>
      <c r="G24" s="90">
        <f t="shared" si="5"/>
        <v>275.89499999999998</v>
      </c>
      <c r="H24" s="91"/>
      <c r="I24" s="92">
        <f t="shared" si="0"/>
        <v>0</v>
      </c>
      <c r="J24" s="92">
        <f t="shared" si="1"/>
        <v>0</v>
      </c>
      <c r="K24" s="92">
        <f>IF(OR(WEEKDAY(A24)=1,WEEKDAY(A24)=7,NOT(ISERROR(MATCH(A24,[1]Праздники!A:A,0)))),SUM(E24*225)*1.5,SUM(E24*225))</f>
        <v>0</v>
      </c>
      <c r="L24" s="92">
        <f>IF(OR(WEEKDAY(A24)=1,WEEKDAY(A24)=7,NOT(ISERROR(MATCH(A24,[1]Праздники!A:A,0)))),SUM(F24*225)*1.5,SUM(F24*225))</f>
        <v>0</v>
      </c>
      <c r="M24" s="92">
        <f t="shared" si="2"/>
        <v>4138.4249999999993</v>
      </c>
      <c r="N24" s="92">
        <f t="shared" si="3"/>
        <v>0</v>
      </c>
      <c r="O24" s="92">
        <f t="shared" si="4"/>
        <v>4138.4249999999993</v>
      </c>
      <c r="P24" s="2" t="str">
        <f>IF(OR(WEEKDAY(A24)=1,WEEKDAY(A24)=7,NOT(ISERROR(MATCH(A24,[1]Праздники!A:A,0)))),"Выходной","Рабочий")</f>
        <v>Рабочий</v>
      </c>
    </row>
    <row r="25" spans="1:16">
      <c r="A25" s="229">
        <v>45797</v>
      </c>
      <c r="B25" s="230"/>
      <c r="C25" s="98">
        <v>0</v>
      </c>
      <c r="D25" s="99">
        <v>0</v>
      </c>
      <c r="E25" s="99"/>
      <c r="F25" s="100"/>
      <c r="G25" s="90">
        <f t="shared" si="5"/>
        <v>275.89499999999998</v>
      </c>
      <c r="H25" s="91"/>
      <c r="I25" s="92">
        <f t="shared" si="0"/>
        <v>0</v>
      </c>
      <c r="J25" s="92">
        <f t="shared" si="1"/>
        <v>0</v>
      </c>
      <c r="K25" s="92">
        <f>IF(OR(WEEKDAY(A25)=1,WEEKDAY(A25)=7,NOT(ISERROR(MATCH(A25,[1]Праздники!A:A,0)))),SUM(E25*225)*1.5,SUM(E25*225))</f>
        <v>0</v>
      </c>
      <c r="L25" s="92">
        <f>IF(OR(WEEKDAY(A25)=1,WEEKDAY(A25)=7,NOT(ISERROR(MATCH(A25,[1]Праздники!A:A,0)))),SUM(F25*225)*1.5,SUM(F25*225))</f>
        <v>0</v>
      </c>
      <c r="M25" s="92">
        <f t="shared" si="2"/>
        <v>4138.4249999999993</v>
      </c>
      <c r="N25" s="92">
        <f t="shared" si="3"/>
        <v>0</v>
      </c>
      <c r="O25" s="92">
        <f t="shared" si="4"/>
        <v>4138.4249999999993</v>
      </c>
      <c r="P25" s="2" t="str">
        <f>IF(OR(WEEKDAY(A25)=1,WEEKDAY(A25)=7,NOT(ISERROR(MATCH(A25,[1]Праздники!A:A,0)))),"Выходной","Рабочий")</f>
        <v>Рабочий</v>
      </c>
    </row>
    <row r="26" spans="1:16">
      <c r="A26" s="229">
        <v>45798</v>
      </c>
      <c r="B26" s="230"/>
      <c r="C26" s="98">
        <v>0</v>
      </c>
      <c r="D26" s="99">
        <v>0</v>
      </c>
      <c r="E26" s="104"/>
      <c r="F26" s="100"/>
      <c r="G26" s="90">
        <f t="shared" si="5"/>
        <v>275.89499999999998</v>
      </c>
      <c r="H26" s="91"/>
      <c r="I26" s="92">
        <f t="shared" si="0"/>
        <v>0</v>
      </c>
      <c r="J26" s="92">
        <f t="shared" si="1"/>
        <v>0</v>
      </c>
      <c r="K26" s="92">
        <f>IF(OR(WEEKDAY(A26)=1,WEEKDAY(A26)=7,NOT(ISERROR(MATCH(A26,[1]Праздники!A:A,0)))),SUM(E26*225)*1.5,SUM(E26*225))</f>
        <v>0</v>
      </c>
      <c r="L26" s="92">
        <f>IF(OR(WEEKDAY(A26)=1,WEEKDAY(A26)=7,NOT(ISERROR(MATCH(A26,[1]Праздники!A:A,0)))),SUM(F26*225)*1.5,SUM(F26*225))</f>
        <v>0</v>
      </c>
      <c r="M26" s="92">
        <f t="shared" si="2"/>
        <v>4138.4249999999993</v>
      </c>
      <c r="N26" s="92">
        <f t="shared" si="3"/>
        <v>0</v>
      </c>
      <c r="O26" s="92">
        <f t="shared" si="4"/>
        <v>4138.4249999999993</v>
      </c>
      <c r="P26" s="2" t="str">
        <f>IF(OR(WEEKDAY(A26)=1,WEEKDAY(A26)=7,NOT(ISERROR(MATCH(A26,[1]Праздники!A:A,0)))),"Выходной","Рабочий")</f>
        <v>Рабочий</v>
      </c>
    </row>
    <row r="27" spans="1:16" ht="15" customHeight="1">
      <c r="A27" s="229">
        <v>45799</v>
      </c>
      <c r="B27" s="230"/>
      <c r="C27" s="98">
        <v>0</v>
      </c>
      <c r="D27" s="99">
        <v>0</v>
      </c>
      <c r="E27" s="99"/>
      <c r="F27" s="103"/>
      <c r="G27" s="90">
        <f t="shared" si="5"/>
        <v>275.89499999999998</v>
      </c>
      <c r="H27" s="91"/>
      <c r="I27" s="92">
        <f t="shared" si="0"/>
        <v>0</v>
      </c>
      <c r="J27" s="92">
        <f t="shared" si="1"/>
        <v>0</v>
      </c>
      <c r="K27" s="92">
        <f>IF(OR(WEEKDAY(A27)=1,WEEKDAY(A27)=7,NOT(ISERROR(MATCH(A27,[1]Праздники!A:A,0)))),SUM(E27*225)*1.5,SUM(E27*225))</f>
        <v>0</v>
      </c>
      <c r="L27" s="92">
        <f>IF(OR(WEEKDAY(A27)=1,WEEKDAY(A27)=7,NOT(ISERROR(MATCH(A27,[1]Праздники!A:A,0)))),SUM(F27*225)*1.5,SUM(F27*225))</f>
        <v>0</v>
      </c>
      <c r="M27" s="92">
        <f t="shared" si="2"/>
        <v>4138.4249999999993</v>
      </c>
      <c r="N27" s="92">
        <f t="shared" si="3"/>
        <v>0</v>
      </c>
      <c r="O27" s="92">
        <f t="shared" si="4"/>
        <v>4138.4249999999993</v>
      </c>
      <c r="P27" s="2" t="str">
        <f>IF(OR(WEEKDAY(A27)=1,WEEKDAY(A27)=7,NOT(ISERROR(MATCH(A27,[1]Праздники!A:A,0)))),"Выходной","Рабочий")</f>
        <v>Рабочий</v>
      </c>
    </row>
    <row r="28" spans="1:16">
      <c r="A28" s="229">
        <v>45800</v>
      </c>
      <c r="B28" s="230"/>
      <c r="C28" s="98">
        <v>0</v>
      </c>
      <c r="D28" s="99">
        <v>0</v>
      </c>
      <c r="E28" s="99"/>
      <c r="F28" s="100"/>
      <c r="G28" s="90">
        <f t="shared" si="5"/>
        <v>275.89499999999998</v>
      </c>
      <c r="H28" s="91"/>
      <c r="I28" s="92">
        <f t="shared" si="0"/>
        <v>0</v>
      </c>
      <c r="J28" s="92">
        <f t="shared" si="1"/>
        <v>0</v>
      </c>
      <c r="K28" s="92">
        <f>IF(OR(WEEKDAY(A28)=1,WEEKDAY(A28)=7,NOT(ISERROR(MATCH(A28,[1]Праздники!A:A,0)))),SUM(E28*225)*1.5,SUM(E28*225))</f>
        <v>0</v>
      </c>
      <c r="L28" s="92">
        <f>IF(OR(WEEKDAY(A28)=1,WEEKDAY(A28)=7,NOT(ISERROR(MATCH(A28,[1]Праздники!A:A,0)))),SUM(F28*225)*1.5,SUM(F28*225))</f>
        <v>0</v>
      </c>
      <c r="M28" s="92">
        <f t="shared" si="2"/>
        <v>4138.4249999999993</v>
      </c>
      <c r="N28" s="92">
        <f t="shared" si="3"/>
        <v>0</v>
      </c>
      <c r="O28" s="92">
        <f t="shared" si="4"/>
        <v>4138.4249999999993</v>
      </c>
      <c r="P28" s="2" t="str">
        <f>IF(OR(WEEKDAY(A28)=1,WEEKDAY(A28)=7,NOT(ISERROR(MATCH(A28,[1]Праздники!A:A,0)))),"Выходной","Рабочий")</f>
        <v>Рабочий</v>
      </c>
    </row>
    <row r="29" spans="1:16">
      <c r="A29" s="229">
        <v>45801</v>
      </c>
      <c r="B29" s="230"/>
      <c r="C29" s="98">
        <v>0</v>
      </c>
      <c r="D29" s="99">
        <v>43.924999999999997</v>
      </c>
      <c r="E29" s="99"/>
      <c r="F29" s="100"/>
      <c r="G29" s="90">
        <f t="shared" si="5"/>
        <v>275.89499999999998</v>
      </c>
      <c r="H29" s="91"/>
      <c r="I29" s="92">
        <f t="shared" si="0"/>
        <v>0</v>
      </c>
      <c r="J29" s="92">
        <f t="shared" si="1"/>
        <v>9883.125</v>
      </c>
      <c r="K29" s="92">
        <f>IF(OR(WEEKDAY(A29)=1,WEEKDAY(A29)=7,NOT(ISERROR(MATCH(A29,[1]Праздники!A:A,0)))),SUM(E29*225)*1.5,SUM(E29*225))</f>
        <v>0</v>
      </c>
      <c r="L29" s="92">
        <f>IF(OR(WEEKDAY(A29)=1,WEEKDAY(A29)=7,NOT(ISERROR(MATCH(A29,[1]Праздники!A:A,0)))),SUM(F29*225)*1.5,SUM(F29*225))</f>
        <v>0</v>
      </c>
      <c r="M29" s="92">
        <f t="shared" si="2"/>
        <v>4138.4249999999993</v>
      </c>
      <c r="N29" s="92">
        <f t="shared" si="3"/>
        <v>0</v>
      </c>
      <c r="O29" s="92">
        <f t="shared" si="4"/>
        <v>14021.55</v>
      </c>
      <c r="P29" s="2" t="str">
        <f>IF(OR(WEEKDAY(A29)=1,WEEKDAY(A29)=7,NOT(ISERROR(MATCH(A29,[1]Праздники!A:A,0)))),"Выходной","Рабочий")</f>
        <v>Выходной</v>
      </c>
    </row>
    <row r="30" spans="1:16">
      <c r="A30" s="229">
        <v>45802</v>
      </c>
      <c r="B30" s="230"/>
      <c r="C30" s="98">
        <v>0</v>
      </c>
      <c r="D30" s="99">
        <v>6.8</v>
      </c>
      <c r="E30" s="99"/>
      <c r="F30" s="100"/>
      <c r="G30" s="90">
        <f t="shared" si="5"/>
        <v>231.96999999999997</v>
      </c>
      <c r="H30" s="91"/>
      <c r="I30" s="92">
        <f t="shared" si="0"/>
        <v>0</v>
      </c>
      <c r="J30" s="92">
        <f t="shared" si="1"/>
        <v>1530</v>
      </c>
      <c r="K30" s="92">
        <f>IF(OR(WEEKDAY(A30)=1,WEEKDAY(A30)=7,NOT(ISERROR(MATCH(A30,[1]Праздники!A:A,0)))),SUM(E30*225)*1.5,SUM(E30*225))</f>
        <v>0</v>
      </c>
      <c r="L30" s="92">
        <f>IF(OR(WEEKDAY(A30)=1,WEEKDAY(A30)=7,NOT(ISERROR(MATCH(A30,[1]Праздники!A:A,0)))),SUM(F30*225)*1.5,SUM(F30*225))</f>
        <v>0</v>
      </c>
      <c r="M30" s="92">
        <f t="shared" si="2"/>
        <v>3479.5499999999997</v>
      </c>
      <c r="N30" s="92">
        <f t="shared" si="3"/>
        <v>0</v>
      </c>
      <c r="O30" s="92">
        <f t="shared" si="4"/>
        <v>5009.5499999999993</v>
      </c>
      <c r="P30" s="2" t="str">
        <f>IF(OR(WEEKDAY(A30)=1,WEEKDAY(A30)=7,NOT(ISERROR(MATCH(A30,[1]Праздники!A:A,0)))),"Выходной","Рабочий")</f>
        <v>Выходной</v>
      </c>
    </row>
    <row r="31" spans="1:16">
      <c r="A31" s="229">
        <v>45803</v>
      </c>
      <c r="B31" s="230"/>
      <c r="C31" s="98">
        <v>0</v>
      </c>
      <c r="D31" s="99">
        <v>0</v>
      </c>
      <c r="E31" s="99"/>
      <c r="F31" s="100"/>
      <c r="G31" s="90">
        <f t="shared" si="5"/>
        <v>225.16999999999996</v>
      </c>
      <c r="H31" s="91"/>
      <c r="I31" s="92">
        <f t="shared" si="0"/>
        <v>0</v>
      </c>
      <c r="J31" s="92">
        <f t="shared" si="1"/>
        <v>0</v>
      </c>
      <c r="K31" s="92">
        <f>IF(OR(WEEKDAY(A31)=1,WEEKDAY(A31)=7,NOT(ISERROR(MATCH(A31,[1]Праздники!A:A,0)))),SUM(E31*225)*1.5,SUM(E31*225))</f>
        <v>0</v>
      </c>
      <c r="L31" s="92">
        <f>IF(OR(WEEKDAY(A31)=1,WEEKDAY(A31)=7,NOT(ISERROR(MATCH(A31,[1]Праздники!A:A,0)))),SUM(F31*225)*1.5,SUM(F31*225))</f>
        <v>0</v>
      </c>
      <c r="M31" s="92">
        <f t="shared" si="2"/>
        <v>3377.5499999999993</v>
      </c>
      <c r="N31" s="92">
        <f t="shared" si="3"/>
        <v>0</v>
      </c>
      <c r="O31" s="92">
        <f t="shared" si="4"/>
        <v>3377.5499999999993</v>
      </c>
      <c r="P31" s="2" t="str">
        <f>IF(OR(WEEKDAY(A31)=1,WEEKDAY(A31)=7,NOT(ISERROR(MATCH(A31,[1]Праздники!A:A,0)))),"Выходной","Рабочий")</f>
        <v>Рабочий</v>
      </c>
    </row>
    <row r="32" spans="1:16">
      <c r="A32" s="229">
        <v>45804</v>
      </c>
      <c r="B32" s="230"/>
      <c r="C32" s="98">
        <v>0</v>
      </c>
      <c r="D32" s="99">
        <v>13.5</v>
      </c>
      <c r="E32" s="99"/>
      <c r="F32" s="100"/>
      <c r="G32" s="90">
        <f t="shared" si="5"/>
        <v>225.16999999999996</v>
      </c>
      <c r="H32" s="91"/>
      <c r="I32" s="92">
        <f t="shared" si="0"/>
        <v>0</v>
      </c>
      <c r="J32" s="92">
        <f t="shared" si="1"/>
        <v>2025</v>
      </c>
      <c r="K32" s="92">
        <f>IF(OR(WEEKDAY(A32)=1,WEEKDAY(A32)=7,NOT(ISERROR(MATCH(A32,[1]Праздники!A:A,0)))),SUM(E32*225)*1.5,SUM(E32*225))</f>
        <v>0</v>
      </c>
      <c r="L32" s="92">
        <f>IF(OR(WEEKDAY(A32)=1,WEEKDAY(A32)=7,NOT(ISERROR(MATCH(A32,[1]Праздники!A:A,0)))),SUM(F32*225)*1.5,SUM(F32*225))</f>
        <v>0</v>
      </c>
      <c r="M32" s="92">
        <f t="shared" si="2"/>
        <v>3377.5499999999993</v>
      </c>
      <c r="N32" s="92">
        <f t="shared" si="3"/>
        <v>0</v>
      </c>
      <c r="O32" s="92">
        <f t="shared" si="4"/>
        <v>5402.5499999999993</v>
      </c>
      <c r="P32" s="2" t="str">
        <f>IF(OR(WEEKDAY(A32)=1,WEEKDAY(A32)=7,NOT(ISERROR(MATCH(A32,[1]Праздники!A:A,0)))),"Выходной","Рабочий")</f>
        <v>Рабочий</v>
      </c>
    </row>
    <row r="33" spans="1:17">
      <c r="A33" s="229">
        <v>45805</v>
      </c>
      <c r="B33" s="230"/>
      <c r="C33" s="98">
        <v>0</v>
      </c>
      <c r="D33" s="99">
        <v>21</v>
      </c>
      <c r="E33" s="99"/>
      <c r="F33" s="100"/>
      <c r="G33" s="90">
        <f t="shared" si="5"/>
        <v>211.66999999999996</v>
      </c>
      <c r="H33" s="91"/>
      <c r="I33" s="92">
        <f t="shared" si="0"/>
        <v>0</v>
      </c>
      <c r="J33" s="92">
        <f t="shared" si="1"/>
        <v>3150</v>
      </c>
      <c r="K33" s="92">
        <f>IF(OR(WEEKDAY(A33)=1,WEEKDAY(A33)=7,NOT(ISERROR(MATCH(A33,[1]Праздники!A:A,0)))),SUM(E33*225)*1.5,SUM(E33*225))</f>
        <v>0</v>
      </c>
      <c r="L33" s="92">
        <f>IF(OR(WEEKDAY(A33)=1,WEEKDAY(A33)=7,NOT(ISERROR(MATCH(A33,[1]Праздники!A:A,0)))),SUM(F33*225)*1.5,SUM(F33*225))</f>
        <v>0</v>
      </c>
      <c r="M33" s="92">
        <f t="shared" si="2"/>
        <v>3175.0499999999993</v>
      </c>
      <c r="N33" s="92">
        <f t="shared" si="3"/>
        <v>0</v>
      </c>
      <c r="O33" s="92">
        <f t="shared" si="4"/>
        <v>6325.0499999999993</v>
      </c>
      <c r="P33" s="2" t="str">
        <f>IF(OR(WEEKDAY(A33)=1,WEEKDAY(A33)=7,NOT(ISERROR(MATCH(A33,[1]Праздники!A:A,0)))),"Выходной","Рабочий")</f>
        <v>Рабочий</v>
      </c>
    </row>
    <row r="34" spans="1:17">
      <c r="A34" s="229">
        <v>45806</v>
      </c>
      <c r="B34" s="230"/>
      <c r="C34" s="98">
        <v>0</v>
      </c>
      <c r="D34" s="99">
        <v>0</v>
      </c>
      <c r="E34" s="99"/>
      <c r="F34" s="100"/>
      <c r="G34" s="90">
        <f t="shared" si="5"/>
        <v>190.66999999999996</v>
      </c>
      <c r="H34" s="91"/>
      <c r="I34" s="92">
        <f t="shared" si="0"/>
        <v>0</v>
      </c>
      <c r="J34" s="92">
        <f t="shared" si="1"/>
        <v>0</v>
      </c>
      <c r="K34" s="92">
        <f>IF(OR(WEEKDAY(A34)=1,WEEKDAY(A34)=7,NOT(ISERROR(MATCH(A34,[1]Праздники!A:A,0)))),SUM(E34*225)*1.5,SUM(E34*225))</f>
        <v>0</v>
      </c>
      <c r="L34" s="92">
        <f>IF(OR(WEEKDAY(A34)=1,WEEKDAY(A34)=7,NOT(ISERROR(MATCH(A34,[1]Праздники!A:A,0)))),SUM(F34*225)*1.5,SUM(F34*225))</f>
        <v>0</v>
      </c>
      <c r="M34" s="92">
        <f t="shared" si="2"/>
        <v>2860.0499999999993</v>
      </c>
      <c r="N34" s="92">
        <f t="shared" si="3"/>
        <v>0</v>
      </c>
      <c r="O34" s="92">
        <f t="shared" si="4"/>
        <v>2860.0499999999993</v>
      </c>
      <c r="P34" s="2" t="str">
        <f>IF(OR(WEEKDAY(A34)=1,WEEKDAY(A34)=7,NOT(ISERROR(MATCH(A34,[1]Праздники!A:A,0)))),"Выходной","Рабочий")</f>
        <v>Рабочий</v>
      </c>
    </row>
    <row r="35" spans="1:17">
      <c r="A35" s="229">
        <v>45807</v>
      </c>
      <c r="B35" s="230"/>
      <c r="C35" s="98">
        <v>0</v>
      </c>
      <c r="D35" s="99">
        <v>0</v>
      </c>
      <c r="E35" s="90"/>
      <c r="F35" s="100"/>
      <c r="G35" s="90">
        <f t="shared" si="5"/>
        <v>190.66999999999996</v>
      </c>
      <c r="H35" s="91"/>
      <c r="I35" s="92">
        <f t="shared" si="0"/>
        <v>0</v>
      </c>
      <c r="J35" s="92">
        <f t="shared" si="1"/>
        <v>0</v>
      </c>
      <c r="K35" s="92">
        <f>IF(OR(WEEKDAY(A35)=1,WEEKDAY(A35)=7,NOT(ISERROR(MATCH(A35,[1]Праздники!A:A,0)))),SUM(E35*225)*1.5,SUM(E35*225))</f>
        <v>0</v>
      </c>
      <c r="L35" s="92">
        <f>IF(OR(WEEKDAY(A35)=1,WEEKDAY(A35)=7,NOT(ISERROR(MATCH(A35,[1]Праздники!A:A,0)))),SUM(F35*225)*1.5,SUM(F35*225))</f>
        <v>0</v>
      </c>
      <c r="M35" s="92">
        <f t="shared" si="2"/>
        <v>2860.0499999999993</v>
      </c>
      <c r="N35" s="92">
        <f t="shared" si="3"/>
        <v>0</v>
      </c>
      <c r="O35" s="92">
        <f t="shared" si="4"/>
        <v>2860.0499999999993</v>
      </c>
      <c r="P35" s="2" t="str">
        <f>IF(OR(WEEKDAY(A35)=1,WEEKDAY(A35)=7,NOT(ISERROR(MATCH(A35,[1]Праздники!A:A,0)))),"Выходной","Рабочий")</f>
        <v>Рабочий</v>
      </c>
    </row>
    <row r="36" spans="1:17" ht="15.75" thickBot="1">
      <c r="A36" s="229">
        <v>45808</v>
      </c>
      <c r="B36" s="230"/>
      <c r="C36" s="98">
        <v>0</v>
      </c>
      <c r="D36" s="99">
        <v>0</v>
      </c>
      <c r="E36" s="90"/>
      <c r="F36" s="100"/>
      <c r="G36" s="90">
        <f t="shared" si="5"/>
        <v>190.66999999999996</v>
      </c>
      <c r="H36" s="91"/>
      <c r="I36" s="92">
        <f t="shared" si="0"/>
        <v>0</v>
      </c>
      <c r="J36" s="92">
        <f t="shared" si="1"/>
        <v>0</v>
      </c>
      <c r="K36" s="92">
        <f>IF(OR(WEEKDAY(A36)=1,WEEKDAY(A36)=7,NOT(ISERROR(MATCH(A36,[1]Праздники!A:A,0)))),SUM(E36*225)*1.5,SUM(E36*225))</f>
        <v>0</v>
      </c>
      <c r="L36" s="92">
        <f>IF(OR(WEEKDAY(A36)=1,WEEKDAY(A36)=7,NOT(ISERROR(MATCH(A36,[1]Праздники!A:A,0)))),SUM(F36*225)*1.5,SUM(F36*225))</f>
        <v>0</v>
      </c>
      <c r="M36" s="92">
        <f t="shared" si="2"/>
        <v>2860.0499999999993</v>
      </c>
      <c r="N36" s="92">
        <f t="shared" si="3"/>
        <v>0</v>
      </c>
      <c r="O36" s="92">
        <f t="shared" ref="O36" si="6">SUM(I36:N36)</f>
        <v>2860.0499999999993</v>
      </c>
      <c r="P36" s="2" t="str">
        <f>IF(OR(WEEKDAY(A36)=1,WEEKDAY(A36)=7,NOT(ISERROR(MATCH(A36,[1]Праздники!A:A,0)))),"Выходной","Рабочий")</f>
        <v>Выходной</v>
      </c>
    </row>
    <row r="37" spans="1:17" ht="15.75" thickBot="1">
      <c r="C37" s="93">
        <f>SUM(C6:C36)</f>
        <v>0</v>
      </c>
      <c r="D37" s="93">
        <f t="shared" ref="D37:O37" si="7">SUM(D6:D36)</f>
        <v>108.47499999999999</v>
      </c>
      <c r="E37" s="93">
        <f t="shared" si="7"/>
        <v>0</v>
      </c>
      <c r="F37" s="93">
        <f t="shared" si="7"/>
        <v>0</v>
      </c>
      <c r="G37" s="93">
        <f t="shared" si="7"/>
        <v>8346.345000000003</v>
      </c>
      <c r="H37" s="105">
        <f t="shared" si="7"/>
        <v>0</v>
      </c>
      <c r="I37" s="94">
        <f t="shared" si="7"/>
        <v>0</v>
      </c>
      <c r="J37" s="94">
        <f t="shared" si="7"/>
        <v>20788.125</v>
      </c>
      <c r="K37" s="94">
        <f t="shared" si="7"/>
        <v>0</v>
      </c>
      <c r="L37" s="94">
        <f t="shared" si="7"/>
        <v>0</v>
      </c>
      <c r="M37" s="94">
        <f t="shared" si="7"/>
        <v>125195.17500000006</v>
      </c>
      <c r="N37" s="94">
        <f t="shared" si="7"/>
        <v>0</v>
      </c>
      <c r="O37" s="95">
        <f t="shared" si="7"/>
        <v>145983.29999999999</v>
      </c>
    </row>
    <row r="38" spans="1:17" ht="15.75" thickBot="1">
      <c r="G38" s="89"/>
      <c r="L38" s="18"/>
      <c r="M38" s="89"/>
      <c r="N38" s="105" t="s">
        <v>116</v>
      </c>
      <c r="O38" s="96">
        <f>O37*1.2</f>
        <v>175179.96</v>
      </c>
      <c r="Q38" s="97"/>
    </row>
    <row r="39" spans="1:17">
      <c r="G39" s="89"/>
      <c r="M39" s="89"/>
    </row>
    <row r="40" spans="1:17">
      <c r="G40" s="89"/>
      <c r="M40" s="89"/>
    </row>
  </sheetData>
  <mergeCells count="44">
    <mergeCell ref="E4:E5"/>
    <mergeCell ref="F4:F5"/>
    <mergeCell ref="H4:H5"/>
    <mergeCell ref="A16:B16"/>
    <mergeCell ref="O4:O5"/>
    <mergeCell ref="A6:B6"/>
    <mergeCell ref="A7:B7"/>
    <mergeCell ref="A8:B8"/>
    <mergeCell ref="A9:B9"/>
    <mergeCell ref="A10:B10"/>
    <mergeCell ref="I4:I5"/>
    <mergeCell ref="J4:J5"/>
    <mergeCell ref="K4:K5"/>
    <mergeCell ref="L4:L5"/>
    <mergeCell ref="M4:M5"/>
    <mergeCell ref="N4:N5"/>
    <mergeCell ref="A4:B5"/>
    <mergeCell ref="C4:C5"/>
    <mergeCell ref="D4:D5"/>
    <mergeCell ref="A11:B11"/>
    <mergeCell ref="A12:B12"/>
    <mergeCell ref="A13:B13"/>
    <mergeCell ref="A14:B14"/>
    <mergeCell ref="A15:B15"/>
    <mergeCell ref="A28:B28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35:B35"/>
    <mergeCell ref="A36:B36"/>
    <mergeCell ref="A29:B29"/>
    <mergeCell ref="A30:B30"/>
    <mergeCell ref="A31:B31"/>
    <mergeCell ref="A32:B32"/>
    <mergeCell ref="A33:B33"/>
    <mergeCell ref="A34:B34"/>
  </mergeCells>
  <pageMargins left="0.7" right="0.7" top="0.75" bottom="0.75" header="0.3" footer="0.3"/>
  <pageSetup paperSize="9" scale="63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F7C04-2C93-49FB-A3DB-E9D140C203E3}">
  <sheetPr codeName="Лист15"/>
  <dimension ref="A3:G22"/>
  <sheetViews>
    <sheetView workbookViewId="0">
      <selection activeCell="I15" sqref="I15"/>
    </sheetView>
  </sheetViews>
  <sheetFormatPr defaultRowHeight="15"/>
  <cols>
    <col min="1" max="1" width="13.19921875" style="2" customWidth="1"/>
    <col min="2" max="2" width="19" style="2" customWidth="1"/>
    <col min="3" max="3" width="6.8984375" style="2" customWidth="1"/>
    <col min="4" max="4" width="7.8984375" style="2" customWidth="1"/>
    <col min="5" max="5" width="7.5" style="2" customWidth="1"/>
    <col min="6" max="6" width="10.19921875" style="2" customWidth="1"/>
    <col min="7" max="7" width="9.5" style="2" customWidth="1"/>
    <col min="8" max="16384" width="8.796875" style="2"/>
  </cols>
  <sheetData>
    <row r="3" spans="1:7" ht="21">
      <c r="A3" s="77" t="str">
        <f ca="1">IF(DAY(TODAY())&gt;27,"Акт  №    от  " &amp; TEXT(TODAY(),"ДД ММММ ГГГГ"),"Акт  №    от  " &amp; TEXT(TODAY()-DAY(TODAY()),"ДД ММММ ГГГГ"))</f>
        <v>Акт  №    от  31 Декабрь 2025</v>
      </c>
    </row>
    <row r="4" spans="1:7">
      <c r="A4" s="22" t="str">
        <f ca="1">IF(DAY(TODAY()) &gt; 27, "выполненных работ (оказанных услуг) за " &amp; TEXT(TODAY(),"ММММ ГГГГ"),"выполненных работ (оказанных услуг) за " &amp; TEXT(TODAY()-DAY(TODAY()),"ММММ ГГГГ"))</f>
        <v>выполненных работ (оказанных услуг) за Декабрь 2025</v>
      </c>
      <c r="B4" s="22"/>
      <c r="C4" s="22"/>
    </row>
    <row r="5" spans="1:7">
      <c r="A5" s="22" t="s">
        <v>130</v>
      </c>
      <c r="B5" s="22"/>
      <c r="C5" s="22"/>
    </row>
    <row r="6" spans="1:7">
      <c r="A6" s="2" t="s">
        <v>118</v>
      </c>
    </row>
    <row r="7" spans="1:7">
      <c r="A7" s="2" t="str">
        <f ca="1">IF(DAY(TODAY()) &gt; 27,"Во исполнение Договора в период с " &amp; TEXT(TODAY()-DAY(TODAY()-DAY(TODAY())),"ДД ММММ ГГГГ") &amp; " г. По " &amp; TEXT(TODAY(),"ДД ММММ ГГГГ") &amp; "  г. ХРАНИТЕЛЬ оказал ПОКЛАЖЕДАТЕЛЮ следующие услуги (работы):"," Во исполнение Договора в период с " &amp; TEXT(TODAY()-DAY(TODAY())-DAY(TODAY()-DAY(TODAY()))+1,"ДД ММММ ГГГГ") &amp; " г. По " &amp; TEXT(TODAY()-DAY(TODAY()),"ДД ММММ ГГГГ") &amp; "  г. ХРАНИТЕЛЬ оказал ПОКЛАЖЕДАТЕЛЮ следующие услуги (работы):")</f>
        <v xml:space="preserve"> Во исполнение Договора в период с 01 Декабрь 2025 г. По 31 Декабрь 2025  г. ХРАНИТЕЛЬ оказал ПОКЛАЖЕДАТЕЛЮ следующие услуги (работы):</v>
      </c>
    </row>
    <row r="9" spans="1:7">
      <c r="A9" s="79" t="s">
        <v>0</v>
      </c>
      <c r="B9" s="79" t="s">
        <v>78</v>
      </c>
      <c r="C9" s="79" t="s">
        <v>79</v>
      </c>
      <c r="D9" s="79" t="s">
        <v>80</v>
      </c>
      <c r="E9" s="79" t="s">
        <v>81</v>
      </c>
      <c r="F9" s="79" t="s">
        <v>131</v>
      </c>
      <c r="G9" s="79" t="s">
        <v>132</v>
      </c>
    </row>
    <row r="10" spans="1:7" ht="15.75">
      <c r="A10" s="80">
        <v>1</v>
      </c>
      <c r="B10" s="79" t="s">
        <v>133</v>
      </c>
      <c r="C10" s="80" t="s">
        <v>134</v>
      </c>
      <c r="D10" s="6">
        <v>15</v>
      </c>
      <c r="E10" s="86">
        <v>2000</v>
      </c>
      <c r="F10" s="86">
        <f>SUM(D10*E10)</f>
        <v>30000</v>
      </c>
      <c r="G10" s="86">
        <f>F10*1.2</f>
        <v>36000</v>
      </c>
    </row>
    <row r="11" spans="1:7" ht="15.75">
      <c r="A11" s="80">
        <v>2</v>
      </c>
      <c r="B11" s="79" t="s">
        <v>135</v>
      </c>
      <c r="C11" s="80" t="s">
        <v>134</v>
      </c>
      <c r="D11" s="6"/>
      <c r="E11" s="86"/>
      <c r="F11" s="86">
        <f>SUM(D11*E11)</f>
        <v>0</v>
      </c>
      <c r="G11" s="86">
        <f>F11*1.2</f>
        <v>0</v>
      </c>
    </row>
    <row r="12" spans="1:7" ht="15.75">
      <c r="A12" s="118"/>
      <c r="C12" s="118"/>
      <c r="D12" s="119"/>
      <c r="E12" s="76"/>
      <c r="F12" s="86">
        <f>SUM(F10:F11)</f>
        <v>30000</v>
      </c>
      <c r="G12" s="86">
        <f>SUM(G10:G11)</f>
        <v>36000</v>
      </c>
    </row>
    <row r="13" spans="1:7">
      <c r="A13" s="22" t="s">
        <v>136</v>
      </c>
      <c r="B13" s="22" t="s">
        <v>137</v>
      </c>
      <c r="C13" s="22"/>
      <c r="D13" s="22"/>
    </row>
    <row r="14" spans="1:7">
      <c r="A14" s="22" t="s">
        <v>138</v>
      </c>
      <c r="B14" s="22" t="str">
        <f>B13</f>
        <v>тридцать тысячь рублей ноль копеек</v>
      </c>
      <c r="C14" s="22"/>
      <c r="D14" s="22"/>
    </row>
    <row r="15" spans="1:7">
      <c r="A15" s="22" t="s">
        <v>85</v>
      </c>
      <c r="B15" s="22" t="s">
        <v>139</v>
      </c>
      <c r="F15" s="120"/>
      <c r="G15" s="120"/>
    </row>
    <row r="16" spans="1:7">
      <c r="A16" s="2" t="s">
        <v>86</v>
      </c>
    </row>
    <row r="17" spans="1:4">
      <c r="A17" s="2" t="s">
        <v>87</v>
      </c>
    </row>
    <row r="20" spans="1:4">
      <c r="A20" s="2" t="s">
        <v>89</v>
      </c>
      <c r="D20" s="2" t="s">
        <v>140</v>
      </c>
    </row>
    <row r="22" spans="1:4">
      <c r="A22" s="2" t="s">
        <v>129</v>
      </c>
      <c r="D22" s="2" t="s">
        <v>93</v>
      </c>
    </row>
  </sheetData>
  <pageMargins left="0.7" right="0.7" top="0.75" bottom="0.75" header="0.3" footer="0.3"/>
  <pageSetup paperSize="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CFB1B-0D82-4CAD-A0F4-5B415C44FB6B}">
  <sheetPr codeName="Лист16">
    <pageSetUpPr fitToPage="1"/>
  </sheetPr>
  <dimension ref="A3:G22"/>
  <sheetViews>
    <sheetView workbookViewId="0">
      <selection activeCell="B16" sqref="B16"/>
    </sheetView>
  </sheetViews>
  <sheetFormatPr defaultRowHeight="15"/>
  <cols>
    <col min="1" max="1" width="13.19921875" style="2" customWidth="1"/>
    <col min="2" max="2" width="19" style="2" customWidth="1"/>
    <col min="3" max="3" width="6.8984375" style="2" customWidth="1"/>
    <col min="4" max="4" width="7.8984375" style="2" customWidth="1"/>
    <col min="5" max="5" width="7.5" style="2" customWidth="1"/>
    <col min="6" max="6" width="10.19921875" style="2" customWidth="1"/>
    <col min="7" max="7" width="9.5" style="2" customWidth="1"/>
    <col min="8" max="16384" width="8.796875" style="2"/>
  </cols>
  <sheetData>
    <row r="3" spans="1:7" ht="21">
      <c r="A3" s="77" t="str">
        <f ca="1">IF(DAY(TODAY())&gt;27,"Акт  №    от  " &amp; TEXT(TODAY(),"ДД ММММ ГГГГ"),"Акт  №    от  " &amp; TEXT(TODAY()-DAY(TODAY()),"ДД ММММ ГГГГ")) &amp; " г. Нижний Новгород склад Баумана"</f>
        <v>Акт  №    от  31 Декабрь 2025 г. Нижний Новгород склад Баумана</v>
      </c>
    </row>
    <row r="4" spans="1:7">
      <c r="A4" s="22" t="str">
        <f ca="1">IF(DAY(TODAY()) &gt; 27, "выполненных работ (оказанных услуг) за " &amp; TEXT(TODAY(),"ММММ ГГГГ"),"выполненных работ (оказанных услуг) за " &amp; TEXT(TODAY()-DAY(TODAY()),"ММММ ГГГГ"))</f>
        <v>выполненных работ (оказанных услуг) за Декабрь 2025</v>
      </c>
      <c r="B4" s="22"/>
      <c r="C4" s="22"/>
    </row>
    <row r="5" spans="1:7">
      <c r="A5" s="22" t="s">
        <v>141</v>
      </c>
      <c r="B5" s="22"/>
      <c r="C5" s="22"/>
    </row>
    <row r="6" spans="1:7">
      <c r="A6" s="2" t="s">
        <v>118</v>
      </c>
    </row>
    <row r="7" spans="1:7">
      <c r="A7" s="2" t="str">
        <f ca="1">IF(DAY(TODAY()) &gt; 27," Во исполнение Договора в период с " &amp; TEXT(TODAY()-DAY(TODAY()-DAY(TODAY())),"ДД ММММ ГГГГ") &amp; " г. По " &amp; TEXT(TODAY(),"ДД ММММ ГГГГ") &amp; "  г. ХРАНИТЕЛЬ оказал ПОКЛАЖЕДАТЕЛЮ следующие услуги (работы):"," Во исполнение Договора в период с " &amp; TEXT(TODAY()-DAY(TODAY())-DAY(TODAY()-DAY(TODAY()))+1,"ДД ММММ ГГГГ") &amp; " г. По " &amp; TEXT(TODAY()-DAY(TODAY()),"ДД ММММ ГГГГ") &amp; "  г. ХРАНИТЕЛЬ оказал ПОКЛАЖЕДАТЕЛЮ следующие услуги (работы):")</f>
        <v xml:space="preserve"> Во исполнение Договора в период с 01 Декабрь 2025 г. По 31 Декабрь 2025  г. ХРАНИТЕЛЬ оказал ПОКЛАЖЕДАТЕЛЮ следующие услуги (работы):</v>
      </c>
    </row>
    <row r="9" spans="1:7">
      <c r="A9" s="79" t="s">
        <v>0</v>
      </c>
      <c r="B9" s="79" t="s">
        <v>78</v>
      </c>
      <c r="C9" s="79" t="s">
        <v>79</v>
      </c>
      <c r="D9" s="79" t="s">
        <v>80</v>
      </c>
      <c r="E9" s="79" t="s">
        <v>81</v>
      </c>
      <c r="F9" s="79" t="s">
        <v>131</v>
      </c>
      <c r="G9" s="79" t="s">
        <v>132</v>
      </c>
    </row>
    <row r="10" spans="1:7" ht="15.75">
      <c r="A10" s="80">
        <v>1</v>
      </c>
      <c r="B10" s="79" t="s">
        <v>133</v>
      </c>
      <c r="C10" s="80" t="s">
        <v>134</v>
      </c>
      <c r="D10" s="6">
        <v>1</v>
      </c>
      <c r="E10" s="86">
        <v>1000</v>
      </c>
      <c r="F10" s="86">
        <f>SUM(D10*E10)</f>
        <v>1000</v>
      </c>
      <c r="G10" s="86">
        <f>F10*1.2</f>
        <v>1200</v>
      </c>
    </row>
    <row r="11" spans="1:7" ht="15.75">
      <c r="A11" s="80">
        <v>2</v>
      </c>
      <c r="B11" s="79" t="s">
        <v>135</v>
      </c>
      <c r="C11" s="80" t="s">
        <v>134</v>
      </c>
      <c r="D11" s="6"/>
      <c r="E11" s="86"/>
      <c r="F11" s="86">
        <f>SUM(D11*E11)</f>
        <v>0</v>
      </c>
      <c r="G11" s="86">
        <f>F11*1.2</f>
        <v>0</v>
      </c>
    </row>
    <row r="12" spans="1:7" ht="15.75">
      <c r="A12" s="118"/>
      <c r="C12" s="118"/>
      <c r="D12" s="119"/>
      <c r="E12" s="76"/>
      <c r="F12" s="86">
        <f>SUM(F10:F11)</f>
        <v>1000</v>
      </c>
      <c r="G12" s="86">
        <f>SUM(G10:G11)</f>
        <v>1200</v>
      </c>
    </row>
    <row r="13" spans="1:7">
      <c r="A13" s="22" t="s">
        <v>136</v>
      </c>
      <c r="B13" s="22" t="s">
        <v>142</v>
      </c>
      <c r="C13" s="22"/>
      <c r="D13" s="22"/>
    </row>
    <row r="14" spans="1:7">
      <c r="A14" s="22" t="s">
        <v>138</v>
      </c>
      <c r="B14" s="22" t="str">
        <f>B13</f>
        <v>одна тысяча рублей ноль копеек</v>
      </c>
      <c r="C14" s="22"/>
      <c r="D14" s="22"/>
    </row>
    <row r="15" spans="1:7">
      <c r="A15" s="22" t="s">
        <v>85</v>
      </c>
      <c r="B15" s="22" t="s">
        <v>143</v>
      </c>
      <c r="F15" s="120"/>
      <c r="G15" s="120"/>
    </row>
    <row r="16" spans="1:7">
      <c r="A16" s="2" t="s">
        <v>86</v>
      </c>
    </row>
    <row r="17" spans="1:4">
      <c r="A17" s="2" t="s">
        <v>87</v>
      </c>
    </row>
    <row r="20" spans="1:4">
      <c r="A20" s="2" t="s">
        <v>89</v>
      </c>
      <c r="D20" s="2" t="s">
        <v>140</v>
      </c>
    </row>
    <row r="22" spans="1:4">
      <c r="A22" s="2" t="s">
        <v>129</v>
      </c>
      <c r="D22" s="2" t="s">
        <v>93</v>
      </c>
    </row>
  </sheetData>
  <pageMargins left="0.7" right="0.7" top="0.75" bottom="0.75" header="0.3" footer="0.3"/>
  <pageSetup paperSize="9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25855-23BF-42DB-A327-CBCB24359A45}">
  <sheetPr codeName="Лист17">
    <pageSetUpPr fitToPage="1"/>
  </sheetPr>
  <dimension ref="A3:G22"/>
  <sheetViews>
    <sheetView workbookViewId="0">
      <selection activeCell="B16" sqref="B16"/>
    </sheetView>
  </sheetViews>
  <sheetFormatPr defaultRowHeight="15"/>
  <cols>
    <col min="1" max="1" width="13.19921875" style="2" customWidth="1"/>
    <col min="2" max="2" width="19" style="2" customWidth="1"/>
    <col min="3" max="3" width="6.8984375" style="2" customWidth="1"/>
    <col min="4" max="4" width="7.8984375" style="2" customWidth="1"/>
    <col min="5" max="5" width="7.5" style="2" customWidth="1"/>
    <col min="6" max="6" width="10.19921875" style="2" customWidth="1"/>
    <col min="7" max="7" width="9.5" style="2" customWidth="1"/>
    <col min="8" max="16384" width="8.796875" style="2"/>
  </cols>
  <sheetData>
    <row r="3" spans="1:7" ht="21">
      <c r="A3" s="77" t="str">
        <f ca="1">IF(DAY(TODAY())&gt;27,"Акт  №    от  " &amp; TEXT(TODAY(),"ДД ММММ ГГГГ"),"Акт  №    от  " &amp; TEXT(TODAY()-DAY(TODAY()),"ДД ММММ ГГГГ")) &amp; " г. Зеленодольск"</f>
        <v>Акт  №    от  31 Декабрь 2025 г. Зеленодольск</v>
      </c>
    </row>
    <row r="4" spans="1:7">
      <c r="A4" s="22" t="str">
        <f ca="1">IF(DAY(TODAY()) &gt; 27, "выполненных работ (оказанных услуг) за " &amp; TEXT(TODAY(),"ММММ ГГГГ"),"выполненных работ (оказанных услуг) за " &amp; TEXT(TODAY()-DAY(TODAY()),"ММММ ГГГГ"))</f>
        <v>выполненных работ (оказанных услуг) за Декабрь 2025</v>
      </c>
      <c r="B4" s="22"/>
      <c r="C4" s="22"/>
    </row>
    <row r="5" spans="1:7">
      <c r="A5" s="22" t="s">
        <v>130</v>
      </c>
      <c r="B5" s="22"/>
      <c r="C5" s="22"/>
    </row>
    <row r="6" spans="1:7">
      <c r="A6" s="2" t="s">
        <v>118</v>
      </c>
    </row>
    <row r="7" spans="1:7">
      <c r="A7" s="2" t="str">
        <f ca="1">IF(DAY(TODAY()) &gt; 27," Во исполнение Договора в период с " &amp; TEXT(TODAY()-DAY(TODAY()-DAY(TODAY())),"ДД ММММ ГГГГ") &amp; " г. По " &amp; TEXT(TODAY(),"ДД ММММ ГГГГ") &amp; "  г. ХРАНИТЕЛЬ оказал ПОКЛАЖЕДАТЕЛЮ следующие услуги (работы):"," Во исполнение Договора в период с " &amp; TEXT(TODAY()-DAY(TODAY())-DAY(TODAY()-DAY(TODAY()))+1,"ДД ММММ ГГГГ") &amp; " г. По " &amp; TEXT(TODAY()-DAY(TODAY()),"ДД ММММ ГГГГ") &amp; "  г. ХРАНИТЕЛЬ оказал ПОКЛАЖЕДАТЕЛЮ следующие услуги (работы):")</f>
        <v xml:space="preserve"> Во исполнение Договора в период с 01 Декабрь 2025 г. По 31 Декабрь 2025  г. ХРАНИТЕЛЬ оказал ПОКЛАЖЕДАТЕЛЮ следующие услуги (работы):</v>
      </c>
    </row>
    <row r="9" spans="1:7">
      <c r="A9" s="79" t="s">
        <v>0</v>
      </c>
      <c r="B9" s="79" t="s">
        <v>78</v>
      </c>
      <c r="C9" s="79" t="s">
        <v>79</v>
      </c>
      <c r="D9" s="79" t="s">
        <v>80</v>
      </c>
      <c r="E9" s="79" t="s">
        <v>81</v>
      </c>
      <c r="F9" s="79" t="s">
        <v>131</v>
      </c>
      <c r="G9" s="79" t="s">
        <v>132</v>
      </c>
    </row>
    <row r="10" spans="1:7" ht="15.75">
      <c r="A10" s="80">
        <v>1</v>
      </c>
      <c r="B10" s="79" t="s">
        <v>133</v>
      </c>
      <c r="C10" s="80" t="s">
        <v>134</v>
      </c>
      <c r="D10" s="6">
        <v>15</v>
      </c>
      <c r="E10" s="86">
        <v>2000</v>
      </c>
      <c r="F10" s="86">
        <f>SUM(D10*E10)</f>
        <v>30000</v>
      </c>
      <c r="G10" s="86">
        <f>F10*1.2</f>
        <v>36000</v>
      </c>
    </row>
    <row r="11" spans="1:7" ht="15.75">
      <c r="A11" s="80">
        <v>2</v>
      </c>
      <c r="B11" s="79" t="s">
        <v>135</v>
      </c>
      <c r="C11" s="80" t="s">
        <v>134</v>
      </c>
      <c r="D11" s="6"/>
      <c r="E11" s="86"/>
      <c r="F11" s="86">
        <f>SUM(D11*E11)</f>
        <v>0</v>
      </c>
      <c r="G11" s="86">
        <f>F11*1.2</f>
        <v>0</v>
      </c>
    </row>
    <row r="12" spans="1:7" ht="15.75">
      <c r="A12" s="118"/>
      <c r="C12" s="118"/>
      <c r="D12" s="119"/>
      <c r="E12" s="76"/>
      <c r="F12" s="86">
        <f>SUM(F10:F11)</f>
        <v>30000</v>
      </c>
      <c r="G12" s="86">
        <f>SUM(G10:G11)</f>
        <v>36000</v>
      </c>
    </row>
    <row r="13" spans="1:7">
      <c r="A13" s="22" t="s">
        <v>136</v>
      </c>
      <c r="B13" s="22" t="s">
        <v>144</v>
      </c>
      <c r="C13" s="22"/>
      <c r="D13" s="22"/>
    </row>
    <row r="14" spans="1:7">
      <c r="A14" s="22" t="s">
        <v>138</v>
      </c>
      <c r="B14" s="22" t="str">
        <f>B13</f>
        <v>тридцать тысяч рублей ноль копеек</v>
      </c>
      <c r="C14" s="22"/>
      <c r="D14" s="22"/>
    </row>
    <row r="15" spans="1:7">
      <c r="A15" s="22" t="s">
        <v>85</v>
      </c>
      <c r="B15" s="22" t="s">
        <v>139</v>
      </c>
      <c r="F15" s="120"/>
      <c r="G15" s="120"/>
    </row>
    <row r="16" spans="1:7">
      <c r="A16" s="2" t="s">
        <v>86</v>
      </c>
    </row>
    <row r="17" spans="1:4">
      <c r="A17" s="2" t="s">
        <v>87</v>
      </c>
    </row>
    <row r="20" spans="1:4">
      <c r="A20" s="2" t="s">
        <v>89</v>
      </c>
      <c r="D20" s="2" t="s">
        <v>140</v>
      </c>
    </row>
    <row r="22" spans="1:4">
      <c r="A22" s="2" t="s">
        <v>129</v>
      </c>
      <c r="D22" s="2" t="s">
        <v>93</v>
      </c>
    </row>
  </sheetData>
  <pageMargins left="0.7" right="0.7" top="0.75" bottom="0.75" header="0.3" footer="0.3"/>
  <pageSetup paperSize="9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069ED-7DB5-4F15-B1FE-5386D187A293}">
  <sheetPr codeName="Лист18"/>
  <dimension ref="A1:R36"/>
  <sheetViews>
    <sheetView workbookViewId="0">
      <selection activeCell="D34" sqref="D34"/>
    </sheetView>
  </sheetViews>
  <sheetFormatPr defaultRowHeight="15"/>
  <cols>
    <col min="1" max="1" width="8.59765625" style="2" customWidth="1"/>
    <col min="2" max="17" width="8.796875" style="2"/>
    <col min="18" max="18" width="7.296875" style="2" customWidth="1"/>
    <col min="19" max="16384" width="8.796875" style="2"/>
  </cols>
  <sheetData>
    <row r="1" spans="1:18">
      <c r="A1" s="121">
        <f>R36</f>
        <v>18648</v>
      </c>
    </row>
    <row r="2" spans="1:18" ht="21">
      <c r="B2" s="77" t="s">
        <v>145</v>
      </c>
    </row>
    <row r="3" spans="1:18" ht="28.9" customHeight="1">
      <c r="A3" s="206" t="s">
        <v>0</v>
      </c>
      <c r="B3" s="210" t="s">
        <v>1</v>
      </c>
      <c r="C3" s="211"/>
      <c r="D3" s="206" t="s">
        <v>146</v>
      </c>
      <c r="E3" s="206" t="s">
        <v>147</v>
      </c>
      <c r="F3" s="206" t="s">
        <v>148</v>
      </c>
      <c r="G3" s="206" t="s">
        <v>149</v>
      </c>
      <c r="H3" s="4" t="s">
        <v>4</v>
      </c>
      <c r="I3" s="206" t="s">
        <v>150</v>
      </c>
      <c r="J3" s="206" t="s">
        <v>151</v>
      </c>
      <c r="K3" s="206" t="s">
        <v>11</v>
      </c>
      <c r="L3" s="206" t="s">
        <v>12</v>
      </c>
      <c r="M3" s="206" t="s">
        <v>152</v>
      </c>
      <c r="N3" s="206" t="s">
        <v>153</v>
      </c>
      <c r="O3" s="206" t="s">
        <v>13</v>
      </c>
      <c r="P3" s="206" t="s">
        <v>154</v>
      </c>
      <c r="Q3" s="206" t="s">
        <v>155</v>
      </c>
      <c r="R3" s="206" t="s">
        <v>18</v>
      </c>
    </row>
    <row r="4" spans="1:18" ht="30">
      <c r="A4" s="207"/>
      <c r="B4" s="212"/>
      <c r="C4" s="213"/>
      <c r="D4" s="207"/>
      <c r="E4" s="207"/>
      <c r="F4" s="207"/>
      <c r="G4" s="207"/>
      <c r="H4" s="5" t="s">
        <v>156</v>
      </c>
      <c r="I4" s="207"/>
      <c r="J4" s="207"/>
      <c r="K4" s="207"/>
      <c r="L4" s="207"/>
      <c r="M4" s="207"/>
      <c r="N4" s="207"/>
      <c r="O4" s="207"/>
      <c r="P4" s="207"/>
      <c r="Q4" s="207"/>
      <c r="R4" s="207"/>
    </row>
    <row r="5" spans="1:18">
      <c r="A5" s="6">
        <v>1</v>
      </c>
      <c r="B5" s="229">
        <v>45992</v>
      </c>
      <c r="C5" s="230"/>
      <c r="D5" s="122"/>
      <c r="E5" s="80"/>
      <c r="F5" s="80"/>
      <c r="G5" s="80"/>
      <c r="H5" s="79">
        <v>26</v>
      </c>
      <c r="I5" s="79"/>
      <c r="J5" s="79"/>
      <c r="K5" s="79">
        <f t="shared" ref="K5:K29" si="0">SUM(D5*168)</f>
        <v>0</v>
      </c>
      <c r="L5" s="79">
        <f>SUM(E5*168)</f>
        <v>0</v>
      </c>
      <c r="M5" s="79">
        <f>F5*1000</f>
        <v>0</v>
      </c>
      <c r="N5" s="79">
        <f>G5*1000</f>
        <v>0</v>
      </c>
      <c r="O5" s="79">
        <f>SUM(H5*21.6)</f>
        <v>561.6</v>
      </c>
      <c r="P5" s="79">
        <f>I5*500</f>
        <v>0</v>
      </c>
      <c r="Q5" s="79">
        <f>SUM(J5)*600</f>
        <v>0</v>
      </c>
      <c r="R5" s="79">
        <f>SUM(K5:Q5)</f>
        <v>561.6</v>
      </c>
    </row>
    <row r="6" spans="1:18">
      <c r="A6" s="6">
        <v>2</v>
      </c>
      <c r="B6" s="229">
        <v>45993</v>
      </c>
      <c r="C6" s="230"/>
      <c r="D6" s="122"/>
      <c r="E6" s="80"/>
      <c r="F6" s="80"/>
      <c r="G6" s="80"/>
      <c r="H6" s="79">
        <f>H5+D6-E5</f>
        <v>26</v>
      </c>
      <c r="I6" s="79"/>
      <c r="J6" s="79"/>
      <c r="K6" s="79">
        <f t="shared" si="0"/>
        <v>0</v>
      </c>
      <c r="L6" s="79">
        <f t="shared" ref="L6:L34" si="1">SUM(E6*168)</f>
        <v>0</v>
      </c>
      <c r="M6" s="79">
        <f t="shared" ref="M6:N34" si="2">F6*1000</f>
        <v>0</v>
      </c>
      <c r="N6" s="79">
        <f t="shared" si="2"/>
        <v>0</v>
      </c>
      <c r="O6" s="79">
        <f t="shared" ref="O6:O34" si="3">SUM(H6*21.6)</f>
        <v>561.6</v>
      </c>
      <c r="P6" s="79">
        <f t="shared" ref="P6:P35" si="4">I6*500</f>
        <v>0</v>
      </c>
      <c r="Q6" s="79">
        <f t="shared" ref="Q6:Q35" si="5">SUM(J6)*600</f>
        <v>0</v>
      </c>
      <c r="R6" s="79">
        <f t="shared" ref="R6:R35" si="6">SUM(K6:Q6)</f>
        <v>561.6</v>
      </c>
    </row>
    <row r="7" spans="1:18">
      <c r="A7" s="6">
        <v>3</v>
      </c>
      <c r="B7" s="229">
        <v>45994</v>
      </c>
      <c r="C7" s="230"/>
      <c r="D7" s="122"/>
      <c r="E7" s="80"/>
      <c r="F7" s="80"/>
      <c r="G7" s="80"/>
      <c r="H7" s="79">
        <f t="shared" ref="H7:H35" si="7">H6+D7-E6</f>
        <v>26</v>
      </c>
      <c r="I7" s="79"/>
      <c r="J7" s="79"/>
      <c r="K7" s="79">
        <f t="shared" si="0"/>
        <v>0</v>
      </c>
      <c r="L7" s="79">
        <f t="shared" si="1"/>
        <v>0</v>
      </c>
      <c r="M7" s="79">
        <f t="shared" si="2"/>
        <v>0</v>
      </c>
      <c r="N7" s="79">
        <f t="shared" si="2"/>
        <v>0</v>
      </c>
      <c r="O7" s="79">
        <f t="shared" si="3"/>
        <v>561.6</v>
      </c>
      <c r="P7" s="79">
        <f t="shared" si="4"/>
        <v>0</v>
      </c>
      <c r="Q7" s="79">
        <f t="shared" si="5"/>
        <v>0</v>
      </c>
      <c r="R7" s="79">
        <f t="shared" si="6"/>
        <v>561.6</v>
      </c>
    </row>
    <row r="8" spans="1:18">
      <c r="A8" s="6">
        <v>4</v>
      </c>
      <c r="B8" s="229">
        <v>45995</v>
      </c>
      <c r="C8" s="230"/>
      <c r="D8" s="122"/>
      <c r="E8" s="80"/>
      <c r="F8" s="80"/>
      <c r="G8" s="80"/>
      <c r="H8" s="79">
        <f t="shared" si="7"/>
        <v>26</v>
      </c>
      <c r="I8" s="79"/>
      <c r="J8" s="79"/>
      <c r="K8" s="79">
        <f t="shared" si="0"/>
        <v>0</v>
      </c>
      <c r="L8" s="79">
        <f t="shared" si="1"/>
        <v>0</v>
      </c>
      <c r="M8" s="79">
        <f t="shared" si="2"/>
        <v>0</v>
      </c>
      <c r="N8" s="79">
        <f t="shared" si="2"/>
        <v>0</v>
      </c>
      <c r="O8" s="79">
        <f t="shared" si="3"/>
        <v>561.6</v>
      </c>
      <c r="P8" s="79">
        <f t="shared" si="4"/>
        <v>0</v>
      </c>
      <c r="Q8" s="79">
        <f t="shared" si="5"/>
        <v>0</v>
      </c>
      <c r="R8" s="79">
        <f t="shared" si="6"/>
        <v>561.6</v>
      </c>
    </row>
    <row r="9" spans="1:18">
      <c r="A9" s="123">
        <v>5</v>
      </c>
      <c r="B9" s="229">
        <v>45996</v>
      </c>
      <c r="C9" s="230"/>
      <c r="D9" s="124"/>
      <c r="E9" s="125"/>
      <c r="F9" s="125"/>
      <c r="G9" s="125"/>
      <c r="H9" s="79">
        <f t="shared" si="7"/>
        <v>26</v>
      </c>
      <c r="I9" s="79"/>
      <c r="J9" s="91"/>
      <c r="K9" s="79">
        <f t="shared" si="0"/>
        <v>0</v>
      </c>
      <c r="L9" s="79">
        <f t="shared" si="1"/>
        <v>0</v>
      </c>
      <c r="M9" s="79">
        <f t="shared" si="2"/>
        <v>0</v>
      </c>
      <c r="N9" s="79">
        <f t="shared" si="2"/>
        <v>0</v>
      </c>
      <c r="O9" s="79">
        <f t="shared" si="3"/>
        <v>561.6</v>
      </c>
      <c r="P9" s="79">
        <f t="shared" si="4"/>
        <v>0</v>
      </c>
      <c r="Q9" s="79">
        <f t="shared" si="5"/>
        <v>0</v>
      </c>
      <c r="R9" s="91">
        <f t="shared" si="6"/>
        <v>561.6</v>
      </c>
    </row>
    <row r="10" spans="1:18">
      <c r="A10" s="123">
        <v>6</v>
      </c>
      <c r="B10" s="229">
        <v>45997</v>
      </c>
      <c r="C10" s="230"/>
      <c r="D10" s="124"/>
      <c r="E10" s="125"/>
      <c r="F10" s="125"/>
      <c r="G10" s="125"/>
      <c r="H10" s="79">
        <f t="shared" si="7"/>
        <v>26</v>
      </c>
      <c r="I10" s="79"/>
      <c r="J10" s="91"/>
      <c r="K10" s="79">
        <f t="shared" si="0"/>
        <v>0</v>
      </c>
      <c r="L10" s="79">
        <f t="shared" si="1"/>
        <v>0</v>
      </c>
      <c r="M10" s="79">
        <f t="shared" si="2"/>
        <v>0</v>
      </c>
      <c r="N10" s="79">
        <f t="shared" si="2"/>
        <v>0</v>
      </c>
      <c r="O10" s="79">
        <f t="shared" si="3"/>
        <v>561.6</v>
      </c>
      <c r="P10" s="79">
        <f t="shared" si="4"/>
        <v>0</v>
      </c>
      <c r="Q10" s="79">
        <f t="shared" si="5"/>
        <v>0</v>
      </c>
      <c r="R10" s="91">
        <f t="shared" si="6"/>
        <v>561.6</v>
      </c>
    </row>
    <row r="11" spans="1:18">
      <c r="A11" s="123">
        <v>7</v>
      </c>
      <c r="B11" s="229">
        <v>45998</v>
      </c>
      <c r="C11" s="230"/>
      <c r="D11" s="124"/>
      <c r="E11" s="125"/>
      <c r="F11" s="125"/>
      <c r="G11" s="125"/>
      <c r="H11" s="79">
        <f t="shared" si="7"/>
        <v>26</v>
      </c>
      <c r="I11" s="79"/>
      <c r="J11" s="91"/>
      <c r="K11" s="79">
        <f t="shared" si="0"/>
        <v>0</v>
      </c>
      <c r="L11" s="79">
        <f t="shared" si="1"/>
        <v>0</v>
      </c>
      <c r="M11" s="79">
        <f t="shared" si="2"/>
        <v>0</v>
      </c>
      <c r="N11" s="79">
        <f t="shared" si="2"/>
        <v>0</v>
      </c>
      <c r="O11" s="79">
        <f t="shared" si="3"/>
        <v>561.6</v>
      </c>
      <c r="P11" s="79">
        <f t="shared" si="4"/>
        <v>0</v>
      </c>
      <c r="Q11" s="79">
        <f t="shared" si="5"/>
        <v>0</v>
      </c>
      <c r="R11" s="91">
        <f t="shared" si="6"/>
        <v>561.6</v>
      </c>
    </row>
    <row r="12" spans="1:18">
      <c r="A12" s="123">
        <v>8</v>
      </c>
      <c r="B12" s="229">
        <v>45999</v>
      </c>
      <c r="C12" s="230"/>
      <c r="D12" s="124"/>
      <c r="E12" s="125">
        <v>2</v>
      </c>
      <c r="F12" s="125"/>
      <c r="G12" s="125"/>
      <c r="H12" s="79">
        <f t="shared" si="7"/>
        <v>26</v>
      </c>
      <c r="I12" s="79"/>
      <c r="J12" s="91"/>
      <c r="K12" s="79">
        <f t="shared" si="0"/>
        <v>0</v>
      </c>
      <c r="L12" s="79">
        <f t="shared" si="1"/>
        <v>336</v>
      </c>
      <c r="M12" s="79">
        <f t="shared" si="2"/>
        <v>0</v>
      </c>
      <c r="N12" s="79">
        <f t="shared" si="2"/>
        <v>0</v>
      </c>
      <c r="O12" s="79">
        <f t="shared" si="3"/>
        <v>561.6</v>
      </c>
      <c r="P12" s="79">
        <f t="shared" si="4"/>
        <v>0</v>
      </c>
      <c r="Q12" s="79">
        <f t="shared" si="5"/>
        <v>0</v>
      </c>
      <c r="R12" s="91">
        <f t="shared" si="6"/>
        <v>897.6</v>
      </c>
    </row>
    <row r="13" spans="1:18">
      <c r="A13" s="6">
        <v>9</v>
      </c>
      <c r="B13" s="229">
        <v>46000</v>
      </c>
      <c r="C13" s="230"/>
      <c r="D13" s="122"/>
      <c r="E13" s="80"/>
      <c r="F13" s="80"/>
      <c r="G13" s="80"/>
      <c r="H13" s="79">
        <f t="shared" si="7"/>
        <v>24</v>
      </c>
      <c r="I13" s="79"/>
      <c r="J13" s="79"/>
      <c r="K13" s="79">
        <f t="shared" si="0"/>
        <v>0</v>
      </c>
      <c r="L13" s="79">
        <f t="shared" si="1"/>
        <v>0</v>
      </c>
      <c r="M13" s="79">
        <f t="shared" si="2"/>
        <v>0</v>
      </c>
      <c r="N13" s="79">
        <f t="shared" si="2"/>
        <v>0</v>
      </c>
      <c r="O13" s="79">
        <f t="shared" si="3"/>
        <v>518.40000000000009</v>
      </c>
      <c r="P13" s="79">
        <f t="shared" si="4"/>
        <v>0</v>
      </c>
      <c r="Q13" s="79">
        <f t="shared" si="5"/>
        <v>0</v>
      </c>
      <c r="R13" s="79">
        <f t="shared" si="6"/>
        <v>518.40000000000009</v>
      </c>
    </row>
    <row r="14" spans="1:18">
      <c r="A14" s="6">
        <v>10</v>
      </c>
      <c r="B14" s="229">
        <v>46001</v>
      </c>
      <c r="C14" s="230"/>
      <c r="D14" s="122"/>
      <c r="E14" s="80"/>
      <c r="F14" s="80"/>
      <c r="G14" s="80"/>
      <c r="H14" s="79">
        <f t="shared" si="7"/>
        <v>24</v>
      </c>
      <c r="I14" s="79"/>
      <c r="J14" s="79"/>
      <c r="K14" s="79">
        <f t="shared" si="0"/>
        <v>0</v>
      </c>
      <c r="L14" s="79">
        <f t="shared" si="1"/>
        <v>0</v>
      </c>
      <c r="M14" s="79">
        <f t="shared" si="2"/>
        <v>0</v>
      </c>
      <c r="N14" s="79">
        <f t="shared" si="2"/>
        <v>0</v>
      </c>
      <c r="O14" s="79">
        <f t="shared" si="3"/>
        <v>518.40000000000009</v>
      </c>
      <c r="P14" s="79">
        <f t="shared" si="4"/>
        <v>0</v>
      </c>
      <c r="Q14" s="79">
        <f t="shared" si="5"/>
        <v>0</v>
      </c>
      <c r="R14" s="79">
        <f t="shared" si="6"/>
        <v>518.40000000000009</v>
      </c>
    </row>
    <row r="15" spans="1:18">
      <c r="A15" s="123">
        <v>11</v>
      </c>
      <c r="B15" s="229">
        <v>46002</v>
      </c>
      <c r="C15" s="230"/>
      <c r="D15" s="124"/>
      <c r="E15" s="125"/>
      <c r="F15" s="125"/>
      <c r="G15" s="80"/>
      <c r="H15" s="79">
        <f t="shared" si="7"/>
        <v>24</v>
      </c>
      <c r="I15" s="79"/>
      <c r="J15" s="91"/>
      <c r="K15" s="79">
        <f t="shared" si="0"/>
        <v>0</v>
      </c>
      <c r="L15" s="79">
        <f t="shared" si="1"/>
        <v>0</v>
      </c>
      <c r="M15" s="79">
        <f t="shared" si="2"/>
        <v>0</v>
      </c>
      <c r="N15" s="79">
        <f t="shared" si="2"/>
        <v>0</v>
      </c>
      <c r="O15" s="79">
        <f t="shared" si="3"/>
        <v>518.40000000000009</v>
      </c>
      <c r="P15" s="79">
        <f t="shared" si="4"/>
        <v>0</v>
      </c>
      <c r="Q15" s="79">
        <f t="shared" si="5"/>
        <v>0</v>
      </c>
      <c r="R15" s="91">
        <f t="shared" si="6"/>
        <v>518.40000000000009</v>
      </c>
    </row>
    <row r="16" spans="1:18">
      <c r="A16" s="123">
        <v>12</v>
      </c>
      <c r="B16" s="229">
        <v>46003</v>
      </c>
      <c r="C16" s="230"/>
      <c r="D16" s="124"/>
      <c r="E16" s="125">
        <v>3</v>
      </c>
      <c r="F16" s="125"/>
      <c r="G16" s="80"/>
      <c r="H16" s="79">
        <f t="shared" si="7"/>
        <v>24</v>
      </c>
      <c r="I16" s="79"/>
      <c r="J16" s="91"/>
      <c r="K16" s="79">
        <f t="shared" si="0"/>
        <v>0</v>
      </c>
      <c r="L16" s="79">
        <f t="shared" si="1"/>
        <v>504</v>
      </c>
      <c r="M16" s="79">
        <f t="shared" si="2"/>
        <v>0</v>
      </c>
      <c r="N16" s="79">
        <f t="shared" si="2"/>
        <v>0</v>
      </c>
      <c r="O16" s="79">
        <f t="shared" si="3"/>
        <v>518.40000000000009</v>
      </c>
      <c r="P16" s="79">
        <f t="shared" si="4"/>
        <v>0</v>
      </c>
      <c r="Q16" s="79">
        <f t="shared" si="5"/>
        <v>0</v>
      </c>
      <c r="R16" s="91">
        <f t="shared" si="6"/>
        <v>1022.4000000000001</v>
      </c>
    </row>
    <row r="17" spans="1:18">
      <c r="A17" s="123">
        <v>13</v>
      </c>
      <c r="B17" s="229">
        <v>46004</v>
      </c>
      <c r="C17" s="230"/>
      <c r="D17" s="124"/>
      <c r="E17" s="125"/>
      <c r="F17" s="125"/>
      <c r="G17" s="80"/>
      <c r="H17" s="79">
        <f t="shared" si="7"/>
        <v>21</v>
      </c>
      <c r="I17" s="79"/>
      <c r="J17" s="91"/>
      <c r="K17" s="79">
        <f t="shared" si="0"/>
        <v>0</v>
      </c>
      <c r="L17" s="79">
        <f t="shared" si="1"/>
        <v>0</v>
      </c>
      <c r="M17" s="79">
        <f t="shared" si="2"/>
        <v>0</v>
      </c>
      <c r="N17" s="79">
        <f t="shared" si="2"/>
        <v>0</v>
      </c>
      <c r="O17" s="79">
        <f t="shared" si="3"/>
        <v>453.6</v>
      </c>
      <c r="P17" s="79">
        <f t="shared" si="4"/>
        <v>0</v>
      </c>
      <c r="Q17" s="79">
        <f t="shared" si="5"/>
        <v>0</v>
      </c>
      <c r="R17" s="91">
        <f t="shared" si="6"/>
        <v>453.6</v>
      </c>
    </row>
    <row r="18" spans="1:18">
      <c r="A18" s="123">
        <v>14</v>
      </c>
      <c r="B18" s="229">
        <v>46005</v>
      </c>
      <c r="C18" s="230"/>
      <c r="D18" s="124"/>
      <c r="E18" s="125"/>
      <c r="F18" s="125"/>
      <c r="G18" s="80"/>
      <c r="H18" s="79">
        <f t="shared" si="7"/>
        <v>21</v>
      </c>
      <c r="I18" s="79"/>
      <c r="J18" s="91"/>
      <c r="K18" s="79">
        <f t="shared" si="0"/>
        <v>0</v>
      </c>
      <c r="L18" s="79">
        <f t="shared" si="1"/>
        <v>0</v>
      </c>
      <c r="M18" s="79">
        <f t="shared" si="2"/>
        <v>0</v>
      </c>
      <c r="N18" s="79">
        <f t="shared" si="2"/>
        <v>0</v>
      </c>
      <c r="O18" s="79">
        <f t="shared" si="3"/>
        <v>453.6</v>
      </c>
      <c r="P18" s="79">
        <f t="shared" si="4"/>
        <v>0</v>
      </c>
      <c r="Q18" s="79">
        <f t="shared" si="5"/>
        <v>0</v>
      </c>
      <c r="R18" s="91">
        <f t="shared" si="6"/>
        <v>453.6</v>
      </c>
    </row>
    <row r="19" spans="1:18">
      <c r="A19" s="123">
        <v>15</v>
      </c>
      <c r="B19" s="229">
        <v>46006</v>
      </c>
      <c r="C19" s="230"/>
      <c r="D19" s="124"/>
      <c r="E19" s="125">
        <v>2</v>
      </c>
      <c r="F19" s="125"/>
      <c r="G19" s="80"/>
      <c r="H19" s="79">
        <f t="shared" si="7"/>
        <v>21</v>
      </c>
      <c r="I19" s="79"/>
      <c r="J19" s="91"/>
      <c r="K19" s="79">
        <f t="shared" si="0"/>
        <v>0</v>
      </c>
      <c r="L19" s="79">
        <f t="shared" si="1"/>
        <v>336</v>
      </c>
      <c r="M19" s="79">
        <f t="shared" si="2"/>
        <v>0</v>
      </c>
      <c r="N19" s="79">
        <f t="shared" si="2"/>
        <v>0</v>
      </c>
      <c r="O19" s="79">
        <f t="shared" si="3"/>
        <v>453.6</v>
      </c>
      <c r="P19" s="79">
        <f t="shared" si="4"/>
        <v>0</v>
      </c>
      <c r="Q19" s="79">
        <f t="shared" si="5"/>
        <v>0</v>
      </c>
      <c r="R19" s="91">
        <f t="shared" si="6"/>
        <v>789.6</v>
      </c>
    </row>
    <row r="20" spans="1:18">
      <c r="A20" s="6">
        <v>16</v>
      </c>
      <c r="B20" s="229">
        <v>46007</v>
      </c>
      <c r="C20" s="230"/>
      <c r="D20" s="122"/>
      <c r="E20" s="80">
        <v>1</v>
      </c>
      <c r="F20" s="80"/>
      <c r="G20" s="125"/>
      <c r="H20" s="79">
        <f t="shared" si="7"/>
        <v>19</v>
      </c>
      <c r="I20" s="79"/>
      <c r="J20" s="79"/>
      <c r="K20" s="79">
        <f t="shared" si="0"/>
        <v>0</v>
      </c>
      <c r="L20" s="79">
        <f t="shared" si="1"/>
        <v>168</v>
      </c>
      <c r="M20" s="79">
        <f t="shared" si="2"/>
        <v>0</v>
      </c>
      <c r="N20" s="79">
        <f t="shared" si="2"/>
        <v>0</v>
      </c>
      <c r="O20" s="79">
        <f t="shared" si="3"/>
        <v>410.40000000000003</v>
      </c>
      <c r="P20" s="79">
        <f t="shared" si="4"/>
        <v>0</v>
      </c>
      <c r="Q20" s="79">
        <f t="shared" si="5"/>
        <v>0</v>
      </c>
      <c r="R20" s="79">
        <f t="shared" si="6"/>
        <v>578.40000000000009</v>
      </c>
    </row>
    <row r="21" spans="1:18">
      <c r="A21" s="6">
        <v>17</v>
      </c>
      <c r="B21" s="229">
        <v>46008</v>
      </c>
      <c r="C21" s="230"/>
      <c r="D21" s="122"/>
      <c r="E21" s="80"/>
      <c r="F21" s="80"/>
      <c r="G21" s="125"/>
      <c r="H21" s="79">
        <f t="shared" si="7"/>
        <v>18</v>
      </c>
      <c r="I21" s="79"/>
      <c r="J21" s="79"/>
      <c r="K21" s="79">
        <f t="shared" si="0"/>
        <v>0</v>
      </c>
      <c r="L21" s="79">
        <f t="shared" si="1"/>
        <v>0</v>
      </c>
      <c r="M21" s="79">
        <f t="shared" si="2"/>
        <v>0</v>
      </c>
      <c r="N21" s="79">
        <f t="shared" si="2"/>
        <v>0</v>
      </c>
      <c r="O21" s="79">
        <f t="shared" si="3"/>
        <v>388.8</v>
      </c>
      <c r="P21" s="79">
        <f t="shared" si="4"/>
        <v>0</v>
      </c>
      <c r="Q21" s="79">
        <f t="shared" si="5"/>
        <v>0</v>
      </c>
      <c r="R21" s="79">
        <f t="shared" si="6"/>
        <v>388.8</v>
      </c>
    </row>
    <row r="22" spans="1:18">
      <c r="A22" s="123">
        <v>18</v>
      </c>
      <c r="B22" s="229">
        <v>46009</v>
      </c>
      <c r="C22" s="230"/>
      <c r="D22" s="124"/>
      <c r="E22" s="125"/>
      <c r="F22" s="125"/>
      <c r="G22" s="125"/>
      <c r="H22" s="79">
        <f t="shared" si="7"/>
        <v>18</v>
      </c>
      <c r="I22" s="91"/>
      <c r="J22" s="91"/>
      <c r="K22" s="79">
        <f t="shared" si="0"/>
        <v>0</v>
      </c>
      <c r="L22" s="79">
        <f t="shared" si="1"/>
        <v>0</v>
      </c>
      <c r="M22" s="79">
        <f t="shared" si="2"/>
        <v>0</v>
      </c>
      <c r="N22" s="79">
        <f t="shared" si="2"/>
        <v>0</v>
      </c>
      <c r="O22" s="79">
        <f t="shared" si="3"/>
        <v>388.8</v>
      </c>
      <c r="P22" s="79">
        <f t="shared" si="4"/>
        <v>0</v>
      </c>
      <c r="Q22" s="79">
        <f t="shared" si="5"/>
        <v>0</v>
      </c>
      <c r="R22" s="91">
        <f t="shared" si="6"/>
        <v>388.8</v>
      </c>
    </row>
    <row r="23" spans="1:18">
      <c r="A23" s="123">
        <v>19</v>
      </c>
      <c r="B23" s="229">
        <v>46010</v>
      </c>
      <c r="C23" s="230"/>
      <c r="D23" s="124"/>
      <c r="E23" s="125"/>
      <c r="F23" s="125"/>
      <c r="G23" s="125"/>
      <c r="H23" s="79">
        <f t="shared" si="7"/>
        <v>18</v>
      </c>
      <c r="I23" s="91"/>
      <c r="J23" s="91"/>
      <c r="K23" s="79">
        <f t="shared" si="0"/>
        <v>0</v>
      </c>
      <c r="L23" s="79">
        <f t="shared" si="1"/>
        <v>0</v>
      </c>
      <c r="M23" s="79">
        <f t="shared" si="2"/>
        <v>0</v>
      </c>
      <c r="N23" s="79">
        <f t="shared" si="2"/>
        <v>0</v>
      </c>
      <c r="O23" s="79">
        <f t="shared" si="3"/>
        <v>388.8</v>
      </c>
      <c r="P23" s="79">
        <f t="shared" si="4"/>
        <v>0</v>
      </c>
      <c r="Q23" s="79">
        <f t="shared" si="5"/>
        <v>0</v>
      </c>
      <c r="R23" s="91">
        <f t="shared" si="6"/>
        <v>388.8</v>
      </c>
    </row>
    <row r="24" spans="1:18">
      <c r="A24" s="123">
        <v>20</v>
      </c>
      <c r="B24" s="229">
        <v>46011</v>
      </c>
      <c r="C24" s="230"/>
      <c r="D24" s="124"/>
      <c r="E24" s="125"/>
      <c r="F24" s="125"/>
      <c r="G24" s="125"/>
      <c r="H24" s="79">
        <f t="shared" si="7"/>
        <v>18</v>
      </c>
      <c r="I24" s="91"/>
      <c r="J24" s="91"/>
      <c r="K24" s="79">
        <f t="shared" si="0"/>
        <v>0</v>
      </c>
      <c r="L24" s="79">
        <f t="shared" si="1"/>
        <v>0</v>
      </c>
      <c r="M24" s="79">
        <f t="shared" si="2"/>
        <v>0</v>
      </c>
      <c r="N24" s="79">
        <f t="shared" si="2"/>
        <v>0</v>
      </c>
      <c r="O24" s="79">
        <f t="shared" si="3"/>
        <v>388.8</v>
      </c>
      <c r="P24" s="79">
        <f t="shared" si="4"/>
        <v>0</v>
      </c>
      <c r="Q24" s="79">
        <f t="shared" si="5"/>
        <v>0</v>
      </c>
      <c r="R24" s="91">
        <f t="shared" si="6"/>
        <v>388.8</v>
      </c>
    </row>
    <row r="25" spans="1:18">
      <c r="A25" s="123">
        <v>21</v>
      </c>
      <c r="B25" s="229">
        <v>46012</v>
      </c>
      <c r="C25" s="230"/>
      <c r="D25" s="124"/>
      <c r="E25" s="125"/>
      <c r="F25" s="125"/>
      <c r="G25" s="125"/>
      <c r="H25" s="79">
        <f t="shared" si="7"/>
        <v>18</v>
      </c>
      <c r="I25" s="91"/>
      <c r="J25" s="91"/>
      <c r="K25" s="79">
        <f t="shared" si="0"/>
        <v>0</v>
      </c>
      <c r="L25" s="79">
        <f t="shared" si="1"/>
        <v>0</v>
      </c>
      <c r="M25" s="79">
        <f t="shared" si="2"/>
        <v>0</v>
      </c>
      <c r="N25" s="79">
        <f t="shared" si="2"/>
        <v>0</v>
      </c>
      <c r="O25" s="79">
        <f t="shared" si="3"/>
        <v>388.8</v>
      </c>
      <c r="P25" s="79">
        <f t="shared" si="4"/>
        <v>0</v>
      </c>
      <c r="Q25" s="79">
        <f t="shared" si="5"/>
        <v>0</v>
      </c>
      <c r="R25" s="91">
        <f t="shared" si="6"/>
        <v>388.8</v>
      </c>
    </row>
    <row r="26" spans="1:18">
      <c r="A26" s="123">
        <v>22</v>
      </c>
      <c r="B26" s="229">
        <v>46013</v>
      </c>
      <c r="C26" s="230"/>
      <c r="D26" s="124"/>
      <c r="E26" s="125">
        <v>7</v>
      </c>
      <c r="F26" s="125"/>
      <c r="G26" s="125"/>
      <c r="H26" s="79">
        <f t="shared" si="7"/>
        <v>18</v>
      </c>
      <c r="I26" s="79"/>
      <c r="J26" s="91"/>
      <c r="K26" s="79">
        <f t="shared" si="0"/>
        <v>0</v>
      </c>
      <c r="L26" s="79">
        <f t="shared" si="1"/>
        <v>1176</v>
      </c>
      <c r="M26" s="79">
        <f t="shared" si="2"/>
        <v>0</v>
      </c>
      <c r="N26" s="79">
        <f t="shared" si="2"/>
        <v>0</v>
      </c>
      <c r="O26" s="79">
        <f t="shared" si="3"/>
        <v>388.8</v>
      </c>
      <c r="P26" s="79">
        <f t="shared" si="4"/>
        <v>0</v>
      </c>
      <c r="Q26" s="79">
        <f t="shared" si="5"/>
        <v>0</v>
      </c>
      <c r="R26" s="91">
        <f t="shared" si="6"/>
        <v>1564.8</v>
      </c>
    </row>
    <row r="27" spans="1:18">
      <c r="A27" s="6">
        <v>23</v>
      </c>
      <c r="B27" s="229">
        <v>46014</v>
      </c>
      <c r="C27" s="230"/>
      <c r="D27" s="122"/>
      <c r="E27" s="80"/>
      <c r="F27" s="80"/>
      <c r="G27" s="80"/>
      <c r="H27" s="79">
        <f t="shared" si="7"/>
        <v>11</v>
      </c>
      <c r="I27" s="79"/>
      <c r="J27" s="79"/>
      <c r="K27" s="79">
        <f t="shared" si="0"/>
        <v>0</v>
      </c>
      <c r="L27" s="79">
        <f t="shared" si="1"/>
        <v>0</v>
      </c>
      <c r="M27" s="79">
        <f t="shared" si="2"/>
        <v>0</v>
      </c>
      <c r="N27" s="79">
        <f t="shared" si="2"/>
        <v>0</v>
      </c>
      <c r="O27" s="79">
        <f t="shared" si="3"/>
        <v>237.60000000000002</v>
      </c>
      <c r="P27" s="79">
        <f t="shared" si="4"/>
        <v>0</v>
      </c>
      <c r="Q27" s="79">
        <f t="shared" si="5"/>
        <v>0</v>
      </c>
      <c r="R27" s="79">
        <f t="shared" si="6"/>
        <v>237.60000000000002</v>
      </c>
    </row>
    <row r="28" spans="1:18">
      <c r="A28" s="6">
        <v>24</v>
      </c>
      <c r="B28" s="229">
        <v>46015</v>
      </c>
      <c r="C28" s="230"/>
      <c r="D28" s="122"/>
      <c r="E28" s="80"/>
      <c r="F28" s="80"/>
      <c r="G28" s="80"/>
      <c r="H28" s="79">
        <f t="shared" si="7"/>
        <v>11</v>
      </c>
      <c r="I28" s="79"/>
      <c r="J28" s="79"/>
      <c r="K28" s="79">
        <f t="shared" si="0"/>
        <v>0</v>
      </c>
      <c r="L28" s="79">
        <f t="shared" si="1"/>
        <v>0</v>
      </c>
      <c r="M28" s="79">
        <f t="shared" si="2"/>
        <v>0</v>
      </c>
      <c r="N28" s="79">
        <f t="shared" si="2"/>
        <v>0</v>
      </c>
      <c r="O28" s="79">
        <f t="shared" si="3"/>
        <v>237.60000000000002</v>
      </c>
      <c r="P28" s="79">
        <f t="shared" si="4"/>
        <v>0</v>
      </c>
      <c r="Q28" s="79">
        <f t="shared" si="5"/>
        <v>0</v>
      </c>
      <c r="R28" s="79">
        <f t="shared" si="6"/>
        <v>237.60000000000002</v>
      </c>
    </row>
    <row r="29" spans="1:18">
      <c r="A29" s="123">
        <v>25</v>
      </c>
      <c r="B29" s="229">
        <v>46016</v>
      </c>
      <c r="C29" s="230"/>
      <c r="D29" s="124"/>
      <c r="E29" s="125"/>
      <c r="F29" s="125"/>
      <c r="G29" s="125"/>
      <c r="H29" s="79">
        <f t="shared" si="7"/>
        <v>11</v>
      </c>
      <c r="I29" s="79"/>
      <c r="J29" s="91"/>
      <c r="K29" s="79">
        <f t="shared" si="0"/>
        <v>0</v>
      </c>
      <c r="L29" s="79">
        <f t="shared" si="1"/>
        <v>0</v>
      </c>
      <c r="M29" s="79">
        <f>F29*1000</f>
        <v>0</v>
      </c>
      <c r="N29" s="79">
        <f t="shared" si="2"/>
        <v>0</v>
      </c>
      <c r="O29" s="79">
        <f t="shared" si="3"/>
        <v>237.60000000000002</v>
      </c>
      <c r="P29" s="79">
        <f t="shared" si="4"/>
        <v>0</v>
      </c>
      <c r="Q29" s="79">
        <f t="shared" si="5"/>
        <v>0</v>
      </c>
      <c r="R29" s="91">
        <f t="shared" si="6"/>
        <v>237.60000000000002</v>
      </c>
    </row>
    <row r="30" spans="1:18">
      <c r="A30" s="123">
        <v>26</v>
      </c>
      <c r="B30" s="229">
        <v>46017</v>
      </c>
      <c r="C30" s="230"/>
      <c r="D30" s="124"/>
      <c r="E30" s="125">
        <v>1</v>
      </c>
      <c r="F30" s="125"/>
      <c r="G30" s="125"/>
      <c r="H30" s="79">
        <f t="shared" si="7"/>
        <v>11</v>
      </c>
      <c r="I30" s="79"/>
      <c r="J30" s="91"/>
      <c r="K30" s="79">
        <f>SUM(D30*168)</f>
        <v>0</v>
      </c>
      <c r="L30" s="79">
        <f t="shared" si="1"/>
        <v>168</v>
      </c>
      <c r="M30" s="79">
        <f t="shared" si="2"/>
        <v>0</v>
      </c>
      <c r="N30" s="79">
        <f t="shared" si="2"/>
        <v>0</v>
      </c>
      <c r="O30" s="79">
        <f t="shared" si="3"/>
        <v>237.60000000000002</v>
      </c>
      <c r="P30" s="79">
        <f t="shared" si="4"/>
        <v>0</v>
      </c>
      <c r="Q30" s="79">
        <f t="shared" si="5"/>
        <v>0</v>
      </c>
      <c r="R30" s="91">
        <f t="shared" si="6"/>
        <v>405.6</v>
      </c>
    </row>
    <row r="31" spans="1:18">
      <c r="A31" s="123">
        <v>27</v>
      </c>
      <c r="B31" s="229">
        <v>46018</v>
      </c>
      <c r="C31" s="230"/>
      <c r="D31" s="124"/>
      <c r="E31" s="125"/>
      <c r="F31" s="125"/>
      <c r="G31" s="125"/>
      <c r="H31" s="79">
        <f t="shared" si="7"/>
        <v>10</v>
      </c>
      <c r="I31" s="79"/>
      <c r="J31" s="91"/>
      <c r="K31" s="79">
        <f t="shared" ref="K31:L35" si="8">SUM(D31*168)</f>
        <v>0</v>
      </c>
      <c r="L31" s="79">
        <f t="shared" si="1"/>
        <v>0</v>
      </c>
      <c r="M31" s="79">
        <f t="shared" si="2"/>
        <v>0</v>
      </c>
      <c r="N31" s="79">
        <f t="shared" si="2"/>
        <v>0</v>
      </c>
      <c r="O31" s="79">
        <f t="shared" si="3"/>
        <v>216</v>
      </c>
      <c r="P31" s="79">
        <f t="shared" si="4"/>
        <v>0</v>
      </c>
      <c r="Q31" s="79">
        <f t="shared" si="5"/>
        <v>0</v>
      </c>
      <c r="R31" s="91">
        <f t="shared" si="6"/>
        <v>216</v>
      </c>
    </row>
    <row r="32" spans="1:18">
      <c r="A32" s="123">
        <v>28</v>
      </c>
      <c r="B32" s="229">
        <v>46019</v>
      </c>
      <c r="C32" s="230"/>
      <c r="D32" s="124"/>
      <c r="E32" s="125"/>
      <c r="F32" s="125"/>
      <c r="G32" s="125"/>
      <c r="H32" s="79">
        <f t="shared" si="7"/>
        <v>10</v>
      </c>
      <c r="I32" s="79"/>
      <c r="J32" s="91"/>
      <c r="K32" s="79">
        <f t="shared" si="8"/>
        <v>0</v>
      </c>
      <c r="L32" s="79">
        <f t="shared" si="1"/>
        <v>0</v>
      </c>
      <c r="M32" s="79">
        <f t="shared" si="2"/>
        <v>0</v>
      </c>
      <c r="N32" s="79">
        <f t="shared" si="2"/>
        <v>0</v>
      </c>
      <c r="O32" s="79">
        <f t="shared" si="3"/>
        <v>216</v>
      </c>
      <c r="P32" s="79">
        <f t="shared" si="4"/>
        <v>0</v>
      </c>
      <c r="Q32" s="79">
        <f t="shared" si="5"/>
        <v>0</v>
      </c>
      <c r="R32" s="91">
        <f t="shared" si="6"/>
        <v>216</v>
      </c>
    </row>
    <row r="33" spans="1:18">
      <c r="A33" s="123">
        <v>29</v>
      </c>
      <c r="B33" s="229">
        <v>46020</v>
      </c>
      <c r="C33" s="230"/>
      <c r="D33" s="124">
        <v>14</v>
      </c>
      <c r="E33" s="125"/>
      <c r="F33" s="125"/>
      <c r="G33" s="125"/>
      <c r="H33" s="79">
        <f t="shared" si="7"/>
        <v>24</v>
      </c>
      <c r="I33" s="79"/>
      <c r="J33" s="91"/>
      <c r="K33" s="79">
        <f t="shared" si="8"/>
        <v>2352</v>
      </c>
      <c r="L33" s="79">
        <f t="shared" si="1"/>
        <v>0</v>
      </c>
      <c r="M33" s="79">
        <f t="shared" si="2"/>
        <v>0</v>
      </c>
      <c r="N33" s="79">
        <f t="shared" si="2"/>
        <v>0</v>
      </c>
      <c r="O33" s="79">
        <f t="shared" si="3"/>
        <v>518.40000000000009</v>
      </c>
      <c r="P33" s="79">
        <f t="shared" si="4"/>
        <v>0</v>
      </c>
      <c r="Q33" s="79">
        <f t="shared" si="5"/>
        <v>0</v>
      </c>
      <c r="R33" s="91">
        <f t="shared" si="6"/>
        <v>2870.4</v>
      </c>
    </row>
    <row r="34" spans="1:18">
      <c r="A34" s="123">
        <v>30</v>
      </c>
      <c r="B34" s="229">
        <v>46021</v>
      </c>
      <c r="C34" s="230"/>
      <c r="D34" s="124"/>
      <c r="E34" s="125"/>
      <c r="F34" s="125"/>
      <c r="G34" s="125"/>
      <c r="H34" s="79">
        <f t="shared" si="7"/>
        <v>24</v>
      </c>
      <c r="I34" s="79"/>
      <c r="J34" s="91"/>
      <c r="K34" s="79">
        <f t="shared" si="8"/>
        <v>0</v>
      </c>
      <c r="L34" s="79">
        <f t="shared" si="1"/>
        <v>0</v>
      </c>
      <c r="M34" s="79">
        <f t="shared" si="2"/>
        <v>0</v>
      </c>
      <c r="N34" s="79">
        <f t="shared" si="2"/>
        <v>0</v>
      </c>
      <c r="O34" s="79">
        <f t="shared" si="3"/>
        <v>518.40000000000009</v>
      </c>
      <c r="P34" s="79">
        <f t="shared" si="4"/>
        <v>0</v>
      </c>
      <c r="Q34" s="79">
        <f t="shared" si="5"/>
        <v>0</v>
      </c>
      <c r="R34" s="91">
        <f t="shared" si="6"/>
        <v>518.40000000000009</v>
      </c>
    </row>
    <row r="35" spans="1:18" ht="15.75" thickBot="1">
      <c r="A35" s="123">
        <v>31</v>
      </c>
      <c r="B35" s="229">
        <v>46022</v>
      </c>
      <c r="C35" s="230"/>
      <c r="D35" s="124"/>
      <c r="E35" s="125"/>
      <c r="F35" s="125"/>
      <c r="G35" s="125"/>
      <c r="H35" s="79">
        <f t="shared" si="7"/>
        <v>24</v>
      </c>
      <c r="I35" s="79"/>
      <c r="J35" s="91"/>
      <c r="K35" s="79">
        <f t="shared" si="8"/>
        <v>0</v>
      </c>
      <c r="L35" s="79">
        <f t="shared" si="8"/>
        <v>0</v>
      </c>
      <c r="M35" s="79">
        <f t="shared" ref="M35:N35" si="9">F35*1000</f>
        <v>0</v>
      </c>
      <c r="N35" s="79">
        <f t="shared" si="9"/>
        <v>0</v>
      </c>
      <c r="O35" s="79">
        <f t="shared" ref="O35" si="10">SUM(H35*21.6)</f>
        <v>518.40000000000009</v>
      </c>
      <c r="P35" s="79">
        <f t="shared" si="4"/>
        <v>0</v>
      </c>
      <c r="Q35" s="79">
        <f t="shared" si="5"/>
        <v>0</v>
      </c>
      <c r="R35" s="91">
        <f t="shared" si="6"/>
        <v>518.40000000000009</v>
      </c>
    </row>
    <row r="36" spans="1:18" ht="15.75" thickBot="1">
      <c r="D36" s="105">
        <f>SUM(D5:D35)</f>
        <v>14</v>
      </c>
      <c r="E36" s="126">
        <f>SUM(E5:E35)</f>
        <v>16</v>
      </c>
      <c r="F36" s="126">
        <f>SUM(F5:F35)</f>
        <v>0</v>
      </c>
      <c r="G36" s="126"/>
      <c r="H36" s="127">
        <f>SUM(H5:H35)</f>
        <v>630</v>
      </c>
      <c r="I36" s="128"/>
      <c r="J36" s="126"/>
      <c r="K36" s="126">
        <f>SUM(K5:K35)</f>
        <v>2352</v>
      </c>
      <c r="L36" s="126">
        <f t="shared" ref="L36:Q36" si="11">SUM(L5:L35)</f>
        <v>2688</v>
      </c>
      <c r="M36" s="126">
        <f t="shared" si="11"/>
        <v>0</v>
      </c>
      <c r="N36" s="126">
        <f t="shared" si="11"/>
        <v>0</v>
      </c>
      <c r="O36" s="126">
        <f t="shared" si="11"/>
        <v>13607.999999999996</v>
      </c>
      <c r="P36" s="126">
        <f t="shared" si="11"/>
        <v>0</v>
      </c>
      <c r="Q36" s="126">
        <f t="shared" si="11"/>
        <v>0</v>
      </c>
      <c r="R36" s="129">
        <f>SUM(R5:R35)</f>
        <v>18648</v>
      </c>
    </row>
  </sheetData>
  <mergeCells count="47">
    <mergeCell ref="A3:A4"/>
    <mergeCell ref="B3:C4"/>
    <mergeCell ref="D3:D4"/>
    <mergeCell ref="E3:E4"/>
    <mergeCell ref="F3:F4"/>
    <mergeCell ref="B6:C6"/>
    <mergeCell ref="I3:I4"/>
    <mergeCell ref="J3:J4"/>
    <mergeCell ref="K3:K4"/>
    <mergeCell ref="L3:L4"/>
    <mergeCell ref="G3:G4"/>
    <mergeCell ref="O3:O4"/>
    <mergeCell ref="P3:P4"/>
    <mergeCell ref="Q3:Q4"/>
    <mergeCell ref="R3:R4"/>
    <mergeCell ref="B5:C5"/>
    <mergeCell ref="M3:M4"/>
    <mergeCell ref="N3:N4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1:C31"/>
    <mergeCell ref="B32:C32"/>
    <mergeCell ref="B33:C33"/>
    <mergeCell ref="B34:C34"/>
    <mergeCell ref="B35:C3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F6EB3-E1D5-4E52-AEFD-04C67ACBDAC2}">
  <sheetPr codeName="Лист19"/>
  <dimension ref="A1:R36"/>
  <sheetViews>
    <sheetView topLeftCell="A7" workbookViewId="0">
      <selection activeCell="H5" sqref="H5:H35"/>
    </sheetView>
  </sheetViews>
  <sheetFormatPr defaultRowHeight="15"/>
  <cols>
    <col min="1" max="1" width="6.8984375" style="2" customWidth="1"/>
    <col min="2" max="17" width="8.796875" style="2"/>
    <col min="18" max="18" width="7.296875" style="2" customWidth="1"/>
    <col min="19" max="16384" width="8.796875" style="2"/>
  </cols>
  <sheetData>
    <row r="1" spans="1:18">
      <c r="A1" s="121">
        <f>R36</f>
        <v>669.60000000000036</v>
      </c>
    </row>
    <row r="2" spans="1:18" ht="21">
      <c r="B2" s="77" t="s">
        <v>145</v>
      </c>
    </row>
    <row r="3" spans="1:18" ht="28.9" customHeight="1">
      <c r="A3" s="206" t="s">
        <v>0</v>
      </c>
      <c r="B3" s="210" t="s">
        <v>1</v>
      </c>
      <c r="C3" s="211"/>
      <c r="D3" s="206" t="s">
        <v>146</v>
      </c>
      <c r="E3" s="206" t="s">
        <v>147</v>
      </c>
      <c r="F3" s="206" t="s">
        <v>148</v>
      </c>
      <c r="G3" s="206" t="s">
        <v>149</v>
      </c>
      <c r="H3" s="4" t="s">
        <v>4</v>
      </c>
      <c r="I3" s="206" t="s">
        <v>150</v>
      </c>
      <c r="J3" s="206" t="s">
        <v>151</v>
      </c>
      <c r="K3" s="206" t="s">
        <v>11</v>
      </c>
      <c r="L3" s="206" t="s">
        <v>12</v>
      </c>
      <c r="M3" s="206" t="s">
        <v>152</v>
      </c>
      <c r="N3" s="206" t="s">
        <v>153</v>
      </c>
      <c r="O3" s="206" t="s">
        <v>13</v>
      </c>
      <c r="P3" s="206" t="s">
        <v>154</v>
      </c>
      <c r="Q3" s="206" t="s">
        <v>155</v>
      </c>
      <c r="R3" s="206" t="s">
        <v>18</v>
      </c>
    </row>
    <row r="4" spans="1:18" ht="30">
      <c r="A4" s="207"/>
      <c r="B4" s="212"/>
      <c r="C4" s="213"/>
      <c r="D4" s="207"/>
      <c r="E4" s="207"/>
      <c r="F4" s="207"/>
      <c r="G4" s="207"/>
      <c r="H4" s="5" t="s">
        <v>156</v>
      </c>
      <c r="I4" s="207"/>
      <c r="J4" s="207"/>
      <c r="K4" s="207"/>
      <c r="L4" s="207"/>
      <c r="M4" s="207"/>
      <c r="N4" s="207"/>
      <c r="O4" s="207"/>
      <c r="P4" s="207"/>
      <c r="Q4" s="207"/>
      <c r="R4" s="207"/>
    </row>
    <row r="5" spans="1:18">
      <c r="A5" s="6">
        <v>1</v>
      </c>
      <c r="B5" s="229">
        <v>45992</v>
      </c>
      <c r="C5" s="230"/>
      <c r="D5" s="122"/>
      <c r="E5" s="80"/>
      <c r="F5" s="80"/>
      <c r="G5" s="80"/>
      <c r="H5" s="79">
        <v>1</v>
      </c>
      <c r="I5" s="79"/>
      <c r="J5" s="79"/>
      <c r="K5" s="79">
        <f t="shared" ref="K5:K29" si="0">SUM(D5*168)</f>
        <v>0</v>
      </c>
      <c r="L5" s="79">
        <f>SUM(E5*168)</f>
        <v>0</v>
      </c>
      <c r="M5" s="79">
        <f>F5*1000</f>
        <v>0</v>
      </c>
      <c r="N5" s="79">
        <f>G5*1000</f>
        <v>0</v>
      </c>
      <c r="O5" s="79">
        <f>SUM(H5*21.6)</f>
        <v>21.6</v>
      </c>
      <c r="P5" s="79">
        <f>I5*500</f>
        <v>0</v>
      </c>
      <c r="Q5" s="79">
        <f>SUM(J5)*600</f>
        <v>0</v>
      </c>
      <c r="R5" s="79">
        <f>SUM(K5:Q5)</f>
        <v>21.6</v>
      </c>
    </row>
    <row r="6" spans="1:18">
      <c r="A6" s="6">
        <v>2</v>
      </c>
      <c r="B6" s="229">
        <v>45993</v>
      </c>
      <c r="C6" s="230"/>
      <c r="D6" s="122"/>
      <c r="E6" s="80"/>
      <c r="F6" s="80"/>
      <c r="G6" s="80"/>
      <c r="H6" s="79">
        <v>1</v>
      </c>
      <c r="I6" s="79"/>
      <c r="J6" s="79"/>
      <c r="K6" s="79">
        <f t="shared" si="0"/>
        <v>0</v>
      </c>
      <c r="L6" s="79">
        <f t="shared" ref="L6:L34" si="1">SUM(E6*168)</f>
        <v>0</v>
      </c>
      <c r="M6" s="79">
        <f t="shared" ref="M6:N34" si="2">F6*1000</f>
        <v>0</v>
      </c>
      <c r="N6" s="79">
        <f t="shared" si="2"/>
        <v>0</v>
      </c>
      <c r="O6" s="79">
        <f t="shared" ref="O6:O35" si="3">SUM(H6*21.6)</f>
        <v>21.6</v>
      </c>
      <c r="P6" s="79">
        <f t="shared" ref="P6:P35" si="4">I6*500</f>
        <v>0</v>
      </c>
      <c r="Q6" s="79">
        <f t="shared" ref="Q6:Q35" si="5">SUM(J6)*600</f>
        <v>0</v>
      </c>
      <c r="R6" s="79">
        <f t="shared" ref="R6:R35" si="6">SUM(K6:Q6)</f>
        <v>21.6</v>
      </c>
    </row>
    <row r="7" spans="1:18">
      <c r="A7" s="6">
        <v>3</v>
      </c>
      <c r="B7" s="229">
        <v>45994</v>
      </c>
      <c r="C7" s="230"/>
      <c r="D7" s="122"/>
      <c r="E7" s="80"/>
      <c r="F7" s="80"/>
      <c r="G7" s="80"/>
      <c r="H7" s="79">
        <v>1</v>
      </c>
      <c r="I7" s="79"/>
      <c r="J7" s="79"/>
      <c r="K7" s="79">
        <f t="shared" si="0"/>
        <v>0</v>
      </c>
      <c r="L7" s="79">
        <f t="shared" si="1"/>
        <v>0</v>
      </c>
      <c r="M7" s="79">
        <f t="shared" si="2"/>
        <v>0</v>
      </c>
      <c r="N7" s="79">
        <f t="shared" si="2"/>
        <v>0</v>
      </c>
      <c r="O7" s="79">
        <f t="shared" si="3"/>
        <v>21.6</v>
      </c>
      <c r="P7" s="79">
        <f t="shared" si="4"/>
        <v>0</v>
      </c>
      <c r="Q7" s="79">
        <f t="shared" si="5"/>
        <v>0</v>
      </c>
      <c r="R7" s="79">
        <f t="shared" si="6"/>
        <v>21.6</v>
      </c>
    </row>
    <row r="8" spans="1:18">
      <c r="A8" s="6">
        <v>4</v>
      </c>
      <c r="B8" s="229">
        <v>45995</v>
      </c>
      <c r="C8" s="230"/>
      <c r="D8" s="122"/>
      <c r="E8" s="80"/>
      <c r="F8" s="80"/>
      <c r="G8" s="80"/>
      <c r="H8" s="79">
        <v>1</v>
      </c>
      <c r="I8" s="79"/>
      <c r="J8" s="79"/>
      <c r="K8" s="79">
        <f t="shared" si="0"/>
        <v>0</v>
      </c>
      <c r="L8" s="79">
        <f t="shared" si="1"/>
        <v>0</v>
      </c>
      <c r="M8" s="79">
        <f t="shared" si="2"/>
        <v>0</v>
      </c>
      <c r="N8" s="79">
        <f t="shared" si="2"/>
        <v>0</v>
      </c>
      <c r="O8" s="79">
        <f t="shared" si="3"/>
        <v>21.6</v>
      </c>
      <c r="P8" s="79">
        <f t="shared" si="4"/>
        <v>0</v>
      </c>
      <c r="Q8" s="79">
        <f t="shared" si="5"/>
        <v>0</v>
      </c>
      <c r="R8" s="79">
        <f t="shared" si="6"/>
        <v>21.6</v>
      </c>
    </row>
    <row r="9" spans="1:18">
      <c r="A9" s="123">
        <v>5</v>
      </c>
      <c r="B9" s="229">
        <v>45996</v>
      </c>
      <c r="C9" s="230"/>
      <c r="D9" s="124"/>
      <c r="E9" s="125"/>
      <c r="F9" s="125"/>
      <c r="G9" s="125"/>
      <c r="H9" s="79">
        <v>1</v>
      </c>
      <c r="I9" s="79"/>
      <c r="J9" s="91"/>
      <c r="K9" s="79">
        <f t="shared" si="0"/>
        <v>0</v>
      </c>
      <c r="L9" s="79">
        <f t="shared" si="1"/>
        <v>0</v>
      </c>
      <c r="M9" s="79">
        <f t="shared" si="2"/>
        <v>0</v>
      </c>
      <c r="N9" s="79">
        <f t="shared" si="2"/>
        <v>0</v>
      </c>
      <c r="O9" s="79">
        <f t="shared" si="3"/>
        <v>21.6</v>
      </c>
      <c r="P9" s="79">
        <f t="shared" si="4"/>
        <v>0</v>
      </c>
      <c r="Q9" s="79">
        <f t="shared" si="5"/>
        <v>0</v>
      </c>
      <c r="R9" s="91">
        <f t="shared" si="6"/>
        <v>21.6</v>
      </c>
    </row>
    <row r="10" spans="1:18">
      <c r="A10" s="123">
        <v>6</v>
      </c>
      <c r="B10" s="229">
        <v>45997</v>
      </c>
      <c r="C10" s="230"/>
      <c r="D10" s="124"/>
      <c r="E10" s="125"/>
      <c r="F10" s="125"/>
      <c r="G10" s="125"/>
      <c r="H10" s="79">
        <v>1</v>
      </c>
      <c r="I10" s="79"/>
      <c r="J10" s="91"/>
      <c r="K10" s="79">
        <f t="shared" si="0"/>
        <v>0</v>
      </c>
      <c r="L10" s="79">
        <f t="shared" si="1"/>
        <v>0</v>
      </c>
      <c r="M10" s="79">
        <f t="shared" si="2"/>
        <v>0</v>
      </c>
      <c r="N10" s="79">
        <f t="shared" si="2"/>
        <v>0</v>
      </c>
      <c r="O10" s="79">
        <f t="shared" si="3"/>
        <v>21.6</v>
      </c>
      <c r="P10" s="79">
        <f t="shared" si="4"/>
        <v>0</v>
      </c>
      <c r="Q10" s="79">
        <f t="shared" si="5"/>
        <v>0</v>
      </c>
      <c r="R10" s="91">
        <f t="shared" si="6"/>
        <v>21.6</v>
      </c>
    </row>
    <row r="11" spans="1:18">
      <c r="A11" s="123">
        <v>7</v>
      </c>
      <c r="B11" s="229">
        <v>45998</v>
      </c>
      <c r="C11" s="230"/>
      <c r="D11" s="124"/>
      <c r="E11" s="125"/>
      <c r="F11" s="125"/>
      <c r="G11" s="125"/>
      <c r="H11" s="79">
        <v>1</v>
      </c>
      <c r="I11" s="79"/>
      <c r="J11" s="91"/>
      <c r="K11" s="79">
        <f t="shared" si="0"/>
        <v>0</v>
      </c>
      <c r="L11" s="79">
        <f t="shared" si="1"/>
        <v>0</v>
      </c>
      <c r="M11" s="79">
        <f t="shared" si="2"/>
        <v>0</v>
      </c>
      <c r="N11" s="79">
        <f t="shared" si="2"/>
        <v>0</v>
      </c>
      <c r="O11" s="79">
        <f t="shared" si="3"/>
        <v>21.6</v>
      </c>
      <c r="P11" s="79">
        <f t="shared" si="4"/>
        <v>0</v>
      </c>
      <c r="Q11" s="79">
        <f t="shared" si="5"/>
        <v>0</v>
      </c>
      <c r="R11" s="91">
        <f t="shared" si="6"/>
        <v>21.6</v>
      </c>
    </row>
    <row r="12" spans="1:18">
      <c r="A12" s="123">
        <v>8</v>
      </c>
      <c r="B12" s="229">
        <v>45999</v>
      </c>
      <c r="C12" s="230"/>
      <c r="D12" s="124"/>
      <c r="E12" s="125"/>
      <c r="F12" s="125"/>
      <c r="G12" s="125"/>
      <c r="H12" s="79">
        <v>1</v>
      </c>
      <c r="I12" s="79"/>
      <c r="J12" s="91"/>
      <c r="K12" s="79">
        <f t="shared" si="0"/>
        <v>0</v>
      </c>
      <c r="L12" s="79">
        <f t="shared" si="1"/>
        <v>0</v>
      </c>
      <c r="M12" s="79">
        <f t="shared" si="2"/>
        <v>0</v>
      </c>
      <c r="N12" s="79">
        <f t="shared" si="2"/>
        <v>0</v>
      </c>
      <c r="O12" s="79">
        <f t="shared" si="3"/>
        <v>21.6</v>
      </c>
      <c r="P12" s="79">
        <f t="shared" si="4"/>
        <v>0</v>
      </c>
      <c r="Q12" s="79">
        <f t="shared" si="5"/>
        <v>0</v>
      </c>
      <c r="R12" s="91">
        <f t="shared" si="6"/>
        <v>21.6</v>
      </c>
    </row>
    <row r="13" spans="1:18">
      <c r="A13" s="6">
        <v>9</v>
      </c>
      <c r="B13" s="229">
        <v>46000</v>
      </c>
      <c r="C13" s="230"/>
      <c r="D13" s="122"/>
      <c r="E13" s="80"/>
      <c r="F13" s="80"/>
      <c r="G13" s="80"/>
      <c r="H13" s="79">
        <v>1</v>
      </c>
      <c r="I13" s="79"/>
      <c r="J13" s="79"/>
      <c r="K13" s="79">
        <f t="shared" si="0"/>
        <v>0</v>
      </c>
      <c r="L13" s="79">
        <f t="shared" si="1"/>
        <v>0</v>
      </c>
      <c r="M13" s="79">
        <f t="shared" si="2"/>
        <v>0</v>
      </c>
      <c r="N13" s="79">
        <f t="shared" si="2"/>
        <v>0</v>
      </c>
      <c r="O13" s="79">
        <f t="shared" si="3"/>
        <v>21.6</v>
      </c>
      <c r="P13" s="79">
        <f t="shared" si="4"/>
        <v>0</v>
      </c>
      <c r="Q13" s="79">
        <f t="shared" si="5"/>
        <v>0</v>
      </c>
      <c r="R13" s="79">
        <f t="shared" si="6"/>
        <v>21.6</v>
      </c>
    </row>
    <row r="14" spans="1:18">
      <c r="A14" s="6">
        <v>10</v>
      </c>
      <c r="B14" s="229">
        <v>46001</v>
      </c>
      <c r="C14" s="230"/>
      <c r="D14" s="122"/>
      <c r="E14" s="80"/>
      <c r="F14" s="80"/>
      <c r="G14" s="80"/>
      <c r="H14" s="79">
        <v>1</v>
      </c>
      <c r="I14" s="79"/>
      <c r="J14" s="79"/>
      <c r="K14" s="79">
        <f t="shared" si="0"/>
        <v>0</v>
      </c>
      <c r="L14" s="79">
        <f t="shared" si="1"/>
        <v>0</v>
      </c>
      <c r="M14" s="79">
        <f t="shared" si="2"/>
        <v>0</v>
      </c>
      <c r="N14" s="79">
        <f t="shared" si="2"/>
        <v>0</v>
      </c>
      <c r="O14" s="79">
        <f t="shared" si="3"/>
        <v>21.6</v>
      </c>
      <c r="P14" s="79">
        <f t="shared" si="4"/>
        <v>0</v>
      </c>
      <c r="Q14" s="79">
        <f t="shared" si="5"/>
        <v>0</v>
      </c>
      <c r="R14" s="79">
        <f t="shared" si="6"/>
        <v>21.6</v>
      </c>
    </row>
    <row r="15" spans="1:18">
      <c r="A15" s="123">
        <v>11</v>
      </c>
      <c r="B15" s="229">
        <v>46002</v>
      </c>
      <c r="C15" s="230"/>
      <c r="D15" s="124"/>
      <c r="E15" s="125"/>
      <c r="F15" s="125"/>
      <c r="G15" s="80"/>
      <c r="H15" s="79">
        <v>1</v>
      </c>
      <c r="I15" s="79"/>
      <c r="J15" s="91"/>
      <c r="K15" s="79">
        <f t="shared" si="0"/>
        <v>0</v>
      </c>
      <c r="L15" s="79">
        <f t="shared" si="1"/>
        <v>0</v>
      </c>
      <c r="M15" s="79">
        <f t="shared" si="2"/>
        <v>0</v>
      </c>
      <c r="N15" s="79">
        <f t="shared" si="2"/>
        <v>0</v>
      </c>
      <c r="O15" s="79">
        <f t="shared" si="3"/>
        <v>21.6</v>
      </c>
      <c r="P15" s="79">
        <f t="shared" si="4"/>
        <v>0</v>
      </c>
      <c r="Q15" s="79">
        <f t="shared" si="5"/>
        <v>0</v>
      </c>
      <c r="R15" s="91">
        <f t="shared" si="6"/>
        <v>21.6</v>
      </c>
    </row>
    <row r="16" spans="1:18">
      <c r="A16" s="123">
        <v>12</v>
      </c>
      <c r="B16" s="229">
        <v>46003</v>
      </c>
      <c r="C16" s="230"/>
      <c r="D16" s="124"/>
      <c r="E16" s="125"/>
      <c r="F16" s="125"/>
      <c r="G16" s="80"/>
      <c r="H16" s="79">
        <v>1</v>
      </c>
      <c r="I16" s="79"/>
      <c r="J16" s="91"/>
      <c r="K16" s="79">
        <f t="shared" si="0"/>
        <v>0</v>
      </c>
      <c r="L16" s="79">
        <f t="shared" si="1"/>
        <v>0</v>
      </c>
      <c r="M16" s="79">
        <f t="shared" si="2"/>
        <v>0</v>
      </c>
      <c r="N16" s="79">
        <f t="shared" si="2"/>
        <v>0</v>
      </c>
      <c r="O16" s="79">
        <f t="shared" si="3"/>
        <v>21.6</v>
      </c>
      <c r="P16" s="79">
        <f t="shared" si="4"/>
        <v>0</v>
      </c>
      <c r="Q16" s="79">
        <f t="shared" si="5"/>
        <v>0</v>
      </c>
      <c r="R16" s="91">
        <f t="shared" si="6"/>
        <v>21.6</v>
      </c>
    </row>
    <row r="17" spans="1:18">
      <c r="A17" s="123">
        <v>13</v>
      </c>
      <c r="B17" s="229">
        <v>46004</v>
      </c>
      <c r="C17" s="230"/>
      <c r="D17" s="124"/>
      <c r="E17" s="125"/>
      <c r="F17" s="125"/>
      <c r="G17" s="80"/>
      <c r="H17" s="79">
        <v>1</v>
      </c>
      <c r="I17" s="79"/>
      <c r="J17" s="91"/>
      <c r="K17" s="79">
        <f t="shared" si="0"/>
        <v>0</v>
      </c>
      <c r="L17" s="79">
        <f t="shared" si="1"/>
        <v>0</v>
      </c>
      <c r="M17" s="79">
        <f t="shared" si="2"/>
        <v>0</v>
      </c>
      <c r="N17" s="79">
        <f t="shared" si="2"/>
        <v>0</v>
      </c>
      <c r="O17" s="79">
        <f t="shared" si="3"/>
        <v>21.6</v>
      </c>
      <c r="P17" s="79">
        <f t="shared" si="4"/>
        <v>0</v>
      </c>
      <c r="Q17" s="79">
        <f t="shared" si="5"/>
        <v>0</v>
      </c>
      <c r="R17" s="91">
        <f t="shared" si="6"/>
        <v>21.6</v>
      </c>
    </row>
    <row r="18" spans="1:18">
      <c r="A18" s="123">
        <v>14</v>
      </c>
      <c r="B18" s="229">
        <v>46005</v>
      </c>
      <c r="C18" s="230"/>
      <c r="D18" s="124"/>
      <c r="E18" s="125"/>
      <c r="F18" s="125"/>
      <c r="G18" s="80"/>
      <c r="H18" s="79">
        <v>1</v>
      </c>
      <c r="I18" s="79"/>
      <c r="J18" s="91"/>
      <c r="K18" s="79">
        <f t="shared" si="0"/>
        <v>0</v>
      </c>
      <c r="L18" s="79">
        <f t="shared" si="1"/>
        <v>0</v>
      </c>
      <c r="M18" s="79">
        <f t="shared" si="2"/>
        <v>0</v>
      </c>
      <c r="N18" s="79">
        <f t="shared" si="2"/>
        <v>0</v>
      </c>
      <c r="O18" s="79">
        <f t="shared" si="3"/>
        <v>21.6</v>
      </c>
      <c r="P18" s="79">
        <f t="shared" si="4"/>
        <v>0</v>
      </c>
      <c r="Q18" s="79">
        <f t="shared" si="5"/>
        <v>0</v>
      </c>
      <c r="R18" s="91">
        <f t="shared" si="6"/>
        <v>21.6</v>
      </c>
    </row>
    <row r="19" spans="1:18">
      <c r="A19" s="123">
        <v>15</v>
      </c>
      <c r="B19" s="229">
        <v>46006</v>
      </c>
      <c r="C19" s="230"/>
      <c r="D19" s="124"/>
      <c r="E19" s="125"/>
      <c r="F19" s="125"/>
      <c r="G19" s="80"/>
      <c r="H19" s="79">
        <v>1</v>
      </c>
      <c r="I19" s="79"/>
      <c r="J19" s="91"/>
      <c r="K19" s="79">
        <f t="shared" si="0"/>
        <v>0</v>
      </c>
      <c r="L19" s="79">
        <f t="shared" si="1"/>
        <v>0</v>
      </c>
      <c r="M19" s="79">
        <f t="shared" si="2"/>
        <v>0</v>
      </c>
      <c r="N19" s="79">
        <f t="shared" si="2"/>
        <v>0</v>
      </c>
      <c r="O19" s="79">
        <f t="shared" si="3"/>
        <v>21.6</v>
      </c>
      <c r="P19" s="79">
        <f t="shared" si="4"/>
        <v>0</v>
      </c>
      <c r="Q19" s="79">
        <f t="shared" si="5"/>
        <v>0</v>
      </c>
      <c r="R19" s="91">
        <f t="shared" si="6"/>
        <v>21.6</v>
      </c>
    </row>
    <row r="20" spans="1:18">
      <c r="A20" s="6">
        <v>16</v>
      </c>
      <c r="B20" s="229">
        <v>46007</v>
      </c>
      <c r="C20" s="230"/>
      <c r="D20" s="122"/>
      <c r="E20" s="80"/>
      <c r="F20" s="80"/>
      <c r="G20" s="125"/>
      <c r="H20" s="79">
        <v>1</v>
      </c>
      <c r="I20" s="79"/>
      <c r="J20" s="79"/>
      <c r="K20" s="79">
        <f t="shared" si="0"/>
        <v>0</v>
      </c>
      <c r="L20" s="79">
        <f t="shared" si="1"/>
        <v>0</v>
      </c>
      <c r="M20" s="79">
        <f t="shared" si="2"/>
        <v>0</v>
      </c>
      <c r="N20" s="79">
        <f t="shared" si="2"/>
        <v>0</v>
      </c>
      <c r="O20" s="79">
        <f t="shared" si="3"/>
        <v>21.6</v>
      </c>
      <c r="P20" s="79">
        <f t="shared" si="4"/>
        <v>0</v>
      </c>
      <c r="Q20" s="79">
        <f t="shared" si="5"/>
        <v>0</v>
      </c>
      <c r="R20" s="79">
        <f t="shared" si="6"/>
        <v>21.6</v>
      </c>
    </row>
    <row r="21" spans="1:18">
      <c r="A21" s="6">
        <v>17</v>
      </c>
      <c r="B21" s="229">
        <v>46008</v>
      </c>
      <c r="C21" s="230"/>
      <c r="D21" s="122"/>
      <c r="E21" s="80"/>
      <c r="F21" s="80"/>
      <c r="G21" s="125"/>
      <c r="H21" s="79">
        <v>1</v>
      </c>
      <c r="I21" s="79"/>
      <c r="J21" s="79"/>
      <c r="K21" s="79">
        <f t="shared" si="0"/>
        <v>0</v>
      </c>
      <c r="L21" s="79">
        <f t="shared" si="1"/>
        <v>0</v>
      </c>
      <c r="M21" s="79">
        <f t="shared" si="2"/>
        <v>0</v>
      </c>
      <c r="N21" s="79">
        <f t="shared" si="2"/>
        <v>0</v>
      </c>
      <c r="O21" s="79">
        <f t="shared" si="3"/>
        <v>21.6</v>
      </c>
      <c r="P21" s="79">
        <f t="shared" si="4"/>
        <v>0</v>
      </c>
      <c r="Q21" s="79">
        <f t="shared" si="5"/>
        <v>0</v>
      </c>
      <c r="R21" s="79">
        <f t="shared" si="6"/>
        <v>21.6</v>
      </c>
    </row>
    <row r="22" spans="1:18">
      <c r="A22" s="123">
        <v>18</v>
      </c>
      <c r="B22" s="229">
        <v>46009</v>
      </c>
      <c r="C22" s="230"/>
      <c r="D22" s="124"/>
      <c r="E22" s="125"/>
      <c r="F22" s="125"/>
      <c r="G22" s="125"/>
      <c r="H22" s="79">
        <v>1</v>
      </c>
      <c r="I22" s="91"/>
      <c r="J22" s="91"/>
      <c r="K22" s="79">
        <f t="shared" si="0"/>
        <v>0</v>
      </c>
      <c r="L22" s="79">
        <f t="shared" si="1"/>
        <v>0</v>
      </c>
      <c r="M22" s="79">
        <f t="shared" si="2"/>
        <v>0</v>
      </c>
      <c r="N22" s="79">
        <f t="shared" si="2"/>
        <v>0</v>
      </c>
      <c r="O22" s="79">
        <f t="shared" si="3"/>
        <v>21.6</v>
      </c>
      <c r="P22" s="79">
        <f t="shared" si="4"/>
        <v>0</v>
      </c>
      <c r="Q22" s="79">
        <f t="shared" si="5"/>
        <v>0</v>
      </c>
      <c r="R22" s="91">
        <f t="shared" si="6"/>
        <v>21.6</v>
      </c>
    </row>
    <row r="23" spans="1:18">
      <c r="A23" s="123">
        <v>19</v>
      </c>
      <c r="B23" s="229">
        <v>46010</v>
      </c>
      <c r="C23" s="230"/>
      <c r="D23" s="124"/>
      <c r="E23" s="125"/>
      <c r="F23" s="125"/>
      <c r="G23" s="125"/>
      <c r="H23" s="79">
        <v>1</v>
      </c>
      <c r="I23" s="91"/>
      <c r="J23" s="91"/>
      <c r="K23" s="79">
        <f t="shared" si="0"/>
        <v>0</v>
      </c>
      <c r="L23" s="79">
        <f t="shared" si="1"/>
        <v>0</v>
      </c>
      <c r="M23" s="79">
        <f t="shared" si="2"/>
        <v>0</v>
      </c>
      <c r="N23" s="79">
        <f t="shared" si="2"/>
        <v>0</v>
      </c>
      <c r="O23" s="79">
        <f t="shared" si="3"/>
        <v>21.6</v>
      </c>
      <c r="P23" s="79">
        <f t="shared" si="4"/>
        <v>0</v>
      </c>
      <c r="Q23" s="79">
        <f t="shared" si="5"/>
        <v>0</v>
      </c>
      <c r="R23" s="91">
        <f t="shared" si="6"/>
        <v>21.6</v>
      </c>
    </row>
    <row r="24" spans="1:18">
      <c r="A24" s="123">
        <v>20</v>
      </c>
      <c r="B24" s="229">
        <v>46011</v>
      </c>
      <c r="C24" s="230"/>
      <c r="D24" s="124"/>
      <c r="E24" s="125"/>
      <c r="F24" s="125"/>
      <c r="G24" s="125"/>
      <c r="H24" s="79">
        <v>1</v>
      </c>
      <c r="I24" s="91"/>
      <c r="J24" s="91"/>
      <c r="K24" s="79">
        <f t="shared" si="0"/>
        <v>0</v>
      </c>
      <c r="L24" s="79">
        <f t="shared" si="1"/>
        <v>0</v>
      </c>
      <c r="M24" s="79">
        <f t="shared" si="2"/>
        <v>0</v>
      </c>
      <c r="N24" s="79">
        <f t="shared" si="2"/>
        <v>0</v>
      </c>
      <c r="O24" s="79">
        <f t="shared" si="3"/>
        <v>21.6</v>
      </c>
      <c r="P24" s="79">
        <f t="shared" si="4"/>
        <v>0</v>
      </c>
      <c r="Q24" s="79">
        <f t="shared" si="5"/>
        <v>0</v>
      </c>
      <c r="R24" s="91">
        <f t="shared" si="6"/>
        <v>21.6</v>
      </c>
    </row>
    <row r="25" spans="1:18">
      <c r="A25" s="123">
        <v>21</v>
      </c>
      <c r="B25" s="229">
        <v>46012</v>
      </c>
      <c r="C25" s="230"/>
      <c r="D25" s="124"/>
      <c r="E25" s="125"/>
      <c r="F25" s="125"/>
      <c r="G25" s="125"/>
      <c r="H25" s="79">
        <v>1</v>
      </c>
      <c r="I25" s="91"/>
      <c r="J25" s="91"/>
      <c r="K25" s="79">
        <f t="shared" si="0"/>
        <v>0</v>
      </c>
      <c r="L25" s="79">
        <f t="shared" si="1"/>
        <v>0</v>
      </c>
      <c r="M25" s="79">
        <f t="shared" si="2"/>
        <v>0</v>
      </c>
      <c r="N25" s="79">
        <f t="shared" si="2"/>
        <v>0</v>
      </c>
      <c r="O25" s="79">
        <f t="shared" si="3"/>
        <v>21.6</v>
      </c>
      <c r="P25" s="79">
        <f t="shared" si="4"/>
        <v>0</v>
      </c>
      <c r="Q25" s="79">
        <f t="shared" si="5"/>
        <v>0</v>
      </c>
      <c r="R25" s="91">
        <f t="shared" si="6"/>
        <v>21.6</v>
      </c>
    </row>
    <row r="26" spans="1:18">
      <c r="A26" s="123">
        <v>22</v>
      </c>
      <c r="B26" s="229">
        <v>46013</v>
      </c>
      <c r="C26" s="230"/>
      <c r="D26" s="124"/>
      <c r="E26" s="125"/>
      <c r="F26" s="125"/>
      <c r="G26" s="125"/>
      <c r="H26" s="79">
        <v>1</v>
      </c>
      <c r="I26" s="79"/>
      <c r="J26" s="91"/>
      <c r="K26" s="79">
        <f t="shared" si="0"/>
        <v>0</v>
      </c>
      <c r="L26" s="79">
        <f t="shared" si="1"/>
        <v>0</v>
      </c>
      <c r="M26" s="79">
        <f t="shared" si="2"/>
        <v>0</v>
      </c>
      <c r="N26" s="79">
        <f t="shared" si="2"/>
        <v>0</v>
      </c>
      <c r="O26" s="79">
        <f t="shared" si="3"/>
        <v>21.6</v>
      </c>
      <c r="P26" s="79">
        <f t="shared" si="4"/>
        <v>0</v>
      </c>
      <c r="Q26" s="79">
        <f t="shared" si="5"/>
        <v>0</v>
      </c>
      <c r="R26" s="91">
        <f t="shared" si="6"/>
        <v>21.6</v>
      </c>
    </row>
    <row r="27" spans="1:18">
      <c r="A27" s="6">
        <v>23</v>
      </c>
      <c r="B27" s="229">
        <v>46014</v>
      </c>
      <c r="C27" s="230"/>
      <c r="D27" s="122"/>
      <c r="E27" s="80"/>
      <c r="F27" s="80"/>
      <c r="G27" s="80"/>
      <c r="H27" s="79">
        <v>1</v>
      </c>
      <c r="I27" s="79"/>
      <c r="J27" s="79"/>
      <c r="K27" s="79">
        <f t="shared" si="0"/>
        <v>0</v>
      </c>
      <c r="L27" s="79">
        <f t="shared" si="1"/>
        <v>0</v>
      </c>
      <c r="M27" s="79">
        <f t="shared" si="2"/>
        <v>0</v>
      </c>
      <c r="N27" s="79">
        <f t="shared" si="2"/>
        <v>0</v>
      </c>
      <c r="O27" s="79">
        <f t="shared" si="3"/>
        <v>21.6</v>
      </c>
      <c r="P27" s="79">
        <f t="shared" si="4"/>
        <v>0</v>
      </c>
      <c r="Q27" s="79">
        <f t="shared" si="5"/>
        <v>0</v>
      </c>
      <c r="R27" s="79">
        <f t="shared" si="6"/>
        <v>21.6</v>
      </c>
    </row>
    <row r="28" spans="1:18">
      <c r="A28" s="6">
        <v>24</v>
      </c>
      <c r="B28" s="229">
        <v>46015</v>
      </c>
      <c r="C28" s="230"/>
      <c r="D28" s="122"/>
      <c r="E28" s="80"/>
      <c r="F28" s="80"/>
      <c r="G28" s="80"/>
      <c r="H28" s="79">
        <v>1</v>
      </c>
      <c r="I28" s="79"/>
      <c r="J28" s="79"/>
      <c r="K28" s="79">
        <f t="shared" si="0"/>
        <v>0</v>
      </c>
      <c r="L28" s="79">
        <f t="shared" si="1"/>
        <v>0</v>
      </c>
      <c r="M28" s="79">
        <f t="shared" si="2"/>
        <v>0</v>
      </c>
      <c r="N28" s="79">
        <f t="shared" si="2"/>
        <v>0</v>
      </c>
      <c r="O28" s="79">
        <f t="shared" si="3"/>
        <v>21.6</v>
      </c>
      <c r="P28" s="79">
        <f t="shared" si="4"/>
        <v>0</v>
      </c>
      <c r="Q28" s="79">
        <f t="shared" si="5"/>
        <v>0</v>
      </c>
      <c r="R28" s="79">
        <f t="shared" si="6"/>
        <v>21.6</v>
      </c>
    </row>
    <row r="29" spans="1:18">
      <c r="A29" s="123">
        <v>25</v>
      </c>
      <c r="B29" s="229">
        <v>46016</v>
      </c>
      <c r="C29" s="230"/>
      <c r="D29" s="124"/>
      <c r="E29" s="125"/>
      <c r="F29" s="125"/>
      <c r="G29" s="125"/>
      <c r="H29" s="79">
        <v>1</v>
      </c>
      <c r="I29" s="79"/>
      <c r="J29" s="91"/>
      <c r="K29" s="79">
        <f t="shared" si="0"/>
        <v>0</v>
      </c>
      <c r="L29" s="79">
        <f t="shared" si="1"/>
        <v>0</v>
      </c>
      <c r="M29" s="79">
        <f>F29*1000</f>
        <v>0</v>
      </c>
      <c r="N29" s="79">
        <f t="shared" si="2"/>
        <v>0</v>
      </c>
      <c r="O29" s="79">
        <f t="shared" si="3"/>
        <v>21.6</v>
      </c>
      <c r="P29" s="79">
        <f t="shared" si="4"/>
        <v>0</v>
      </c>
      <c r="Q29" s="79">
        <f t="shared" si="5"/>
        <v>0</v>
      </c>
      <c r="R29" s="91">
        <f t="shared" si="6"/>
        <v>21.6</v>
      </c>
    </row>
    <row r="30" spans="1:18">
      <c r="A30" s="123">
        <v>26</v>
      </c>
      <c r="B30" s="229">
        <v>46017</v>
      </c>
      <c r="C30" s="230"/>
      <c r="D30" s="124"/>
      <c r="E30" s="125"/>
      <c r="F30" s="125"/>
      <c r="G30" s="125"/>
      <c r="H30" s="79">
        <v>1</v>
      </c>
      <c r="I30" s="79"/>
      <c r="J30" s="91"/>
      <c r="K30" s="79">
        <f>SUM(D30*168)</f>
        <v>0</v>
      </c>
      <c r="L30" s="79">
        <f t="shared" si="1"/>
        <v>0</v>
      </c>
      <c r="M30" s="79">
        <f t="shared" si="2"/>
        <v>0</v>
      </c>
      <c r="N30" s="79">
        <f t="shared" si="2"/>
        <v>0</v>
      </c>
      <c r="O30" s="79">
        <f t="shared" si="3"/>
        <v>21.6</v>
      </c>
      <c r="P30" s="79">
        <f t="shared" si="4"/>
        <v>0</v>
      </c>
      <c r="Q30" s="79">
        <f t="shared" si="5"/>
        <v>0</v>
      </c>
      <c r="R30" s="91">
        <f t="shared" si="6"/>
        <v>21.6</v>
      </c>
    </row>
    <row r="31" spans="1:18">
      <c r="A31" s="123">
        <v>27</v>
      </c>
      <c r="B31" s="229">
        <v>46018</v>
      </c>
      <c r="C31" s="230"/>
      <c r="D31" s="124"/>
      <c r="E31" s="125"/>
      <c r="F31" s="125"/>
      <c r="G31" s="125"/>
      <c r="H31" s="79">
        <v>1</v>
      </c>
      <c r="I31" s="79"/>
      <c r="J31" s="91"/>
      <c r="K31" s="79">
        <f t="shared" ref="K31:L35" si="7">SUM(D31*168)</f>
        <v>0</v>
      </c>
      <c r="L31" s="79">
        <f t="shared" si="1"/>
        <v>0</v>
      </c>
      <c r="M31" s="79">
        <f t="shared" si="2"/>
        <v>0</v>
      </c>
      <c r="N31" s="79">
        <f t="shared" si="2"/>
        <v>0</v>
      </c>
      <c r="O31" s="79">
        <f t="shared" si="3"/>
        <v>21.6</v>
      </c>
      <c r="P31" s="79">
        <f t="shared" si="4"/>
        <v>0</v>
      </c>
      <c r="Q31" s="79">
        <f t="shared" si="5"/>
        <v>0</v>
      </c>
      <c r="R31" s="91">
        <f t="shared" si="6"/>
        <v>21.6</v>
      </c>
    </row>
    <row r="32" spans="1:18">
      <c r="A32" s="123">
        <v>28</v>
      </c>
      <c r="B32" s="229">
        <v>46019</v>
      </c>
      <c r="C32" s="230"/>
      <c r="D32" s="124"/>
      <c r="E32" s="125"/>
      <c r="F32" s="125"/>
      <c r="G32" s="125"/>
      <c r="H32" s="79">
        <v>1</v>
      </c>
      <c r="I32" s="79"/>
      <c r="J32" s="91"/>
      <c r="K32" s="79">
        <f t="shared" si="7"/>
        <v>0</v>
      </c>
      <c r="L32" s="79">
        <f t="shared" si="1"/>
        <v>0</v>
      </c>
      <c r="M32" s="79">
        <f t="shared" si="2"/>
        <v>0</v>
      </c>
      <c r="N32" s="79">
        <f t="shared" si="2"/>
        <v>0</v>
      </c>
      <c r="O32" s="79">
        <f t="shared" si="3"/>
        <v>21.6</v>
      </c>
      <c r="P32" s="79">
        <f t="shared" si="4"/>
        <v>0</v>
      </c>
      <c r="Q32" s="79">
        <f t="shared" si="5"/>
        <v>0</v>
      </c>
      <c r="R32" s="91">
        <f t="shared" si="6"/>
        <v>21.6</v>
      </c>
    </row>
    <row r="33" spans="1:18">
      <c r="A33" s="123">
        <v>29</v>
      </c>
      <c r="B33" s="229">
        <v>46020</v>
      </c>
      <c r="C33" s="230"/>
      <c r="D33" s="124"/>
      <c r="E33" s="125"/>
      <c r="F33" s="125"/>
      <c r="G33" s="125"/>
      <c r="H33" s="79">
        <v>1</v>
      </c>
      <c r="I33" s="79"/>
      <c r="J33" s="91"/>
      <c r="K33" s="79">
        <f t="shared" si="7"/>
        <v>0</v>
      </c>
      <c r="L33" s="79">
        <f t="shared" si="1"/>
        <v>0</v>
      </c>
      <c r="M33" s="79">
        <f t="shared" si="2"/>
        <v>0</v>
      </c>
      <c r="N33" s="79">
        <f t="shared" si="2"/>
        <v>0</v>
      </c>
      <c r="O33" s="79">
        <f t="shared" si="3"/>
        <v>21.6</v>
      </c>
      <c r="P33" s="79">
        <f t="shared" si="4"/>
        <v>0</v>
      </c>
      <c r="Q33" s="79">
        <f t="shared" si="5"/>
        <v>0</v>
      </c>
      <c r="R33" s="91">
        <f t="shared" si="6"/>
        <v>21.6</v>
      </c>
    </row>
    <row r="34" spans="1:18">
      <c r="A34" s="123">
        <v>30</v>
      </c>
      <c r="B34" s="229">
        <v>46021</v>
      </c>
      <c r="C34" s="230"/>
      <c r="D34" s="124"/>
      <c r="E34" s="125"/>
      <c r="F34" s="125"/>
      <c r="G34" s="125"/>
      <c r="H34" s="79">
        <v>1</v>
      </c>
      <c r="I34" s="79"/>
      <c r="J34" s="91"/>
      <c r="K34" s="79">
        <f t="shared" si="7"/>
        <v>0</v>
      </c>
      <c r="L34" s="79">
        <f t="shared" si="1"/>
        <v>0</v>
      </c>
      <c r="M34" s="79">
        <f t="shared" si="2"/>
        <v>0</v>
      </c>
      <c r="N34" s="79">
        <f t="shared" si="2"/>
        <v>0</v>
      </c>
      <c r="O34" s="79">
        <f t="shared" si="3"/>
        <v>21.6</v>
      </c>
      <c r="P34" s="79">
        <f t="shared" si="4"/>
        <v>0</v>
      </c>
      <c r="Q34" s="79">
        <f t="shared" si="5"/>
        <v>0</v>
      </c>
      <c r="R34" s="91">
        <f t="shared" si="6"/>
        <v>21.6</v>
      </c>
    </row>
    <row r="35" spans="1:18" ht="15.75" thickBot="1">
      <c r="A35" s="123"/>
      <c r="B35" s="229">
        <v>46022</v>
      </c>
      <c r="C35" s="230"/>
      <c r="D35" s="124"/>
      <c r="E35" s="125"/>
      <c r="F35" s="125"/>
      <c r="G35" s="125"/>
      <c r="H35" s="79">
        <v>1</v>
      </c>
      <c r="I35" s="79"/>
      <c r="J35" s="91"/>
      <c r="K35" s="79">
        <f t="shared" si="7"/>
        <v>0</v>
      </c>
      <c r="L35" s="79">
        <f t="shared" si="7"/>
        <v>0</v>
      </c>
      <c r="M35" s="79">
        <f t="shared" ref="M35:N35" si="8">F35*1000</f>
        <v>0</v>
      </c>
      <c r="N35" s="79">
        <f t="shared" si="8"/>
        <v>0</v>
      </c>
      <c r="O35" s="79">
        <f t="shared" si="3"/>
        <v>21.6</v>
      </c>
      <c r="P35" s="79">
        <f t="shared" si="4"/>
        <v>0</v>
      </c>
      <c r="Q35" s="79">
        <f t="shared" si="5"/>
        <v>0</v>
      </c>
      <c r="R35" s="91">
        <f t="shared" si="6"/>
        <v>21.6</v>
      </c>
    </row>
    <row r="36" spans="1:18" ht="15.75" thickBot="1">
      <c r="D36" s="105">
        <f>SUM(D5:D35)</f>
        <v>0</v>
      </c>
      <c r="E36" s="126">
        <f>SUM(E5:E35)</f>
        <v>0</v>
      </c>
      <c r="F36" s="126">
        <f>SUM(F5:F35)</f>
        <v>0</v>
      </c>
      <c r="G36" s="126"/>
      <c r="H36" s="127">
        <f>SUM(H5:H35)</f>
        <v>31</v>
      </c>
      <c r="I36" s="128"/>
      <c r="J36" s="126"/>
      <c r="K36" s="126">
        <f>SUM(K5:K35)</f>
        <v>0</v>
      </c>
      <c r="L36" s="126">
        <f t="shared" ref="L36:Q36" si="9">SUM(L5:L35)</f>
        <v>0</v>
      </c>
      <c r="M36" s="126">
        <f t="shared" si="9"/>
        <v>0</v>
      </c>
      <c r="N36" s="126">
        <f t="shared" si="9"/>
        <v>0</v>
      </c>
      <c r="O36" s="126">
        <f t="shared" si="9"/>
        <v>669.60000000000036</v>
      </c>
      <c r="P36" s="126">
        <f t="shared" si="9"/>
        <v>0</v>
      </c>
      <c r="Q36" s="126">
        <f t="shared" si="9"/>
        <v>0</v>
      </c>
      <c r="R36" s="129">
        <f>SUM(R5:R35)</f>
        <v>669.60000000000036</v>
      </c>
    </row>
  </sheetData>
  <mergeCells count="47">
    <mergeCell ref="A3:A4"/>
    <mergeCell ref="B3:C4"/>
    <mergeCell ref="D3:D4"/>
    <mergeCell ref="E3:E4"/>
    <mergeCell ref="F3:F4"/>
    <mergeCell ref="B6:C6"/>
    <mergeCell ref="I3:I4"/>
    <mergeCell ref="J3:J4"/>
    <mergeCell ref="K3:K4"/>
    <mergeCell ref="L3:L4"/>
    <mergeCell ref="G3:G4"/>
    <mergeCell ref="O3:O4"/>
    <mergeCell ref="P3:P4"/>
    <mergeCell ref="Q3:Q4"/>
    <mergeCell ref="R3:R4"/>
    <mergeCell ref="B5:C5"/>
    <mergeCell ref="M3:M4"/>
    <mergeCell ref="N3:N4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1:C31"/>
    <mergeCell ref="B32:C32"/>
    <mergeCell ref="B33:C33"/>
    <mergeCell ref="B34:C34"/>
    <mergeCell ref="B35:C3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9ACF7-52EC-4E9C-9167-CC3610B0DE55}">
  <sheetPr codeName="Лист20"/>
  <dimension ref="A1:S39"/>
  <sheetViews>
    <sheetView topLeftCell="A16" zoomScaleNormal="100" workbookViewId="0">
      <selection activeCell="E37" sqref="E37"/>
    </sheetView>
  </sheetViews>
  <sheetFormatPr defaultRowHeight="15"/>
  <cols>
    <col min="1" max="1" width="8.3984375" style="2" bestFit="1" customWidth="1"/>
    <col min="2" max="11" width="8.796875" style="2"/>
    <col min="12" max="12" width="8.19921875" style="2" customWidth="1"/>
    <col min="13" max="13" width="8.796875" style="2"/>
    <col min="14" max="14" width="8.19921875" style="2" customWidth="1"/>
    <col min="15" max="16" width="8.796875" style="2"/>
    <col min="17" max="17" width="8.19921875" style="2" customWidth="1"/>
    <col min="18" max="18" width="7.8984375" style="2" customWidth="1"/>
    <col min="19" max="19" width="10.5" style="2" customWidth="1"/>
    <col min="20" max="16384" width="8.796875" style="2"/>
  </cols>
  <sheetData>
    <row r="1" spans="1:19" ht="15.75">
      <c r="A1" s="130">
        <f>S39</f>
        <v>24609.599999999999</v>
      </c>
      <c r="C1" s="131"/>
      <c r="D1" s="131"/>
      <c r="E1" s="131"/>
      <c r="F1" s="131"/>
      <c r="G1" s="131"/>
      <c r="H1" s="251"/>
      <c r="I1" s="251"/>
      <c r="J1" s="131"/>
      <c r="K1" s="131"/>
      <c r="S1" s="132"/>
    </row>
    <row r="2" spans="1:19" ht="15.75">
      <c r="C2" s="131"/>
      <c r="D2" s="131"/>
      <c r="E2" s="131"/>
      <c r="F2" s="131"/>
      <c r="G2" s="131"/>
      <c r="H2" s="251"/>
      <c r="I2" s="251"/>
      <c r="J2" s="131"/>
      <c r="K2" s="131"/>
      <c r="S2" s="132"/>
    </row>
    <row r="3" spans="1:19" ht="16.5" thickBot="1">
      <c r="C3" s="131"/>
      <c r="D3" s="131"/>
      <c r="E3" s="131"/>
      <c r="F3" s="131"/>
      <c r="G3" s="131"/>
      <c r="H3" s="251"/>
      <c r="I3" s="251"/>
      <c r="J3" s="131"/>
      <c r="K3" s="131"/>
      <c r="S3" s="132"/>
    </row>
    <row r="4" spans="1:19" ht="21.75" thickBot="1">
      <c r="A4" s="252" t="s">
        <v>157</v>
      </c>
      <c r="B4" s="253"/>
      <c r="C4" s="253"/>
      <c r="D4" s="253"/>
      <c r="E4" s="253"/>
      <c r="F4" s="253"/>
      <c r="G4" s="253"/>
      <c r="H4" s="254"/>
      <c r="I4" s="254"/>
      <c r="J4" s="131"/>
      <c r="K4" s="131"/>
      <c r="L4" s="248" t="s">
        <v>158</v>
      </c>
      <c r="M4" s="249"/>
      <c r="N4" s="249"/>
      <c r="O4" s="249"/>
      <c r="P4" s="249"/>
      <c r="Q4" s="249"/>
      <c r="R4" s="249"/>
      <c r="S4" s="250"/>
    </row>
    <row r="5" spans="1:19">
      <c r="A5" s="244" t="s">
        <v>1</v>
      </c>
      <c r="B5" s="245"/>
      <c r="C5" s="237" t="s">
        <v>159</v>
      </c>
      <c r="D5" s="237" t="s">
        <v>160</v>
      </c>
      <c r="E5" s="237" t="s">
        <v>161</v>
      </c>
      <c r="F5" s="237" t="s">
        <v>162</v>
      </c>
      <c r="G5" s="237" t="s">
        <v>163</v>
      </c>
      <c r="H5" s="237"/>
      <c r="I5" s="237"/>
      <c r="J5" s="237" t="s">
        <v>164</v>
      </c>
      <c r="K5" s="133" t="s">
        <v>4</v>
      </c>
      <c r="L5" s="242" t="s">
        <v>165</v>
      </c>
      <c r="M5" s="237" t="s">
        <v>160</v>
      </c>
      <c r="N5" s="237" t="s">
        <v>161</v>
      </c>
      <c r="O5" s="237" t="s">
        <v>162</v>
      </c>
      <c r="P5" s="237" t="s">
        <v>166</v>
      </c>
      <c r="Q5" s="237" t="s">
        <v>8</v>
      </c>
      <c r="R5" s="237" t="s">
        <v>4</v>
      </c>
      <c r="S5" s="239" t="s">
        <v>18</v>
      </c>
    </row>
    <row r="6" spans="1:19" ht="15.75" thickBot="1">
      <c r="A6" s="246"/>
      <c r="B6" s="247"/>
      <c r="C6" s="238"/>
      <c r="D6" s="238"/>
      <c r="E6" s="238"/>
      <c r="F6" s="238"/>
      <c r="G6" s="238"/>
      <c r="H6" s="241"/>
      <c r="I6" s="241"/>
      <c r="J6" s="238"/>
      <c r="K6" s="134">
        <v>31</v>
      </c>
      <c r="L6" s="243"/>
      <c r="M6" s="238"/>
      <c r="N6" s="238"/>
      <c r="O6" s="238"/>
      <c r="P6" s="238"/>
      <c r="Q6" s="238"/>
      <c r="R6" s="238"/>
      <c r="S6" s="240"/>
    </row>
    <row r="7" spans="1:19">
      <c r="A7" s="235">
        <v>45992</v>
      </c>
      <c r="B7" s="236"/>
      <c r="C7" s="135"/>
      <c r="D7" s="135"/>
      <c r="E7" s="136"/>
      <c r="F7" s="136"/>
      <c r="G7" s="137"/>
      <c r="H7" s="137"/>
      <c r="I7" s="136"/>
      <c r="J7" s="136">
        <v>0</v>
      </c>
      <c r="K7" s="138">
        <v>31</v>
      </c>
      <c r="L7" s="139">
        <f t="shared" ref="L7:L37" si="0">C7*168</f>
        <v>0</v>
      </c>
      <c r="M7" s="139">
        <f t="shared" ref="M7:M37" si="1">D7*4</f>
        <v>0</v>
      </c>
      <c r="N7" s="139">
        <f t="shared" ref="N7:N37" si="2">E7*168</f>
        <v>0</v>
      </c>
      <c r="O7" s="139">
        <f t="shared" ref="O7:P37" si="3">F7*4</f>
        <v>0</v>
      </c>
      <c r="P7" s="139">
        <f t="shared" si="3"/>
        <v>0</v>
      </c>
      <c r="Q7" s="139">
        <f>J7*600</f>
        <v>0</v>
      </c>
      <c r="R7" s="139">
        <f>K7*21.6</f>
        <v>669.6</v>
      </c>
      <c r="S7" s="140">
        <f t="shared" ref="S7:S36" si="4">SUM(L7:R7)</f>
        <v>669.6</v>
      </c>
    </row>
    <row r="8" spans="1:19">
      <c r="A8" s="235">
        <v>45993</v>
      </c>
      <c r="B8" s="236"/>
      <c r="C8" s="138"/>
      <c r="D8" s="138"/>
      <c r="E8" s="141"/>
      <c r="F8" s="141"/>
      <c r="G8" s="142"/>
      <c r="H8" s="142"/>
      <c r="I8" s="141"/>
      <c r="J8" s="136">
        <v>0</v>
      </c>
      <c r="K8" s="138">
        <f t="shared" ref="K8:K37" si="5">ROUND(K7+C8+H8-E7,0)</f>
        <v>31</v>
      </c>
      <c r="L8" s="139">
        <f t="shared" si="0"/>
        <v>0</v>
      </c>
      <c r="M8" s="139">
        <f t="shared" si="1"/>
        <v>0</v>
      </c>
      <c r="N8" s="139">
        <f t="shared" si="2"/>
        <v>0</v>
      </c>
      <c r="O8" s="139">
        <f t="shared" si="3"/>
        <v>0</v>
      </c>
      <c r="P8" s="139">
        <f t="shared" si="3"/>
        <v>0</v>
      </c>
      <c r="Q8" s="139">
        <f t="shared" ref="Q8:Q37" si="6">J8*600</f>
        <v>0</v>
      </c>
      <c r="R8" s="139">
        <f t="shared" ref="R8:R37" si="7">K8*21.6</f>
        <v>669.6</v>
      </c>
      <c r="S8" s="143">
        <f t="shared" si="4"/>
        <v>669.6</v>
      </c>
    </row>
    <row r="9" spans="1:19">
      <c r="A9" s="235">
        <v>45994</v>
      </c>
      <c r="B9" s="236"/>
      <c r="C9" s="138"/>
      <c r="D9" s="138"/>
      <c r="E9" s="141"/>
      <c r="F9" s="141"/>
      <c r="G9" s="142"/>
      <c r="H9" s="142"/>
      <c r="I9" s="141"/>
      <c r="J9" s="136">
        <v>0</v>
      </c>
      <c r="K9" s="138">
        <f t="shared" si="5"/>
        <v>31</v>
      </c>
      <c r="L9" s="139">
        <f t="shared" si="0"/>
        <v>0</v>
      </c>
      <c r="M9" s="139">
        <f t="shared" si="1"/>
        <v>0</v>
      </c>
      <c r="N9" s="139">
        <f t="shared" si="2"/>
        <v>0</v>
      </c>
      <c r="O9" s="139">
        <f t="shared" si="3"/>
        <v>0</v>
      </c>
      <c r="P9" s="139">
        <f t="shared" si="3"/>
        <v>0</v>
      </c>
      <c r="Q9" s="139">
        <f t="shared" si="6"/>
        <v>0</v>
      </c>
      <c r="R9" s="139">
        <f t="shared" si="7"/>
        <v>669.6</v>
      </c>
      <c r="S9" s="143">
        <f t="shared" si="4"/>
        <v>669.6</v>
      </c>
    </row>
    <row r="10" spans="1:19">
      <c r="A10" s="235">
        <v>45995</v>
      </c>
      <c r="B10" s="236"/>
      <c r="C10" s="138"/>
      <c r="D10" s="138"/>
      <c r="E10" s="141"/>
      <c r="F10" s="141"/>
      <c r="G10" s="142"/>
      <c r="H10" s="142"/>
      <c r="I10" s="141"/>
      <c r="J10" s="136">
        <v>0</v>
      </c>
      <c r="K10" s="138">
        <f t="shared" si="5"/>
        <v>31</v>
      </c>
      <c r="L10" s="139">
        <f t="shared" si="0"/>
        <v>0</v>
      </c>
      <c r="M10" s="139">
        <f t="shared" si="1"/>
        <v>0</v>
      </c>
      <c r="N10" s="139">
        <f t="shared" si="2"/>
        <v>0</v>
      </c>
      <c r="O10" s="139">
        <f t="shared" si="3"/>
        <v>0</v>
      </c>
      <c r="P10" s="139">
        <f t="shared" si="3"/>
        <v>0</v>
      </c>
      <c r="Q10" s="139">
        <f t="shared" si="6"/>
        <v>0</v>
      </c>
      <c r="R10" s="139">
        <f t="shared" si="7"/>
        <v>669.6</v>
      </c>
      <c r="S10" s="143">
        <f t="shared" si="4"/>
        <v>669.6</v>
      </c>
    </row>
    <row r="11" spans="1:19">
      <c r="A11" s="235">
        <v>45996</v>
      </c>
      <c r="B11" s="236"/>
      <c r="C11" s="138"/>
      <c r="D11" s="138"/>
      <c r="E11" s="141">
        <v>1</v>
      </c>
      <c r="F11" s="141"/>
      <c r="G11" s="142"/>
      <c r="H11" s="142"/>
      <c r="I11" s="141"/>
      <c r="J11" s="136">
        <v>0</v>
      </c>
      <c r="K11" s="138">
        <f t="shared" si="5"/>
        <v>31</v>
      </c>
      <c r="L11" s="139">
        <f t="shared" si="0"/>
        <v>0</v>
      </c>
      <c r="M11" s="139">
        <f t="shared" si="1"/>
        <v>0</v>
      </c>
      <c r="N11" s="139">
        <f t="shared" si="2"/>
        <v>168</v>
      </c>
      <c r="O11" s="139">
        <f t="shared" si="3"/>
        <v>0</v>
      </c>
      <c r="P11" s="139">
        <f t="shared" si="3"/>
        <v>0</v>
      </c>
      <c r="Q11" s="139">
        <f t="shared" si="6"/>
        <v>0</v>
      </c>
      <c r="R11" s="139">
        <f t="shared" si="7"/>
        <v>669.6</v>
      </c>
      <c r="S11" s="143">
        <f t="shared" si="4"/>
        <v>837.6</v>
      </c>
    </row>
    <row r="12" spans="1:19">
      <c r="A12" s="235">
        <v>45997</v>
      </c>
      <c r="B12" s="236"/>
      <c r="C12" s="138"/>
      <c r="D12" s="138"/>
      <c r="E12" s="141"/>
      <c r="F12" s="141"/>
      <c r="G12" s="142"/>
      <c r="H12" s="142"/>
      <c r="I12" s="141"/>
      <c r="J12" s="136">
        <v>0</v>
      </c>
      <c r="K12" s="138">
        <f t="shared" si="5"/>
        <v>30</v>
      </c>
      <c r="L12" s="139">
        <f t="shared" si="0"/>
        <v>0</v>
      </c>
      <c r="M12" s="139">
        <f t="shared" si="1"/>
        <v>0</v>
      </c>
      <c r="N12" s="139">
        <f t="shared" si="2"/>
        <v>0</v>
      </c>
      <c r="O12" s="139">
        <f t="shared" si="3"/>
        <v>0</v>
      </c>
      <c r="P12" s="139">
        <f t="shared" si="3"/>
        <v>0</v>
      </c>
      <c r="Q12" s="139">
        <f t="shared" si="6"/>
        <v>0</v>
      </c>
      <c r="R12" s="139">
        <f t="shared" si="7"/>
        <v>648</v>
      </c>
      <c r="S12" s="143">
        <f t="shared" si="4"/>
        <v>648</v>
      </c>
    </row>
    <row r="13" spans="1:19">
      <c r="A13" s="235">
        <v>45998</v>
      </c>
      <c r="B13" s="236"/>
      <c r="C13" s="138"/>
      <c r="D13" s="138"/>
      <c r="E13" s="141"/>
      <c r="F13" s="141"/>
      <c r="G13" s="142"/>
      <c r="H13" s="142"/>
      <c r="I13" s="141"/>
      <c r="J13" s="136">
        <v>0</v>
      </c>
      <c r="K13" s="138">
        <f t="shared" si="5"/>
        <v>30</v>
      </c>
      <c r="L13" s="139">
        <f t="shared" si="0"/>
        <v>0</v>
      </c>
      <c r="M13" s="139">
        <f t="shared" si="1"/>
        <v>0</v>
      </c>
      <c r="N13" s="139">
        <f t="shared" si="2"/>
        <v>0</v>
      </c>
      <c r="O13" s="139">
        <f t="shared" si="3"/>
        <v>0</v>
      </c>
      <c r="P13" s="139">
        <f t="shared" si="3"/>
        <v>0</v>
      </c>
      <c r="Q13" s="139">
        <f t="shared" si="6"/>
        <v>0</v>
      </c>
      <c r="R13" s="139">
        <f t="shared" si="7"/>
        <v>648</v>
      </c>
      <c r="S13" s="143">
        <f t="shared" si="4"/>
        <v>648</v>
      </c>
    </row>
    <row r="14" spans="1:19">
      <c r="A14" s="235">
        <v>45999</v>
      </c>
      <c r="B14" s="236"/>
      <c r="C14" s="138"/>
      <c r="D14" s="138"/>
      <c r="E14" s="141"/>
      <c r="F14" s="141"/>
      <c r="G14" s="142"/>
      <c r="H14" s="142"/>
      <c r="I14" s="141"/>
      <c r="J14" s="136">
        <v>0</v>
      </c>
      <c r="K14" s="138">
        <f t="shared" si="5"/>
        <v>30</v>
      </c>
      <c r="L14" s="139">
        <f t="shared" si="0"/>
        <v>0</v>
      </c>
      <c r="M14" s="139">
        <f t="shared" si="1"/>
        <v>0</v>
      </c>
      <c r="N14" s="139">
        <f t="shared" si="2"/>
        <v>0</v>
      </c>
      <c r="O14" s="139">
        <f t="shared" si="3"/>
        <v>0</v>
      </c>
      <c r="P14" s="139">
        <f t="shared" si="3"/>
        <v>0</v>
      </c>
      <c r="Q14" s="139">
        <f t="shared" si="6"/>
        <v>0</v>
      </c>
      <c r="R14" s="139">
        <f t="shared" si="7"/>
        <v>648</v>
      </c>
      <c r="S14" s="143">
        <f t="shared" si="4"/>
        <v>648</v>
      </c>
    </row>
    <row r="15" spans="1:19">
      <c r="A15" s="235">
        <v>46000</v>
      </c>
      <c r="B15" s="236"/>
      <c r="C15" s="138"/>
      <c r="D15" s="138"/>
      <c r="E15" s="141"/>
      <c r="F15" s="141"/>
      <c r="G15" s="142"/>
      <c r="H15" s="142"/>
      <c r="I15" s="141"/>
      <c r="J15" s="136">
        <v>0</v>
      </c>
      <c r="K15" s="138">
        <f t="shared" si="5"/>
        <v>30</v>
      </c>
      <c r="L15" s="139">
        <f t="shared" si="0"/>
        <v>0</v>
      </c>
      <c r="M15" s="139">
        <f t="shared" si="1"/>
        <v>0</v>
      </c>
      <c r="N15" s="139">
        <f t="shared" si="2"/>
        <v>0</v>
      </c>
      <c r="O15" s="139">
        <f t="shared" si="3"/>
        <v>0</v>
      </c>
      <c r="P15" s="139">
        <f t="shared" si="3"/>
        <v>0</v>
      </c>
      <c r="Q15" s="139">
        <f t="shared" si="6"/>
        <v>0</v>
      </c>
      <c r="R15" s="139">
        <f t="shared" si="7"/>
        <v>648</v>
      </c>
      <c r="S15" s="143">
        <f t="shared" si="4"/>
        <v>648</v>
      </c>
    </row>
    <row r="16" spans="1:19">
      <c r="A16" s="235">
        <v>46001</v>
      </c>
      <c r="B16" s="236"/>
      <c r="C16" s="138"/>
      <c r="D16" s="138"/>
      <c r="E16" s="141"/>
      <c r="F16" s="141"/>
      <c r="G16" s="142"/>
      <c r="H16" s="142"/>
      <c r="I16" s="141"/>
      <c r="J16" s="136">
        <v>0</v>
      </c>
      <c r="K16" s="138">
        <f t="shared" si="5"/>
        <v>30</v>
      </c>
      <c r="L16" s="139">
        <f t="shared" si="0"/>
        <v>0</v>
      </c>
      <c r="M16" s="139">
        <f t="shared" si="1"/>
        <v>0</v>
      </c>
      <c r="N16" s="139">
        <f t="shared" si="2"/>
        <v>0</v>
      </c>
      <c r="O16" s="139">
        <f t="shared" si="3"/>
        <v>0</v>
      </c>
      <c r="P16" s="139">
        <f t="shared" si="3"/>
        <v>0</v>
      </c>
      <c r="Q16" s="139">
        <f t="shared" si="6"/>
        <v>0</v>
      </c>
      <c r="R16" s="139">
        <f t="shared" si="7"/>
        <v>648</v>
      </c>
      <c r="S16" s="143">
        <f t="shared" si="4"/>
        <v>648</v>
      </c>
    </row>
    <row r="17" spans="1:19">
      <c r="A17" s="235">
        <v>46002</v>
      </c>
      <c r="B17" s="236"/>
      <c r="C17" s="138"/>
      <c r="D17" s="138"/>
      <c r="E17" s="141"/>
      <c r="F17" s="141"/>
      <c r="G17" s="142"/>
      <c r="H17" s="142"/>
      <c r="I17" s="141"/>
      <c r="J17" s="136">
        <v>0</v>
      </c>
      <c r="K17" s="138">
        <f t="shared" si="5"/>
        <v>30</v>
      </c>
      <c r="L17" s="139">
        <f t="shared" si="0"/>
        <v>0</v>
      </c>
      <c r="M17" s="139">
        <f t="shared" si="1"/>
        <v>0</v>
      </c>
      <c r="N17" s="139">
        <f t="shared" si="2"/>
        <v>0</v>
      </c>
      <c r="O17" s="139">
        <f t="shared" si="3"/>
        <v>0</v>
      </c>
      <c r="P17" s="139">
        <f t="shared" si="3"/>
        <v>0</v>
      </c>
      <c r="Q17" s="139">
        <f t="shared" si="6"/>
        <v>0</v>
      </c>
      <c r="R17" s="139">
        <f t="shared" si="7"/>
        <v>648</v>
      </c>
      <c r="S17" s="143">
        <f t="shared" si="4"/>
        <v>648</v>
      </c>
    </row>
    <row r="18" spans="1:19">
      <c r="A18" s="235">
        <v>46003</v>
      </c>
      <c r="B18" s="236"/>
      <c r="C18" s="144"/>
      <c r="D18" s="144"/>
      <c r="E18" s="145"/>
      <c r="F18" s="145"/>
      <c r="G18" s="146"/>
      <c r="H18" s="146"/>
      <c r="I18" s="145"/>
      <c r="J18" s="136">
        <v>0</v>
      </c>
      <c r="K18" s="138">
        <f t="shared" si="5"/>
        <v>30</v>
      </c>
      <c r="L18" s="139">
        <f t="shared" si="0"/>
        <v>0</v>
      </c>
      <c r="M18" s="139">
        <f t="shared" si="1"/>
        <v>0</v>
      </c>
      <c r="N18" s="139">
        <f t="shared" si="2"/>
        <v>0</v>
      </c>
      <c r="O18" s="139">
        <f t="shared" si="3"/>
        <v>0</v>
      </c>
      <c r="P18" s="139">
        <f t="shared" si="3"/>
        <v>0</v>
      </c>
      <c r="Q18" s="139">
        <f t="shared" si="6"/>
        <v>0</v>
      </c>
      <c r="R18" s="139">
        <f t="shared" si="7"/>
        <v>648</v>
      </c>
      <c r="S18" s="143">
        <f t="shared" si="4"/>
        <v>648</v>
      </c>
    </row>
    <row r="19" spans="1:19">
      <c r="A19" s="235">
        <v>46004</v>
      </c>
      <c r="B19" s="236"/>
      <c r="C19" s="138"/>
      <c r="D19" s="138"/>
      <c r="E19" s="141"/>
      <c r="F19" s="141"/>
      <c r="G19" s="142"/>
      <c r="H19" s="142"/>
      <c r="I19" s="141"/>
      <c r="J19" s="136">
        <v>0</v>
      </c>
      <c r="K19" s="138">
        <f t="shared" si="5"/>
        <v>30</v>
      </c>
      <c r="L19" s="139">
        <f t="shared" si="0"/>
        <v>0</v>
      </c>
      <c r="M19" s="139">
        <f t="shared" si="1"/>
        <v>0</v>
      </c>
      <c r="N19" s="139">
        <f t="shared" si="2"/>
        <v>0</v>
      </c>
      <c r="O19" s="139">
        <f t="shared" si="3"/>
        <v>0</v>
      </c>
      <c r="P19" s="139">
        <f t="shared" si="3"/>
        <v>0</v>
      </c>
      <c r="Q19" s="139">
        <f t="shared" si="6"/>
        <v>0</v>
      </c>
      <c r="R19" s="139">
        <f t="shared" si="7"/>
        <v>648</v>
      </c>
      <c r="S19" s="143">
        <f t="shared" si="4"/>
        <v>648</v>
      </c>
    </row>
    <row r="20" spans="1:19">
      <c r="A20" s="235">
        <v>46005</v>
      </c>
      <c r="B20" s="236"/>
      <c r="C20" s="138"/>
      <c r="D20" s="138"/>
      <c r="E20" s="141"/>
      <c r="F20" s="141"/>
      <c r="G20" s="142"/>
      <c r="H20" s="142"/>
      <c r="I20" s="141"/>
      <c r="J20" s="136">
        <v>0</v>
      </c>
      <c r="K20" s="138">
        <f t="shared" si="5"/>
        <v>30</v>
      </c>
      <c r="L20" s="139">
        <f t="shared" si="0"/>
        <v>0</v>
      </c>
      <c r="M20" s="139">
        <f t="shared" si="1"/>
        <v>0</v>
      </c>
      <c r="N20" s="139">
        <f t="shared" si="2"/>
        <v>0</v>
      </c>
      <c r="O20" s="139">
        <f t="shared" si="3"/>
        <v>0</v>
      </c>
      <c r="P20" s="139">
        <f t="shared" si="3"/>
        <v>0</v>
      </c>
      <c r="Q20" s="139">
        <f t="shared" si="6"/>
        <v>0</v>
      </c>
      <c r="R20" s="139">
        <f t="shared" si="7"/>
        <v>648</v>
      </c>
      <c r="S20" s="143">
        <f t="shared" si="4"/>
        <v>648</v>
      </c>
    </row>
    <row r="21" spans="1:19">
      <c r="A21" s="235">
        <v>46006</v>
      </c>
      <c r="B21" s="236"/>
      <c r="C21" s="138"/>
      <c r="D21" s="138"/>
      <c r="E21" s="141"/>
      <c r="F21" s="141"/>
      <c r="G21" s="142"/>
      <c r="H21" s="142"/>
      <c r="I21" s="141"/>
      <c r="J21" s="136">
        <v>0</v>
      </c>
      <c r="K21" s="138">
        <f t="shared" si="5"/>
        <v>30</v>
      </c>
      <c r="L21" s="139">
        <f t="shared" si="0"/>
        <v>0</v>
      </c>
      <c r="M21" s="139">
        <f t="shared" si="1"/>
        <v>0</v>
      </c>
      <c r="N21" s="139">
        <f t="shared" si="2"/>
        <v>0</v>
      </c>
      <c r="O21" s="139">
        <f t="shared" si="3"/>
        <v>0</v>
      </c>
      <c r="P21" s="139">
        <f t="shared" si="3"/>
        <v>0</v>
      </c>
      <c r="Q21" s="139">
        <f t="shared" si="6"/>
        <v>0</v>
      </c>
      <c r="R21" s="139">
        <f t="shared" si="7"/>
        <v>648</v>
      </c>
      <c r="S21" s="143">
        <f t="shared" si="4"/>
        <v>648</v>
      </c>
    </row>
    <row r="22" spans="1:19">
      <c r="A22" s="235">
        <v>46007</v>
      </c>
      <c r="B22" s="236"/>
      <c r="C22" s="138"/>
      <c r="D22" s="138"/>
      <c r="E22" s="141"/>
      <c r="F22" s="141"/>
      <c r="G22" s="142"/>
      <c r="H22" s="142"/>
      <c r="I22" s="141"/>
      <c r="J22" s="136">
        <v>0</v>
      </c>
      <c r="K22" s="138">
        <f t="shared" si="5"/>
        <v>30</v>
      </c>
      <c r="L22" s="139">
        <f t="shared" si="0"/>
        <v>0</v>
      </c>
      <c r="M22" s="139">
        <f t="shared" si="1"/>
        <v>0</v>
      </c>
      <c r="N22" s="139">
        <f t="shared" si="2"/>
        <v>0</v>
      </c>
      <c r="O22" s="139">
        <f t="shared" si="3"/>
        <v>0</v>
      </c>
      <c r="P22" s="139">
        <f t="shared" si="3"/>
        <v>0</v>
      </c>
      <c r="Q22" s="139">
        <f t="shared" si="6"/>
        <v>0</v>
      </c>
      <c r="R22" s="139">
        <f t="shared" si="7"/>
        <v>648</v>
      </c>
      <c r="S22" s="143">
        <f t="shared" si="4"/>
        <v>648</v>
      </c>
    </row>
    <row r="23" spans="1:19">
      <c r="A23" s="235">
        <v>46008</v>
      </c>
      <c r="B23" s="236"/>
      <c r="C23" s="138"/>
      <c r="D23" s="138"/>
      <c r="E23" s="141"/>
      <c r="F23" s="141"/>
      <c r="G23" s="142"/>
      <c r="H23" s="142"/>
      <c r="I23" s="141"/>
      <c r="J23" s="136">
        <v>0</v>
      </c>
      <c r="K23" s="138">
        <f t="shared" si="5"/>
        <v>30</v>
      </c>
      <c r="L23" s="139">
        <f t="shared" si="0"/>
        <v>0</v>
      </c>
      <c r="M23" s="139">
        <f t="shared" si="1"/>
        <v>0</v>
      </c>
      <c r="N23" s="139">
        <f t="shared" si="2"/>
        <v>0</v>
      </c>
      <c r="O23" s="139">
        <f t="shared" si="3"/>
        <v>0</v>
      </c>
      <c r="P23" s="139">
        <f t="shared" si="3"/>
        <v>0</v>
      </c>
      <c r="Q23" s="139">
        <f t="shared" si="6"/>
        <v>0</v>
      </c>
      <c r="R23" s="139">
        <f t="shared" si="7"/>
        <v>648</v>
      </c>
      <c r="S23" s="143">
        <f t="shared" si="4"/>
        <v>648</v>
      </c>
    </row>
    <row r="24" spans="1:19">
      <c r="A24" s="235">
        <v>46009</v>
      </c>
      <c r="B24" s="236"/>
      <c r="C24" s="138"/>
      <c r="D24" s="138"/>
      <c r="E24" s="141"/>
      <c r="F24" s="141"/>
      <c r="G24" s="142"/>
      <c r="H24" s="142"/>
      <c r="I24" s="141"/>
      <c r="J24" s="136">
        <v>0</v>
      </c>
      <c r="K24" s="138">
        <f t="shared" si="5"/>
        <v>30</v>
      </c>
      <c r="L24" s="139">
        <f t="shared" si="0"/>
        <v>0</v>
      </c>
      <c r="M24" s="139">
        <f t="shared" si="1"/>
        <v>0</v>
      </c>
      <c r="N24" s="139">
        <f t="shared" si="2"/>
        <v>0</v>
      </c>
      <c r="O24" s="139">
        <f t="shared" si="3"/>
        <v>0</v>
      </c>
      <c r="P24" s="139">
        <f t="shared" si="3"/>
        <v>0</v>
      </c>
      <c r="Q24" s="139">
        <f t="shared" si="6"/>
        <v>0</v>
      </c>
      <c r="R24" s="139">
        <f t="shared" si="7"/>
        <v>648</v>
      </c>
      <c r="S24" s="143">
        <f t="shared" si="4"/>
        <v>648</v>
      </c>
    </row>
    <row r="25" spans="1:19">
      <c r="A25" s="235">
        <v>46010</v>
      </c>
      <c r="B25" s="236"/>
      <c r="C25" s="138"/>
      <c r="D25" s="138"/>
      <c r="E25" s="141"/>
      <c r="F25" s="141"/>
      <c r="G25" s="142"/>
      <c r="H25" s="142"/>
      <c r="I25" s="141"/>
      <c r="J25" s="136">
        <v>0</v>
      </c>
      <c r="K25" s="138">
        <f t="shared" si="5"/>
        <v>30</v>
      </c>
      <c r="L25" s="139">
        <f t="shared" si="0"/>
        <v>0</v>
      </c>
      <c r="M25" s="139">
        <f t="shared" si="1"/>
        <v>0</v>
      </c>
      <c r="N25" s="139">
        <f t="shared" si="2"/>
        <v>0</v>
      </c>
      <c r="O25" s="139">
        <f t="shared" si="3"/>
        <v>0</v>
      </c>
      <c r="P25" s="139">
        <f t="shared" si="3"/>
        <v>0</v>
      </c>
      <c r="Q25" s="139">
        <f t="shared" si="6"/>
        <v>0</v>
      </c>
      <c r="R25" s="139">
        <f t="shared" si="7"/>
        <v>648</v>
      </c>
      <c r="S25" s="143">
        <f t="shared" si="4"/>
        <v>648</v>
      </c>
    </row>
    <row r="26" spans="1:19">
      <c r="A26" s="235">
        <v>46011</v>
      </c>
      <c r="B26" s="236"/>
      <c r="C26" s="138"/>
      <c r="D26" s="138"/>
      <c r="E26" s="141"/>
      <c r="F26" s="141"/>
      <c r="G26" s="142"/>
      <c r="H26" s="142"/>
      <c r="I26" s="141"/>
      <c r="J26" s="136">
        <v>0</v>
      </c>
      <c r="K26" s="138">
        <f t="shared" si="5"/>
        <v>30</v>
      </c>
      <c r="L26" s="139">
        <f t="shared" si="0"/>
        <v>0</v>
      </c>
      <c r="M26" s="139">
        <f t="shared" si="1"/>
        <v>0</v>
      </c>
      <c r="N26" s="139">
        <f t="shared" si="2"/>
        <v>0</v>
      </c>
      <c r="O26" s="139">
        <f t="shared" si="3"/>
        <v>0</v>
      </c>
      <c r="P26" s="139">
        <f t="shared" si="3"/>
        <v>0</v>
      </c>
      <c r="Q26" s="139">
        <f t="shared" si="6"/>
        <v>0</v>
      </c>
      <c r="R26" s="139">
        <f t="shared" si="7"/>
        <v>648</v>
      </c>
      <c r="S26" s="143">
        <f t="shared" si="4"/>
        <v>648</v>
      </c>
    </row>
    <row r="27" spans="1:19">
      <c r="A27" s="235">
        <v>46012</v>
      </c>
      <c r="B27" s="236"/>
      <c r="C27" s="138"/>
      <c r="D27" s="138"/>
      <c r="E27" s="141"/>
      <c r="F27" s="141"/>
      <c r="G27" s="142"/>
      <c r="H27" s="142"/>
      <c r="I27" s="141"/>
      <c r="J27" s="136">
        <v>0</v>
      </c>
      <c r="K27" s="138">
        <f t="shared" si="5"/>
        <v>30</v>
      </c>
      <c r="L27" s="139">
        <f t="shared" si="0"/>
        <v>0</v>
      </c>
      <c r="M27" s="139">
        <f t="shared" si="1"/>
        <v>0</v>
      </c>
      <c r="N27" s="139">
        <f t="shared" si="2"/>
        <v>0</v>
      </c>
      <c r="O27" s="139">
        <f t="shared" si="3"/>
        <v>0</v>
      </c>
      <c r="P27" s="139">
        <f t="shared" si="3"/>
        <v>0</v>
      </c>
      <c r="Q27" s="139">
        <f t="shared" si="6"/>
        <v>0</v>
      </c>
      <c r="R27" s="139">
        <f t="shared" si="7"/>
        <v>648</v>
      </c>
      <c r="S27" s="143">
        <f t="shared" si="4"/>
        <v>648</v>
      </c>
    </row>
    <row r="28" spans="1:19">
      <c r="A28" s="235">
        <v>46013</v>
      </c>
      <c r="B28" s="236"/>
      <c r="C28" s="138"/>
      <c r="D28" s="138"/>
      <c r="E28" s="141"/>
      <c r="F28" s="141"/>
      <c r="G28" s="142"/>
      <c r="H28" s="142"/>
      <c r="I28" s="141"/>
      <c r="J28" s="136">
        <v>0</v>
      </c>
      <c r="K28" s="138">
        <f t="shared" si="5"/>
        <v>30</v>
      </c>
      <c r="L28" s="139">
        <f t="shared" si="0"/>
        <v>0</v>
      </c>
      <c r="M28" s="139">
        <f t="shared" si="1"/>
        <v>0</v>
      </c>
      <c r="N28" s="139">
        <f t="shared" si="2"/>
        <v>0</v>
      </c>
      <c r="O28" s="139">
        <f t="shared" si="3"/>
        <v>0</v>
      </c>
      <c r="P28" s="139">
        <f t="shared" si="3"/>
        <v>0</v>
      </c>
      <c r="Q28" s="139">
        <f t="shared" si="6"/>
        <v>0</v>
      </c>
      <c r="R28" s="139">
        <f t="shared" si="7"/>
        <v>648</v>
      </c>
      <c r="S28" s="143">
        <f t="shared" si="4"/>
        <v>648</v>
      </c>
    </row>
    <row r="29" spans="1:19">
      <c r="A29" s="235">
        <v>46014</v>
      </c>
      <c r="B29" s="236"/>
      <c r="C29" s="147"/>
      <c r="D29" s="147"/>
      <c r="E29" s="147"/>
      <c r="F29" s="147"/>
      <c r="G29" s="147"/>
      <c r="H29" s="147"/>
      <c r="I29" s="147"/>
      <c r="J29" s="136">
        <v>0</v>
      </c>
      <c r="K29" s="138">
        <f t="shared" si="5"/>
        <v>30</v>
      </c>
      <c r="L29" s="139">
        <f t="shared" si="0"/>
        <v>0</v>
      </c>
      <c r="M29" s="139">
        <f t="shared" si="1"/>
        <v>0</v>
      </c>
      <c r="N29" s="139">
        <f t="shared" si="2"/>
        <v>0</v>
      </c>
      <c r="O29" s="139">
        <f t="shared" si="3"/>
        <v>0</v>
      </c>
      <c r="P29" s="139">
        <f t="shared" si="3"/>
        <v>0</v>
      </c>
      <c r="Q29" s="139">
        <f t="shared" si="6"/>
        <v>0</v>
      </c>
      <c r="R29" s="139">
        <f t="shared" si="7"/>
        <v>648</v>
      </c>
      <c r="S29" s="143">
        <f t="shared" si="4"/>
        <v>648</v>
      </c>
    </row>
    <row r="30" spans="1:19">
      <c r="A30" s="235">
        <v>46015</v>
      </c>
      <c r="B30" s="236"/>
      <c r="C30" s="138"/>
      <c r="D30" s="138"/>
      <c r="E30" s="141"/>
      <c r="F30" s="141"/>
      <c r="G30" s="142"/>
      <c r="H30" s="142"/>
      <c r="I30" s="141"/>
      <c r="J30" s="136">
        <v>0</v>
      </c>
      <c r="K30" s="138">
        <f t="shared" si="5"/>
        <v>30</v>
      </c>
      <c r="L30" s="139">
        <f t="shared" si="0"/>
        <v>0</v>
      </c>
      <c r="M30" s="139">
        <f t="shared" si="1"/>
        <v>0</v>
      </c>
      <c r="N30" s="139">
        <f t="shared" si="2"/>
        <v>0</v>
      </c>
      <c r="O30" s="139">
        <f t="shared" si="3"/>
        <v>0</v>
      </c>
      <c r="P30" s="139">
        <f t="shared" si="3"/>
        <v>0</v>
      </c>
      <c r="Q30" s="139">
        <f t="shared" si="6"/>
        <v>0</v>
      </c>
      <c r="R30" s="139">
        <f t="shared" si="7"/>
        <v>648</v>
      </c>
      <c r="S30" s="143">
        <f t="shared" si="4"/>
        <v>648</v>
      </c>
    </row>
    <row r="31" spans="1:19">
      <c r="A31" s="235">
        <v>46016</v>
      </c>
      <c r="B31" s="236"/>
      <c r="C31" s="138"/>
      <c r="D31" s="138"/>
      <c r="E31" s="141"/>
      <c r="F31" s="141"/>
      <c r="G31" s="142"/>
      <c r="H31" s="142"/>
      <c r="I31" s="141"/>
      <c r="J31" s="136">
        <v>0</v>
      </c>
      <c r="K31" s="138">
        <f t="shared" si="5"/>
        <v>30</v>
      </c>
      <c r="L31" s="139">
        <f t="shared" si="0"/>
        <v>0</v>
      </c>
      <c r="M31" s="139">
        <f t="shared" si="1"/>
        <v>0</v>
      </c>
      <c r="N31" s="139">
        <f t="shared" si="2"/>
        <v>0</v>
      </c>
      <c r="O31" s="139">
        <f t="shared" si="3"/>
        <v>0</v>
      </c>
      <c r="P31" s="139">
        <f t="shared" si="3"/>
        <v>0</v>
      </c>
      <c r="Q31" s="139">
        <f t="shared" si="6"/>
        <v>0</v>
      </c>
      <c r="R31" s="139">
        <f t="shared" si="7"/>
        <v>648</v>
      </c>
      <c r="S31" s="143">
        <f t="shared" si="4"/>
        <v>648</v>
      </c>
    </row>
    <row r="32" spans="1:19">
      <c r="A32" s="235">
        <v>46017</v>
      </c>
      <c r="B32" s="236"/>
      <c r="C32" s="138"/>
      <c r="D32" s="138"/>
      <c r="E32" s="141"/>
      <c r="F32" s="141"/>
      <c r="G32" s="142"/>
      <c r="H32" s="142"/>
      <c r="I32" s="141"/>
      <c r="J32" s="136">
        <v>0</v>
      </c>
      <c r="K32" s="138">
        <f t="shared" si="5"/>
        <v>30</v>
      </c>
      <c r="L32" s="139">
        <f t="shared" si="0"/>
        <v>0</v>
      </c>
      <c r="M32" s="139">
        <f t="shared" si="1"/>
        <v>0</v>
      </c>
      <c r="N32" s="139">
        <f t="shared" si="2"/>
        <v>0</v>
      </c>
      <c r="O32" s="139">
        <f t="shared" si="3"/>
        <v>0</v>
      </c>
      <c r="P32" s="139">
        <f t="shared" si="3"/>
        <v>0</v>
      </c>
      <c r="Q32" s="139">
        <f t="shared" si="6"/>
        <v>0</v>
      </c>
      <c r="R32" s="139">
        <f t="shared" si="7"/>
        <v>648</v>
      </c>
      <c r="S32" s="143">
        <f t="shared" si="4"/>
        <v>648</v>
      </c>
    </row>
    <row r="33" spans="1:19">
      <c r="A33" s="235">
        <v>46018</v>
      </c>
      <c r="B33" s="236"/>
      <c r="C33" s="138"/>
      <c r="D33" s="138"/>
      <c r="E33" s="141"/>
      <c r="F33" s="141"/>
      <c r="G33" s="142"/>
      <c r="H33" s="142"/>
      <c r="I33" s="141"/>
      <c r="J33" s="136">
        <v>0</v>
      </c>
      <c r="K33" s="138">
        <f t="shared" si="5"/>
        <v>30</v>
      </c>
      <c r="L33" s="139">
        <f t="shared" si="0"/>
        <v>0</v>
      </c>
      <c r="M33" s="139">
        <f t="shared" si="1"/>
        <v>0</v>
      </c>
      <c r="N33" s="139">
        <f t="shared" si="2"/>
        <v>0</v>
      </c>
      <c r="O33" s="139">
        <f t="shared" si="3"/>
        <v>0</v>
      </c>
      <c r="P33" s="139">
        <f t="shared" si="3"/>
        <v>0</v>
      </c>
      <c r="Q33" s="139">
        <f t="shared" si="6"/>
        <v>0</v>
      </c>
      <c r="R33" s="139">
        <f t="shared" si="7"/>
        <v>648</v>
      </c>
      <c r="S33" s="143">
        <f t="shared" si="4"/>
        <v>648</v>
      </c>
    </row>
    <row r="34" spans="1:19">
      <c r="A34" s="235">
        <v>46019</v>
      </c>
      <c r="B34" s="236"/>
      <c r="C34" s="138"/>
      <c r="D34" s="138"/>
      <c r="E34" s="141"/>
      <c r="F34" s="141"/>
      <c r="G34" s="141"/>
      <c r="H34" s="142"/>
      <c r="I34" s="141"/>
      <c r="J34" s="136">
        <v>0</v>
      </c>
      <c r="K34" s="138">
        <f t="shared" si="5"/>
        <v>30</v>
      </c>
      <c r="L34" s="139">
        <f t="shared" si="0"/>
        <v>0</v>
      </c>
      <c r="M34" s="139">
        <f t="shared" si="1"/>
        <v>0</v>
      </c>
      <c r="N34" s="139">
        <f t="shared" si="2"/>
        <v>0</v>
      </c>
      <c r="O34" s="139">
        <f t="shared" si="3"/>
        <v>0</v>
      </c>
      <c r="P34" s="139">
        <f t="shared" si="3"/>
        <v>0</v>
      </c>
      <c r="Q34" s="139">
        <f t="shared" si="6"/>
        <v>0</v>
      </c>
      <c r="R34" s="139">
        <f t="shared" si="7"/>
        <v>648</v>
      </c>
      <c r="S34" s="143">
        <f t="shared" si="4"/>
        <v>648</v>
      </c>
    </row>
    <row r="35" spans="1:19">
      <c r="A35" s="235">
        <v>46020</v>
      </c>
      <c r="B35" s="236"/>
      <c r="C35" s="138"/>
      <c r="D35" s="138"/>
      <c r="E35" s="141"/>
      <c r="F35" s="141"/>
      <c r="G35" s="141"/>
      <c r="H35" s="142"/>
      <c r="I35" s="141"/>
      <c r="J35" s="136">
        <v>0</v>
      </c>
      <c r="K35" s="138">
        <f t="shared" si="5"/>
        <v>30</v>
      </c>
      <c r="L35" s="139">
        <f t="shared" si="0"/>
        <v>0</v>
      </c>
      <c r="M35" s="139">
        <f t="shared" si="1"/>
        <v>0</v>
      </c>
      <c r="N35" s="139">
        <f t="shared" si="2"/>
        <v>0</v>
      </c>
      <c r="O35" s="139">
        <f t="shared" si="3"/>
        <v>0</v>
      </c>
      <c r="P35" s="139">
        <f t="shared" si="3"/>
        <v>0</v>
      </c>
      <c r="Q35" s="139">
        <f t="shared" si="6"/>
        <v>0</v>
      </c>
      <c r="R35" s="139">
        <f t="shared" si="7"/>
        <v>648</v>
      </c>
      <c r="S35" s="143">
        <f t="shared" si="4"/>
        <v>648</v>
      </c>
    </row>
    <row r="36" spans="1:19">
      <c r="A36" s="235">
        <v>46021</v>
      </c>
      <c r="B36" s="236"/>
      <c r="C36" s="138"/>
      <c r="D36" s="138"/>
      <c r="E36" s="141">
        <v>29</v>
      </c>
      <c r="F36" s="141"/>
      <c r="G36" s="141"/>
      <c r="H36" s="142"/>
      <c r="I36" s="141"/>
      <c r="J36" s="136">
        <v>0</v>
      </c>
      <c r="K36" s="138">
        <f t="shared" si="5"/>
        <v>30</v>
      </c>
      <c r="L36" s="139">
        <f t="shared" si="0"/>
        <v>0</v>
      </c>
      <c r="M36" s="139">
        <f t="shared" si="1"/>
        <v>0</v>
      </c>
      <c r="N36" s="139">
        <f t="shared" si="2"/>
        <v>4872</v>
      </c>
      <c r="O36" s="139">
        <f t="shared" si="3"/>
        <v>0</v>
      </c>
      <c r="P36" s="139">
        <f t="shared" si="3"/>
        <v>0</v>
      </c>
      <c r="Q36" s="139">
        <f t="shared" si="6"/>
        <v>0</v>
      </c>
      <c r="R36" s="139">
        <f t="shared" si="7"/>
        <v>648</v>
      </c>
      <c r="S36" s="143">
        <f t="shared" si="4"/>
        <v>5520</v>
      </c>
    </row>
    <row r="37" spans="1:19" ht="15.75" thickBot="1">
      <c r="A37" s="235">
        <v>46022</v>
      </c>
      <c r="B37" s="236"/>
      <c r="C37" s="138"/>
      <c r="D37" s="138"/>
      <c r="E37" s="141"/>
      <c r="F37" s="141"/>
      <c r="G37" s="141"/>
      <c r="H37" s="142"/>
      <c r="I37" s="141"/>
      <c r="J37" s="136">
        <v>0</v>
      </c>
      <c r="K37" s="138">
        <f t="shared" si="5"/>
        <v>1</v>
      </c>
      <c r="L37" s="139">
        <f t="shared" si="0"/>
        <v>0</v>
      </c>
      <c r="M37" s="139">
        <f t="shared" si="1"/>
        <v>0</v>
      </c>
      <c r="N37" s="139">
        <f t="shared" si="2"/>
        <v>0</v>
      </c>
      <c r="O37" s="139">
        <f t="shared" si="3"/>
        <v>0</v>
      </c>
      <c r="P37" s="139">
        <f t="shared" si="3"/>
        <v>0</v>
      </c>
      <c r="Q37" s="139">
        <f t="shared" si="6"/>
        <v>0</v>
      </c>
      <c r="R37" s="139">
        <f t="shared" si="7"/>
        <v>21.6</v>
      </c>
      <c r="S37" s="143">
        <f t="shared" ref="S37" si="8">SUM(L37:R37)</f>
        <v>21.6</v>
      </c>
    </row>
    <row r="38" spans="1:19" ht="15.75" thickBot="1">
      <c r="A38" s="233" t="s">
        <v>26</v>
      </c>
      <c r="B38" s="234"/>
      <c r="C38" s="148">
        <f t="shared" ref="C38:K38" si="9">SUM(C7:C37)</f>
        <v>0</v>
      </c>
      <c r="D38" s="148">
        <f t="shared" si="9"/>
        <v>0</v>
      </c>
      <c r="E38" s="148">
        <f t="shared" si="9"/>
        <v>30</v>
      </c>
      <c r="F38" s="148">
        <f t="shared" si="9"/>
        <v>0</v>
      </c>
      <c r="G38" s="148">
        <f t="shared" si="9"/>
        <v>0</v>
      </c>
      <c r="H38" s="148">
        <f t="shared" si="9"/>
        <v>0</v>
      </c>
      <c r="I38" s="148">
        <f t="shared" si="9"/>
        <v>0</v>
      </c>
      <c r="J38" s="148">
        <f t="shared" si="9"/>
        <v>0</v>
      </c>
      <c r="K38" s="148">
        <f t="shared" si="9"/>
        <v>906</v>
      </c>
      <c r="L38" s="149">
        <f>SUM(L7:L37)</f>
        <v>0</v>
      </c>
      <c r="M38" s="149">
        <f t="shared" ref="M38:R38" si="10">SUM(M7:M37)</f>
        <v>0</v>
      </c>
      <c r="N38" s="149">
        <f t="shared" si="10"/>
        <v>5040</v>
      </c>
      <c r="O38" s="149">
        <f t="shared" si="10"/>
        <v>0</v>
      </c>
      <c r="P38" s="149">
        <f t="shared" si="10"/>
        <v>0</v>
      </c>
      <c r="Q38" s="149">
        <f t="shared" si="10"/>
        <v>0</v>
      </c>
      <c r="R38" s="150">
        <f t="shared" si="10"/>
        <v>19569.599999999999</v>
      </c>
      <c r="S38" s="151">
        <f>SUM(S7:S37)</f>
        <v>24609.599999999999</v>
      </c>
    </row>
    <row r="39" spans="1:19" ht="15.75">
      <c r="C39" s="131"/>
      <c r="D39" s="131"/>
      <c r="E39" s="131"/>
      <c r="F39" s="131"/>
      <c r="G39" s="131"/>
      <c r="H39" s="131"/>
      <c r="I39" s="131"/>
      <c r="J39" s="131"/>
      <c r="K39" s="131"/>
      <c r="R39" s="152" t="s">
        <v>26</v>
      </c>
      <c r="S39" s="153">
        <f>S38</f>
        <v>24609.599999999999</v>
      </c>
    </row>
  </sheetData>
  <mergeCells count="55">
    <mergeCell ref="L4:S4"/>
    <mergeCell ref="H1:I1"/>
    <mergeCell ref="H2:I2"/>
    <mergeCell ref="H3:I3"/>
    <mergeCell ref="A4:G4"/>
    <mergeCell ref="H4:I4"/>
    <mergeCell ref="M5:M6"/>
    <mergeCell ref="N5:N6"/>
    <mergeCell ref="A5:B6"/>
    <mergeCell ref="C5:C6"/>
    <mergeCell ref="D5:D6"/>
    <mergeCell ref="E5:E6"/>
    <mergeCell ref="F5:F6"/>
    <mergeCell ref="G5:G6"/>
    <mergeCell ref="A7:B7"/>
    <mergeCell ref="H5:H6"/>
    <mergeCell ref="I5:I6"/>
    <mergeCell ref="J5:J6"/>
    <mergeCell ref="L5:L6"/>
    <mergeCell ref="O5:O6"/>
    <mergeCell ref="P5:P6"/>
    <mergeCell ref="Q5:Q6"/>
    <mergeCell ref="R5:R6"/>
    <mergeCell ref="S5:S6"/>
    <mergeCell ref="A19:B19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31:B31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8:B38"/>
    <mergeCell ref="A32:B32"/>
    <mergeCell ref="A33:B33"/>
    <mergeCell ref="A34:B34"/>
    <mergeCell ref="A35:B35"/>
    <mergeCell ref="A36:B36"/>
    <mergeCell ref="A37:B37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BA631-FDCD-4D59-A70F-DCEBFDB1183F}">
  <sheetPr codeName="Лист21"/>
  <dimension ref="A1:K36"/>
  <sheetViews>
    <sheetView topLeftCell="A16" workbookViewId="0">
      <selection activeCell="M30" sqref="M30"/>
    </sheetView>
  </sheetViews>
  <sheetFormatPr defaultRowHeight="15"/>
  <cols>
    <col min="1" max="4" width="8.796875" style="2"/>
    <col min="5" max="5" width="9" style="2" customWidth="1"/>
    <col min="6" max="10" width="8.796875" style="2"/>
    <col min="11" max="11" width="7.59765625" style="2" customWidth="1"/>
    <col min="12" max="16384" width="8.796875" style="2"/>
  </cols>
  <sheetData>
    <row r="1" spans="1:11">
      <c r="A1" s="154">
        <f>K36</f>
        <v>22627</v>
      </c>
    </row>
    <row r="2" spans="1:11" ht="21">
      <c r="A2" s="209" t="s">
        <v>167</v>
      </c>
      <c r="B2" s="209"/>
      <c r="C2" s="209"/>
      <c r="D2" s="209"/>
      <c r="E2" s="209"/>
      <c r="F2" s="209"/>
      <c r="G2" s="209"/>
      <c r="H2" s="209"/>
    </row>
    <row r="3" spans="1:11" ht="28.9" customHeight="1">
      <c r="A3" s="206" t="s">
        <v>0</v>
      </c>
      <c r="B3" s="210" t="s">
        <v>1</v>
      </c>
      <c r="C3" s="211"/>
      <c r="D3" s="206" t="s">
        <v>146</v>
      </c>
      <c r="E3" s="255" t="s">
        <v>168</v>
      </c>
      <c r="F3" s="256"/>
      <c r="G3" s="4" t="s">
        <v>4</v>
      </c>
      <c r="H3" s="206" t="s">
        <v>11</v>
      </c>
      <c r="I3" s="206" t="s">
        <v>169</v>
      </c>
      <c r="J3" s="206" t="s">
        <v>13</v>
      </c>
      <c r="K3" s="206" t="s">
        <v>18</v>
      </c>
    </row>
    <row r="4" spans="1:11" ht="30">
      <c r="A4" s="207"/>
      <c r="B4" s="212"/>
      <c r="C4" s="213"/>
      <c r="D4" s="207"/>
      <c r="E4" s="155" t="s">
        <v>170</v>
      </c>
      <c r="F4" s="155" t="s">
        <v>171</v>
      </c>
      <c r="G4" s="5" t="s">
        <v>156</v>
      </c>
      <c r="H4" s="207"/>
      <c r="I4" s="207"/>
      <c r="J4" s="207"/>
      <c r="K4" s="207"/>
    </row>
    <row r="5" spans="1:11">
      <c r="A5" s="6">
        <v>1</v>
      </c>
      <c r="B5" s="204">
        <v>45992</v>
      </c>
      <c r="C5" s="205"/>
      <c r="D5" s="122"/>
      <c r="E5" s="79"/>
      <c r="F5" s="79">
        <v>23</v>
      </c>
      <c r="G5" s="156">
        <v>48</v>
      </c>
      <c r="H5" s="79">
        <f t="shared" ref="H5:H35" si="0">SUM(D5*60)</f>
        <v>0</v>
      </c>
      <c r="I5" s="79">
        <f>SUM(E5*25+F5*7)</f>
        <v>161</v>
      </c>
      <c r="J5" s="79">
        <f t="shared" ref="J5:J35" si="1">SUM(G5*15)</f>
        <v>720</v>
      </c>
      <c r="K5" s="79">
        <f t="shared" ref="K5:K35" si="2">SUM(H5:J5)</f>
        <v>881</v>
      </c>
    </row>
    <row r="6" spans="1:11">
      <c r="A6" s="6">
        <v>2</v>
      </c>
      <c r="B6" s="204">
        <v>45993</v>
      </c>
      <c r="C6" s="205"/>
      <c r="D6" s="122"/>
      <c r="E6" s="79"/>
      <c r="F6" s="79"/>
      <c r="G6" s="156">
        <v>48</v>
      </c>
      <c r="H6" s="79">
        <f t="shared" si="0"/>
        <v>0</v>
      </c>
      <c r="I6" s="79">
        <f>SUM(E6*25+F6*7)</f>
        <v>0</v>
      </c>
      <c r="J6" s="79">
        <f t="shared" si="1"/>
        <v>720</v>
      </c>
      <c r="K6" s="79">
        <f t="shared" si="2"/>
        <v>720</v>
      </c>
    </row>
    <row r="7" spans="1:11">
      <c r="A7" s="6">
        <v>3</v>
      </c>
      <c r="B7" s="204">
        <v>45994</v>
      </c>
      <c r="C7" s="205"/>
      <c r="D7" s="122"/>
      <c r="E7" s="79"/>
      <c r="F7" s="79"/>
      <c r="G7" s="156">
        <v>48</v>
      </c>
      <c r="H7" s="79">
        <f t="shared" si="0"/>
        <v>0</v>
      </c>
      <c r="I7" s="79">
        <f>SUM(E7*25+F7*7)</f>
        <v>0</v>
      </c>
      <c r="J7" s="79">
        <f t="shared" si="1"/>
        <v>720</v>
      </c>
      <c r="K7" s="79">
        <f t="shared" si="2"/>
        <v>720</v>
      </c>
    </row>
    <row r="8" spans="1:11">
      <c r="A8" s="6">
        <v>4</v>
      </c>
      <c r="B8" s="204">
        <v>45995</v>
      </c>
      <c r="C8" s="205"/>
      <c r="D8" s="122"/>
      <c r="E8" s="79"/>
      <c r="F8" s="79"/>
      <c r="G8" s="156">
        <v>48</v>
      </c>
      <c r="H8" s="79">
        <f t="shared" si="0"/>
        <v>0</v>
      </c>
      <c r="I8" s="79">
        <f t="shared" ref="I8:I35" si="3">SUM(E8*25+F8*7)</f>
        <v>0</v>
      </c>
      <c r="J8" s="79">
        <f t="shared" si="1"/>
        <v>720</v>
      </c>
      <c r="K8" s="79">
        <f t="shared" si="2"/>
        <v>720</v>
      </c>
    </row>
    <row r="9" spans="1:11">
      <c r="A9" s="6">
        <v>5</v>
      </c>
      <c r="B9" s="204">
        <v>45996</v>
      </c>
      <c r="C9" s="205"/>
      <c r="D9" s="122"/>
      <c r="E9" s="79"/>
      <c r="F9" s="79"/>
      <c r="G9" s="156">
        <v>48</v>
      </c>
      <c r="H9" s="79">
        <f t="shared" si="0"/>
        <v>0</v>
      </c>
      <c r="I9" s="79">
        <f t="shared" si="3"/>
        <v>0</v>
      </c>
      <c r="J9" s="79">
        <f t="shared" si="1"/>
        <v>720</v>
      </c>
      <c r="K9" s="79">
        <f t="shared" si="2"/>
        <v>720</v>
      </c>
    </row>
    <row r="10" spans="1:11">
      <c r="A10" s="6">
        <v>6</v>
      </c>
      <c r="B10" s="204">
        <v>45997</v>
      </c>
      <c r="C10" s="205"/>
      <c r="D10" s="122"/>
      <c r="E10" s="79"/>
      <c r="F10" s="79"/>
      <c r="G10" s="156">
        <v>48</v>
      </c>
      <c r="H10" s="79">
        <f t="shared" si="0"/>
        <v>0</v>
      </c>
      <c r="I10" s="79">
        <f t="shared" si="3"/>
        <v>0</v>
      </c>
      <c r="J10" s="79">
        <f t="shared" si="1"/>
        <v>720</v>
      </c>
      <c r="K10" s="79">
        <f t="shared" si="2"/>
        <v>720</v>
      </c>
    </row>
    <row r="11" spans="1:11">
      <c r="A11" s="6">
        <v>7</v>
      </c>
      <c r="B11" s="204">
        <v>45998</v>
      </c>
      <c r="C11" s="205"/>
      <c r="D11" s="122"/>
      <c r="E11" s="79"/>
      <c r="F11" s="79"/>
      <c r="G11" s="156">
        <v>48</v>
      </c>
      <c r="H11" s="79">
        <f t="shared" si="0"/>
        <v>0</v>
      </c>
      <c r="I11" s="79">
        <f t="shared" si="3"/>
        <v>0</v>
      </c>
      <c r="J11" s="79">
        <f t="shared" si="1"/>
        <v>720</v>
      </c>
      <c r="K11" s="79">
        <f t="shared" si="2"/>
        <v>720</v>
      </c>
    </row>
    <row r="12" spans="1:11">
      <c r="A12" s="6">
        <v>8</v>
      </c>
      <c r="B12" s="204">
        <v>45999</v>
      </c>
      <c r="C12" s="205"/>
      <c r="D12" s="122"/>
      <c r="E12" s="79"/>
      <c r="F12" s="79"/>
      <c r="G12" s="156">
        <v>48</v>
      </c>
      <c r="H12" s="79">
        <f t="shared" si="0"/>
        <v>0</v>
      </c>
      <c r="I12" s="79">
        <f t="shared" si="3"/>
        <v>0</v>
      </c>
      <c r="J12" s="79">
        <f t="shared" si="1"/>
        <v>720</v>
      </c>
      <c r="K12" s="79">
        <f t="shared" si="2"/>
        <v>720</v>
      </c>
    </row>
    <row r="13" spans="1:11">
      <c r="A13" s="6">
        <v>9</v>
      </c>
      <c r="B13" s="204">
        <v>46000</v>
      </c>
      <c r="C13" s="205"/>
      <c r="D13" s="122"/>
      <c r="E13" s="79"/>
      <c r="F13" s="79"/>
      <c r="G13" s="156">
        <v>48</v>
      </c>
      <c r="H13" s="79">
        <f t="shared" si="0"/>
        <v>0</v>
      </c>
      <c r="I13" s="79">
        <f t="shared" si="3"/>
        <v>0</v>
      </c>
      <c r="J13" s="79">
        <f t="shared" si="1"/>
        <v>720</v>
      </c>
      <c r="K13" s="79">
        <f t="shared" si="2"/>
        <v>720</v>
      </c>
    </row>
    <row r="14" spans="1:11">
      <c r="A14" s="6">
        <v>10</v>
      </c>
      <c r="B14" s="204">
        <v>46001</v>
      </c>
      <c r="C14" s="205"/>
      <c r="D14" s="122"/>
      <c r="E14" s="79"/>
      <c r="F14" s="79"/>
      <c r="G14" s="156">
        <v>48</v>
      </c>
      <c r="H14" s="79">
        <f t="shared" si="0"/>
        <v>0</v>
      </c>
      <c r="I14" s="79">
        <f t="shared" si="3"/>
        <v>0</v>
      </c>
      <c r="J14" s="79">
        <f t="shared" si="1"/>
        <v>720</v>
      </c>
      <c r="K14" s="79">
        <f t="shared" si="2"/>
        <v>720</v>
      </c>
    </row>
    <row r="15" spans="1:11">
      <c r="A15" s="6">
        <v>11</v>
      </c>
      <c r="B15" s="204">
        <v>46002</v>
      </c>
      <c r="C15" s="205"/>
      <c r="D15" s="122"/>
      <c r="E15" s="79"/>
      <c r="F15" s="79"/>
      <c r="G15" s="156">
        <v>48</v>
      </c>
      <c r="H15" s="79">
        <f t="shared" si="0"/>
        <v>0</v>
      </c>
      <c r="I15" s="79">
        <f t="shared" si="3"/>
        <v>0</v>
      </c>
      <c r="J15" s="79">
        <f t="shared" si="1"/>
        <v>720</v>
      </c>
      <c r="K15" s="79">
        <f t="shared" si="2"/>
        <v>720</v>
      </c>
    </row>
    <row r="16" spans="1:11">
      <c r="A16" s="6">
        <v>12</v>
      </c>
      <c r="B16" s="204">
        <v>46003</v>
      </c>
      <c r="C16" s="205"/>
      <c r="D16" s="122"/>
      <c r="E16" s="79"/>
      <c r="F16" s="79"/>
      <c r="G16" s="156">
        <v>48</v>
      </c>
      <c r="H16" s="79">
        <f t="shared" si="0"/>
        <v>0</v>
      </c>
      <c r="I16" s="79">
        <f t="shared" si="3"/>
        <v>0</v>
      </c>
      <c r="J16" s="79">
        <f t="shared" si="1"/>
        <v>720</v>
      </c>
      <c r="K16" s="79">
        <f t="shared" si="2"/>
        <v>720</v>
      </c>
    </row>
    <row r="17" spans="1:11">
      <c r="A17" s="6">
        <v>13</v>
      </c>
      <c r="B17" s="204">
        <v>46004</v>
      </c>
      <c r="C17" s="205"/>
      <c r="D17" s="122"/>
      <c r="E17" s="79"/>
      <c r="F17" s="79"/>
      <c r="G17" s="156">
        <v>48</v>
      </c>
      <c r="H17" s="79">
        <f t="shared" si="0"/>
        <v>0</v>
      </c>
      <c r="I17" s="79">
        <f t="shared" si="3"/>
        <v>0</v>
      </c>
      <c r="J17" s="79">
        <f t="shared" si="1"/>
        <v>720</v>
      </c>
      <c r="K17" s="79">
        <f t="shared" si="2"/>
        <v>720</v>
      </c>
    </row>
    <row r="18" spans="1:11">
      <c r="A18" s="6">
        <v>14</v>
      </c>
      <c r="B18" s="204">
        <v>46005</v>
      </c>
      <c r="C18" s="205"/>
      <c r="D18" s="122"/>
      <c r="E18" s="79"/>
      <c r="F18" s="79"/>
      <c r="G18" s="156">
        <v>48</v>
      </c>
      <c r="H18" s="79">
        <f t="shared" si="0"/>
        <v>0</v>
      </c>
      <c r="I18" s="79">
        <f t="shared" si="3"/>
        <v>0</v>
      </c>
      <c r="J18" s="79">
        <f t="shared" si="1"/>
        <v>720</v>
      </c>
      <c r="K18" s="79">
        <f t="shared" si="2"/>
        <v>720</v>
      </c>
    </row>
    <row r="19" spans="1:11">
      <c r="A19" s="6">
        <v>15</v>
      </c>
      <c r="B19" s="204">
        <v>46006</v>
      </c>
      <c r="C19" s="205"/>
      <c r="D19" s="122"/>
      <c r="E19" s="79"/>
      <c r="F19" s="79"/>
      <c r="G19" s="156">
        <v>48</v>
      </c>
      <c r="H19" s="79">
        <f t="shared" si="0"/>
        <v>0</v>
      </c>
      <c r="I19" s="79">
        <f t="shared" si="3"/>
        <v>0</v>
      </c>
      <c r="J19" s="79">
        <f t="shared" si="1"/>
        <v>720</v>
      </c>
      <c r="K19" s="79">
        <f t="shared" si="2"/>
        <v>720</v>
      </c>
    </row>
    <row r="20" spans="1:11">
      <c r="A20" s="6">
        <v>16</v>
      </c>
      <c r="B20" s="204">
        <v>46007</v>
      </c>
      <c r="C20" s="205"/>
      <c r="D20" s="122"/>
      <c r="E20" s="79"/>
      <c r="F20" s="79"/>
      <c r="G20" s="156">
        <v>48</v>
      </c>
      <c r="H20" s="79">
        <f t="shared" si="0"/>
        <v>0</v>
      </c>
      <c r="I20" s="79">
        <f t="shared" si="3"/>
        <v>0</v>
      </c>
      <c r="J20" s="79">
        <f t="shared" si="1"/>
        <v>720</v>
      </c>
      <c r="K20" s="79">
        <f t="shared" si="2"/>
        <v>720</v>
      </c>
    </row>
    <row r="21" spans="1:11">
      <c r="A21" s="6">
        <v>17</v>
      </c>
      <c r="B21" s="204">
        <v>46008</v>
      </c>
      <c r="C21" s="205"/>
      <c r="D21" s="122"/>
      <c r="E21" s="79"/>
      <c r="F21" s="79"/>
      <c r="G21" s="156">
        <v>48</v>
      </c>
      <c r="H21" s="79">
        <f t="shared" si="0"/>
        <v>0</v>
      </c>
      <c r="I21" s="79">
        <f t="shared" si="3"/>
        <v>0</v>
      </c>
      <c r="J21" s="79">
        <f t="shared" si="1"/>
        <v>720</v>
      </c>
      <c r="K21" s="79">
        <f t="shared" si="2"/>
        <v>720</v>
      </c>
    </row>
    <row r="22" spans="1:11">
      <c r="A22" s="6">
        <v>18</v>
      </c>
      <c r="B22" s="204">
        <v>46009</v>
      </c>
      <c r="C22" s="205"/>
      <c r="D22" s="122"/>
      <c r="E22" s="79">
        <v>6</v>
      </c>
      <c r="F22" s="79">
        <v>25</v>
      </c>
      <c r="G22" s="156">
        <v>48</v>
      </c>
      <c r="H22" s="79">
        <f t="shared" si="0"/>
        <v>0</v>
      </c>
      <c r="I22" s="79">
        <f t="shared" si="3"/>
        <v>325</v>
      </c>
      <c r="J22" s="79">
        <f t="shared" si="1"/>
        <v>720</v>
      </c>
      <c r="K22" s="79">
        <f t="shared" si="2"/>
        <v>1045</v>
      </c>
    </row>
    <row r="23" spans="1:11">
      <c r="A23" s="6">
        <v>19</v>
      </c>
      <c r="B23" s="204">
        <v>46010</v>
      </c>
      <c r="C23" s="205"/>
      <c r="D23" s="122"/>
      <c r="E23" s="79"/>
      <c r="F23" s="79"/>
      <c r="G23" s="156">
        <v>46</v>
      </c>
      <c r="H23" s="79">
        <f t="shared" si="0"/>
        <v>0</v>
      </c>
      <c r="I23" s="79">
        <f t="shared" si="3"/>
        <v>0</v>
      </c>
      <c r="J23" s="79">
        <f t="shared" si="1"/>
        <v>690</v>
      </c>
      <c r="K23" s="79">
        <f t="shared" si="2"/>
        <v>690</v>
      </c>
    </row>
    <row r="24" spans="1:11">
      <c r="A24" s="6">
        <v>20</v>
      </c>
      <c r="B24" s="204">
        <v>46011</v>
      </c>
      <c r="C24" s="205"/>
      <c r="D24" s="122"/>
      <c r="E24" s="79"/>
      <c r="F24" s="79"/>
      <c r="G24" s="156">
        <v>46</v>
      </c>
      <c r="H24" s="79">
        <f t="shared" si="0"/>
        <v>0</v>
      </c>
      <c r="I24" s="79">
        <f t="shared" si="3"/>
        <v>0</v>
      </c>
      <c r="J24" s="79">
        <f t="shared" si="1"/>
        <v>690</v>
      </c>
      <c r="K24" s="79">
        <f t="shared" si="2"/>
        <v>690</v>
      </c>
    </row>
    <row r="25" spans="1:11">
      <c r="A25" s="6">
        <v>21</v>
      </c>
      <c r="B25" s="204">
        <v>46012</v>
      </c>
      <c r="C25" s="205"/>
      <c r="D25" s="122"/>
      <c r="E25" s="79"/>
      <c r="F25" s="79"/>
      <c r="G25" s="156">
        <v>46</v>
      </c>
      <c r="H25" s="79">
        <f t="shared" si="0"/>
        <v>0</v>
      </c>
      <c r="I25" s="79">
        <f t="shared" si="3"/>
        <v>0</v>
      </c>
      <c r="J25" s="79">
        <f t="shared" si="1"/>
        <v>690</v>
      </c>
      <c r="K25" s="79">
        <f t="shared" si="2"/>
        <v>690</v>
      </c>
    </row>
    <row r="26" spans="1:11">
      <c r="A26" s="6">
        <v>22</v>
      </c>
      <c r="B26" s="204">
        <v>46013</v>
      </c>
      <c r="C26" s="205"/>
      <c r="D26" s="122"/>
      <c r="E26" s="79"/>
      <c r="F26" s="79"/>
      <c r="G26" s="156">
        <v>46</v>
      </c>
      <c r="H26" s="79">
        <f t="shared" si="0"/>
        <v>0</v>
      </c>
      <c r="I26" s="79">
        <f t="shared" si="3"/>
        <v>0</v>
      </c>
      <c r="J26" s="79">
        <f t="shared" si="1"/>
        <v>690</v>
      </c>
      <c r="K26" s="79">
        <f t="shared" si="2"/>
        <v>690</v>
      </c>
    </row>
    <row r="27" spans="1:11">
      <c r="A27" s="6">
        <v>23</v>
      </c>
      <c r="B27" s="204">
        <v>46014</v>
      </c>
      <c r="C27" s="205"/>
      <c r="D27" s="122"/>
      <c r="E27" s="79"/>
      <c r="F27" s="79"/>
      <c r="G27" s="156">
        <v>46</v>
      </c>
      <c r="H27" s="79">
        <f t="shared" si="0"/>
        <v>0</v>
      </c>
      <c r="I27" s="79">
        <f t="shared" si="3"/>
        <v>0</v>
      </c>
      <c r="J27" s="79">
        <f t="shared" si="1"/>
        <v>690</v>
      </c>
      <c r="K27" s="79">
        <f t="shared" si="2"/>
        <v>690</v>
      </c>
    </row>
    <row r="28" spans="1:11">
      <c r="A28" s="6">
        <v>24</v>
      </c>
      <c r="B28" s="204">
        <v>46015</v>
      </c>
      <c r="C28" s="205"/>
      <c r="D28" s="122"/>
      <c r="E28" s="79"/>
      <c r="F28" s="79"/>
      <c r="G28" s="156">
        <v>46</v>
      </c>
      <c r="H28" s="79">
        <f t="shared" si="0"/>
        <v>0</v>
      </c>
      <c r="I28" s="79">
        <f t="shared" si="3"/>
        <v>0</v>
      </c>
      <c r="J28" s="79">
        <f t="shared" si="1"/>
        <v>690</v>
      </c>
      <c r="K28" s="79">
        <f t="shared" si="2"/>
        <v>690</v>
      </c>
    </row>
    <row r="29" spans="1:11">
      <c r="A29" s="6">
        <v>25</v>
      </c>
      <c r="B29" s="204">
        <v>46016</v>
      </c>
      <c r="C29" s="205"/>
      <c r="D29" s="122"/>
      <c r="E29" s="79">
        <v>22</v>
      </c>
      <c r="F29" s="79">
        <v>3</v>
      </c>
      <c r="G29" s="156">
        <v>46</v>
      </c>
      <c r="H29" s="79">
        <f t="shared" si="0"/>
        <v>0</v>
      </c>
      <c r="I29" s="79">
        <f t="shared" si="3"/>
        <v>571</v>
      </c>
      <c r="J29" s="79">
        <f t="shared" si="1"/>
        <v>690</v>
      </c>
      <c r="K29" s="79">
        <f t="shared" si="2"/>
        <v>1261</v>
      </c>
    </row>
    <row r="30" spans="1:11">
      <c r="A30" s="6">
        <v>26</v>
      </c>
      <c r="B30" s="204">
        <v>46017</v>
      </c>
      <c r="C30" s="205"/>
      <c r="D30" s="122"/>
      <c r="E30" s="79"/>
      <c r="F30" s="79"/>
      <c r="G30" s="156">
        <v>42</v>
      </c>
      <c r="H30" s="79">
        <f t="shared" si="0"/>
        <v>0</v>
      </c>
      <c r="I30" s="79">
        <f t="shared" si="3"/>
        <v>0</v>
      </c>
      <c r="J30" s="79">
        <f t="shared" si="1"/>
        <v>630</v>
      </c>
      <c r="K30" s="79">
        <f t="shared" si="2"/>
        <v>630</v>
      </c>
    </row>
    <row r="31" spans="1:11">
      <c r="A31" s="6">
        <v>27</v>
      </c>
      <c r="B31" s="204">
        <v>46018</v>
      </c>
      <c r="C31" s="205"/>
      <c r="D31" s="122"/>
      <c r="E31" s="79"/>
      <c r="F31" s="79"/>
      <c r="G31" s="156">
        <v>42</v>
      </c>
      <c r="H31" s="79">
        <f t="shared" si="0"/>
        <v>0</v>
      </c>
      <c r="I31" s="79">
        <f t="shared" si="3"/>
        <v>0</v>
      </c>
      <c r="J31" s="79">
        <f t="shared" si="1"/>
        <v>630</v>
      </c>
      <c r="K31" s="79">
        <f t="shared" si="2"/>
        <v>630</v>
      </c>
    </row>
    <row r="32" spans="1:11">
      <c r="A32" s="6">
        <v>28</v>
      </c>
      <c r="B32" s="204">
        <v>46019</v>
      </c>
      <c r="C32" s="205"/>
      <c r="D32" s="122"/>
      <c r="E32" s="79"/>
      <c r="F32" s="79"/>
      <c r="G32" s="156">
        <v>42</v>
      </c>
      <c r="H32" s="79">
        <f t="shared" si="0"/>
        <v>0</v>
      </c>
      <c r="I32" s="79">
        <f t="shared" si="3"/>
        <v>0</v>
      </c>
      <c r="J32" s="79">
        <f t="shared" si="1"/>
        <v>630</v>
      </c>
      <c r="K32" s="79">
        <f t="shared" si="2"/>
        <v>630</v>
      </c>
    </row>
    <row r="33" spans="1:11">
      <c r="A33" s="6">
        <v>29</v>
      </c>
      <c r="B33" s="204">
        <v>46020</v>
      </c>
      <c r="C33" s="205"/>
      <c r="D33" s="122"/>
      <c r="E33" s="79"/>
      <c r="F33" s="79"/>
      <c r="G33" s="156">
        <v>42</v>
      </c>
      <c r="H33" s="79">
        <f t="shared" si="0"/>
        <v>0</v>
      </c>
      <c r="I33" s="79">
        <f t="shared" si="3"/>
        <v>0</v>
      </c>
      <c r="J33" s="79">
        <f t="shared" si="1"/>
        <v>630</v>
      </c>
      <c r="K33" s="79">
        <f t="shared" si="2"/>
        <v>630</v>
      </c>
    </row>
    <row r="34" spans="1:11">
      <c r="A34" s="6">
        <v>30</v>
      </c>
      <c r="B34" s="204">
        <v>46021</v>
      </c>
      <c r="C34" s="205"/>
      <c r="D34" s="122"/>
      <c r="E34" s="79"/>
      <c r="F34" s="79"/>
      <c r="G34" s="156">
        <v>42</v>
      </c>
      <c r="H34" s="79">
        <f t="shared" si="0"/>
        <v>0</v>
      </c>
      <c r="I34" s="79">
        <f t="shared" si="3"/>
        <v>0</v>
      </c>
      <c r="J34" s="79">
        <f t="shared" si="1"/>
        <v>630</v>
      </c>
      <c r="K34" s="79">
        <f t="shared" si="2"/>
        <v>630</v>
      </c>
    </row>
    <row r="35" spans="1:11">
      <c r="A35" s="6"/>
      <c r="B35" s="204">
        <v>46022</v>
      </c>
      <c r="C35" s="205"/>
      <c r="D35" s="122"/>
      <c r="E35" s="79"/>
      <c r="F35" s="79"/>
      <c r="G35" s="156">
        <v>42</v>
      </c>
      <c r="H35" s="79">
        <f t="shared" si="0"/>
        <v>0</v>
      </c>
      <c r="I35" s="79">
        <f t="shared" si="3"/>
        <v>0</v>
      </c>
      <c r="J35" s="79">
        <f t="shared" si="1"/>
        <v>630</v>
      </c>
      <c r="K35" s="79">
        <f t="shared" si="2"/>
        <v>630</v>
      </c>
    </row>
    <row r="36" spans="1:11">
      <c r="D36" s="79"/>
      <c r="E36" s="79"/>
      <c r="F36" s="79"/>
      <c r="G36" s="79">
        <f>SUM(G5:G35)</f>
        <v>1438</v>
      </c>
      <c r="H36" s="79">
        <f>SUM(H5:H35)</f>
        <v>0</v>
      </c>
      <c r="I36" s="79">
        <f>SUM(I5:I35)</f>
        <v>1057</v>
      </c>
      <c r="J36" s="79">
        <f>SUM(J5:J35)</f>
        <v>21570</v>
      </c>
      <c r="K36" s="157">
        <f>SUM(K5:K35)</f>
        <v>22627</v>
      </c>
    </row>
  </sheetData>
  <mergeCells count="40">
    <mergeCell ref="A2:H2"/>
    <mergeCell ref="A3:A4"/>
    <mergeCell ref="B3:C4"/>
    <mergeCell ref="D3:D4"/>
    <mergeCell ref="E3:F3"/>
    <mergeCell ref="H3:H4"/>
    <mergeCell ref="B13:C13"/>
    <mergeCell ref="I3:I4"/>
    <mergeCell ref="J3:J4"/>
    <mergeCell ref="K3:K4"/>
    <mergeCell ref="B5:C5"/>
    <mergeCell ref="B6:C6"/>
    <mergeCell ref="B7:C7"/>
    <mergeCell ref="B8:C8"/>
    <mergeCell ref="B9:C9"/>
    <mergeCell ref="B10:C10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323C0-5592-45BE-A550-0FA1F3160693}">
  <sheetPr codeName="Лист22">
    <pageSetUpPr fitToPage="1"/>
  </sheetPr>
  <dimension ref="A1:AE1000"/>
  <sheetViews>
    <sheetView workbookViewId="0">
      <pane ySplit="6" topLeftCell="A25" activePane="bottomLeft" state="frozen"/>
      <selection activeCell="K5" sqref="K5:K6"/>
      <selection pane="bottomLeft" activeCell="Q33" sqref="Q33"/>
    </sheetView>
  </sheetViews>
  <sheetFormatPr defaultColWidth="10.09765625" defaultRowHeight="15" customHeight="1"/>
  <cols>
    <col min="1" max="1" width="9" style="159" customWidth="1"/>
    <col min="2" max="2" width="5.296875" style="159" customWidth="1"/>
    <col min="3" max="3" width="7" style="159" customWidth="1"/>
    <col min="4" max="4" width="6.59765625" style="159" customWidth="1"/>
    <col min="5" max="5" width="6.296875" style="159" customWidth="1"/>
    <col min="6" max="6" width="4.69921875" style="159" customWidth="1"/>
    <col min="7" max="7" width="5.8984375" style="159" customWidth="1"/>
    <col min="8" max="8" width="5.19921875" style="159" customWidth="1"/>
    <col min="9" max="9" width="4.09765625" style="159" customWidth="1"/>
    <col min="10" max="10" width="6.5" style="159" customWidth="1"/>
    <col min="11" max="11" width="5.296875" style="159" customWidth="1"/>
    <col min="12" max="12" width="5.5" style="159" customWidth="1"/>
    <col min="13" max="13" width="6.5" style="159" customWidth="1"/>
    <col min="14" max="14" width="7.19921875" style="159" customWidth="1"/>
    <col min="15" max="15" width="6.69921875" style="159" customWidth="1"/>
    <col min="16" max="16" width="6.8984375" style="159" customWidth="1"/>
    <col min="17" max="17" width="12.3984375" style="159" bestFit="1" customWidth="1"/>
    <col min="18" max="18" width="10.8984375" style="159" bestFit="1" customWidth="1"/>
    <col min="19" max="19" width="11" style="159" bestFit="1" customWidth="1"/>
    <col min="20" max="20" width="10.3984375" style="159" bestFit="1" customWidth="1"/>
    <col min="21" max="21" width="9.19921875" style="159" bestFit="1" customWidth="1"/>
    <col min="22" max="22" width="7" style="159" customWidth="1"/>
    <col min="23" max="23" width="8.296875" style="159" bestFit="1" customWidth="1"/>
    <col min="24" max="24" width="11.19921875" style="159" bestFit="1" customWidth="1"/>
    <col min="25" max="25" width="8.69921875" style="159" bestFit="1" customWidth="1"/>
    <col min="26" max="26" width="9.19921875" style="159" bestFit="1" customWidth="1"/>
    <col min="27" max="27" width="13.296875" style="159" bestFit="1" customWidth="1"/>
    <col min="28" max="28" width="10.796875" style="159" bestFit="1" customWidth="1"/>
    <col min="29" max="29" width="11.59765625" style="159" bestFit="1" customWidth="1"/>
    <col min="30" max="30" width="9.19921875" style="159" bestFit="1" customWidth="1"/>
    <col min="31" max="31" width="13.09765625" style="159" customWidth="1"/>
    <col min="32" max="16384" width="10.09765625" style="159"/>
  </cols>
  <sheetData>
    <row r="1" spans="1:31" ht="15.75">
      <c r="A1" s="158">
        <f>AE41</f>
        <v>8184</v>
      </c>
      <c r="C1" s="160"/>
      <c r="D1" s="160"/>
      <c r="E1" s="160"/>
      <c r="F1" s="160"/>
      <c r="G1" s="160"/>
      <c r="H1" s="267"/>
      <c r="I1" s="267"/>
      <c r="J1" s="267"/>
      <c r="K1" s="267"/>
      <c r="L1" s="267"/>
      <c r="M1" s="160"/>
      <c r="N1" s="160"/>
      <c r="O1" s="160"/>
      <c r="P1" s="160"/>
      <c r="AE1" s="161"/>
    </row>
    <row r="2" spans="1:31" ht="18.75" customHeight="1">
      <c r="C2" s="160"/>
      <c r="D2" s="160"/>
      <c r="E2" s="160"/>
      <c r="F2" s="160"/>
      <c r="G2" s="160"/>
      <c r="H2" s="267"/>
      <c r="I2" s="267"/>
      <c r="J2" s="267"/>
      <c r="K2" s="267"/>
      <c r="L2" s="267"/>
      <c r="M2" s="160"/>
      <c r="N2" s="160"/>
      <c r="O2" s="160"/>
      <c r="P2" s="160"/>
      <c r="AE2" s="161"/>
    </row>
    <row r="3" spans="1:31" ht="18.75" customHeight="1" thickBot="1">
      <c r="C3" s="160"/>
      <c r="D3" s="160"/>
      <c r="E3" s="160"/>
      <c r="F3" s="160"/>
      <c r="G3" s="160"/>
      <c r="H3" s="267"/>
      <c r="I3" s="267"/>
      <c r="J3" s="267"/>
      <c r="K3" s="267"/>
      <c r="L3" s="267"/>
      <c r="M3" s="160"/>
      <c r="N3" s="160"/>
      <c r="O3" s="160"/>
      <c r="P3" s="160"/>
      <c r="AE3" s="161"/>
    </row>
    <row r="4" spans="1:31" ht="23.25" customHeight="1" thickBot="1">
      <c r="A4" s="265" t="s">
        <v>172</v>
      </c>
      <c r="B4" s="266"/>
      <c r="C4" s="266"/>
      <c r="D4" s="266"/>
      <c r="E4" s="266"/>
      <c r="F4" s="266"/>
      <c r="G4" s="266"/>
      <c r="H4" s="267"/>
      <c r="I4" s="267"/>
      <c r="J4" s="267"/>
      <c r="K4" s="267"/>
      <c r="L4" s="267"/>
      <c r="M4" s="160"/>
      <c r="N4" s="160"/>
      <c r="O4" s="160"/>
      <c r="P4" s="160"/>
      <c r="Q4" s="268" t="s">
        <v>158</v>
      </c>
      <c r="R4" s="269"/>
      <c r="S4" s="269"/>
      <c r="T4" s="269"/>
      <c r="U4" s="269"/>
      <c r="V4" s="269"/>
      <c r="W4" s="269"/>
      <c r="X4" s="269"/>
      <c r="Y4" s="269"/>
      <c r="Z4" s="269"/>
      <c r="AA4" s="269"/>
      <c r="AB4" s="269"/>
      <c r="AC4" s="269"/>
      <c r="AD4" s="269"/>
      <c r="AE4" s="270"/>
    </row>
    <row r="5" spans="1:31" ht="28.5" customHeight="1">
      <c r="A5" s="271" t="s">
        <v>1</v>
      </c>
      <c r="B5" s="272"/>
      <c r="C5" s="261" t="s">
        <v>159</v>
      </c>
      <c r="D5" s="261" t="s">
        <v>160</v>
      </c>
      <c r="E5" s="261" t="s">
        <v>161</v>
      </c>
      <c r="F5" s="261" t="s">
        <v>162</v>
      </c>
      <c r="G5" s="261" t="s">
        <v>163</v>
      </c>
      <c r="H5" s="261" t="s">
        <v>173</v>
      </c>
      <c r="I5" s="261" t="s">
        <v>174</v>
      </c>
      <c r="J5" s="261" t="s">
        <v>175</v>
      </c>
      <c r="K5" s="261" t="s">
        <v>176</v>
      </c>
      <c r="L5" s="261" t="s">
        <v>177</v>
      </c>
      <c r="M5" s="261" t="s">
        <v>178</v>
      </c>
      <c r="N5" s="261" t="s">
        <v>179</v>
      </c>
      <c r="O5" s="261" t="s">
        <v>164</v>
      </c>
      <c r="P5" s="162" t="s">
        <v>4</v>
      </c>
      <c r="Q5" s="275" t="s">
        <v>165</v>
      </c>
      <c r="R5" s="261" t="s">
        <v>160</v>
      </c>
      <c r="S5" s="261" t="s">
        <v>161</v>
      </c>
      <c r="T5" s="261" t="s">
        <v>162</v>
      </c>
      <c r="U5" s="261" t="s">
        <v>166</v>
      </c>
      <c r="V5" s="261" t="s">
        <v>180</v>
      </c>
      <c r="W5" s="261" t="s">
        <v>181</v>
      </c>
      <c r="X5" s="261" t="s">
        <v>175</v>
      </c>
      <c r="Y5" s="261" t="s">
        <v>176</v>
      </c>
      <c r="Z5" s="261" t="s">
        <v>178</v>
      </c>
      <c r="AA5" s="261" t="s">
        <v>182</v>
      </c>
      <c r="AB5" s="261" t="s">
        <v>179</v>
      </c>
      <c r="AC5" s="261" t="s">
        <v>8</v>
      </c>
      <c r="AD5" s="261" t="s">
        <v>4</v>
      </c>
      <c r="AE5" s="263" t="s">
        <v>18</v>
      </c>
    </row>
    <row r="6" spans="1:31" ht="47.25" customHeight="1" thickBot="1">
      <c r="A6" s="273"/>
      <c r="B6" s="274"/>
      <c r="C6" s="262"/>
      <c r="D6" s="262"/>
      <c r="E6" s="262"/>
      <c r="F6" s="262"/>
      <c r="G6" s="262"/>
      <c r="H6" s="262"/>
      <c r="I6" s="262"/>
      <c r="J6" s="262"/>
      <c r="K6" s="262"/>
      <c r="L6" s="262"/>
      <c r="M6" s="262"/>
      <c r="N6" s="262"/>
      <c r="O6" s="262"/>
      <c r="P6" s="163">
        <v>8</v>
      </c>
      <c r="Q6" s="276"/>
      <c r="R6" s="262"/>
      <c r="S6" s="262"/>
      <c r="T6" s="262"/>
      <c r="U6" s="262"/>
      <c r="V6" s="262"/>
      <c r="W6" s="262"/>
      <c r="X6" s="262"/>
      <c r="Y6" s="262"/>
      <c r="Z6" s="262"/>
      <c r="AA6" s="262"/>
      <c r="AB6" s="262"/>
      <c r="AC6" s="262"/>
      <c r="AD6" s="262"/>
      <c r="AE6" s="264"/>
    </row>
    <row r="7" spans="1:31" ht="14.25" customHeight="1">
      <c r="A7" s="259">
        <v>45992</v>
      </c>
      <c r="B7" s="260"/>
      <c r="C7" s="164"/>
      <c r="D7" s="164"/>
      <c r="E7" s="165"/>
      <c r="F7" s="165"/>
      <c r="G7" s="166"/>
      <c r="H7" s="166"/>
      <c r="I7" s="165"/>
      <c r="J7" s="166"/>
      <c r="K7" s="165">
        <f t="shared" ref="K7:K36" si="0">J7</f>
        <v>0</v>
      </c>
      <c r="L7" s="166"/>
      <c r="M7" s="166"/>
      <c r="N7" s="166"/>
      <c r="O7" s="165">
        <f>E7</f>
        <v>0</v>
      </c>
      <c r="P7" s="164">
        <f>ROUND(P6+C7+H7-E7,0)</f>
        <v>8</v>
      </c>
      <c r="Q7" s="167">
        <f>C7*225</f>
        <v>0</v>
      </c>
      <c r="R7" s="167">
        <f>D7*15.6</f>
        <v>0</v>
      </c>
      <c r="S7" s="167">
        <f>E7*225</f>
        <v>0</v>
      </c>
      <c r="T7" s="167">
        <f>F7*15.6</f>
        <v>0</v>
      </c>
      <c r="U7" s="167">
        <f>G7*19</f>
        <v>0</v>
      </c>
      <c r="V7" s="167">
        <f>H7*675</f>
        <v>0</v>
      </c>
      <c r="W7" s="167">
        <f>I7*430</f>
        <v>0</v>
      </c>
      <c r="X7" s="167">
        <f>J7*3.3</f>
        <v>0</v>
      </c>
      <c r="Y7" s="167">
        <f>K7*1.9</f>
        <v>0</v>
      </c>
      <c r="Z7" s="167">
        <f>M7*21.6</f>
        <v>0</v>
      </c>
      <c r="AA7" s="167">
        <f>L7*11.5</f>
        <v>0</v>
      </c>
      <c r="AB7" s="167">
        <f>N7*24</f>
        <v>0</v>
      </c>
      <c r="AC7" s="167">
        <f>O7*243</f>
        <v>0</v>
      </c>
      <c r="AD7" s="167">
        <f>P7*33</f>
        <v>264</v>
      </c>
      <c r="AE7" s="168">
        <f>SUM(Q7:AD7)</f>
        <v>264</v>
      </c>
    </row>
    <row r="8" spans="1:31" ht="14.25" customHeight="1">
      <c r="A8" s="259">
        <v>45993</v>
      </c>
      <c r="B8" s="260"/>
      <c r="C8" s="169"/>
      <c r="D8" s="169"/>
      <c r="E8" s="170"/>
      <c r="F8" s="170"/>
      <c r="G8" s="171"/>
      <c r="H8" s="171"/>
      <c r="I8" s="170"/>
      <c r="J8" s="171"/>
      <c r="K8" s="170">
        <f t="shared" si="0"/>
        <v>0</v>
      </c>
      <c r="L8" s="171"/>
      <c r="M8" s="171"/>
      <c r="N8" s="171"/>
      <c r="O8" s="170">
        <f t="shared" ref="O8:O37" si="1">E8</f>
        <v>0</v>
      </c>
      <c r="P8" s="169">
        <f t="shared" ref="P8:P37" si="2">ROUND(P7+C8+H8-E8,0)</f>
        <v>8</v>
      </c>
      <c r="Q8" s="167">
        <f t="shared" ref="Q8:Q37" si="3">C8*225</f>
        <v>0</v>
      </c>
      <c r="R8" s="167">
        <f t="shared" ref="R8:R37" si="4">D8*15.6</f>
        <v>0</v>
      </c>
      <c r="S8" s="167">
        <f t="shared" ref="S8:S37" si="5">E8*225</f>
        <v>0</v>
      </c>
      <c r="T8" s="167">
        <f t="shared" ref="T8:T37" si="6">F8*15.6</f>
        <v>0</v>
      </c>
      <c r="U8" s="167">
        <f t="shared" ref="U8:U37" si="7">G8*19</f>
        <v>0</v>
      </c>
      <c r="V8" s="167">
        <f t="shared" ref="V8:V37" si="8">H8*675</f>
        <v>0</v>
      </c>
      <c r="W8" s="167">
        <f t="shared" ref="W8:W37" si="9">I8*430</f>
        <v>0</v>
      </c>
      <c r="X8" s="167">
        <f t="shared" ref="X8:X37" si="10">J8*3.3</f>
        <v>0</v>
      </c>
      <c r="Y8" s="167">
        <f t="shared" ref="Y8:Y37" si="11">K8*1.9</f>
        <v>0</v>
      </c>
      <c r="Z8" s="167">
        <f t="shared" ref="Z8:Z37" si="12">M8*21.6</f>
        <v>0</v>
      </c>
      <c r="AA8" s="167">
        <f t="shared" ref="AA8:AA37" si="13">L8*11.5</f>
        <v>0</v>
      </c>
      <c r="AB8" s="167">
        <f t="shared" ref="AB8:AB37" si="14">N8*24</f>
        <v>0</v>
      </c>
      <c r="AC8" s="167">
        <f t="shared" ref="AC8:AC37" si="15">O8*243</f>
        <v>0</v>
      </c>
      <c r="AD8" s="167">
        <f t="shared" ref="AD8:AD37" si="16">P8*33</f>
        <v>264</v>
      </c>
      <c r="AE8" s="172">
        <f t="shared" ref="AE8:AE36" si="17">SUM(Q8:AD8)</f>
        <v>264</v>
      </c>
    </row>
    <row r="9" spans="1:31" ht="14.25" customHeight="1">
      <c r="A9" s="259">
        <v>45994</v>
      </c>
      <c r="B9" s="260"/>
      <c r="C9" s="169"/>
      <c r="D9" s="169"/>
      <c r="E9" s="170"/>
      <c r="F9" s="170"/>
      <c r="G9" s="171"/>
      <c r="H9" s="171"/>
      <c r="I9" s="170"/>
      <c r="J9" s="171"/>
      <c r="K9" s="170">
        <f t="shared" si="0"/>
        <v>0</v>
      </c>
      <c r="L9" s="171"/>
      <c r="M9" s="171"/>
      <c r="N9" s="171"/>
      <c r="O9" s="170">
        <f t="shared" si="1"/>
        <v>0</v>
      </c>
      <c r="P9" s="169">
        <f t="shared" si="2"/>
        <v>8</v>
      </c>
      <c r="Q9" s="167">
        <f t="shared" si="3"/>
        <v>0</v>
      </c>
      <c r="R9" s="167">
        <f t="shared" si="4"/>
        <v>0</v>
      </c>
      <c r="S9" s="167">
        <f t="shared" si="5"/>
        <v>0</v>
      </c>
      <c r="T9" s="167">
        <f t="shared" si="6"/>
        <v>0</v>
      </c>
      <c r="U9" s="167">
        <f t="shared" si="7"/>
        <v>0</v>
      </c>
      <c r="V9" s="167">
        <f t="shared" si="8"/>
        <v>0</v>
      </c>
      <c r="W9" s="167">
        <f t="shared" si="9"/>
        <v>0</v>
      </c>
      <c r="X9" s="167">
        <f t="shared" si="10"/>
        <v>0</v>
      </c>
      <c r="Y9" s="167">
        <f t="shared" si="11"/>
        <v>0</v>
      </c>
      <c r="Z9" s="167">
        <f t="shared" si="12"/>
        <v>0</v>
      </c>
      <c r="AA9" s="167">
        <f t="shared" si="13"/>
        <v>0</v>
      </c>
      <c r="AB9" s="167">
        <f t="shared" si="14"/>
        <v>0</v>
      </c>
      <c r="AC9" s="167">
        <f t="shared" si="15"/>
        <v>0</v>
      </c>
      <c r="AD9" s="167">
        <f t="shared" si="16"/>
        <v>264</v>
      </c>
      <c r="AE9" s="172">
        <f t="shared" si="17"/>
        <v>264</v>
      </c>
    </row>
    <row r="10" spans="1:31" ht="14.25" customHeight="1">
      <c r="A10" s="259">
        <v>45995</v>
      </c>
      <c r="B10" s="260"/>
      <c r="C10" s="169"/>
      <c r="D10" s="169"/>
      <c r="E10" s="170"/>
      <c r="F10" s="170"/>
      <c r="G10" s="171"/>
      <c r="H10" s="171"/>
      <c r="I10" s="170"/>
      <c r="J10" s="171"/>
      <c r="K10" s="170">
        <f t="shared" si="0"/>
        <v>0</v>
      </c>
      <c r="L10" s="171"/>
      <c r="M10" s="171"/>
      <c r="N10" s="171"/>
      <c r="O10" s="170">
        <f t="shared" si="1"/>
        <v>0</v>
      </c>
      <c r="P10" s="169">
        <f t="shared" si="2"/>
        <v>8</v>
      </c>
      <c r="Q10" s="167">
        <f t="shared" si="3"/>
        <v>0</v>
      </c>
      <c r="R10" s="167">
        <f t="shared" si="4"/>
        <v>0</v>
      </c>
      <c r="S10" s="167">
        <f t="shared" si="5"/>
        <v>0</v>
      </c>
      <c r="T10" s="167">
        <f t="shared" si="6"/>
        <v>0</v>
      </c>
      <c r="U10" s="167">
        <f t="shared" si="7"/>
        <v>0</v>
      </c>
      <c r="V10" s="167">
        <f t="shared" si="8"/>
        <v>0</v>
      </c>
      <c r="W10" s="167">
        <f t="shared" si="9"/>
        <v>0</v>
      </c>
      <c r="X10" s="167">
        <f t="shared" si="10"/>
        <v>0</v>
      </c>
      <c r="Y10" s="167">
        <f t="shared" si="11"/>
        <v>0</v>
      </c>
      <c r="Z10" s="167">
        <f t="shared" si="12"/>
        <v>0</v>
      </c>
      <c r="AA10" s="167">
        <f t="shared" si="13"/>
        <v>0</v>
      </c>
      <c r="AB10" s="167">
        <f t="shared" si="14"/>
        <v>0</v>
      </c>
      <c r="AC10" s="167">
        <f t="shared" si="15"/>
        <v>0</v>
      </c>
      <c r="AD10" s="167">
        <f t="shared" si="16"/>
        <v>264</v>
      </c>
      <c r="AE10" s="172">
        <f t="shared" si="17"/>
        <v>264</v>
      </c>
    </row>
    <row r="11" spans="1:31" ht="14.25" customHeight="1">
      <c r="A11" s="259">
        <v>45996</v>
      </c>
      <c r="B11" s="260"/>
      <c r="C11" s="169"/>
      <c r="D11" s="169"/>
      <c r="E11" s="170"/>
      <c r="F11" s="170"/>
      <c r="G11" s="171"/>
      <c r="H11" s="171"/>
      <c r="I11" s="170"/>
      <c r="J11" s="171"/>
      <c r="K11" s="170">
        <f t="shared" si="0"/>
        <v>0</v>
      </c>
      <c r="L11" s="171"/>
      <c r="M11" s="171"/>
      <c r="N11" s="171"/>
      <c r="O11" s="170">
        <f t="shared" si="1"/>
        <v>0</v>
      </c>
      <c r="P11" s="169">
        <f t="shared" si="2"/>
        <v>8</v>
      </c>
      <c r="Q11" s="167">
        <f t="shared" si="3"/>
        <v>0</v>
      </c>
      <c r="R11" s="167">
        <f t="shared" si="4"/>
        <v>0</v>
      </c>
      <c r="S11" s="167">
        <f t="shared" si="5"/>
        <v>0</v>
      </c>
      <c r="T11" s="167">
        <f t="shared" si="6"/>
        <v>0</v>
      </c>
      <c r="U11" s="167">
        <f t="shared" si="7"/>
        <v>0</v>
      </c>
      <c r="V11" s="167">
        <f t="shared" si="8"/>
        <v>0</v>
      </c>
      <c r="W11" s="167">
        <f t="shared" si="9"/>
        <v>0</v>
      </c>
      <c r="X11" s="167">
        <f t="shared" si="10"/>
        <v>0</v>
      </c>
      <c r="Y11" s="167">
        <f t="shared" si="11"/>
        <v>0</v>
      </c>
      <c r="Z11" s="167">
        <f t="shared" si="12"/>
        <v>0</v>
      </c>
      <c r="AA11" s="167">
        <f t="shared" si="13"/>
        <v>0</v>
      </c>
      <c r="AB11" s="167">
        <f t="shared" si="14"/>
        <v>0</v>
      </c>
      <c r="AC11" s="167">
        <f t="shared" si="15"/>
        <v>0</v>
      </c>
      <c r="AD11" s="167">
        <f t="shared" si="16"/>
        <v>264</v>
      </c>
      <c r="AE11" s="172">
        <f t="shared" si="17"/>
        <v>264</v>
      </c>
    </row>
    <row r="12" spans="1:31" ht="14.25" customHeight="1">
      <c r="A12" s="259">
        <v>45997</v>
      </c>
      <c r="B12" s="260"/>
      <c r="C12" s="169"/>
      <c r="D12" s="169"/>
      <c r="E12" s="170"/>
      <c r="F12" s="170"/>
      <c r="G12" s="171"/>
      <c r="H12" s="171"/>
      <c r="I12" s="170"/>
      <c r="J12" s="171"/>
      <c r="K12" s="170">
        <f t="shared" si="0"/>
        <v>0</v>
      </c>
      <c r="L12" s="171"/>
      <c r="M12" s="171"/>
      <c r="N12" s="171"/>
      <c r="O12" s="170">
        <f t="shared" si="1"/>
        <v>0</v>
      </c>
      <c r="P12" s="169">
        <f t="shared" si="2"/>
        <v>8</v>
      </c>
      <c r="Q12" s="167">
        <f t="shared" si="3"/>
        <v>0</v>
      </c>
      <c r="R12" s="167">
        <f t="shared" si="4"/>
        <v>0</v>
      </c>
      <c r="S12" s="167">
        <f t="shared" si="5"/>
        <v>0</v>
      </c>
      <c r="T12" s="167">
        <f t="shared" si="6"/>
        <v>0</v>
      </c>
      <c r="U12" s="167">
        <f t="shared" si="7"/>
        <v>0</v>
      </c>
      <c r="V12" s="167">
        <f t="shared" si="8"/>
        <v>0</v>
      </c>
      <c r="W12" s="167">
        <f t="shared" si="9"/>
        <v>0</v>
      </c>
      <c r="X12" s="167">
        <f t="shared" si="10"/>
        <v>0</v>
      </c>
      <c r="Y12" s="167">
        <f t="shared" si="11"/>
        <v>0</v>
      </c>
      <c r="Z12" s="167">
        <f t="shared" si="12"/>
        <v>0</v>
      </c>
      <c r="AA12" s="167">
        <f t="shared" si="13"/>
        <v>0</v>
      </c>
      <c r="AB12" s="167">
        <f t="shared" si="14"/>
        <v>0</v>
      </c>
      <c r="AC12" s="167">
        <f t="shared" si="15"/>
        <v>0</v>
      </c>
      <c r="AD12" s="167">
        <f t="shared" si="16"/>
        <v>264</v>
      </c>
      <c r="AE12" s="172">
        <f t="shared" si="17"/>
        <v>264</v>
      </c>
    </row>
    <row r="13" spans="1:31" ht="15" customHeight="1">
      <c r="A13" s="259">
        <v>45998</v>
      </c>
      <c r="B13" s="260"/>
      <c r="C13" s="169"/>
      <c r="D13" s="169"/>
      <c r="E13" s="170"/>
      <c r="F13" s="170"/>
      <c r="G13" s="171"/>
      <c r="H13" s="171"/>
      <c r="I13" s="170"/>
      <c r="J13" s="171"/>
      <c r="K13" s="170">
        <f t="shared" si="0"/>
        <v>0</v>
      </c>
      <c r="L13" s="171"/>
      <c r="M13" s="171"/>
      <c r="N13" s="171"/>
      <c r="O13" s="170">
        <f t="shared" si="1"/>
        <v>0</v>
      </c>
      <c r="P13" s="169">
        <f t="shared" si="2"/>
        <v>8</v>
      </c>
      <c r="Q13" s="167">
        <f t="shared" si="3"/>
        <v>0</v>
      </c>
      <c r="R13" s="167">
        <f t="shared" si="4"/>
        <v>0</v>
      </c>
      <c r="S13" s="167">
        <f t="shared" si="5"/>
        <v>0</v>
      </c>
      <c r="T13" s="167">
        <f t="shared" si="6"/>
        <v>0</v>
      </c>
      <c r="U13" s="167">
        <f t="shared" si="7"/>
        <v>0</v>
      </c>
      <c r="V13" s="167">
        <f t="shared" si="8"/>
        <v>0</v>
      </c>
      <c r="W13" s="167">
        <f t="shared" si="9"/>
        <v>0</v>
      </c>
      <c r="X13" s="167">
        <f t="shared" si="10"/>
        <v>0</v>
      </c>
      <c r="Y13" s="167">
        <f t="shared" si="11"/>
        <v>0</v>
      </c>
      <c r="Z13" s="167">
        <f t="shared" si="12"/>
        <v>0</v>
      </c>
      <c r="AA13" s="167">
        <f t="shared" si="13"/>
        <v>0</v>
      </c>
      <c r="AB13" s="167">
        <f t="shared" si="14"/>
        <v>0</v>
      </c>
      <c r="AC13" s="167">
        <f t="shared" si="15"/>
        <v>0</v>
      </c>
      <c r="AD13" s="167">
        <f t="shared" si="16"/>
        <v>264</v>
      </c>
      <c r="AE13" s="172">
        <f t="shared" si="17"/>
        <v>264</v>
      </c>
    </row>
    <row r="14" spans="1:31" ht="14.25" customHeight="1">
      <c r="A14" s="259">
        <v>45999</v>
      </c>
      <c r="B14" s="260"/>
      <c r="C14" s="169"/>
      <c r="D14" s="169"/>
      <c r="E14" s="170"/>
      <c r="F14" s="170"/>
      <c r="G14" s="171"/>
      <c r="H14" s="171"/>
      <c r="I14" s="170"/>
      <c r="J14" s="171"/>
      <c r="K14" s="170">
        <f t="shared" si="0"/>
        <v>0</v>
      </c>
      <c r="L14" s="171"/>
      <c r="M14" s="171"/>
      <c r="N14" s="171"/>
      <c r="O14" s="170">
        <f t="shared" si="1"/>
        <v>0</v>
      </c>
      <c r="P14" s="169">
        <f t="shared" si="2"/>
        <v>8</v>
      </c>
      <c r="Q14" s="167">
        <f t="shared" si="3"/>
        <v>0</v>
      </c>
      <c r="R14" s="167">
        <f t="shared" si="4"/>
        <v>0</v>
      </c>
      <c r="S14" s="167">
        <f t="shared" si="5"/>
        <v>0</v>
      </c>
      <c r="T14" s="167">
        <f t="shared" si="6"/>
        <v>0</v>
      </c>
      <c r="U14" s="167">
        <f t="shared" si="7"/>
        <v>0</v>
      </c>
      <c r="V14" s="167">
        <f t="shared" si="8"/>
        <v>0</v>
      </c>
      <c r="W14" s="167">
        <f t="shared" si="9"/>
        <v>0</v>
      </c>
      <c r="X14" s="167">
        <f t="shared" si="10"/>
        <v>0</v>
      </c>
      <c r="Y14" s="167">
        <f t="shared" si="11"/>
        <v>0</v>
      </c>
      <c r="Z14" s="167">
        <f t="shared" si="12"/>
        <v>0</v>
      </c>
      <c r="AA14" s="167">
        <f t="shared" si="13"/>
        <v>0</v>
      </c>
      <c r="AB14" s="167">
        <f t="shared" si="14"/>
        <v>0</v>
      </c>
      <c r="AC14" s="167">
        <f t="shared" si="15"/>
        <v>0</v>
      </c>
      <c r="AD14" s="167">
        <f t="shared" si="16"/>
        <v>264</v>
      </c>
      <c r="AE14" s="172">
        <f t="shared" si="17"/>
        <v>264</v>
      </c>
    </row>
    <row r="15" spans="1:31" ht="14.25" customHeight="1">
      <c r="A15" s="259">
        <v>46000</v>
      </c>
      <c r="B15" s="260"/>
      <c r="C15" s="169"/>
      <c r="D15" s="169"/>
      <c r="E15" s="170"/>
      <c r="F15" s="170"/>
      <c r="G15" s="171"/>
      <c r="H15" s="171"/>
      <c r="I15" s="170"/>
      <c r="J15" s="171"/>
      <c r="K15" s="170">
        <f t="shared" si="0"/>
        <v>0</v>
      </c>
      <c r="L15" s="171"/>
      <c r="M15" s="171"/>
      <c r="N15" s="171"/>
      <c r="O15" s="170">
        <f t="shared" si="1"/>
        <v>0</v>
      </c>
      <c r="P15" s="169">
        <f t="shared" si="2"/>
        <v>8</v>
      </c>
      <c r="Q15" s="167">
        <f t="shared" si="3"/>
        <v>0</v>
      </c>
      <c r="R15" s="167">
        <f t="shared" si="4"/>
        <v>0</v>
      </c>
      <c r="S15" s="167">
        <f t="shared" si="5"/>
        <v>0</v>
      </c>
      <c r="T15" s="167">
        <f t="shared" si="6"/>
        <v>0</v>
      </c>
      <c r="U15" s="167">
        <f t="shared" si="7"/>
        <v>0</v>
      </c>
      <c r="V15" s="167">
        <f t="shared" si="8"/>
        <v>0</v>
      </c>
      <c r="W15" s="167">
        <f t="shared" si="9"/>
        <v>0</v>
      </c>
      <c r="X15" s="167">
        <f t="shared" si="10"/>
        <v>0</v>
      </c>
      <c r="Y15" s="167">
        <f t="shared" si="11"/>
        <v>0</v>
      </c>
      <c r="Z15" s="167">
        <f t="shared" si="12"/>
        <v>0</v>
      </c>
      <c r="AA15" s="167">
        <f t="shared" si="13"/>
        <v>0</v>
      </c>
      <c r="AB15" s="167">
        <f t="shared" si="14"/>
        <v>0</v>
      </c>
      <c r="AC15" s="167">
        <f t="shared" si="15"/>
        <v>0</v>
      </c>
      <c r="AD15" s="167">
        <f t="shared" si="16"/>
        <v>264</v>
      </c>
      <c r="AE15" s="172">
        <f t="shared" si="17"/>
        <v>264</v>
      </c>
    </row>
    <row r="16" spans="1:31" ht="14.25" customHeight="1">
      <c r="A16" s="259">
        <v>46001</v>
      </c>
      <c r="B16" s="260"/>
      <c r="C16" s="169"/>
      <c r="D16" s="169"/>
      <c r="E16" s="170"/>
      <c r="F16" s="170"/>
      <c r="G16" s="171"/>
      <c r="H16" s="171"/>
      <c r="I16" s="170"/>
      <c r="J16" s="171"/>
      <c r="K16" s="170">
        <f t="shared" si="0"/>
        <v>0</v>
      </c>
      <c r="L16" s="171"/>
      <c r="M16" s="171"/>
      <c r="N16" s="171"/>
      <c r="O16" s="170">
        <f t="shared" si="1"/>
        <v>0</v>
      </c>
      <c r="P16" s="169">
        <f t="shared" si="2"/>
        <v>8</v>
      </c>
      <c r="Q16" s="167">
        <f t="shared" si="3"/>
        <v>0</v>
      </c>
      <c r="R16" s="167">
        <f t="shared" si="4"/>
        <v>0</v>
      </c>
      <c r="S16" s="167">
        <f t="shared" si="5"/>
        <v>0</v>
      </c>
      <c r="T16" s="167">
        <f t="shared" si="6"/>
        <v>0</v>
      </c>
      <c r="U16" s="167">
        <f t="shared" si="7"/>
        <v>0</v>
      </c>
      <c r="V16" s="167">
        <f t="shared" si="8"/>
        <v>0</v>
      </c>
      <c r="W16" s="167">
        <f t="shared" si="9"/>
        <v>0</v>
      </c>
      <c r="X16" s="167">
        <f t="shared" si="10"/>
        <v>0</v>
      </c>
      <c r="Y16" s="167">
        <f t="shared" si="11"/>
        <v>0</v>
      </c>
      <c r="Z16" s="167">
        <f t="shared" si="12"/>
        <v>0</v>
      </c>
      <c r="AA16" s="167">
        <f t="shared" si="13"/>
        <v>0</v>
      </c>
      <c r="AB16" s="167">
        <f t="shared" si="14"/>
        <v>0</v>
      </c>
      <c r="AC16" s="167">
        <f t="shared" si="15"/>
        <v>0</v>
      </c>
      <c r="AD16" s="167">
        <f t="shared" si="16"/>
        <v>264</v>
      </c>
      <c r="AE16" s="172">
        <f t="shared" si="17"/>
        <v>264</v>
      </c>
    </row>
    <row r="17" spans="1:31" ht="14.25" customHeight="1">
      <c r="A17" s="259">
        <v>46002</v>
      </c>
      <c r="B17" s="260"/>
      <c r="C17" s="169"/>
      <c r="D17" s="169"/>
      <c r="E17" s="170"/>
      <c r="F17" s="170"/>
      <c r="G17" s="171"/>
      <c r="H17" s="171"/>
      <c r="I17" s="170"/>
      <c r="J17" s="171"/>
      <c r="K17" s="170">
        <f t="shared" si="0"/>
        <v>0</v>
      </c>
      <c r="L17" s="171"/>
      <c r="M17" s="171"/>
      <c r="N17" s="171"/>
      <c r="O17" s="170">
        <f t="shared" si="1"/>
        <v>0</v>
      </c>
      <c r="P17" s="169">
        <f t="shared" si="2"/>
        <v>8</v>
      </c>
      <c r="Q17" s="167">
        <f t="shared" si="3"/>
        <v>0</v>
      </c>
      <c r="R17" s="167">
        <f t="shared" si="4"/>
        <v>0</v>
      </c>
      <c r="S17" s="167">
        <f t="shared" si="5"/>
        <v>0</v>
      </c>
      <c r="T17" s="167">
        <f t="shared" si="6"/>
        <v>0</v>
      </c>
      <c r="U17" s="167">
        <f t="shared" si="7"/>
        <v>0</v>
      </c>
      <c r="V17" s="167">
        <f t="shared" si="8"/>
        <v>0</v>
      </c>
      <c r="W17" s="167">
        <f t="shared" si="9"/>
        <v>0</v>
      </c>
      <c r="X17" s="167">
        <f t="shared" si="10"/>
        <v>0</v>
      </c>
      <c r="Y17" s="167">
        <f t="shared" si="11"/>
        <v>0</v>
      </c>
      <c r="Z17" s="167">
        <f t="shared" si="12"/>
        <v>0</v>
      </c>
      <c r="AA17" s="167">
        <f t="shared" si="13"/>
        <v>0</v>
      </c>
      <c r="AB17" s="167">
        <f t="shared" si="14"/>
        <v>0</v>
      </c>
      <c r="AC17" s="167">
        <f t="shared" si="15"/>
        <v>0</v>
      </c>
      <c r="AD17" s="167">
        <f t="shared" si="16"/>
        <v>264</v>
      </c>
      <c r="AE17" s="172">
        <f t="shared" si="17"/>
        <v>264</v>
      </c>
    </row>
    <row r="18" spans="1:31" ht="14.25" customHeight="1">
      <c r="A18" s="259">
        <v>46003</v>
      </c>
      <c r="B18" s="260"/>
      <c r="C18" s="173"/>
      <c r="D18" s="173"/>
      <c r="E18" s="174"/>
      <c r="F18" s="174"/>
      <c r="G18" s="175"/>
      <c r="H18" s="175"/>
      <c r="I18" s="174"/>
      <c r="J18" s="175"/>
      <c r="K18" s="170">
        <f t="shared" si="0"/>
        <v>0</v>
      </c>
      <c r="L18" s="175"/>
      <c r="M18" s="175"/>
      <c r="N18" s="171"/>
      <c r="O18" s="170">
        <f t="shared" si="1"/>
        <v>0</v>
      </c>
      <c r="P18" s="169">
        <f t="shared" si="2"/>
        <v>8</v>
      </c>
      <c r="Q18" s="167">
        <f t="shared" si="3"/>
        <v>0</v>
      </c>
      <c r="R18" s="167">
        <f t="shared" si="4"/>
        <v>0</v>
      </c>
      <c r="S18" s="167">
        <f t="shared" si="5"/>
        <v>0</v>
      </c>
      <c r="T18" s="167">
        <f t="shared" si="6"/>
        <v>0</v>
      </c>
      <c r="U18" s="167">
        <f t="shared" si="7"/>
        <v>0</v>
      </c>
      <c r="V18" s="167">
        <f t="shared" si="8"/>
        <v>0</v>
      </c>
      <c r="W18" s="167">
        <f t="shared" si="9"/>
        <v>0</v>
      </c>
      <c r="X18" s="167">
        <f t="shared" si="10"/>
        <v>0</v>
      </c>
      <c r="Y18" s="167">
        <f t="shared" si="11"/>
        <v>0</v>
      </c>
      <c r="Z18" s="167">
        <f t="shared" si="12"/>
        <v>0</v>
      </c>
      <c r="AA18" s="167">
        <f t="shared" si="13"/>
        <v>0</v>
      </c>
      <c r="AB18" s="167">
        <f t="shared" si="14"/>
        <v>0</v>
      </c>
      <c r="AC18" s="167">
        <f t="shared" si="15"/>
        <v>0</v>
      </c>
      <c r="AD18" s="167">
        <f t="shared" si="16"/>
        <v>264</v>
      </c>
      <c r="AE18" s="172">
        <f t="shared" si="17"/>
        <v>264</v>
      </c>
    </row>
    <row r="19" spans="1:31" ht="14.25" customHeight="1">
      <c r="A19" s="259">
        <v>46004</v>
      </c>
      <c r="B19" s="260"/>
      <c r="C19" s="169"/>
      <c r="D19" s="169"/>
      <c r="E19" s="170"/>
      <c r="F19" s="170"/>
      <c r="G19" s="171"/>
      <c r="H19" s="171"/>
      <c r="I19" s="170"/>
      <c r="J19" s="171"/>
      <c r="K19" s="170">
        <f t="shared" si="0"/>
        <v>0</v>
      </c>
      <c r="L19" s="171"/>
      <c r="M19" s="171"/>
      <c r="N19" s="171"/>
      <c r="O19" s="170">
        <f t="shared" si="1"/>
        <v>0</v>
      </c>
      <c r="P19" s="169">
        <f t="shared" si="2"/>
        <v>8</v>
      </c>
      <c r="Q19" s="167">
        <f t="shared" si="3"/>
        <v>0</v>
      </c>
      <c r="R19" s="167">
        <f t="shared" si="4"/>
        <v>0</v>
      </c>
      <c r="S19" s="167">
        <f t="shared" si="5"/>
        <v>0</v>
      </c>
      <c r="T19" s="167">
        <f t="shared" si="6"/>
        <v>0</v>
      </c>
      <c r="U19" s="167">
        <f t="shared" si="7"/>
        <v>0</v>
      </c>
      <c r="V19" s="167">
        <f t="shared" si="8"/>
        <v>0</v>
      </c>
      <c r="W19" s="167">
        <f t="shared" si="9"/>
        <v>0</v>
      </c>
      <c r="X19" s="167">
        <f t="shared" si="10"/>
        <v>0</v>
      </c>
      <c r="Y19" s="167">
        <f t="shared" si="11"/>
        <v>0</v>
      </c>
      <c r="Z19" s="167">
        <f t="shared" si="12"/>
        <v>0</v>
      </c>
      <c r="AA19" s="167">
        <f t="shared" si="13"/>
        <v>0</v>
      </c>
      <c r="AB19" s="167">
        <f t="shared" si="14"/>
        <v>0</v>
      </c>
      <c r="AC19" s="167">
        <f t="shared" si="15"/>
        <v>0</v>
      </c>
      <c r="AD19" s="167">
        <f t="shared" si="16"/>
        <v>264</v>
      </c>
      <c r="AE19" s="172">
        <f t="shared" si="17"/>
        <v>264</v>
      </c>
    </row>
    <row r="20" spans="1:31" ht="14.25" customHeight="1">
      <c r="A20" s="259">
        <v>46005</v>
      </c>
      <c r="B20" s="260"/>
      <c r="C20" s="169"/>
      <c r="D20" s="169"/>
      <c r="E20" s="170"/>
      <c r="F20" s="170"/>
      <c r="G20" s="171"/>
      <c r="H20" s="171"/>
      <c r="I20" s="170"/>
      <c r="J20" s="171"/>
      <c r="K20" s="170">
        <f t="shared" si="0"/>
        <v>0</v>
      </c>
      <c r="L20" s="171"/>
      <c r="M20" s="171"/>
      <c r="N20" s="171"/>
      <c r="O20" s="170">
        <f t="shared" si="1"/>
        <v>0</v>
      </c>
      <c r="P20" s="169">
        <f t="shared" si="2"/>
        <v>8</v>
      </c>
      <c r="Q20" s="167">
        <f t="shared" si="3"/>
        <v>0</v>
      </c>
      <c r="R20" s="167">
        <f t="shared" si="4"/>
        <v>0</v>
      </c>
      <c r="S20" s="167">
        <f t="shared" si="5"/>
        <v>0</v>
      </c>
      <c r="T20" s="167">
        <f t="shared" si="6"/>
        <v>0</v>
      </c>
      <c r="U20" s="167">
        <f t="shared" si="7"/>
        <v>0</v>
      </c>
      <c r="V20" s="167">
        <f t="shared" si="8"/>
        <v>0</v>
      </c>
      <c r="W20" s="167">
        <f t="shared" si="9"/>
        <v>0</v>
      </c>
      <c r="X20" s="167">
        <f t="shared" si="10"/>
        <v>0</v>
      </c>
      <c r="Y20" s="167">
        <f t="shared" si="11"/>
        <v>0</v>
      </c>
      <c r="Z20" s="167">
        <f t="shared" si="12"/>
        <v>0</v>
      </c>
      <c r="AA20" s="167">
        <f t="shared" si="13"/>
        <v>0</v>
      </c>
      <c r="AB20" s="167">
        <f t="shared" si="14"/>
        <v>0</v>
      </c>
      <c r="AC20" s="167">
        <f t="shared" si="15"/>
        <v>0</v>
      </c>
      <c r="AD20" s="167">
        <f t="shared" si="16"/>
        <v>264</v>
      </c>
      <c r="AE20" s="172">
        <f t="shared" si="17"/>
        <v>264</v>
      </c>
    </row>
    <row r="21" spans="1:31" ht="14.25" customHeight="1">
      <c r="A21" s="259">
        <v>46006</v>
      </c>
      <c r="B21" s="260"/>
      <c r="C21" s="169"/>
      <c r="D21" s="169"/>
      <c r="E21" s="170"/>
      <c r="F21" s="170"/>
      <c r="G21" s="171"/>
      <c r="H21" s="171"/>
      <c r="I21" s="170"/>
      <c r="J21" s="171"/>
      <c r="K21" s="170">
        <f t="shared" si="0"/>
        <v>0</v>
      </c>
      <c r="L21" s="171"/>
      <c r="M21" s="171"/>
      <c r="N21" s="171"/>
      <c r="O21" s="170">
        <f t="shared" si="1"/>
        <v>0</v>
      </c>
      <c r="P21" s="169">
        <f t="shared" si="2"/>
        <v>8</v>
      </c>
      <c r="Q21" s="167">
        <f t="shared" si="3"/>
        <v>0</v>
      </c>
      <c r="R21" s="167">
        <f t="shared" si="4"/>
        <v>0</v>
      </c>
      <c r="S21" s="167">
        <f t="shared" si="5"/>
        <v>0</v>
      </c>
      <c r="T21" s="167">
        <f t="shared" si="6"/>
        <v>0</v>
      </c>
      <c r="U21" s="167">
        <f t="shared" si="7"/>
        <v>0</v>
      </c>
      <c r="V21" s="167">
        <f t="shared" si="8"/>
        <v>0</v>
      </c>
      <c r="W21" s="167">
        <f t="shared" si="9"/>
        <v>0</v>
      </c>
      <c r="X21" s="167">
        <f t="shared" si="10"/>
        <v>0</v>
      </c>
      <c r="Y21" s="167">
        <f t="shared" si="11"/>
        <v>0</v>
      </c>
      <c r="Z21" s="167">
        <f t="shared" si="12"/>
        <v>0</v>
      </c>
      <c r="AA21" s="167">
        <f t="shared" si="13"/>
        <v>0</v>
      </c>
      <c r="AB21" s="167">
        <f t="shared" si="14"/>
        <v>0</v>
      </c>
      <c r="AC21" s="167">
        <f t="shared" si="15"/>
        <v>0</v>
      </c>
      <c r="AD21" s="167">
        <f t="shared" si="16"/>
        <v>264</v>
      </c>
      <c r="AE21" s="172">
        <f t="shared" si="17"/>
        <v>264</v>
      </c>
    </row>
    <row r="22" spans="1:31" ht="14.25" customHeight="1">
      <c r="A22" s="259">
        <v>46007</v>
      </c>
      <c r="B22" s="260"/>
      <c r="C22" s="169"/>
      <c r="D22" s="169"/>
      <c r="E22" s="170"/>
      <c r="F22" s="170"/>
      <c r="G22" s="171"/>
      <c r="H22" s="171"/>
      <c r="I22" s="170"/>
      <c r="J22" s="171"/>
      <c r="K22" s="170">
        <f t="shared" si="0"/>
        <v>0</v>
      </c>
      <c r="L22" s="171"/>
      <c r="M22" s="171"/>
      <c r="N22" s="171"/>
      <c r="O22" s="170">
        <f t="shared" si="1"/>
        <v>0</v>
      </c>
      <c r="P22" s="169">
        <f t="shared" si="2"/>
        <v>8</v>
      </c>
      <c r="Q22" s="167">
        <f t="shared" si="3"/>
        <v>0</v>
      </c>
      <c r="R22" s="167">
        <f t="shared" si="4"/>
        <v>0</v>
      </c>
      <c r="S22" s="167">
        <f t="shared" si="5"/>
        <v>0</v>
      </c>
      <c r="T22" s="167">
        <f t="shared" si="6"/>
        <v>0</v>
      </c>
      <c r="U22" s="167">
        <f t="shared" si="7"/>
        <v>0</v>
      </c>
      <c r="V22" s="167">
        <f t="shared" si="8"/>
        <v>0</v>
      </c>
      <c r="W22" s="167">
        <f t="shared" si="9"/>
        <v>0</v>
      </c>
      <c r="X22" s="167">
        <f t="shared" si="10"/>
        <v>0</v>
      </c>
      <c r="Y22" s="167">
        <f t="shared" si="11"/>
        <v>0</v>
      </c>
      <c r="Z22" s="167">
        <f t="shared" si="12"/>
        <v>0</v>
      </c>
      <c r="AA22" s="167">
        <f t="shared" si="13"/>
        <v>0</v>
      </c>
      <c r="AB22" s="167">
        <f t="shared" si="14"/>
        <v>0</v>
      </c>
      <c r="AC22" s="167">
        <f t="shared" si="15"/>
        <v>0</v>
      </c>
      <c r="AD22" s="167">
        <f t="shared" si="16"/>
        <v>264</v>
      </c>
      <c r="AE22" s="172">
        <f t="shared" si="17"/>
        <v>264</v>
      </c>
    </row>
    <row r="23" spans="1:31" ht="14.25" customHeight="1">
      <c r="A23" s="259">
        <v>46008</v>
      </c>
      <c r="B23" s="260"/>
      <c r="C23" s="169"/>
      <c r="D23" s="169"/>
      <c r="E23" s="170"/>
      <c r="F23" s="170"/>
      <c r="G23" s="171"/>
      <c r="H23" s="171"/>
      <c r="I23" s="170"/>
      <c r="J23" s="171"/>
      <c r="K23" s="170">
        <f t="shared" si="0"/>
        <v>0</v>
      </c>
      <c r="L23" s="171"/>
      <c r="M23" s="171"/>
      <c r="N23" s="171"/>
      <c r="O23" s="170">
        <f t="shared" si="1"/>
        <v>0</v>
      </c>
      <c r="P23" s="169">
        <f t="shared" si="2"/>
        <v>8</v>
      </c>
      <c r="Q23" s="167">
        <f t="shared" si="3"/>
        <v>0</v>
      </c>
      <c r="R23" s="167">
        <f t="shared" si="4"/>
        <v>0</v>
      </c>
      <c r="S23" s="167">
        <f t="shared" si="5"/>
        <v>0</v>
      </c>
      <c r="T23" s="167">
        <f t="shared" si="6"/>
        <v>0</v>
      </c>
      <c r="U23" s="167">
        <f t="shared" si="7"/>
        <v>0</v>
      </c>
      <c r="V23" s="167">
        <f t="shared" si="8"/>
        <v>0</v>
      </c>
      <c r="W23" s="167">
        <f t="shared" si="9"/>
        <v>0</v>
      </c>
      <c r="X23" s="167">
        <f t="shared" si="10"/>
        <v>0</v>
      </c>
      <c r="Y23" s="167">
        <f t="shared" si="11"/>
        <v>0</v>
      </c>
      <c r="Z23" s="167">
        <f t="shared" si="12"/>
        <v>0</v>
      </c>
      <c r="AA23" s="167">
        <f t="shared" si="13"/>
        <v>0</v>
      </c>
      <c r="AB23" s="167">
        <f t="shared" si="14"/>
        <v>0</v>
      </c>
      <c r="AC23" s="167">
        <f t="shared" si="15"/>
        <v>0</v>
      </c>
      <c r="AD23" s="167">
        <f t="shared" si="16"/>
        <v>264</v>
      </c>
      <c r="AE23" s="172">
        <f t="shared" si="17"/>
        <v>264</v>
      </c>
    </row>
    <row r="24" spans="1:31" ht="14.25" customHeight="1">
      <c r="A24" s="259">
        <v>46009</v>
      </c>
      <c r="B24" s="260"/>
      <c r="C24" s="169"/>
      <c r="D24" s="169"/>
      <c r="E24" s="170"/>
      <c r="F24" s="170"/>
      <c r="G24" s="171"/>
      <c r="H24" s="171"/>
      <c r="I24" s="170"/>
      <c r="J24" s="171"/>
      <c r="K24" s="170">
        <f t="shared" si="0"/>
        <v>0</v>
      </c>
      <c r="L24" s="171"/>
      <c r="M24" s="171"/>
      <c r="N24" s="171"/>
      <c r="O24" s="170">
        <f t="shared" si="1"/>
        <v>0</v>
      </c>
      <c r="P24" s="169">
        <f t="shared" si="2"/>
        <v>8</v>
      </c>
      <c r="Q24" s="167">
        <f t="shared" si="3"/>
        <v>0</v>
      </c>
      <c r="R24" s="167">
        <f t="shared" si="4"/>
        <v>0</v>
      </c>
      <c r="S24" s="167">
        <f t="shared" si="5"/>
        <v>0</v>
      </c>
      <c r="T24" s="167">
        <f t="shared" si="6"/>
        <v>0</v>
      </c>
      <c r="U24" s="167">
        <f t="shared" si="7"/>
        <v>0</v>
      </c>
      <c r="V24" s="167">
        <f t="shared" si="8"/>
        <v>0</v>
      </c>
      <c r="W24" s="167">
        <f t="shared" si="9"/>
        <v>0</v>
      </c>
      <c r="X24" s="167">
        <f t="shared" si="10"/>
        <v>0</v>
      </c>
      <c r="Y24" s="167">
        <f t="shared" si="11"/>
        <v>0</v>
      </c>
      <c r="Z24" s="167">
        <f t="shared" si="12"/>
        <v>0</v>
      </c>
      <c r="AA24" s="167">
        <f t="shared" si="13"/>
        <v>0</v>
      </c>
      <c r="AB24" s="167">
        <f t="shared" si="14"/>
        <v>0</v>
      </c>
      <c r="AC24" s="167">
        <f t="shared" si="15"/>
        <v>0</v>
      </c>
      <c r="AD24" s="167">
        <f t="shared" si="16"/>
        <v>264</v>
      </c>
      <c r="AE24" s="172">
        <f t="shared" si="17"/>
        <v>264</v>
      </c>
    </row>
    <row r="25" spans="1:31" ht="14.25" customHeight="1">
      <c r="A25" s="259">
        <v>46010</v>
      </c>
      <c r="B25" s="260"/>
      <c r="C25" s="169"/>
      <c r="D25" s="169"/>
      <c r="E25" s="170"/>
      <c r="F25" s="170"/>
      <c r="G25" s="171"/>
      <c r="H25" s="171"/>
      <c r="I25" s="170"/>
      <c r="J25" s="171"/>
      <c r="K25" s="170">
        <f t="shared" si="0"/>
        <v>0</v>
      </c>
      <c r="L25" s="171"/>
      <c r="M25" s="171"/>
      <c r="N25" s="171"/>
      <c r="O25" s="170">
        <f t="shared" si="1"/>
        <v>0</v>
      </c>
      <c r="P25" s="169">
        <f t="shared" si="2"/>
        <v>8</v>
      </c>
      <c r="Q25" s="167">
        <f t="shared" si="3"/>
        <v>0</v>
      </c>
      <c r="R25" s="167">
        <f t="shared" si="4"/>
        <v>0</v>
      </c>
      <c r="S25" s="167">
        <f t="shared" si="5"/>
        <v>0</v>
      </c>
      <c r="T25" s="167">
        <f t="shared" si="6"/>
        <v>0</v>
      </c>
      <c r="U25" s="167">
        <f t="shared" si="7"/>
        <v>0</v>
      </c>
      <c r="V25" s="167">
        <f t="shared" si="8"/>
        <v>0</v>
      </c>
      <c r="W25" s="167">
        <f t="shared" si="9"/>
        <v>0</v>
      </c>
      <c r="X25" s="167">
        <f t="shared" si="10"/>
        <v>0</v>
      </c>
      <c r="Y25" s="167">
        <f t="shared" si="11"/>
        <v>0</v>
      </c>
      <c r="Z25" s="167">
        <f t="shared" si="12"/>
        <v>0</v>
      </c>
      <c r="AA25" s="167">
        <f t="shared" si="13"/>
        <v>0</v>
      </c>
      <c r="AB25" s="167">
        <f t="shared" si="14"/>
        <v>0</v>
      </c>
      <c r="AC25" s="167">
        <f t="shared" si="15"/>
        <v>0</v>
      </c>
      <c r="AD25" s="167">
        <f t="shared" si="16"/>
        <v>264</v>
      </c>
      <c r="AE25" s="172">
        <f t="shared" si="17"/>
        <v>264</v>
      </c>
    </row>
    <row r="26" spans="1:31" ht="14.25" customHeight="1">
      <c r="A26" s="259">
        <v>46011</v>
      </c>
      <c r="B26" s="260"/>
      <c r="C26" s="169"/>
      <c r="D26" s="169"/>
      <c r="E26" s="170"/>
      <c r="F26" s="170"/>
      <c r="G26" s="171"/>
      <c r="H26" s="171"/>
      <c r="I26" s="170"/>
      <c r="J26" s="171"/>
      <c r="K26" s="170">
        <f t="shared" si="0"/>
        <v>0</v>
      </c>
      <c r="L26" s="171"/>
      <c r="M26" s="171"/>
      <c r="N26" s="171"/>
      <c r="O26" s="170">
        <f t="shared" si="1"/>
        <v>0</v>
      </c>
      <c r="P26" s="169">
        <f t="shared" si="2"/>
        <v>8</v>
      </c>
      <c r="Q26" s="167">
        <f t="shared" si="3"/>
        <v>0</v>
      </c>
      <c r="R26" s="167">
        <f t="shared" si="4"/>
        <v>0</v>
      </c>
      <c r="S26" s="167">
        <f t="shared" si="5"/>
        <v>0</v>
      </c>
      <c r="T26" s="167">
        <f t="shared" si="6"/>
        <v>0</v>
      </c>
      <c r="U26" s="167">
        <f t="shared" si="7"/>
        <v>0</v>
      </c>
      <c r="V26" s="167">
        <f t="shared" si="8"/>
        <v>0</v>
      </c>
      <c r="W26" s="167">
        <f t="shared" si="9"/>
        <v>0</v>
      </c>
      <c r="X26" s="167">
        <f t="shared" si="10"/>
        <v>0</v>
      </c>
      <c r="Y26" s="167">
        <f t="shared" si="11"/>
        <v>0</v>
      </c>
      <c r="Z26" s="167">
        <f t="shared" si="12"/>
        <v>0</v>
      </c>
      <c r="AA26" s="167">
        <f t="shared" si="13"/>
        <v>0</v>
      </c>
      <c r="AB26" s="167">
        <f t="shared" si="14"/>
        <v>0</v>
      </c>
      <c r="AC26" s="167">
        <f t="shared" si="15"/>
        <v>0</v>
      </c>
      <c r="AD26" s="167">
        <f t="shared" si="16"/>
        <v>264</v>
      </c>
      <c r="AE26" s="172">
        <f t="shared" si="17"/>
        <v>264</v>
      </c>
    </row>
    <row r="27" spans="1:31" ht="14.25" customHeight="1">
      <c r="A27" s="259">
        <v>46012</v>
      </c>
      <c r="B27" s="260"/>
      <c r="C27" s="169"/>
      <c r="D27" s="169"/>
      <c r="E27" s="170"/>
      <c r="F27" s="170"/>
      <c r="G27" s="171"/>
      <c r="H27" s="171"/>
      <c r="I27" s="170"/>
      <c r="J27" s="171"/>
      <c r="K27" s="170">
        <f t="shared" si="0"/>
        <v>0</v>
      </c>
      <c r="L27" s="171"/>
      <c r="M27" s="171"/>
      <c r="N27" s="171"/>
      <c r="O27" s="170">
        <f t="shared" si="1"/>
        <v>0</v>
      </c>
      <c r="P27" s="169">
        <f t="shared" si="2"/>
        <v>8</v>
      </c>
      <c r="Q27" s="167">
        <f t="shared" si="3"/>
        <v>0</v>
      </c>
      <c r="R27" s="167">
        <f t="shared" si="4"/>
        <v>0</v>
      </c>
      <c r="S27" s="167">
        <f t="shared" si="5"/>
        <v>0</v>
      </c>
      <c r="T27" s="167">
        <f t="shared" si="6"/>
        <v>0</v>
      </c>
      <c r="U27" s="167">
        <f t="shared" si="7"/>
        <v>0</v>
      </c>
      <c r="V27" s="167">
        <f t="shared" si="8"/>
        <v>0</v>
      </c>
      <c r="W27" s="167">
        <f t="shared" si="9"/>
        <v>0</v>
      </c>
      <c r="X27" s="167">
        <f t="shared" si="10"/>
        <v>0</v>
      </c>
      <c r="Y27" s="167">
        <f t="shared" si="11"/>
        <v>0</v>
      </c>
      <c r="Z27" s="167">
        <f t="shared" si="12"/>
        <v>0</v>
      </c>
      <c r="AA27" s="167">
        <f t="shared" si="13"/>
        <v>0</v>
      </c>
      <c r="AB27" s="167">
        <f t="shared" si="14"/>
        <v>0</v>
      </c>
      <c r="AC27" s="167">
        <f t="shared" si="15"/>
        <v>0</v>
      </c>
      <c r="AD27" s="167">
        <f t="shared" si="16"/>
        <v>264</v>
      </c>
      <c r="AE27" s="172">
        <f t="shared" si="17"/>
        <v>264</v>
      </c>
    </row>
    <row r="28" spans="1:31" ht="14.25" customHeight="1">
      <c r="A28" s="259">
        <v>46013</v>
      </c>
      <c r="B28" s="260"/>
      <c r="C28" s="169"/>
      <c r="D28" s="169"/>
      <c r="E28" s="170"/>
      <c r="F28" s="170"/>
      <c r="G28" s="171"/>
      <c r="H28" s="171"/>
      <c r="I28" s="170"/>
      <c r="J28" s="171"/>
      <c r="K28" s="170">
        <f t="shared" si="0"/>
        <v>0</v>
      </c>
      <c r="L28" s="171"/>
      <c r="M28" s="171"/>
      <c r="N28" s="171"/>
      <c r="O28" s="170">
        <f t="shared" si="1"/>
        <v>0</v>
      </c>
      <c r="P28" s="169">
        <f t="shared" si="2"/>
        <v>8</v>
      </c>
      <c r="Q28" s="167">
        <f t="shared" si="3"/>
        <v>0</v>
      </c>
      <c r="R28" s="167">
        <f t="shared" si="4"/>
        <v>0</v>
      </c>
      <c r="S28" s="167">
        <f t="shared" si="5"/>
        <v>0</v>
      </c>
      <c r="T28" s="167">
        <f t="shared" si="6"/>
        <v>0</v>
      </c>
      <c r="U28" s="167">
        <f t="shared" si="7"/>
        <v>0</v>
      </c>
      <c r="V28" s="167">
        <f t="shared" si="8"/>
        <v>0</v>
      </c>
      <c r="W28" s="167">
        <f t="shared" si="9"/>
        <v>0</v>
      </c>
      <c r="X28" s="167">
        <f t="shared" si="10"/>
        <v>0</v>
      </c>
      <c r="Y28" s="167">
        <f t="shared" si="11"/>
        <v>0</v>
      </c>
      <c r="Z28" s="167">
        <f t="shared" si="12"/>
        <v>0</v>
      </c>
      <c r="AA28" s="167">
        <f t="shared" si="13"/>
        <v>0</v>
      </c>
      <c r="AB28" s="167">
        <f t="shared" si="14"/>
        <v>0</v>
      </c>
      <c r="AC28" s="167">
        <f t="shared" si="15"/>
        <v>0</v>
      </c>
      <c r="AD28" s="167">
        <f t="shared" si="16"/>
        <v>264</v>
      </c>
      <c r="AE28" s="172">
        <f t="shared" si="17"/>
        <v>264</v>
      </c>
    </row>
    <row r="29" spans="1:31" ht="14.25" customHeight="1">
      <c r="A29" s="259">
        <v>46014</v>
      </c>
      <c r="B29" s="260"/>
      <c r="C29" s="176"/>
      <c r="D29" s="176"/>
      <c r="E29" s="176"/>
      <c r="F29" s="176"/>
      <c r="G29" s="176"/>
      <c r="H29" s="176"/>
      <c r="I29" s="176"/>
      <c r="J29" s="171"/>
      <c r="K29" s="170">
        <f t="shared" si="0"/>
        <v>0</v>
      </c>
      <c r="L29" s="171"/>
      <c r="M29" s="171"/>
      <c r="N29" s="171"/>
      <c r="O29" s="170">
        <f t="shared" si="1"/>
        <v>0</v>
      </c>
      <c r="P29" s="169">
        <f t="shared" si="2"/>
        <v>8</v>
      </c>
      <c r="Q29" s="167">
        <f t="shared" si="3"/>
        <v>0</v>
      </c>
      <c r="R29" s="167">
        <f t="shared" si="4"/>
        <v>0</v>
      </c>
      <c r="S29" s="167">
        <f t="shared" si="5"/>
        <v>0</v>
      </c>
      <c r="T29" s="167">
        <f t="shared" si="6"/>
        <v>0</v>
      </c>
      <c r="U29" s="167">
        <f t="shared" si="7"/>
        <v>0</v>
      </c>
      <c r="V29" s="167">
        <f t="shared" si="8"/>
        <v>0</v>
      </c>
      <c r="W29" s="167">
        <f t="shared" si="9"/>
        <v>0</v>
      </c>
      <c r="X29" s="167">
        <f t="shared" si="10"/>
        <v>0</v>
      </c>
      <c r="Y29" s="167">
        <f t="shared" si="11"/>
        <v>0</v>
      </c>
      <c r="Z29" s="167">
        <f t="shared" si="12"/>
        <v>0</v>
      </c>
      <c r="AA29" s="167">
        <f t="shared" si="13"/>
        <v>0</v>
      </c>
      <c r="AB29" s="167">
        <f t="shared" si="14"/>
        <v>0</v>
      </c>
      <c r="AC29" s="167">
        <f t="shared" si="15"/>
        <v>0</v>
      </c>
      <c r="AD29" s="167">
        <f t="shared" si="16"/>
        <v>264</v>
      </c>
      <c r="AE29" s="172">
        <f t="shared" si="17"/>
        <v>264</v>
      </c>
    </row>
    <row r="30" spans="1:31" ht="14.25" customHeight="1">
      <c r="A30" s="259">
        <v>46015</v>
      </c>
      <c r="B30" s="260"/>
      <c r="C30" s="169"/>
      <c r="D30" s="169"/>
      <c r="E30" s="170"/>
      <c r="F30" s="170"/>
      <c r="G30" s="171"/>
      <c r="H30" s="171"/>
      <c r="I30" s="170"/>
      <c r="J30" s="171"/>
      <c r="K30" s="170">
        <f t="shared" si="0"/>
        <v>0</v>
      </c>
      <c r="L30" s="171"/>
      <c r="M30" s="171"/>
      <c r="N30" s="171"/>
      <c r="O30" s="170">
        <f t="shared" si="1"/>
        <v>0</v>
      </c>
      <c r="P30" s="169">
        <f t="shared" si="2"/>
        <v>8</v>
      </c>
      <c r="Q30" s="167">
        <f t="shared" si="3"/>
        <v>0</v>
      </c>
      <c r="R30" s="167">
        <f t="shared" si="4"/>
        <v>0</v>
      </c>
      <c r="S30" s="167">
        <f t="shared" si="5"/>
        <v>0</v>
      </c>
      <c r="T30" s="167">
        <f t="shared" si="6"/>
        <v>0</v>
      </c>
      <c r="U30" s="167">
        <f t="shared" si="7"/>
        <v>0</v>
      </c>
      <c r="V30" s="167">
        <f t="shared" si="8"/>
        <v>0</v>
      </c>
      <c r="W30" s="167">
        <f t="shared" si="9"/>
        <v>0</v>
      </c>
      <c r="X30" s="167">
        <f t="shared" si="10"/>
        <v>0</v>
      </c>
      <c r="Y30" s="167">
        <f t="shared" si="11"/>
        <v>0</v>
      </c>
      <c r="Z30" s="167">
        <f t="shared" si="12"/>
        <v>0</v>
      </c>
      <c r="AA30" s="167">
        <f t="shared" si="13"/>
        <v>0</v>
      </c>
      <c r="AB30" s="167">
        <f t="shared" si="14"/>
        <v>0</v>
      </c>
      <c r="AC30" s="167">
        <f t="shared" si="15"/>
        <v>0</v>
      </c>
      <c r="AD30" s="167">
        <f t="shared" si="16"/>
        <v>264</v>
      </c>
      <c r="AE30" s="172">
        <f t="shared" si="17"/>
        <v>264</v>
      </c>
    </row>
    <row r="31" spans="1:31" ht="14.25" customHeight="1">
      <c r="A31" s="259">
        <v>46016</v>
      </c>
      <c r="B31" s="260"/>
      <c r="C31" s="169"/>
      <c r="D31" s="169"/>
      <c r="E31" s="170"/>
      <c r="F31" s="170"/>
      <c r="G31" s="171"/>
      <c r="H31" s="171"/>
      <c r="I31" s="170"/>
      <c r="J31" s="171"/>
      <c r="K31" s="170">
        <f t="shared" si="0"/>
        <v>0</v>
      </c>
      <c r="L31" s="171"/>
      <c r="M31" s="171"/>
      <c r="N31" s="171"/>
      <c r="O31" s="170">
        <f t="shared" si="1"/>
        <v>0</v>
      </c>
      <c r="P31" s="169">
        <f t="shared" si="2"/>
        <v>8</v>
      </c>
      <c r="Q31" s="167">
        <f t="shared" si="3"/>
        <v>0</v>
      </c>
      <c r="R31" s="167">
        <f t="shared" si="4"/>
        <v>0</v>
      </c>
      <c r="S31" s="167">
        <f t="shared" si="5"/>
        <v>0</v>
      </c>
      <c r="T31" s="167">
        <f t="shared" si="6"/>
        <v>0</v>
      </c>
      <c r="U31" s="167">
        <f t="shared" si="7"/>
        <v>0</v>
      </c>
      <c r="V31" s="167">
        <f t="shared" si="8"/>
        <v>0</v>
      </c>
      <c r="W31" s="167">
        <f t="shared" si="9"/>
        <v>0</v>
      </c>
      <c r="X31" s="167">
        <f t="shared" si="10"/>
        <v>0</v>
      </c>
      <c r="Y31" s="167">
        <f t="shared" si="11"/>
        <v>0</v>
      </c>
      <c r="Z31" s="167">
        <f t="shared" si="12"/>
        <v>0</v>
      </c>
      <c r="AA31" s="167">
        <f t="shared" si="13"/>
        <v>0</v>
      </c>
      <c r="AB31" s="167">
        <f t="shared" si="14"/>
        <v>0</v>
      </c>
      <c r="AC31" s="167">
        <f t="shared" si="15"/>
        <v>0</v>
      </c>
      <c r="AD31" s="167">
        <f t="shared" si="16"/>
        <v>264</v>
      </c>
      <c r="AE31" s="172">
        <f t="shared" si="17"/>
        <v>264</v>
      </c>
    </row>
    <row r="32" spans="1:31" ht="14.25" customHeight="1">
      <c r="A32" s="259">
        <v>46017</v>
      </c>
      <c r="B32" s="260"/>
      <c r="C32" s="169"/>
      <c r="D32" s="169"/>
      <c r="E32" s="170"/>
      <c r="F32" s="170"/>
      <c r="G32" s="171"/>
      <c r="H32" s="171"/>
      <c r="I32" s="170"/>
      <c r="J32" s="171"/>
      <c r="K32" s="170">
        <f t="shared" si="0"/>
        <v>0</v>
      </c>
      <c r="L32" s="171"/>
      <c r="M32" s="171"/>
      <c r="N32" s="171"/>
      <c r="O32" s="170">
        <f t="shared" si="1"/>
        <v>0</v>
      </c>
      <c r="P32" s="169">
        <f t="shared" si="2"/>
        <v>8</v>
      </c>
      <c r="Q32" s="167">
        <f t="shared" si="3"/>
        <v>0</v>
      </c>
      <c r="R32" s="167">
        <f t="shared" si="4"/>
        <v>0</v>
      </c>
      <c r="S32" s="167">
        <f t="shared" si="5"/>
        <v>0</v>
      </c>
      <c r="T32" s="167">
        <f t="shared" si="6"/>
        <v>0</v>
      </c>
      <c r="U32" s="167">
        <f t="shared" si="7"/>
        <v>0</v>
      </c>
      <c r="V32" s="167">
        <f t="shared" si="8"/>
        <v>0</v>
      </c>
      <c r="W32" s="167">
        <f t="shared" si="9"/>
        <v>0</v>
      </c>
      <c r="X32" s="167">
        <f t="shared" si="10"/>
        <v>0</v>
      </c>
      <c r="Y32" s="167">
        <f t="shared" si="11"/>
        <v>0</v>
      </c>
      <c r="Z32" s="167">
        <f t="shared" si="12"/>
        <v>0</v>
      </c>
      <c r="AA32" s="167">
        <f t="shared" si="13"/>
        <v>0</v>
      </c>
      <c r="AB32" s="167">
        <f t="shared" si="14"/>
        <v>0</v>
      </c>
      <c r="AC32" s="167">
        <f t="shared" si="15"/>
        <v>0</v>
      </c>
      <c r="AD32" s="167">
        <f t="shared" si="16"/>
        <v>264</v>
      </c>
      <c r="AE32" s="172">
        <f t="shared" si="17"/>
        <v>264</v>
      </c>
    </row>
    <row r="33" spans="1:31" ht="14.25" customHeight="1">
      <c r="A33" s="259">
        <v>46018</v>
      </c>
      <c r="B33" s="260"/>
      <c r="C33" s="169"/>
      <c r="D33" s="169"/>
      <c r="E33" s="170"/>
      <c r="F33" s="170"/>
      <c r="G33" s="171"/>
      <c r="H33" s="171"/>
      <c r="I33" s="170"/>
      <c r="J33" s="171"/>
      <c r="K33" s="170">
        <f t="shared" si="0"/>
        <v>0</v>
      </c>
      <c r="L33" s="171"/>
      <c r="M33" s="171"/>
      <c r="N33" s="171"/>
      <c r="O33" s="170">
        <f t="shared" si="1"/>
        <v>0</v>
      </c>
      <c r="P33" s="169">
        <f t="shared" si="2"/>
        <v>8</v>
      </c>
      <c r="Q33" s="167">
        <f t="shared" si="3"/>
        <v>0</v>
      </c>
      <c r="R33" s="167">
        <f t="shared" si="4"/>
        <v>0</v>
      </c>
      <c r="S33" s="167">
        <f t="shared" si="5"/>
        <v>0</v>
      </c>
      <c r="T33" s="167">
        <f t="shared" si="6"/>
        <v>0</v>
      </c>
      <c r="U33" s="167">
        <f t="shared" si="7"/>
        <v>0</v>
      </c>
      <c r="V33" s="167">
        <f t="shared" si="8"/>
        <v>0</v>
      </c>
      <c r="W33" s="167">
        <f t="shared" si="9"/>
        <v>0</v>
      </c>
      <c r="X33" s="167">
        <f t="shared" si="10"/>
        <v>0</v>
      </c>
      <c r="Y33" s="167">
        <f t="shared" si="11"/>
        <v>0</v>
      </c>
      <c r="Z33" s="167">
        <f t="shared" si="12"/>
        <v>0</v>
      </c>
      <c r="AA33" s="167">
        <f t="shared" si="13"/>
        <v>0</v>
      </c>
      <c r="AB33" s="167">
        <f t="shared" si="14"/>
        <v>0</v>
      </c>
      <c r="AC33" s="167">
        <f t="shared" si="15"/>
        <v>0</v>
      </c>
      <c r="AD33" s="167">
        <f t="shared" si="16"/>
        <v>264</v>
      </c>
      <c r="AE33" s="172">
        <f t="shared" si="17"/>
        <v>264</v>
      </c>
    </row>
    <row r="34" spans="1:31" ht="14.25" customHeight="1">
      <c r="A34" s="259">
        <v>46019</v>
      </c>
      <c r="B34" s="260"/>
      <c r="C34" s="169"/>
      <c r="D34" s="169"/>
      <c r="E34" s="170"/>
      <c r="F34" s="170"/>
      <c r="G34" s="170"/>
      <c r="H34" s="171"/>
      <c r="I34" s="170"/>
      <c r="J34" s="171"/>
      <c r="K34" s="170">
        <f t="shared" si="0"/>
        <v>0</v>
      </c>
      <c r="L34" s="170"/>
      <c r="M34" s="170"/>
      <c r="N34" s="170"/>
      <c r="O34" s="170">
        <f t="shared" si="1"/>
        <v>0</v>
      </c>
      <c r="P34" s="169">
        <f t="shared" si="2"/>
        <v>8</v>
      </c>
      <c r="Q34" s="167">
        <f t="shared" si="3"/>
        <v>0</v>
      </c>
      <c r="R34" s="167">
        <f t="shared" si="4"/>
        <v>0</v>
      </c>
      <c r="S34" s="167">
        <f t="shared" si="5"/>
        <v>0</v>
      </c>
      <c r="T34" s="167">
        <f t="shared" si="6"/>
        <v>0</v>
      </c>
      <c r="U34" s="167">
        <f t="shared" si="7"/>
        <v>0</v>
      </c>
      <c r="V34" s="167">
        <f t="shared" si="8"/>
        <v>0</v>
      </c>
      <c r="W34" s="167">
        <f t="shared" si="9"/>
        <v>0</v>
      </c>
      <c r="X34" s="167">
        <f t="shared" si="10"/>
        <v>0</v>
      </c>
      <c r="Y34" s="167">
        <f t="shared" si="11"/>
        <v>0</v>
      </c>
      <c r="Z34" s="167">
        <f t="shared" si="12"/>
        <v>0</v>
      </c>
      <c r="AA34" s="167">
        <f t="shared" si="13"/>
        <v>0</v>
      </c>
      <c r="AB34" s="167">
        <f t="shared" si="14"/>
        <v>0</v>
      </c>
      <c r="AC34" s="167">
        <f t="shared" si="15"/>
        <v>0</v>
      </c>
      <c r="AD34" s="167">
        <f t="shared" si="16"/>
        <v>264</v>
      </c>
      <c r="AE34" s="172">
        <f t="shared" si="17"/>
        <v>264</v>
      </c>
    </row>
    <row r="35" spans="1:31" ht="14.25" customHeight="1">
      <c r="A35" s="259">
        <v>46020</v>
      </c>
      <c r="B35" s="260"/>
      <c r="C35" s="169"/>
      <c r="D35" s="169"/>
      <c r="E35" s="170"/>
      <c r="F35" s="170"/>
      <c r="G35" s="170"/>
      <c r="H35" s="171"/>
      <c r="I35" s="170"/>
      <c r="J35" s="171"/>
      <c r="K35" s="170">
        <f t="shared" si="0"/>
        <v>0</v>
      </c>
      <c r="L35" s="170"/>
      <c r="M35" s="170"/>
      <c r="N35" s="170"/>
      <c r="O35" s="170">
        <f t="shared" si="1"/>
        <v>0</v>
      </c>
      <c r="P35" s="169">
        <f t="shared" si="2"/>
        <v>8</v>
      </c>
      <c r="Q35" s="167">
        <f t="shared" si="3"/>
        <v>0</v>
      </c>
      <c r="R35" s="167">
        <f t="shared" si="4"/>
        <v>0</v>
      </c>
      <c r="S35" s="167">
        <f t="shared" si="5"/>
        <v>0</v>
      </c>
      <c r="T35" s="167">
        <f t="shared" si="6"/>
        <v>0</v>
      </c>
      <c r="U35" s="167">
        <f t="shared" si="7"/>
        <v>0</v>
      </c>
      <c r="V35" s="167">
        <f t="shared" si="8"/>
        <v>0</v>
      </c>
      <c r="W35" s="167">
        <f t="shared" si="9"/>
        <v>0</v>
      </c>
      <c r="X35" s="167">
        <f t="shared" si="10"/>
        <v>0</v>
      </c>
      <c r="Y35" s="167">
        <f t="shared" si="11"/>
        <v>0</v>
      </c>
      <c r="Z35" s="167">
        <f t="shared" si="12"/>
        <v>0</v>
      </c>
      <c r="AA35" s="167">
        <f t="shared" si="13"/>
        <v>0</v>
      </c>
      <c r="AB35" s="167">
        <f t="shared" si="14"/>
        <v>0</v>
      </c>
      <c r="AC35" s="167">
        <f t="shared" si="15"/>
        <v>0</v>
      </c>
      <c r="AD35" s="167">
        <f t="shared" si="16"/>
        <v>264</v>
      </c>
      <c r="AE35" s="172">
        <f t="shared" si="17"/>
        <v>264</v>
      </c>
    </row>
    <row r="36" spans="1:31" ht="14.25" customHeight="1">
      <c r="A36" s="259">
        <v>46021</v>
      </c>
      <c r="B36" s="260"/>
      <c r="C36" s="169"/>
      <c r="D36" s="169"/>
      <c r="E36" s="170"/>
      <c r="F36" s="170"/>
      <c r="G36" s="170"/>
      <c r="H36" s="171"/>
      <c r="I36" s="170"/>
      <c r="J36" s="171"/>
      <c r="K36" s="170">
        <f t="shared" si="0"/>
        <v>0</v>
      </c>
      <c r="L36" s="170"/>
      <c r="M36" s="170"/>
      <c r="N36" s="170"/>
      <c r="O36" s="170">
        <f t="shared" si="1"/>
        <v>0</v>
      </c>
      <c r="P36" s="169">
        <f t="shared" si="2"/>
        <v>8</v>
      </c>
      <c r="Q36" s="167">
        <f t="shared" si="3"/>
        <v>0</v>
      </c>
      <c r="R36" s="167">
        <f t="shared" si="4"/>
        <v>0</v>
      </c>
      <c r="S36" s="167">
        <f t="shared" si="5"/>
        <v>0</v>
      </c>
      <c r="T36" s="167">
        <f t="shared" si="6"/>
        <v>0</v>
      </c>
      <c r="U36" s="167">
        <f t="shared" si="7"/>
        <v>0</v>
      </c>
      <c r="V36" s="167">
        <f t="shared" si="8"/>
        <v>0</v>
      </c>
      <c r="W36" s="167">
        <f t="shared" si="9"/>
        <v>0</v>
      </c>
      <c r="X36" s="167">
        <f t="shared" si="10"/>
        <v>0</v>
      </c>
      <c r="Y36" s="167">
        <f t="shared" si="11"/>
        <v>0</v>
      </c>
      <c r="Z36" s="167">
        <f t="shared" si="12"/>
        <v>0</v>
      </c>
      <c r="AA36" s="167">
        <f t="shared" si="13"/>
        <v>0</v>
      </c>
      <c r="AB36" s="167">
        <f t="shared" si="14"/>
        <v>0</v>
      </c>
      <c r="AC36" s="167">
        <f t="shared" si="15"/>
        <v>0</v>
      </c>
      <c r="AD36" s="167">
        <f t="shared" si="16"/>
        <v>264</v>
      </c>
      <c r="AE36" s="172">
        <f t="shared" si="17"/>
        <v>264</v>
      </c>
    </row>
    <row r="37" spans="1:31" ht="14.25" customHeight="1" thickBot="1">
      <c r="A37" s="259">
        <v>46022</v>
      </c>
      <c r="B37" s="260"/>
      <c r="C37" s="169"/>
      <c r="D37" s="169"/>
      <c r="E37" s="170"/>
      <c r="F37" s="170"/>
      <c r="G37" s="170"/>
      <c r="H37" s="171"/>
      <c r="I37" s="170"/>
      <c r="J37" s="171"/>
      <c r="K37" s="170"/>
      <c r="L37" s="170"/>
      <c r="M37" s="170"/>
      <c r="N37" s="170"/>
      <c r="O37" s="170">
        <f t="shared" si="1"/>
        <v>0</v>
      </c>
      <c r="P37" s="169">
        <f t="shared" si="2"/>
        <v>8</v>
      </c>
      <c r="Q37" s="167">
        <f t="shared" si="3"/>
        <v>0</v>
      </c>
      <c r="R37" s="167">
        <f t="shared" si="4"/>
        <v>0</v>
      </c>
      <c r="S37" s="167">
        <f t="shared" si="5"/>
        <v>0</v>
      </c>
      <c r="T37" s="167">
        <f t="shared" si="6"/>
        <v>0</v>
      </c>
      <c r="U37" s="167">
        <f t="shared" si="7"/>
        <v>0</v>
      </c>
      <c r="V37" s="167">
        <f t="shared" si="8"/>
        <v>0</v>
      </c>
      <c r="W37" s="167">
        <f t="shared" si="9"/>
        <v>0</v>
      </c>
      <c r="X37" s="167">
        <f t="shared" si="10"/>
        <v>0</v>
      </c>
      <c r="Y37" s="167">
        <f t="shared" si="11"/>
        <v>0</v>
      </c>
      <c r="Z37" s="167">
        <f t="shared" si="12"/>
        <v>0</v>
      </c>
      <c r="AA37" s="167">
        <f t="shared" si="13"/>
        <v>0</v>
      </c>
      <c r="AB37" s="167">
        <f t="shared" si="14"/>
        <v>0</v>
      </c>
      <c r="AC37" s="167">
        <f t="shared" si="15"/>
        <v>0</v>
      </c>
      <c r="AD37" s="167">
        <f t="shared" si="16"/>
        <v>264</v>
      </c>
      <c r="AE37" s="172">
        <f t="shared" ref="AE37" si="18">SUM(Q37:AD37)</f>
        <v>264</v>
      </c>
    </row>
    <row r="38" spans="1:31" ht="14.25" customHeight="1" thickBot="1">
      <c r="A38" s="257" t="s">
        <v>26</v>
      </c>
      <c r="B38" s="258"/>
      <c r="C38" s="177">
        <f t="shared" ref="C38:P38" si="19">SUM(C7:C37)</f>
        <v>0</v>
      </c>
      <c r="D38" s="177">
        <f t="shared" si="19"/>
        <v>0</v>
      </c>
      <c r="E38" s="177">
        <f t="shared" si="19"/>
        <v>0</v>
      </c>
      <c r="F38" s="177">
        <f t="shared" si="19"/>
        <v>0</v>
      </c>
      <c r="G38" s="177">
        <f t="shared" si="19"/>
        <v>0</v>
      </c>
      <c r="H38" s="177">
        <f t="shared" si="19"/>
        <v>0</v>
      </c>
      <c r="I38" s="177">
        <f t="shared" si="19"/>
        <v>0</v>
      </c>
      <c r="J38" s="177">
        <f t="shared" si="19"/>
        <v>0</v>
      </c>
      <c r="K38" s="177">
        <f t="shared" si="19"/>
        <v>0</v>
      </c>
      <c r="L38" s="177">
        <f t="shared" si="19"/>
        <v>0</v>
      </c>
      <c r="M38" s="177">
        <f t="shared" si="19"/>
        <v>0</v>
      </c>
      <c r="N38" s="177">
        <f t="shared" si="19"/>
        <v>0</v>
      </c>
      <c r="O38" s="177">
        <f t="shared" si="19"/>
        <v>0</v>
      </c>
      <c r="P38" s="177">
        <f t="shared" si="19"/>
        <v>248</v>
      </c>
      <c r="Q38" s="178">
        <f>SUM(Q7:Q37)</f>
        <v>0</v>
      </c>
      <c r="R38" s="178">
        <f t="shared" ref="R38:AD38" si="20">SUM(R7:R37)</f>
        <v>0</v>
      </c>
      <c r="S38" s="178">
        <f t="shared" si="20"/>
        <v>0</v>
      </c>
      <c r="T38" s="178">
        <f t="shared" si="20"/>
        <v>0</v>
      </c>
      <c r="U38" s="178">
        <f t="shared" si="20"/>
        <v>0</v>
      </c>
      <c r="V38" s="178">
        <f t="shared" si="20"/>
        <v>0</v>
      </c>
      <c r="W38" s="178">
        <f t="shared" si="20"/>
        <v>0</v>
      </c>
      <c r="X38" s="178">
        <f t="shared" si="20"/>
        <v>0</v>
      </c>
      <c r="Y38" s="178">
        <f t="shared" si="20"/>
        <v>0</v>
      </c>
      <c r="Z38" s="178">
        <f t="shared" si="20"/>
        <v>0</v>
      </c>
      <c r="AA38" s="178">
        <f t="shared" si="20"/>
        <v>0</v>
      </c>
      <c r="AB38" s="178">
        <f t="shared" si="20"/>
        <v>0</v>
      </c>
      <c r="AC38" s="178">
        <f t="shared" si="20"/>
        <v>0</v>
      </c>
      <c r="AD38" s="178">
        <f t="shared" si="20"/>
        <v>8184</v>
      </c>
      <c r="AE38" s="179">
        <f>SUM(AE7:AE37)</f>
        <v>8184</v>
      </c>
    </row>
    <row r="39" spans="1:31" ht="14.25" customHeight="1">
      <c r="C39" s="160"/>
      <c r="D39" s="160"/>
      <c r="E39" s="160"/>
      <c r="F39" s="160"/>
      <c r="G39" s="160"/>
      <c r="H39" s="160"/>
      <c r="I39" s="160"/>
      <c r="J39" s="160"/>
      <c r="K39" s="160"/>
      <c r="L39" s="160"/>
      <c r="M39" s="160"/>
      <c r="N39" s="160"/>
      <c r="O39" s="160"/>
      <c r="P39" s="160"/>
      <c r="AE39" s="180">
        <v>0</v>
      </c>
    </row>
    <row r="40" spans="1:31" ht="14.25" customHeight="1" thickBot="1">
      <c r="C40" s="160"/>
      <c r="D40" s="160"/>
      <c r="E40" s="160"/>
      <c r="F40" s="160"/>
      <c r="G40" s="160"/>
      <c r="H40" s="160"/>
      <c r="I40" s="160"/>
      <c r="J40" s="160"/>
      <c r="K40" s="160"/>
      <c r="L40" s="160"/>
      <c r="M40" s="160"/>
      <c r="N40" s="160"/>
      <c r="O40" s="160"/>
      <c r="P40" s="160"/>
      <c r="AD40" s="181"/>
      <c r="AE40" s="182">
        <f>-(K3*14+K3*24+K3*2*2.7)</f>
        <v>0</v>
      </c>
    </row>
    <row r="41" spans="1:31" ht="14.25" customHeight="1">
      <c r="C41" s="160"/>
      <c r="D41" s="160"/>
      <c r="E41" s="160"/>
      <c r="F41" s="160"/>
      <c r="G41" s="160"/>
      <c r="H41" s="160"/>
      <c r="I41" s="160"/>
      <c r="J41" s="160"/>
      <c r="K41" s="160"/>
      <c r="L41" s="160"/>
      <c r="M41" s="160"/>
      <c r="N41" s="160"/>
      <c r="O41" s="160"/>
      <c r="P41" s="160"/>
      <c r="AE41" s="183">
        <f>AE38+AE39+AE40</f>
        <v>8184</v>
      </c>
    </row>
    <row r="42" spans="1:31" ht="14.25" customHeight="1">
      <c r="C42" s="160"/>
      <c r="D42" s="160"/>
      <c r="E42" s="160"/>
      <c r="F42" s="160"/>
      <c r="G42" s="160"/>
      <c r="H42" s="160"/>
      <c r="I42" s="160"/>
      <c r="J42" s="160"/>
      <c r="K42" s="160"/>
      <c r="L42" s="160"/>
      <c r="M42" s="160"/>
      <c r="N42" s="160"/>
      <c r="O42" s="160"/>
      <c r="P42" s="160"/>
      <c r="AE42" s="161"/>
    </row>
    <row r="43" spans="1:31" ht="14.25" customHeight="1">
      <c r="C43" s="160"/>
      <c r="D43" s="160"/>
      <c r="E43" s="160"/>
      <c r="F43" s="160"/>
      <c r="G43" s="160"/>
      <c r="H43" s="160"/>
      <c r="I43" s="160"/>
      <c r="J43" s="160"/>
      <c r="K43" s="160"/>
      <c r="L43" s="160"/>
      <c r="M43" s="160"/>
      <c r="N43" s="160"/>
      <c r="O43" s="160"/>
      <c r="P43" s="160"/>
      <c r="AE43" s="161"/>
    </row>
    <row r="44" spans="1:31" ht="14.25" customHeight="1">
      <c r="C44" s="160"/>
      <c r="D44" s="160"/>
      <c r="E44" s="160"/>
      <c r="F44" s="160"/>
      <c r="G44" s="160"/>
      <c r="H44" s="160"/>
      <c r="I44" s="160"/>
      <c r="J44" s="160"/>
      <c r="K44" s="160"/>
      <c r="L44" s="160"/>
      <c r="M44" s="160"/>
      <c r="N44" s="160"/>
      <c r="O44" s="160"/>
      <c r="P44" s="160"/>
      <c r="AE44" s="161"/>
    </row>
    <row r="45" spans="1:31" ht="14.25" customHeight="1">
      <c r="C45" s="160"/>
      <c r="D45" s="160"/>
      <c r="E45" s="160"/>
      <c r="F45" s="160"/>
      <c r="G45" s="160"/>
      <c r="H45" s="160"/>
      <c r="I45" s="160"/>
      <c r="J45" s="160"/>
      <c r="K45" s="160"/>
      <c r="L45" s="160"/>
      <c r="M45" s="160"/>
      <c r="N45" s="160"/>
      <c r="O45" s="160"/>
      <c r="P45" s="160"/>
      <c r="AE45" s="161"/>
    </row>
    <row r="46" spans="1:31" ht="14.25" customHeight="1">
      <c r="C46" s="160"/>
      <c r="D46" s="160"/>
      <c r="E46" s="160"/>
      <c r="F46" s="160"/>
      <c r="G46" s="160"/>
      <c r="H46" s="160"/>
      <c r="I46" s="160"/>
      <c r="J46" s="160"/>
      <c r="K46" s="160"/>
      <c r="L46" s="160"/>
      <c r="M46" s="160"/>
      <c r="N46" s="160"/>
      <c r="O46" s="160"/>
      <c r="P46" s="160"/>
      <c r="AE46" s="161"/>
    </row>
    <row r="47" spans="1:31" ht="14.25" customHeight="1">
      <c r="C47" s="160"/>
      <c r="D47" s="160"/>
      <c r="E47" s="160"/>
      <c r="F47" s="160"/>
      <c r="G47" s="160"/>
      <c r="H47" s="160"/>
      <c r="I47" s="160"/>
      <c r="J47" s="160"/>
      <c r="K47" s="160"/>
      <c r="L47" s="160"/>
      <c r="M47" s="160"/>
      <c r="N47" s="160"/>
      <c r="O47" s="160"/>
      <c r="P47" s="160"/>
      <c r="AE47" s="161"/>
    </row>
    <row r="48" spans="1:31" ht="14.25" customHeight="1">
      <c r="C48" s="160"/>
      <c r="D48" s="160"/>
      <c r="E48" s="160"/>
      <c r="F48" s="160"/>
      <c r="G48" s="160"/>
      <c r="H48" s="160"/>
      <c r="I48" s="160"/>
      <c r="J48" s="160"/>
      <c r="K48" s="160"/>
      <c r="L48" s="160"/>
      <c r="M48" s="160"/>
      <c r="N48" s="160"/>
      <c r="O48" s="160"/>
      <c r="P48" s="160"/>
      <c r="AE48" s="161"/>
    </row>
    <row r="49" spans="3:31" ht="14.25" customHeight="1">
      <c r="C49" s="160"/>
      <c r="D49" s="160"/>
      <c r="E49" s="160"/>
      <c r="F49" s="160"/>
      <c r="G49" s="160"/>
      <c r="H49" s="160"/>
      <c r="I49" s="160"/>
      <c r="J49" s="160"/>
      <c r="K49" s="160"/>
      <c r="L49" s="160"/>
      <c r="M49" s="160"/>
      <c r="N49" s="160"/>
      <c r="O49" s="160"/>
      <c r="P49" s="160"/>
      <c r="AE49" s="161"/>
    </row>
    <row r="50" spans="3:31" ht="14.25" customHeight="1">
      <c r="C50" s="160"/>
      <c r="D50" s="160"/>
      <c r="E50" s="160"/>
      <c r="F50" s="160"/>
      <c r="G50" s="160"/>
      <c r="H50" s="160"/>
      <c r="I50" s="160"/>
      <c r="J50" s="160"/>
      <c r="K50" s="160"/>
      <c r="L50" s="160"/>
      <c r="M50" s="160"/>
      <c r="N50" s="160"/>
      <c r="O50" s="160"/>
      <c r="P50" s="160"/>
      <c r="AE50" s="161"/>
    </row>
    <row r="51" spans="3:31" ht="14.25" customHeight="1">
      <c r="C51" s="160"/>
      <c r="D51" s="160"/>
      <c r="E51" s="160"/>
      <c r="F51" s="160"/>
      <c r="G51" s="160"/>
      <c r="H51" s="160"/>
      <c r="I51" s="160"/>
      <c r="J51" s="160"/>
      <c r="K51" s="160"/>
      <c r="L51" s="160"/>
      <c r="M51" s="160"/>
      <c r="N51" s="160"/>
      <c r="O51" s="160"/>
      <c r="P51" s="160"/>
      <c r="AE51" s="161"/>
    </row>
    <row r="52" spans="3:31" ht="14.25" customHeight="1">
      <c r="C52" s="160"/>
      <c r="D52" s="160"/>
      <c r="E52" s="160"/>
      <c r="F52" s="160"/>
      <c r="G52" s="160"/>
      <c r="H52" s="160"/>
      <c r="I52" s="160"/>
      <c r="J52" s="160"/>
      <c r="K52" s="160"/>
      <c r="L52" s="160"/>
      <c r="M52" s="160"/>
      <c r="N52" s="160"/>
      <c r="O52" s="160"/>
      <c r="P52" s="160"/>
      <c r="AE52" s="161"/>
    </row>
    <row r="53" spans="3:31" ht="14.25" customHeight="1">
      <c r="C53" s="160"/>
      <c r="D53" s="160"/>
      <c r="E53" s="160"/>
      <c r="F53" s="160"/>
      <c r="G53" s="160"/>
      <c r="H53" s="160"/>
      <c r="I53" s="160"/>
      <c r="J53" s="160"/>
      <c r="K53" s="160"/>
      <c r="L53" s="160"/>
      <c r="M53" s="160"/>
      <c r="N53" s="160"/>
      <c r="O53" s="160"/>
      <c r="P53" s="160"/>
      <c r="AE53" s="161"/>
    </row>
    <row r="54" spans="3:31" ht="14.25" customHeight="1">
      <c r="C54" s="160"/>
      <c r="D54" s="160"/>
      <c r="E54" s="160"/>
      <c r="F54" s="160"/>
      <c r="G54" s="160"/>
      <c r="H54" s="160"/>
      <c r="I54" s="160"/>
      <c r="J54" s="160"/>
      <c r="K54" s="160"/>
      <c r="L54" s="160"/>
      <c r="M54" s="160"/>
      <c r="N54" s="160"/>
      <c r="O54" s="160"/>
      <c r="P54" s="160"/>
      <c r="AE54" s="161"/>
    </row>
    <row r="55" spans="3:31" ht="14.25" customHeight="1">
      <c r="C55" s="160"/>
      <c r="D55" s="160"/>
      <c r="E55" s="160"/>
      <c r="F55" s="160"/>
      <c r="G55" s="160"/>
      <c r="H55" s="160"/>
      <c r="I55" s="160"/>
      <c r="J55" s="160"/>
      <c r="K55" s="160"/>
      <c r="L55" s="160"/>
      <c r="M55" s="160"/>
      <c r="N55" s="160"/>
      <c r="O55" s="160"/>
      <c r="P55" s="160"/>
      <c r="AE55" s="161"/>
    </row>
    <row r="56" spans="3:31" ht="14.25" customHeight="1">
      <c r="C56" s="160"/>
      <c r="D56" s="160"/>
      <c r="E56" s="160"/>
      <c r="F56" s="160"/>
      <c r="G56" s="160"/>
      <c r="H56" s="160"/>
      <c r="I56" s="160"/>
      <c r="J56" s="160"/>
      <c r="K56" s="160"/>
      <c r="L56" s="160"/>
      <c r="M56" s="160"/>
      <c r="N56" s="160"/>
      <c r="O56" s="160"/>
      <c r="P56" s="160"/>
      <c r="AE56" s="161"/>
    </row>
    <row r="57" spans="3:31" ht="14.25" customHeight="1">
      <c r="C57" s="160"/>
      <c r="D57" s="160"/>
      <c r="E57" s="160"/>
      <c r="F57" s="160"/>
      <c r="G57" s="160"/>
      <c r="H57" s="160"/>
      <c r="I57" s="160"/>
      <c r="J57" s="160"/>
      <c r="K57" s="160"/>
      <c r="L57" s="160"/>
      <c r="M57" s="160"/>
      <c r="N57" s="160"/>
      <c r="O57" s="160"/>
      <c r="P57" s="160"/>
      <c r="AE57" s="161"/>
    </row>
    <row r="58" spans="3:31" ht="14.25" customHeight="1">
      <c r="C58" s="160"/>
      <c r="D58" s="160"/>
      <c r="E58" s="160"/>
      <c r="F58" s="160"/>
      <c r="G58" s="160"/>
      <c r="H58" s="160"/>
      <c r="I58" s="160"/>
      <c r="J58" s="160"/>
      <c r="K58" s="160"/>
      <c r="L58" s="160"/>
      <c r="M58" s="160"/>
      <c r="N58" s="160"/>
      <c r="O58" s="160"/>
      <c r="P58" s="160"/>
      <c r="AE58" s="161"/>
    </row>
    <row r="59" spans="3:31" ht="14.25" customHeight="1">
      <c r="C59" s="160"/>
      <c r="D59" s="160"/>
      <c r="E59" s="160"/>
      <c r="F59" s="160"/>
      <c r="G59" s="160"/>
      <c r="H59" s="160"/>
      <c r="I59" s="160"/>
      <c r="J59" s="160"/>
      <c r="K59" s="160"/>
      <c r="L59" s="160"/>
      <c r="M59" s="160"/>
      <c r="N59" s="160"/>
      <c r="O59" s="160"/>
      <c r="P59" s="160"/>
      <c r="AE59" s="161"/>
    </row>
    <row r="60" spans="3:31" ht="14.25" customHeight="1">
      <c r="C60" s="160"/>
      <c r="D60" s="160"/>
      <c r="E60" s="160"/>
      <c r="F60" s="160"/>
      <c r="G60" s="160"/>
      <c r="H60" s="160"/>
      <c r="I60" s="160"/>
      <c r="J60" s="160"/>
      <c r="K60" s="160"/>
      <c r="L60" s="160"/>
      <c r="M60" s="160"/>
      <c r="N60" s="160"/>
      <c r="O60" s="160"/>
      <c r="P60" s="160"/>
      <c r="AE60" s="161"/>
    </row>
    <row r="61" spans="3:31" ht="14.25" customHeight="1">
      <c r="C61" s="160"/>
      <c r="D61" s="160"/>
      <c r="E61" s="160"/>
      <c r="F61" s="160"/>
      <c r="G61" s="160"/>
      <c r="H61" s="160"/>
      <c r="I61" s="160"/>
      <c r="J61" s="160"/>
      <c r="K61" s="160"/>
      <c r="L61" s="160"/>
      <c r="M61" s="160"/>
      <c r="N61" s="160"/>
      <c r="O61" s="160"/>
      <c r="P61" s="160"/>
      <c r="AE61" s="161"/>
    </row>
    <row r="62" spans="3:31" ht="14.25" customHeight="1">
      <c r="C62" s="160"/>
      <c r="D62" s="160"/>
      <c r="E62" s="160"/>
      <c r="F62" s="160"/>
      <c r="G62" s="160"/>
      <c r="H62" s="160"/>
      <c r="I62" s="160"/>
      <c r="J62" s="160"/>
      <c r="K62" s="160"/>
      <c r="L62" s="160"/>
      <c r="M62" s="160"/>
      <c r="N62" s="160"/>
      <c r="O62" s="160"/>
      <c r="P62" s="160"/>
      <c r="AE62" s="161"/>
    </row>
    <row r="63" spans="3:31" ht="14.25" customHeight="1">
      <c r="C63" s="160"/>
      <c r="D63" s="160"/>
      <c r="E63" s="160"/>
      <c r="F63" s="160"/>
      <c r="G63" s="160"/>
      <c r="H63" s="160"/>
      <c r="I63" s="160"/>
      <c r="J63" s="160"/>
      <c r="K63" s="160"/>
      <c r="L63" s="160"/>
      <c r="M63" s="160"/>
      <c r="N63" s="160"/>
      <c r="O63" s="160"/>
      <c r="P63" s="160"/>
      <c r="AE63" s="161"/>
    </row>
    <row r="64" spans="3:31" ht="14.25" customHeight="1">
      <c r="C64" s="160"/>
      <c r="D64" s="160"/>
      <c r="E64" s="160"/>
      <c r="F64" s="160"/>
      <c r="G64" s="160"/>
      <c r="H64" s="160"/>
      <c r="I64" s="160"/>
      <c r="J64" s="160"/>
      <c r="K64" s="160"/>
      <c r="L64" s="160"/>
      <c r="M64" s="160"/>
      <c r="N64" s="160"/>
      <c r="O64" s="160"/>
      <c r="P64" s="160"/>
      <c r="AE64" s="161"/>
    </row>
    <row r="65" spans="3:31" ht="14.25" customHeight="1">
      <c r="C65" s="160"/>
      <c r="D65" s="160"/>
      <c r="E65" s="160"/>
      <c r="F65" s="160"/>
      <c r="G65" s="160"/>
      <c r="H65" s="160"/>
      <c r="I65" s="160"/>
      <c r="J65" s="160"/>
      <c r="K65" s="160"/>
      <c r="L65" s="160"/>
      <c r="M65" s="160"/>
      <c r="N65" s="160"/>
      <c r="O65" s="160"/>
      <c r="P65" s="160"/>
      <c r="AE65" s="161"/>
    </row>
    <row r="66" spans="3:31" ht="14.25" customHeight="1">
      <c r="C66" s="160"/>
      <c r="D66" s="160"/>
      <c r="E66" s="160"/>
      <c r="F66" s="160"/>
      <c r="G66" s="160"/>
      <c r="H66" s="160"/>
      <c r="I66" s="160"/>
      <c r="J66" s="160"/>
      <c r="K66" s="160"/>
      <c r="L66" s="160"/>
      <c r="M66" s="160"/>
      <c r="N66" s="160"/>
      <c r="O66" s="160"/>
      <c r="P66" s="160"/>
      <c r="AE66" s="161"/>
    </row>
    <row r="67" spans="3:31" ht="14.25" customHeight="1">
      <c r="C67" s="160"/>
      <c r="D67" s="160"/>
      <c r="E67" s="160"/>
      <c r="F67" s="160"/>
      <c r="G67" s="160"/>
      <c r="H67" s="160"/>
      <c r="I67" s="160"/>
      <c r="J67" s="160"/>
      <c r="K67" s="160"/>
      <c r="L67" s="160"/>
      <c r="M67" s="160"/>
      <c r="N67" s="160"/>
      <c r="O67" s="160"/>
      <c r="P67" s="160"/>
      <c r="AE67" s="161"/>
    </row>
    <row r="68" spans="3:31" ht="14.25" customHeight="1">
      <c r="C68" s="160"/>
      <c r="D68" s="160"/>
      <c r="E68" s="160"/>
      <c r="F68" s="160"/>
      <c r="G68" s="160"/>
      <c r="H68" s="160"/>
      <c r="I68" s="160"/>
      <c r="J68" s="160"/>
      <c r="K68" s="160"/>
      <c r="L68" s="160"/>
      <c r="M68" s="160"/>
      <c r="N68" s="160"/>
      <c r="O68" s="160"/>
      <c r="P68" s="160"/>
      <c r="AE68" s="161"/>
    </row>
    <row r="69" spans="3:31" ht="14.25" customHeight="1">
      <c r="C69" s="160"/>
      <c r="D69" s="160"/>
      <c r="E69" s="160"/>
      <c r="F69" s="160"/>
      <c r="G69" s="160"/>
      <c r="H69" s="160"/>
      <c r="I69" s="160"/>
      <c r="J69" s="160"/>
      <c r="K69" s="160"/>
      <c r="L69" s="160"/>
      <c r="M69" s="160"/>
      <c r="N69" s="160"/>
      <c r="O69" s="160"/>
      <c r="P69" s="160"/>
      <c r="AE69" s="161"/>
    </row>
    <row r="70" spans="3:31" ht="14.25" customHeight="1">
      <c r="C70" s="160"/>
      <c r="D70" s="160"/>
      <c r="E70" s="160"/>
      <c r="F70" s="160"/>
      <c r="G70" s="160"/>
      <c r="H70" s="160"/>
      <c r="I70" s="160"/>
      <c r="J70" s="160"/>
      <c r="K70" s="160"/>
      <c r="L70" s="160"/>
      <c r="M70" s="160"/>
      <c r="N70" s="160"/>
      <c r="O70" s="160"/>
      <c r="P70" s="160"/>
      <c r="AE70" s="161"/>
    </row>
    <row r="71" spans="3:31" ht="14.25" customHeight="1">
      <c r="C71" s="160"/>
      <c r="D71" s="160"/>
      <c r="E71" s="160"/>
      <c r="F71" s="160"/>
      <c r="G71" s="160"/>
      <c r="H71" s="160"/>
      <c r="I71" s="160"/>
      <c r="J71" s="160"/>
      <c r="K71" s="160"/>
      <c r="L71" s="160"/>
      <c r="M71" s="160"/>
      <c r="N71" s="160"/>
      <c r="O71" s="160"/>
      <c r="P71" s="160"/>
      <c r="AE71" s="161"/>
    </row>
    <row r="72" spans="3:31" ht="14.25" customHeight="1">
      <c r="C72" s="160"/>
      <c r="D72" s="160"/>
      <c r="E72" s="160"/>
      <c r="F72" s="160"/>
      <c r="G72" s="160"/>
      <c r="H72" s="160"/>
      <c r="I72" s="160"/>
      <c r="J72" s="160"/>
      <c r="K72" s="160"/>
      <c r="L72" s="160"/>
      <c r="M72" s="160"/>
      <c r="N72" s="160"/>
      <c r="O72" s="160"/>
      <c r="P72" s="160"/>
      <c r="AE72" s="161"/>
    </row>
    <row r="73" spans="3:31" ht="14.25" customHeight="1">
      <c r="C73" s="160"/>
      <c r="D73" s="160"/>
      <c r="E73" s="160"/>
      <c r="F73" s="160"/>
      <c r="G73" s="160"/>
      <c r="H73" s="160"/>
      <c r="I73" s="160"/>
      <c r="J73" s="160"/>
      <c r="K73" s="160"/>
      <c r="L73" s="160"/>
      <c r="M73" s="160"/>
      <c r="N73" s="160"/>
      <c r="O73" s="160"/>
      <c r="P73" s="160"/>
      <c r="AE73" s="161"/>
    </row>
    <row r="74" spans="3:31" ht="14.25" customHeight="1">
      <c r="C74" s="160"/>
      <c r="D74" s="160"/>
      <c r="E74" s="160"/>
      <c r="F74" s="160"/>
      <c r="G74" s="160"/>
      <c r="H74" s="160"/>
      <c r="I74" s="160"/>
      <c r="J74" s="160"/>
      <c r="K74" s="160"/>
      <c r="L74" s="160"/>
      <c r="M74" s="160"/>
      <c r="N74" s="160"/>
      <c r="O74" s="160"/>
      <c r="P74" s="160"/>
      <c r="AE74" s="161"/>
    </row>
    <row r="75" spans="3:31" ht="14.25" customHeight="1">
      <c r="C75" s="160"/>
      <c r="D75" s="160"/>
      <c r="E75" s="160"/>
      <c r="F75" s="160"/>
      <c r="G75" s="160"/>
      <c r="H75" s="160"/>
      <c r="I75" s="160"/>
      <c r="J75" s="160"/>
      <c r="K75" s="160"/>
      <c r="L75" s="160"/>
      <c r="M75" s="160"/>
      <c r="N75" s="160"/>
      <c r="O75" s="160"/>
      <c r="P75" s="160"/>
      <c r="AE75" s="161"/>
    </row>
    <row r="76" spans="3:31" ht="14.25" customHeight="1">
      <c r="C76" s="160"/>
      <c r="D76" s="160"/>
      <c r="E76" s="160"/>
      <c r="F76" s="160"/>
      <c r="G76" s="160"/>
      <c r="H76" s="160"/>
      <c r="I76" s="160"/>
      <c r="J76" s="160"/>
      <c r="K76" s="160"/>
      <c r="L76" s="160"/>
      <c r="M76" s="160"/>
      <c r="N76" s="160"/>
      <c r="O76" s="160"/>
      <c r="P76" s="160"/>
      <c r="AE76" s="161"/>
    </row>
    <row r="77" spans="3:31" ht="14.25" customHeight="1">
      <c r="C77" s="160"/>
      <c r="D77" s="160"/>
      <c r="E77" s="160"/>
      <c r="F77" s="160"/>
      <c r="G77" s="160"/>
      <c r="H77" s="160"/>
      <c r="I77" s="160"/>
      <c r="J77" s="160"/>
      <c r="K77" s="160"/>
      <c r="L77" s="160"/>
      <c r="M77" s="160"/>
      <c r="N77" s="160"/>
      <c r="O77" s="160"/>
      <c r="P77" s="160"/>
      <c r="AE77" s="161"/>
    </row>
    <row r="78" spans="3:31" ht="14.25" customHeight="1">
      <c r="C78" s="160"/>
      <c r="D78" s="160"/>
      <c r="E78" s="160"/>
      <c r="F78" s="160"/>
      <c r="G78" s="160"/>
      <c r="H78" s="160"/>
      <c r="I78" s="160"/>
      <c r="J78" s="160"/>
      <c r="K78" s="160"/>
      <c r="L78" s="160"/>
      <c r="M78" s="160"/>
      <c r="N78" s="160"/>
      <c r="O78" s="160"/>
      <c r="P78" s="160"/>
      <c r="AE78" s="161"/>
    </row>
    <row r="79" spans="3:31" ht="14.25" customHeight="1">
      <c r="C79" s="160"/>
      <c r="D79" s="160"/>
      <c r="E79" s="160"/>
      <c r="F79" s="160"/>
      <c r="G79" s="160"/>
      <c r="H79" s="160"/>
      <c r="I79" s="160"/>
      <c r="J79" s="160"/>
      <c r="K79" s="160"/>
      <c r="L79" s="160"/>
      <c r="M79" s="160"/>
      <c r="N79" s="160"/>
      <c r="O79" s="160"/>
      <c r="P79" s="160"/>
      <c r="AE79" s="161"/>
    </row>
    <row r="80" spans="3:31" ht="14.25" customHeight="1">
      <c r="C80" s="160"/>
      <c r="D80" s="160"/>
      <c r="E80" s="160"/>
      <c r="F80" s="160"/>
      <c r="G80" s="160"/>
      <c r="H80" s="160"/>
      <c r="I80" s="160"/>
      <c r="J80" s="160"/>
      <c r="K80" s="160"/>
      <c r="L80" s="160"/>
      <c r="M80" s="160"/>
      <c r="N80" s="160"/>
      <c r="O80" s="160"/>
      <c r="P80" s="160"/>
      <c r="AE80" s="161"/>
    </row>
    <row r="81" spans="3:31" ht="14.25" customHeight="1">
      <c r="C81" s="160"/>
      <c r="D81" s="160"/>
      <c r="E81" s="160"/>
      <c r="F81" s="160"/>
      <c r="G81" s="160"/>
      <c r="H81" s="160"/>
      <c r="I81" s="160"/>
      <c r="J81" s="160"/>
      <c r="K81" s="160"/>
      <c r="L81" s="160"/>
      <c r="M81" s="160"/>
      <c r="N81" s="160"/>
      <c r="O81" s="160"/>
      <c r="P81" s="160"/>
      <c r="AE81" s="161"/>
    </row>
    <row r="82" spans="3:31" ht="14.25" customHeight="1">
      <c r="C82" s="160"/>
      <c r="D82" s="160"/>
      <c r="E82" s="160"/>
      <c r="F82" s="160"/>
      <c r="G82" s="160"/>
      <c r="H82" s="160"/>
      <c r="I82" s="160"/>
      <c r="J82" s="160"/>
      <c r="K82" s="160"/>
      <c r="L82" s="160"/>
      <c r="M82" s="160"/>
      <c r="N82" s="160"/>
      <c r="O82" s="160"/>
      <c r="P82" s="160"/>
      <c r="AE82" s="161"/>
    </row>
    <row r="83" spans="3:31" ht="14.25" customHeight="1">
      <c r="C83" s="160"/>
      <c r="D83" s="160"/>
      <c r="E83" s="160"/>
      <c r="F83" s="160"/>
      <c r="G83" s="160"/>
      <c r="H83" s="160"/>
      <c r="I83" s="160"/>
      <c r="J83" s="160"/>
      <c r="K83" s="160"/>
      <c r="L83" s="160"/>
      <c r="M83" s="160"/>
      <c r="N83" s="160"/>
      <c r="O83" s="160"/>
      <c r="P83" s="160"/>
      <c r="AE83" s="161"/>
    </row>
    <row r="84" spans="3:31" ht="14.25" customHeight="1">
      <c r="C84" s="160"/>
      <c r="D84" s="160"/>
      <c r="E84" s="160"/>
      <c r="F84" s="160"/>
      <c r="G84" s="160"/>
      <c r="H84" s="160"/>
      <c r="I84" s="160"/>
      <c r="J84" s="160"/>
      <c r="K84" s="160"/>
      <c r="L84" s="160"/>
      <c r="M84" s="160"/>
      <c r="N84" s="160"/>
      <c r="O84" s="160"/>
      <c r="P84" s="160"/>
      <c r="AE84" s="161"/>
    </row>
    <row r="85" spans="3:31" ht="14.25" customHeight="1">
      <c r="C85" s="160"/>
      <c r="D85" s="160"/>
      <c r="E85" s="160"/>
      <c r="F85" s="160"/>
      <c r="G85" s="160"/>
      <c r="H85" s="160"/>
      <c r="I85" s="160"/>
      <c r="J85" s="160"/>
      <c r="K85" s="160"/>
      <c r="L85" s="160"/>
      <c r="M85" s="160"/>
      <c r="N85" s="160"/>
      <c r="O85" s="160"/>
      <c r="P85" s="160"/>
      <c r="AE85" s="161"/>
    </row>
    <row r="86" spans="3:31" ht="14.25" customHeight="1">
      <c r="C86" s="160"/>
      <c r="D86" s="160"/>
      <c r="E86" s="160"/>
      <c r="F86" s="160"/>
      <c r="G86" s="160"/>
      <c r="H86" s="160"/>
      <c r="I86" s="160"/>
      <c r="J86" s="160"/>
      <c r="K86" s="160"/>
      <c r="L86" s="160"/>
      <c r="M86" s="160"/>
      <c r="N86" s="160"/>
      <c r="O86" s="160"/>
      <c r="P86" s="160"/>
      <c r="AE86" s="161"/>
    </row>
    <row r="87" spans="3:31" ht="14.25" customHeight="1">
      <c r="C87" s="160"/>
      <c r="D87" s="160"/>
      <c r="E87" s="160"/>
      <c r="F87" s="160"/>
      <c r="G87" s="160"/>
      <c r="H87" s="160"/>
      <c r="I87" s="160"/>
      <c r="J87" s="160"/>
      <c r="K87" s="160"/>
      <c r="L87" s="160"/>
      <c r="M87" s="160"/>
      <c r="N87" s="160"/>
      <c r="O87" s="160"/>
      <c r="P87" s="160"/>
      <c r="AE87" s="161"/>
    </row>
    <row r="88" spans="3:31" ht="14.25" customHeight="1">
      <c r="C88" s="160"/>
      <c r="D88" s="160"/>
      <c r="E88" s="160"/>
      <c r="F88" s="160"/>
      <c r="G88" s="160"/>
      <c r="H88" s="160"/>
      <c r="I88" s="160"/>
      <c r="J88" s="160"/>
      <c r="K88" s="160"/>
      <c r="L88" s="160"/>
      <c r="M88" s="160"/>
      <c r="N88" s="160"/>
      <c r="O88" s="160"/>
      <c r="P88" s="160"/>
      <c r="AE88" s="161"/>
    </row>
    <row r="89" spans="3:31" ht="14.25" customHeight="1">
      <c r="C89" s="160"/>
      <c r="D89" s="160"/>
      <c r="E89" s="160"/>
      <c r="F89" s="160"/>
      <c r="G89" s="160"/>
      <c r="H89" s="160"/>
      <c r="I89" s="160"/>
      <c r="J89" s="160"/>
      <c r="K89" s="160"/>
      <c r="L89" s="160"/>
      <c r="M89" s="160"/>
      <c r="N89" s="160"/>
      <c r="O89" s="160"/>
      <c r="P89" s="160"/>
      <c r="AE89" s="161"/>
    </row>
    <row r="90" spans="3:31" ht="14.25" customHeight="1">
      <c r="C90" s="160"/>
      <c r="D90" s="160"/>
      <c r="E90" s="160"/>
      <c r="F90" s="160"/>
      <c r="G90" s="160"/>
      <c r="H90" s="160"/>
      <c r="I90" s="160"/>
      <c r="J90" s="160"/>
      <c r="K90" s="160"/>
      <c r="L90" s="160"/>
      <c r="M90" s="160"/>
      <c r="N90" s="160"/>
      <c r="O90" s="160"/>
      <c r="P90" s="160"/>
      <c r="AE90" s="161"/>
    </row>
    <row r="91" spans="3:31" ht="14.25" customHeight="1">
      <c r="C91" s="160"/>
      <c r="D91" s="160"/>
      <c r="E91" s="160"/>
      <c r="F91" s="160"/>
      <c r="G91" s="160"/>
      <c r="H91" s="160"/>
      <c r="I91" s="160"/>
      <c r="J91" s="160"/>
      <c r="K91" s="160"/>
      <c r="L91" s="160"/>
      <c r="M91" s="160"/>
      <c r="N91" s="160"/>
      <c r="O91" s="160"/>
      <c r="P91" s="160"/>
      <c r="AE91" s="161"/>
    </row>
    <row r="92" spans="3:31" ht="14.25" customHeight="1">
      <c r="C92" s="160"/>
      <c r="D92" s="160"/>
      <c r="E92" s="160"/>
      <c r="F92" s="160"/>
      <c r="G92" s="160"/>
      <c r="H92" s="160"/>
      <c r="I92" s="160"/>
      <c r="J92" s="160"/>
      <c r="K92" s="160"/>
      <c r="L92" s="160"/>
      <c r="M92" s="160"/>
      <c r="N92" s="160"/>
      <c r="O92" s="160"/>
      <c r="P92" s="160"/>
      <c r="AE92" s="161"/>
    </row>
    <row r="93" spans="3:31" ht="14.25" customHeight="1">
      <c r="C93" s="160"/>
      <c r="D93" s="160"/>
      <c r="E93" s="160"/>
      <c r="F93" s="160"/>
      <c r="G93" s="160"/>
      <c r="H93" s="160"/>
      <c r="I93" s="160"/>
      <c r="J93" s="160"/>
      <c r="K93" s="160"/>
      <c r="L93" s="160"/>
      <c r="M93" s="160"/>
      <c r="N93" s="160"/>
      <c r="O93" s="160"/>
      <c r="P93" s="160"/>
      <c r="AE93" s="161"/>
    </row>
    <row r="94" spans="3:31" ht="14.25" customHeight="1">
      <c r="C94" s="160"/>
      <c r="D94" s="160"/>
      <c r="E94" s="160"/>
      <c r="F94" s="160"/>
      <c r="G94" s="160"/>
      <c r="H94" s="160"/>
      <c r="I94" s="160"/>
      <c r="J94" s="160"/>
      <c r="K94" s="160"/>
      <c r="L94" s="160"/>
      <c r="M94" s="160"/>
      <c r="N94" s="160"/>
      <c r="O94" s="160"/>
      <c r="P94" s="160"/>
      <c r="AE94" s="161"/>
    </row>
    <row r="95" spans="3:31" ht="14.25" customHeight="1">
      <c r="C95" s="160"/>
      <c r="D95" s="160"/>
      <c r="E95" s="160"/>
      <c r="F95" s="160"/>
      <c r="G95" s="160"/>
      <c r="H95" s="160"/>
      <c r="I95" s="160"/>
      <c r="J95" s="160"/>
      <c r="K95" s="160"/>
      <c r="L95" s="160"/>
      <c r="M95" s="160"/>
      <c r="N95" s="160"/>
      <c r="O95" s="160"/>
      <c r="P95" s="160"/>
      <c r="AE95" s="161"/>
    </row>
    <row r="96" spans="3:31" ht="14.25" customHeight="1">
      <c r="C96" s="160"/>
      <c r="D96" s="160"/>
      <c r="E96" s="160"/>
      <c r="F96" s="160"/>
      <c r="G96" s="160"/>
      <c r="H96" s="160"/>
      <c r="I96" s="160"/>
      <c r="J96" s="160"/>
      <c r="K96" s="160"/>
      <c r="L96" s="160"/>
      <c r="M96" s="160"/>
      <c r="N96" s="160"/>
      <c r="O96" s="160"/>
      <c r="P96" s="160"/>
      <c r="AE96" s="161"/>
    </row>
    <row r="97" spans="3:31" ht="14.25" customHeight="1">
      <c r="C97" s="160"/>
      <c r="D97" s="160"/>
      <c r="E97" s="160"/>
      <c r="F97" s="160"/>
      <c r="G97" s="160"/>
      <c r="H97" s="160"/>
      <c r="I97" s="160"/>
      <c r="J97" s="160"/>
      <c r="K97" s="160"/>
      <c r="L97" s="160"/>
      <c r="M97" s="160"/>
      <c r="N97" s="160"/>
      <c r="O97" s="160"/>
      <c r="P97" s="160"/>
      <c r="AE97" s="161"/>
    </row>
    <row r="98" spans="3:31" ht="14.25" customHeight="1">
      <c r="C98" s="160"/>
      <c r="D98" s="160"/>
      <c r="E98" s="160"/>
      <c r="F98" s="160"/>
      <c r="G98" s="160"/>
      <c r="H98" s="160"/>
      <c r="I98" s="160"/>
      <c r="J98" s="160"/>
      <c r="K98" s="160"/>
      <c r="L98" s="160"/>
      <c r="M98" s="160"/>
      <c r="N98" s="160"/>
      <c r="O98" s="160"/>
      <c r="P98" s="160"/>
      <c r="AE98" s="161"/>
    </row>
    <row r="99" spans="3:31" ht="14.25" customHeight="1">
      <c r="C99" s="160"/>
      <c r="D99" s="160"/>
      <c r="E99" s="160"/>
      <c r="F99" s="160"/>
      <c r="G99" s="160"/>
      <c r="H99" s="160"/>
      <c r="I99" s="160"/>
      <c r="J99" s="160"/>
      <c r="K99" s="160"/>
      <c r="L99" s="160"/>
      <c r="M99" s="160"/>
      <c r="N99" s="160"/>
      <c r="O99" s="160"/>
      <c r="P99" s="160"/>
      <c r="AE99" s="161"/>
    </row>
    <row r="100" spans="3:31" ht="14.25" customHeight="1">
      <c r="C100" s="160"/>
      <c r="D100" s="160"/>
      <c r="E100" s="160"/>
      <c r="F100" s="160"/>
      <c r="G100" s="160"/>
      <c r="H100" s="160"/>
      <c r="I100" s="160"/>
      <c r="J100" s="160"/>
      <c r="K100" s="160"/>
      <c r="L100" s="160"/>
      <c r="M100" s="160"/>
      <c r="N100" s="160"/>
      <c r="O100" s="160"/>
      <c r="P100" s="160"/>
      <c r="AE100" s="161"/>
    </row>
    <row r="101" spans="3:31" ht="14.25" customHeight="1">
      <c r="C101" s="160"/>
      <c r="D101" s="160"/>
      <c r="E101" s="160"/>
      <c r="F101" s="160"/>
      <c r="G101" s="160"/>
      <c r="H101" s="160"/>
      <c r="I101" s="160"/>
      <c r="J101" s="160"/>
      <c r="K101" s="160"/>
      <c r="L101" s="160"/>
      <c r="M101" s="160"/>
      <c r="N101" s="160"/>
      <c r="O101" s="160"/>
      <c r="P101" s="160"/>
      <c r="AE101" s="161"/>
    </row>
    <row r="102" spans="3:31" ht="14.25" customHeight="1">
      <c r="C102" s="160"/>
      <c r="D102" s="160"/>
      <c r="E102" s="160"/>
      <c r="F102" s="160"/>
      <c r="G102" s="160"/>
      <c r="H102" s="160"/>
      <c r="I102" s="160"/>
      <c r="J102" s="160"/>
      <c r="K102" s="160"/>
      <c r="L102" s="160"/>
      <c r="M102" s="160"/>
      <c r="N102" s="160"/>
      <c r="O102" s="160"/>
      <c r="P102" s="160"/>
      <c r="AE102" s="161"/>
    </row>
    <row r="103" spans="3:31" ht="14.25" customHeight="1">
      <c r="C103" s="160"/>
      <c r="D103" s="160"/>
      <c r="E103" s="160"/>
      <c r="F103" s="160"/>
      <c r="G103" s="160"/>
      <c r="H103" s="160"/>
      <c r="I103" s="160"/>
      <c r="J103" s="160"/>
      <c r="K103" s="160"/>
      <c r="L103" s="160"/>
      <c r="M103" s="160"/>
      <c r="N103" s="160"/>
      <c r="O103" s="160"/>
      <c r="P103" s="160"/>
      <c r="AE103" s="161"/>
    </row>
    <row r="104" spans="3:31" ht="14.25" customHeight="1">
      <c r="C104" s="160"/>
      <c r="D104" s="160"/>
      <c r="E104" s="160"/>
      <c r="F104" s="160"/>
      <c r="G104" s="160"/>
      <c r="H104" s="160"/>
      <c r="I104" s="160"/>
      <c r="J104" s="160"/>
      <c r="K104" s="160"/>
      <c r="L104" s="160"/>
      <c r="M104" s="160"/>
      <c r="N104" s="160"/>
      <c r="O104" s="160"/>
      <c r="P104" s="160"/>
      <c r="AE104" s="161"/>
    </row>
    <row r="105" spans="3:31" ht="14.25" customHeight="1">
      <c r="C105" s="160"/>
      <c r="D105" s="160"/>
      <c r="E105" s="160"/>
      <c r="F105" s="160"/>
      <c r="G105" s="160"/>
      <c r="H105" s="160"/>
      <c r="I105" s="160"/>
      <c r="J105" s="160"/>
      <c r="K105" s="160"/>
      <c r="L105" s="160"/>
      <c r="M105" s="160"/>
      <c r="N105" s="160"/>
      <c r="O105" s="160"/>
      <c r="P105" s="160"/>
      <c r="AE105" s="161"/>
    </row>
    <row r="106" spans="3:31" ht="14.25" customHeight="1">
      <c r="C106" s="160"/>
      <c r="D106" s="160"/>
      <c r="E106" s="160"/>
      <c r="F106" s="160"/>
      <c r="G106" s="160"/>
      <c r="H106" s="160"/>
      <c r="I106" s="160"/>
      <c r="J106" s="160"/>
      <c r="K106" s="160"/>
      <c r="L106" s="160"/>
      <c r="M106" s="160"/>
      <c r="N106" s="160"/>
      <c r="O106" s="160"/>
      <c r="P106" s="160"/>
      <c r="AE106" s="161"/>
    </row>
    <row r="107" spans="3:31" ht="14.25" customHeight="1">
      <c r="C107" s="160"/>
      <c r="D107" s="160"/>
      <c r="E107" s="160"/>
      <c r="F107" s="160"/>
      <c r="G107" s="160"/>
      <c r="H107" s="160"/>
      <c r="I107" s="160"/>
      <c r="J107" s="160"/>
      <c r="K107" s="160"/>
      <c r="L107" s="160"/>
      <c r="M107" s="160"/>
      <c r="N107" s="160"/>
      <c r="O107" s="160"/>
      <c r="P107" s="160"/>
      <c r="AE107" s="161"/>
    </row>
    <row r="108" spans="3:31" ht="14.25" customHeight="1">
      <c r="C108" s="160"/>
      <c r="D108" s="160"/>
      <c r="E108" s="160"/>
      <c r="F108" s="160"/>
      <c r="G108" s="160"/>
      <c r="H108" s="160"/>
      <c r="I108" s="160"/>
      <c r="J108" s="160"/>
      <c r="K108" s="160"/>
      <c r="L108" s="160"/>
      <c r="M108" s="160"/>
      <c r="N108" s="160"/>
      <c r="O108" s="160"/>
      <c r="P108" s="160"/>
      <c r="AE108" s="161"/>
    </row>
    <row r="109" spans="3:31" ht="14.25" customHeight="1">
      <c r="C109" s="160"/>
      <c r="D109" s="160"/>
      <c r="E109" s="160"/>
      <c r="F109" s="160"/>
      <c r="G109" s="160"/>
      <c r="H109" s="160"/>
      <c r="I109" s="160"/>
      <c r="J109" s="160"/>
      <c r="K109" s="160"/>
      <c r="L109" s="160"/>
      <c r="M109" s="160"/>
      <c r="N109" s="160"/>
      <c r="O109" s="160"/>
      <c r="P109" s="160"/>
      <c r="AE109" s="161"/>
    </row>
    <row r="110" spans="3:31" ht="14.25" customHeight="1">
      <c r="C110" s="160"/>
      <c r="D110" s="160"/>
      <c r="E110" s="160"/>
      <c r="F110" s="160"/>
      <c r="G110" s="160"/>
      <c r="H110" s="160"/>
      <c r="I110" s="160"/>
      <c r="J110" s="160"/>
      <c r="K110" s="160"/>
      <c r="L110" s="160"/>
      <c r="M110" s="160"/>
      <c r="N110" s="160"/>
      <c r="O110" s="160"/>
      <c r="P110" s="160"/>
      <c r="AE110" s="161"/>
    </row>
    <row r="111" spans="3:31" ht="14.25" customHeight="1">
      <c r="C111" s="160"/>
      <c r="D111" s="160"/>
      <c r="E111" s="160"/>
      <c r="F111" s="160"/>
      <c r="G111" s="160"/>
      <c r="H111" s="160"/>
      <c r="I111" s="160"/>
      <c r="J111" s="160"/>
      <c r="K111" s="160"/>
      <c r="L111" s="160"/>
      <c r="M111" s="160"/>
      <c r="N111" s="160"/>
      <c r="O111" s="160"/>
      <c r="P111" s="160"/>
      <c r="AE111" s="161"/>
    </row>
    <row r="112" spans="3:31" ht="14.25" customHeight="1">
      <c r="C112" s="160"/>
      <c r="D112" s="160"/>
      <c r="E112" s="160"/>
      <c r="F112" s="160"/>
      <c r="G112" s="160"/>
      <c r="H112" s="160"/>
      <c r="I112" s="160"/>
      <c r="J112" s="160"/>
      <c r="K112" s="160"/>
      <c r="L112" s="160"/>
      <c r="M112" s="160"/>
      <c r="N112" s="160"/>
      <c r="O112" s="160"/>
      <c r="P112" s="160"/>
      <c r="AE112" s="161"/>
    </row>
    <row r="113" spans="3:31" ht="14.25" customHeight="1">
      <c r="C113" s="160"/>
      <c r="D113" s="160"/>
      <c r="E113" s="160"/>
      <c r="F113" s="160"/>
      <c r="G113" s="160"/>
      <c r="H113" s="160"/>
      <c r="I113" s="160"/>
      <c r="J113" s="160"/>
      <c r="K113" s="160"/>
      <c r="L113" s="160"/>
      <c r="M113" s="160"/>
      <c r="N113" s="160"/>
      <c r="O113" s="160"/>
      <c r="P113" s="160"/>
      <c r="AE113" s="161"/>
    </row>
    <row r="114" spans="3:31" ht="14.25" customHeight="1">
      <c r="C114" s="160"/>
      <c r="D114" s="160"/>
      <c r="E114" s="160"/>
      <c r="F114" s="160"/>
      <c r="G114" s="160"/>
      <c r="H114" s="160"/>
      <c r="I114" s="160"/>
      <c r="J114" s="160"/>
      <c r="K114" s="160"/>
      <c r="L114" s="160"/>
      <c r="M114" s="160"/>
      <c r="N114" s="160"/>
      <c r="O114" s="160"/>
      <c r="P114" s="160"/>
      <c r="AE114" s="161"/>
    </row>
    <row r="115" spans="3:31" ht="14.25" customHeight="1">
      <c r="C115" s="160"/>
      <c r="D115" s="160"/>
      <c r="E115" s="160"/>
      <c r="F115" s="160"/>
      <c r="G115" s="160"/>
      <c r="H115" s="160"/>
      <c r="I115" s="160"/>
      <c r="J115" s="160"/>
      <c r="K115" s="160"/>
      <c r="L115" s="160"/>
      <c r="M115" s="160"/>
      <c r="N115" s="160"/>
      <c r="O115" s="160"/>
      <c r="P115" s="160"/>
      <c r="AE115" s="161"/>
    </row>
    <row r="116" spans="3:31" ht="14.25" customHeight="1">
      <c r="C116" s="160"/>
      <c r="D116" s="160"/>
      <c r="E116" s="160"/>
      <c r="F116" s="160"/>
      <c r="G116" s="160"/>
      <c r="H116" s="160"/>
      <c r="I116" s="160"/>
      <c r="J116" s="160"/>
      <c r="K116" s="160"/>
      <c r="L116" s="160"/>
      <c r="M116" s="160"/>
      <c r="N116" s="160"/>
      <c r="O116" s="160"/>
      <c r="P116" s="160"/>
      <c r="AE116" s="161"/>
    </row>
    <row r="117" spans="3:31" ht="14.25" customHeight="1">
      <c r="C117" s="160"/>
      <c r="D117" s="160"/>
      <c r="E117" s="160"/>
      <c r="F117" s="160"/>
      <c r="G117" s="160"/>
      <c r="H117" s="160"/>
      <c r="I117" s="160"/>
      <c r="J117" s="160"/>
      <c r="K117" s="160"/>
      <c r="L117" s="160"/>
      <c r="M117" s="160"/>
      <c r="N117" s="160"/>
      <c r="O117" s="160"/>
      <c r="P117" s="160"/>
      <c r="AE117" s="161"/>
    </row>
    <row r="118" spans="3:31" ht="14.25" customHeight="1">
      <c r="C118" s="160"/>
      <c r="D118" s="160"/>
      <c r="E118" s="160"/>
      <c r="F118" s="160"/>
      <c r="G118" s="160"/>
      <c r="H118" s="160"/>
      <c r="I118" s="160"/>
      <c r="J118" s="160"/>
      <c r="K118" s="160"/>
      <c r="L118" s="160"/>
      <c r="M118" s="160"/>
      <c r="N118" s="160"/>
      <c r="O118" s="160"/>
      <c r="P118" s="160"/>
      <c r="AE118" s="161"/>
    </row>
    <row r="119" spans="3:31" ht="14.25" customHeight="1">
      <c r="C119" s="160"/>
      <c r="D119" s="160"/>
      <c r="E119" s="160"/>
      <c r="F119" s="160"/>
      <c r="G119" s="160"/>
      <c r="H119" s="160"/>
      <c r="I119" s="160"/>
      <c r="J119" s="160"/>
      <c r="K119" s="160"/>
      <c r="L119" s="160"/>
      <c r="M119" s="160"/>
      <c r="N119" s="160"/>
      <c r="O119" s="160"/>
      <c r="P119" s="160"/>
      <c r="AE119" s="161"/>
    </row>
    <row r="120" spans="3:31" ht="14.25" customHeight="1">
      <c r="C120" s="160"/>
      <c r="D120" s="160"/>
      <c r="E120" s="160"/>
      <c r="F120" s="160"/>
      <c r="G120" s="160"/>
      <c r="H120" s="160"/>
      <c r="I120" s="160"/>
      <c r="J120" s="160"/>
      <c r="K120" s="160"/>
      <c r="L120" s="160"/>
      <c r="M120" s="160"/>
      <c r="N120" s="160"/>
      <c r="O120" s="160"/>
      <c r="P120" s="160"/>
      <c r="AE120" s="161"/>
    </row>
    <row r="121" spans="3:31" ht="14.25" customHeight="1">
      <c r="C121" s="160"/>
      <c r="D121" s="160"/>
      <c r="E121" s="160"/>
      <c r="F121" s="160"/>
      <c r="G121" s="160"/>
      <c r="H121" s="160"/>
      <c r="I121" s="160"/>
      <c r="J121" s="160"/>
      <c r="K121" s="160"/>
      <c r="L121" s="160"/>
      <c r="M121" s="160"/>
      <c r="N121" s="160"/>
      <c r="O121" s="160"/>
      <c r="P121" s="160"/>
      <c r="AE121" s="161"/>
    </row>
    <row r="122" spans="3:31" ht="14.25" customHeight="1">
      <c r="C122" s="160"/>
      <c r="D122" s="160"/>
      <c r="E122" s="160"/>
      <c r="F122" s="160"/>
      <c r="G122" s="160"/>
      <c r="H122" s="160"/>
      <c r="I122" s="160"/>
      <c r="J122" s="160"/>
      <c r="K122" s="160"/>
      <c r="L122" s="160"/>
      <c r="M122" s="160"/>
      <c r="N122" s="160"/>
      <c r="O122" s="160"/>
      <c r="P122" s="160"/>
      <c r="AE122" s="161"/>
    </row>
    <row r="123" spans="3:31" ht="14.25" customHeight="1">
      <c r="C123" s="160"/>
      <c r="D123" s="160"/>
      <c r="E123" s="160"/>
      <c r="F123" s="160"/>
      <c r="G123" s="160"/>
      <c r="H123" s="160"/>
      <c r="I123" s="160"/>
      <c r="J123" s="160"/>
      <c r="K123" s="160"/>
      <c r="L123" s="160"/>
      <c r="M123" s="160"/>
      <c r="N123" s="160"/>
      <c r="O123" s="160"/>
      <c r="P123" s="160"/>
      <c r="AE123" s="161"/>
    </row>
    <row r="124" spans="3:31" ht="14.25" customHeight="1">
      <c r="C124" s="160"/>
      <c r="D124" s="160"/>
      <c r="E124" s="160"/>
      <c r="F124" s="160"/>
      <c r="G124" s="160"/>
      <c r="H124" s="160"/>
      <c r="I124" s="160"/>
      <c r="J124" s="160"/>
      <c r="K124" s="160"/>
      <c r="L124" s="160"/>
      <c r="M124" s="160"/>
      <c r="N124" s="160"/>
      <c r="O124" s="160"/>
      <c r="P124" s="160"/>
      <c r="AE124" s="161"/>
    </row>
    <row r="125" spans="3:31" ht="14.25" customHeight="1">
      <c r="C125" s="160"/>
      <c r="D125" s="160"/>
      <c r="E125" s="160"/>
      <c r="F125" s="160"/>
      <c r="G125" s="160"/>
      <c r="H125" s="160"/>
      <c r="I125" s="160"/>
      <c r="J125" s="160"/>
      <c r="K125" s="160"/>
      <c r="L125" s="160"/>
      <c r="M125" s="160"/>
      <c r="N125" s="160"/>
      <c r="O125" s="160"/>
      <c r="P125" s="160"/>
      <c r="AE125" s="161"/>
    </row>
    <row r="126" spans="3:31" ht="14.25" customHeight="1">
      <c r="C126" s="160"/>
      <c r="D126" s="160"/>
      <c r="E126" s="160"/>
      <c r="F126" s="160"/>
      <c r="G126" s="160"/>
      <c r="H126" s="160"/>
      <c r="I126" s="160"/>
      <c r="J126" s="160"/>
      <c r="K126" s="160"/>
      <c r="L126" s="160"/>
      <c r="M126" s="160"/>
      <c r="N126" s="160"/>
      <c r="O126" s="160"/>
      <c r="P126" s="160"/>
      <c r="AE126" s="161"/>
    </row>
    <row r="127" spans="3:31" ht="14.25" customHeight="1">
      <c r="C127" s="160"/>
      <c r="D127" s="160"/>
      <c r="E127" s="160"/>
      <c r="F127" s="160"/>
      <c r="G127" s="160"/>
      <c r="H127" s="160"/>
      <c r="I127" s="160"/>
      <c r="J127" s="160"/>
      <c r="K127" s="160"/>
      <c r="L127" s="160"/>
      <c r="M127" s="160"/>
      <c r="N127" s="160"/>
      <c r="O127" s="160"/>
      <c r="P127" s="160"/>
      <c r="AE127" s="161"/>
    </row>
    <row r="128" spans="3:31" ht="14.25" customHeight="1">
      <c r="C128" s="160"/>
      <c r="D128" s="160"/>
      <c r="E128" s="160"/>
      <c r="F128" s="160"/>
      <c r="G128" s="160"/>
      <c r="H128" s="160"/>
      <c r="I128" s="160"/>
      <c r="J128" s="160"/>
      <c r="K128" s="160"/>
      <c r="L128" s="160"/>
      <c r="M128" s="160"/>
      <c r="N128" s="160"/>
      <c r="O128" s="160"/>
      <c r="P128" s="160"/>
      <c r="AE128" s="161"/>
    </row>
    <row r="129" spans="3:31" ht="14.25" customHeight="1">
      <c r="C129" s="160"/>
      <c r="D129" s="160"/>
      <c r="E129" s="160"/>
      <c r="F129" s="160"/>
      <c r="G129" s="160"/>
      <c r="H129" s="160"/>
      <c r="I129" s="160"/>
      <c r="J129" s="160"/>
      <c r="K129" s="160"/>
      <c r="L129" s="160"/>
      <c r="M129" s="160"/>
      <c r="N129" s="160"/>
      <c r="O129" s="160"/>
      <c r="P129" s="160"/>
      <c r="AE129" s="161"/>
    </row>
    <row r="130" spans="3:31" ht="14.25" customHeight="1">
      <c r="C130" s="160"/>
      <c r="D130" s="160"/>
      <c r="E130" s="160"/>
      <c r="F130" s="160"/>
      <c r="G130" s="160"/>
      <c r="H130" s="160"/>
      <c r="I130" s="160"/>
      <c r="J130" s="160"/>
      <c r="K130" s="160"/>
      <c r="L130" s="160"/>
      <c r="M130" s="160"/>
      <c r="N130" s="160"/>
      <c r="O130" s="160"/>
      <c r="P130" s="160"/>
      <c r="AE130" s="161"/>
    </row>
    <row r="131" spans="3:31" ht="14.25" customHeight="1">
      <c r="C131" s="160"/>
      <c r="D131" s="160"/>
      <c r="E131" s="160"/>
      <c r="F131" s="160"/>
      <c r="G131" s="160"/>
      <c r="H131" s="160"/>
      <c r="I131" s="160"/>
      <c r="J131" s="160"/>
      <c r="K131" s="160"/>
      <c r="L131" s="160"/>
      <c r="M131" s="160"/>
      <c r="N131" s="160"/>
      <c r="O131" s="160"/>
      <c r="P131" s="160"/>
      <c r="AE131" s="161"/>
    </row>
    <row r="132" spans="3:31" ht="14.25" customHeight="1">
      <c r="C132" s="160"/>
      <c r="D132" s="160"/>
      <c r="E132" s="160"/>
      <c r="F132" s="160"/>
      <c r="G132" s="160"/>
      <c r="H132" s="160"/>
      <c r="I132" s="160"/>
      <c r="J132" s="160"/>
      <c r="K132" s="160"/>
      <c r="L132" s="160"/>
      <c r="M132" s="160"/>
      <c r="N132" s="160"/>
      <c r="O132" s="160"/>
      <c r="P132" s="160"/>
      <c r="AE132" s="161"/>
    </row>
    <row r="133" spans="3:31" ht="14.25" customHeight="1">
      <c r="C133" s="160"/>
      <c r="D133" s="160"/>
      <c r="E133" s="160"/>
      <c r="F133" s="160"/>
      <c r="G133" s="160"/>
      <c r="H133" s="160"/>
      <c r="I133" s="160"/>
      <c r="J133" s="160"/>
      <c r="K133" s="160"/>
      <c r="L133" s="160"/>
      <c r="M133" s="160"/>
      <c r="N133" s="160"/>
      <c r="O133" s="160"/>
      <c r="P133" s="160"/>
      <c r="AE133" s="161"/>
    </row>
    <row r="134" spans="3:31" ht="14.25" customHeight="1">
      <c r="C134" s="160"/>
      <c r="D134" s="160"/>
      <c r="E134" s="160"/>
      <c r="F134" s="160"/>
      <c r="G134" s="160"/>
      <c r="H134" s="160"/>
      <c r="I134" s="160"/>
      <c r="J134" s="160"/>
      <c r="K134" s="160"/>
      <c r="L134" s="160"/>
      <c r="M134" s="160"/>
      <c r="N134" s="160"/>
      <c r="O134" s="160"/>
      <c r="P134" s="160"/>
      <c r="AE134" s="161"/>
    </row>
    <row r="135" spans="3:31" ht="14.25" customHeight="1">
      <c r="C135" s="160"/>
      <c r="D135" s="160"/>
      <c r="E135" s="160"/>
      <c r="F135" s="160"/>
      <c r="G135" s="160"/>
      <c r="H135" s="160"/>
      <c r="I135" s="160"/>
      <c r="J135" s="160"/>
      <c r="K135" s="160"/>
      <c r="L135" s="160"/>
      <c r="M135" s="160"/>
      <c r="N135" s="160"/>
      <c r="O135" s="160"/>
      <c r="P135" s="160"/>
      <c r="AE135" s="161"/>
    </row>
    <row r="136" spans="3:31" ht="14.25" customHeight="1">
      <c r="C136" s="160"/>
      <c r="D136" s="160"/>
      <c r="E136" s="160"/>
      <c r="F136" s="160"/>
      <c r="G136" s="160"/>
      <c r="H136" s="160"/>
      <c r="I136" s="160"/>
      <c r="J136" s="160"/>
      <c r="K136" s="160"/>
      <c r="L136" s="160"/>
      <c r="M136" s="160"/>
      <c r="N136" s="160"/>
      <c r="O136" s="160"/>
      <c r="P136" s="160"/>
      <c r="AE136" s="161"/>
    </row>
    <row r="137" spans="3:31" ht="14.25" customHeight="1">
      <c r="C137" s="160"/>
      <c r="D137" s="160"/>
      <c r="E137" s="160"/>
      <c r="F137" s="160"/>
      <c r="G137" s="160"/>
      <c r="H137" s="160"/>
      <c r="I137" s="160"/>
      <c r="J137" s="160"/>
      <c r="K137" s="160"/>
      <c r="L137" s="160"/>
      <c r="M137" s="160"/>
      <c r="N137" s="160"/>
      <c r="O137" s="160"/>
      <c r="P137" s="160"/>
      <c r="AE137" s="161"/>
    </row>
    <row r="138" spans="3:31" ht="14.25" customHeight="1">
      <c r="C138" s="160"/>
      <c r="D138" s="160"/>
      <c r="E138" s="160"/>
      <c r="F138" s="160"/>
      <c r="G138" s="160"/>
      <c r="H138" s="160"/>
      <c r="I138" s="160"/>
      <c r="J138" s="160"/>
      <c r="K138" s="160"/>
      <c r="L138" s="160"/>
      <c r="M138" s="160"/>
      <c r="N138" s="160"/>
      <c r="O138" s="160"/>
      <c r="P138" s="160"/>
      <c r="AE138" s="161"/>
    </row>
    <row r="139" spans="3:31" ht="14.25" customHeight="1">
      <c r="C139" s="160"/>
      <c r="D139" s="160"/>
      <c r="E139" s="160"/>
      <c r="F139" s="160"/>
      <c r="G139" s="160"/>
      <c r="H139" s="160"/>
      <c r="I139" s="160"/>
      <c r="J139" s="160"/>
      <c r="K139" s="160"/>
      <c r="L139" s="160"/>
      <c r="M139" s="160"/>
      <c r="N139" s="160"/>
      <c r="O139" s="160"/>
      <c r="P139" s="160"/>
      <c r="AE139" s="161"/>
    </row>
    <row r="140" spans="3:31" ht="14.25" customHeight="1">
      <c r="C140" s="160"/>
      <c r="D140" s="160"/>
      <c r="E140" s="160"/>
      <c r="F140" s="160"/>
      <c r="G140" s="160"/>
      <c r="H140" s="160"/>
      <c r="I140" s="160"/>
      <c r="J140" s="160"/>
      <c r="K140" s="160"/>
      <c r="L140" s="160"/>
      <c r="M140" s="160"/>
      <c r="N140" s="160"/>
      <c r="O140" s="160"/>
      <c r="P140" s="160"/>
      <c r="AE140" s="161"/>
    </row>
    <row r="141" spans="3:31" ht="14.25" customHeight="1">
      <c r="C141" s="160"/>
      <c r="D141" s="160"/>
      <c r="E141" s="160"/>
      <c r="F141" s="160"/>
      <c r="G141" s="160"/>
      <c r="H141" s="160"/>
      <c r="I141" s="160"/>
      <c r="J141" s="160"/>
      <c r="K141" s="160"/>
      <c r="L141" s="160"/>
      <c r="M141" s="160"/>
      <c r="N141" s="160"/>
      <c r="O141" s="160"/>
      <c r="P141" s="160"/>
      <c r="AE141" s="161"/>
    </row>
    <row r="142" spans="3:31" ht="14.25" customHeight="1">
      <c r="C142" s="160"/>
      <c r="D142" s="160"/>
      <c r="E142" s="160"/>
      <c r="F142" s="160"/>
      <c r="G142" s="160"/>
      <c r="H142" s="160"/>
      <c r="I142" s="160"/>
      <c r="J142" s="160"/>
      <c r="K142" s="160"/>
      <c r="L142" s="160"/>
      <c r="M142" s="160"/>
      <c r="N142" s="160"/>
      <c r="O142" s="160"/>
      <c r="P142" s="160"/>
      <c r="AE142" s="161"/>
    </row>
    <row r="143" spans="3:31" ht="14.25" customHeight="1">
      <c r="C143" s="160"/>
      <c r="D143" s="160"/>
      <c r="E143" s="160"/>
      <c r="F143" s="160"/>
      <c r="G143" s="160"/>
      <c r="H143" s="160"/>
      <c r="I143" s="160"/>
      <c r="J143" s="160"/>
      <c r="K143" s="160"/>
      <c r="L143" s="160"/>
      <c r="M143" s="160"/>
      <c r="N143" s="160"/>
      <c r="O143" s="160"/>
      <c r="P143" s="160"/>
      <c r="AE143" s="161"/>
    </row>
    <row r="144" spans="3:31" ht="14.25" customHeight="1">
      <c r="C144" s="160"/>
      <c r="D144" s="160"/>
      <c r="E144" s="160"/>
      <c r="F144" s="160"/>
      <c r="G144" s="160"/>
      <c r="H144" s="160"/>
      <c r="I144" s="160"/>
      <c r="J144" s="160"/>
      <c r="K144" s="160"/>
      <c r="L144" s="160"/>
      <c r="M144" s="160"/>
      <c r="N144" s="160"/>
      <c r="O144" s="160"/>
      <c r="P144" s="160"/>
      <c r="AE144" s="161"/>
    </row>
    <row r="145" spans="3:31" ht="14.25" customHeight="1">
      <c r="C145" s="160"/>
      <c r="D145" s="160"/>
      <c r="E145" s="160"/>
      <c r="F145" s="160"/>
      <c r="G145" s="160"/>
      <c r="H145" s="160"/>
      <c r="I145" s="160"/>
      <c r="J145" s="160"/>
      <c r="K145" s="160"/>
      <c r="L145" s="160"/>
      <c r="M145" s="160"/>
      <c r="N145" s="160"/>
      <c r="O145" s="160"/>
      <c r="P145" s="160"/>
      <c r="AE145" s="161"/>
    </row>
    <row r="146" spans="3:31" ht="14.25" customHeight="1">
      <c r="C146" s="160"/>
      <c r="D146" s="160"/>
      <c r="E146" s="160"/>
      <c r="F146" s="160"/>
      <c r="G146" s="160"/>
      <c r="H146" s="160"/>
      <c r="I146" s="160"/>
      <c r="J146" s="160"/>
      <c r="K146" s="160"/>
      <c r="L146" s="160"/>
      <c r="M146" s="160"/>
      <c r="N146" s="160"/>
      <c r="O146" s="160"/>
      <c r="P146" s="160"/>
      <c r="AE146" s="161"/>
    </row>
    <row r="147" spans="3:31" ht="14.25" customHeight="1">
      <c r="C147" s="160"/>
      <c r="D147" s="160"/>
      <c r="E147" s="160"/>
      <c r="F147" s="160"/>
      <c r="G147" s="160"/>
      <c r="H147" s="160"/>
      <c r="I147" s="160"/>
      <c r="J147" s="160"/>
      <c r="K147" s="160"/>
      <c r="L147" s="160"/>
      <c r="M147" s="160"/>
      <c r="N147" s="160"/>
      <c r="O147" s="160"/>
      <c r="P147" s="160"/>
      <c r="AE147" s="161"/>
    </row>
    <row r="148" spans="3:31" ht="14.25" customHeight="1">
      <c r="C148" s="160"/>
      <c r="D148" s="160"/>
      <c r="E148" s="160"/>
      <c r="F148" s="160"/>
      <c r="G148" s="160"/>
      <c r="H148" s="160"/>
      <c r="I148" s="160"/>
      <c r="J148" s="160"/>
      <c r="K148" s="160"/>
      <c r="L148" s="160"/>
      <c r="M148" s="160"/>
      <c r="N148" s="160"/>
      <c r="O148" s="160"/>
      <c r="P148" s="160"/>
      <c r="AE148" s="161"/>
    </row>
    <row r="149" spans="3:31" ht="14.25" customHeight="1">
      <c r="C149" s="160"/>
      <c r="D149" s="160"/>
      <c r="E149" s="160"/>
      <c r="F149" s="160"/>
      <c r="G149" s="160"/>
      <c r="H149" s="160"/>
      <c r="I149" s="160"/>
      <c r="J149" s="160"/>
      <c r="K149" s="160"/>
      <c r="L149" s="160"/>
      <c r="M149" s="160"/>
      <c r="N149" s="160"/>
      <c r="O149" s="160"/>
      <c r="P149" s="160"/>
      <c r="AE149" s="161"/>
    </row>
    <row r="150" spans="3:31" ht="14.25" customHeight="1">
      <c r="C150" s="160"/>
      <c r="D150" s="160"/>
      <c r="E150" s="160"/>
      <c r="F150" s="160"/>
      <c r="G150" s="160"/>
      <c r="H150" s="160"/>
      <c r="I150" s="160"/>
      <c r="J150" s="160"/>
      <c r="K150" s="160"/>
      <c r="L150" s="160"/>
      <c r="M150" s="160"/>
      <c r="N150" s="160"/>
      <c r="O150" s="160"/>
      <c r="P150" s="160"/>
      <c r="AE150" s="161"/>
    </row>
    <row r="151" spans="3:31" ht="14.25" customHeight="1">
      <c r="C151" s="160"/>
      <c r="D151" s="160"/>
      <c r="E151" s="160"/>
      <c r="F151" s="160"/>
      <c r="G151" s="160"/>
      <c r="H151" s="160"/>
      <c r="I151" s="160"/>
      <c r="J151" s="160"/>
      <c r="K151" s="160"/>
      <c r="L151" s="160"/>
      <c r="M151" s="160"/>
      <c r="N151" s="160"/>
      <c r="O151" s="160"/>
      <c r="P151" s="160"/>
      <c r="AE151" s="161"/>
    </row>
    <row r="152" spans="3:31" ht="14.25" customHeight="1">
      <c r="C152" s="160"/>
      <c r="D152" s="160"/>
      <c r="E152" s="160"/>
      <c r="F152" s="160"/>
      <c r="G152" s="160"/>
      <c r="H152" s="160"/>
      <c r="I152" s="160"/>
      <c r="J152" s="160"/>
      <c r="K152" s="160"/>
      <c r="L152" s="160"/>
      <c r="M152" s="160"/>
      <c r="N152" s="160"/>
      <c r="O152" s="160"/>
      <c r="P152" s="160"/>
      <c r="AE152" s="161"/>
    </row>
    <row r="153" spans="3:31" ht="14.25" customHeight="1">
      <c r="C153" s="160"/>
      <c r="D153" s="160"/>
      <c r="E153" s="160"/>
      <c r="F153" s="160"/>
      <c r="G153" s="160"/>
      <c r="H153" s="160"/>
      <c r="I153" s="160"/>
      <c r="J153" s="160"/>
      <c r="K153" s="160"/>
      <c r="L153" s="160"/>
      <c r="M153" s="160"/>
      <c r="N153" s="160"/>
      <c r="O153" s="160"/>
      <c r="P153" s="160"/>
      <c r="AE153" s="161"/>
    </row>
    <row r="154" spans="3:31" ht="14.25" customHeight="1">
      <c r="C154" s="160"/>
      <c r="D154" s="160"/>
      <c r="E154" s="160"/>
      <c r="F154" s="160"/>
      <c r="G154" s="160"/>
      <c r="H154" s="160"/>
      <c r="I154" s="160"/>
      <c r="J154" s="160"/>
      <c r="K154" s="160"/>
      <c r="L154" s="160"/>
      <c r="M154" s="160"/>
      <c r="N154" s="160"/>
      <c r="O154" s="160"/>
      <c r="P154" s="160"/>
      <c r="AE154" s="161"/>
    </row>
    <row r="155" spans="3:31" ht="14.25" customHeight="1">
      <c r="C155" s="160"/>
      <c r="D155" s="160"/>
      <c r="E155" s="160"/>
      <c r="F155" s="160"/>
      <c r="G155" s="160"/>
      <c r="H155" s="160"/>
      <c r="I155" s="160"/>
      <c r="J155" s="160"/>
      <c r="K155" s="160"/>
      <c r="L155" s="160"/>
      <c r="M155" s="160"/>
      <c r="N155" s="160"/>
      <c r="O155" s="160"/>
      <c r="P155" s="160"/>
      <c r="AE155" s="161"/>
    </row>
    <row r="156" spans="3:31" ht="14.25" customHeight="1">
      <c r="C156" s="160"/>
      <c r="D156" s="160"/>
      <c r="E156" s="160"/>
      <c r="F156" s="160"/>
      <c r="G156" s="160"/>
      <c r="H156" s="160"/>
      <c r="I156" s="160"/>
      <c r="J156" s="160"/>
      <c r="K156" s="160"/>
      <c r="L156" s="160"/>
      <c r="M156" s="160"/>
      <c r="N156" s="160"/>
      <c r="O156" s="160"/>
      <c r="P156" s="160"/>
      <c r="AE156" s="161"/>
    </row>
    <row r="157" spans="3:31" ht="14.25" customHeight="1">
      <c r="C157" s="160"/>
      <c r="D157" s="160"/>
      <c r="E157" s="160"/>
      <c r="F157" s="160"/>
      <c r="G157" s="160"/>
      <c r="H157" s="160"/>
      <c r="I157" s="160"/>
      <c r="J157" s="160"/>
      <c r="K157" s="160"/>
      <c r="L157" s="160"/>
      <c r="M157" s="160"/>
      <c r="N157" s="160"/>
      <c r="O157" s="160"/>
      <c r="P157" s="160"/>
      <c r="AE157" s="161"/>
    </row>
    <row r="158" spans="3:31" ht="14.25" customHeight="1">
      <c r="C158" s="160"/>
      <c r="D158" s="160"/>
      <c r="E158" s="160"/>
      <c r="F158" s="160"/>
      <c r="G158" s="160"/>
      <c r="H158" s="160"/>
      <c r="I158" s="160"/>
      <c r="J158" s="160"/>
      <c r="K158" s="160"/>
      <c r="L158" s="160"/>
      <c r="M158" s="160"/>
      <c r="N158" s="160"/>
      <c r="O158" s="160"/>
      <c r="P158" s="160"/>
      <c r="AE158" s="161"/>
    </row>
    <row r="159" spans="3:31" ht="14.25" customHeight="1">
      <c r="C159" s="160"/>
      <c r="D159" s="160"/>
      <c r="E159" s="160"/>
      <c r="F159" s="160"/>
      <c r="G159" s="160"/>
      <c r="H159" s="160"/>
      <c r="I159" s="160"/>
      <c r="J159" s="160"/>
      <c r="K159" s="160"/>
      <c r="L159" s="160"/>
      <c r="M159" s="160"/>
      <c r="N159" s="160"/>
      <c r="O159" s="160"/>
      <c r="P159" s="160"/>
      <c r="AE159" s="161"/>
    </row>
    <row r="160" spans="3:31" ht="14.25" customHeight="1">
      <c r="C160" s="160"/>
      <c r="D160" s="160"/>
      <c r="E160" s="160"/>
      <c r="F160" s="160"/>
      <c r="G160" s="160"/>
      <c r="H160" s="160"/>
      <c r="I160" s="160"/>
      <c r="J160" s="160"/>
      <c r="K160" s="160"/>
      <c r="L160" s="160"/>
      <c r="M160" s="160"/>
      <c r="N160" s="160"/>
      <c r="O160" s="160"/>
      <c r="P160" s="160"/>
      <c r="AE160" s="161"/>
    </row>
    <row r="161" spans="3:31" ht="14.25" customHeight="1">
      <c r="C161" s="160"/>
      <c r="D161" s="160"/>
      <c r="E161" s="160"/>
      <c r="F161" s="160"/>
      <c r="G161" s="160"/>
      <c r="H161" s="160"/>
      <c r="I161" s="160"/>
      <c r="J161" s="160"/>
      <c r="K161" s="160"/>
      <c r="L161" s="160"/>
      <c r="M161" s="160"/>
      <c r="N161" s="160"/>
      <c r="O161" s="160"/>
      <c r="P161" s="160"/>
      <c r="AE161" s="161"/>
    </row>
    <row r="162" spans="3:31" ht="14.25" customHeight="1">
      <c r="C162" s="160"/>
      <c r="D162" s="160"/>
      <c r="E162" s="160"/>
      <c r="F162" s="160"/>
      <c r="G162" s="160"/>
      <c r="H162" s="160"/>
      <c r="I162" s="160"/>
      <c r="J162" s="160"/>
      <c r="K162" s="160"/>
      <c r="L162" s="160"/>
      <c r="M162" s="160"/>
      <c r="N162" s="160"/>
      <c r="O162" s="160"/>
      <c r="P162" s="160"/>
      <c r="AE162" s="161"/>
    </row>
    <row r="163" spans="3:31" ht="14.25" customHeight="1">
      <c r="C163" s="160"/>
      <c r="D163" s="160"/>
      <c r="E163" s="160"/>
      <c r="F163" s="160"/>
      <c r="G163" s="160"/>
      <c r="H163" s="160"/>
      <c r="I163" s="160"/>
      <c r="J163" s="160"/>
      <c r="K163" s="160"/>
      <c r="L163" s="160"/>
      <c r="M163" s="160"/>
      <c r="N163" s="160"/>
      <c r="O163" s="160"/>
      <c r="P163" s="160"/>
      <c r="AE163" s="161"/>
    </row>
    <row r="164" spans="3:31" ht="14.25" customHeight="1">
      <c r="C164" s="160"/>
      <c r="D164" s="160"/>
      <c r="E164" s="160"/>
      <c r="F164" s="160"/>
      <c r="G164" s="160"/>
      <c r="H164" s="160"/>
      <c r="I164" s="160"/>
      <c r="J164" s="160"/>
      <c r="K164" s="160"/>
      <c r="L164" s="160"/>
      <c r="M164" s="160"/>
      <c r="N164" s="160"/>
      <c r="O164" s="160"/>
      <c r="P164" s="160"/>
      <c r="AE164" s="161"/>
    </row>
    <row r="165" spans="3:31" ht="14.25" customHeight="1">
      <c r="C165" s="160"/>
      <c r="D165" s="160"/>
      <c r="E165" s="160"/>
      <c r="F165" s="160"/>
      <c r="G165" s="160"/>
      <c r="H165" s="160"/>
      <c r="I165" s="160"/>
      <c r="J165" s="160"/>
      <c r="K165" s="160"/>
      <c r="L165" s="160"/>
      <c r="M165" s="160"/>
      <c r="N165" s="160"/>
      <c r="O165" s="160"/>
      <c r="P165" s="160"/>
      <c r="AE165" s="161"/>
    </row>
    <row r="166" spans="3:31" ht="14.25" customHeight="1">
      <c r="C166" s="160"/>
      <c r="D166" s="160"/>
      <c r="E166" s="160"/>
      <c r="F166" s="160"/>
      <c r="G166" s="160"/>
      <c r="H166" s="160"/>
      <c r="I166" s="160"/>
      <c r="J166" s="160"/>
      <c r="K166" s="160"/>
      <c r="L166" s="160"/>
      <c r="M166" s="160"/>
      <c r="N166" s="160"/>
      <c r="O166" s="160"/>
      <c r="P166" s="160"/>
      <c r="AE166" s="161"/>
    </row>
    <row r="167" spans="3:31" ht="14.25" customHeight="1">
      <c r="C167" s="160"/>
      <c r="D167" s="160"/>
      <c r="E167" s="160"/>
      <c r="F167" s="160"/>
      <c r="G167" s="160"/>
      <c r="H167" s="160"/>
      <c r="I167" s="160"/>
      <c r="J167" s="160"/>
      <c r="K167" s="160"/>
      <c r="L167" s="160"/>
      <c r="M167" s="160"/>
      <c r="N167" s="160"/>
      <c r="O167" s="160"/>
      <c r="P167" s="160"/>
      <c r="AE167" s="161"/>
    </row>
    <row r="168" spans="3:31" ht="14.25" customHeight="1">
      <c r="C168" s="160"/>
      <c r="D168" s="160"/>
      <c r="E168" s="160"/>
      <c r="F168" s="160"/>
      <c r="G168" s="160"/>
      <c r="H168" s="160"/>
      <c r="I168" s="160"/>
      <c r="J168" s="160"/>
      <c r="K168" s="160"/>
      <c r="L168" s="160"/>
      <c r="M168" s="160"/>
      <c r="N168" s="160"/>
      <c r="O168" s="160"/>
      <c r="P168" s="160"/>
      <c r="AE168" s="161"/>
    </row>
    <row r="169" spans="3:31" ht="14.25" customHeight="1">
      <c r="C169" s="160"/>
      <c r="D169" s="160"/>
      <c r="E169" s="160"/>
      <c r="F169" s="160"/>
      <c r="G169" s="160"/>
      <c r="H169" s="160"/>
      <c r="I169" s="160"/>
      <c r="J169" s="160"/>
      <c r="K169" s="160"/>
      <c r="L169" s="160"/>
      <c r="M169" s="160"/>
      <c r="N169" s="160"/>
      <c r="O169" s="160"/>
      <c r="P169" s="160"/>
      <c r="AE169" s="161"/>
    </row>
    <row r="170" spans="3:31" ht="14.25" customHeight="1">
      <c r="C170" s="160"/>
      <c r="D170" s="160"/>
      <c r="E170" s="160"/>
      <c r="F170" s="160"/>
      <c r="G170" s="160"/>
      <c r="H170" s="160"/>
      <c r="I170" s="160"/>
      <c r="J170" s="160"/>
      <c r="K170" s="160"/>
      <c r="L170" s="160"/>
      <c r="M170" s="160"/>
      <c r="N170" s="160"/>
      <c r="O170" s="160"/>
      <c r="P170" s="160"/>
      <c r="AE170" s="161"/>
    </row>
    <row r="171" spans="3:31" ht="14.25" customHeight="1">
      <c r="C171" s="160"/>
      <c r="D171" s="160"/>
      <c r="E171" s="160"/>
      <c r="F171" s="160"/>
      <c r="G171" s="160"/>
      <c r="H171" s="160"/>
      <c r="I171" s="160"/>
      <c r="J171" s="160"/>
      <c r="K171" s="160"/>
      <c r="L171" s="160"/>
      <c r="M171" s="160"/>
      <c r="N171" s="160"/>
      <c r="O171" s="160"/>
      <c r="P171" s="160"/>
      <c r="AE171" s="161"/>
    </row>
    <row r="172" spans="3:31" ht="14.25" customHeight="1">
      <c r="C172" s="160"/>
      <c r="D172" s="160"/>
      <c r="E172" s="160"/>
      <c r="F172" s="160"/>
      <c r="G172" s="160"/>
      <c r="H172" s="160"/>
      <c r="I172" s="160"/>
      <c r="J172" s="160"/>
      <c r="K172" s="160"/>
      <c r="L172" s="160"/>
      <c r="M172" s="160"/>
      <c r="N172" s="160"/>
      <c r="O172" s="160"/>
      <c r="P172" s="160"/>
      <c r="AE172" s="161"/>
    </row>
    <row r="173" spans="3:31" ht="14.25" customHeight="1">
      <c r="C173" s="160"/>
      <c r="D173" s="160"/>
      <c r="E173" s="160"/>
      <c r="F173" s="160"/>
      <c r="G173" s="160"/>
      <c r="H173" s="160"/>
      <c r="I173" s="160"/>
      <c r="J173" s="160"/>
      <c r="K173" s="160"/>
      <c r="L173" s="160"/>
      <c r="M173" s="160"/>
      <c r="N173" s="160"/>
      <c r="O173" s="160"/>
      <c r="P173" s="160"/>
      <c r="AE173" s="161"/>
    </row>
    <row r="174" spans="3:31" ht="14.25" customHeight="1">
      <c r="C174" s="160"/>
      <c r="D174" s="160"/>
      <c r="E174" s="160"/>
      <c r="F174" s="160"/>
      <c r="G174" s="160"/>
      <c r="H174" s="160"/>
      <c r="I174" s="160"/>
      <c r="J174" s="160"/>
      <c r="K174" s="160"/>
      <c r="L174" s="160"/>
      <c r="M174" s="160"/>
      <c r="N174" s="160"/>
      <c r="O174" s="160"/>
      <c r="P174" s="160"/>
      <c r="AE174" s="161"/>
    </row>
    <row r="175" spans="3:31" ht="14.25" customHeight="1">
      <c r="C175" s="160"/>
      <c r="D175" s="160"/>
      <c r="E175" s="160"/>
      <c r="F175" s="160"/>
      <c r="G175" s="160"/>
      <c r="H175" s="160"/>
      <c r="I175" s="160"/>
      <c r="J175" s="160"/>
      <c r="K175" s="160"/>
      <c r="L175" s="160"/>
      <c r="M175" s="160"/>
      <c r="N175" s="160"/>
      <c r="O175" s="160"/>
      <c r="P175" s="160"/>
      <c r="AE175" s="161"/>
    </row>
    <row r="176" spans="3:31" ht="14.25" customHeight="1">
      <c r="C176" s="160"/>
      <c r="D176" s="160"/>
      <c r="E176" s="160"/>
      <c r="F176" s="160"/>
      <c r="G176" s="160"/>
      <c r="H176" s="160"/>
      <c r="I176" s="160"/>
      <c r="J176" s="160"/>
      <c r="K176" s="160"/>
      <c r="L176" s="160"/>
      <c r="M176" s="160"/>
      <c r="N176" s="160"/>
      <c r="O176" s="160"/>
      <c r="P176" s="160"/>
      <c r="AE176" s="161"/>
    </row>
    <row r="177" spans="3:31" ht="14.25" customHeight="1">
      <c r="C177" s="160"/>
      <c r="D177" s="160"/>
      <c r="E177" s="160"/>
      <c r="F177" s="160"/>
      <c r="G177" s="160"/>
      <c r="H177" s="160"/>
      <c r="I177" s="160"/>
      <c r="J177" s="160"/>
      <c r="K177" s="160"/>
      <c r="L177" s="160"/>
      <c r="M177" s="160"/>
      <c r="N177" s="160"/>
      <c r="O177" s="160"/>
      <c r="P177" s="160"/>
      <c r="AE177" s="161"/>
    </row>
    <row r="178" spans="3:31" ht="14.25" customHeight="1">
      <c r="C178" s="160"/>
      <c r="D178" s="160"/>
      <c r="E178" s="160"/>
      <c r="F178" s="160"/>
      <c r="G178" s="160"/>
      <c r="H178" s="160"/>
      <c r="I178" s="160"/>
      <c r="J178" s="160"/>
      <c r="K178" s="160"/>
      <c r="L178" s="160"/>
      <c r="M178" s="160"/>
      <c r="N178" s="160"/>
      <c r="O178" s="160"/>
      <c r="P178" s="160"/>
      <c r="AE178" s="161"/>
    </row>
    <row r="179" spans="3:31" ht="14.25" customHeight="1">
      <c r="C179" s="160"/>
      <c r="D179" s="160"/>
      <c r="E179" s="160"/>
      <c r="F179" s="160"/>
      <c r="G179" s="160"/>
      <c r="H179" s="160"/>
      <c r="I179" s="160"/>
      <c r="J179" s="160"/>
      <c r="K179" s="160"/>
      <c r="L179" s="160"/>
      <c r="M179" s="160"/>
      <c r="N179" s="160"/>
      <c r="O179" s="160"/>
      <c r="P179" s="160"/>
      <c r="AE179" s="161"/>
    </row>
    <row r="180" spans="3:31" ht="14.25" customHeight="1">
      <c r="C180" s="160"/>
      <c r="D180" s="160"/>
      <c r="E180" s="160"/>
      <c r="F180" s="160"/>
      <c r="G180" s="160"/>
      <c r="H180" s="160"/>
      <c r="I180" s="160"/>
      <c r="J180" s="160"/>
      <c r="K180" s="160"/>
      <c r="L180" s="160"/>
      <c r="M180" s="160"/>
      <c r="N180" s="160"/>
      <c r="O180" s="160"/>
      <c r="P180" s="160"/>
      <c r="AE180" s="161"/>
    </row>
    <row r="181" spans="3:31" ht="14.25" customHeight="1">
      <c r="C181" s="160"/>
      <c r="D181" s="160"/>
      <c r="E181" s="160"/>
      <c r="F181" s="160"/>
      <c r="G181" s="160"/>
      <c r="H181" s="160"/>
      <c r="I181" s="160"/>
      <c r="J181" s="160"/>
      <c r="K181" s="160"/>
      <c r="L181" s="160"/>
      <c r="M181" s="160"/>
      <c r="N181" s="160"/>
      <c r="O181" s="160"/>
      <c r="P181" s="160"/>
      <c r="AE181" s="161"/>
    </row>
    <row r="182" spans="3:31" ht="14.25" customHeight="1">
      <c r="C182" s="160"/>
      <c r="D182" s="160"/>
      <c r="E182" s="160"/>
      <c r="F182" s="160"/>
      <c r="G182" s="160"/>
      <c r="H182" s="160"/>
      <c r="I182" s="160"/>
      <c r="J182" s="160"/>
      <c r="K182" s="160"/>
      <c r="L182" s="160"/>
      <c r="M182" s="160"/>
      <c r="N182" s="160"/>
      <c r="O182" s="160"/>
      <c r="P182" s="160"/>
      <c r="AE182" s="161"/>
    </row>
    <row r="183" spans="3:31" ht="14.25" customHeight="1">
      <c r="C183" s="160"/>
      <c r="D183" s="160"/>
      <c r="E183" s="160"/>
      <c r="F183" s="160"/>
      <c r="G183" s="160"/>
      <c r="H183" s="160"/>
      <c r="I183" s="160"/>
      <c r="J183" s="160"/>
      <c r="K183" s="160"/>
      <c r="L183" s="160"/>
      <c r="M183" s="160"/>
      <c r="N183" s="160"/>
      <c r="O183" s="160"/>
      <c r="P183" s="160"/>
      <c r="AE183" s="161"/>
    </row>
    <row r="184" spans="3:31" ht="14.25" customHeight="1">
      <c r="C184" s="160"/>
      <c r="D184" s="160"/>
      <c r="E184" s="160"/>
      <c r="F184" s="160"/>
      <c r="G184" s="160"/>
      <c r="H184" s="160"/>
      <c r="I184" s="160"/>
      <c r="J184" s="160"/>
      <c r="K184" s="160"/>
      <c r="L184" s="160"/>
      <c r="M184" s="160"/>
      <c r="N184" s="160"/>
      <c r="O184" s="160"/>
      <c r="P184" s="160"/>
      <c r="AE184" s="161"/>
    </row>
    <row r="185" spans="3:31" ht="14.25" customHeight="1">
      <c r="C185" s="160"/>
      <c r="D185" s="160"/>
      <c r="E185" s="160"/>
      <c r="F185" s="160"/>
      <c r="G185" s="160"/>
      <c r="H185" s="160"/>
      <c r="I185" s="160"/>
      <c r="J185" s="160"/>
      <c r="K185" s="160"/>
      <c r="L185" s="160"/>
      <c r="M185" s="160"/>
      <c r="N185" s="160"/>
      <c r="O185" s="160"/>
      <c r="P185" s="160"/>
      <c r="AE185" s="161"/>
    </row>
    <row r="186" spans="3:31" ht="14.25" customHeight="1">
      <c r="C186" s="160"/>
      <c r="D186" s="160"/>
      <c r="E186" s="160"/>
      <c r="F186" s="160"/>
      <c r="G186" s="160"/>
      <c r="H186" s="160"/>
      <c r="I186" s="160"/>
      <c r="J186" s="160"/>
      <c r="K186" s="160"/>
      <c r="L186" s="160"/>
      <c r="M186" s="160"/>
      <c r="N186" s="160"/>
      <c r="O186" s="160"/>
      <c r="P186" s="160"/>
      <c r="AE186" s="161"/>
    </row>
    <row r="187" spans="3:31" ht="14.25" customHeight="1">
      <c r="C187" s="160"/>
      <c r="D187" s="160"/>
      <c r="E187" s="160"/>
      <c r="F187" s="160"/>
      <c r="G187" s="160"/>
      <c r="H187" s="160"/>
      <c r="I187" s="160"/>
      <c r="J187" s="160"/>
      <c r="K187" s="160"/>
      <c r="L187" s="160"/>
      <c r="M187" s="160"/>
      <c r="N187" s="160"/>
      <c r="O187" s="160"/>
      <c r="P187" s="160"/>
      <c r="AE187" s="161"/>
    </row>
    <row r="188" spans="3:31" ht="14.25" customHeight="1">
      <c r="C188" s="160"/>
      <c r="D188" s="160"/>
      <c r="E188" s="160"/>
      <c r="F188" s="160"/>
      <c r="G188" s="160"/>
      <c r="H188" s="160"/>
      <c r="I188" s="160"/>
      <c r="J188" s="160"/>
      <c r="K188" s="160"/>
      <c r="L188" s="160"/>
      <c r="M188" s="160"/>
      <c r="N188" s="160"/>
      <c r="O188" s="160"/>
      <c r="P188" s="160"/>
      <c r="AE188" s="161"/>
    </row>
    <row r="189" spans="3:31" ht="14.25" customHeight="1">
      <c r="C189" s="160"/>
      <c r="D189" s="160"/>
      <c r="E189" s="160"/>
      <c r="F189" s="160"/>
      <c r="G189" s="160"/>
      <c r="H189" s="160"/>
      <c r="I189" s="160"/>
      <c r="J189" s="160"/>
      <c r="K189" s="160"/>
      <c r="L189" s="160"/>
      <c r="M189" s="160"/>
      <c r="N189" s="160"/>
      <c r="O189" s="160"/>
      <c r="P189" s="160"/>
      <c r="AE189" s="161"/>
    </row>
    <row r="190" spans="3:31" ht="14.25" customHeight="1">
      <c r="C190" s="160"/>
      <c r="D190" s="160"/>
      <c r="E190" s="160"/>
      <c r="F190" s="160"/>
      <c r="G190" s="160"/>
      <c r="H190" s="160"/>
      <c r="I190" s="160"/>
      <c r="J190" s="160"/>
      <c r="K190" s="160"/>
      <c r="L190" s="160"/>
      <c r="M190" s="160"/>
      <c r="N190" s="160"/>
      <c r="O190" s="160"/>
      <c r="P190" s="160"/>
      <c r="AE190" s="161"/>
    </row>
    <row r="191" spans="3:31" ht="14.25" customHeight="1">
      <c r="C191" s="160"/>
      <c r="D191" s="160"/>
      <c r="E191" s="160"/>
      <c r="F191" s="160"/>
      <c r="G191" s="160"/>
      <c r="H191" s="160"/>
      <c r="I191" s="160"/>
      <c r="J191" s="160"/>
      <c r="K191" s="160"/>
      <c r="L191" s="160"/>
      <c r="M191" s="160"/>
      <c r="N191" s="160"/>
      <c r="O191" s="160"/>
      <c r="P191" s="160"/>
      <c r="AE191" s="161"/>
    </row>
    <row r="192" spans="3:31" ht="14.25" customHeight="1">
      <c r="C192" s="160"/>
      <c r="D192" s="160"/>
      <c r="E192" s="160"/>
      <c r="F192" s="160"/>
      <c r="G192" s="160"/>
      <c r="H192" s="160"/>
      <c r="I192" s="160"/>
      <c r="J192" s="160"/>
      <c r="K192" s="160"/>
      <c r="L192" s="160"/>
      <c r="M192" s="160"/>
      <c r="N192" s="160"/>
      <c r="O192" s="160"/>
      <c r="P192" s="160"/>
      <c r="AE192" s="161"/>
    </row>
    <row r="193" spans="3:31" ht="14.25" customHeight="1">
      <c r="C193" s="160"/>
      <c r="D193" s="160"/>
      <c r="E193" s="160"/>
      <c r="F193" s="160"/>
      <c r="G193" s="160"/>
      <c r="H193" s="160"/>
      <c r="I193" s="160"/>
      <c r="J193" s="160"/>
      <c r="K193" s="160"/>
      <c r="L193" s="160"/>
      <c r="M193" s="160"/>
      <c r="N193" s="160"/>
      <c r="O193" s="160"/>
      <c r="P193" s="160"/>
      <c r="AE193" s="161"/>
    </row>
    <row r="194" spans="3:31" ht="14.25" customHeight="1">
      <c r="C194" s="160"/>
      <c r="D194" s="160"/>
      <c r="E194" s="160"/>
      <c r="F194" s="160"/>
      <c r="G194" s="160"/>
      <c r="H194" s="160"/>
      <c r="I194" s="160"/>
      <c r="J194" s="160"/>
      <c r="K194" s="160"/>
      <c r="L194" s="160"/>
      <c r="M194" s="160"/>
      <c r="N194" s="160"/>
      <c r="O194" s="160"/>
      <c r="P194" s="160"/>
      <c r="AE194" s="161"/>
    </row>
    <row r="195" spans="3:31" ht="14.25" customHeight="1">
      <c r="C195" s="160"/>
      <c r="D195" s="160"/>
      <c r="E195" s="160"/>
      <c r="F195" s="160"/>
      <c r="G195" s="160"/>
      <c r="H195" s="160"/>
      <c r="I195" s="160"/>
      <c r="J195" s="160"/>
      <c r="K195" s="160"/>
      <c r="L195" s="160"/>
      <c r="M195" s="160"/>
      <c r="N195" s="160"/>
      <c r="O195" s="160"/>
      <c r="P195" s="160"/>
      <c r="AE195" s="161"/>
    </row>
    <row r="196" spans="3:31" ht="14.25" customHeight="1">
      <c r="C196" s="160"/>
      <c r="D196" s="160"/>
      <c r="E196" s="160"/>
      <c r="F196" s="160"/>
      <c r="G196" s="160"/>
      <c r="H196" s="160"/>
      <c r="I196" s="160"/>
      <c r="J196" s="160"/>
      <c r="K196" s="160"/>
      <c r="L196" s="160"/>
      <c r="M196" s="160"/>
      <c r="N196" s="160"/>
      <c r="O196" s="160"/>
      <c r="P196" s="160"/>
      <c r="AE196" s="161"/>
    </row>
    <row r="197" spans="3:31" ht="14.25" customHeight="1">
      <c r="C197" s="160"/>
      <c r="D197" s="160"/>
      <c r="E197" s="160"/>
      <c r="F197" s="160"/>
      <c r="G197" s="160"/>
      <c r="H197" s="160"/>
      <c r="I197" s="160"/>
      <c r="J197" s="160"/>
      <c r="K197" s="160"/>
      <c r="L197" s="160"/>
      <c r="M197" s="160"/>
      <c r="N197" s="160"/>
      <c r="O197" s="160"/>
      <c r="P197" s="160"/>
      <c r="AE197" s="161"/>
    </row>
    <row r="198" spans="3:31" ht="14.25" customHeight="1">
      <c r="C198" s="160"/>
      <c r="D198" s="160"/>
      <c r="E198" s="160"/>
      <c r="F198" s="160"/>
      <c r="G198" s="160"/>
      <c r="H198" s="160"/>
      <c r="I198" s="160"/>
      <c r="J198" s="160"/>
      <c r="K198" s="160"/>
      <c r="L198" s="160"/>
      <c r="M198" s="160"/>
      <c r="N198" s="160"/>
      <c r="O198" s="160"/>
      <c r="P198" s="160"/>
      <c r="AE198" s="161"/>
    </row>
    <row r="199" spans="3:31" ht="14.25" customHeight="1">
      <c r="C199" s="160"/>
      <c r="D199" s="160"/>
      <c r="E199" s="160"/>
      <c r="F199" s="160"/>
      <c r="G199" s="160"/>
      <c r="H199" s="160"/>
      <c r="I199" s="160"/>
      <c r="J199" s="160"/>
      <c r="K199" s="160"/>
      <c r="L199" s="160"/>
      <c r="M199" s="160"/>
      <c r="N199" s="160"/>
      <c r="O199" s="160"/>
      <c r="P199" s="160"/>
      <c r="AE199" s="161"/>
    </row>
    <row r="200" spans="3:31" ht="14.25" customHeight="1">
      <c r="C200" s="160"/>
      <c r="D200" s="160"/>
      <c r="E200" s="160"/>
      <c r="F200" s="160"/>
      <c r="G200" s="160"/>
      <c r="H200" s="160"/>
      <c r="I200" s="160"/>
      <c r="J200" s="160"/>
      <c r="K200" s="160"/>
      <c r="L200" s="160"/>
      <c r="M200" s="160"/>
      <c r="N200" s="160"/>
      <c r="O200" s="160"/>
      <c r="P200" s="160"/>
      <c r="AE200" s="161"/>
    </row>
    <row r="201" spans="3:31" ht="14.25" customHeight="1">
      <c r="C201" s="160"/>
      <c r="D201" s="160"/>
      <c r="E201" s="160"/>
      <c r="F201" s="160"/>
      <c r="G201" s="160"/>
      <c r="H201" s="160"/>
      <c r="I201" s="160"/>
      <c r="J201" s="160"/>
      <c r="K201" s="160"/>
      <c r="L201" s="160"/>
      <c r="M201" s="160"/>
      <c r="N201" s="160"/>
      <c r="O201" s="160"/>
      <c r="P201" s="160"/>
      <c r="AE201" s="161"/>
    </row>
    <row r="202" spans="3:31" ht="14.25" customHeight="1">
      <c r="C202" s="160"/>
      <c r="D202" s="160"/>
      <c r="E202" s="160"/>
      <c r="F202" s="160"/>
      <c r="G202" s="160"/>
      <c r="H202" s="160"/>
      <c r="I202" s="160"/>
      <c r="J202" s="160"/>
      <c r="K202" s="160"/>
      <c r="L202" s="160"/>
      <c r="M202" s="160"/>
      <c r="N202" s="160"/>
      <c r="O202" s="160"/>
      <c r="P202" s="160"/>
      <c r="AE202" s="161"/>
    </row>
    <row r="203" spans="3:31" ht="14.25" customHeight="1">
      <c r="C203" s="160"/>
      <c r="D203" s="160"/>
      <c r="E203" s="160"/>
      <c r="F203" s="160"/>
      <c r="G203" s="160"/>
      <c r="H203" s="160"/>
      <c r="I203" s="160"/>
      <c r="J203" s="160"/>
      <c r="K203" s="160"/>
      <c r="L203" s="160"/>
      <c r="M203" s="160"/>
      <c r="N203" s="160"/>
      <c r="O203" s="160"/>
      <c r="P203" s="160"/>
      <c r="AE203" s="161"/>
    </row>
    <row r="204" spans="3:31" ht="14.25" customHeight="1">
      <c r="C204" s="160"/>
      <c r="D204" s="160"/>
      <c r="E204" s="160"/>
      <c r="F204" s="160"/>
      <c r="G204" s="160"/>
      <c r="H204" s="160"/>
      <c r="I204" s="160"/>
      <c r="J204" s="160"/>
      <c r="K204" s="160"/>
      <c r="L204" s="160"/>
      <c r="M204" s="160"/>
      <c r="N204" s="160"/>
      <c r="O204" s="160"/>
      <c r="P204" s="160"/>
      <c r="AE204" s="161"/>
    </row>
    <row r="205" spans="3:31" ht="14.25" customHeight="1">
      <c r="C205" s="160"/>
      <c r="D205" s="160"/>
      <c r="E205" s="160"/>
      <c r="F205" s="160"/>
      <c r="G205" s="160"/>
      <c r="H205" s="160"/>
      <c r="I205" s="160"/>
      <c r="J205" s="160"/>
      <c r="K205" s="160"/>
      <c r="L205" s="160"/>
      <c r="M205" s="160"/>
      <c r="N205" s="160"/>
      <c r="O205" s="160"/>
      <c r="P205" s="160"/>
      <c r="AE205" s="161"/>
    </row>
    <row r="206" spans="3:31" ht="14.25" customHeight="1">
      <c r="C206" s="160"/>
      <c r="D206" s="160"/>
      <c r="E206" s="160"/>
      <c r="F206" s="160"/>
      <c r="G206" s="160"/>
      <c r="H206" s="160"/>
      <c r="I206" s="160"/>
      <c r="J206" s="160"/>
      <c r="K206" s="160"/>
      <c r="L206" s="160"/>
      <c r="M206" s="160"/>
      <c r="N206" s="160"/>
      <c r="O206" s="160"/>
      <c r="P206" s="160"/>
      <c r="AE206" s="161"/>
    </row>
    <row r="207" spans="3:31" ht="14.25" customHeight="1">
      <c r="C207" s="160"/>
      <c r="D207" s="160"/>
      <c r="E207" s="160"/>
      <c r="F207" s="160"/>
      <c r="G207" s="160"/>
      <c r="H207" s="160"/>
      <c r="I207" s="160"/>
      <c r="J207" s="160"/>
      <c r="K207" s="160"/>
      <c r="L207" s="160"/>
      <c r="M207" s="160"/>
      <c r="N207" s="160"/>
      <c r="O207" s="160"/>
      <c r="P207" s="160"/>
      <c r="AE207" s="161"/>
    </row>
    <row r="208" spans="3:31" ht="14.25" customHeight="1">
      <c r="C208" s="160"/>
      <c r="D208" s="160"/>
      <c r="E208" s="160"/>
      <c r="F208" s="160"/>
      <c r="G208" s="160"/>
      <c r="H208" s="160"/>
      <c r="I208" s="160"/>
      <c r="J208" s="160"/>
      <c r="K208" s="160"/>
      <c r="L208" s="160"/>
      <c r="M208" s="160"/>
      <c r="N208" s="160"/>
      <c r="O208" s="160"/>
      <c r="P208" s="160"/>
      <c r="AE208" s="161"/>
    </row>
    <row r="209" spans="3:31" ht="14.25" customHeight="1">
      <c r="C209" s="160"/>
      <c r="D209" s="160"/>
      <c r="E209" s="160"/>
      <c r="F209" s="160"/>
      <c r="G209" s="160"/>
      <c r="H209" s="160"/>
      <c r="I209" s="160"/>
      <c r="J209" s="160"/>
      <c r="K209" s="160"/>
      <c r="L209" s="160"/>
      <c r="M209" s="160"/>
      <c r="N209" s="160"/>
      <c r="O209" s="160"/>
      <c r="P209" s="160"/>
      <c r="AE209" s="161"/>
    </row>
    <row r="210" spans="3:31" ht="14.25" customHeight="1">
      <c r="C210" s="160"/>
      <c r="D210" s="160"/>
      <c r="E210" s="160"/>
      <c r="F210" s="160"/>
      <c r="G210" s="160"/>
      <c r="H210" s="160"/>
      <c r="I210" s="160"/>
      <c r="J210" s="160"/>
      <c r="K210" s="160"/>
      <c r="L210" s="160"/>
      <c r="M210" s="160"/>
      <c r="N210" s="160"/>
      <c r="O210" s="160"/>
      <c r="P210" s="160"/>
      <c r="AE210" s="161"/>
    </row>
    <row r="211" spans="3:31" ht="14.25" customHeight="1">
      <c r="C211" s="160"/>
      <c r="D211" s="160"/>
      <c r="E211" s="160"/>
      <c r="F211" s="160"/>
      <c r="G211" s="160"/>
      <c r="H211" s="160"/>
      <c r="I211" s="160"/>
      <c r="J211" s="160"/>
      <c r="K211" s="160"/>
      <c r="L211" s="160"/>
      <c r="M211" s="160"/>
      <c r="N211" s="160"/>
      <c r="O211" s="160"/>
      <c r="P211" s="160"/>
      <c r="AE211" s="161"/>
    </row>
    <row r="212" spans="3:31" ht="14.25" customHeight="1">
      <c r="C212" s="160"/>
      <c r="D212" s="160"/>
      <c r="E212" s="160"/>
      <c r="F212" s="160"/>
      <c r="G212" s="160"/>
      <c r="H212" s="160"/>
      <c r="I212" s="160"/>
      <c r="J212" s="160"/>
      <c r="K212" s="160"/>
      <c r="L212" s="160"/>
      <c r="M212" s="160"/>
      <c r="N212" s="160"/>
      <c r="O212" s="160"/>
      <c r="P212" s="160"/>
      <c r="AE212" s="161"/>
    </row>
    <row r="213" spans="3:31" ht="14.25" customHeight="1">
      <c r="C213" s="160"/>
      <c r="D213" s="160"/>
      <c r="E213" s="160"/>
      <c r="F213" s="160"/>
      <c r="G213" s="160"/>
      <c r="H213" s="160"/>
      <c r="I213" s="160"/>
      <c r="J213" s="160"/>
      <c r="K213" s="160"/>
      <c r="L213" s="160"/>
      <c r="M213" s="160"/>
      <c r="N213" s="160"/>
      <c r="O213" s="160"/>
      <c r="P213" s="160"/>
      <c r="AE213" s="161"/>
    </row>
    <row r="214" spans="3:31" ht="14.25" customHeight="1">
      <c r="C214" s="160"/>
      <c r="D214" s="160"/>
      <c r="E214" s="160"/>
      <c r="F214" s="160"/>
      <c r="G214" s="160"/>
      <c r="H214" s="160"/>
      <c r="I214" s="160"/>
      <c r="J214" s="160"/>
      <c r="K214" s="160"/>
      <c r="L214" s="160"/>
      <c r="M214" s="160"/>
      <c r="N214" s="160"/>
      <c r="O214" s="160"/>
      <c r="P214" s="160"/>
      <c r="AE214" s="161"/>
    </row>
    <row r="215" spans="3:31" ht="14.25" customHeight="1">
      <c r="C215" s="160"/>
      <c r="D215" s="160"/>
      <c r="E215" s="160"/>
      <c r="F215" s="160"/>
      <c r="G215" s="160"/>
      <c r="H215" s="160"/>
      <c r="I215" s="160"/>
      <c r="J215" s="160"/>
      <c r="K215" s="160"/>
      <c r="L215" s="160"/>
      <c r="M215" s="160"/>
      <c r="N215" s="160"/>
      <c r="O215" s="160"/>
      <c r="P215" s="160"/>
      <c r="AE215" s="161"/>
    </row>
    <row r="216" spans="3:31" ht="14.25" customHeight="1">
      <c r="C216" s="160"/>
      <c r="D216" s="160"/>
      <c r="E216" s="160"/>
      <c r="F216" s="160"/>
      <c r="G216" s="160"/>
      <c r="H216" s="160"/>
      <c r="I216" s="160"/>
      <c r="J216" s="160"/>
      <c r="K216" s="160"/>
      <c r="L216" s="160"/>
      <c r="M216" s="160"/>
      <c r="N216" s="160"/>
      <c r="O216" s="160"/>
      <c r="P216" s="160"/>
      <c r="AE216" s="161"/>
    </row>
    <row r="217" spans="3:31" ht="14.25" customHeight="1">
      <c r="C217" s="160"/>
      <c r="D217" s="160"/>
      <c r="E217" s="160"/>
      <c r="F217" s="160"/>
      <c r="G217" s="160"/>
      <c r="H217" s="160"/>
      <c r="I217" s="160"/>
      <c r="J217" s="160"/>
      <c r="K217" s="160"/>
      <c r="L217" s="160"/>
      <c r="M217" s="160"/>
      <c r="N217" s="160"/>
      <c r="O217" s="160"/>
      <c r="P217" s="160"/>
      <c r="AE217" s="161"/>
    </row>
    <row r="218" spans="3:31" ht="14.25" customHeight="1">
      <c r="C218" s="160"/>
      <c r="D218" s="160"/>
      <c r="E218" s="160"/>
      <c r="F218" s="160"/>
      <c r="G218" s="160"/>
      <c r="H218" s="160"/>
      <c r="I218" s="160"/>
      <c r="J218" s="160"/>
      <c r="K218" s="160"/>
      <c r="L218" s="160"/>
      <c r="M218" s="160"/>
      <c r="N218" s="160"/>
      <c r="O218" s="160"/>
      <c r="P218" s="160"/>
      <c r="AE218" s="161"/>
    </row>
    <row r="219" spans="3:31" ht="14.25" customHeight="1">
      <c r="C219" s="160"/>
      <c r="D219" s="160"/>
      <c r="E219" s="160"/>
      <c r="F219" s="160"/>
      <c r="G219" s="160"/>
      <c r="H219" s="160"/>
      <c r="I219" s="160"/>
      <c r="J219" s="160"/>
      <c r="K219" s="160"/>
      <c r="L219" s="160"/>
      <c r="M219" s="160"/>
      <c r="N219" s="160"/>
      <c r="O219" s="160"/>
      <c r="P219" s="160"/>
      <c r="AE219" s="161"/>
    </row>
    <row r="220" spans="3:31" ht="14.25" customHeight="1">
      <c r="C220" s="160"/>
      <c r="D220" s="160"/>
      <c r="E220" s="160"/>
      <c r="F220" s="160"/>
      <c r="G220" s="160"/>
      <c r="H220" s="160"/>
      <c r="I220" s="160"/>
      <c r="J220" s="160"/>
      <c r="K220" s="160"/>
      <c r="L220" s="160"/>
      <c r="M220" s="160"/>
      <c r="N220" s="160"/>
      <c r="O220" s="160"/>
      <c r="P220" s="160"/>
      <c r="AE220" s="161"/>
    </row>
    <row r="221" spans="3:31" ht="14.25" customHeight="1">
      <c r="C221" s="160"/>
      <c r="D221" s="160"/>
      <c r="E221" s="160"/>
      <c r="F221" s="160"/>
      <c r="G221" s="160"/>
      <c r="H221" s="160"/>
      <c r="I221" s="160"/>
      <c r="J221" s="160"/>
      <c r="K221" s="160"/>
      <c r="L221" s="160"/>
      <c r="M221" s="160"/>
      <c r="N221" s="160"/>
      <c r="O221" s="160"/>
      <c r="P221" s="160"/>
      <c r="AE221" s="161"/>
    </row>
    <row r="222" spans="3:31" ht="14.25" customHeight="1">
      <c r="C222" s="160"/>
      <c r="D222" s="160"/>
      <c r="E222" s="160"/>
      <c r="F222" s="160"/>
      <c r="G222" s="160"/>
      <c r="H222" s="160"/>
      <c r="I222" s="160"/>
      <c r="J222" s="160"/>
      <c r="K222" s="160"/>
      <c r="L222" s="160"/>
      <c r="M222" s="160"/>
      <c r="N222" s="160"/>
      <c r="O222" s="160"/>
      <c r="P222" s="160"/>
      <c r="AE222" s="161"/>
    </row>
    <row r="223" spans="3:31" ht="14.25" customHeight="1">
      <c r="C223" s="160"/>
      <c r="D223" s="160"/>
      <c r="E223" s="160"/>
      <c r="F223" s="160"/>
      <c r="G223" s="160"/>
      <c r="H223" s="160"/>
      <c r="I223" s="160"/>
      <c r="J223" s="160"/>
      <c r="K223" s="160"/>
      <c r="L223" s="160"/>
      <c r="M223" s="160"/>
      <c r="N223" s="160"/>
      <c r="O223" s="160"/>
      <c r="P223" s="160"/>
      <c r="AE223" s="161"/>
    </row>
    <row r="224" spans="3:31" ht="14.25" customHeight="1">
      <c r="C224" s="160"/>
      <c r="D224" s="160"/>
      <c r="E224" s="160"/>
      <c r="F224" s="160"/>
      <c r="G224" s="160"/>
      <c r="H224" s="160"/>
      <c r="I224" s="160"/>
      <c r="J224" s="160"/>
      <c r="K224" s="160"/>
      <c r="L224" s="160"/>
      <c r="M224" s="160"/>
      <c r="N224" s="160"/>
      <c r="O224" s="160"/>
      <c r="P224" s="160"/>
      <c r="AE224" s="161"/>
    </row>
    <row r="225" spans="3:31" ht="14.25" customHeight="1">
      <c r="C225" s="160"/>
      <c r="D225" s="160"/>
      <c r="E225" s="160"/>
      <c r="F225" s="160"/>
      <c r="G225" s="160"/>
      <c r="H225" s="160"/>
      <c r="I225" s="160"/>
      <c r="J225" s="160"/>
      <c r="K225" s="160"/>
      <c r="L225" s="160"/>
      <c r="M225" s="160"/>
      <c r="N225" s="160"/>
      <c r="O225" s="160"/>
      <c r="P225" s="160"/>
      <c r="AE225" s="161"/>
    </row>
    <row r="226" spans="3:31" ht="14.25" customHeight="1">
      <c r="C226" s="160"/>
      <c r="D226" s="160"/>
      <c r="E226" s="160"/>
      <c r="F226" s="160"/>
      <c r="G226" s="160"/>
      <c r="H226" s="160"/>
      <c r="I226" s="160"/>
      <c r="J226" s="160"/>
      <c r="K226" s="160"/>
      <c r="L226" s="160"/>
      <c r="M226" s="160"/>
      <c r="N226" s="160"/>
      <c r="O226" s="160"/>
      <c r="P226" s="160"/>
      <c r="AE226" s="161"/>
    </row>
    <row r="227" spans="3:31" ht="14.25" customHeight="1">
      <c r="C227" s="160"/>
      <c r="D227" s="160"/>
      <c r="E227" s="160"/>
      <c r="F227" s="160"/>
      <c r="G227" s="160"/>
      <c r="H227" s="160"/>
      <c r="I227" s="160"/>
      <c r="J227" s="160"/>
      <c r="K227" s="160"/>
      <c r="L227" s="160"/>
      <c r="M227" s="160"/>
      <c r="N227" s="160"/>
      <c r="O227" s="160"/>
      <c r="P227" s="160"/>
      <c r="AE227" s="161"/>
    </row>
    <row r="228" spans="3:31" ht="14.25" customHeight="1">
      <c r="C228" s="160"/>
      <c r="D228" s="160"/>
      <c r="E228" s="160"/>
      <c r="F228" s="160"/>
      <c r="G228" s="160"/>
      <c r="H228" s="160"/>
      <c r="I228" s="160"/>
      <c r="J228" s="160"/>
      <c r="K228" s="160"/>
      <c r="L228" s="160"/>
      <c r="M228" s="160"/>
      <c r="N228" s="160"/>
      <c r="O228" s="160"/>
      <c r="P228" s="160"/>
      <c r="AE228" s="161"/>
    </row>
    <row r="229" spans="3:31" ht="14.25" customHeight="1">
      <c r="C229" s="160"/>
      <c r="D229" s="160"/>
      <c r="E229" s="160"/>
      <c r="F229" s="160"/>
      <c r="G229" s="160"/>
      <c r="H229" s="160"/>
      <c r="I229" s="160"/>
      <c r="J229" s="160"/>
      <c r="K229" s="160"/>
      <c r="L229" s="160"/>
      <c r="M229" s="160"/>
      <c r="N229" s="160"/>
      <c r="O229" s="160"/>
      <c r="P229" s="160"/>
      <c r="AE229" s="161"/>
    </row>
    <row r="230" spans="3:31" ht="14.25" customHeight="1">
      <c r="C230" s="160"/>
      <c r="D230" s="160"/>
      <c r="E230" s="160"/>
      <c r="F230" s="160"/>
      <c r="G230" s="160"/>
      <c r="H230" s="160"/>
      <c r="I230" s="160"/>
      <c r="J230" s="160"/>
      <c r="K230" s="160"/>
      <c r="L230" s="160"/>
      <c r="M230" s="160"/>
      <c r="N230" s="160"/>
      <c r="O230" s="160"/>
      <c r="P230" s="160"/>
      <c r="AE230" s="161"/>
    </row>
    <row r="231" spans="3:31" ht="14.25" customHeight="1">
      <c r="C231" s="160"/>
      <c r="D231" s="160"/>
      <c r="E231" s="160"/>
      <c r="F231" s="160"/>
      <c r="G231" s="160"/>
      <c r="H231" s="160"/>
      <c r="I231" s="160"/>
      <c r="J231" s="160"/>
      <c r="K231" s="160"/>
      <c r="L231" s="160"/>
      <c r="M231" s="160"/>
      <c r="N231" s="160"/>
      <c r="O231" s="160"/>
      <c r="P231" s="160"/>
      <c r="AE231" s="161"/>
    </row>
    <row r="232" spans="3:31" ht="14.25" customHeight="1">
      <c r="C232" s="160"/>
      <c r="D232" s="160"/>
      <c r="E232" s="160"/>
      <c r="F232" s="160"/>
      <c r="G232" s="160"/>
      <c r="H232" s="160"/>
      <c r="I232" s="160"/>
      <c r="J232" s="160"/>
      <c r="K232" s="160"/>
      <c r="L232" s="160"/>
      <c r="M232" s="160"/>
      <c r="N232" s="160"/>
      <c r="O232" s="160"/>
      <c r="P232" s="160"/>
      <c r="AE232" s="161"/>
    </row>
    <row r="233" spans="3:31" ht="14.25" customHeight="1">
      <c r="C233" s="160"/>
      <c r="D233" s="160"/>
      <c r="E233" s="160"/>
      <c r="F233" s="160"/>
      <c r="G233" s="160"/>
      <c r="H233" s="160"/>
      <c r="I233" s="160"/>
      <c r="J233" s="160"/>
      <c r="K233" s="160"/>
      <c r="L233" s="160"/>
      <c r="M233" s="160"/>
      <c r="N233" s="160"/>
      <c r="O233" s="160"/>
      <c r="P233" s="160"/>
      <c r="AE233" s="161"/>
    </row>
    <row r="234" spans="3:31" ht="14.25" customHeight="1">
      <c r="C234" s="160"/>
      <c r="D234" s="160"/>
      <c r="E234" s="160"/>
      <c r="F234" s="160"/>
      <c r="G234" s="160"/>
      <c r="H234" s="160"/>
      <c r="I234" s="160"/>
      <c r="J234" s="160"/>
      <c r="K234" s="160"/>
      <c r="L234" s="160"/>
      <c r="M234" s="160"/>
      <c r="N234" s="160"/>
      <c r="O234" s="160"/>
      <c r="P234" s="160"/>
      <c r="AE234" s="161"/>
    </row>
    <row r="235" spans="3:31" ht="14.25" customHeight="1">
      <c r="C235" s="160"/>
      <c r="D235" s="160"/>
      <c r="E235" s="160"/>
      <c r="F235" s="160"/>
      <c r="G235" s="160"/>
      <c r="H235" s="160"/>
      <c r="I235" s="160"/>
      <c r="J235" s="160"/>
      <c r="K235" s="160"/>
      <c r="L235" s="160"/>
      <c r="M235" s="160"/>
      <c r="N235" s="160"/>
      <c r="O235" s="160"/>
      <c r="P235" s="160"/>
      <c r="AE235" s="161"/>
    </row>
    <row r="236" spans="3:31" ht="14.25" customHeight="1">
      <c r="C236" s="160"/>
      <c r="D236" s="160"/>
      <c r="E236" s="160"/>
      <c r="F236" s="160"/>
      <c r="G236" s="160"/>
      <c r="H236" s="160"/>
      <c r="I236" s="160"/>
      <c r="J236" s="160"/>
      <c r="K236" s="160"/>
      <c r="L236" s="160"/>
      <c r="M236" s="160"/>
      <c r="N236" s="160"/>
      <c r="O236" s="160"/>
      <c r="P236" s="160"/>
      <c r="AE236" s="161"/>
    </row>
    <row r="237" spans="3:31" ht="14.25" customHeight="1">
      <c r="C237" s="160"/>
      <c r="D237" s="160"/>
      <c r="E237" s="160"/>
      <c r="F237" s="160"/>
      <c r="G237" s="160"/>
      <c r="H237" s="160"/>
      <c r="I237" s="160"/>
      <c r="J237" s="160"/>
      <c r="K237" s="160"/>
      <c r="L237" s="160"/>
      <c r="M237" s="160"/>
      <c r="N237" s="160"/>
      <c r="O237" s="160"/>
      <c r="P237" s="160"/>
      <c r="AE237" s="161"/>
    </row>
    <row r="238" spans="3:31" ht="14.25" customHeight="1">
      <c r="C238" s="160"/>
      <c r="D238" s="160"/>
      <c r="E238" s="160"/>
      <c r="F238" s="160"/>
      <c r="G238" s="160"/>
      <c r="H238" s="160"/>
      <c r="I238" s="160"/>
      <c r="J238" s="160"/>
      <c r="K238" s="160"/>
      <c r="L238" s="160"/>
      <c r="M238" s="160"/>
      <c r="N238" s="160"/>
      <c r="O238" s="160"/>
      <c r="P238" s="160"/>
      <c r="AE238" s="161"/>
    </row>
    <row r="239" spans="3:31" ht="14.25" customHeight="1">
      <c r="C239" s="160"/>
      <c r="D239" s="160"/>
      <c r="E239" s="160"/>
      <c r="F239" s="160"/>
      <c r="G239" s="160"/>
      <c r="H239" s="160"/>
      <c r="I239" s="160"/>
      <c r="J239" s="160"/>
      <c r="K239" s="160"/>
      <c r="L239" s="160"/>
      <c r="M239" s="160"/>
      <c r="N239" s="160"/>
      <c r="O239" s="160"/>
      <c r="P239" s="160"/>
      <c r="AE239" s="161"/>
    </row>
    <row r="240" spans="3:31" ht="14.25" customHeight="1">
      <c r="C240" s="160"/>
      <c r="D240" s="160"/>
      <c r="E240" s="160"/>
      <c r="F240" s="160"/>
      <c r="G240" s="160"/>
      <c r="H240" s="160"/>
      <c r="I240" s="160"/>
      <c r="J240" s="160"/>
      <c r="K240" s="160"/>
      <c r="L240" s="160"/>
      <c r="M240" s="160"/>
      <c r="N240" s="160"/>
      <c r="O240" s="160"/>
      <c r="P240" s="160"/>
      <c r="AE240" s="161"/>
    </row>
    <row r="241" spans="3:31" ht="14.25" customHeight="1">
      <c r="C241" s="160"/>
      <c r="D241" s="160"/>
      <c r="E241" s="160"/>
      <c r="F241" s="160"/>
      <c r="G241" s="160"/>
      <c r="H241" s="160"/>
      <c r="I241" s="160"/>
      <c r="J241" s="160"/>
      <c r="K241" s="160"/>
      <c r="L241" s="160"/>
      <c r="M241" s="160"/>
      <c r="N241" s="160"/>
      <c r="O241" s="160"/>
      <c r="P241" s="160"/>
      <c r="AE241" s="161"/>
    </row>
    <row r="242" spans="3:31" ht="15.75" customHeight="1">
      <c r="C242" s="160"/>
      <c r="D242" s="160"/>
      <c r="E242" s="160"/>
      <c r="F242" s="160"/>
      <c r="G242" s="160"/>
      <c r="H242" s="160"/>
      <c r="I242" s="160"/>
      <c r="J242" s="160"/>
      <c r="K242" s="160"/>
      <c r="L242" s="160"/>
      <c r="M242" s="160"/>
      <c r="N242" s="160"/>
      <c r="O242" s="160"/>
      <c r="P242" s="160"/>
      <c r="AE242" s="161"/>
    </row>
    <row r="243" spans="3:31" ht="15.75" customHeight="1">
      <c r="C243" s="160"/>
      <c r="D243" s="160"/>
      <c r="E243" s="160"/>
      <c r="F243" s="160"/>
      <c r="G243" s="160"/>
      <c r="H243" s="160"/>
      <c r="I243" s="160"/>
      <c r="J243" s="160"/>
      <c r="K243" s="160"/>
      <c r="L243" s="160"/>
      <c r="M243" s="160"/>
      <c r="N243" s="160"/>
      <c r="O243" s="160"/>
      <c r="P243" s="160"/>
      <c r="AE243" s="161"/>
    </row>
    <row r="244" spans="3:31" ht="15.75" customHeight="1">
      <c r="C244" s="160"/>
      <c r="D244" s="160"/>
      <c r="E244" s="160"/>
      <c r="F244" s="160"/>
      <c r="G244" s="160"/>
      <c r="H244" s="160"/>
      <c r="I244" s="160"/>
      <c r="J244" s="160"/>
      <c r="K244" s="160"/>
      <c r="L244" s="160"/>
      <c r="M244" s="160"/>
      <c r="N244" s="160"/>
      <c r="O244" s="160"/>
      <c r="P244" s="160"/>
      <c r="AE244" s="161"/>
    </row>
    <row r="245" spans="3:31" ht="15.75" customHeight="1">
      <c r="C245" s="160"/>
      <c r="D245" s="160"/>
      <c r="E245" s="160"/>
      <c r="F245" s="160"/>
      <c r="G245" s="160"/>
      <c r="H245" s="160"/>
      <c r="I245" s="160"/>
      <c r="J245" s="160"/>
      <c r="K245" s="160"/>
      <c r="L245" s="160"/>
      <c r="M245" s="160"/>
      <c r="N245" s="160"/>
      <c r="O245" s="160"/>
      <c r="P245" s="160"/>
      <c r="AE245" s="161"/>
    </row>
    <row r="246" spans="3:31" ht="15.75" customHeight="1">
      <c r="C246" s="160"/>
      <c r="D246" s="160"/>
      <c r="E246" s="160"/>
      <c r="F246" s="160"/>
      <c r="G246" s="160"/>
      <c r="H246" s="160"/>
      <c r="I246" s="160"/>
      <c r="J246" s="160"/>
      <c r="K246" s="160"/>
      <c r="L246" s="160"/>
      <c r="M246" s="160"/>
      <c r="N246" s="160"/>
      <c r="O246" s="160"/>
      <c r="P246" s="160"/>
      <c r="AE246" s="161"/>
    </row>
    <row r="247" spans="3:31" ht="15.75" customHeight="1">
      <c r="C247" s="160"/>
      <c r="D247" s="160"/>
      <c r="E247" s="160"/>
      <c r="F247" s="160"/>
      <c r="G247" s="160"/>
      <c r="H247" s="160"/>
      <c r="I247" s="160"/>
      <c r="J247" s="160"/>
      <c r="K247" s="160"/>
      <c r="L247" s="160"/>
      <c r="M247" s="160"/>
      <c r="N247" s="160"/>
      <c r="O247" s="160"/>
      <c r="P247" s="160"/>
      <c r="AE247" s="161"/>
    </row>
    <row r="248" spans="3:31" ht="15.75" customHeight="1">
      <c r="C248" s="160"/>
      <c r="D248" s="160"/>
      <c r="E248" s="160"/>
      <c r="F248" s="160"/>
      <c r="G248" s="160"/>
      <c r="H248" s="160"/>
      <c r="I248" s="160"/>
      <c r="J248" s="160"/>
      <c r="K248" s="160"/>
      <c r="L248" s="160"/>
      <c r="M248" s="160"/>
      <c r="N248" s="160"/>
      <c r="O248" s="160"/>
      <c r="P248" s="160"/>
      <c r="AE248" s="161"/>
    </row>
    <row r="249" spans="3:31" ht="15.75" customHeight="1">
      <c r="C249" s="160"/>
      <c r="D249" s="160"/>
      <c r="E249" s="160"/>
      <c r="F249" s="160"/>
      <c r="G249" s="160"/>
      <c r="H249" s="160"/>
      <c r="I249" s="160"/>
      <c r="J249" s="160"/>
      <c r="K249" s="160"/>
      <c r="L249" s="160"/>
      <c r="M249" s="160"/>
      <c r="N249" s="160"/>
      <c r="O249" s="160"/>
      <c r="P249" s="160"/>
      <c r="AE249" s="161"/>
    </row>
    <row r="250" spans="3:31" ht="15.75" customHeight="1">
      <c r="C250" s="160"/>
      <c r="D250" s="160"/>
      <c r="E250" s="160"/>
      <c r="F250" s="160"/>
      <c r="G250" s="160"/>
      <c r="H250" s="160"/>
      <c r="I250" s="160"/>
      <c r="J250" s="160"/>
      <c r="K250" s="160"/>
      <c r="L250" s="160"/>
      <c r="M250" s="160"/>
      <c r="N250" s="160"/>
      <c r="O250" s="160"/>
      <c r="P250" s="160"/>
      <c r="AE250" s="161"/>
    </row>
    <row r="251" spans="3:31" ht="15.75" customHeight="1">
      <c r="C251" s="160"/>
      <c r="D251" s="160"/>
      <c r="E251" s="160"/>
      <c r="F251" s="160"/>
      <c r="G251" s="160"/>
      <c r="H251" s="160"/>
      <c r="I251" s="160"/>
      <c r="J251" s="160"/>
      <c r="K251" s="160"/>
      <c r="L251" s="160"/>
      <c r="M251" s="160"/>
      <c r="N251" s="160"/>
      <c r="O251" s="160"/>
      <c r="P251" s="160"/>
      <c r="AE251" s="161"/>
    </row>
    <row r="252" spans="3:31" ht="15.75" customHeight="1">
      <c r="C252" s="160"/>
      <c r="D252" s="160"/>
      <c r="E252" s="160"/>
      <c r="F252" s="160"/>
      <c r="G252" s="160"/>
      <c r="H252" s="160"/>
      <c r="I252" s="160"/>
      <c r="J252" s="160"/>
      <c r="K252" s="160"/>
      <c r="L252" s="160"/>
      <c r="M252" s="160"/>
      <c r="N252" s="160"/>
      <c r="O252" s="160"/>
      <c r="P252" s="160"/>
      <c r="AE252" s="161"/>
    </row>
    <row r="253" spans="3:31" ht="15.75" customHeight="1">
      <c r="C253" s="160"/>
      <c r="D253" s="160"/>
      <c r="E253" s="160"/>
      <c r="F253" s="160"/>
      <c r="G253" s="160"/>
      <c r="H253" s="160"/>
      <c r="I253" s="160"/>
      <c r="J253" s="160"/>
      <c r="K253" s="160"/>
      <c r="L253" s="160"/>
      <c r="M253" s="160"/>
      <c r="N253" s="160"/>
      <c r="O253" s="160"/>
      <c r="P253" s="160"/>
      <c r="AE253" s="161"/>
    </row>
    <row r="254" spans="3:31" ht="15.75" customHeight="1">
      <c r="C254" s="160"/>
      <c r="D254" s="160"/>
      <c r="E254" s="160"/>
      <c r="F254" s="160"/>
      <c r="G254" s="160"/>
      <c r="H254" s="160"/>
      <c r="I254" s="160"/>
      <c r="J254" s="160"/>
      <c r="K254" s="160"/>
      <c r="L254" s="160"/>
      <c r="M254" s="160"/>
      <c r="N254" s="160"/>
      <c r="O254" s="160"/>
      <c r="P254" s="160"/>
      <c r="AE254" s="161"/>
    </row>
    <row r="255" spans="3:31" ht="15.75" customHeight="1">
      <c r="C255" s="160"/>
      <c r="D255" s="160"/>
      <c r="E255" s="160"/>
      <c r="F255" s="160"/>
      <c r="G255" s="160"/>
      <c r="H255" s="160"/>
      <c r="I255" s="160"/>
      <c r="J255" s="160"/>
      <c r="K255" s="160"/>
      <c r="L255" s="160"/>
      <c r="M255" s="160"/>
      <c r="N255" s="160"/>
      <c r="O255" s="160"/>
      <c r="P255" s="160"/>
      <c r="AE255" s="161"/>
    </row>
    <row r="256" spans="3:31" ht="15.75" customHeight="1">
      <c r="C256" s="160"/>
      <c r="D256" s="160"/>
      <c r="E256" s="160"/>
      <c r="F256" s="160"/>
      <c r="G256" s="160"/>
      <c r="H256" s="160"/>
      <c r="I256" s="160"/>
      <c r="J256" s="160"/>
      <c r="K256" s="160"/>
      <c r="L256" s="160"/>
      <c r="M256" s="160"/>
      <c r="N256" s="160"/>
      <c r="O256" s="160"/>
      <c r="P256" s="160"/>
      <c r="AE256" s="161"/>
    </row>
    <row r="257" spans="3:31" ht="15.75" customHeight="1">
      <c r="C257" s="160"/>
      <c r="D257" s="160"/>
      <c r="E257" s="160"/>
      <c r="F257" s="160"/>
      <c r="G257" s="160"/>
      <c r="H257" s="160"/>
      <c r="I257" s="160"/>
      <c r="J257" s="160"/>
      <c r="K257" s="160"/>
      <c r="L257" s="160"/>
      <c r="M257" s="160"/>
      <c r="N257" s="160"/>
      <c r="O257" s="160"/>
      <c r="P257" s="160"/>
      <c r="AE257" s="161"/>
    </row>
    <row r="258" spans="3:31" ht="15.75" customHeight="1">
      <c r="C258" s="160"/>
      <c r="D258" s="160"/>
      <c r="E258" s="160"/>
      <c r="F258" s="160"/>
      <c r="G258" s="160"/>
      <c r="H258" s="160"/>
      <c r="I258" s="160"/>
      <c r="J258" s="160"/>
      <c r="K258" s="160"/>
      <c r="L258" s="160"/>
      <c r="M258" s="160"/>
      <c r="N258" s="160"/>
      <c r="O258" s="160"/>
      <c r="P258" s="160"/>
      <c r="AE258" s="161"/>
    </row>
    <row r="259" spans="3:31" ht="15.75" customHeight="1">
      <c r="C259" s="160"/>
      <c r="D259" s="160"/>
      <c r="E259" s="160"/>
      <c r="F259" s="160"/>
      <c r="G259" s="160"/>
      <c r="H259" s="160"/>
      <c r="I259" s="160"/>
      <c r="J259" s="160"/>
      <c r="K259" s="160"/>
      <c r="L259" s="160"/>
      <c r="M259" s="160"/>
      <c r="N259" s="160"/>
      <c r="O259" s="160"/>
      <c r="P259" s="160"/>
      <c r="AE259" s="161"/>
    </row>
    <row r="260" spans="3:31" ht="15.75" customHeight="1">
      <c r="C260" s="160"/>
      <c r="D260" s="160"/>
      <c r="E260" s="160"/>
      <c r="F260" s="160"/>
      <c r="G260" s="160"/>
      <c r="H260" s="160"/>
      <c r="I260" s="160"/>
      <c r="J260" s="160"/>
      <c r="K260" s="160"/>
      <c r="L260" s="160"/>
      <c r="M260" s="160"/>
      <c r="N260" s="160"/>
      <c r="O260" s="160"/>
      <c r="P260" s="160"/>
      <c r="AE260" s="161"/>
    </row>
    <row r="261" spans="3:31" ht="15.75" customHeight="1">
      <c r="C261" s="160"/>
      <c r="D261" s="160"/>
      <c r="E261" s="160"/>
      <c r="F261" s="160"/>
      <c r="G261" s="160"/>
      <c r="H261" s="160"/>
      <c r="I261" s="160"/>
      <c r="J261" s="160"/>
      <c r="K261" s="160"/>
      <c r="L261" s="160"/>
      <c r="M261" s="160"/>
      <c r="N261" s="160"/>
      <c r="O261" s="160"/>
      <c r="P261" s="160"/>
      <c r="AE261" s="161"/>
    </row>
    <row r="262" spans="3:31" ht="15.75" customHeight="1">
      <c r="C262" s="160"/>
      <c r="D262" s="160"/>
      <c r="E262" s="160"/>
      <c r="F262" s="160"/>
      <c r="G262" s="160"/>
      <c r="H262" s="160"/>
      <c r="I262" s="160"/>
      <c r="J262" s="160"/>
      <c r="K262" s="160"/>
      <c r="L262" s="160"/>
      <c r="M262" s="160"/>
      <c r="N262" s="160"/>
      <c r="O262" s="160"/>
      <c r="P262" s="160"/>
      <c r="AE262" s="161"/>
    </row>
    <row r="263" spans="3:31" ht="15.75" customHeight="1">
      <c r="C263" s="160"/>
      <c r="D263" s="160"/>
      <c r="E263" s="160"/>
      <c r="F263" s="160"/>
      <c r="G263" s="160"/>
      <c r="H263" s="160"/>
      <c r="I263" s="160"/>
      <c r="J263" s="160"/>
      <c r="K263" s="160"/>
      <c r="L263" s="160"/>
      <c r="M263" s="160"/>
      <c r="N263" s="160"/>
      <c r="O263" s="160"/>
      <c r="P263" s="160"/>
      <c r="AE263" s="161"/>
    </row>
    <row r="264" spans="3:31" ht="15.75" customHeight="1">
      <c r="C264" s="160"/>
      <c r="D264" s="160"/>
      <c r="E264" s="160"/>
      <c r="F264" s="160"/>
      <c r="G264" s="160"/>
      <c r="H264" s="160"/>
      <c r="I264" s="160"/>
      <c r="J264" s="160"/>
      <c r="K264" s="160"/>
      <c r="L264" s="160"/>
      <c r="M264" s="160"/>
      <c r="N264" s="160"/>
      <c r="O264" s="160"/>
      <c r="P264" s="160"/>
      <c r="AE264" s="161"/>
    </row>
    <row r="265" spans="3:31" ht="15.75" customHeight="1">
      <c r="C265" s="160"/>
      <c r="D265" s="160"/>
      <c r="E265" s="160"/>
      <c r="F265" s="160"/>
      <c r="G265" s="160"/>
      <c r="H265" s="160"/>
      <c r="I265" s="160"/>
      <c r="J265" s="160"/>
      <c r="K265" s="160"/>
      <c r="L265" s="160"/>
      <c r="M265" s="160"/>
      <c r="N265" s="160"/>
      <c r="O265" s="160"/>
      <c r="P265" s="160"/>
      <c r="AE265" s="161"/>
    </row>
    <row r="266" spans="3:31" ht="15.75" customHeight="1">
      <c r="C266" s="160"/>
      <c r="D266" s="160"/>
      <c r="E266" s="160"/>
      <c r="F266" s="160"/>
      <c r="G266" s="160"/>
      <c r="H266" s="160"/>
      <c r="I266" s="160"/>
      <c r="J266" s="160"/>
      <c r="K266" s="160"/>
      <c r="L266" s="160"/>
      <c r="M266" s="160"/>
      <c r="N266" s="160"/>
      <c r="O266" s="160"/>
      <c r="P266" s="160"/>
      <c r="AE266" s="161"/>
    </row>
    <row r="267" spans="3:31" ht="15.75" customHeight="1">
      <c r="C267" s="160"/>
      <c r="D267" s="160"/>
      <c r="E267" s="160"/>
      <c r="F267" s="160"/>
      <c r="G267" s="160"/>
      <c r="H267" s="160"/>
      <c r="I267" s="160"/>
      <c r="J267" s="160"/>
      <c r="K267" s="160"/>
      <c r="L267" s="160"/>
      <c r="M267" s="160"/>
      <c r="N267" s="160"/>
      <c r="O267" s="160"/>
      <c r="P267" s="160"/>
      <c r="AE267" s="161"/>
    </row>
    <row r="268" spans="3:31" ht="15.75" customHeight="1">
      <c r="C268" s="160"/>
      <c r="D268" s="160"/>
      <c r="E268" s="160"/>
      <c r="F268" s="160"/>
      <c r="G268" s="160"/>
      <c r="H268" s="160"/>
      <c r="I268" s="160"/>
      <c r="J268" s="160"/>
      <c r="K268" s="160"/>
      <c r="L268" s="160"/>
      <c r="M268" s="160"/>
      <c r="N268" s="160"/>
      <c r="O268" s="160"/>
      <c r="P268" s="160"/>
      <c r="AE268" s="161"/>
    </row>
    <row r="269" spans="3:31" ht="15.75" customHeight="1">
      <c r="C269" s="160"/>
      <c r="D269" s="160"/>
      <c r="E269" s="160"/>
      <c r="F269" s="160"/>
      <c r="G269" s="160"/>
      <c r="H269" s="160"/>
      <c r="I269" s="160"/>
      <c r="J269" s="160"/>
      <c r="K269" s="160"/>
      <c r="L269" s="160"/>
      <c r="M269" s="160"/>
      <c r="N269" s="160"/>
      <c r="O269" s="160"/>
      <c r="P269" s="160"/>
      <c r="AE269" s="161"/>
    </row>
    <row r="270" spans="3:31" ht="15.75" customHeight="1">
      <c r="C270" s="160"/>
      <c r="D270" s="160"/>
      <c r="E270" s="160"/>
      <c r="F270" s="160"/>
      <c r="G270" s="160"/>
      <c r="H270" s="160"/>
      <c r="I270" s="160"/>
      <c r="J270" s="160"/>
      <c r="K270" s="160"/>
      <c r="L270" s="160"/>
      <c r="M270" s="160"/>
      <c r="N270" s="160"/>
      <c r="O270" s="160"/>
      <c r="P270" s="160"/>
      <c r="AE270" s="161"/>
    </row>
    <row r="271" spans="3:31" ht="15.75" customHeight="1">
      <c r="C271" s="160"/>
      <c r="D271" s="160"/>
      <c r="E271" s="160"/>
      <c r="F271" s="160"/>
      <c r="G271" s="160"/>
      <c r="H271" s="160"/>
      <c r="I271" s="160"/>
      <c r="J271" s="160"/>
      <c r="K271" s="160"/>
      <c r="L271" s="160"/>
      <c r="M271" s="160"/>
      <c r="N271" s="160"/>
      <c r="O271" s="160"/>
      <c r="P271" s="160"/>
      <c r="AE271" s="161"/>
    </row>
    <row r="272" spans="3:31" ht="15.75" customHeight="1">
      <c r="C272" s="160"/>
      <c r="D272" s="160"/>
      <c r="E272" s="160"/>
      <c r="F272" s="160"/>
      <c r="G272" s="160"/>
      <c r="H272" s="160"/>
      <c r="I272" s="160"/>
      <c r="J272" s="160"/>
      <c r="K272" s="160"/>
      <c r="L272" s="160"/>
      <c r="M272" s="160"/>
      <c r="N272" s="160"/>
      <c r="O272" s="160"/>
      <c r="P272" s="160"/>
      <c r="AE272" s="161"/>
    </row>
    <row r="273" spans="3:31" ht="15.75" customHeight="1">
      <c r="C273" s="160"/>
      <c r="D273" s="160"/>
      <c r="E273" s="160"/>
      <c r="F273" s="160"/>
      <c r="G273" s="160"/>
      <c r="H273" s="160"/>
      <c r="I273" s="160"/>
      <c r="J273" s="160"/>
      <c r="K273" s="160"/>
      <c r="L273" s="160"/>
      <c r="M273" s="160"/>
      <c r="N273" s="160"/>
      <c r="O273" s="160"/>
      <c r="P273" s="160"/>
      <c r="AE273" s="161"/>
    </row>
    <row r="274" spans="3:31" ht="15.75" customHeight="1">
      <c r="C274" s="160"/>
      <c r="D274" s="160"/>
      <c r="E274" s="160"/>
      <c r="F274" s="160"/>
      <c r="G274" s="160"/>
      <c r="H274" s="160"/>
      <c r="I274" s="160"/>
      <c r="J274" s="160"/>
      <c r="K274" s="160"/>
      <c r="L274" s="160"/>
      <c r="M274" s="160"/>
      <c r="N274" s="160"/>
      <c r="O274" s="160"/>
      <c r="P274" s="160"/>
      <c r="AE274" s="161"/>
    </row>
    <row r="275" spans="3:31" ht="15.75" customHeight="1">
      <c r="C275" s="160"/>
      <c r="D275" s="160"/>
      <c r="E275" s="160"/>
      <c r="F275" s="160"/>
      <c r="G275" s="160"/>
      <c r="H275" s="160"/>
      <c r="I275" s="160"/>
      <c r="J275" s="160"/>
      <c r="K275" s="160"/>
      <c r="L275" s="160"/>
      <c r="M275" s="160"/>
      <c r="N275" s="160"/>
      <c r="O275" s="160"/>
      <c r="P275" s="160"/>
      <c r="AE275" s="161"/>
    </row>
    <row r="276" spans="3:31" ht="15.75" customHeight="1">
      <c r="C276" s="160"/>
      <c r="D276" s="160"/>
      <c r="E276" s="160"/>
      <c r="F276" s="160"/>
      <c r="G276" s="160"/>
      <c r="H276" s="160"/>
      <c r="I276" s="160"/>
      <c r="J276" s="160"/>
      <c r="K276" s="160"/>
      <c r="L276" s="160"/>
      <c r="M276" s="160"/>
      <c r="N276" s="160"/>
      <c r="O276" s="160"/>
      <c r="P276" s="160"/>
      <c r="AE276" s="161"/>
    </row>
    <row r="277" spans="3:31" ht="15.75" customHeight="1">
      <c r="C277" s="160"/>
      <c r="D277" s="160"/>
      <c r="E277" s="160"/>
      <c r="F277" s="160"/>
      <c r="G277" s="160"/>
      <c r="H277" s="160"/>
      <c r="I277" s="160"/>
      <c r="J277" s="160"/>
      <c r="K277" s="160"/>
      <c r="L277" s="160"/>
      <c r="M277" s="160"/>
      <c r="N277" s="160"/>
      <c r="O277" s="160"/>
      <c r="P277" s="160"/>
      <c r="AE277" s="161"/>
    </row>
    <row r="278" spans="3:31" ht="15.75" customHeight="1">
      <c r="C278" s="160"/>
      <c r="D278" s="160"/>
      <c r="E278" s="160"/>
      <c r="F278" s="160"/>
      <c r="G278" s="160"/>
      <c r="H278" s="160"/>
      <c r="I278" s="160"/>
      <c r="J278" s="160"/>
      <c r="K278" s="160"/>
      <c r="L278" s="160"/>
      <c r="M278" s="160"/>
      <c r="N278" s="160"/>
      <c r="O278" s="160"/>
      <c r="P278" s="160"/>
      <c r="AE278" s="161"/>
    </row>
    <row r="279" spans="3:31" ht="15.75" customHeight="1">
      <c r="C279" s="160"/>
      <c r="D279" s="160"/>
      <c r="E279" s="160"/>
      <c r="F279" s="160"/>
      <c r="G279" s="160"/>
      <c r="H279" s="160"/>
      <c r="I279" s="160"/>
      <c r="J279" s="160"/>
      <c r="K279" s="160"/>
      <c r="L279" s="160"/>
      <c r="M279" s="160"/>
      <c r="N279" s="160"/>
      <c r="O279" s="160"/>
      <c r="P279" s="160"/>
      <c r="AE279" s="161"/>
    </row>
    <row r="280" spans="3:31" ht="15.75" customHeight="1">
      <c r="C280" s="160"/>
      <c r="D280" s="160"/>
      <c r="E280" s="160"/>
      <c r="F280" s="160"/>
      <c r="G280" s="160"/>
      <c r="H280" s="160"/>
      <c r="I280" s="160"/>
      <c r="J280" s="160"/>
      <c r="K280" s="160"/>
      <c r="L280" s="160"/>
      <c r="M280" s="160"/>
      <c r="N280" s="160"/>
      <c r="O280" s="160"/>
      <c r="P280" s="160"/>
      <c r="AE280" s="161"/>
    </row>
    <row r="281" spans="3:31" ht="15.75" customHeight="1">
      <c r="C281" s="160"/>
      <c r="D281" s="160"/>
      <c r="E281" s="160"/>
      <c r="F281" s="160"/>
      <c r="G281" s="160"/>
      <c r="H281" s="160"/>
      <c r="I281" s="160"/>
      <c r="J281" s="160"/>
      <c r="K281" s="160"/>
      <c r="L281" s="160"/>
      <c r="M281" s="160"/>
      <c r="N281" s="160"/>
      <c r="O281" s="160"/>
      <c r="P281" s="160"/>
      <c r="AE281" s="161"/>
    </row>
    <row r="282" spans="3:31" ht="15.75" customHeight="1">
      <c r="C282" s="160"/>
      <c r="D282" s="160"/>
      <c r="E282" s="160"/>
      <c r="F282" s="160"/>
      <c r="G282" s="160"/>
      <c r="H282" s="160"/>
      <c r="I282" s="160"/>
      <c r="J282" s="160"/>
      <c r="K282" s="160"/>
      <c r="L282" s="160"/>
      <c r="M282" s="160"/>
      <c r="N282" s="160"/>
      <c r="O282" s="160"/>
      <c r="P282" s="160"/>
      <c r="AE282" s="161"/>
    </row>
    <row r="283" spans="3:31" ht="15.75" customHeight="1">
      <c r="C283" s="160"/>
      <c r="D283" s="160"/>
      <c r="E283" s="160"/>
      <c r="F283" s="160"/>
      <c r="G283" s="160"/>
      <c r="H283" s="160"/>
      <c r="I283" s="160"/>
      <c r="J283" s="160"/>
      <c r="K283" s="160"/>
      <c r="L283" s="160"/>
      <c r="M283" s="160"/>
      <c r="N283" s="160"/>
      <c r="O283" s="160"/>
      <c r="P283" s="160"/>
      <c r="AE283" s="161"/>
    </row>
    <row r="284" spans="3:31" ht="15.75" customHeight="1">
      <c r="C284" s="160"/>
      <c r="D284" s="160"/>
      <c r="E284" s="160"/>
      <c r="F284" s="160"/>
      <c r="G284" s="160"/>
      <c r="H284" s="160"/>
      <c r="I284" s="160"/>
      <c r="J284" s="160"/>
      <c r="K284" s="160"/>
      <c r="L284" s="160"/>
      <c r="M284" s="160"/>
      <c r="N284" s="160"/>
      <c r="O284" s="160"/>
      <c r="P284" s="160"/>
      <c r="AE284" s="161"/>
    </row>
    <row r="285" spans="3:31" ht="15.75" customHeight="1">
      <c r="C285" s="160"/>
      <c r="D285" s="160"/>
      <c r="E285" s="160"/>
      <c r="F285" s="160"/>
      <c r="G285" s="160"/>
      <c r="H285" s="160"/>
      <c r="I285" s="160"/>
      <c r="J285" s="160"/>
      <c r="K285" s="160"/>
      <c r="L285" s="160"/>
      <c r="M285" s="160"/>
      <c r="N285" s="160"/>
      <c r="O285" s="160"/>
      <c r="P285" s="160"/>
      <c r="AE285" s="161"/>
    </row>
    <row r="286" spans="3:31" ht="15.75" customHeight="1">
      <c r="C286" s="160"/>
      <c r="D286" s="160"/>
      <c r="E286" s="160"/>
      <c r="F286" s="160"/>
      <c r="G286" s="160"/>
      <c r="H286" s="160"/>
      <c r="I286" s="160"/>
      <c r="J286" s="160"/>
      <c r="K286" s="160"/>
      <c r="L286" s="160"/>
      <c r="M286" s="160"/>
      <c r="N286" s="160"/>
      <c r="O286" s="160"/>
      <c r="P286" s="160"/>
      <c r="AE286" s="161"/>
    </row>
    <row r="287" spans="3:31" ht="15.75" customHeight="1">
      <c r="C287" s="160"/>
      <c r="D287" s="160"/>
      <c r="E287" s="160"/>
      <c r="F287" s="160"/>
      <c r="G287" s="160"/>
      <c r="H287" s="160"/>
      <c r="I287" s="160"/>
      <c r="J287" s="160"/>
      <c r="K287" s="160"/>
      <c r="L287" s="160"/>
      <c r="M287" s="160"/>
      <c r="N287" s="160"/>
      <c r="O287" s="160"/>
      <c r="P287" s="160"/>
      <c r="AE287" s="161"/>
    </row>
    <row r="288" spans="3:31" ht="15.75" customHeight="1">
      <c r="C288" s="160"/>
      <c r="D288" s="160"/>
      <c r="E288" s="160"/>
      <c r="F288" s="160"/>
      <c r="G288" s="160"/>
      <c r="H288" s="160"/>
      <c r="I288" s="160"/>
      <c r="J288" s="160"/>
      <c r="K288" s="160"/>
      <c r="L288" s="160"/>
      <c r="M288" s="160"/>
      <c r="N288" s="160"/>
      <c r="O288" s="160"/>
      <c r="P288" s="160"/>
      <c r="AE288" s="161"/>
    </row>
    <row r="289" spans="3:31" ht="15.75" customHeight="1">
      <c r="C289" s="160"/>
      <c r="D289" s="160"/>
      <c r="E289" s="160"/>
      <c r="F289" s="160"/>
      <c r="G289" s="160"/>
      <c r="H289" s="160"/>
      <c r="I289" s="160"/>
      <c r="J289" s="160"/>
      <c r="K289" s="160"/>
      <c r="L289" s="160"/>
      <c r="M289" s="160"/>
      <c r="N289" s="160"/>
      <c r="O289" s="160"/>
      <c r="P289" s="160"/>
      <c r="AE289" s="161"/>
    </row>
    <row r="290" spans="3:31" ht="15.75" customHeight="1">
      <c r="C290" s="160"/>
      <c r="D290" s="160"/>
      <c r="E290" s="160"/>
      <c r="F290" s="160"/>
      <c r="G290" s="160"/>
      <c r="H290" s="160"/>
      <c r="I290" s="160"/>
      <c r="J290" s="160"/>
      <c r="K290" s="160"/>
      <c r="L290" s="160"/>
      <c r="M290" s="160"/>
      <c r="N290" s="160"/>
      <c r="O290" s="160"/>
      <c r="P290" s="160"/>
      <c r="AE290" s="161"/>
    </row>
    <row r="291" spans="3:31" ht="15.75" customHeight="1">
      <c r="C291" s="160"/>
      <c r="D291" s="160"/>
      <c r="E291" s="160"/>
      <c r="F291" s="160"/>
      <c r="G291" s="160"/>
      <c r="H291" s="160"/>
      <c r="I291" s="160"/>
      <c r="J291" s="160"/>
      <c r="K291" s="160"/>
      <c r="L291" s="160"/>
      <c r="M291" s="160"/>
      <c r="N291" s="160"/>
      <c r="O291" s="160"/>
      <c r="P291" s="160"/>
      <c r="AE291" s="161"/>
    </row>
    <row r="292" spans="3:31" ht="15.75" customHeight="1">
      <c r="C292" s="160"/>
      <c r="D292" s="160"/>
      <c r="E292" s="160"/>
      <c r="F292" s="160"/>
      <c r="G292" s="160"/>
      <c r="H292" s="160"/>
      <c r="I292" s="160"/>
      <c r="J292" s="160"/>
      <c r="K292" s="160"/>
      <c r="L292" s="160"/>
      <c r="M292" s="160"/>
      <c r="N292" s="160"/>
      <c r="O292" s="160"/>
      <c r="P292" s="160"/>
      <c r="AE292" s="161"/>
    </row>
    <row r="293" spans="3:31" ht="15.75" customHeight="1">
      <c r="C293" s="160"/>
      <c r="D293" s="160"/>
      <c r="E293" s="160"/>
      <c r="F293" s="160"/>
      <c r="G293" s="160"/>
      <c r="H293" s="160"/>
      <c r="I293" s="160"/>
      <c r="J293" s="160"/>
      <c r="K293" s="160"/>
      <c r="L293" s="160"/>
      <c r="M293" s="160"/>
      <c r="N293" s="160"/>
      <c r="O293" s="160"/>
      <c r="P293" s="160"/>
      <c r="AE293" s="161"/>
    </row>
    <row r="294" spans="3:31" ht="15.75" customHeight="1">
      <c r="C294" s="160"/>
      <c r="D294" s="160"/>
      <c r="E294" s="160"/>
      <c r="F294" s="160"/>
      <c r="G294" s="160"/>
      <c r="H294" s="160"/>
      <c r="I294" s="160"/>
      <c r="J294" s="160"/>
      <c r="K294" s="160"/>
      <c r="L294" s="160"/>
      <c r="M294" s="160"/>
      <c r="N294" s="160"/>
      <c r="O294" s="160"/>
      <c r="P294" s="160"/>
      <c r="AE294" s="161"/>
    </row>
    <row r="295" spans="3:31" ht="15.75" customHeight="1">
      <c r="C295" s="160"/>
      <c r="D295" s="160"/>
      <c r="E295" s="160"/>
      <c r="F295" s="160"/>
      <c r="G295" s="160"/>
      <c r="H295" s="160"/>
      <c r="I295" s="160"/>
      <c r="J295" s="160"/>
      <c r="K295" s="160"/>
      <c r="L295" s="160"/>
      <c r="M295" s="160"/>
      <c r="N295" s="160"/>
      <c r="O295" s="160"/>
      <c r="P295" s="160"/>
      <c r="AE295" s="161"/>
    </row>
    <row r="296" spans="3:31" ht="15.75" customHeight="1">
      <c r="C296" s="160"/>
      <c r="D296" s="160"/>
      <c r="E296" s="160"/>
      <c r="F296" s="160"/>
      <c r="G296" s="160"/>
      <c r="H296" s="160"/>
      <c r="I296" s="160"/>
      <c r="J296" s="160"/>
      <c r="K296" s="160"/>
      <c r="L296" s="160"/>
      <c r="M296" s="160"/>
      <c r="N296" s="160"/>
      <c r="O296" s="160"/>
      <c r="P296" s="160"/>
      <c r="AE296" s="161"/>
    </row>
    <row r="297" spans="3:31" ht="15.75" customHeight="1">
      <c r="C297" s="160"/>
      <c r="D297" s="160"/>
      <c r="E297" s="160"/>
      <c r="F297" s="160"/>
      <c r="G297" s="160"/>
      <c r="H297" s="160"/>
      <c r="I297" s="160"/>
      <c r="J297" s="160"/>
      <c r="K297" s="160"/>
      <c r="L297" s="160"/>
      <c r="M297" s="160"/>
      <c r="N297" s="160"/>
      <c r="O297" s="160"/>
      <c r="P297" s="160"/>
      <c r="AE297" s="161"/>
    </row>
    <row r="298" spans="3:31" ht="15.75" customHeight="1">
      <c r="C298" s="160"/>
      <c r="D298" s="160"/>
      <c r="E298" s="160"/>
      <c r="F298" s="160"/>
      <c r="G298" s="160"/>
      <c r="H298" s="160"/>
      <c r="I298" s="160"/>
      <c r="J298" s="160"/>
      <c r="K298" s="160"/>
      <c r="L298" s="160"/>
      <c r="M298" s="160"/>
      <c r="N298" s="160"/>
      <c r="O298" s="160"/>
      <c r="P298" s="160"/>
      <c r="AE298" s="161"/>
    </row>
    <row r="299" spans="3:31" ht="15.75" customHeight="1">
      <c r="C299" s="160"/>
      <c r="D299" s="160"/>
      <c r="E299" s="160"/>
      <c r="F299" s="160"/>
      <c r="G299" s="160"/>
      <c r="H299" s="160"/>
      <c r="I299" s="160"/>
      <c r="J299" s="160"/>
      <c r="K299" s="160"/>
      <c r="L299" s="160"/>
      <c r="M299" s="160"/>
      <c r="N299" s="160"/>
      <c r="O299" s="160"/>
      <c r="P299" s="160"/>
      <c r="AE299" s="161"/>
    </row>
    <row r="300" spans="3:31" ht="15.75" customHeight="1">
      <c r="C300" s="160"/>
      <c r="D300" s="160"/>
      <c r="E300" s="160"/>
      <c r="F300" s="160"/>
      <c r="G300" s="160"/>
      <c r="H300" s="160"/>
      <c r="I300" s="160"/>
      <c r="J300" s="160"/>
      <c r="K300" s="160"/>
      <c r="L300" s="160"/>
      <c r="M300" s="160"/>
      <c r="N300" s="160"/>
      <c r="O300" s="160"/>
      <c r="P300" s="160"/>
      <c r="AE300" s="161"/>
    </row>
    <row r="301" spans="3:31" ht="15.75" customHeight="1">
      <c r="C301" s="160"/>
      <c r="D301" s="160"/>
      <c r="E301" s="160"/>
      <c r="F301" s="160"/>
      <c r="G301" s="160"/>
      <c r="H301" s="160"/>
      <c r="I301" s="160"/>
      <c r="J301" s="160"/>
      <c r="K301" s="160"/>
      <c r="L301" s="160"/>
      <c r="M301" s="160"/>
      <c r="N301" s="160"/>
      <c r="O301" s="160"/>
      <c r="P301" s="160"/>
      <c r="AE301" s="161"/>
    </row>
    <row r="302" spans="3:31" ht="15.75" customHeight="1">
      <c r="C302" s="160"/>
      <c r="D302" s="160"/>
      <c r="E302" s="160"/>
      <c r="F302" s="160"/>
      <c r="G302" s="160"/>
      <c r="H302" s="160"/>
      <c r="I302" s="160"/>
      <c r="J302" s="160"/>
      <c r="K302" s="160"/>
      <c r="L302" s="160"/>
      <c r="M302" s="160"/>
      <c r="N302" s="160"/>
      <c r="O302" s="160"/>
      <c r="P302" s="160"/>
      <c r="AE302" s="161"/>
    </row>
    <row r="303" spans="3:31" ht="15.75" customHeight="1">
      <c r="C303" s="160"/>
      <c r="D303" s="160"/>
      <c r="E303" s="160"/>
      <c r="F303" s="160"/>
      <c r="G303" s="160"/>
      <c r="H303" s="160"/>
      <c r="I303" s="160"/>
      <c r="J303" s="160"/>
      <c r="K303" s="160"/>
      <c r="L303" s="160"/>
      <c r="M303" s="160"/>
      <c r="N303" s="160"/>
      <c r="O303" s="160"/>
      <c r="P303" s="160"/>
      <c r="AE303" s="161"/>
    </row>
    <row r="304" spans="3:31" ht="15.75" customHeight="1">
      <c r="C304" s="160"/>
      <c r="D304" s="160"/>
      <c r="E304" s="160"/>
      <c r="F304" s="160"/>
      <c r="G304" s="160"/>
      <c r="H304" s="160"/>
      <c r="I304" s="160"/>
      <c r="J304" s="160"/>
      <c r="K304" s="160"/>
      <c r="L304" s="160"/>
      <c r="M304" s="160"/>
      <c r="N304" s="160"/>
      <c r="O304" s="160"/>
      <c r="P304" s="160"/>
      <c r="AE304" s="161"/>
    </row>
    <row r="305" spans="3:31" ht="15.75" customHeight="1">
      <c r="C305" s="160"/>
      <c r="D305" s="160"/>
      <c r="E305" s="160"/>
      <c r="F305" s="160"/>
      <c r="G305" s="160"/>
      <c r="H305" s="160"/>
      <c r="I305" s="160"/>
      <c r="J305" s="160"/>
      <c r="K305" s="160"/>
      <c r="L305" s="160"/>
      <c r="M305" s="160"/>
      <c r="N305" s="160"/>
      <c r="O305" s="160"/>
      <c r="P305" s="160"/>
      <c r="AE305" s="161"/>
    </row>
    <row r="306" spans="3:31" ht="15.75" customHeight="1">
      <c r="C306" s="160"/>
      <c r="D306" s="160"/>
      <c r="E306" s="160"/>
      <c r="F306" s="160"/>
      <c r="G306" s="160"/>
      <c r="H306" s="160"/>
      <c r="I306" s="160"/>
      <c r="J306" s="160"/>
      <c r="K306" s="160"/>
      <c r="L306" s="160"/>
      <c r="M306" s="160"/>
      <c r="N306" s="160"/>
      <c r="O306" s="160"/>
      <c r="P306" s="160"/>
      <c r="AE306" s="161"/>
    </row>
    <row r="307" spans="3:31" ht="15.75" customHeight="1">
      <c r="C307" s="160"/>
      <c r="D307" s="160"/>
      <c r="E307" s="160"/>
      <c r="F307" s="160"/>
      <c r="G307" s="160"/>
      <c r="H307" s="160"/>
      <c r="I307" s="160"/>
      <c r="J307" s="160"/>
      <c r="K307" s="160"/>
      <c r="L307" s="160"/>
      <c r="M307" s="160"/>
      <c r="N307" s="160"/>
      <c r="O307" s="160"/>
      <c r="P307" s="160"/>
      <c r="AE307" s="161"/>
    </row>
    <row r="308" spans="3:31" ht="15.75" customHeight="1">
      <c r="C308" s="160"/>
      <c r="D308" s="160"/>
      <c r="E308" s="160"/>
      <c r="F308" s="160"/>
      <c r="G308" s="160"/>
      <c r="H308" s="160"/>
      <c r="I308" s="160"/>
      <c r="J308" s="160"/>
      <c r="K308" s="160"/>
      <c r="L308" s="160"/>
      <c r="M308" s="160"/>
      <c r="N308" s="160"/>
      <c r="O308" s="160"/>
      <c r="P308" s="160"/>
      <c r="AE308" s="161"/>
    </row>
    <row r="309" spans="3:31" ht="15.75" customHeight="1">
      <c r="C309" s="160"/>
      <c r="D309" s="160"/>
      <c r="E309" s="160"/>
      <c r="F309" s="160"/>
      <c r="G309" s="160"/>
      <c r="H309" s="160"/>
      <c r="I309" s="160"/>
      <c r="J309" s="160"/>
      <c r="K309" s="160"/>
      <c r="L309" s="160"/>
      <c r="M309" s="160"/>
      <c r="N309" s="160"/>
      <c r="O309" s="160"/>
      <c r="P309" s="160"/>
      <c r="AE309" s="161"/>
    </row>
    <row r="310" spans="3:31" ht="15.75" customHeight="1">
      <c r="C310" s="160"/>
      <c r="D310" s="160"/>
      <c r="E310" s="160"/>
      <c r="F310" s="160"/>
      <c r="G310" s="160"/>
      <c r="H310" s="160"/>
      <c r="I310" s="160"/>
      <c r="J310" s="160"/>
      <c r="K310" s="160"/>
      <c r="L310" s="160"/>
      <c r="M310" s="160"/>
      <c r="N310" s="160"/>
      <c r="O310" s="160"/>
      <c r="P310" s="160"/>
      <c r="AE310" s="161"/>
    </row>
    <row r="311" spans="3:31" ht="15.75" customHeight="1">
      <c r="C311" s="160"/>
      <c r="D311" s="160"/>
      <c r="E311" s="160"/>
      <c r="F311" s="160"/>
      <c r="G311" s="160"/>
      <c r="H311" s="160"/>
      <c r="I311" s="160"/>
      <c r="J311" s="160"/>
      <c r="K311" s="160"/>
      <c r="L311" s="160"/>
      <c r="M311" s="160"/>
      <c r="N311" s="160"/>
      <c r="O311" s="160"/>
      <c r="P311" s="160"/>
      <c r="AE311" s="161"/>
    </row>
    <row r="312" spans="3:31" ht="15.75" customHeight="1">
      <c r="C312" s="160"/>
      <c r="D312" s="160"/>
      <c r="E312" s="160"/>
      <c r="F312" s="160"/>
      <c r="G312" s="160"/>
      <c r="H312" s="160"/>
      <c r="I312" s="160"/>
      <c r="J312" s="160"/>
      <c r="K312" s="160"/>
      <c r="L312" s="160"/>
      <c r="M312" s="160"/>
      <c r="N312" s="160"/>
      <c r="O312" s="160"/>
      <c r="P312" s="160"/>
      <c r="AE312" s="161"/>
    </row>
    <row r="313" spans="3:31" ht="15.75" customHeight="1">
      <c r="C313" s="160"/>
      <c r="D313" s="160"/>
      <c r="E313" s="160"/>
      <c r="F313" s="160"/>
      <c r="G313" s="160"/>
      <c r="H313" s="160"/>
      <c r="I313" s="160"/>
      <c r="J313" s="160"/>
      <c r="K313" s="160"/>
      <c r="L313" s="160"/>
      <c r="M313" s="160"/>
      <c r="N313" s="160"/>
      <c r="O313" s="160"/>
      <c r="P313" s="160"/>
      <c r="AE313" s="161"/>
    </row>
    <row r="314" spans="3:31" ht="15.75" customHeight="1">
      <c r="C314" s="160"/>
      <c r="D314" s="160"/>
      <c r="E314" s="160"/>
      <c r="F314" s="160"/>
      <c r="G314" s="160"/>
      <c r="H314" s="160"/>
      <c r="I314" s="160"/>
      <c r="J314" s="160"/>
      <c r="K314" s="160"/>
      <c r="L314" s="160"/>
      <c r="M314" s="160"/>
      <c r="N314" s="160"/>
      <c r="O314" s="160"/>
      <c r="P314" s="160"/>
      <c r="AE314" s="161"/>
    </row>
    <row r="315" spans="3:31" ht="15.75" customHeight="1">
      <c r="C315" s="160"/>
      <c r="D315" s="160"/>
      <c r="E315" s="160"/>
      <c r="F315" s="160"/>
      <c r="G315" s="160"/>
      <c r="H315" s="160"/>
      <c r="I315" s="160"/>
      <c r="J315" s="160"/>
      <c r="K315" s="160"/>
      <c r="L315" s="160"/>
      <c r="M315" s="160"/>
      <c r="N315" s="160"/>
      <c r="O315" s="160"/>
      <c r="P315" s="160"/>
      <c r="AE315" s="161"/>
    </row>
    <row r="316" spans="3:31" ht="15.75" customHeight="1">
      <c r="C316" s="160"/>
      <c r="D316" s="160"/>
      <c r="E316" s="160"/>
      <c r="F316" s="160"/>
      <c r="G316" s="160"/>
      <c r="H316" s="160"/>
      <c r="I316" s="160"/>
      <c r="J316" s="160"/>
      <c r="K316" s="160"/>
      <c r="L316" s="160"/>
      <c r="M316" s="160"/>
      <c r="N316" s="160"/>
      <c r="O316" s="160"/>
      <c r="P316" s="160"/>
      <c r="AE316" s="161"/>
    </row>
    <row r="317" spans="3:31" ht="15.75" customHeight="1">
      <c r="C317" s="160"/>
      <c r="D317" s="160"/>
      <c r="E317" s="160"/>
      <c r="F317" s="160"/>
      <c r="G317" s="160"/>
      <c r="H317" s="160"/>
      <c r="I317" s="160"/>
      <c r="J317" s="160"/>
      <c r="K317" s="160"/>
      <c r="L317" s="160"/>
      <c r="M317" s="160"/>
      <c r="N317" s="160"/>
      <c r="O317" s="160"/>
      <c r="P317" s="160"/>
      <c r="AE317" s="161"/>
    </row>
    <row r="318" spans="3:31" ht="15.75" customHeight="1">
      <c r="C318" s="160"/>
      <c r="D318" s="160"/>
      <c r="E318" s="160"/>
      <c r="F318" s="160"/>
      <c r="G318" s="160"/>
      <c r="H318" s="160"/>
      <c r="I318" s="160"/>
      <c r="J318" s="160"/>
      <c r="K318" s="160"/>
      <c r="L318" s="160"/>
      <c r="M318" s="160"/>
      <c r="N318" s="160"/>
      <c r="O318" s="160"/>
      <c r="P318" s="160"/>
      <c r="AE318" s="161"/>
    </row>
    <row r="319" spans="3:31" ht="15.75" customHeight="1">
      <c r="C319" s="160"/>
      <c r="D319" s="160"/>
      <c r="E319" s="160"/>
      <c r="F319" s="160"/>
      <c r="G319" s="160"/>
      <c r="H319" s="160"/>
      <c r="I319" s="160"/>
      <c r="J319" s="160"/>
      <c r="K319" s="160"/>
      <c r="L319" s="160"/>
      <c r="M319" s="160"/>
      <c r="N319" s="160"/>
      <c r="O319" s="160"/>
      <c r="P319" s="160"/>
      <c r="AE319" s="161"/>
    </row>
    <row r="320" spans="3:31" ht="15.75" customHeight="1">
      <c r="C320" s="160"/>
      <c r="D320" s="160"/>
      <c r="E320" s="160"/>
      <c r="F320" s="160"/>
      <c r="G320" s="160"/>
      <c r="H320" s="160"/>
      <c r="I320" s="160"/>
      <c r="J320" s="160"/>
      <c r="K320" s="160"/>
      <c r="L320" s="160"/>
      <c r="M320" s="160"/>
      <c r="N320" s="160"/>
      <c r="O320" s="160"/>
      <c r="P320" s="160"/>
      <c r="AE320" s="161"/>
    </row>
    <row r="321" spans="3:31" ht="15.75" customHeight="1">
      <c r="C321" s="160"/>
      <c r="D321" s="160"/>
      <c r="E321" s="160"/>
      <c r="F321" s="160"/>
      <c r="G321" s="160"/>
      <c r="H321" s="160"/>
      <c r="I321" s="160"/>
      <c r="J321" s="160"/>
      <c r="K321" s="160"/>
      <c r="L321" s="160"/>
      <c r="M321" s="160"/>
      <c r="N321" s="160"/>
      <c r="O321" s="160"/>
      <c r="P321" s="160"/>
      <c r="AE321" s="161"/>
    </row>
    <row r="322" spans="3:31" ht="15.75" customHeight="1">
      <c r="C322" s="160"/>
      <c r="D322" s="160"/>
      <c r="E322" s="160"/>
      <c r="F322" s="160"/>
      <c r="G322" s="160"/>
      <c r="H322" s="160"/>
      <c r="I322" s="160"/>
      <c r="J322" s="160"/>
      <c r="K322" s="160"/>
      <c r="L322" s="160"/>
      <c r="M322" s="160"/>
      <c r="N322" s="160"/>
      <c r="O322" s="160"/>
      <c r="P322" s="160"/>
      <c r="AE322" s="161"/>
    </row>
    <row r="323" spans="3:31" ht="15.75" customHeight="1">
      <c r="C323" s="160"/>
      <c r="D323" s="160"/>
      <c r="E323" s="160"/>
      <c r="F323" s="160"/>
      <c r="G323" s="160"/>
      <c r="H323" s="160"/>
      <c r="I323" s="160"/>
      <c r="J323" s="160"/>
      <c r="K323" s="160"/>
      <c r="L323" s="160"/>
      <c r="M323" s="160"/>
      <c r="N323" s="160"/>
      <c r="O323" s="160"/>
      <c r="P323" s="160"/>
      <c r="AE323" s="161"/>
    </row>
    <row r="324" spans="3:31" ht="15.75" customHeight="1">
      <c r="C324" s="160"/>
      <c r="D324" s="160"/>
      <c r="E324" s="160"/>
      <c r="F324" s="160"/>
      <c r="G324" s="160"/>
      <c r="H324" s="160"/>
      <c r="I324" s="160"/>
      <c r="J324" s="160"/>
      <c r="K324" s="160"/>
      <c r="L324" s="160"/>
      <c r="M324" s="160"/>
      <c r="N324" s="160"/>
      <c r="O324" s="160"/>
      <c r="P324" s="160"/>
      <c r="AE324" s="161"/>
    </row>
    <row r="325" spans="3:31" ht="15.75" customHeight="1">
      <c r="C325" s="160"/>
      <c r="D325" s="160"/>
      <c r="E325" s="160"/>
      <c r="F325" s="160"/>
      <c r="G325" s="160"/>
      <c r="H325" s="160"/>
      <c r="I325" s="160"/>
      <c r="J325" s="160"/>
      <c r="K325" s="160"/>
      <c r="L325" s="160"/>
      <c r="M325" s="160"/>
      <c r="N325" s="160"/>
      <c r="O325" s="160"/>
      <c r="P325" s="160"/>
      <c r="AE325" s="161"/>
    </row>
    <row r="326" spans="3:31" ht="15.75" customHeight="1">
      <c r="C326" s="160"/>
      <c r="D326" s="160"/>
      <c r="E326" s="160"/>
      <c r="F326" s="160"/>
      <c r="G326" s="160"/>
      <c r="H326" s="160"/>
      <c r="I326" s="160"/>
      <c r="J326" s="160"/>
      <c r="K326" s="160"/>
      <c r="L326" s="160"/>
      <c r="M326" s="160"/>
      <c r="N326" s="160"/>
      <c r="O326" s="160"/>
      <c r="P326" s="160"/>
      <c r="AE326" s="161"/>
    </row>
    <row r="327" spans="3:31" ht="15.75" customHeight="1">
      <c r="C327" s="160"/>
      <c r="D327" s="160"/>
      <c r="E327" s="160"/>
      <c r="F327" s="160"/>
      <c r="G327" s="160"/>
      <c r="H327" s="160"/>
      <c r="I327" s="160"/>
      <c r="J327" s="160"/>
      <c r="K327" s="160"/>
      <c r="L327" s="160"/>
      <c r="M327" s="160"/>
      <c r="N327" s="160"/>
      <c r="O327" s="160"/>
      <c r="P327" s="160"/>
      <c r="AE327" s="161"/>
    </row>
    <row r="328" spans="3:31" ht="15.75" customHeight="1">
      <c r="C328" s="160"/>
      <c r="D328" s="160"/>
      <c r="E328" s="160"/>
      <c r="F328" s="160"/>
      <c r="G328" s="160"/>
      <c r="H328" s="160"/>
      <c r="I328" s="160"/>
      <c r="J328" s="160"/>
      <c r="K328" s="160"/>
      <c r="L328" s="160"/>
      <c r="M328" s="160"/>
      <c r="N328" s="160"/>
      <c r="O328" s="160"/>
      <c r="P328" s="160"/>
      <c r="AE328" s="161"/>
    </row>
    <row r="329" spans="3:31" ht="15.75" customHeight="1">
      <c r="C329" s="160"/>
      <c r="D329" s="160"/>
      <c r="E329" s="160"/>
      <c r="F329" s="160"/>
      <c r="G329" s="160"/>
      <c r="H329" s="160"/>
      <c r="I329" s="160"/>
      <c r="J329" s="160"/>
      <c r="K329" s="160"/>
      <c r="L329" s="160"/>
      <c r="M329" s="160"/>
      <c r="N329" s="160"/>
      <c r="O329" s="160"/>
      <c r="P329" s="160"/>
      <c r="AE329" s="161"/>
    </row>
    <row r="330" spans="3:31" ht="15.75" customHeight="1">
      <c r="C330" s="160"/>
      <c r="D330" s="160"/>
      <c r="E330" s="160"/>
      <c r="F330" s="160"/>
      <c r="G330" s="160"/>
      <c r="H330" s="160"/>
      <c r="I330" s="160"/>
      <c r="J330" s="160"/>
      <c r="K330" s="160"/>
      <c r="L330" s="160"/>
      <c r="M330" s="160"/>
      <c r="N330" s="160"/>
      <c r="O330" s="160"/>
      <c r="P330" s="160"/>
      <c r="AE330" s="161"/>
    </row>
    <row r="331" spans="3:31" ht="15.75" customHeight="1">
      <c r="C331" s="160"/>
      <c r="D331" s="160"/>
      <c r="E331" s="160"/>
      <c r="F331" s="160"/>
      <c r="G331" s="160"/>
      <c r="H331" s="160"/>
      <c r="I331" s="160"/>
      <c r="J331" s="160"/>
      <c r="K331" s="160"/>
      <c r="L331" s="160"/>
      <c r="M331" s="160"/>
      <c r="N331" s="160"/>
      <c r="O331" s="160"/>
      <c r="P331" s="160"/>
      <c r="AE331" s="161"/>
    </row>
    <row r="332" spans="3:31" ht="15.75" customHeight="1">
      <c r="C332" s="160"/>
      <c r="D332" s="160"/>
      <c r="E332" s="160"/>
      <c r="F332" s="160"/>
      <c r="G332" s="160"/>
      <c r="H332" s="160"/>
      <c r="I332" s="160"/>
      <c r="J332" s="160"/>
      <c r="K332" s="160"/>
      <c r="L332" s="160"/>
      <c r="M332" s="160"/>
      <c r="N332" s="160"/>
      <c r="O332" s="160"/>
      <c r="P332" s="160"/>
      <c r="AE332" s="161"/>
    </row>
    <row r="333" spans="3:31" ht="15.75" customHeight="1">
      <c r="C333" s="160"/>
      <c r="D333" s="160"/>
      <c r="E333" s="160"/>
      <c r="F333" s="160"/>
      <c r="G333" s="160"/>
      <c r="H333" s="160"/>
      <c r="I333" s="160"/>
      <c r="J333" s="160"/>
      <c r="K333" s="160"/>
      <c r="L333" s="160"/>
      <c r="M333" s="160"/>
      <c r="N333" s="160"/>
      <c r="O333" s="160"/>
      <c r="P333" s="160"/>
      <c r="AE333" s="161"/>
    </row>
    <row r="334" spans="3:31" ht="15.75" customHeight="1">
      <c r="C334" s="160"/>
      <c r="D334" s="160"/>
      <c r="E334" s="160"/>
      <c r="F334" s="160"/>
      <c r="G334" s="160"/>
      <c r="H334" s="160"/>
      <c r="I334" s="160"/>
      <c r="J334" s="160"/>
      <c r="K334" s="160"/>
      <c r="L334" s="160"/>
      <c r="M334" s="160"/>
      <c r="N334" s="160"/>
      <c r="O334" s="160"/>
      <c r="P334" s="160"/>
      <c r="AE334" s="161"/>
    </row>
    <row r="335" spans="3:31" ht="15.75" customHeight="1">
      <c r="C335" s="160"/>
      <c r="D335" s="160"/>
      <c r="E335" s="160"/>
      <c r="F335" s="160"/>
      <c r="G335" s="160"/>
      <c r="H335" s="160"/>
      <c r="I335" s="160"/>
      <c r="J335" s="160"/>
      <c r="K335" s="160"/>
      <c r="L335" s="160"/>
      <c r="M335" s="160"/>
      <c r="N335" s="160"/>
      <c r="O335" s="160"/>
      <c r="P335" s="160"/>
      <c r="AE335" s="161"/>
    </row>
    <row r="336" spans="3:31" ht="15.75" customHeight="1">
      <c r="C336" s="160"/>
      <c r="D336" s="160"/>
      <c r="E336" s="160"/>
      <c r="F336" s="160"/>
      <c r="G336" s="160"/>
      <c r="H336" s="160"/>
      <c r="I336" s="160"/>
      <c r="J336" s="160"/>
      <c r="K336" s="160"/>
      <c r="L336" s="160"/>
      <c r="M336" s="160"/>
      <c r="N336" s="160"/>
      <c r="O336" s="160"/>
      <c r="P336" s="160"/>
      <c r="AE336" s="161"/>
    </row>
    <row r="337" spans="3:31" ht="15.75" customHeight="1">
      <c r="C337" s="160"/>
      <c r="D337" s="160"/>
      <c r="E337" s="160"/>
      <c r="F337" s="160"/>
      <c r="G337" s="160"/>
      <c r="H337" s="160"/>
      <c r="I337" s="160"/>
      <c r="J337" s="160"/>
      <c r="K337" s="160"/>
      <c r="L337" s="160"/>
      <c r="M337" s="160"/>
      <c r="N337" s="160"/>
      <c r="O337" s="160"/>
      <c r="P337" s="160"/>
      <c r="AE337" s="161"/>
    </row>
    <row r="338" spans="3:31" ht="15.75" customHeight="1">
      <c r="C338" s="160"/>
      <c r="D338" s="160"/>
      <c r="E338" s="160"/>
      <c r="F338" s="160"/>
      <c r="G338" s="160"/>
      <c r="H338" s="160"/>
      <c r="I338" s="160"/>
      <c r="J338" s="160"/>
      <c r="K338" s="160"/>
      <c r="L338" s="160"/>
      <c r="M338" s="160"/>
      <c r="N338" s="160"/>
      <c r="O338" s="160"/>
      <c r="P338" s="160"/>
      <c r="AE338" s="161"/>
    </row>
    <row r="339" spans="3:31" ht="15.75" customHeight="1">
      <c r="C339" s="160"/>
      <c r="D339" s="160"/>
      <c r="E339" s="160"/>
      <c r="F339" s="160"/>
      <c r="G339" s="160"/>
      <c r="H339" s="160"/>
      <c r="I339" s="160"/>
      <c r="J339" s="160"/>
      <c r="K339" s="160"/>
      <c r="L339" s="160"/>
      <c r="M339" s="160"/>
      <c r="N339" s="160"/>
      <c r="O339" s="160"/>
      <c r="P339" s="160"/>
      <c r="AE339" s="161"/>
    </row>
    <row r="340" spans="3:31" ht="15.75" customHeight="1">
      <c r="C340" s="160"/>
      <c r="D340" s="160"/>
      <c r="E340" s="160"/>
      <c r="F340" s="160"/>
      <c r="G340" s="160"/>
      <c r="H340" s="160"/>
      <c r="I340" s="160"/>
      <c r="J340" s="160"/>
      <c r="K340" s="160"/>
      <c r="L340" s="160"/>
      <c r="M340" s="160"/>
      <c r="N340" s="160"/>
      <c r="O340" s="160"/>
      <c r="P340" s="160"/>
      <c r="AE340" s="161"/>
    </row>
    <row r="341" spans="3:31" ht="15.75" customHeight="1">
      <c r="C341" s="160"/>
      <c r="D341" s="160"/>
      <c r="E341" s="160"/>
      <c r="F341" s="160"/>
      <c r="G341" s="160"/>
      <c r="H341" s="160"/>
      <c r="I341" s="160"/>
      <c r="J341" s="160"/>
      <c r="K341" s="160"/>
      <c r="L341" s="160"/>
      <c r="M341" s="160"/>
      <c r="N341" s="160"/>
      <c r="O341" s="160"/>
      <c r="P341" s="160"/>
      <c r="AE341" s="161"/>
    </row>
    <row r="342" spans="3:31" ht="15.75" customHeight="1">
      <c r="C342" s="160"/>
      <c r="D342" s="160"/>
      <c r="E342" s="160"/>
      <c r="F342" s="160"/>
      <c r="G342" s="160"/>
      <c r="H342" s="160"/>
      <c r="I342" s="160"/>
      <c r="J342" s="160"/>
      <c r="K342" s="160"/>
      <c r="L342" s="160"/>
      <c r="M342" s="160"/>
      <c r="N342" s="160"/>
      <c r="O342" s="160"/>
      <c r="P342" s="160"/>
      <c r="AE342" s="161"/>
    </row>
    <row r="343" spans="3:31" ht="15.75" customHeight="1">
      <c r="C343" s="160"/>
      <c r="D343" s="160"/>
      <c r="E343" s="160"/>
      <c r="F343" s="160"/>
      <c r="G343" s="160"/>
      <c r="H343" s="160"/>
      <c r="I343" s="160"/>
      <c r="J343" s="160"/>
      <c r="K343" s="160"/>
      <c r="L343" s="160"/>
      <c r="M343" s="160"/>
      <c r="N343" s="160"/>
      <c r="O343" s="160"/>
      <c r="P343" s="160"/>
      <c r="AE343" s="161"/>
    </row>
    <row r="344" spans="3:31" ht="15.75" customHeight="1">
      <c r="C344" s="160"/>
      <c r="D344" s="160"/>
      <c r="E344" s="160"/>
      <c r="F344" s="160"/>
      <c r="G344" s="160"/>
      <c r="H344" s="160"/>
      <c r="I344" s="160"/>
      <c r="J344" s="160"/>
      <c r="K344" s="160"/>
      <c r="L344" s="160"/>
      <c r="M344" s="160"/>
      <c r="N344" s="160"/>
      <c r="O344" s="160"/>
      <c r="P344" s="160"/>
      <c r="AE344" s="161"/>
    </row>
    <row r="345" spans="3:31" ht="15.75" customHeight="1">
      <c r="C345" s="160"/>
      <c r="D345" s="160"/>
      <c r="E345" s="160"/>
      <c r="F345" s="160"/>
      <c r="G345" s="160"/>
      <c r="H345" s="160"/>
      <c r="I345" s="160"/>
      <c r="J345" s="160"/>
      <c r="K345" s="160"/>
      <c r="L345" s="160"/>
      <c r="M345" s="160"/>
      <c r="N345" s="160"/>
      <c r="O345" s="160"/>
      <c r="P345" s="160"/>
      <c r="AE345" s="161"/>
    </row>
    <row r="346" spans="3:31" ht="15.75" customHeight="1">
      <c r="C346" s="160"/>
      <c r="D346" s="160"/>
      <c r="E346" s="160"/>
      <c r="F346" s="160"/>
      <c r="G346" s="160"/>
      <c r="H346" s="160"/>
      <c r="I346" s="160"/>
      <c r="J346" s="160"/>
      <c r="K346" s="160"/>
      <c r="L346" s="160"/>
      <c r="M346" s="160"/>
      <c r="N346" s="160"/>
      <c r="O346" s="160"/>
      <c r="P346" s="160"/>
      <c r="AE346" s="161"/>
    </row>
    <row r="347" spans="3:31" ht="15.75" customHeight="1">
      <c r="C347" s="160"/>
      <c r="D347" s="160"/>
      <c r="E347" s="160"/>
      <c r="F347" s="160"/>
      <c r="G347" s="160"/>
      <c r="H347" s="160"/>
      <c r="I347" s="160"/>
      <c r="J347" s="160"/>
      <c r="K347" s="160"/>
      <c r="L347" s="160"/>
      <c r="M347" s="160"/>
      <c r="N347" s="160"/>
      <c r="O347" s="160"/>
      <c r="P347" s="160"/>
      <c r="AE347" s="161"/>
    </row>
    <row r="348" spans="3:31" ht="15.75" customHeight="1">
      <c r="C348" s="160"/>
      <c r="D348" s="160"/>
      <c r="E348" s="160"/>
      <c r="F348" s="160"/>
      <c r="G348" s="160"/>
      <c r="H348" s="160"/>
      <c r="I348" s="160"/>
      <c r="J348" s="160"/>
      <c r="K348" s="160"/>
      <c r="L348" s="160"/>
      <c r="M348" s="160"/>
      <c r="N348" s="160"/>
      <c r="O348" s="160"/>
      <c r="P348" s="160"/>
      <c r="AE348" s="161"/>
    </row>
    <row r="349" spans="3:31" ht="15.75" customHeight="1">
      <c r="C349" s="160"/>
      <c r="D349" s="160"/>
      <c r="E349" s="160"/>
      <c r="F349" s="160"/>
      <c r="G349" s="160"/>
      <c r="H349" s="160"/>
      <c r="I349" s="160"/>
      <c r="J349" s="160"/>
      <c r="K349" s="160"/>
      <c r="L349" s="160"/>
      <c r="M349" s="160"/>
      <c r="N349" s="160"/>
      <c r="O349" s="160"/>
      <c r="P349" s="160"/>
      <c r="AE349" s="161"/>
    </row>
    <row r="350" spans="3:31" ht="15.75" customHeight="1">
      <c r="C350" s="160"/>
      <c r="D350" s="160"/>
      <c r="E350" s="160"/>
      <c r="F350" s="160"/>
      <c r="G350" s="160"/>
      <c r="H350" s="160"/>
      <c r="I350" s="160"/>
      <c r="J350" s="160"/>
      <c r="K350" s="160"/>
      <c r="L350" s="160"/>
      <c r="M350" s="160"/>
      <c r="N350" s="160"/>
      <c r="O350" s="160"/>
      <c r="P350" s="160"/>
      <c r="AE350" s="161"/>
    </row>
    <row r="351" spans="3:31" ht="15.75" customHeight="1">
      <c r="C351" s="160"/>
      <c r="D351" s="160"/>
      <c r="E351" s="160"/>
      <c r="F351" s="160"/>
      <c r="G351" s="160"/>
      <c r="H351" s="160"/>
      <c r="I351" s="160"/>
      <c r="J351" s="160"/>
      <c r="K351" s="160"/>
      <c r="L351" s="160"/>
      <c r="M351" s="160"/>
      <c r="N351" s="160"/>
      <c r="O351" s="160"/>
      <c r="P351" s="160"/>
      <c r="AE351" s="161"/>
    </row>
    <row r="352" spans="3:31" ht="15.75" customHeight="1">
      <c r="C352" s="160"/>
      <c r="D352" s="160"/>
      <c r="E352" s="160"/>
      <c r="F352" s="160"/>
      <c r="G352" s="160"/>
      <c r="H352" s="160"/>
      <c r="I352" s="160"/>
      <c r="J352" s="160"/>
      <c r="K352" s="160"/>
      <c r="L352" s="160"/>
      <c r="M352" s="160"/>
      <c r="N352" s="160"/>
      <c r="O352" s="160"/>
      <c r="P352" s="160"/>
      <c r="AE352" s="161"/>
    </row>
    <row r="353" spans="3:31" ht="15.75" customHeight="1">
      <c r="C353" s="160"/>
      <c r="D353" s="160"/>
      <c r="E353" s="160"/>
      <c r="F353" s="160"/>
      <c r="G353" s="160"/>
      <c r="H353" s="160"/>
      <c r="I353" s="160"/>
      <c r="J353" s="160"/>
      <c r="K353" s="160"/>
      <c r="L353" s="160"/>
      <c r="M353" s="160"/>
      <c r="N353" s="160"/>
      <c r="O353" s="160"/>
      <c r="P353" s="160"/>
      <c r="AE353" s="161"/>
    </row>
    <row r="354" spans="3:31" ht="15.75" customHeight="1">
      <c r="C354" s="160"/>
      <c r="D354" s="160"/>
      <c r="E354" s="160"/>
      <c r="F354" s="160"/>
      <c r="G354" s="160"/>
      <c r="H354" s="160"/>
      <c r="I354" s="160"/>
      <c r="J354" s="160"/>
      <c r="K354" s="160"/>
      <c r="L354" s="160"/>
      <c r="M354" s="160"/>
      <c r="N354" s="160"/>
      <c r="O354" s="160"/>
      <c r="P354" s="160"/>
      <c r="AE354" s="161"/>
    </row>
    <row r="355" spans="3:31" ht="15.75" customHeight="1">
      <c r="C355" s="160"/>
      <c r="D355" s="160"/>
      <c r="E355" s="160"/>
      <c r="F355" s="160"/>
      <c r="G355" s="160"/>
      <c r="H355" s="160"/>
      <c r="I355" s="160"/>
      <c r="J355" s="160"/>
      <c r="K355" s="160"/>
      <c r="L355" s="160"/>
      <c r="M355" s="160"/>
      <c r="N355" s="160"/>
      <c r="O355" s="160"/>
      <c r="P355" s="160"/>
      <c r="AE355" s="161"/>
    </row>
    <row r="356" spans="3:31" ht="15.75" customHeight="1">
      <c r="C356" s="160"/>
      <c r="D356" s="160"/>
      <c r="E356" s="160"/>
      <c r="F356" s="160"/>
      <c r="G356" s="160"/>
      <c r="H356" s="160"/>
      <c r="I356" s="160"/>
      <c r="J356" s="160"/>
      <c r="K356" s="160"/>
      <c r="L356" s="160"/>
      <c r="M356" s="160"/>
      <c r="N356" s="160"/>
      <c r="O356" s="160"/>
      <c r="P356" s="160"/>
      <c r="AE356" s="161"/>
    </row>
    <row r="357" spans="3:31" ht="15.75" customHeight="1">
      <c r="C357" s="160"/>
      <c r="D357" s="160"/>
      <c r="E357" s="160"/>
      <c r="F357" s="160"/>
      <c r="G357" s="160"/>
      <c r="H357" s="160"/>
      <c r="I357" s="160"/>
      <c r="J357" s="160"/>
      <c r="K357" s="160"/>
      <c r="L357" s="160"/>
      <c r="M357" s="160"/>
      <c r="N357" s="160"/>
      <c r="O357" s="160"/>
      <c r="P357" s="160"/>
      <c r="AE357" s="161"/>
    </row>
    <row r="358" spans="3:31" ht="15.75" customHeight="1">
      <c r="C358" s="160"/>
      <c r="D358" s="160"/>
      <c r="E358" s="160"/>
      <c r="F358" s="160"/>
      <c r="G358" s="160"/>
      <c r="H358" s="160"/>
      <c r="I358" s="160"/>
      <c r="J358" s="160"/>
      <c r="K358" s="160"/>
      <c r="L358" s="160"/>
      <c r="M358" s="160"/>
      <c r="N358" s="160"/>
      <c r="O358" s="160"/>
      <c r="P358" s="160"/>
      <c r="AE358" s="161"/>
    </row>
    <row r="359" spans="3:31" ht="15.75" customHeight="1">
      <c r="C359" s="160"/>
      <c r="D359" s="160"/>
      <c r="E359" s="160"/>
      <c r="F359" s="160"/>
      <c r="G359" s="160"/>
      <c r="H359" s="160"/>
      <c r="I359" s="160"/>
      <c r="J359" s="160"/>
      <c r="K359" s="160"/>
      <c r="L359" s="160"/>
      <c r="M359" s="160"/>
      <c r="N359" s="160"/>
      <c r="O359" s="160"/>
      <c r="P359" s="160"/>
      <c r="AE359" s="161"/>
    </row>
    <row r="360" spans="3:31" ht="15.75" customHeight="1">
      <c r="C360" s="160"/>
      <c r="D360" s="160"/>
      <c r="E360" s="160"/>
      <c r="F360" s="160"/>
      <c r="G360" s="160"/>
      <c r="H360" s="160"/>
      <c r="I360" s="160"/>
      <c r="J360" s="160"/>
      <c r="K360" s="160"/>
      <c r="L360" s="160"/>
      <c r="M360" s="160"/>
      <c r="N360" s="160"/>
      <c r="O360" s="160"/>
      <c r="P360" s="160"/>
      <c r="AE360" s="161"/>
    </row>
    <row r="361" spans="3:31" ht="15.75" customHeight="1">
      <c r="C361" s="160"/>
      <c r="D361" s="160"/>
      <c r="E361" s="160"/>
      <c r="F361" s="160"/>
      <c r="G361" s="160"/>
      <c r="H361" s="160"/>
      <c r="I361" s="160"/>
      <c r="J361" s="160"/>
      <c r="K361" s="160"/>
      <c r="L361" s="160"/>
      <c r="M361" s="160"/>
      <c r="N361" s="160"/>
      <c r="O361" s="160"/>
      <c r="P361" s="160"/>
      <c r="AE361" s="161"/>
    </row>
    <row r="362" spans="3:31" ht="15.75" customHeight="1">
      <c r="C362" s="160"/>
      <c r="D362" s="160"/>
      <c r="E362" s="160"/>
      <c r="F362" s="160"/>
      <c r="G362" s="160"/>
      <c r="H362" s="160"/>
      <c r="I362" s="160"/>
      <c r="J362" s="160"/>
      <c r="K362" s="160"/>
      <c r="L362" s="160"/>
      <c r="M362" s="160"/>
      <c r="N362" s="160"/>
      <c r="O362" s="160"/>
      <c r="P362" s="160"/>
      <c r="AE362" s="161"/>
    </row>
    <row r="363" spans="3:31" ht="15.75" customHeight="1">
      <c r="C363" s="160"/>
      <c r="D363" s="160"/>
      <c r="E363" s="160"/>
      <c r="F363" s="160"/>
      <c r="G363" s="160"/>
      <c r="H363" s="160"/>
      <c r="I363" s="160"/>
      <c r="J363" s="160"/>
      <c r="K363" s="160"/>
      <c r="L363" s="160"/>
      <c r="M363" s="160"/>
      <c r="N363" s="160"/>
      <c r="O363" s="160"/>
      <c r="P363" s="160"/>
      <c r="AE363" s="161"/>
    </row>
    <row r="364" spans="3:31" ht="15.75" customHeight="1">
      <c r="C364" s="160"/>
      <c r="D364" s="160"/>
      <c r="E364" s="160"/>
      <c r="F364" s="160"/>
      <c r="G364" s="160"/>
      <c r="H364" s="160"/>
      <c r="I364" s="160"/>
      <c r="J364" s="160"/>
      <c r="K364" s="160"/>
      <c r="L364" s="160"/>
      <c r="M364" s="160"/>
      <c r="N364" s="160"/>
      <c r="O364" s="160"/>
      <c r="P364" s="160"/>
      <c r="AE364" s="161"/>
    </row>
    <row r="365" spans="3:31" ht="15.75" customHeight="1">
      <c r="C365" s="160"/>
      <c r="D365" s="160"/>
      <c r="E365" s="160"/>
      <c r="F365" s="160"/>
      <c r="G365" s="160"/>
      <c r="H365" s="160"/>
      <c r="I365" s="160"/>
      <c r="J365" s="160"/>
      <c r="K365" s="160"/>
      <c r="L365" s="160"/>
      <c r="M365" s="160"/>
      <c r="N365" s="160"/>
      <c r="O365" s="160"/>
      <c r="P365" s="160"/>
      <c r="AE365" s="161"/>
    </row>
    <row r="366" spans="3:31" ht="15.75" customHeight="1">
      <c r="C366" s="160"/>
      <c r="D366" s="160"/>
      <c r="E366" s="160"/>
      <c r="F366" s="160"/>
      <c r="G366" s="160"/>
      <c r="H366" s="160"/>
      <c r="I366" s="160"/>
      <c r="J366" s="160"/>
      <c r="K366" s="160"/>
      <c r="L366" s="160"/>
      <c r="M366" s="160"/>
      <c r="N366" s="160"/>
      <c r="O366" s="160"/>
      <c r="P366" s="160"/>
      <c r="AE366" s="161"/>
    </row>
    <row r="367" spans="3:31" ht="15.75" customHeight="1">
      <c r="C367" s="160"/>
      <c r="D367" s="160"/>
      <c r="E367" s="160"/>
      <c r="F367" s="160"/>
      <c r="G367" s="160"/>
      <c r="H367" s="160"/>
      <c r="I367" s="160"/>
      <c r="J367" s="160"/>
      <c r="K367" s="160"/>
      <c r="L367" s="160"/>
      <c r="M367" s="160"/>
      <c r="N367" s="160"/>
      <c r="O367" s="160"/>
      <c r="P367" s="160"/>
      <c r="AE367" s="161"/>
    </row>
    <row r="368" spans="3:31" ht="15.75" customHeight="1">
      <c r="C368" s="160"/>
      <c r="D368" s="160"/>
      <c r="E368" s="160"/>
      <c r="F368" s="160"/>
      <c r="G368" s="160"/>
      <c r="H368" s="160"/>
      <c r="I368" s="160"/>
      <c r="J368" s="160"/>
      <c r="K368" s="160"/>
      <c r="L368" s="160"/>
      <c r="M368" s="160"/>
      <c r="N368" s="160"/>
      <c r="O368" s="160"/>
      <c r="P368" s="160"/>
      <c r="AE368" s="161"/>
    </row>
    <row r="369" spans="3:31" ht="15.75" customHeight="1">
      <c r="C369" s="160"/>
      <c r="D369" s="160"/>
      <c r="E369" s="160"/>
      <c r="F369" s="160"/>
      <c r="G369" s="160"/>
      <c r="H369" s="160"/>
      <c r="I369" s="160"/>
      <c r="J369" s="160"/>
      <c r="K369" s="160"/>
      <c r="L369" s="160"/>
      <c r="M369" s="160"/>
      <c r="N369" s="160"/>
      <c r="O369" s="160"/>
      <c r="P369" s="160"/>
      <c r="AE369" s="161"/>
    </row>
    <row r="370" spans="3:31" ht="15.75" customHeight="1">
      <c r="C370" s="160"/>
      <c r="D370" s="160"/>
      <c r="E370" s="160"/>
      <c r="F370" s="160"/>
      <c r="G370" s="160"/>
      <c r="H370" s="160"/>
      <c r="I370" s="160"/>
      <c r="J370" s="160"/>
      <c r="K370" s="160"/>
      <c r="L370" s="160"/>
      <c r="M370" s="160"/>
      <c r="N370" s="160"/>
      <c r="O370" s="160"/>
      <c r="P370" s="160"/>
      <c r="AE370" s="161"/>
    </row>
    <row r="371" spans="3:31" ht="15.75" customHeight="1">
      <c r="C371" s="160"/>
      <c r="D371" s="160"/>
      <c r="E371" s="160"/>
      <c r="F371" s="160"/>
      <c r="G371" s="160"/>
      <c r="H371" s="160"/>
      <c r="I371" s="160"/>
      <c r="J371" s="160"/>
      <c r="K371" s="160"/>
      <c r="L371" s="160"/>
      <c r="M371" s="160"/>
      <c r="N371" s="160"/>
      <c r="O371" s="160"/>
      <c r="P371" s="160"/>
      <c r="AE371" s="161"/>
    </row>
    <row r="372" spans="3:31" ht="15.75" customHeight="1">
      <c r="C372" s="160"/>
      <c r="D372" s="160"/>
      <c r="E372" s="160"/>
      <c r="F372" s="160"/>
      <c r="G372" s="160"/>
      <c r="H372" s="160"/>
      <c r="I372" s="160"/>
      <c r="J372" s="160"/>
      <c r="K372" s="160"/>
      <c r="L372" s="160"/>
      <c r="M372" s="160"/>
      <c r="N372" s="160"/>
      <c r="O372" s="160"/>
      <c r="P372" s="160"/>
      <c r="AE372" s="161"/>
    </row>
    <row r="373" spans="3:31" ht="15.75" customHeight="1">
      <c r="C373" s="160"/>
      <c r="D373" s="160"/>
      <c r="E373" s="160"/>
      <c r="F373" s="160"/>
      <c r="G373" s="160"/>
      <c r="H373" s="160"/>
      <c r="I373" s="160"/>
      <c r="J373" s="160"/>
      <c r="K373" s="160"/>
      <c r="L373" s="160"/>
      <c r="M373" s="160"/>
      <c r="N373" s="160"/>
      <c r="O373" s="160"/>
      <c r="P373" s="160"/>
      <c r="AE373" s="161"/>
    </row>
    <row r="374" spans="3:31" ht="15.75" customHeight="1">
      <c r="C374" s="160"/>
      <c r="D374" s="160"/>
      <c r="E374" s="160"/>
      <c r="F374" s="160"/>
      <c r="G374" s="160"/>
      <c r="H374" s="160"/>
      <c r="I374" s="160"/>
      <c r="J374" s="160"/>
      <c r="K374" s="160"/>
      <c r="L374" s="160"/>
      <c r="M374" s="160"/>
      <c r="N374" s="160"/>
      <c r="O374" s="160"/>
      <c r="P374" s="160"/>
      <c r="AE374" s="161"/>
    </row>
    <row r="375" spans="3:31" ht="15.75" customHeight="1">
      <c r="C375" s="160"/>
      <c r="D375" s="160"/>
      <c r="E375" s="160"/>
      <c r="F375" s="160"/>
      <c r="G375" s="160"/>
      <c r="H375" s="160"/>
      <c r="I375" s="160"/>
      <c r="J375" s="160"/>
      <c r="K375" s="160"/>
      <c r="L375" s="160"/>
      <c r="M375" s="160"/>
      <c r="N375" s="160"/>
      <c r="O375" s="160"/>
      <c r="P375" s="160"/>
      <c r="AE375" s="161"/>
    </row>
    <row r="376" spans="3:31" ht="15.75" customHeight="1">
      <c r="C376" s="160"/>
      <c r="D376" s="160"/>
      <c r="E376" s="160"/>
      <c r="F376" s="160"/>
      <c r="G376" s="160"/>
      <c r="H376" s="160"/>
      <c r="I376" s="160"/>
      <c r="J376" s="160"/>
      <c r="K376" s="160"/>
      <c r="L376" s="160"/>
      <c r="M376" s="160"/>
      <c r="N376" s="160"/>
      <c r="O376" s="160"/>
      <c r="P376" s="160"/>
      <c r="AE376" s="161"/>
    </row>
    <row r="377" spans="3:31" ht="15.75" customHeight="1">
      <c r="C377" s="160"/>
      <c r="D377" s="160"/>
      <c r="E377" s="160"/>
      <c r="F377" s="160"/>
      <c r="G377" s="160"/>
      <c r="H377" s="160"/>
      <c r="I377" s="160"/>
      <c r="J377" s="160"/>
      <c r="K377" s="160"/>
      <c r="L377" s="160"/>
      <c r="M377" s="160"/>
      <c r="N377" s="160"/>
      <c r="O377" s="160"/>
      <c r="P377" s="160"/>
      <c r="AE377" s="161"/>
    </row>
    <row r="378" spans="3:31" ht="15.75" customHeight="1">
      <c r="C378" s="160"/>
      <c r="D378" s="160"/>
      <c r="E378" s="160"/>
      <c r="F378" s="160"/>
      <c r="G378" s="160"/>
      <c r="H378" s="160"/>
      <c r="I378" s="160"/>
      <c r="J378" s="160"/>
      <c r="K378" s="160"/>
      <c r="L378" s="160"/>
      <c r="M378" s="160"/>
      <c r="N378" s="160"/>
      <c r="O378" s="160"/>
      <c r="P378" s="160"/>
      <c r="AE378" s="161"/>
    </row>
    <row r="379" spans="3:31" ht="15.75" customHeight="1">
      <c r="C379" s="160"/>
      <c r="D379" s="160"/>
      <c r="E379" s="160"/>
      <c r="F379" s="160"/>
      <c r="G379" s="160"/>
      <c r="H379" s="160"/>
      <c r="I379" s="160"/>
      <c r="J379" s="160"/>
      <c r="K379" s="160"/>
      <c r="L379" s="160"/>
      <c r="M379" s="160"/>
      <c r="N379" s="160"/>
      <c r="O379" s="160"/>
      <c r="P379" s="160"/>
      <c r="AE379" s="161"/>
    </row>
    <row r="380" spans="3:31" ht="15.75" customHeight="1">
      <c r="C380" s="160"/>
      <c r="D380" s="160"/>
      <c r="E380" s="160"/>
      <c r="F380" s="160"/>
      <c r="G380" s="160"/>
      <c r="H380" s="160"/>
      <c r="I380" s="160"/>
      <c r="J380" s="160"/>
      <c r="K380" s="160"/>
      <c r="L380" s="160"/>
      <c r="M380" s="160"/>
      <c r="N380" s="160"/>
      <c r="O380" s="160"/>
      <c r="P380" s="160"/>
      <c r="AE380" s="161"/>
    </row>
    <row r="381" spans="3:31" ht="15.75" customHeight="1">
      <c r="C381" s="160"/>
      <c r="D381" s="160"/>
      <c r="E381" s="160"/>
      <c r="F381" s="160"/>
      <c r="G381" s="160"/>
      <c r="H381" s="160"/>
      <c r="I381" s="160"/>
      <c r="J381" s="160"/>
      <c r="K381" s="160"/>
      <c r="L381" s="160"/>
      <c r="M381" s="160"/>
      <c r="N381" s="160"/>
      <c r="O381" s="160"/>
      <c r="P381" s="160"/>
      <c r="AE381" s="161"/>
    </row>
    <row r="382" spans="3:31" ht="15.75" customHeight="1">
      <c r="C382" s="160"/>
      <c r="D382" s="160"/>
      <c r="E382" s="160"/>
      <c r="F382" s="160"/>
      <c r="G382" s="160"/>
      <c r="H382" s="160"/>
      <c r="I382" s="160"/>
      <c r="J382" s="160"/>
      <c r="K382" s="160"/>
      <c r="L382" s="160"/>
      <c r="M382" s="160"/>
      <c r="N382" s="160"/>
      <c r="O382" s="160"/>
      <c r="P382" s="160"/>
      <c r="AE382" s="161"/>
    </row>
    <row r="383" spans="3:31" ht="15.75" customHeight="1">
      <c r="C383" s="160"/>
      <c r="D383" s="160"/>
      <c r="E383" s="160"/>
      <c r="F383" s="160"/>
      <c r="G383" s="160"/>
      <c r="H383" s="160"/>
      <c r="I383" s="160"/>
      <c r="J383" s="160"/>
      <c r="K383" s="160"/>
      <c r="L383" s="160"/>
      <c r="M383" s="160"/>
      <c r="N383" s="160"/>
      <c r="O383" s="160"/>
      <c r="P383" s="160"/>
      <c r="AE383" s="161"/>
    </row>
    <row r="384" spans="3:31" ht="15.75" customHeight="1">
      <c r="C384" s="160"/>
      <c r="D384" s="160"/>
      <c r="E384" s="160"/>
      <c r="F384" s="160"/>
      <c r="G384" s="160"/>
      <c r="H384" s="160"/>
      <c r="I384" s="160"/>
      <c r="J384" s="160"/>
      <c r="K384" s="160"/>
      <c r="L384" s="160"/>
      <c r="M384" s="160"/>
      <c r="N384" s="160"/>
      <c r="O384" s="160"/>
      <c r="P384" s="160"/>
      <c r="AE384" s="161"/>
    </row>
    <row r="385" spans="3:31" ht="15.75" customHeight="1">
      <c r="C385" s="160"/>
      <c r="D385" s="160"/>
      <c r="E385" s="160"/>
      <c r="F385" s="160"/>
      <c r="G385" s="160"/>
      <c r="H385" s="160"/>
      <c r="I385" s="160"/>
      <c r="J385" s="160"/>
      <c r="K385" s="160"/>
      <c r="L385" s="160"/>
      <c r="M385" s="160"/>
      <c r="N385" s="160"/>
      <c r="O385" s="160"/>
      <c r="P385" s="160"/>
      <c r="AE385" s="161"/>
    </row>
    <row r="386" spans="3:31" ht="15.75" customHeight="1">
      <c r="C386" s="160"/>
      <c r="D386" s="160"/>
      <c r="E386" s="160"/>
      <c r="F386" s="160"/>
      <c r="G386" s="160"/>
      <c r="H386" s="160"/>
      <c r="I386" s="160"/>
      <c r="J386" s="160"/>
      <c r="K386" s="160"/>
      <c r="L386" s="160"/>
      <c r="M386" s="160"/>
      <c r="N386" s="160"/>
      <c r="O386" s="160"/>
      <c r="P386" s="160"/>
      <c r="AE386" s="161"/>
    </row>
    <row r="387" spans="3:31" ht="15.75" customHeight="1">
      <c r="C387" s="160"/>
      <c r="D387" s="160"/>
      <c r="E387" s="160"/>
      <c r="F387" s="160"/>
      <c r="G387" s="160"/>
      <c r="H387" s="160"/>
      <c r="I387" s="160"/>
      <c r="J387" s="160"/>
      <c r="K387" s="160"/>
      <c r="L387" s="160"/>
      <c r="M387" s="160"/>
      <c r="N387" s="160"/>
      <c r="O387" s="160"/>
      <c r="P387" s="160"/>
      <c r="AE387" s="161"/>
    </row>
    <row r="388" spans="3:31" ht="15.75" customHeight="1">
      <c r="C388" s="160"/>
      <c r="D388" s="160"/>
      <c r="E388" s="160"/>
      <c r="F388" s="160"/>
      <c r="G388" s="160"/>
      <c r="H388" s="160"/>
      <c r="I388" s="160"/>
      <c r="J388" s="160"/>
      <c r="K388" s="160"/>
      <c r="L388" s="160"/>
      <c r="M388" s="160"/>
      <c r="N388" s="160"/>
      <c r="O388" s="160"/>
      <c r="P388" s="160"/>
      <c r="AE388" s="161"/>
    </row>
    <row r="389" spans="3:31" ht="15.75" customHeight="1">
      <c r="C389" s="160"/>
      <c r="D389" s="160"/>
      <c r="E389" s="160"/>
      <c r="F389" s="160"/>
      <c r="G389" s="160"/>
      <c r="H389" s="160"/>
      <c r="I389" s="160"/>
      <c r="J389" s="160"/>
      <c r="K389" s="160"/>
      <c r="L389" s="160"/>
      <c r="M389" s="160"/>
      <c r="N389" s="160"/>
      <c r="O389" s="160"/>
      <c r="P389" s="160"/>
      <c r="AE389" s="161"/>
    </row>
    <row r="390" spans="3:31" ht="15.75" customHeight="1">
      <c r="C390" s="160"/>
      <c r="D390" s="160"/>
      <c r="E390" s="160"/>
      <c r="F390" s="160"/>
      <c r="G390" s="160"/>
      <c r="H390" s="160"/>
      <c r="I390" s="160"/>
      <c r="J390" s="160"/>
      <c r="K390" s="160"/>
      <c r="L390" s="160"/>
      <c r="M390" s="160"/>
      <c r="N390" s="160"/>
      <c r="O390" s="160"/>
      <c r="P390" s="160"/>
      <c r="AE390" s="161"/>
    </row>
    <row r="391" spans="3:31" ht="15.75" customHeight="1">
      <c r="C391" s="160"/>
      <c r="D391" s="160"/>
      <c r="E391" s="160"/>
      <c r="F391" s="160"/>
      <c r="G391" s="160"/>
      <c r="H391" s="160"/>
      <c r="I391" s="160"/>
      <c r="J391" s="160"/>
      <c r="K391" s="160"/>
      <c r="L391" s="160"/>
      <c r="M391" s="160"/>
      <c r="N391" s="160"/>
      <c r="O391" s="160"/>
      <c r="P391" s="160"/>
      <c r="AE391" s="161"/>
    </row>
    <row r="392" spans="3:31" ht="15.75" customHeight="1">
      <c r="C392" s="160"/>
      <c r="D392" s="160"/>
      <c r="E392" s="160"/>
      <c r="F392" s="160"/>
      <c r="G392" s="160"/>
      <c r="H392" s="160"/>
      <c r="I392" s="160"/>
      <c r="J392" s="160"/>
      <c r="K392" s="160"/>
      <c r="L392" s="160"/>
      <c r="M392" s="160"/>
      <c r="N392" s="160"/>
      <c r="O392" s="160"/>
      <c r="P392" s="160"/>
      <c r="AE392" s="161"/>
    </row>
    <row r="393" spans="3:31" ht="15.75" customHeight="1">
      <c r="C393" s="160"/>
      <c r="D393" s="160"/>
      <c r="E393" s="160"/>
      <c r="F393" s="160"/>
      <c r="G393" s="160"/>
      <c r="H393" s="160"/>
      <c r="I393" s="160"/>
      <c r="J393" s="160"/>
      <c r="K393" s="160"/>
      <c r="L393" s="160"/>
      <c r="M393" s="160"/>
      <c r="N393" s="160"/>
      <c r="O393" s="160"/>
      <c r="P393" s="160"/>
      <c r="AE393" s="161"/>
    </row>
    <row r="394" spans="3:31" ht="15.75" customHeight="1">
      <c r="C394" s="160"/>
      <c r="D394" s="160"/>
      <c r="E394" s="160"/>
      <c r="F394" s="160"/>
      <c r="G394" s="160"/>
      <c r="H394" s="160"/>
      <c r="I394" s="160"/>
      <c r="J394" s="160"/>
      <c r="K394" s="160"/>
      <c r="L394" s="160"/>
      <c r="M394" s="160"/>
      <c r="N394" s="160"/>
      <c r="O394" s="160"/>
      <c r="P394" s="160"/>
      <c r="AE394" s="161"/>
    </row>
    <row r="395" spans="3:31" ht="15.75" customHeight="1">
      <c r="C395" s="160"/>
      <c r="D395" s="160"/>
      <c r="E395" s="160"/>
      <c r="F395" s="160"/>
      <c r="G395" s="160"/>
      <c r="H395" s="160"/>
      <c r="I395" s="160"/>
      <c r="J395" s="160"/>
      <c r="K395" s="160"/>
      <c r="L395" s="160"/>
      <c r="M395" s="160"/>
      <c r="N395" s="160"/>
      <c r="O395" s="160"/>
      <c r="P395" s="160"/>
      <c r="AE395" s="161"/>
    </row>
    <row r="396" spans="3:31" ht="15.75" customHeight="1">
      <c r="C396" s="160"/>
      <c r="D396" s="160"/>
      <c r="E396" s="160"/>
      <c r="F396" s="160"/>
      <c r="G396" s="160"/>
      <c r="H396" s="160"/>
      <c r="I396" s="160"/>
      <c r="J396" s="160"/>
      <c r="K396" s="160"/>
      <c r="L396" s="160"/>
      <c r="M396" s="160"/>
      <c r="N396" s="160"/>
      <c r="O396" s="160"/>
      <c r="P396" s="160"/>
      <c r="AE396" s="161"/>
    </row>
    <row r="397" spans="3:31" ht="15.75" customHeight="1">
      <c r="C397" s="160"/>
      <c r="D397" s="160"/>
      <c r="E397" s="160"/>
      <c r="F397" s="160"/>
      <c r="G397" s="160"/>
      <c r="H397" s="160"/>
      <c r="I397" s="160"/>
      <c r="J397" s="160"/>
      <c r="K397" s="160"/>
      <c r="L397" s="160"/>
      <c r="M397" s="160"/>
      <c r="N397" s="160"/>
      <c r="O397" s="160"/>
      <c r="P397" s="160"/>
      <c r="AE397" s="161"/>
    </row>
    <row r="398" spans="3:31" ht="15.75" customHeight="1">
      <c r="C398" s="160"/>
      <c r="D398" s="160"/>
      <c r="E398" s="160"/>
      <c r="F398" s="160"/>
      <c r="G398" s="160"/>
      <c r="H398" s="160"/>
      <c r="I398" s="160"/>
      <c r="J398" s="160"/>
      <c r="K398" s="160"/>
      <c r="L398" s="160"/>
      <c r="M398" s="160"/>
      <c r="N398" s="160"/>
      <c r="O398" s="160"/>
      <c r="P398" s="160"/>
      <c r="AE398" s="161"/>
    </row>
    <row r="399" spans="3:31" ht="15.75" customHeight="1">
      <c r="C399" s="160"/>
      <c r="D399" s="160"/>
      <c r="E399" s="160"/>
      <c r="F399" s="160"/>
      <c r="G399" s="160"/>
      <c r="H399" s="160"/>
      <c r="I399" s="160"/>
      <c r="J399" s="160"/>
      <c r="K399" s="160"/>
      <c r="L399" s="160"/>
      <c r="M399" s="160"/>
      <c r="N399" s="160"/>
      <c r="O399" s="160"/>
      <c r="P399" s="160"/>
      <c r="AE399" s="161"/>
    </row>
    <row r="400" spans="3:31" ht="15.75" customHeight="1">
      <c r="C400" s="160"/>
      <c r="D400" s="160"/>
      <c r="E400" s="160"/>
      <c r="F400" s="160"/>
      <c r="G400" s="160"/>
      <c r="H400" s="160"/>
      <c r="I400" s="160"/>
      <c r="J400" s="160"/>
      <c r="K400" s="160"/>
      <c r="L400" s="160"/>
      <c r="M400" s="160"/>
      <c r="N400" s="160"/>
      <c r="O400" s="160"/>
      <c r="P400" s="160"/>
      <c r="AE400" s="161"/>
    </row>
    <row r="401" spans="3:31" ht="15.75" customHeight="1">
      <c r="C401" s="160"/>
      <c r="D401" s="160"/>
      <c r="E401" s="160"/>
      <c r="F401" s="160"/>
      <c r="G401" s="160"/>
      <c r="H401" s="160"/>
      <c r="I401" s="160"/>
      <c r="J401" s="160"/>
      <c r="K401" s="160"/>
      <c r="L401" s="160"/>
      <c r="M401" s="160"/>
      <c r="N401" s="160"/>
      <c r="O401" s="160"/>
      <c r="P401" s="160"/>
      <c r="AE401" s="161"/>
    </row>
    <row r="402" spans="3:31" ht="15.75" customHeight="1">
      <c r="C402" s="160"/>
      <c r="D402" s="160"/>
      <c r="E402" s="160"/>
      <c r="F402" s="160"/>
      <c r="G402" s="160"/>
      <c r="H402" s="160"/>
      <c r="I402" s="160"/>
      <c r="J402" s="160"/>
      <c r="K402" s="160"/>
      <c r="L402" s="160"/>
      <c r="M402" s="160"/>
      <c r="N402" s="160"/>
      <c r="O402" s="160"/>
      <c r="P402" s="160"/>
      <c r="AE402" s="161"/>
    </row>
    <row r="403" spans="3:31" ht="15.75" customHeight="1">
      <c r="C403" s="160"/>
      <c r="D403" s="160"/>
      <c r="E403" s="160"/>
      <c r="F403" s="160"/>
      <c r="G403" s="160"/>
      <c r="H403" s="160"/>
      <c r="I403" s="160"/>
      <c r="J403" s="160"/>
      <c r="K403" s="160"/>
      <c r="L403" s="160"/>
      <c r="M403" s="160"/>
      <c r="N403" s="160"/>
      <c r="O403" s="160"/>
      <c r="P403" s="160"/>
      <c r="AE403" s="161"/>
    </row>
    <row r="404" spans="3:31" ht="15.75" customHeight="1">
      <c r="C404" s="160"/>
      <c r="D404" s="160"/>
      <c r="E404" s="160"/>
      <c r="F404" s="160"/>
      <c r="G404" s="160"/>
      <c r="H404" s="160"/>
      <c r="I404" s="160"/>
      <c r="J404" s="160"/>
      <c r="K404" s="160"/>
      <c r="L404" s="160"/>
      <c r="M404" s="160"/>
      <c r="N404" s="160"/>
      <c r="O404" s="160"/>
      <c r="P404" s="160"/>
      <c r="AE404" s="161"/>
    </row>
    <row r="405" spans="3:31" ht="15.75" customHeight="1">
      <c r="C405" s="160"/>
      <c r="D405" s="160"/>
      <c r="E405" s="160"/>
      <c r="F405" s="160"/>
      <c r="G405" s="160"/>
      <c r="H405" s="160"/>
      <c r="I405" s="160"/>
      <c r="J405" s="160"/>
      <c r="K405" s="160"/>
      <c r="L405" s="160"/>
      <c r="M405" s="160"/>
      <c r="N405" s="160"/>
      <c r="O405" s="160"/>
      <c r="P405" s="160"/>
      <c r="AE405" s="161"/>
    </row>
    <row r="406" spans="3:31" ht="15.75" customHeight="1">
      <c r="C406" s="160"/>
      <c r="D406" s="160"/>
      <c r="E406" s="160"/>
      <c r="F406" s="160"/>
      <c r="G406" s="160"/>
      <c r="H406" s="160"/>
      <c r="I406" s="160"/>
      <c r="J406" s="160"/>
      <c r="K406" s="160"/>
      <c r="L406" s="160"/>
      <c r="M406" s="160"/>
      <c r="N406" s="160"/>
      <c r="O406" s="160"/>
      <c r="P406" s="160"/>
      <c r="AE406" s="161"/>
    </row>
    <row r="407" spans="3:31" ht="15.75" customHeight="1">
      <c r="C407" s="160"/>
      <c r="D407" s="160"/>
      <c r="E407" s="160"/>
      <c r="F407" s="160"/>
      <c r="G407" s="160"/>
      <c r="H407" s="160"/>
      <c r="I407" s="160"/>
      <c r="J407" s="160"/>
      <c r="K407" s="160"/>
      <c r="L407" s="160"/>
      <c r="M407" s="160"/>
      <c r="N407" s="160"/>
      <c r="O407" s="160"/>
      <c r="P407" s="160"/>
      <c r="AE407" s="161"/>
    </row>
    <row r="408" spans="3:31" ht="15.75" customHeight="1">
      <c r="C408" s="160"/>
      <c r="D408" s="160"/>
      <c r="E408" s="160"/>
      <c r="F408" s="160"/>
      <c r="G408" s="160"/>
      <c r="H408" s="160"/>
      <c r="I408" s="160"/>
      <c r="J408" s="160"/>
      <c r="K408" s="160"/>
      <c r="L408" s="160"/>
      <c r="M408" s="160"/>
      <c r="N408" s="160"/>
      <c r="O408" s="160"/>
      <c r="P408" s="160"/>
      <c r="AE408" s="161"/>
    </row>
    <row r="409" spans="3:31" ht="15.75" customHeight="1">
      <c r="C409" s="160"/>
      <c r="D409" s="160"/>
      <c r="E409" s="160"/>
      <c r="F409" s="160"/>
      <c r="G409" s="160"/>
      <c r="H409" s="160"/>
      <c r="I409" s="160"/>
      <c r="J409" s="160"/>
      <c r="K409" s="160"/>
      <c r="L409" s="160"/>
      <c r="M409" s="160"/>
      <c r="N409" s="160"/>
      <c r="O409" s="160"/>
      <c r="P409" s="160"/>
      <c r="AE409" s="161"/>
    </row>
    <row r="410" spans="3:31" ht="15.75" customHeight="1">
      <c r="C410" s="160"/>
      <c r="D410" s="160"/>
      <c r="E410" s="160"/>
      <c r="F410" s="160"/>
      <c r="G410" s="160"/>
      <c r="H410" s="160"/>
      <c r="I410" s="160"/>
      <c r="J410" s="160"/>
      <c r="K410" s="160"/>
      <c r="L410" s="160"/>
      <c r="M410" s="160"/>
      <c r="N410" s="160"/>
      <c r="O410" s="160"/>
      <c r="P410" s="160"/>
      <c r="AE410" s="161"/>
    </row>
    <row r="411" spans="3:31" ht="15.75" customHeight="1">
      <c r="C411" s="160"/>
      <c r="D411" s="160"/>
      <c r="E411" s="160"/>
      <c r="F411" s="160"/>
      <c r="G411" s="160"/>
      <c r="H411" s="160"/>
      <c r="I411" s="160"/>
      <c r="J411" s="160"/>
      <c r="K411" s="160"/>
      <c r="L411" s="160"/>
      <c r="M411" s="160"/>
      <c r="N411" s="160"/>
      <c r="O411" s="160"/>
      <c r="P411" s="160"/>
      <c r="AE411" s="161"/>
    </row>
    <row r="412" spans="3:31" ht="15.75" customHeight="1">
      <c r="C412" s="160"/>
      <c r="D412" s="160"/>
      <c r="E412" s="160"/>
      <c r="F412" s="160"/>
      <c r="G412" s="160"/>
      <c r="H412" s="160"/>
      <c r="I412" s="160"/>
      <c r="J412" s="160"/>
      <c r="K412" s="160"/>
      <c r="L412" s="160"/>
      <c r="M412" s="160"/>
      <c r="N412" s="160"/>
      <c r="O412" s="160"/>
      <c r="P412" s="160"/>
      <c r="AE412" s="161"/>
    </row>
    <row r="413" spans="3:31" ht="15.75" customHeight="1">
      <c r="C413" s="160"/>
      <c r="D413" s="160"/>
      <c r="E413" s="160"/>
      <c r="F413" s="160"/>
      <c r="G413" s="160"/>
      <c r="H413" s="160"/>
      <c r="I413" s="160"/>
      <c r="J413" s="160"/>
      <c r="K413" s="160"/>
      <c r="L413" s="160"/>
      <c r="M413" s="160"/>
      <c r="N413" s="160"/>
      <c r="O413" s="160"/>
      <c r="P413" s="160"/>
      <c r="AE413" s="161"/>
    </row>
    <row r="414" spans="3:31" ht="15.75" customHeight="1">
      <c r="C414" s="160"/>
      <c r="D414" s="160"/>
      <c r="E414" s="160"/>
      <c r="F414" s="160"/>
      <c r="G414" s="160"/>
      <c r="H414" s="160"/>
      <c r="I414" s="160"/>
      <c r="J414" s="160"/>
      <c r="K414" s="160"/>
      <c r="L414" s="160"/>
      <c r="M414" s="160"/>
      <c r="N414" s="160"/>
      <c r="O414" s="160"/>
      <c r="P414" s="160"/>
      <c r="AE414" s="161"/>
    </row>
    <row r="415" spans="3:31" ht="15.75" customHeight="1">
      <c r="C415" s="160"/>
      <c r="D415" s="160"/>
      <c r="E415" s="160"/>
      <c r="F415" s="160"/>
      <c r="G415" s="160"/>
      <c r="H415" s="160"/>
      <c r="I415" s="160"/>
      <c r="J415" s="160"/>
      <c r="K415" s="160"/>
      <c r="L415" s="160"/>
      <c r="M415" s="160"/>
      <c r="N415" s="160"/>
      <c r="O415" s="160"/>
      <c r="P415" s="160"/>
      <c r="AE415" s="161"/>
    </row>
    <row r="416" spans="3:31" ht="15.75" customHeight="1">
      <c r="C416" s="160"/>
      <c r="D416" s="160"/>
      <c r="E416" s="160"/>
      <c r="F416" s="160"/>
      <c r="G416" s="160"/>
      <c r="H416" s="160"/>
      <c r="I416" s="160"/>
      <c r="J416" s="160"/>
      <c r="K416" s="160"/>
      <c r="L416" s="160"/>
      <c r="M416" s="160"/>
      <c r="N416" s="160"/>
      <c r="O416" s="160"/>
      <c r="P416" s="160"/>
      <c r="AE416" s="161"/>
    </row>
    <row r="417" spans="3:31" ht="15.75" customHeight="1">
      <c r="C417" s="160"/>
      <c r="D417" s="160"/>
      <c r="E417" s="160"/>
      <c r="F417" s="160"/>
      <c r="G417" s="160"/>
      <c r="H417" s="160"/>
      <c r="I417" s="160"/>
      <c r="J417" s="160"/>
      <c r="K417" s="160"/>
      <c r="L417" s="160"/>
      <c r="M417" s="160"/>
      <c r="N417" s="160"/>
      <c r="O417" s="160"/>
      <c r="P417" s="160"/>
      <c r="AE417" s="161"/>
    </row>
    <row r="418" spans="3:31" ht="15.75" customHeight="1">
      <c r="C418" s="160"/>
      <c r="D418" s="160"/>
      <c r="E418" s="160"/>
      <c r="F418" s="160"/>
      <c r="G418" s="160"/>
      <c r="H418" s="160"/>
      <c r="I418" s="160"/>
      <c r="J418" s="160"/>
      <c r="K418" s="160"/>
      <c r="L418" s="160"/>
      <c r="M418" s="160"/>
      <c r="N418" s="160"/>
      <c r="O418" s="160"/>
      <c r="P418" s="160"/>
      <c r="AE418" s="161"/>
    </row>
    <row r="419" spans="3:31" ht="15.75" customHeight="1">
      <c r="C419" s="160"/>
      <c r="D419" s="160"/>
      <c r="E419" s="160"/>
      <c r="F419" s="160"/>
      <c r="G419" s="160"/>
      <c r="H419" s="160"/>
      <c r="I419" s="160"/>
      <c r="J419" s="160"/>
      <c r="K419" s="160"/>
      <c r="L419" s="160"/>
      <c r="M419" s="160"/>
      <c r="N419" s="160"/>
      <c r="O419" s="160"/>
      <c r="P419" s="160"/>
      <c r="AE419" s="161"/>
    </row>
    <row r="420" spans="3:31" ht="15.75" customHeight="1">
      <c r="C420" s="160"/>
      <c r="D420" s="160"/>
      <c r="E420" s="160"/>
      <c r="F420" s="160"/>
      <c r="G420" s="160"/>
      <c r="H420" s="160"/>
      <c r="I420" s="160"/>
      <c r="J420" s="160"/>
      <c r="K420" s="160"/>
      <c r="L420" s="160"/>
      <c r="M420" s="160"/>
      <c r="N420" s="160"/>
      <c r="O420" s="160"/>
      <c r="P420" s="160"/>
      <c r="AE420" s="161"/>
    </row>
    <row r="421" spans="3:31" ht="15.75" customHeight="1">
      <c r="C421" s="160"/>
      <c r="D421" s="160"/>
      <c r="E421" s="160"/>
      <c r="F421" s="160"/>
      <c r="G421" s="160"/>
      <c r="H421" s="160"/>
      <c r="I421" s="160"/>
      <c r="J421" s="160"/>
      <c r="K421" s="160"/>
      <c r="L421" s="160"/>
      <c r="M421" s="160"/>
      <c r="N421" s="160"/>
      <c r="O421" s="160"/>
      <c r="P421" s="160"/>
      <c r="AE421" s="161"/>
    </row>
    <row r="422" spans="3:31" ht="15.75" customHeight="1">
      <c r="C422" s="160"/>
      <c r="D422" s="160"/>
      <c r="E422" s="160"/>
      <c r="F422" s="160"/>
      <c r="G422" s="160"/>
      <c r="H422" s="160"/>
      <c r="I422" s="160"/>
      <c r="J422" s="160"/>
      <c r="K422" s="160"/>
      <c r="L422" s="160"/>
      <c r="M422" s="160"/>
      <c r="N422" s="160"/>
      <c r="O422" s="160"/>
      <c r="P422" s="160"/>
      <c r="AE422" s="161"/>
    </row>
    <row r="423" spans="3:31" ht="15.75" customHeight="1">
      <c r="C423" s="160"/>
      <c r="D423" s="160"/>
      <c r="E423" s="160"/>
      <c r="F423" s="160"/>
      <c r="G423" s="160"/>
      <c r="H423" s="160"/>
      <c r="I423" s="160"/>
      <c r="J423" s="160"/>
      <c r="K423" s="160"/>
      <c r="L423" s="160"/>
      <c r="M423" s="160"/>
      <c r="N423" s="160"/>
      <c r="O423" s="160"/>
      <c r="P423" s="160"/>
      <c r="AE423" s="161"/>
    </row>
    <row r="424" spans="3:31" ht="15.75" customHeight="1">
      <c r="C424" s="160"/>
      <c r="D424" s="160"/>
      <c r="E424" s="160"/>
      <c r="F424" s="160"/>
      <c r="G424" s="160"/>
      <c r="H424" s="160"/>
      <c r="I424" s="160"/>
      <c r="J424" s="160"/>
      <c r="K424" s="160"/>
      <c r="L424" s="160"/>
      <c r="M424" s="160"/>
      <c r="N424" s="160"/>
      <c r="O424" s="160"/>
      <c r="P424" s="160"/>
      <c r="AE424" s="161"/>
    </row>
    <row r="425" spans="3:31" ht="15.75" customHeight="1">
      <c r="C425" s="160"/>
      <c r="D425" s="160"/>
      <c r="E425" s="160"/>
      <c r="F425" s="160"/>
      <c r="G425" s="160"/>
      <c r="H425" s="160"/>
      <c r="I425" s="160"/>
      <c r="J425" s="160"/>
      <c r="K425" s="160"/>
      <c r="L425" s="160"/>
      <c r="M425" s="160"/>
      <c r="N425" s="160"/>
      <c r="O425" s="160"/>
      <c r="P425" s="160"/>
      <c r="AE425" s="161"/>
    </row>
    <row r="426" spans="3:31" ht="15.75" customHeight="1">
      <c r="C426" s="160"/>
      <c r="D426" s="160"/>
      <c r="E426" s="160"/>
      <c r="F426" s="160"/>
      <c r="G426" s="160"/>
      <c r="H426" s="160"/>
      <c r="I426" s="160"/>
      <c r="J426" s="160"/>
      <c r="K426" s="160"/>
      <c r="L426" s="160"/>
      <c r="M426" s="160"/>
      <c r="N426" s="160"/>
      <c r="O426" s="160"/>
      <c r="P426" s="160"/>
      <c r="AE426" s="161"/>
    </row>
    <row r="427" spans="3:31" ht="15.75" customHeight="1">
      <c r="C427" s="160"/>
      <c r="D427" s="160"/>
      <c r="E427" s="160"/>
      <c r="F427" s="160"/>
      <c r="G427" s="160"/>
      <c r="H427" s="160"/>
      <c r="I427" s="160"/>
      <c r="J427" s="160"/>
      <c r="K427" s="160"/>
      <c r="L427" s="160"/>
      <c r="M427" s="160"/>
      <c r="N427" s="160"/>
      <c r="O427" s="160"/>
      <c r="P427" s="160"/>
      <c r="AE427" s="161"/>
    </row>
    <row r="428" spans="3:31" ht="15.75" customHeight="1">
      <c r="C428" s="160"/>
      <c r="D428" s="160"/>
      <c r="E428" s="160"/>
      <c r="F428" s="160"/>
      <c r="G428" s="160"/>
      <c r="H428" s="160"/>
      <c r="I428" s="160"/>
      <c r="J428" s="160"/>
      <c r="K428" s="160"/>
      <c r="L428" s="160"/>
      <c r="M428" s="160"/>
      <c r="N428" s="160"/>
      <c r="O428" s="160"/>
      <c r="P428" s="160"/>
      <c r="AE428" s="161"/>
    </row>
    <row r="429" spans="3:31" ht="15.75" customHeight="1">
      <c r="C429" s="160"/>
      <c r="D429" s="160"/>
      <c r="E429" s="160"/>
      <c r="F429" s="160"/>
      <c r="G429" s="160"/>
      <c r="H429" s="160"/>
      <c r="I429" s="160"/>
      <c r="J429" s="160"/>
      <c r="K429" s="160"/>
      <c r="L429" s="160"/>
      <c r="M429" s="160"/>
      <c r="N429" s="160"/>
      <c r="O429" s="160"/>
      <c r="P429" s="160"/>
      <c r="AE429" s="161"/>
    </row>
    <row r="430" spans="3:31" ht="15.75" customHeight="1">
      <c r="C430" s="160"/>
      <c r="D430" s="160"/>
      <c r="E430" s="160"/>
      <c r="F430" s="160"/>
      <c r="G430" s="160"/>
      <c r="H430" s="160"/>
      <c r="I430" s="160"/>
      <c r="J430" s="160"/>
      <c r="K430" s="160"/>
      <c r="L430" s="160"/>
      <c r="M430" s="160"/>
      <c r="N430" s="160"/>
      <c r="O430" s="160"/>
      <c r="P430" s="160"/>
      <c r="AE430" s="161"/>
    </row>
    <row r="431" spans="3:31" ht="15.75" customHeight="1">
      <c r="C431" s="160"/>
      <c r="D431" s="160"/>
      <c r="E431" s="160"/>
      <c r="F431" s="160"/>
      <c r="G431" s="160"/>
      <c r="H431" s="160"/>
      <c r="I431" s="160"/>
      <c r="J431" s="160"/>
      <c r="K431" s="160"/>
      <c r="L431" s="160"/>
      <c r="M431" s="160"/>
      <c r="N431" s="160"/>
      <c r="O431" s="160"/>
      <c r="P431" s="160"/>
      <c r="AE431" s="161"/>
    </row>
    <row r="432" spans="3:31" ht="15.75" customHeight="1">
      <c r="C432" s="160"/>
      <c r="D432" s="160"/>
      <c r="E432" s="160"/>
      <c r="F432" s="160"/>
      <c r="G432" s="160"/>
      <c r="H432" s="160"/>
      <c r="I432" s="160"/>
      <c r="J432" s="160"/>
      <c r="K432" s="160"/>
      <c r="L432" s="160"/>
      <c r="M432" s="160"/>
      <c r="N432" s="160"/>
      <c r="O432" s="160"/>
      <c r="P432" s="160"/>
      <c r="AE432" s="161"/>
    </row>
    <row r="433" spans="3:31" ht="15.75" customHeight="1">
      <c r="C433" s="160"/>
      <c r="D433" s="160"/>
      <c r="E433" s="160"/>
      <c r="F433" s="160"/>
      <c r="G433" s="160"/>
      <c r="H433" s="160"/>
      <c r="I433" s="160"/>
      <c r="J433" s="160"/>
      <c r="K433" s="160"/>
      <c r="L433" s="160"/>
      <c r="M433" s="160"/>
      <c r="N433" s="160"/>
      <c r="O433" s="160"/>
      <c r="P433" s="160"/>
      <c r="AE433" s="161"/>
    </row>
    <row r="434" spans="3:31" ht="15.75" customHeight="1">
      <c r="C434" s="160"/>
      <c r="D434" s="160"/>
      <c r="E434" s="160"/>
      <c r="F434" s="160"/>
      <c r="G434" s="160"/>
      <c r="H434" s="160"/>
      <c r="I434" s="160"/>
      <c r="J434" s="160"/>
      <c r="K434" s="160"/>
      <c r="L434" s="160"/>
      <c r="M434" s="160"/>
      <c r="N434" s="160"/>
      <c r="O434" s="160"/>
      <c r="P434" s="160"/>
      <c r="AE434" s="161"/>
    </row>
    <row r="435" spans="3:31" ht="15.75" customHeight="1">
      <c r="C435" s="160"/>
      <c r="D435" s="160"/>
      <c r="E435" s="160"/>
      <c r="F435" s="160"/>
      <c r="G435" s="160"/>
      <c r="H435" s="160"/>
      <c r="I435" s="160"/>
      <c r="J435" s="160"/>
      <c r="K435" s="160"/>
      <c r="L435" s="160"/>
      <c r="M435" s="160"/>
      <c r="N435" s="160"/>
      <c r="O435" s="160"/>
      <c r="P435" s="160"/>
      <c r="AE435" s="161"/>
    </row>
    <row r="436" spans="3:31" ht="15.75" customHeight="1">
      <c r="C436" s="160"/>
      <c r="D436" s="160"/>
      <c r="E436" s="160"/>
      <c r="F436" s="160"/>
      <c r="G436" s="160"/>
      <c r="H436" s="160"/>
      <c r="I436" s="160"/>
      <c r="J436" s="160"/>
      <c r="K436" s="160"/>
      <c r="L436" s="160"/>
      <c r="M436" s="160"/>
      <c r="N436" s="160"/>
      <c r="O436" s="160"/>
      <c r="P436" s="160"/>
      <c r="AE436" s="161"/>
    </row>
    <row r="437" spans="3:31" ht="15.75" customHeight="1">
      <c r="C437" s="160"/>
      <c r="D437" s="160"/>
      <c r="E437" s="160"/>
      <c r="F437" s="160"/>
      <c r="G437" s="160"/>
      <c r="H437" s="160"/>
      <c r="I437" s="160"/>
      <c r="J437" s="160"/>
      <c r="K437" s="160"/>
      <c r="L437" s="160"/>
      <c r="M437" s="160"/>
      <c r="N437" s="160"/>
      <c r="O437" s="160"/>
      <c r="P437" s="160"/>
      <c r="AE437" s="161"/>
    </row>
    <row r="438" spans="3:31" ht="15.75" customHeight="1">
      <c r="C438" s="160"/>
      <c r="D438" s="160"/>
      <c r="E438" s="160"/>
      <c r="F438" s="160"/>
      <c r="G438" s="160"/>
      <c r="H438" s="160"/>
      <c r="I438" s="160"/>
      <c r="J438" s="160"/>
      <c r="K438" s="160"/>
      <c r="L438" s="160"/>
      <c r="M438" s="160"/>
      <c r="N438" s="160"/>
      <c r="O438" s="160"/>
      <c r="P438" s="160"/>
      <c r="AE438" s="161"/>
    </row>
    <row r="439" spans="3:31" ht="15.75" customHeight="1">
      <c r="C439" s="160"/>
      <c r="D439" s="160"/>
      <c r="E439" s="160"/>
      <c r="F439" s="160"/>
      <c r="G439" s="160"/>
      <c r="H439" s="160"/>
      <c r="I439" s="160"/>
      <c r="J439" s="160"/>
      <c r="K439" s="160"/>
      <c r="L439" s="160"/>
      <c r="M439" s="160"/>
      <c r="N439" s="160"/>
      <c r="O439" s="160"/>
      <c r="P439" s="160"/>
      <c r="AE439" s="161"/>
    </row>
    <row r="440" spans="3:31" ht="15.75" customHeight="1">
      <c r="C440" s="160"/>
      <c r="D440" s="160"/>
      <c r="E440" s="160"/>
      <c r="F440" s="160"/>
      <c r="G440" s="160"/>
      <c r="H440" s="160"/>
      <c r="I440" s="160"/>
      <c r="J440" s="160"/>
      <c r="K440" s="160"/>
      <c r="L440" s="160"/>
      <c r="M440" s="160"/>
      <c r="N440" s="160"/>
      <c r="O440" s="160"/>
      <c r="P440" s="160"/>
      <c r="AE440" s="161"/>
    </row>
    <row r="441" spans="3:31" ht="15.75" customHeight="1">
      <c r="C441" s="160"/>
      <c r="D441" s="160"/>
      <c r="E441" s="160"/>
      <c r="F441" s="160"/>
      <c r="G441" s="160"/>
      <c r="H441" s="160"/>
      <c r="I441" s="160"/>
      <c r="J441" s="160"/>
      <c r="K441" s="160"/>
      <c r="L441" s="160"/>
      <c r="M441" s="160"/>
      <c r="N441" s="160"/>
      <c r="O441" s="160"/>
      <c r="P441" s="160"/>
      <c r="AE441" s="161"/>
    </row>
    <row r="442" spans="3:31" ht="15.75" customHeight="1">
      <c r="C442" s="160"/>
      <c r="D442" s="160"/>
      <c r="E442" s="160"/>
      <c r="F442" s="160"/>
      <c r="G442" s="160"/>
      <c r="H442" s="160"/>
      <c r="I442" s="160"/>
      <c r="J442" s="160"/>
      <c r="K442" s="160"/>
      <c r="L442" s="160"/>
      <c r="M442" s="160"/>
      <c r="N442" s="160"/>
      <c r="O442" s="160"/>
      <c r="P442" s="160"/>
      <c r="AE442" s="161"/>
    </row>
    <row r="443" spans="3:31" ht="15.75" customHeight="1">
      <c r="C443" s="160"/>
      <c r="D443" s="160"/>
      <c r="E443" s="160"/>
      <c r="F443" s="160"/>
      <c r="G443" s="160"/>
      <c r="H443" s="160"/>
      <c r="I443" s="160"/>
      <c r="J443" s="160"/>
      <c r="K443" s="160"/>
      <c r="L443" s="160"/>
      <c r="M443" s="160"/>
      <c r="N443" s="160"/>
      <c r="O443" s="160"/>
      <c r="P443" s="160"/>
      <c r="AE443" s="161"/>
    </row>
    <row r="444" spans="3:31" ht="15.75" customHeight="1">
      <c r="C444" s="160"/>
      <c r="D444" s="160"/>
      <c r="E444" s="160"/>
      <c r="F444" s="160"/>
      <c r="G444" s="160"/>
      <c r="H444" s="160"/>
      <c r="I444" s="160"/>
      <c r="J444" s="160"/>
      <c r="K444" s="160"/>
      <c r="L444" s="160"/>
      <c r="M444" s="160"/>
      <c r="N444" s="160"/>
      <c r="O444" s="160"/>
      <c r="P444" s="160"/>
      <c r="AE444" s="161"/>
    </row>
    <row r="445" spans="3:31" ht="15.75" customHeight="1">
      <c r="C445" s="160"/>
      <c r="D445" s="160"/>
      <c r="E445" s="160"/>
      <c r="F445" s="160"/>
      <c r="G445" s="160"/>
      <c r="H445" s="160"/>
      <c r="I445" s="160"/>
      <c r="J445" s="160"/>
      <c r="K445" s="160"/>
      <c r="L445" s="160"/>
      <c r="M445" s="160"/>
      <c r="N445" s="160"/>
      <c r="O445" s="160"/>
      <c r="P445" s="160"/>
      <c r="AE445" s="161"/>
    </row>
    <row r="446" spans="3:31" ht="15.75" customHeight="1">
      <c r="C446" s="160"/>
      <c r="D446" s="160"/>
      <c r="E446" s="160"/>
      <c r="F446" s="160"/>
      <c r="G446" s="160"/>
      <c r="H446" s="160"/>
      <c r="I446" s="160"/>
      <c r="J446" s="160"/>
      <c r="K446" s="160"/>
      <c r="L446" s="160"/>
      <c r="M446" s="160"/>
      <c r="N446" s="160"/>
      <c r="O446" s="160"/>
      <c r="P446" s="160"/>
      <c r="AE446" s="161"/>
    </row>
    <row r="447" spans="3:31" ht="15.75" customHeight="1">
      <c r="C447" s="160"/>
      <c r="D447" s="160"/>
      <c r="E447" s="160"/>
      <c r="F447" s="160"/>
      <c r="G447" s="160"/>
      <c r="H447" s="160"/>
      <c r="I447" s="160"/>
      <c r="J447" s="160"/>
      <c r="K447" s="160"/>
      <c r="L447" s="160"/>
      <c r="M447" s="160"/>
      <c r="N447" s="160"/>
      <c r="O447" s="160"/>
      <c r="P447" s="160"/>
      <c r="AE447" s="161"/>
    </row>
    <row r="448" spans="3:31" ht="15.75" customHeight="1">
      <c r="C448" s="160"/>
      <c r="D448" s="160"/>
      <c r="E448" s="160"/>
      <c r="F448" s="160"/>
      <c r="G448" s="160"/>
      <c r="H448" s="160"/>
      <c r="I448" s="160"/>
      <c r="J448" s="160"/>
      <c r="K448" s="160"/>
      <c r="L448" s="160"/>
      <c r="M448" s="160"/>
      <c r="N448" s="160"/>
      <c r="O448" s="160"/>
      <c r="P448" s="160"/>
      <c r="AE448" s="161"/>
    </row>
    <row r="449" spans="3:31" ht="15.75" customHeight="1">
      <c r="C449" s="160"/>
      <c r="D449" s="160"/>
      <c r="E449" s="160"/>
      <c r="F449" s="160"/>
      <c r="G449" s="160"/>
      <c r="H449" s="160"/>
      <c r="I449" s="160"/>
      <c r="J449" s="160"/>
      <c r="K449" s="160"/>
      <c r="L449" s="160"/>
      <c r="M449" s="160"/>
      <c r="N449" s="160"/>
      <c r="O449" s="160"/>
      <c r="P449" s="160"/>
      <c r="AE449" s="161"/>
    </row>
    <row r="450" spans="3:31" ht="15.75" customHeight="1">
      <c r="C450" s="160"/>
      <c r="D450" s="160"/>
      <c r="E450" s="160"/>
      <c r="F450" s="160"/>
      <c r="G450" s="160"/>
      <c r="H450" s="160"/>
      <c r="I450" s="160"/>
      <c r="J450" s="160"/>
      <c r="K450" s="160"/>
      <c r="L450" s="160"/>
      <c r="M450" s="160"/>
      <c r="N450" s="160"/>
      <c r="O450" s="160"/>
      <c r="P450" s="160"/>
      <c r="AE450" s="161"/>
    </row>
    <row r="451" spans="3:31" ht="15.75" customHeight="1">
      <c r="C451" s="160"/>
      <c r="D451" s="160"/>
      <c r="E451" s="160"/>
      <c r="F451" s="160"/>
      <c r="G451" s="160"/>
      <c r="H451" s="160"/>
      <c r="I451" s="160"/>
      <c r="J451" s="160"/>
      <c r="K451" s="160"/>
      <c r="L451" s="160"/>
      <c r="M451" s="160"/>
      <c r="N451" s="160"/>
      <c r="O451" s="160"/>
      <c r="P451" s="160"/>
      <c r="AE451" s="161"/>
    </row>
    <row r="452" spans="3:31" ht="15.75" customHeight="1">
      <c r="C452" s="160"/>
      <c r="D452" s="160"/>
      <c r="E452" s="160"/>
      <c r="F452" s="160"/>
      <c r="G452" s="160"/>
      <c r="H452" s="160"/>
      <c r="I452" s="160"/>
      <c r="J452" s="160"/>
      <c r="K452" s="160"/>
      <c r="L452" s="160"/>
      <c r="M452" s="160"/>
      <c r="N452" s="160"/>
      <c r="O452" s="160"/>
      <c r="P452" s="160"/>
      <c r="AE452" s="161"/>
    </row>
    <row r="453" spans="3:31" ht="15.75" customHeight="1">
      <c r="C453" s="160"/>
      <c r="D453" s="160"/>
      <c r="E453" s="160"/>
      <c r="F453" s="160"/>
      <c r="G453" s="160"/>
      <c r="H453" s="160"/>
      <c r="I453" s="160"/>
      <c r="J453" s="160"/>
      <c r="K453" s="160"/>
      <c r="L453" s="160"/>
      <c r="M453" s="160"/>
      <c r="N453" s="160"/>
      <c r="O453" s="160"/>
      <c r="P453" s="160"/>
      <c r="AE453" s="161"/>
    </row>
    <row r="454" spans="3:31" ht="15.75" customHeight="1">
      <c r="C454" s="160"/>
      <c r="D454" s="160"/>
      <c r="E454" s="160"/>
      <c r="F454" s="160"/>
      <c r="G454" s="160"/>
      <c r="H454" s="160"/>
      <c r="I454" s="160"/>
      <c r="J454" s="160"/>
      <c r="K454" s="160"/>
      <c r="L454" s="160"/>
      <c r="M454" s="160"/>
      <c r="N454" s="160"/>
      <c r="O454" s="160"/>
      <c r="P454" s="160"/>
      <c r="AE454" s="161"/>
    </row>
    <row r="455" spans="3:31" ht="15.75" customHeight="1">
      <c r="C455" s="160"/>
      <c r="D455" s="160"/>
      <c r="E455" s="160"/>
      <c r="F455" s="160"/>
      <c r="G455" s="160"/>
      <c r="H455" s="160"/>
      <c r="I455" s="160"/>
      <c r="J455" s="160"/>
      <c r="K455" s="160"/>
      <c r="L455" s="160"/>
      <c r="M455" s="160"/>
      <c r="N455" s="160"/>
      <c r="O455" s="160"/>
      <c r="P455" s="160"/>
      <c r="AE455" s="161"/>
    </row>
    <row r="456" spans="3:31" ht="15.75" customHeight="1">
      <c r="C456" s="160"/>
      <c r="D456" s="160"/>
      <c r="E456" s="160"/>
      <c r="F456" s="160"/>
      <c r="G456" s="160"/>
      <c r="H456" s="160"/>
      <c r="I456" s="160"/>
      <c r="J456" s="160"/>
      <c r="K456" s="160"/>
      <c r="L456" s="160"/>
      <c r="M456" s="160"/>
      <c r="N456" s="160"/>
      <c r="O456" s="160"/>
      <c r="P456" s="160"/>
      <c r="AE456" s="161"/>
    </row>
    <row r="457" spans="3:31" ht="15.75" customHeight="1">
      <c r="C457" s="160"/>
      <c r="D457" s="160"/>
      <c r="E457" s="160"/>
      <c r="F457" s="160"/>
      <c r="G457" s="160"/>
      <c r="H457" s="160"/>
      <c r="I457" s="160"/>
      <c r="J457" s="160"/>
      <c r="K457" s="160"/>
      <c r="L457" s="160"/>
      <c r="M457" s="160"/>
      <c r="N457" s="160"/>
      <c r="O457" s="160"/>
      <c r="P457" s="160"/>
      <c r="AE457" s="161"/>
    </row>
    <row r="458" spans="3:31" ht="15.75" customHeight="1">
      <c r="C458" s="160"/>
      <c r="D458" s="160"/>
      <c r="E458" s="160"/>
      <c r="F458" s="160"/>
      <c r="G458" s="160"/>
      <c r="H458" s="160"/>
      <c r="I458" s="160"/>
      <c r="J458" s="160"/>
      <c r="K458" s="160"/>
      <c r="L458" s="160"/>
      <c r="M458" s="160"/>
      <c r="N458" s="160"/>
      <c r="O458" s="160"/>
      <c r="P458" s="160"/>
      <c r="AE458" s="161"/>
    </row>
    <row r="459" spans="3:31" ht="15.75" customHeight="1">
      <c r="C459" s="160"/>
      <c r="D459" s="160"/>
      <c r="E459" s="160"/>
      <c r="F459" s="160"/>
      <c r="G459" s="160"/>
      <c r="H459" s="160"/>
      <c r="I459" s="160"/>
      <c r="J459" s="160"/>
      <c r="K459" s="160"/>
      <c r="L459" s="160"/>
      <c r="M459" s="160"/>
      <c r="N459" s="160"/>
      <c r="O459" s="160"/>
      <c r="P459" s="160"/>
      <c r="AE459" s="161"/>
    </row>
    <row r="460" spans="3:31" ht="15.75" customHeight="1">
      <c r="C460" s="160"/>
      <c r="D460" s="160"/>
      <c r="E460" s="160"/>
      <c r="F460" s="160"/>
      <c r="G460" s="160"/>
      <c r="H460" s="160"/>
      <c r="I460" s="160"/>
      <c r="J460" s="160"/>
      <c r="K460" s="160"/>
      <c r="L460" s="160"/>
      <c r="M460" s="160"/>
      <c r="N460" s="160"/>
      <c r="O460" s="160"/>
      <c r="P460" s="160"/>
      <c r="AE460" s="161"/>
    </row>
    <row r="461" spans="3:31" ht="15.75" customHeight="1">
      <c r="C461" s="160"/>
      <c r="D461" s="160"/>
      <c r="E461" s="160"/>
      <c r="F461" s="160"/>
      <c r="G461" s="160"/>
      <c r="H461" s="160"/>
      <c r="I461" s="160"/>
      <c r="J461" s="160"/>
      <c r="K461" s="160"/>
      <c r="L461" s="160"/>
      <c r="M461" s="160"/>
      <c r="N461" s="160"/>
      <c r="O461" s="160"/>
      <c r="P461" s="160"/>
      <c r="AE461" s="161"/>
    </row>
    <row r="462" spans="3:31" ht="15.75" customHeight="1">
      <c r="C462" s="160"/>
      <c r="D462" s="160"/>
      <c r="E462" s="160"/>
      <c r="F462" s="160"/>
      <c r="G462" s="160"/>
      <c r="H462" s="160"/>
      <c r="I462" s="160"/>
      <c r="J462" s="160"/>
      <c r="K462" s="160"/>
      <c r="L462" s="160"/>
      <c r="M462" s="160"/>
      <c r="N462" s="160"/>
      <c r="O462" s="160"/>
      <c r="P462" s="160"/>
      <c r="AE462" s="161"/>
    </row>
    <row r="463" spans="3:31" ht="15.75" customHeight="1">
      <c r="C463" s="160"/>
      <c r="D463" s="160"/>
      <c r="E463" s="160"/>
      <c r="F463" s="160"/>
      <c r="G463" s="160"/>
      <c r="H463" s="160"/>
      <c r="I463" s="160"/>
      <c r="J463" s="160"/>
      <c r="K463" s="160"/>
      <c r="L463" s="160"/>
      <c r="M463" s="160"/>
      <c r="N463" s="160"/>
      <c r="O463" s="160"/>
      <c r="P463" s="160"/>
      <c r="AE463" s="161"/>
    </row>
    <row r="464" spans="3:31" ht="15.75" customHeight="1">
      <c r="C464" s="160"/>
      <c r="D464" s="160"/>
      <c r="E464" s="160"/>
      <c r="F464" s="160"/>
      <c r="G464" s="160"/>
      <c r="H464" s="160"/>
      <c r="I464" s="160"/>
      <c r="J464" s="160"/>
      <c r="K464" s="160"/>
      <c r="L464" s="160"/>
      <c r="M464" s="160"/>
      <c r="N464" s="160"/>
      <c r="O464" s="160"/>
      <c r="P464" s="160"/>
      <c r="AE464" s="161"/>
    </row>
    <row r="465" spans="3:31" ht="15.75" customHeight="1">
      <c r="C465" s="160"/>
      <c r="D465" s="160"/>
      <c r="E465" s="160"/>
      <c r="F465" s="160"/>
      <c r="G465" s="160"/>
      <c r="H465" s="160"/>
      <c r="I465" s="160"/>
      <c r="J465" s="160"/>
      <c r="K465" s="160"/>
      <c r="L465" s="160"/>
      <c r="M465" s="160"/>
      <c r="N465" s="160"/>
      <c r="O465" s="160"/>
      <c r="P465" s="160"/>
      <c r="AE465" s="161"/>
    </row>
    <row r="466" spans="3:31" ht="15.75" customHeight="1">
      <c r="C466" s="160"/>
      <c r="D466" s="160"/>
      <c r="E466" s="160"/>
      <c r="F466" s="160"/>
      <c r="G466" s="160"/>
      <c r="H466" s="160"/>
      <c r="I466" s="160"/>
      <c r="J466" s="160"/>
      <c r="K466" s="160"/>
      <c r="L466" s="160"/>
      <c r="M466" s="160"/>
      <c r="N466" s="160"/>
      <c r="O466" s="160"/>
      <c r="P466" s="160"/>
      <c r="AE466" s="161"/>
    </row>
    <row r="467" spans="3:31" ht="15.75" customHeight="1">
      <c r="C467" s="160"/>
      <c r="D467" s="160"/>
      <c r="E467" s="160"/>
      <c r="F467" s="160"/>
      <c r="G467" s="160"/>
      <c r="H467" s="160"/>
      <c r="I467" s="160"/>
      <c r="J467" s="160"/>
      <c r="K467" s="160"/>
      <c r="L467" s="160"/>
      <c r="M467" s="160"/>
      <c r="N467" s="160"/>
      <c r="O467" s="160"/>
      <c r="P467" s="160"/>
      <c r="AE467" s="161"/>
    </row>
    <row r="468" spans="3:31" ht="15.75" customHeight="1">
      <c r="C468" s="160"/>
      <c r="D468" s="160"/>
      <c r="E468" s="160"/>
      <c r="F468" s="160"/>
      <c r="G468" s="160"/>
      <c r="H468" s="160"/>
      <c r="I468" s="160"/>
      <c r="J468" s="160"/>
      <c r="K468" s="160"/>
      <c r="L468" s="160"/>
      <c r="M468" s="160"/>
      <c r="N468" s="160"/>
      <c r="O468" s="160"/>
      <c r="P468" s="160"/>
      <c r="AE468" s="161"/>
    </row>
    <row r="469" spans="3:31" ht="15.75" customHeight="1">
      <c r="C469" s="160"/>
      <c r="D469" s="160"/>
      <c r="E469" s="160"/>
      <c r="F469" s="160"/>
      <c r="G469" s="160"/>
      <c r="H469" s="160"/>
      <c r="I469" s="160"/>
      <c r="J469" s="160"/>
      <c r="K469" s="160"/>
      <c r="L469" s="160"/>
      <c r="M469" s="160"/>
      <c r="N469" s="160"/>
      <c r="O469" s="160"/>
      <c r="P469" s="160"/>
      <c r="AE469" s="161"/>
    </row>
    <row r="470" spans="3:31" ht="15.75" customHeight="1">
      <c r="C470" s="160"/>
      <c r="D470" s="160"/>
      <c r="E470" s="160"/>
      <c r="F470" s="160"/>
      <c r="G470" s="160"/>
      <c r="H470" s="160"/>
      <c r="I470" s="160"/>
      <c r="J470" s="160"/>
      <c r="K470" s="160"/>
      <c r="L470" s="160"/>
      <c r="M470" s="160"/>
      <c r="N470" s="160"/>
      <c r="O470" s="160"/>
      <c r="P470" s="160"/>
      <c r="AE470" s="161"/>
    </row>
    <row r="471" spans="3:31" ht="15.75" customHeight="1">
      <c r="C471" s="160"/>
      <c r="D471" s="160"/>
      <c r="E471" s="160"/>
      <c r="F471" s="160"/>
      <c r="G471" s="160"/>
      <c r="H471" s="160"/>
      <c r="I471" s="160"/>
      <c r="J471" s="160"/>
      <c r="K471" s="160"/>
      <c r="L471" s="160"/>
      <c r="M471" s="160"/>
      <c r="N471" s="160"/>
      <c r="O471" s="160"/>
      <c r="P471" s="160"/>
      <c r="AE471" s="161"/>
    </row>
    <row r="472" spans="3:31" ht="15.75" customHeight="1">
      <c r="C472" s="160"/>
      <c r="D472" s="160"/>
      <c r="E472" s="160"/>
      <c r="F472" s="160"/>
      <c r="G472" s="160"/>
      <c r="H472" s="160"/>
      <c r="I472" s="160"/>
      <c r="J472" s="160"/>
      <c r="K472" s="160"/>
      <c r="L472" s="160"/>
      <c r="M472" s="160"/>
      <c r="N472" s="160"/>
      <c r="O472" s="160"/>
      <c r="P472" s="160"/>
      <c r="AE472" s="161"/>
    </row>
    <row r="473" spans="3:31" ht="15.75" customHeight="1">
      <c r="C473" s="160"/>
      <c r="D473" s="160"/>
      <c r="E473" s="160"/>
      <c r="F473" s="160"/>
      <c r="G473" s="160"/>
      <c r="H473" s="160"/>
      <c r="I473" s="160"/>
      <c r="J473" s="160"/>
      <c r="K473" s="160"/>
      <c r="L473" s="160"/>
      <c r="M473" s="160"/>
      <c r="N473" s="160"/>
      <c r="O473" s="160"/>
      <c r="P473" s="160"/>
      <c r="AE473" s="161"/>
    </row>
    <row r="474" spans="3:31" ht="15.75" customHeight="1">
      <c r="C474" s="160"/>
      <c r="D474" s="160"/>
      <c r="E474" s="160"/>
      <c r="F474" s="160"/>
      <c r="G474" s="160"/>
      <c r="H474" s="160"/>
      <c r="I474" s="160"/>
      <c r="J474" s="160"/>
      <c r="K474" s="160"/>
      <c r="L474" s="160"/>
      <c r="M474" s="160"/>
      <c r="N474" s="160"/>
      <c r="O474" s="160"/>
      <c r="P474" s="160"/>
      <c r="AE474" s="161"/>
    </row>
    <row r="475" spans="3:31" ht="15.75" customHeight="1">
      <c r="C475" s="160"/>
      <c r="D475" s="160"/>
      <c r="E475" s="160"/>
      <c r="F475" s="160"/>
      <c r="G475" s="160"/>
      <c r="H475" s="160"/>
      <c r="I475" s="160"/>
      <c r="J475" s="160"/>
      <c r="K475" s="160"/>
      <c r="L475" s="160"/>
      <c r="M475" s="160"/>
      <c r="N475" s="160"/>
      <c r="O475" s="160"/>
      <c r="P475" s="160"/>
      <c r="AE475" s="161"/>
    </row>
    <row r="476" spans="3:31" ht="15.75" customHeight="1">
      <c r="C476" s="160"/>
      <c r="D476" s="160"/>
      <c r="E476" s="160"/>
      <c r="F476" s="160"/>
      <c r="G476" s="160"/>
      <c r="H476" s="160"/>
      <c r="I476" s="160"/>
      <c r="J476" s="160"/>
      <c r="K476" s="160"/>
      <c r="L476" s="160"/>
      <c r="M476" s="160"/>
      <c r="N476" s="160"/>
      <c r="O476" s="160"/>
      <c r="P476" s="160"/>
      <c r="AE476" s="161"/>
    </row>
    <row r="477" spans="3:31" ht="15.75" customHeight="1">
      <c r="C477" s="160"/>
      <c r="D477" s="160"/>
      <c r="E477" s="160"/>
      <c r="F477" s="160"/>
      <c r="G477" s="160"/>
      <c r="H477" s="160"/>
      <c r="I477" s="160"/>
      <c r="J477" s="160"/>
      <c r="K477" s="160"/>
      <c r="L477" s="160"/>
      <c r="M477" s="160"/>
      <c r="N477" s="160"/>
      <c r="O477" s="160"/>
      <c r="P477" s="160"/>
      <c r="AE477" s="161"/>
    </row>
    <row r="478" spans="3:31" ht="15.75" customHeight="1">
      <c r="C478" s="160"/>
      <c r="D478" s="160"/>
      <c r="E478" s="160"/>
      <c r="F478" s="160"/>
      <c r="G478" s="160"/>
      <c r="H478" s="160"/>
      <c r="I478" s="160"/>
      <c r="J478" s="160"/>
      <c r="K478" s="160"/>
      <c r="L478" s="160"/>
      <c r="M478" s="160"/>
      <c r="N478" s="160"/>
      <c r="O478" s="160"/>
      <c r="P478" s="160"/>
      <c r="AE478" s="161"/>
    </row>
    <row r="479" spans="3:31" ht="15.75" customHeight="1">
      <c r="C479" s="160"/>
      <c r="D479" s="160"/>
      <c r="E479" s="160"/>
      <c r="F479" s="160"/>
      <c r="G479" s="160"/>
      <c r="H479" s="160"/>
      <c r="I479" s="160"/>
      <c r="J479" s="160"/>
      <c r="K479" s="160"/>
      <c r="L479" s="160"/>
      <c r="M479" s="160"/>
      <c r="N479" s="160"/>
      <c r="O479" s="160"/>
      <c r="P479" s="160"/>
      <c r="AE479" s="161"/>
    </row>
    <row r="480" spans="3:31" ht="15.75" customHeight="1">
      <c r="C480" s="160"/>
      <c r="D480" s="160"/>
      <c r="E480" s="160"/>
      <c r="F480" s="160"/>
      <c r="G480" s="160"/>
      <c r="H480" s="160"/>
      <c r="I480" s="160"/>
      <c r="J480" s="160"/>
      <c r="K480" s="160"/>
      <c r="L480" s="160"/>
      <c r="M480" s="160"/>
      <c r="N480" s="160"/>
      <c r="O480" s="160"/>
      <c r="P480" s="160"/>
      <c r="AE480" s="161"/>
    </row>
    <row r="481" spans="3:31" ht="15.75" customHeight="1">
      <c r="C481" s="160"/>
      <c r="D481" s="160"/>
      <c r="E481" s="160"/>
      <c r="F481" s="160"/>
      <c r="G481" s="160"/>
      <c r="H481" s="160"/>
      <c r="I481" s="160"/>
      <c r="J481" s="160"/>
      <c r="K481" s="160"/>
      <c r="L481" s="160"/>
      <c r="M481" s="160"/>
      <c r="N481" s="160"/>
      <c r="O481" s="160"/>
      <c r="P481" s="160"/>
      <c r="AE481" s="161"/>
    </row>
    <row r="482" spans="3:31" ht="15.75" customHeight="1">
      <c r="C482" s="160"/>
      <c r="D482" s="160"/>
      <c r="E482" s="160"/>
      <c r="F482" s="160"/>
      <c r="G482" s="160"/>
      <c r="H482" s="160"/>
      <c r="I482" s="160"/>
      <c r="J482" s="160"/>
      <c r="K482" s="160"/>
      <c r="L482" s="160"/>
      <c r="M482" s="160"/>
      <c r="N482" s="160"/>
      <c r="O482" s="160"/>
      <c r="P482" s="160"/>
      <c r="AE482" s="161"/>
    </row>
    <row r="483" spans="3:31" ht="15.75" customHeight="1">
      <c r="C483" s="160"/>
      <c r="D483" s="160"/>
      <c r="E483" s="160"/>
      <c r="F483" s="160"/>
      <c r="G483" s="160"/>
      <c r="H483" s="160"/>
      <c r="I483" s="160"/>
      <c r="J483" s="160"/>
      <c r="K483" s="160"/>
      <c r="L483" s="160"/>
      <c r="M483" s="160"/>
      <c r="N483" s="160"/>
      <c r="O483" s="160"/>
      <c r="P483" s="160"/>
      <c r="AE483" s="161"/>
    </row>
    <row r="484" spans="3:31" ht="15.75" customHeight="1">
      <c r="C484" s="160"/>
      <c r="D484" s="160"/>
      <c r="E484" s="160"/>
      <c r="F484" s="160"/>
      <c r="G484" s="160"/>
      <c r="H484" s="160"/>
      <c r="I484" s="160"/>
      <c r="J484" s="160"/>
      <c r="K484" s="160"/>
      <c r="L484" s="160"/>
      <c r="M484" s="160"/>
      <c r="N484" s="160"/>
      <c r="O484" s="160"/>
      <c r="P484" s="160"/>
      <c r="AE484" s="161"/>
    </row>
    <row r="485" spans="3:31" ht="15.75" customHeight="1">
      <c r="C485" s="160"/>
      <c r="D485" s="160"/>
      <c r="E485" s="160"/>
      <c r="F485" s="160"/>
      <c r="G485" s="160"/>
      <c r="H485" s="160"/>
      <c r="I485" s="160"/>
      <c r="J485" s="160"/>
      <c r="K485" s="160"/>
      <c r="L485" s="160"/>
      <c r="M485" s="160"/>
      <c r="N485" s="160"/>
      <c r="O485" s="160"/>
      <c r="P485" s="160"/>
      <c r="AE485" s="161"/>
    </row>
    <row r="486" spans="3:31" ht="15.75" customHeight="1">
      <c r="C486" s="160"/>
      <c r="D486" s="160"/>
      <c r="E486" s="160"/>
      <c r="F486" s="160"/>
      <c r="G486" s="160"/>
      <c r="H486" s="160"/>
      <c r="I486" s="160"/>
      <c r="J486" s="160"/>
      <c r="K486" s="160"/>
      <c r="L486" s="160"/>
      <c r="M486" s="160"/>
      <c r="N486" s="160"/>
      <c r="O486" s="160"/>
      <c r="P486" s="160"/>
      <c r="AE486" s="161"/>
    </row>
    <row r="487" spans="3:31" ht="15.75" customHeight="1">
      <c r="C487" s="160"/>
      <c r="D487" s="160"/>
      <c r="E487" s="160"/>
      <c r="F487" s="160"/>
      <c r="G487" s="160"/>
      <c r="H487" s="160"/>
      <c r="I487" s="160"/>
      <c r="J487" s="160"/>
      <c r="K487" s="160"/>
      <c r="L487" s="160"/>
      <c r="M487" s="160"/>
      <c r="N487" s="160"/>
      <c r="O487" s="160"/>
      <c r="P487" s="160"/>
      <c r="AE487" s="161"/>
    </row>
    <row r="488" spans="3:31" ht="15.75" customHeight="1">
      <c r="C488" s="160"/>
      <c r="D488" s="160"/>
      <c r="E488" s="160"/>
      <c r="F488" s="160"/>
      <c r="G488" s="160"/>
      <c r="H488" s="160"/>
      <c r="I488" s="160"/>
      <c r="J488" s="160"/>
      <c r="K488" s="160"/>
      <c r="L488" s="160"/>
      <c r="M488" s="160"/>
      <c r="N488" s="160"/>
      <c r="O488" s="160"/>
      <c r="P488" s="160"/>
      <c r="AE488" s="161"/>
    </row>
    <row r="489" spans="3:31" ht="15.75" customHeight="1">
      <c r="C489" s="160"/>
      <c r="D489" s="160"/>
      <c r="E489" s="160"/>
      <c r="F489" s="160"/>
      <c r="G489" s="160"/>
      <c r="H489" s="160"/>
      <c r="I489" s="160"/>
      <c r="J489" s="160"/>
      <c r="K489" s="160"/>
      <c r="L489" s="160"/>
      <c r="M489" s="160"/>
      <c r="N489" s="160"/>
      <c r="O489" s="160"/>
      <c r="P489" s="160"/>
      <c r="AE489" s="161"/>
    </row>
    <row r="490" spans="3:31" ht="15.75" customHeight="1">
      <c r="C490" s="160"/>
      <c r="D490" s="160"/>
      <c r="E490" s="160"/>
      <c r="F490" s="160"/>
      <c r="G490" s="160"/>
      <c r="H490" s="160"/>
      <c r="I490" s="160"/>
      <c r="J490" s="160"/>
      <c r="K490" s="160"/>
      <c r="L490" s="160"/>
      <c r="M490" s="160"/>
      <c r="N490" s="160"/>
      <c r="O490" s="160"/>
      <c r="P490" s="160"/>
      <c r="AE490" s="161"/>
    </row>
    <row r="491" spans="3:31" ht="15.75" customHeight="1">
      <c r="C491" s="160"/>
      <c r="D491" s="160"/>
      <c r="E491" s="160"/>
      <c r="F491" s="160"/>
      <c r="G491" s="160"/>
      <c r="H491" s="160"/>
      <c r="I491" s="160"/>
      <c r="J491" s="160"/>
      <c r="K491" s="160"/>
      <c r="L491" s="160"/>
      <c r="M491" s="160"/>
      <c r="N491" s="160"/>
      <c r="O491" s="160"/>
      <c r="P491" s="160"/>
      <c r="AE491" s="161"/>
    </row>
    <row r="492" spans="3:31" ht="15.75" customHeight="1">
      <c r="C492" s="160"/>
      <c r="D492" s="160"/>
      <c r="E492" s="160"/>
      <c r="F492" s="160"/>
      <c r="G492" s="160"/>
      <c r="H492" s="160"/>
      <c r="I492" s="160"/>
      <c r="J492" s="160"/>
      <c r="K492" s="160"/>
      <c r="L492" s="160"/>
      <c r="M492" s="160"/>
      <c r="N492" s="160"/>
      <c r="O492" s="160"/>
      <c r="P492" s="160"/>
      <c r="AE492" s="161"/>
    </row>
    <row r="493" spans="3:31" ht="15.75" customHeight="1">
      <c r="C493" s="160"/>
      <c r="D493" s="160"/>
      <c r="E493" s="160"/>
      <c r="F493" s="160"/>
      <c r="G493" s="160"/>
      <c r="H493" s="160"/>
      <c r="I493" s="160"/>
      <c r="J493" s="160"/>
      <c r="K493" s="160"/>
      <c r="L493" s="160"/>
      <c r="M493" s="160"/>
      <c r="N493" s="160"/>
      <c r="O493" s="160"/>
      <c r="P493" s="160"/>
      <c r="AE493" s="161"/>
    </row>
    <row r="494" spans="3:31" ht="15.75" customHeight="1">
      <c r="C494" s="160"/>
      <c r="D494" s="160"/>
      <c r="E494" s="160"/>
      <c r="F494" s="160"/>
      <c r="G494" s="160"/>
      <c r="H494" s="160"/>
      <c r="I494" s="160"/>
      <c r="J494" s="160"/>
      <c r="K494" s="160"/>
      <c r="L494" s="160"/>
      <c r="M494" s="160"/>
      <c r="N494" s="160"/>
      <c r="O494" s="160"/>
      <c r="P494" s="160"/>
      <c r="AE494" s="161"/>
    </row>
    <row r="495" spans="3:31" ht="15.75" customHeight="1">
      <c r="C495" s="160"/>
      <c r="D495" s="160"/>
      <c r="E495" s="160"/>
      <c r="F495" s="160"/>
      <c r="G495" s="160"/>
      <c r="H495" s="160"/>
      <c r="I495" s="160"/>
      <c r="J495" s="160"/>
      <c r="K495" s="160"/>
      <c r="L495" s="160"/>
      <c r="M495" s="160"/>
      <c r="N495" s="160"/>
      <c r="O495" s="160"/>
      <c r="P495" s="160"/>
      <c r="AE495" s="161"/>
    </row>
    <row r="496" spans="3:31" ht="15.75" customHeight="1">
      <c r="C496" s="160"/>
      <c r="D496" s="160"/>
      <c r="E496" s="160"/>
      <c r="F496" s="160"/>
      <c r="G496" s="160"/>
      <c r="H496" s="160"/>
      <c r="I496" s="160"/>
      <c r="J496" s="160"/>
      <c r="K496" s="160"/>
      <c r="L496" s="160"/>
      <c r="M496" s="160"/>
      <c r="N496" s="160"/>
      <c r="O496" s="160"/>
      <c r="P496" s="160"/>
      <c r="AE496" s="161"/>
    </row>
    <row r="497" spans="3:31" ht="15.75" customHeight="1">
      <c r="C497" s="160"/>
      <c r="D497" s="160"/>
      <c r="E497" s="160"/>
      <c r="F497" s="160"/>
      <c r="G497" s="160"/>
      <c r="H497" s="160"/>
      <c r="I497" s="160"/>
      <c r="J497" s="160"/>
      <c r="K497" s="160"/>
      <c r="L497" s="160"/>
      <c r="M497" s="160"/>
      <c r="N497" s="160"/>
      <c r="O497" s="160"/>
      <c r="P497" s="160"/>
      <c r="AE497" s="161"/>
    </row>
    <row r="498" spans="3:31" ht="15.75" customHeight="1">
      <c r="C498" s="160"/>
      <c r="D498" s="160"/>
      <c r="E498" s="160"/>
      <c r="F498" s="160"/>
      <c r="G498" s="160"/>
      <c r="H498" s="160"/>
      <c r="I498" s="160"/>
      <c r="J498" s="160"/>
      <c r="K498" s="160"/>
      <c r="L498" s="160"/>
      <c r="M498" s="160"/>
      <c r="N498" s="160"/>
      <c r="O498" s="160"/>
      <c r="P498" s="160"/>
      <c r="AE498" s="161"/>
    </row>
    <row r="499" spans="3:31" ht="15.75" customHeight="1">
      <c r="C499" s="160"/>
      <c r="D499" s="160"/>
      <c r="E499" s="160"/>
      <c r="F499" s="160"/>
      <c r="G499" s="160"/>
      <c r="H499" s="160"/>
      <c r="I499" s="160"/>
      <c r="J499" s="160"/>
      <c r="K499" s="160"/>
      <c r="L499" s="160"/>
      <c r="M499" s="160"/>
      <c r="N499" s="160"/>
      <c r="O499" s="160"/>
      <c r="P499" s="160"/>
      <c r="AE499" s="161"/>
    </row>
    <row r="500" spans="3:31" ht="15.75" customHeight="1">
      <c r="C500" s="160"/>
      <c r="D500" s="160"/>
      <c r="E500" s="160"/>
      <c r="F500" s="160"/>
      <c r="G500" s="160"/>
      <c r="H500" s="160"/>
      <c r="I500" s="160"/>
      <c r="J500" s="160"/>
      <c r="K500" s="160"/>
      <c r="L500" s="160"/>
      <c r="M500" s="160"/>
      <c r="N500" s="160"/>
      <c r="O500" s="160"/>
      <c r="P500" s="160"/>
      <c r="AE500" s="161"/>
    </row>
    <row r="501" spans="3:31" ht="15.75" customHeight="1">
      <c r="C501" s="160"/>
      <c r="D501" s="160"/>
      <c r="E501" s="160"/>
      <c r="F501" s="160"/>
      <c r="G501" s="160"/>
      <c r="H501" s="160"/>
      <c r="I501" s="160"/>
      <c r="J501" s="160"/>
      <c r="K501" s="160"/>
      <c r="L501" s="160"/>
      <c r="M501" s="160"/>
      <c r="N501" s="160"/>
      <c r="O501" s="160"/>
      <c r="P501" s="160"/>
      <c r="AE501" s="161"/>
    </row>
    <row r="502" spans="3:31" ht="15.75" customHeight="1">
      <c r="C502" s="160"/>
      <c r="D502" s="160"/>
      <c r="E502" s="160"/>
      <c r="F502" s="160"/>
      <c r="G502" s="160"/>
      <c r="H502" s="160"/>
      <c r="I502" s="160"/>
      <c r="J502" s="160"/>
      <c r="K502" s="160"/>
      <c r="L502" s="160"/>
      <c r="M502" s="160"/>
      <c r="N502" s="160"/>
      <c r="O502" s="160"/>
      <c r="P502" s="160"/>
      <c r="AE502" s="161"/>
    </row>
    <row r="503" spans="3:31" ht="15.75" customHeight="1">
      <c r="C503" s="160"/>
      <c r="D503" s="160"/>
      <c r="E503" s="160"/>
      <c r="F503" s="160"/>
      <c r="G503" s="160"/>
      <c r="H503" s="160"/>
      <c r="I503" s="160"/>
      <c r="J503" s="160"/>
      <c r="K503" s="160"/>
      <c r="L503" s="160"/>
      <c r="M503" s="160"/>
      <c r="N503" s="160"/>
      <c r="O503" s="160"/>
      <c r="P503" s="160"/>
      <c r="AE503" s="161"/>
    </row>
    <row r="504" spans="3:31" ht="15.75" customHeight="1">
      <c r="C504" s="160"/>
      <c r="D504" s="160"/>
      <c r="E504" s="160"/>
      <c r="F504" s="160"/>
      <c r="G504" s="160"/>
      <c r="H504" s="160"/>
      <c r="I504" s="160"/>
      <c r="J504" s="160"/>
      <c r="K504" s="160"/>
      <c r="L504" s="160"/>
      <c r="M504" s="160"/>
      <c r="N504" s="160"/>
      <c r="O504" s="160"/>
      <c r="P504" s="160"/>
      <c r="AE504" s="161"/>
    </row>
    <row r="505" spans="3:31" ht="15.75" customHeight="1">
      <c r="C505" s="160"/>
      <c r="D505" s="160"/>
      <c r="E505" s="160"/>
      <c r="F505" s="160"/>
      <c r="G505" s="160"/>
      <c r="H505" s="160"/>
      <c r="I505" s="160"/>
      <c r="J505" s="160"/>
      <c r="K505" s="160"/>
      <c r="L505" s="160"/>
      <c r="M505" s="160"/>
      <c r="N505" s="160"/>
      <c r="O505" s="160"/>
      <c r="P505" s="160"/>
      <c r="AE505" s="161"/>
    </row>
    <row r="506" spans="3:31" ht="15.75" customHeight="1">
      <c r="C506" s="160"/>
      <c r="D506" s="160"/>
      <c r="E506" s="160"/>
      <c r="F506" s="160"/>
      <c r="G506" s="160"/>
      <c r="H506" s="160"/>
      <c r="I506" s="160"/>
      <c r="J506" s="160"/>
      <c r="K506" s="160"/>
      <c r="L506" s="160"/>
      <c r="M506" s="160"/>
      <c r="N506" s="160"/>
      <c r="O506" s="160"/>
      <c r="P506" s="160"/>
      <c r="AE506" s="161"/>
    </row>
    <row r="507" spans="3:31" ht="15.75" customHeight="1">
      <c r="C507" s="160"/>
      <c r="D507" s="160"/>
      <c r="E507" s="160"/>
      <c r="F507" s="160"/>
      <c r="G507" s="160"/>
      <c r="H507" s="160"/>
      <c r="I507" s="160"/>
      <c r="J507" s="160"/>
      <c r="K507" s="160"/>
      <c r="L507" s="160"/>
      <c r="M507" s="160"/>
      <c r="N507" s="160"/>
      <c r="O507" s="160"/>
      <c r="P507" s="160"/>
      <c r="AE507" s="161"/>
    </row>
    <row r="508" spans="3:31" ht="15.75" customHeight="1">
      <c r="C508" s="160"/>
      <c r="D508" s="160"/>
      <c r="E508" s="160"/>
      <c r="F508" s="160"/>
      <c r="G508" s="160"/>
      <c r="H508" s="160"/>
      <c r="I508" s="160"/>
      <c r="J508" s="160"/>
      <c r="K508" s="160"/>
      <c r="L508" s="160"/>
      <c r="M508" s="160"/>
      <c r="N508" s="160"/>
      <c r="O508" s="160"/>
      <c r="P508" s="160"/>
      <c r="AE508" s="161"/>
    </row>
    <row r="509" spans="3:31" ht="15.75" customHeight="1">
      <c r="C509" s="160"/>
      <c r="D509" s="160"/>
      <c r="E509" s="160"/>
      <c r="F509" s="160"/>
      <c r="G509" s="160"/>
      <c r="H509" s="160"/>
      <c r="I509" s="160"/>
      <c r="J509" s="160"/>
      <c r="K509" s="160"/>
      <c r="L509" s="160"/>
      <c r="M509" s="160"/>
      <c r="N509" s="160"/>
      <c r="O509" s="160"/>
      <c r="P509" s="160"/>
      <c r="AE509" s="161"/>
    </row>
    <row r="510" spans="3:31" ht="15.75" customHeight="1">
      <c r="C510" s="160"/>
      <c r="D510" s="160"/>
      <c r="E510" s="160"/>
      <c r="F510" s="160"/>
      <c r="G510" s="160"/>
      <c r="H510" s="160"/>
      <c r="I510" s="160"/>
      <c r="J510" s="160"/>
      <c r="K510" s="160"/>
      <c r="L510" s="160"/>
      <c r="M510" s="160"/>
      <c r="N510" s="160"/>
      <c r="O510" s="160"/>
      <c r="P510" s="160"/>
      <c r="AE510" s="161"/>
    </row>
    <row r="511" spans="3:31" ht="15.75" customHeight="1">
      <c r="C511" s="160"/>
      <c r="D511" s="160"/>
      <c r="E511" s="160"/>
      <c r="F511" s="160"/>
      <c r="G511" s="160"/>
      <c r="H511" s="160"/>
      <c r="I511" s="160"/>
      <c r="J511" s="160"/>
      <c r="K511" s="160"/>
      <c r="L511" s="160"/>
      <c r="M511" s="160"/>
      <c r="N511" s="160"/>
      <c r="O511" s="160"/>
      <c r="P511" s="160"/>
      <c r="AE511" s="161"/>
    </row>
    <row r="512" spans="3:31" ht="15.75" customHeight="1">
      <c r="C512" s="160"/>
      <c r="D512" s="160"/>
      <c r="E512" s="160"/>
      <c r="F512" s="160"/>
      <c r="G512" s="160"/>
      <c r="H512" s="160"/>
      <c r="I512" s="160"/>
      <c r="J512" s="160"/>
      <c r="K512" s="160"/>
      <c r="L512" s="160"/>
      <c r="M512" s="160"/>
      <c r="N512" s="160"/>
      <c r="O512" s="160"/>
      <c r="P512" s="160"/>
      <c r="AE512" s="161"/>
    </row>
    <row r="513" spans="3:31" ht="15.75" customHeight="1">
      <c r="C513" s="160"/>
      <c r="D513" s="160"/>
      <c r="E513" s="160"/>
      <c r="F513" s="160"/>
      <c r="G513" s="160"/>
      <c r="H513" s="160"/>
      <c r="I513" s="160"/>
      <c r="J513" s="160"/>
      <c r="K513" s="160"/>
      <c r="L513" s="160"/>
      <c r="M513" s="160"/>
      <c r="N513" s="160"/>
      <c r="O513" s="160"/>
      <c r="P513" s="160"/>
      <c r="AE513" s="161"/>
    </row>
    <row r="514" spans="3:31" ht="15.75" customHeight="1">
      <c r="C514" s="160"/>
      <c r="D514" s="160"/>
      <c r="E514" s="160"/>
      <c r="F514" s="160"/>
      <c r="G514" s="160"/>
      <c r="H514" s="160"/>
      <c r="I514" s="160"/>
      <c r="J514" s="160"/>
      <c r="K514" s="160"/>
      <c r="L514" s="160"/>
      <c r="M514" s="160"/>
      <c r="N514" s="160"/>
      <c r="O514" s="160"/>
      <c r="P514" s="160"/>
      <c r="AE514" s="161"/>
    </row>
    <row r="515" spans="3:31" ht="15.75" customHeight="1">
      <c r="C515" s="160"/>
      <c r="D515" s="160"/>
      <c r="E515" s="160"/>
      <c r="F515" s="160"/>
      <c r="G515" s="160"/>
      <c r="H515" s="160"/>
      <c r="I515" s="160"/>
      <c r="J515" s="160"/>
      <c r="K515" s="160"/>
      <c r="L515" s="160"/>
      <c r="M515" s="160"/>
      <c r="N515" s="160"/>
      <c r="O515" s="160"/>
      <c r="P515" s="160"/>
      <c r="AE515" s="161"/>
    </row>
    <row r="516" spans="3:31" ht="15.75" customHeight="1">
      <c r="C516" s="160"/>
      <c r="D516" s="160"/>
      <c r="E516" s="160"/>
      <c r="F516" s="160"/>
      <c r="G516" s="160"/>
      <c r="H516" s="160"/>
      <c r="I516" s="160"/>
      <c r="J516" s="160"/>
      <c r="K516" s="160"/>
      <c r="L516" s="160"/>
      <c r="M516" s="160"/>
      <c r="N516" s="160"/>
      <c r="O516" s="160"/>
      <c r="P516" s="160"/>
      <c r="AE516" s="161"/>
    </row>
    <row r="517" spans="3:31" ht="15.75" customHeight="1">
      <c r="C517" s="160"/>
      <c r="D517" s="160"/>
      <c r="E517" s="160"/>
      <c r="F517" s="160"/>
      <c r="G517" s="160"/>
      <c r="H517" s="160"/>
      <c r="I517" s="160"/>
      <c r="J517" s="160"/>
      <c r="K517" s="160"/>
      <c r="L517" s="160"/>
      <c r="M517" s="160"/>
      <c r="N517" s="160"/>
      <c r="O517" s="160"/>
      <c r="P517" s="160"/>
      <c r="AE517" s="161"/>
    </row>
    <row r="518" spans="3:31" ht="15.75" customHeight="1">
      <c r="C518" s="160"/>
      <c r="D518" s="160"/>
      <c r="E518" s="160"/>
      <c r="F518" s="160"/>
      <c r="G518" s="160"/>
      <c r="H518" s="160"/>
      <c r="I518" s="160"/>
      <c r="J518" s="160"/>
      <c r="K518" s="160"/>
      <c r="L518" s="160"/>
      <c r="M518" s="160"/>
      <c r="N518" s="160"/>
      <c r="O518" s="160"/>
      <c r="P518" s="160"/>
      <c r="AE518" s="161"/>
    </row>
    <row r="519" spans="3:31" ht="15.75" customHeight="1">
      <c r="C519" s="160"/>
      <c r="D519" s="160"/>
      <c r="E519" s="160"/>
      <c r="F519" s="160"/>
      <c r="G519" s="160"/>
      <c r="H519" s="160"/>
      <c r="I519" s="160"/>
      <c r="J519" s="160"/>
      <c r="K519" s="160"/>
      <c r="L519" s="160"/>
      <c r="M519" s="160"/>
      <c r="N519" s="160"/>
      <c r="O519" s="160"/>
      <c r="P519" s="160"/>
      <c r="AE519" s="161"/>
    </row>
    <row r="520" spans="3:31" ht="15.75" customHeight="1">
      <c r="C520" s="160"/>
      <c r="D520" s="160"/>
      <c r="E520" s="160"/>
      <c r="F520" s="160"/>
      <c r="G520" s="160"/>
      <c r="H520" s="160"/>
      <c r="I520" s="160"/>
      <c r="J520" s="160"/>
      <c r="K520" s="160"/>
      <c r="L520" s="160"/>
      <c r="M520" s="160"/>
      <c r="N520" s="160"/>
      <c r="O520" s="160"/>
      <c r="P520" s="160"/>
      <c r="AE520" s="161"/>
    </row>
    <row r="521" spans="3:31" ht="15.75" customHeight="1">
      <c r="C521" s="160"/>
      <c r="D521" s="160"/>
      <c r="E521" s="160"/>
      <c r="F521" s="160"/>
      <c r="G521" s="160"/>
      <c r="H521" s="160"/>
      <c r="I521" s="160"/>
      <c r="J521" s="160"/>
      <c r="K521" s="160"/>
      <c r="L521" s="160"/>
      <c r="M521" s="160"/>
      <c r="N521" s="160"/>
      <c r="O521" s="160"/>
      <c r="P521" s="160"/>
      <c r="AE521" s="161"/>
    </row>
    <row r="522" spans="3:31" ht="15.75" customHeight="1">
      <c r="C522" s="160"/>
      <c r="D522" s="160"/>
      <c r="E522" s="160"/>
      <c r="F522" s="160"/>
      <c r="G522" s="160"/>
      <c r="H522" s="160"/>
      <c r="I522" s="160"/>
      <c r="J522" s="160"/>
      <c r="K522" s="160"/>
      <c r="L522" s="160"/>
      <c r="M522" s="160"/>
      <c r="N522" s="160"/>
      <c r="O522" s="160"/>
      <c r="P522" s="160"/>
      <c r="AE522" s="161"/>
    </row>
    <row r="523" spans="3:31" ht="15.75" customHeight="1">
      <c r="C523" s="160"/>
      <c r="D523" s="160"/>
      <c r="E523" s="160"/>
      <c r="F523" s="160"/>
      <c r="G523" s="160"/>
      <c r="H523" s="160"/>
      <c r="I523" s="160"/>
      <c r="J523" s="160"/>
      <c r="K523" s="160"/>
      <c r="L523" s="160"/>
      <c r="M523" s="160"/>
      <c r="N523" s="160"/>
      <c r="O523" s="160"/>
      <c r="P523" s="160"/>
      <c r="AE523" s="161"/>
    </row>
    <row r="524" spans="3:31" ht="15.75" customHeight="1">
      <c r="C524" s="160"/>
      <c r="D524" s="160"/>
      <c r="E524" s="160"/>
      <c r="F524" s="160"/>
      <c r="G524" s="160"/>
      <c r="H524" s="160"/>
      <c r="I524" s="160"/>
      <c r="J524" s="160"/>
      <c r="K524" s="160"/>
      <c r="L524" s="160"/>
      <c r="M524" s="160"/>
      <c r="N524" s="160"/>
      <c r="O524" s="160"/>
      <c r="P524" s="160"/>
      <c r="AE524" s="161"/>
    </row>
    <row r="525" spans="3:31" ht="15.75" customHeight="1">
      <c r="C525" s="160"/>
      <c r="D525" s="160"/>
      <c r="E525" s="160"/>
      <c r="F525" s="160"/>
      <c r="G525" s="160"/>
      <c r="H525" s="160"/>
      <c r="I525" s="160"/>
      <c r="J525" s="160"/>
      <c r="K525" s="160"/>
      <c r="L525" s="160"/>
      <c r="M525" s="160"/>
      <c r="N525" s="160"/>
      <c r="O525" s="160"/>
      <c r="P525" s="160"/>
      <c r="AE525" s="161"/>
    </row>
    <row r="526" spans="3:31" ht="15.75" customHeight="1">
      <c r="C526" s="160"/>
      <c r="D526" s="160"/>
      <c r="E526" s="160"/>
      <c r="F526" s="160"/>
      <c r="G526" s="160"/>
      <c r="H526" s="160"/>
      <c r="I526" s="160"/>
      <c r="J526" s="160"/>
      <c r="K526" s="160"/>
      <c r="L526" s="160"/>
      <c r="M526" s="160"/>
      <c r="N526" s="160"/>
      <c r="O526" s="160"/>
      <c r="P526" s="160"/>
      <c r="AE526" s="161"/>
    </row>
    <row r="527" spans="3:31" ht="15.75" customHeight="1">
      <c r="C527" s="160"/>
      <c r="D527" s="160"/>
      <c r="E527" s="160"/>
      <c r="F527" s="160"/>
      <c r="G527" s="160"/>
      <c r="H527" s="160"/>
      <c r="I527" s="160"/>
      <c r="J527" s="160"/>
      <c r="K527" s="160"/>
      <c r="L527" s="160"/>
      <c r="M527" s="160"/>
      <c r="N527" s="160"/>
      <c r="O527" s="160"/>
      <c r="P527" s="160"/>
      <c r="AE527" s="161"/>
    </row>
    <row r="528" spans="3:31" ht="15.75" customHeight="1">
      <c r="C528" s="160"/>
      <c r="D528" s="160"/>
      <c r="E528" s="160"/>
      <c r="F528" s="160"/>
      <c r="G528" s="160"/>
      <c r="H528" s="160"/>
      <c r="I528" s="160"/>
      <c r="J528" s="160"/>
      <c r="K528" s="160"/>
      <c r="L528" s="160"/>
      <c r="M528" s="160"/>
      <c r="N528" s="160"/>
      <c r="O528" s="160"/>
      <c r="P528" s="160"/>
      <c r="AE528" s="161"/>
    </row>
    <row r="529" spans="3:31" ht="15.75" customHeight="1">
      <c r="C529" s="160"/>
      <c r="D529" s="160"/>
      <c r="E529" s="160"/>
      <c r="F529" s="160"/>
      <c r="G529" s="160"/>
      <c r="H529" s="160"/>
      <c r="I529" s="160"/>
      <c r="J529" s="160"/>
      <c r="K529" s="160"/>
      <c r="L529" s="160"/>
      <c r="M529" s="160"/>
      <c r="N529" s="160"/>
      <c r="O529" s="160"/>
      <c r="P529" s="160"/>
      <c r="AE529" s="161"/>
    </row>
    <row r="530" spans="3:31" ht="15.75" customHeight="1">
      <c r="C530" s="160"/>
      <c r="D530" s="160"/>
      <c r="E530" s="160"/>
      <c r="F530" s="160"/>
      <c r="G530" s="160"/>
      <c r="H530" s="160"/>
      <c r="I530" s="160"/>
      <c r="J530" s="160"/>
      <c r="K530" s="160"/>
      <c r="L530" s="160"/>
      <c r="M530" s="160"/>
      <c r="N530" s="160"/>
      <c r="O530" s="160"/>
      <c r="P530" s="160"/>
      <c r="AE530" s="161"/>
    </row>
    <row r="531" spans="3:31" ht="15.75" customHeight="1">
      <c r="C531" s="160"/>
      <c r="D531" s="160"/>
      <c r="E531" s="160"/>
      <c r="F531" s="160"/>
      <c r="G531" s="160"/>
      <c r="H531" s="160"/>
      <c r="I531" s="160"/>
      <c r="J531" s="160"/>
      <c r="K531" s="160"/>
      <c r="L531" s="160"/>
      <c r="M531" s="160"/>
      <c r="N531" s="160"/>
      <c r="O531" s="160"/>
      <c r="P531" s="160"/>
      <c r="AE531" s="161"/>
    </row>
    <row r="532" spans="3:31" ht="15.75" customHeight="1">
      <c r="C532" s="160"/>
      <c r="D532" s="160"/>
      <c r="E532" s="160"/>
      <c r="F532" s="160"/>
      <c r="G532" s="160"/>
      <c r="H532" s="160"/>
      <c r="I532" s="160"/>
      <c r="J532" s="160"/>
      <c r="K532" s="160"/>
      <c r="L532" s="160"/>
      <c r="M532" s="160"/>
      <c r="N532" s="160"/>
      <c r="O532" s="160"/>
      <c r="P532" s="160"/>
      <c r="AE532" s="161"/>
    </row>
    <row r="533" spans="3:31" ht="15.75" customHeight="1">
      <c r="C533" s="160"/>
      <c r="D533" s="160"/>
      <c r="E533" s="160"/>
      <c r="F533" s="160"/>
      <c r="G533" s="160"/>
      <c r="H533" s="160"/>
      <c r="I533" s="160"/>
      <c r="J533" s="160"/>
      <c r="K533" s="160"/>
      <c r="L533" s="160"/>
      <c r="M533" s="160"/>
      <c r="N533" s="160"/>
      <c r="O533" s="160"/>
      <c r="P533" s="160"/>
      <c r="AE533" s="161"/>
    </row>
    <row r="534" spans="3:31" ht="15.75" customHeight="1">
      <c r="C534" s="160"/>
      <c r="D534" s="160"/>
      <c r="E534" s="160"/>
      <c r="F534" s="160"/>
      <c r="G534" s="160"/>
      <c r="H534" s="160"/>
      <c r="I534" s="160"/>
      <c r="J534" s="160"/>
      <c r="K534" s="160"/>
      <c r="L534" s="160"/>
      <c r="M534" s="160"/>
      <c r="N534" s="160"/>
      <c r="O534" s="160"/>
      <c r="P534" s="160"/>
      <c r="AE534" s="161"/>
    </row>
    <row r="535" spans="3:31" ht="15.75" customHeight="1">
      <c r="C535" s="160"/>
      <c r="D535" s="160"/>
      <c r="E535" s="160"/>
      <c r="F535" s="160"/>
      <c r="G535" s="160"/>
      <c r="H535" s="160"/>
      <c r="I535" s="160"/>
      <c r="J535" s="160"/>
      <c r="K535" s="160"/>
      <c r="L535" s="160"/>
      <c r="M535" s="160"/>
      <c r="N535" s="160"/>
      <c r="O535" s="160"/>
      <c r="P535" s="160"/>
      <c r="AE535" s="161"/>
    </row>
    <row r="536" spans="3:31" ht="15.75" customHeight="1">
      <c r="C536" s="160"/>
      <c r="D536" s="160"/>
      <c r="E536" s="160"/>
      <c r="F536" s="160"/>
      <c r="G536" s="160"/>
      <c r="H536" s="160"/>
      <c r="I536" s="160"/>
      <c r="J536" s="160"/>
      <c r="K536" s="160"/>
      <c r="L536" s="160"/>
      <c r="M536" s="160"/>
      <c r="N536" s="160"/>
      <c r="O536" s="160"/>
      <c r="P536" s="160"/>
      <c r="AE536" s="161"/>
    </row>
    <row r="537" spans="3:31" ht="15.75" customHeight="1">
      <c r="C537" s="160"/>
      <c r="D537" s="160"/>
      <c r="E537" s="160"/>
      <c r="F537" s="160"/>
      <c r="G537" s="160"/>
      <c r="H537" s="160"/>
      <c r="I537" s="160"/>
      <c r="J537" s="160"/>
      <c r="K537" s="160"/>
      <c r="L537" s="160"/>
      <c r="M537" s="160"/>
      <c r="N537" s="160"/>
      <c r="O537" s="160"/>
      <c r="P537" s="160"/>
      <c r="AE537" s="161"/>
    </row>
    <row r="538" spans="3:31" ht="15.75" customHeight="1">
      <c r="C538" s="160"/>
      <c r="D538" s="160"/>
      <c r="E538" s="160"/>
      <c r="F538" s="160"/>
      <c r="G538" s="160"/>
      <c r="H538" s="160"/>
      <c r="I538" s="160"/>
      <c r="J538" s="160"/>
      <c r="K538" s="160"/>
      <c r="L538" s="160"/>
      <c r="M538" s="160"/>
      <c r="N538" s="160"/>
      <c r="O538" s="160"/>
      <c r="P538" s="160"/>
      <c r="AE538" s="161"/>
    </row>
    <row r="539" spans="3:31" ht="15.75" customHeight="1">
      <c r="C539" s="160"/>
      <c r="D539" s="160"/>
      <c r="E539" s="160"/>
      <c r="F539" s="160"/>
      <c r="G539" s="160"/>
      <c r="H539" s="160"/>
      <c r="I539" s="160"/>
      <c r="J539" s="160"/>
      <c r="K539" s="160"/>
      <c r="L539" s="160"/>
      <c r="M539" s="160"/>
      <c r="N539" s="160"/>
      <c r="O539" s="160"/>
      <c r="P539" s="160"/>
      <c r="AE539" s="161"/>
    </row>
    <row r="540" spans="3:31" ht="15.75" customHeight="1">
      <c r="C540" s="160"/>
      <c r="D540" s="160"/>
      <c r="E540" s="160"/>
      <c r="F540" s="160"/>
      <c r="G540" s="160"/>
      <c r="H540" s="160"/>
      <c r="I540" s="160"/>
      <c r="J540" s="160"/>
      <c r="K540" s="160"/>
      <c r="L540" s="160"/>
      <c r="M540" s="160"/>
      <c r="N540" s="160"/>
      <c r="O540" s="160"/>
      <c r="P540" s="160"/>
      <c r="AE540" s="161"/>
    </row>
    <row r="541" spans="3:31" ht="15.75" customHeight="1">
      <c r="C541" s="160"/>
      <c r="D541" s="160"/>
      <c r="E541" s="160"/>
      <c r="F541" s="160"/>
      <c r="G541" s="160"/>
      <c r="H541" s="160"/>
      <c r="I541" s="160"/>
      <c r="J541" s="160"/>
      <c r="K541" s="160"/>
      <c r="L541" s="160"/>
      <c r="M541" s="160"/>
      <c r="N541" s="160"/>
      <c r="O541" s="160"/>
      <c r="P541" s="160"/>
      <c r="AE541" s="161"/>
    </row>
    <row r="542" spans="3:31" ht="15.75" customHeight="1">
      <c r="C542" s="160"/>
      <c r="D542" s="160"/>
      <c r="E542" s="160"/>
      <c r="F542" s="160"/>
      <c r="G542" s="160"/>
      <c r="H542" s="160"/>
      <c r="I542" s="160"/>
      <c r="J542" s="160"/>
      <c r="K542" s="160"/>
      <c r="L542" s="160"/>
      <c r="M542" s="160"/>
      <c r="N542" s="160"/>
      <c r="O542" s="160"/>
      <c r="P542" s="160"/>
      <c r="AE542" s="161"/>
    </row>
    <row r="543" spans="3:31" ht="15.75" customHeight="1">
      <c r="C543" s="160"/>
      <c r="D543" s="160"/>
      <c r="E543" s="160"/>
      <c r="F543" s="160"/>
      <c r="G543" s="160"/>
      <c r="H543" s="160"/>
      <c r="I543" s="160"/>
      <c r="J543" s="160"/>
      <c r="K543" s="160"/>
      <c r="L543" s="160"/>
      <c r="M543" s="160"/>
      <c r="N543" s="160"/>
      <c r="O543" s="160"/>
      <c r="P543" s="160"/>
      <c r="AE543" s="161"/>
    </row>
    <row r="544" spans="3:31" ht="15.75" customHeight="1">
      <c r="C544" s="160"/>
      <c r="D544" s="160"/>
      <c r="E544" s="160"/>
      <c r="F544" s="160"/>
      <c r="G544" s="160"/>
      <c r="H544" s="160"/>
      <c r="I544" s="160"/>
      <c r="J544" s="160"/>
      <c r="K544" s="160"/>
      <c r="L544" s="160"/>
      <c r="M544" s="160"/>
      <c r="N544" s="160"/>
      <c r="O544" s="160"/>
      <c r="P544" s="160"/>
      <c r="AE544" s="161"/>
    </row>
    <row r="545" spans="3:31" ht="15.75" customHeight="1">
      <c r="C545" s="160"/>
      <c r="D545" s="160"/>
      <c r="E545" s="160"/>
      <c r="F545" s="160"/>
      <c r="G545" s="160"/>
      <c r="H545" s="160"/>
      <c r="I545" s="160"/>
      <c r="J545" s="160"/>
      <c r="K545" s="160"/>
      <c r="L545" s="160"/>
      <c r="M545" s="160"/>
      <c r="N545" s="160"/>
      <c r="O545" s="160"/>
      <c r="P545" s="160"/>
      <c r="AE545" s="161"/>
    </row>
    <row r="546" spans="3:31" ht="15.75" customHeight="1">
      <c r="C546" s="160"/>
      <c r="D546" s="160"/>
      <c r="E546" s="160"/>
      <c r="F546" s="160"/>
      <c r="G546" s="160"/>
      <c r="H546" s="160"/>
      <c r="I546" s="160"/>
      <c r="J546" s="160"/>
      <c r="K546" s="160"/>
      <c r="L546" s="160"/>
      <c r="M546" s="160"/>
      <c r="N546" s="160"/>
      <c r="O546" s="160"/>
      <c r="P546" s="160"/>
      <c r="AE546" s="161"/>
    </row>
    <row r="547" spans="3:31" ht="15.75" customHeight="1">
      <c r="C547" s="160"/>
      <c r="D547" s="160"/>
      <c r="E547" s="160"/>
      <c r="F547" s="160"/>
      <c r="G547" s="160"/>
      <c r="H547" s="160"/>
      <c r="I547" s="160"/>
      <c r="J547" s="160"/>
      <c r="K547" s="160"/>
      <c r="L547" s="160"/>
      <c r="M547" s="160"/>
      <c r="N547" s="160"/>
      <c r="O547" s="160"/>
      <c r="P547" s="160"/>
      <c r="AE547" s="161"/>
    </row>
    <row r="548" spans="3:31" ht="15.75" customHeight="1">
      <c r="C548" s="160"/>
      <c r="D548" s="160"/>
      <c r="E548" s="160"/>
      <c r="F548" s="160"/>
      <c r="G548" s="160"/>
      <c r="H548" s="160"/>
      <c r="I548" s="160"/>
      <c r="J548" s="160"/>
      <c r="K548" s="160"/>
      <c r="L548" s="160"/>
      <c r="M548" s="160"/>
      <c r="N548" s="160"/>
      <c r="O548" s="160"/>
      <c r="P548" s="160"/>
      <c r="AE548" s="161"/>
    </row>
    <row r="549" spans="3:31" ht="15.75" customHeight="1">
      <c r="C549" s="160"/>
      <c r="D549" s="160"/>
      <c r="E549" s="160"/>
      <c r="F549" s="160"/>
      <c r="G549" s="160"/>
      <c r="H549" s="160"/>
      <c r="I549" s="160"/>
      <c r="J549" s="160"/>
      <c r="K549" s="160"/>
      <c r="L549" s="160"/>
      <c r="M549" s="160"/>
      <c r="N549" s="160"/>
      <c r="O549" s="160"/>
      <c r="P549" s="160"/>
      <c r="AE549" s="161"/>
    </row>
    <row r="550" spans="3:31" ht="15.75" customHeight="1">
      <c r="C550" s="160"/>
      <c r="D550" s="160"/>
      <c r="E550" s="160"/>
      <c r="F550" s="160"/>
      <c r="G550" s="160"/>
      <c r="H550" s="160"/>
      <c r="I550" s="160"/>
      <c r="J550" s="160"/>
      <c r="K550" s="160"/>
      <c r="L550" s="160"/>
      <c r="M550" s="160"/>
      <c r="N550" s="160"/>
      <c r="O550" s="160"/>
      <c r="P550" s="160"/>
      <c r="AE550" s="161"/>
    </row>
    <row r="551" spans="3:31" ht="15.75" customHeight="1">
      <c r="C551" s="160"/>
      <c r="D551" s="160"/>
      <c r="E551" s="160"/>
      <c r="F551" s="160"/>
      <c r="G551" s="160"/>
      <c r="H551" s="160"/>
      <c r="I551" s="160"/>
      <c r="J551" s="160"/>
      <c r="K551" s="160"/>
      <c r="L551" s="160"/>
      <c r="M551" s="160"/>
      <c r="N551" s="160"/>
      <c r="O551" s="160"/>
      <c r="P551" s="160"/>
      <c r="AE551" s="161"/>
    </row>
    <row r="552" spans="3:31" ht="15.75" customHeight="1">
      <c r="C552" s="160"/>
      <c r="D552" s="160"/>
      <c r="E552" s="160"/>
      <c r="F552" s="160"/>
      <c r="G552" s="160"/>
      <c r="H552" s="160"/>
      <c r="I552" s="160"/>
      <c r="J552" s="160"/>
      <c r="K552" s="160"/>
      <c r="L552" s="160"/>
      <c r="M552" s="160"/>
      <c r="N552" s="160"/>
      <c r="O552" s="160"/>
      <c r="P552" s="160"/>
      <c r="AE552" s="161"/>
    </row>
    <row r="553" spans="3:31" ht="15.75" customHeight="1">
      <c r="C553" s="160"/>
      <c r="D553" s="160"/>
      <c r="E553" s="160"/>
      <c r="F553" s="160"/>
      <c r="G553" s="160"/>
      <c r="H553" s="160"/>
      <c r="I553" s="160"/>
      <c r="J553" s="160"/>
      <c r="K553" s="160"/>
      <c r="L553" s="160"/>
      <c r="M553" s="160"/>
      <c r="N553" s="160"/>
      <c r="O553" s="160"/>
      <c r="P553" s="160"/>
      <c r="AE553" s="161"/>
    </row>
    <row r="554" spans="3:31" ht="15.75" customHeight="1">
      <c r="C554" s="160"/>
      <c r="D554" s="160"/>
      <c r="E554" s="160"/>
      <c r="F554" s="160"/>
      <c r="G554" s="160"/>
      <c r="H554" s="160"/>
      <c r="I554" s="160"/>
      <c r="J554" s="160"/>
      <c r="K554" s="160"/>
      <c r="L554" s="160"/>
      <c r="M554" s="160"/>
      <c r="N554" s="160"/>
      <c r="O554" s="160"/>
      <c r="P554" s="160"/>
      <c r="AE554" s="161"/>
    </row>
    <row r="555" spans="3:31" ht="15.75" customHeight="1">
      <c r="C555" s="160"/>
      <c r="D555" s="160"/>
      <c r="E555" s="160"/>
      <c r="F555" s="160"/>
      <c r="G555" s="160"/>
      <c r="H555" s="160"/>
      <c r="I555" s="160"/>
      <c r="J555" s="160"/>
      <c r="K555" s="160"/>
      <c r="L555" s="160"/>
      <c r="M555" s="160"/>
      <c r="N555" s="160"/>
      <c r="O555" s="160"/>
      <c r="P555" s="160"/>
      <c r="AE555" s="161"/>
    </row>
    <row r="556" spans="3:31" ht="15.75" customHeight="1">
      <c r="C556" s="160"/>
      <c r="D556" s="160"/>
      <c r="E556" s="160"/>
      <c r="F556" s="160"/>
      <c r="G556" s="160"/>
      <c r="H556" s="160"/>
      <c r="I556" s="160"/>
      <c r="J556" s="160"/>
      <c r="K556" s="160"/>
      <c r="L556" s="160"/>
      <c r="M556" s="160"/>
      <c r="N556" s="160"/>
      <c r="O556" s="160"/>
      <c r="P556" s="160"/>
      <c r="AE556" s="161"/>
    </row>
    <row r="557" spans="3:31" ht="15.75" customHeight="1">
      <c r="C557" s="160"/>
      <c r="D557" s="160"/>
      <c r="E557" s="160"/>
      <c r="F557" s="160"/>
      <c r="G557" s="160"/>
      <c r="H557" s="160"/>
      <c r="I557" s="160"/>
      <c r="J557" s="160"/>
      <c r="K557" s="160"/>
      <c r="L557" s="160"/>
      <c r="M557" s="160"/>
      <c r="N557" s="160"/>
      <c r="O557" s="160"/>
      <c r="P557" s="160"/>
      <c r="AE557" s="161"/>
    </row>
    <row r="558" spans="3:31" ht="15.75" customHeight="1">
      <c r="C558" s="160"/>
      <c r="D558" s="160"/>
      <c r="E558" s="160"/>
      <c r="F558" s="160"/>
      <c r="G558" s="160"/>
      <c r="H558" s="160"/>
      <c r="I558" s="160"/>
      <c r="J558" s="160"/>
      <c r="K558" s="160"/>
      <c r="L558" s="160"/>
      <c r="M558" s="160"/>
      <c r="N558" s="160"/>
      <c r="O558" s="160"/>
      <c r="P558" s="160"/>
      <c r="AE558" s="161"/>
    </row>
    <row r="559" spans="3:31" ht="15.75" customHeight="1">
      <c r="C559" s="160"/>
      <c r="D559" s="160"/>
      <c r="E559" s="160"/>
      <c r="F559" s="160"/>
      <c r="G559" s="160"/>
      <c r="H559" s="160"/>
      <c r="I559" s="160"/>
      <c r="J559" s="160"/>
      <c r="K559" s="160"/>
      <c r="L559" s="160"/>
      <c r="M559" s="160"/>
      <c r="N559" s="160"/>
      <c r="O559" s="160"/>
      <c r="P559" s="160"/>
      <c r="AE559" s="161"/>
    </row>
    <row r="560" spans="3:31" ht="15.75" customHeight="1">
      <c r="C560" s="160"/>
      <c r="D560" s="160"/>
      <c r="E560" s="160"/>
      <c r="F560" s="160"/>
      <c r="G560" s="160"/>
      <c r="H560" s="160"/>
      <c r="I560" s="160"/>
      <c r="J560" s="160"/>
      <c r="K560" s="160"/>
      <c r="L560" s="160"/>
      <c r="M560" s="160"/>
      <c r="N560" s="160"/>
      <c r="O560" s="160"/>
      <c r="P560" s="160"/>
      <c r="AE560" s="161"/>
    </row>
    <row r="561" spans="3:31" ht="15.75" customHeight="1">
      <c r="C561" s="160"/>
      <c r="D561" s="160"/>
      <c r="E561" s="160"/>
      <c r="F561" s="160"/>
      <c r="G561" s="160"/>
      <c r="H561" s="160"/>
      <c r="I561" s="160"/>
      <c r="J561" s="160"/>
      <c r="K561" s="160"/>
      <c r="L561" s="160"/>
      <c r="M561" s="160"/>
      <c r="N561" s="160"/>
      <c r="O561" s="160"/>
      <c r="P561" s="160"/>
      <c r="AE561" s="161"/>
    </row>
    <row r="562" spans="3:31" ht="15.75" customHeight="1">
      <c r="C562" s="160"/>
      <c r="D562" s="160"/>
      <c r="E562" s="160"/>
      <c r="F562" s="160"/>
      <c r="G562" s="160"/>
      <c r="H562" s="160"/>
      <c r="I562" s="160"/>
      <c r="J562" s="160"/>
      <c r="K562" s="160"/>
      <c r="L562" s="160"/>
      <c r="M562" s="160"/>
      <c r="N562" s="160"/>
      <c r="O562" s="160"/>
      <c r="P562" s="160"/>
      <c r="AE562" s="161"/>
    </row>
    <row r="563" spans="3:31" ht="15.75" customHeight="1">
      <c r="C563" s="160"/>
      <c r="D563" s="160"/>
      <c r="E563" s="160"/>
      <c r="F563" s="160"/>
      <c r="G563" s="160"/>
      <c r="H563" s="160"/>
      <c r="I563" s="160"/>
      <c r="J563" s="160"/>
      <c r="K563" s="160"/>
      <c r="L563" s="160"/>
      <c r="M563" s="160"/>
      <c r="N563" s="160"/>
      <c r="O563" s="160"/>
      <c r="P563" s="160"/>
      <c r="AE563" s="161"/>
    </row>
    <row r="564" spans="3:31" ht="15.75" customHeight="1">
      <c r="C564" s="160"/>
      <c r="D564" s="160"/>
      <c r="E564" s="160"/>
      <c r="F564" s="160"/>
      <c r="G564" s="160"/>
      <c r="H564" s="160"/>
      <c r="I564" s="160"/>
      <c r="J564" s="160"/>
      <c r="K564" s="160"/>
      <c r="L564" s="160"/>
      <c r="M564" s="160"/>
      <c r="N564" s="160"/>
      <c r="O564" s="160"/>
      <c r="P564" s="160"/>
      <c r="AE564" s="161"/>
    </row>
    <row r="565" spans="3:31" ht="15.75" customHeight="1">
      <c r="C565" s="160"/>
      <c r="D565" s="160"/>
      <c r="E565" s="160"/>
      <c r="F565" s="160"/>
      <c r="G565" s="160"/>
      <c r="H565" s="160"/>
      <c r="I565" s="160"/>
      <c r="J565" s="160"/>
      <c r="K565" s="160"/>
      <c r="L565" s="160"/>
      <c r="M565" s="160"/>
      <c r="N565" s="160"/>
      <c r="O565" s="160"/>
      <c r="P565" s="160"/>
      <c r="AE565" s="161"/>
    </row>
    <row r="566" spans="3:31" ht="15.75" customHeight="1">
      <c r="C566" s="160"/>
      <c r="D566" s="160"/>
      <c r="E566" s="160"/>
      <c r="F566" s="160"/>
      <c r="G566" s="160"/>
      <c r="H566" s="160"/>
      <c r="I566" s="160"/>
      <c r="J566" s="160"/>
      <c r="K566" s="160"/>
      <c r="L566" s="160"/>
      <c r="M566" s="160"/>
      <c r="N566" s="160"/>
      <c r="O566" s="160"/>
      <c r="P566" s="160"/>
      <c r="AE566" s="161"/>
    </row>
    <row r="567" spans="3:31" ht="15.75" customHeight="1">
      <c r="C567" s="160"/>
      <c r="D567" s="160"/>
      <c r="E567" s="160"/>
      <c r="F567" s="160"/>
      <c r="G567" s="160"/>
      <c r="H567" s="160"/>
      <c r="I567" s="160"/>
      <c r="J567" s="160"/>
      <c r="K567" s="160"/>
      <c r="L567" s="160"/>
      <c r="M567" s="160"/>
      <c r="N567" s="160"/>
      <c r="O567" s="160"/>
      <c r="P567" s="160"/>
      <c r="AE567" s="161"/>
    </row>
    <row r="568" spans="3:31" ht="15.75" customHeight="1">
      <c r="C568" s="160"/>
      <c r="D568" s="160"/>
      <c r="E568" s="160"/>
      <c r="F568" s="160"/>
      <c r="G568" s="160"/>
      <c r="H568" s="160"/>
      <c r="I568" s="160"/>
      <c r="J568" s="160"/>
      <c r="K568" s="160"/>
      <c r="L568" s="160"/>
      <c r="M568" s="160"/>
      <c r="N568" s="160"/>
      <c r="O568" s="160"/>
      <c r="P568" s="160"/>
      <c r="AE568" s="161"/>
    </row>
    <row r="569" spans="3:31" ht="15.75" customHeight="1">
      <c r="C569" s="160"/>
      <c r="D569" s="160"/>
      <c r="E569" s="160"/>
      <c r="F569" s="160"/>
      <c r="G569" s="160"/>
      <c r="H569" s="160"/>
      <c r="I569" s="160"/>
      <c r="J569" s="160"/>
      <c r="K569" s="160"/>
      <c r="L569" s="160"/>
      <c r="M569" s="160"/>
      <c r="N569" s="160"/>
      <c r="O569" s="160"/>
      <c r="P569" s="160"/>
      <c r="AE569" s="161"/>
    </row>
    <row r="570" spans="3:31" ht="15.75" customHeight="1">
      <c r="C570" s="160"/>
      <c r="D570" s="160"/>
      <c r="E570" s="160"/>
      <c r="F570" s="160"/>
      <c r="G570" s="160"/>
      <c r="H570" s="160"/>
      <c r="I570" s="160"/>
      <c r="J570" s="160"/>
      <c r="K570" s="160"/>
      <c r="L570" s="160"/>
      <c r="M570" s="160"/>
      <c r="N570" s="160"/>
      <c r="O570" s="160"/>
      <c r="P570" s="160"/>
      <c r="AE570" s="161"/>
    </row>
    <row r="571" spans="3:31" ht="15.75" customHeight="1">
      <c r="C571" s="160"/>
      <c r="D571" s="160"/>
      <c r="E571" s="160"/>
      <c r="F571" s="160"/>
      <c r="G571" s="160"/>
      <c r="H571" s="160"/>
      <c r="I571" s="160"/>
      <c r="J571" s="160"/>
      <c r="K571" s="160"/>
      <c r="L571" s="160"/>
      <c r="M571" s="160"/>
      <c r="N571" s="160"/>
      <c r="O571" s="160"/>
      <c r="P571" s="160"/>
      <c r="AE571" s="161"/>
    </row>
    <row r="572" spans="3:31" ht="15.75" customHeight="1">
      <c r="C572" s="160"/>
      <c r="D572" s="160"/>
      <c r="E572" s="160"/>
      <c r="F572" s="160"/>
      <c r="G572" s="160"/>
      <c r="H572" s="160"/>
      <c r="I572" s="160"/>
      <c r="J572" s="160"/>
      <c r="K572" s="160"/>
      <c r="L572" s="160"/>
      <c r="M572" s="160"/>
      <c r="N572" s="160"/>
      <c r="O572" s="160"/>
      <c r="P572" s="160"/>
      <c r="AE572" s="161"/>
    </row>
    <row r="573" spans="3:31" ht="15.75" customHeight="1">
      <c r="C573" s="160"/>
      <c r="D573" s="160"/>
      <c r="E573" s="160"/>
      <c r="F573" s="160"/>
      <c r="G573" s="160"/>
      <c r="H573" s="160"/>
      <c r="I573" s="160"/>
      <c r="J573" s="160"/>
      <c r="K573" s="160"/>
      <c r="L573" s="160"/>
      <c r="M573" s="160"/>
      <c r="N573" s="160"/>
      <c r="O573" s="160"/>
      <c r="P573" s="160"/>
      <c r="AE573" s="161"/>
    </row>
    <row r="574" spans="3:31" ht="15.75" customHeight="1">
      <c r="C574" s="160"/>
      <c r="D574" s="160"/>
      <c r="E574" s="160"/>
      <c r="F574" s="160"/>
      <c r="G574" s="160"/>
      <c r="H574" s="160"/>
      <c r="I574" s="160"/>
      <c r="J574" s="160"/>
      <c r="K574" s="160"/>
      <c r="L574" s="160"/>
      <c r="M574" s="160"/>
      <c r="N574" s="160"/>
      <c r="O574" s="160"/>
      <c r="P574" s="160"/>
      <c r="AE574" s="161"/>
    </row>
    <row r="575" spans="3:31" ht="15.75" customHeight="1">
      <c r="C575" s="160"/>
      <c r="D575" s="160"/>
      <c r="E575" s="160"/>
      <c r="F575" s="160"/>
      <c r="G575" s="160"/>
      <c r="H575" s="160"/>
      <c r="I575" s="160"/>
      <c r="J575" s="160"/>
      <c r="K575" s="160"/>
      <c r="L575" s="160"/>
      <c r="M575" s="160"/>
      <c r="N575" s="160"/>
      <c r="O575" s="160"/>
      <c r="P575" s="160"/>
      <c r="AE575" s="161"/>
    </row>
    <row r="576" spans="3:31" ht="15.75" customHeight="1">
      <c r="C576" s="160"/>
      <c r="D576" s="160"/>
      <c r="E576" s="160"/>
      <c r="F576" s="160"/>
      <c r="G576" s="160"/>
      <c r="H576" s="160"/>
      <c r="I576" s="160"/>
      <c r="J576" s="160"/>
      <c r="K576" s="160"/>
      <c r="L576" s="160"/>
      <c r="M576" s="160"/>
      <c r="N576" s="160"/>
      <c r="O576" s="160"/>
      <c r="P576" s="160"/>
      <c r="AE576" s="161"/>
    </row>
    <row r="577" spans="3:31" ht="15.75" customHeight="1">
      <c r="C577" s="160"/>
      <c r="D577" s="160"/>
      <c r="E577" s="160"/>
      <c r="F577" s="160"/>
      <c r="G577" s="160"/>
      <c r="H577" s="160"/>
      <c r="I577" s="160"/>
      <c r="J577" s="160"/>
      <c r="K577" s="160"/>
      <c r="L577" s="160"/>
      <c r="M577" s="160"/>
      <c r="N577" s="160"/>
      <c r="O577" s="160"/>
      <c r="P577" s="160"/>
      <c r="AE577" s="161"/>
    </row>
    <row r="578" spans="3:31" ht="15.75" customHeight="1">
      <c r="C578" s="160"/>
      <c r="D578" s="160"/>
      <c r="E578" s="160"/>
      <c r="F578" s="160"/>
      <c r="G578" s="160"/>
      <c r="H578" s="160"/>
      <c r="I578" s="160"/>
      <c r="J578" s="160"/>
      <c r="K578" s="160"/>
      <c r="L578" s="160"/>
      <c r="M578" s="160"/>
      <c r="N578" s="160"/>
      <c r="O578" s="160"/>
      <c r="P578" s="160"/>
      <c r="AE578" s="161"/>
    </row>
    <row r="579" spans="3:31" ht="15.75" customHeight="1">
      <c r="C579" s="160"/>
      <c r="D579" s="160"/>
      <c r="E579" s="160"/>
      <c r="F579" s="160"/>
      <c r="G579" s="160"/>
      <c r="H579" s="160"/>
      <c r="I579" s="160"/>
      <c r="J579" s="160"/>
      <c r="K579" s="160"/>
      <c r="L579" s="160"/>
      <c r="M579" s="160"/>
      <c r="N579" s="160"/>
      <c r="O579" s="160"/>
      <c r="P579" s="160"/>
      <c r="AE579" s="161"/>
    </row>
    <row r="580" spans="3:31" ht="15.75" customHeight="1">
      <c r="C580" s="160"/>
      <c r="D580" s="160"/>
      <c r="E580" s="160"/>
      <c r="F580" s="160"/>
      <c r="G580" s="160"/>
      <c r="H580" s="160"/>
      <c r="I580" s="160"/>
      <c r="J580" s="160"/>
      <c r="K580" s="160"/>
      <c r="L580" s="160"/>
      <c r="M580" s="160"/>
      <c r="N580" s="160"/>
      <c r="O580" s="160"/>
      <c r="P580" s="160"/>
      <c r="AE580" s="161"/>
    </row>
    <row r="581" spans="3:31" ht="15.75" customHeight="1">
      <c r="C581" s="160"/>
      <c r="D581" s="160"/>
      <c r="E581" s="160"/>
      <c r="F581" s="160"/>
      <c r="G581" s="160"/>
      <c r="H581" s="160"/>
      <c r="I581" s="160"/>
      <c r="J581" s="160"/>
      <c r="K581" s="160"/>
      <c r="L581" s="160"/>
      <c r="M581" s="160"/>
      <c r="N581" s="160"/>
      <c r="O581" s="160"/>
      <c r="P581" s="160"/>
      <c r="AE581" s="161"/>
    </row>
    <row r="582" spans="3:31" ht="15.75" customHeight="1">
      <c r="C582" s="160"/>
      <c r="D582" s="160"/>
      <c r="E582" s="160"/>
      <c r="F582" s="160"/>
      <c r="G582" s="160"/>
      <c r="H582" s="160"/>
      <c r="I582" s="160"/>
      <c r="J582" s="160"/>
      <c r="K582" s="160"/>
      <c r="L582" s="160"/>
      <c r="M582" s="160"/>
      <c r="N582" s="160"/>
      <c r="O582" s="160"/>
      <c r="P582" s="160"/>
      <c r="AE582" s="161"/>
    </row>
    <row r="583" spans="3:31" ht="15.75" customHeight="1">
      <c r="C583" s="160"/>
      <c r="D583" s="160"/>
      <c r="E583" s="160"/>
      <c r="F583" s="160"/>
      <c r="G583" s="160"/>
      <c r="H583" s="160"/>
      <c r="I583" s="160"/>
      <c r="J583" s="160"/>
      <c r="K583" s="160"/>
      <c r="L583" s="160"/>
      <c r="M583" s="160"/>
      <c r="N583" s="160"/>
      <c r="O583" s="160"/>
      <c r="P583" s="160"/>
      <c r="AE583" s="161"/>
    </row>
    <row r="584" spans="3:31" ht="15.75" customHeight="1">
      <c r="C584" s="160"/>
      <c r="D584" s="160"/>
      <c r="E584" s="160"/>
      <c r="F584" s="160"/>
      <c r="G584" s="160"/>
      <c r="H584" s="160"/>
      <c r="I584" s="160"/>
      <c r="J584" s="160"/>
      <c r="K584" s="160"/>
      <c r="L584" s="160"/>
      <c r="M584" s="160"/>
      <c r="N584" s="160"/>
      <c r="O584" s="160"/>
      <c r="P584" s="160"/>
      <c r="AE584" s="161"/>
    </row>
    <row r="585" spans="3:31" ht="15.75" customHeight="1">
      <c r="C585" s="160"/>
      <c r="D585" s="160"/>
      <c r="E585" s="160"/>
      <c r="F585" s="160"/>
      <c r="G585" s="160"/>
      <c r="H585" s="160"/>
      <c r="I585" s="160"/>
      <c r="J585" s="160"/>
      <c r="K585" s="160"/>
      <c r="L585" s="160"/>
      <c r="M585" s="160"/>
      <c r="N585" s="160"/>
      <c r="O585" s="160"/>
      <c r="P585" s="160"/>
      <c r="AE585" s="161"/>
    </row>
    <row r="586" spans="3:31" ht="15.75" customHeight="1">
      <c r="C586" s="160"/>
      <c r="D586" s="160"/>
      <c r="E586" s="160"/>
      <c r="F586" s="160"/>
      <c r="G586" s="160"/>
      <c r="H586" s="160"/>
      <c r="I586" s="160"/>
      <c r="J586" s="160"/>
      <c r="K586" s="160"/>
      <c r="L586" s="160"/>
      <c r="M586" s="160"/>
      <c r="N586" s="160"/>
      <c r="O586" s="160"/>
      <c r="P586" s="160"/>
      <c r="AE586" s="161"/>
    </row>
    <row r="587" spans="3:31" ht="15.75" customHeight="1">
      <c r="C587" s="160"/>
      <c r="D587" s="160"/>
      <c r="E587" s="160"/>
      <c r="F587" s="160"/>
      <c r="G587" s="160"/>
      <c r="H587" s="160"/>
      <c r="I587" s="160"/>
      <c r="J587" s="160"/>
      <c r="K587" s="160"/>
      <c r="L587" s="160"/>
      <c r="M587" s="160"/>
      <c r="N587" s="160"/>
      <c r="O587" s="160"/>
      <c r="P587" s="160"/>
      <c r="AE587" s="161"/>
    </row>
    <row r="588" spans="3:31" ht="15.75" customHeight="1">
      <c r="C588" s="160"/>
      <c r="D588" s="160"/>
      <c r="E588" s="160"/>
      <c r="F588" s="160"/>
      <c r="G588" s="160"/>
      <c r="H588" s="160"/>
      <c r="I588" s="160"/>
      <c r="J588" s="160"/>
      <c r="K588" s="160"/>
      <c r="L588" s="160"/>
      <c r="M588" s="160"/>
      <c r="N588" s="160"/>
      <c r="O588" s="160"/>
      <c r="P588" s="160"/>
      <c r="AE588" s="161"/>
    </row>
    <row r="589" spans="3:31" ht="15.75" customHeight="1">
      <c r="C589" s="160"/>
      <c r="D589" s="160"/>
      <c r="E589" s="160"/>
      <c r="F589" s="160"/>
      <c r="G589" s="160"/>
      <c r="H589" s="160"/>
      <c r="I589" s="160"/>
      <c r="J589" s="160"/>
      <c r="K589" s="160"/>
      <c r="L589" s="160"/>
      <c r="M589" s="160"/>
      <c r="N589" s="160"/>
      <c r="O589" s="160"/>
      <c r="P589" s="160"/>
      <c r="AE589" s="161"/>
    </row>
    <row r="590" spans="3:31" ht="15.75" customHeight="1">
      <c r="C590" s="160"/>
      <c r="D590" s="160"/>
      <c r="E590" s="160"/>
      <c r="F590" s="160"/>
      <c r="G590" s="160"/>
      <c r="H590" s="160"/>
      <c r="I590" s="160"/>
      <c r="J590" s="160"/>
      <c r="K590" s="160"/>
      <c r="L590" s="160"/>
      <c r="M590" s="160"/>
      <c r="N590" s="160"/>
      <c r="O590" s="160"/>
      <c r="P590" s="160"/>
      <c r="AE590" s="161"/>
    </row>
    <row r="591" spans="3:31" ht="15.75" customHeight="1">
      <c r="C591" s="160"/>
      <c r="D591" s="160"/>
      <c r="E591" s="160"/>
      <c r="F591" s="160"/>
      <c r="G591" s="160"/>
      <c r="H591" s="160"/>
      <c r="I591" s="160"/>
      <c r="J591" s="160"/>
      <c r="K591" s="160"/>
      <c r="L591" s="160"/>
      <c r="M591" s="160"/>
      <c r="N591" s="160"/>
      <c r="O591" s="160"/>
      <c r="P591" s="160"/>
      <c r="AE591" s="161"/>
    </row>
    <row r="592" spans="3:31" ht="15.75" customHeight="1">
      <c r="C592" s="160"/>
      <c r="D592" s="160"/>
      <c r="E592" s="160"/>
      <c r="F592" s="160"/>
      <c r="G592" s="160"/>
      <c r="H592" s="160"/>
      <c r="I592" s="160"/>
      <c r="J592" s="160"/>
      <c r="K592" s="160"/>
      <c r="L592" s="160"/>
      <c r="M592" s="160"/>
      <c r="N592" s="160"/>
      <c r="O592" s="160"/>
      <c r="P592" s="160"/>
      <c r="AE592" s="161"/>
    </row>
    <row r="593" spans="3:31" ht="15.75" customHeight="1">
      <c r="C593" s="160"/>
      <c r="D593" s="160"/>
      <c r="E593" s="160"/>
      <c r="F593" s="160"/>
      <c r="G593" s="160"/>
      <c r="H593" s="160"/>
      <c r="I593" s="160"/>
      <c r="J593" s="160"/>
      <c r="K593" s="160"/>
      <c r="L593" s="160"/>
      <c r="M593" s="160"/>
      <c r="N593" s="160"/>
      <c r="O593" s="160"/>
      <c r="P593" s="160"/>
      <c r="AE593" s="161"/>
    </row>
    <row r="594" spans="3:31" ht="15.75" customHeight="1">
      <c r="C594" s="160"/>
      <c r="D594" s="160"/>
      <c r="E594" s="160"/>
      <c r="F594" s="160"/>
      <c r="G594" s="160"/>
      <c r="H594" s="160"/>
      <c r="I594" s="160"/>
      <c r="J594" s="160"/>
      <c r="K594" s="160"/>
      <c r="L594" s="160"/>
      <c r="M594" s="160"/>
      <c r="N594" s="160"/>
      <c r="O594" s="160"/>
      <c r="P594" s="160"/>
      <c r="AE594" s="161"/>
    </row>
    <row r="595" spans="3:31" ht="15.75" customHeight="1">
      <c r="C595" s="160"/>
      <c r="D595" s="160"/>
      <c r="E595" s="160"/>
      <c r="F595" s="160"/>
      <c r="G595" s="160"/>
      <c r="H595" s="160"/>
      <c r="I595" s="160"/>
      <c r="J595" s="160"/>
      <c r="K595" s="160"/>
      <c r="L595" s="160"/>
      <c r="M595" s="160"/>
      <c r="N595" s="160"/>
      <c r="O595" s="160"/>
      <c r="P595" s="160"/>
      <c r="AE595" s="161"/>
    </row>
    <row r="596" spans="3:31" ht="15.75" customHeight="1">
      <c r="C596" s="160"/>
      <c r="D596" s="160"/>
      <c r="E596" s="160"/>
      <c r="F596" s="160"/>
      <c r="G596" s="160"/>
      <c r="H596" s="160"/>
      <c r="I596" s="160"/>
      <c r="J596" s="160"/>
      <c r="K596" s="160"/>
      <c r="L596" s="160"/>
      <c r="M596" s="160"/>
      <c r="N596" s="160"/>
      <c r="O596" s="160"/>
      <c r="P596" s="160"/>
      <c r="AE596" s="161"/>
    </row>
    <row r="597" spans="3:31" ht="15.75" customHeight="1">
      <c r="C597" s="160"/>
      <c r="D597" s="160"/>
      <c r="E597" s="160"/>
      <c r="F597" s="160"/>
      <c r="G597" s="160"/>
      <c r="H597" s="160"/>
      <c r="I597" s="160"/>
      <c r="J597" s="160"/>
      <c r="K597" s="160"/>
      <c r="L597" s="160"/>
      <c r="M597" s="160"/>
      <c r="N597" s="160"/>
      <c r="O597" s="160"/>
      <c r="P597" s="160"/>
      <c r="AE597" s="161"/>
    </row>
    <row r="598" spans="3:31" ht="15.75" customHeight="1">
      <c r="C598" s="160"/>
      <c r="D598" s="160"/>
      <c r="E598" s="160"/>
      <c r="F598" s="160"/>
      <c r="G598" s="160"/>
      <c r="H598" s="160"/>
      <c r="I598" s="160"/>
      <c r="J598" s="160"/>
      <c r="K598" s="160"/>
      <c r="L598" s="160"/>
      <c r="M598" s="160"/>
      <c r="N598" s="160"/>
      <c r="O598" s="160"/>
      <c r="P598" s="160"/>
      <c r="AE598" s="161"/>
    </row>
    <row r="599" spans="3:31" ht="15.75" customHeight="1">
      <c r="C599" s="160"/>
      <c r="D599" s="160"/>
      <c r="E599" s="160"/>
      <c r="F599" s="160"/>
      <c r="G599" s="160"/>
      <c r="H599" s="160"/>
      <c r="I599" s="160"/>
      <c r="J599" s="160"/>
      <c r="K599" s="160"/>
      <c r="L599" s="160"/>
      <c r="M599" s="160"/>
      <c r="N599" s="160"/>
      <c r="O599" s="160"/>
      <c r="P599" s="160"/>
      <c r="AE599" s="161"/>
    </row>
    <row r="600" spans="3:31" ht="15.75" customHeight="1">
      <c r="C600" s="160"/>
      <c r="D600" s="160"/>
      <c r="E600" s="160"/>
      <c r="F600" s="160"/>
      <c r="G600" s="160"/>
      <c r="H600" s="160"/>
      <c r="I600" s="160"/>
      <c r="J600" s="160"/>
      <c r="K600" s="160"/>
      <c r="L600" s="160"/>
      <c r="M600" s="160"/>
      <c r="N600" s="160"/>
      <c r="O600" s="160"/>
      <c r="P600" s="160"/>
      <c r="AE600" s="161"/>
    </row>
    <row r="601" spans="3:31" ht="15.75" customHeight="1">
      <c r="C601" s="160"/>
      <c r="D601" s="160"/>
      <c r="E601" s="160"/>
      <c r="F601" s="160"/>
      <c r="G601" s="160"/>
      <c r="H601" s="160"/>
      <c r="I601" s="160"/>
      <c r="J601" s="160"/>
      <c r="K601" s="160"/>
      <c r="L601" s="160"/>
      <c r="M601" s="160"/>
      <c r="N601" s="160"/>
      <c r="O601" s="160"/>
      <c r="P601" s="160"/>
      <c r="AE601" s="161"/>
    </row>
    <row r="602" spans="3:31" ht="15.75" customHeight="1">
      <c r="C602" s="160"/>
      <c r="D602" s="160"/>
      <c r="E602" s="160"/>
      <c r="F602" s="160"/>
      <c r="G602" s="160"/>
      <c r="H602" s="160"/>
      <c r="I602" s="160"/>
      <c r="J602" s="160"/>
      <c r="K602" s="160"/>
      <c r="L602" s="160"/>
      <c r="M602" s="160"/>
      <c r="N602" s="160"/>
      <c r="O602" s="160"/>
      <c r="P602" s="160"/>
      <c r="AE602" s="161"/>
    </row>
    <row r="603" spans="3:31" ht="15.75" customHeight="1">
      <c r="C603" s="160"/>
      <c r="D603" s="160"/>
      <c r="E603" s="160"/>
      <c r="F603" s="160"/>
      <c r="G603" s="160"/>
      <c r="H603" s="160"/>
      <c r="I603" s="160"/>
      <c r="J603" s="160"/>
      <c r="K603" s="160"/>
      <c r="L603" s="160"/>
      <c r="M603" s="160"/>
      <c r="N603" s="160"/>
      <c r="O603" s="160"/>
      <c r="P603" s="160"/>
      <c r="AE603" s="161"/>
    </row>
    <row r="604" spans="3:31" ht="15.75" customHeight="1">
      <c r="C604" s="160"/>
      <c r="D604" s="160"/>
      <c r="E604" s="160"/>
      <c r="F604" s="160"/>
      <c r="G604" s="160"/>
      <c r="H604" s="160"/>
      <c r="I604" s="160"/>
      <c r="J604" s="160"/>
      <c r="K604" s="160"/>
      <c r="L604" s="160"/>
      <c r="M604" s="160"/>
      <c r="N604" s="160"/>
      <c r="O604" s="160"/>
      <c r="P604" s="160"/>
      <c r="AE604" s="161"/>
    </row>
    <row r="605" spans="3:31" ht="15.75" customHeight="1">
      <c r="C605" s="160"/>
      <c r="D605" s="160"/>
      <c r="E605" s="160"/>
      <c r="F605" s="160"/>
      <c r="G605" s="160"/>
      <c r="H605" s="160"/>
      <c r="I605" s="160"/>
      <c r="J605" s="160"/>
      <c r="K605" s="160"/>
      <c r="L605" s="160"/>
      <c r="M605" s="160"/>
      <c r="N605" s="160"/>
      <c r="O605" s="160"/>
      <c r="P605" s="160"/>
      <c r="AE605" s="161"/>
    </row>
    <row r="606" spans="3:31" ht="15.75" customHeight="1">
      <c r="C606" s="160"/>
      <c r="D606" s="160"/>
      <c r="E606" s="160"/>
      <c r="F606" s="160"/>
      <c r="G606" s="160"/>
      <c r="H606" s="160"/>
      <c r="I606" s="160"/>
      <c r="J606" s="160"/>
      <c r="K606" s="160"/>
      <c r="L606" s="160"/>
      <c r="M606" s="160"/>
      <c r="N606" s="160"/>
      <c r="O606" s="160"/>
      <c r="P606" s="160"/>
      <c r="AE606" s="161"/>
    </row>
    <row r="607" spans="3:31" ht="15.75" customHeight="1">
      <c r="C607" s="160"/>
      <c r="D607" s="160"/>
      <c r="E607" s="160"/>
      <c r="F607" s="160"/>
      <c r="G607" s="160"/>
      <c r="H607" s="160"/>
      <c r="I607" s="160"/>
      <c r="J607" s="160"/>
      <c r="K607" s="160"/>
      <c r="L607" s="160"/>
      <c r="M607" s="160"/>
      <c r="N607" s="160"/>
      <c r="O607" s="160"/>
      <c r="P607" s="160"/>
      <c r="AE607" s="161"/>
    </row>
    <row r="608" spans="3:31" ht="15.75" customHeight="1">
      <c r="C608" s="160"/>
      <c r="D608" s="160"/>
      <c r="E608" s="160"/>
      <c r="F608" s="160"/>
      <c r="G608" s="160"/>
      <c r="H608" s="160"/>
      <c r="I608" s="160"/>
      <c r="J608" s="160"/>
      <c r="K608" s="160"/>
      <c r="L608" s="160"/>
      <c r="M608" s="160"/>
      <c r="N608" s="160"/>
      <c r="O608" s="160"/>
      <c r="P608" s="160"/>
      <c r="AE608" s="161"/>
    </row>
    <row r="609" spans="3:31" ht="15.75" customHeight="1">
      <c r="C609" s="160"/>
      <c r="D609" s="160"/>
      <c r="E609" s="160"/>
      <c r="F609" s="160"/>
      <c r="G609" s="160"/>
      <c r="H609" s="160"/>
      <c r="I609" s="160"/>
      <c r="J609" s="160"/>
      <c r="K609" s="160"/>
      <c r="L609" s="160"/>
      <c r="M609" s="160"/>
      <c r="N609" s="160"/>
      <c r="O609" s="160"/>
      <c r="P609" s="160"/>
      <c r="AE609" s="161"/>
    </row>
    <row r="610" spans="3:31" ht="15.75" customHeight="1">
      <c r="C610" s="160"/>
      <c r="D610" s="160"/>
      <c r="E610" s="160"/>
      <c r="F610" s="160"/>
      <c r="G610" s="160"/>
      <c r="H610" s="160"/>
      <c r="I610" s="160"/>
      <c r="J610" s="160"/>
      <c r="K610" s="160"/>
      <c r="L610" s="160"/>
      <c r="M610" s="160"/>
      <c r="N610" s="160"/>
      <c r="O610" s="160"/>
      <c r="P610" s="160"/>
      <c r="AE610" s="161"/>
    </row>
    <row r="611" spans="3:31" ht="15.75" customHeight="1">
      <c r="C611" s="160"/>
      <c r="D611" s="160"/>
      <c r="E611" s="160"/>
      <c r="F611" s="160"/>
      <c r="G611" s="160"/>
      <c r="H611" s="160"/>
      <c r="I611" s="160"/>
      <c r="J611" s="160"/>
      <c r="K611" s="160"/>
      <c r="L611" s="160"/>
      <c r="M611" s="160"/>
      <c r="N611" s="160"/>
      <c r="O611" s="160"/>
      <c r="P611" s="160"/>
      <c r="AE611" s="161"/>
    </row>
    <row r="612" spans="3:31" ht="15.75" customHeight="1">
      <c r="C612" s="160"/>
      <c r="D612" s="160"/>
      <c r="E612" s="160"/>
      <c r="F612" s="160"/>
      <c r="G612" s="160"/>
      <c r="H612" s="160"/>
      <c r="I612" s="160"/>
      <c r="J612" s="160"/>
      <c r="K612" s="160"/>
      <c r="L612" s="160"/>
      <c r="M612" s="160"/>
      <c r="N612" s="160"/>
      <c r="O612" s="160"/>
      <c r="P612" s="160"/>
      <c r="AE612" s="161"/>
    </row>
    <row r="613" spans="3:31" ht="15.75" customHeight="1">
      <c r="C613" s="160"/>
      <c r="D613" s="160"/>
      <c r="E613" s="160"/>
      <c r="F613" s="160"/>
      <c r="G613" s="160"/>
      <c r="H613" s="160"/>
      <c r="I613" s="160"/>
      <c r="J613" s="160"/>
      <c r="K613" s="160"/>
      <c r="L613" s="160"/>
      <c r="M613" s="160"/>
      <c r="N613" s="160"/>
      <c r="O613" s="160"/>
      <c r="P613" s="160"/>
      <c r="AE613" s="161"/>
    </row>
    <row r="614" spans="3:31" ht="15.75" customHeight="1">
      <c r="C614" s="160"/>
      <c r="D614" s="160"/>
      <c r="E614" s="160"/>
      <c r="F614" s="160"/>
      <c r="G614" s="160"/>
      <c r="H614" s="160"/>
      <c r="I614" s="160"/>
      <c r="J614" s="160"/>
      <c r="K614" s="160"/>
      <c r="L614" s="160"/>
      <c r="M614" s="160"/>
      <c r="N614" s="160"/>
      <c r="O614" s="160"/>
      <c r="P614" s="160"/>
      <c r="AE614" s="161"/>
    </row>
    <row r="615" spans="3:31" ht="15.75" customHeight="1">
      <c r="C615" s="160"/>
      <c r="D615" s="160"/>
      <c r="E615" s="160"/>
      <c r="F615" s="160"/>
      <c r="G615" s="160"/>
      <c r="H615" s="160"/>
      <c r="I615" s="160"/>
      <c r="J615" s="160"/>
      <c r="K615" s="160"/>
      <c r="L615" s="160"/>
      <c r="M615" s="160"/>
      <c r="N615" s="160"/>
      <c r="O615" s="160"/>
      <c r="P615" s="160"/>
      <c r="AE615" s="161"/>
    </row>
    <row r="616" spans="3:31" ht="15.75" customHeight="1">
      <c r="C616" s="160"/>
      <c r="D616" s="160"/>
      <c r="E616" s="160"/>
      <c r="F616" s="160"/>
      <c r="G616" s="160"/>
      <c r="H616" s="160"/>
      <c r="I616" s="160"/>
      <c r="J616" s="160"/>
      <c r="K616" s="160"/>
      <c r="L616" s="160"/>
      <c r="M616" s="160"/>
      <c r="N616" s="160"/>
      <c r="O616" s="160"/>
      <c r="P616" s="160"/>
      <c r="AE616" s="161"/>
    </row>
    <row r="617" spans="3:31" ht="15.75" customHeight="1">
      <c r="C617" s="160"/>
      <c r="D617" s="160"/>
      <c r="E617" s="160"/>
      <c r="F617" s="160"/>
      <c r="G617" s="160"/>
      <c r="H617" s="160"/>
      <c r="I617" s="160"/>
      <c r="J617" s="160"/>
      <c r="K617" s="160"/>
      <c r="L617" s="160"/>
      <c r="M617" s="160"/>
      <c r="N617" s="160"/>
      <c r="O617" s="160"/>
      <c r="P617" s="160"/>
      <c r="AE617" s="161"/>
    </row>
    <row r="618" spans="3:31" ht="15.75" customHeight="1">
      <c r="C618" s="160"/>
      <c r="D618" s="160"/>
      <c r="E618" s="160"/>
      <c r="F618" s="160"/>
      <c r="G618" s="160"/>
      <c r="H618" s="160"/>
      <c r="I618" s="160"/>
      <c r="J618" s="160"/>
      <c r="K618" s="160"/>
      <c r="L618" s="160"/>
      <c r="M618" s="160"/>
      <c r="N618" s="160"/>
      <c r="O618" s="160"/>
      <c r="P618" s="160"/>
      <c r="AE618" s="161"/>
    </row>
    <row r="619" spans="3:31" ht="15.75" customHeight="1">
      <c r="C619" s="160"/>
      <c r="D619" s="160"/>
      <c r="E619" s="160"/>
      <c r="F619" s="160"/>
      <c r="G619" s="160"/>
      <c r="H619" s="160"/>
      <c r="I619" s="160"/>
      <c r="J619" s="160"/>
      <c r="K619" s="160"/>
      <c r="L619" s="160"/>
      <c r="M619" s="160"/>
      <c r="N619" s="160"/>
      <c r="O619" s="160"/>
      <c r="P619" s="160"/>
      <c r="AE619" s="161"/>
    </row>
    <row r="620" spans="3:31" ht="15.75" customHeight="1">
      <c r="C620" s="160"/>
      <c r="D620" s="160"/>
      <c r="E620" s="160"/>
      <c r="F620" s="160"/>
      <c r="G620" s="160"/>
      <c r="H620" s="160"/>
      <c r="I620" s="160"/>
      <c r="J620" s="160"/>
      <c r="K620" s="160"/>
      <c r="L620" s="160"/>
      <c r="M620" s="160"/>
      <c r="N620" s="160"/>
      <c r="O620" s="160"/>
      <c r="P620" s="160"/>
      <c r="AE620" s="161"/>
    </row>
    <row r="621" spans="3:31" ht="15.75" customHeight="1">
      <c r="C621" s="160"/>
      <c r="D621" s="160"/>
      <c r="E621" s="160"/>
      <c r="F621" s="160"/>
      <c r="G621" s="160"/>
      <c r="H621" s="160"/>
      <c r="I621" s="160"/>
      <c r="J621" s="160"/>
      <c r="K621" s="160"/>
      <c r="L621" s="160"/>
      <c r="M621" s="160"/>
      <c r="N621" s="160"/>
      <c r="O621" s="160"/>
      <c r="P621" s="160"/>
      <c r="AE621" s="161"/>
    </row>
    <row r="622" spans="3:31" ht="15.75" customHeight="1">
      <c r="C622" s="160"/>
      <c r="D622" s="160"/>
      <c r="E622" s="160"/>
      <c r="F622" s="160"/>
      <c r="G622" s="160"/>
      <c r="H622" s="160"/>
      <c r="I622" s="160"/>
      <c r="J622" s="160"/>
      <c r="K622" s="160"/>
      <c r="L622" s="160"/>
      <c r="M622" s="160"/>
      <c r="N622" s="160"/>
      <c r="O622" s="160"/>
      <c r="P622" s="160"/>
      <c r="AE622" s="161"/>
    </row>
    <row r="623" spans="3:31" ht="15.75" customHeight="1">
      <c r="C623" s="160"/>
      <c r="D623" s="160"/>
      <c r="E623" s="160"/>
      <c r="F623" s="160"/>
      <c r="G623" s="160"/>
      <c r="H623" s="160"/>
      <c r="I623" s="160"/>
      <c r="J623" s="160"/>
      <c r="K623" s="160"/>
      <c r="L623" s="160"/>
      <c r="M623" s="160"/>
      <c r="N623" s="160"/>
      <c r="O623" s="160"/>
      <c r="P623" s="160"/>
      <c r="AE623" s="161"/>
    </row>
    <row r="624" spans="3:31" ht="15.75" customHeight="1">
      <c r="C624" s="160"/>
      <c r="D624" s="160"/>
      <c r="E624" s="160"/>
      <c r="F624" s="160"/>
      <c r="G624" s="160"/>
      <c r="H624" s="160"/>
      <c r="I624" s="160"/>
      <c r="J624" s="160"/>
      <c r="K624" s="160"/>
      <c r="L624" s="160"/>
      <c r="M624" s="160"/>
      <c r="N624" s="160"/>
      <c r="O624" s="160"/>
      <c r="P624" s="160"/>
      <c r="AE624" s="161"/>
    </row>
    <row r="625" spans="3:31" ht="15.75" customHeight="1">
      <c r="C625" s="160"/>
      <c r="D625" s="160"/>
      <c r="E625" s="160"/>
      <c r="F625" s="160"/>
      <c r="G625" s="160"/>
      <c r="H625" s="160"/>
      <c r="I625" s="160"/>
      <c r="J625" s="160"/>
      <c r="K625" s="160"/>
      <c r="L625" s="160"/>
      <c r="M625" s="160"/>
      <c r="N625" s="160"/>
      <c r="O625" s="160"/>
      <c r="P625" s="160"/>
      <c r="AE625" s="161"/>
    </row>
    <row r="626" spans="3:31" ht="15.75" customHeight="1">
      <c r="C626" s="160"/>
      <c r="D626" s="160"/>
      <c r="E626" s="160"/>
      <c r="F626" s="160"/>
      <c r="G626" s="160"/>
      <c r="H626" s="160"/>
      <c r="I626" s="160"/>
      <c r="J626" s="160"/>
      <c r="K626" s="160"/>
      <c r="L626" s="160"/>
      <c r="M626" s="160"/>
      <c r="N626" s="160"/>
      <c r="O626" s="160"/>
      <c r="P626" s="160"/>
      <c r="AE626" s="161"/>
    </row>
    <row r="627" spans="3:31" ht="15.75" customHeight="1">
      <c r="C627" s="160"/>
      <c r="D627" s="160"/>
      <c r="E627" s="160"/>
      <c r="F627" s="160"/>
      <c r="G627" s="160"/>
      <c r="H627" s="160"/>
      <c r="I627" s="160"/>
      <c r="J627" s="160"/>
      <c r="K627" s="160"/>
      <c r="L627" s="160"/>
      <c r="M627" s="160"/>
      <c r="N627" s="160"/>
      <c r="O627" s="160"/>
      <c r="P627" s="160"/>
      <c r="AE627" s="161"/>
    </row>
    <row r="628" spans="3:31" ht="15.75" customHeight="1">
      <c r="C628" s="160"/>
      <c r="D628" s="160"/>
      <c r="E628" s="160"/>
      <c r="F628" s="160"/>
      <c r="G628" s="160"/>
      <c r="H628" s="160"/>
      <c r="I628" s="160"/>
      <c r="J628" s="160"/>
      <c r="K628" s="160"/>
      <c r="L628" s="160"/>
      <c r="M628" s="160"/>
      <c r="N628" s="160"/>
      <c r="O628" s="160"/>
      <c r="P628" s="160"/>
      <c r="AE628" s="161"/>
    </row>
    <row r="629" spans="3:31" ht="15.75" customHeight="1">
      <c r="C629" s="160"/>
      <c r="D629" s="160"/>
      <c r="E629" s="160"/>
      <c r="F629" s="160"/>
      <c r="G629" s="160"/>
      <c r="H629" s="160"/>
      <c r="I629" s="160"/>
      <c r="J629" s="160"/>
      <c r="K629" s="160"/>
      <c r="L629" s="160"/>
      <c r="M629" s="160"/>
      <c r="N629" s="160"/>
      <c r="O629" s="160"/>
      <c r="P629" s="160"/>
      <c r="AE629" s="161"/>
    </row>
    <row r="630" spans="3:31" ht="15.75" customHeight="1">
      <c r="C630" s="160"/>
      <c r="D630" s="160"/>
      <c r="E630" s="160"/>
      <c r="F630" s="160"/>
      <c r="G630" s="160"/>
      <c r="H630" s="160"/>
      <c r="I630" s="160"/>
      <c r="J630" s="160"/>
      <c r="K630" s="160"/>
      <c r="L630" s="160"/>
      <c r="M630" s="160"/>
      <c r="N630" s="160"/>
      <c r="O630" s="160"/>
      <c r="P630" s="160"/>
      <c r="AE630" s="161"/>
    </row>
    <row r="631" spans="3:31" ht="15.75" customHeight="1">
      <c r="C631" s="160"/>
      <c r="D631" s="160"/>
      <c r="E631" s="160"/>
      <c r="F631" s="160"/>
      <c r="G631" s="160"/>
      <c r="H631" s="160"/>
      <c r="I631" s="160"/>
      <c r="J631" s="160"/>
      <c r="K631" s="160"/>
      <c r="L631" s="160"/>
      <c r="M631" s="160"/>
      <c r="N631" s="160"/>
      <c r="O631" s="160"/>
      <c r="P631" s="160"/>
      <c r="AE631" s="161"/>
    </row>
    <row r="632" spans="3:31" ht="15.75" customHeight="1">
      <c r="C632" s="160"/>
      <c r="D632" s="160"/>
      <c r="E632" s="160"/>
      <c r="F632" s="160"/>
      <c r="G632" s="160"/>
      <c r="H632" s="160"/>
      <c r="I632" s="160"/>
      <c r="J632" s="160"/>
      <c r="K632" s="160"/>
      <c r="L632" s="160"/>
      <c r="M632" s="160"/>
      <c r="N632" s="160"/>
      <c r="O632" s="160"/>
      <c r="P632" s="160"/>
      <c r="AE632" s="161"/>
    </row>
    <row r="633" spans="3:31" ht="15.75" customHeight="1">
      <c r="C633" s="160"/>
      <c r="D633" s="160"/>
      <c r="E633" s="160"/>
      <c r="F633" s="160"/>
      <c r="G633" s="160"/>
      <c r="H633" s="160"/>
      <c r="I633" s="160"/>
      <c r="J633" s="160"/>
      <c r="K633" s="160"/>
      <c r="L633" s="160"/>
      <c r="M633" s="160"/>
      <c r="N633" s="160"/>
      <c r="O633" s="160"/>
      <c r="P633" s="160"/>
      <c r="AE633" s="161"/>
    </row>
    <row r="634" spans="3:31" ht="15.75" customHeight="1">
      <c r="C634" s="160"/>
      <c r="D634" s="160"/>
      <c r="E634" s="160"/>
      <c r="F634" s="160"/>
      <c r="G634" s="160"/>
      <c r="H634" s="160"/>
      <c r="I634" s="160"/>
      <c r="J634" s="160"/>
      <c r="K634" s="160"/>
      <c r="L634" s="160"/>
      <c r="M634" s="160"/>
      <c r="N634" s="160"/>
      <c r="O634" s="160"/>
      <c r="P634" s="160"/>
      <c r="AE634" s="161"/>
    </row>
    <row r="635" spans="3:31" ht="15.75" customHeight="1">
      <c r="C635" s="160"/>
      <c r="D635" s="160"/>
      <c r="E635" s="160"/>
      <c r="F635" s="160"/>
      <c r="G635" s="160"/>
      <c r="H635" s="160"/>
      <c r="I635" s="160"/>
      <c r="J635" s="160"/>
      <c r="K635" s="160"/>
      <c r="L635" s="160"/>
      <c r="M635" s="160"/>
      <c r="N635" s="160"/>
      <c r="O635" s="160"/>
      <c r="P635" s="160"/>
      <c r="AE635" s="161"/>
    </row>
    <row r="636" spans="3:31" ht="15.75" customHeight="1">
      <c r="C636" s="160"/>
      <c r="D636" s="160"/>
      <c r="E636" s="160"/>
      <c r="F636" s="160"/>
      <c r="G636" s="160"/>
      <c r="H636" s="160"/>
      <c r="I636" s="160"/>
      <c r="J636" s="160"/>
      <c r="K636" s="160"/>
      <c r="L636" s="160"/>
      <c r="M636" s="160"/>
      <c r="N636" s="160"/>
      <c r="O636" s="160"/>
      <c r="P636" s="160"/>
      <c r="AE636" s="161"/>
    </row>
    <row r="637" spans="3:31" ht="15.75" customHeight="1">
      <c r="C637" s="160"/>
      <c r="D637" s="160"/>
      <c r="E637" s="160"/>
      <c r="F637" s="160"/>
      <c r="G637" s="160"/>
      <c r="H637" s="160"/>
      <c r="I637" s="160"/>
      <c r="J637" s="160"/>
      <c r="K637" s="160"/>
      <c r="L637" s="160"/>
      <c r="M637" s="160"/>
      <c r="N637" s="160"/>
      <c r="O637" s="160"/>
      <c r="P637" s="160"/>
      <c r="AE637" s="161"/>
    </row>
    <row r="638" spans="3:31" ht="15.75" customHeight="1">
      <c r="C638" s="160"/>
      <c r="D638" s="160"/>
      <c r="E638" s="160"/>
      <c r="F638" s="160"/>
      <c r="G638" s="160"/>
      <c r="H638" s="160"/>
      <c r="I638" s="160"/>
      <c r="J638" s="160"/>
      <c r="K638" s="160"/>
      <c r="L638" s="160"/>
      <c r="M638" s="160"/>
      <c r="N638" s="160"/>
      <c r="O638" s="160"/>
      <c r="P638" s="160"/>
      <c r="AE638" s="161"/>
    </row>
    <row r="639" spans="3:31" ht="15.75" customHeight="1">
      <c r="C639" s="160"/>
      <c r="D639" s="160"/>
      <c r="E639" s="160"/>
      <c r="F639" s="160"/>
      <c r="G639" s="160"/>
      <c r="H639" s="160"/>
      <c r="I639" s="160"/>
      <c r="J639" s="160"/>
      <c r="K639" s="160"/>
      <c r="L639" s="160"/>
      <c r="M639" s="160"/>
      <c r="N639" s="160"/>
      <c r="O639" s="160"/>
      <c r="P639" s="160"/>
      <c r="AE639" s="161"/>
    </row>
    <row r="640" spans="3:31" ht="15.75" customHeight="1">
      <c r="C640" s="160"/>
      <c r="D640" s="160"/>
      <c r="E640" s="160"/>
      <c r="F640" s="160"/>
      <c r="G640" s="160"/>
      <c r="H640" s="160"/>
      <c r="I640" s="160"/>
      <c r="J640" s="160"/>
      <c r="K640" s="160"/>
      <c r="L640" s="160"/>
      <c r="M640" s="160"/>
      <c r="N640" s="160"/>
      <c r="O640" s="160"/>
      <c r="P640" s="160"/>
      <c r="AE640" s="161"/>
    </row>
    <row r="641" spans="3:31" ht="15.75" customHeight="1">
      <c r="C641" s="160"/>
      <c r="D641" s="160"/>
      <c r="E641" s="160"/>
      <c r="F641" s="160"/>
      <c r="G641" s="160"/>
      <c r="H641" s="160"/>
      <c r="I641" s="160"/>
      <c r="J641" s="160"/>
      <c r="K641" s="160"/>
      <c r="L641" s="160"/>
      <c r="M641" s="160"/>
      <c r="N641" s="160"/>
      <c r="O641" s="160"/>
      <c r="P641" s="160"/>
      <c r="AE641" s="161"/>
    </row>
    <row r="642" spans="3:31" ht="15.75" customHeight="1">
      <c r="C642" s="160"/>
      <c r="D642" s="160"/>
      <c r="E642" s="160"/>
      <c r="F642" s="160"/>
      <c r="G642" s="160"/>
      <c r="H642" s="160"/>
      <c r="I642" s="160"/>
      <c r="J642" s="160"/>
      <c r="K642" s="160"/>
      <c r="L642" s="160"/>
      <c r="M642" s="160"/>
      <c r="N642" s="160"/>
      <c r="O642" s="160"/>
      <c r="P642" s="160"/>
      <c r="AE642" s="161"/>
    </row>
    <row r="643" spans="3:31" ht="15.75" customHeight="1">
      <c r="C643" s="160"/>
      <c r="D643" s="160"/>
      <c r="E643" s="160"/>
      <c r="F643" s="160"/>
      <c r="G643" s="160"/>
      <c r="H643" s="160"/>
      <c r="I643" s="160"/>
      <c r="J643" s="160"/>
      <c r="K643" s="160"/>
      <c r="L643" s="160"/>
      <c r="M643" s="160"/>
      <c r="N643" s="160"/>
      <c r="O643" s="160"/>
      <c r="P643" s="160"/>
      <c r="AE643" s="161"/>
    </row>
    <row r="644" spans="3:31" ht="15.75" customHeight="1">
      <c r="C644" s="160"/>
      <c r="D644" s="160"/>
      <c r="E644" s="160"/>
      <c r="F644" s="160"/>
      <c r="G644" s="160"/>
      <c r="H644" s="160"/>
      <c r="I644" s="160"/>
      <c r="J644" s="160"/>
      <c r="K644" s="160"/>
      <c r="L644" s="160"/>
      <c r="M644" s="160"/>
      <c r="N644" s="160"/>
      <c r="O644" s="160"/>
      <c r="P644" s="160"/>
      <c r="AE644" s="161"/>
    </row>
    <row r="645" spans="3:31" ht="15.75" customHeight="1">
      <c r="C645" s="160"/>
      <c r="D645" s="160"/>
      <c r="E645" s="160"/>
      <c r="F645" s="160"/>
      <c r="G645" s="160"/>
      <c r="H645" s="160"/>
      <c r="I645" s="160"/>
      <c r="J645" s="160"/>
      <c r="K645" s="160"/>
      <c r="L645" s="160"/>
      <c r="M645" s="160"/>
      <c r="N645" s="160"/>
      <c r="O645" s="160"/>
      <c r="P645" s="160"/>
      <c r="AE645" s="161"/>
    </row>
    <row r="646" spans="3:31" ht="15.75" customHeight="1">
      <c r="C646" s="160"/>
      <c r="D646" s="160"/>
      <c r="E646" s="160"/>
      <c r="F646" s="160"/>
      <c r="G646" s="160"/>
      <c r="H646" s="160"/>
      <c r="I646" s="160"/>
      <c r="J646" s="160"/>
      <c r="K646" s="160"/>
      <c r="L646" s="160"/>
      <c r="M646" s="160"/>
      <c r="N646" s="160"/>
      <c r="O646" s="160"/>
      <c r="P646" s="160"/>
      <c r="AE646" s="161"/>
    </row>
    <row r="647" spans="3:31" ht="15.75" customHeight="1">
      <c r="C647" s="160"/>
      <c r="D647" s="160"/>
      <c r="E647" s="160"/>
      <c r="F647" s="160"/>
      <c r="G647" s="160"/>
      <c r="H647" s="160"/>
      <c r="I647" s="160"/>
      <c r="J647" s="160"/>
      <c r="K647" s="160"/>
      <c r="L647" s="160"/>
      <c r="M647" s="160"/>
      <c r="N647" s="160"/>
      <c r="O647" s="160"/>
      <c r="P647" s="160"/>
      <c r="AE647" s="161"/>
    </row>
    <row r="648" spans="3:31" ht="15.75" customHeight="1">
      <c r="C648" s="160"/>
      <c r="D648" s="160"/>
      <c r="E648" s="160"/>
      <c r="F648" s="160"/>
      <c r="G648" s="160"/>
      <c r="H648" s="160"/>
      <c r="I648" s="160"/>
      <c r="J648" s="160"/>
      <c r="K648" s="160"/>
      <c r="L648" s="160"/>
      <c r="M648" s="160"/>
      <c r="N648" s="160"/>
      <c r="O648" s="160"/>
      <c r="P648" s="160"/>
      <c r="AE648" s="161"/>
    </row>
    <row r="649" spans="3:31" ht="15.75" customHeight="1">
      <c r="C649" s="160"/>
      <c r="D649" s="160"/>
      <c r="E649" s="160"/>
      <c r="F649" s="160"/>
      <c r="G649" s="160"/>
      <c r="H649" s="160"/>
      <c r="I649" s="160"/>
      <c r="J649" s="160"/>
      <c r="K649" s="160"/>
      <c r="L649" s="160"/>
      <c r="M649" s="160"/>
      <c r="N649" s="160"/>
      <c r="O649" s="160"/>
      <c r="P649" s="160"/>
      <c r="AE649" s="161"/>
    </row>
    <row r="650" spans="3:31" ht="15.75" customHeight="1">
      <c r="C650" s="160"/>
      <c r="D650" s="160"/>
      <c r="E650" s="160"/>
      <c r="F650" s="160"/>
      <c r="G650" s="160"/>
      <c r="H650" s="160"/>
      <c r="I650" s="160"/>
      <c r="J650" s="160"/>
      <c r="K650" s="160"/>
      <c r="L650" s="160"/>
      <c r="M650" s="160"/>
      <c r="N650" s="160"/>
      <c r="O650" s="160"/>
      <c r="P650" s="160"/>
      <c r="AE650" s="161"/>
    </row>
    <row r="651" spans="3:31" ht="15.75" customHeight="1">
      <c r="C651" s="160"/>
      <c r="D651" s="160"/>
      <c r="E651" s="160"/>
      <c r="F651" s="160"/>
      <c r="G651" s="160"/>
      <c r="H651" s="160"/>
      <c r="I651" s="160"/>
      <c r="J651" s="160"/>
      <c r="K651" s="160"/>
      <c r="L651" s="160"/>
      <c r="M651" s="160"/>
      <c r="N651" s="160"/>
      <c r="O651" s="160"/>
      <c r="P651" s="160"/>
      <c r="AE651" s="161"/>
    </row>
    <row r="652" spans="3:31" ht="15.75" customHeight="1">
      <c r="C652" s="160"/>
      <c r="D652" s="160"/>
      <c r="E652" s="160"/>
      <c r="F652" s="160"/>
      <c r="G652" s="160"/>
      <c r="H652" s="160"/>
      <c r="I652" s="160"/>
      <c r="J652" s="160"/>
      <c r="K652" s="160"/>
      <c r="L652" s="160"/>
      <c r="M652" s="160"/>
      <c r="N652" s="160"/>
      <c r="O652" s="160"/>
      <c r="P652" s="160"/>
      <c r="AE652" s="161"/>
    </row>
    <row r="653" spans="3:31" ht="15.75" customHeight="1">
      <c r="C653" s="160"/>
      <c r="D653" s="160"/>
      <c r="E653" s="160"/>
      <c r="F653" s="160"/>
      <c r="G653" s="160"/>
      <c r="H653" s="160"/>
      <c r="I653" s="160"/>
      <c r="J653" s="160"/>
      <c r="K653" s="160"/>
      <c r="L653" s="160"/>
      <c r="M653" s="160"/>
      <c r="N653" s="160"/>
      <c r="O653" s="160"/>
      <c r="P653" s="160"/>
      <c r="AE653" s="161"/>
    </row>
    <row r="654" spans="3:31" ht="15.75" customHeight="1">
      <c r="C654" s="160"/>
      <c r="D654" s="160"/>
      <c r="E654" s="160"/>
      <c r="F654" s="160"/>
      <c r="G654" s="160"/>
      <c r="H654" s="160"/>
      <c r="I654" s="160"/>
      <c r="J654" s="160"/>
      <c r="K654" s="160"/>
      <c r="L654" s="160"/>
      <c r="M654" s="160"/>
      <c r="N654" s="160"/>
      <c r="O654" s="160"/>
      <c r="P654" s="160"/>
      <c r="AE654" s="161"/>
    </row>
    <row r="655" spans="3:31" ht="15.75" customHeight="1">
      <c r="C655" s="160"/>
      <c r="D655" s="160"/>
      <c r="E655" s="160"/>
      <c r="F655" s="160"/>
      <c r="G655" s="160"/>
      <c r="H655" s="160"/>
      <c r="I655" s="160"/>
      <c r="J655" s="160"/>
      <c r="K655" s="160"/>
      <c r="L655" s="160"/>
      <c r="M655" s="160"/>
      <c r="N655" s="160"/>
      <c r="O655" s="160"/>
      <c r="P655" s="160"/>
      <c r="AE655" s="161"/>
    </row>
    <row r="656" spans="3:31" ht="15.75" customHeight="1">
      <c r="C656" s="160"/>
      <c r="D656" s="160"/>
      <c r="E656" s="160"/>
      <c r="F656" s="160"/>
      <c r="G656" s="160"/>
      <c r="H656" s="160"/>
      <c r="I656" s="160"/>
      <c r="J656" s="160"/>
      <c r="K656" s="160"/>
      <c r="L656" s="160"/>
      <c r="M656" s="160"/>
      <c r="N656" s="160"/>
      <c r="O656" s="160"/>
      <c r="P656" s="160"/>
      <c r="AE656" s="161"/>
    </row>
    <row r="657" spans="3:31" ht="15.75" customHeight="1">
      <c r="C657" s="160"/>
      <c r="D657" s="160"/>
      <c r="E657" s="160"/>
      <c r="F657" s="160"/>
      <c r="G657" s="160"/>
      <c r="H657" s="160"/>
      <c r="I657" s="160"/>
      <c r="J657" s="160"/>
      <c r="K657" s="160"/>
      <c r="L657" s="160"/>
      <c r="M657" s="160"/>
      <c r="N657" s="160"/>
      <c r="O657" s="160"/>
      <c r="P657" s="160"/>
      <c r="AE657" s="161"/>
    </row>
    <row r="658" spans="3:31" ht="15.75" customHeight="1">
      <c r="C658" s="160"/>
      <c r="D658" s="160"/>
      <c r="E658" s="160"/>
      <c r="F658" s="160"/>
      <c r="G658" s="160"/>
      <c r="H658" s="160"/>
      <c r="I658" s="160"/>
      <c r="J658" s="160"/>
      <c r="K658" s="160"/>
      <c r="L658" s="160"/>
      <c r="M658" s="160"/>
      <c r="N658" s="160"/>
      <c r="O658" s="160"/>
      <c r="P658" s="160"/>
      <c r="AE658" s="161"/>
    </row>
    <row r="659" spans="3:31" ht="15.75" customHeight="1">
      <c r="C659" s="160"/>
      <c r="D659" s="160"/>
      <c r="E659" s="160"/>
      <c r="F659" s="160"/>
      <c r="G659" s="160"/>
      <c r="H659" s="160"/>
      <c r="I659" s="160"/>
      <c r="J659" s="160"/>
      <c r="K659" s="160"/>
      <c r="L659" s="160"/>
      <c r="M659" s="160"/>
      <c r="N659" s="160"/>
      <c r="O659" s="160"/>
      <c r="P659" s="160"/>
      <c r="AE659" s="161"/>
    </row>
    <row r="660" spans="3:31" ht="15.75" customHeight="1">
      <c r="C660" s="160"/>
      <c r="D660" s="160"/>
      <c r="E660" s="160"/>
      <c r="F660" s="160"/>
      <c r="G660" s="160"/>
      <c r="H660" s="160"/>
      <c r="I660" s="160"/>
      <c r="J660" s="160"/>
      <c r="K660" s="160"/>
      <c r="L660" s="160"/>
      <c r="M660" s="160"/>
      <c r="N660" s="160"/>
      <c r="O660" s="160"/>
      <c r="P660" s="160"/>
      <c r="AE660" s="161"/>
    </row>
    <row r="661" spans="3:31" ht="15.75" customHeight="1">
      <c r="C661" s="160"/>
      <c r="D661" s="160"/>
      <c r="E661" s="160"/>
      <c r="F661" s="160"/>
      <c r="G661" s="160"/>
      <c r="H661" s="160"/>
      <c r="I661" s="160"/>
      <c r="J661" s="160"/>
      <c r="K661" s="160"/>
      <c r="L661" s="160"/>
      <c r="M661" s="160"/>
      <c r="N661" s="160"/>
      <c r="O661" s="160"/>
      <c r="P661" s="160"/>
      <c r="AE661" s="161"/>
    </row>
    <row r="662" spans="3:31" ht="15.75" customHeight="1">
      <c r="C662" s="160"/>
      <c r="D662" s="160"/>
      <c r="E662" s="160"/>
      <c r="F662" s="160"/>
      <c r="G662" s="160"/>
      <c r="H662" s="160"/>
      <c r="I662" s="160"/>
      <c r="J662" s="160"/>
      <c r="K662" s="160"/>
      <c r="L662" s="160"/>
      <c r="M662" s="160"/>
      <c r="N662" s="160"/>
      <c r="O662" s="160"/>
      <c r="P662" s="160"/>
      <c r="AE662" s="161"/>
    </row>
    <row r="663" spans="3:31" ht="15.75" customHeight="1">
      <c r="C663" s="160"/>
      <c r="D663" s="160"/>
      <c r="E663" s="160"/>
      <c r="F663" s="160"/>
      <c r="G663" s="160"/>
      <c r="H663" s="160"/>
      <c r="I663" s="160"/>
      <c r="J663" s="160"/>
      <c r="K663" s="160"/>
      <c r="L663" s="160"/>
      <c r="M663" s="160"/>
      <c r="N663" s="160"/>
      <c r="O663" s="160"/>
      <c r="P663" s="160"/>
      <c r="AE663" s="161"/>
    </row>
    <row r="664" spans="3:31" ht="15.75" customHeight="1">
      <c r="C664" s="160"/>
      <c r="D664" s="160"/>
      <c r="E664" s="160"/>
      <c r="F664" s="160"/>
      <c r="G664" s="160"/>
      <c r="H664" s="160"/>
      <c r="I664" s="160"/>
      <c r="J664" s="160"/>
      <c r="K664" s="160"/>
      <c r="L664" s="160"/>
      <c r="M664" s="160"/>
      <c r="N664" s="160"/>
      <c r="O664" s="160"/>
      <c r="P664" s="160"/>
      <c r="AE664" s="161"/>
    </row>
    <row r="665" spans="3:31" ht="15.75" customHeight="1">
      <c r="C665" s="160"/>
      <c r="D665" s="160"/>
      <c r="E665" s="160"/>
      <c r="F665" s="160"/>
      <c r="G665" s="160"/>
      <c r="H665" s="160"/>
      <c r="I665" s="160"/>
      <c r="J665" s="160"/>
      <c r="K665" s="160"/>
      <c r="L665" s="160"/>
      <c r="M665" s="160"/>
      <c r="N665" s="160"/>
      <c r="O665" s="160"/>
      <c r="P665" s="160"/>
      <c r="AE665" s="161"/>
    </row>
    <row r="666" spans="3:31" ht="15.75" customHeight="1">
      <c r="C666" s="160"/>
      <c r="D666" s="160"/>
      <c r="E666" s="160"/>
      <c r="F666" s="160"/>
      <c r="G666" s="160"/>
      <c r="H666" s="160"/>
      <c r="I666" s="160"/>
      <c r="J666" s="160"/>
      <c r="K666" s="160"/>
      <c r="L666" s="160"/>
      <c r="M666" s="160"/>
      <c r="N666" s="160"/>
      <c r="O666" s="160"/>
      <c r="P666" s="160"/>
      <c r="AE666" s="161"/>
    </row>
    <row r="667" spans="3:31" ht="15.75" customHeight="1">
      <c r="C667" s="160"/>
      <c r="D667" s="160"/>
      <c r="E667" s="160"/>
      <c r="F667" s="160"/>
      <c r="G667" s="160"/>
      <c r="H667" s="160"/>
      <c r="I667" s="160"/>
      <c r="J667" s="160"/>
      <c r="K667" s="160"/>
      <c r="L667" s="160"/>
      <c r="M667" s="160"/>
      <c r="N667" s="160"/>
      <c r="O667" s="160"/>
      <c r="P667" s="160"/>
      <c r="AE667" s="161"/>
    </row>
    <row r="668" spans="3:31" ht="15.75" customHeight="1">
      <c r="C668" s="160"/>
      <c r="D668" s="160"/>
      <c r="E668" s="160"/>
      <c r="F668" s="160"/>
      <c r="G668" s="160"/>
      <c r="H668" s="160"/>
      <c r="I668" s="160"/>
      <c r="J668" s="160"/>
      <c r="K668" s="160"/>
      <c r="L668" s="160"/>
      <c r="M668" s="160"/>
      <c r="N668" s="160"/>
      <c r="O668" s="160"/>
      <c r="P668" s="160"/>
      <c r="AE668" s="161"/>
    </row>
    <row r="669" spans="3:31" ht="15.75" customHeight="1">
      <c r="C669" s="160"/>
      <c r="D669" s="160"/>
      <c r="E669" s="160"/>
      <c r="F669" s="160"/>
      <c r="G669" s="160"/>
      <c r="H669" s="160"/>
      <c r="I669" s="160"/>
      <c r="J669" s="160"/>
      <c r="K669" s="160"/>
      <c r="L669" s="160"/>
      <c r="M669" s="160"/>
      <c r="N669" s="160"/>
      <c r="O669" s="160"/>
      <c r="P669" s="160"/>
      <c r="AE669" s="161"/>
    </row>
    <row r="670" spans="3:31" ht="15.75" customHeight="1">
      <c r="C670" s="160"/>
      <c r="D670" s="160"/>
      <c r="E670" s="160"/>
      <c r="F670" s="160"/>
      <c r="G670" s="160"/>
      <c r="H670" s="160"/>
      <c r="I670" s="160"/>
      <c r="J670" s="160"/>
      <c r="K670" s="160"/>
      <c r="L670" s="160"/>
      <c r="M670" s="160"/>
      <c r="N670" s="160"/>
      <c r="O670" s="160"/>
      <c r="P670" s="160"/>
      <c r="AE670" s="161"/>
    </row>
    <row r="671" spans="3:31" ht="15.75" customHeight="1">
      <c r="C671" s="160"/>
      <c r="D671" s="160"/>
      <c r="E671" s="160"/>
      <c r="F671" s="160"/>
      <c r="G671" s="160"/>
      <c r="H671" s="160"/>
      <c r="I671" s="160"/>
      <c r="J671" s="160"/>
      <c r="K671" s="160"/>
      <c r="L671" s="160"/>
      <c r="M671" s="160"/>
      <c r="N671" s="160"/>
      <c r="O671" s="160"/>
      <c r="P671" s="160"/>
      <c r="AE671" s="161"/>
    </row>
    <row r="672" spans="3:31" ht="15.75" customHeight="1">
      <c r="C672" s="160"/>
      <c r="D672" s="160"/>
      <c r="E672" s="160"/>
      <c r="F672" s="160"/>
      <c r="G672" s="160"/>
      <c r="H672" s="160"/>
      <c r="I672" s="160"/>
      <c r="J672" s="160"/>
      <c r="K672" s="160"/>
      <c r="L672" s="160"/>
      <c r="M672" s="160"/>
      <c r="N672" s="160"/>
      <c r="O672" s="160"/>
      <c r="P672" s="160"/>
      <c r="AE672" s="161"/>
    </row>
    <row r="673" spans="3:31" ht="15.75" customHeight="1">
      <c r="C673" s="160"/>
      <c r="D673" s="160"/>
      <c r="E673" s="160"/>
      <c r="F673" s="160"/>
      <c r="G673" s="160"/>
      <c r="H673" s="160"/>
      <c r="I673" s="160"/>
      <c r="J673" s="160"/>
      <c r="K673" s="160"/>
      <c r="L673" s="160"/>
      <c r="M673" s="160"/>
      <c r="N673" s="160"/>
      <c r="O673" s="160"/>
      <c r="P673" s="160"/>
      <c r="AE673" s="161"/>
    </row>
    <row r="674" spans="3:31" ht="15.75" customHeight="1">
      <c r="C674" s="160"/>
      <c r="D674" s="160"/>
      <c r="E674" s="160"/>
      <c r="F674" s="160"/>
      <c r="G674" s="160"/>
      <c r="H674" s="160"/>
      <c r="I674" s="160"/>
      <c r="J674" s="160"/>
      <c r="K674" s="160"/>
      <c r="L674" s="160"/>
      <c r="M674" s="160"/>
      <c r="N674" s="160"/>
      <c r="O674" s="160"/>
      <c r="P674" s="160"/>
      <c r="AE674" s="161"/>
    </row>
    <row r="675" spans="3:31" ht="15.75" customHeight="1">
      <c r="C675" s="160"/>
      <c r="D675" s="160"/>
      <c r="E675" s="160"/>
      <c r="F675" s="160"/>
      <c r="G675" s="160"/>
      <c r="H675" s="160"/>
      <c r="I675" s="160"/>
      <c r="J675" s="160"/>
      <c r="K675" s="160"/>
      <c r="L675" s="160"/>
      <c r="M675" s="160"/>
      <c r="N675" s="160"/>
      <c r="O675" s="160"/>
      <c r="P675" s="160"/>
      <c r="AE675" s="161"/>
    </row>
    <row r="676" spans="3:31" ht="15.75" customHeight="1">
      <c r="C676" s="160"/>
      <c r="D676" s="160"/>
      <c r="E676" s="160"/>
      <c r="F676" s="160"/>
      <c r="G676" s="160"/>
      <c r="H676" s="160"/>
      <c r="I676" s="160"/>
      <c r="J676" s="160"/>
      <c r="K676" s="160"/>
      <c r="L676" s="160"/>
      <c r="M676" s="160"/>
      <c r="N676" s="160"/>
      <c r="O676" s="160"/>
      <c r="P676" s="160"/>
      <c r="AE676" s="161"/>
    </row>
    <row r="677" spans="3:31" ht="15.75" customHeight="1">
      <c r="C677" s="160"/>
      <c r="D677" s="160"/>
      <c r="E677" s="160"/>
      <c r="F677" s="160"/>
      <c r="G677" s="160"/>
      <c r="H677" s="160"/>
      <c r="I677" s="160"/>
      <c r="J677" s="160"/>
      <c r="K677" s="160"/>
      <c r="L677" s="160"/>
      <c r="M677" s="160"/>
      <c r="N677" s="160"/>
      <c r="O677" s="160"/>
      <c r="P677" s="160"/>
      <c r="AE677" s="161"/>
    </row>
    <row r="678" spans="3:31" ht="15.75" customHeight="1">
      <c r="C678" s="160"/>
      <c r="D678" s="160"/>
      <c r="E678" s="160"/>
      <c r="F678" s="160"/>
      <c r="G678" s="160"/>
      <c r="H678" s="160"/>
      <c r="I678" s="160"/>
      <c r="J678" s="160"/>
      <c r="K678" s="160"/>
      <c r="L678" s="160"/>
      <c r="M678" s="160"/>
      <c r="N678" s="160"/>
      <c r="O678" s="160"/>
      <c r="P678" s="160"/>
      <c r="AE678" s="161"/>
    </row>
    <row r="679" spans="3:31" ht="15.75" customHeight="1">
      <c r="C679" s="160"/>
      <c r="D679" s="160"/>
      <c r="E679" s="160"/>
      <c r="F679" s="160"/>
      <c r="G679" s="160"/>
      <c r="H679" s="160"/>
      <c r="I679" s="160"/>
      <c r="J679" s="160"/>
      <c r="K679" s="160"/>
      <c r="L679" s="160"/>
      <c r="M679" s="160"/>
      <c r="N679" s="160"/>
      <c r="O679" s="160"/>
      <c r="P679" s="160"/>
      <c r="AE679" s="161"/>
    </row>
    <row r="680" spans="3:31" ht="15.75" customHeight="1">
      <c r="C680" s="160"/>
      <c r="D680" s="160"/>
      <c r="E680" s="160"/>
      <c r="F680" s="160"/>
      <c r="G680" s="160"/>
      <c r="H680" s="160"/>
      <c r="I680" s="160"/>
      <c r="J680" s="160"/>
      <c r="K680" s="160"/>
      <c r="L680" s="160"/>
      <c r="M680" s="160"/>
      <c r="N680" s="160"/>
      <c r="O680" s="160"/>
      <c r="P680" s="160"/>
      <c r="AE680" s="161"/>
    </row>
    <row r="681" spans="3:31" ht="15.75" customHeight="1">
      <c r="C681" s="160"/>
      <c r="D681" s="160"/>
      <c r="E681" s="160"/>
      <c r="F681" s="160"/>
      <c r="G681" s="160"/>
      <c r="H681" s="160"/>
      <c r="I681" s="160"/>
      <c r="J681" s="160"/>
      <c r="K681" s="160"/>
      <c r="L681" s="160"/>
      <c r="M681" s="160"/>
      <c r="N681" s="160"/>
      <c r="O681" s="160"/>
      <c r="P681" s="160"/>
      <c r="AE681" s="161"/>
    </row>
    <row r="682" spans="3:31" ht="15.75" customHeight="1">
      <c r="C682" s="160"/>
      <c r="D682" s="160"/>
      <c r="E682" s="160"/>
      <c r="F682" s="160"/>
      <c r="G682" s="160"/>
      <c r="H682" s="160"/>
      <c r="I682" s="160"/>
      <c r="J682" s="160"/>
      <c r="K682" s="160"/>
      <c r="L682" s="160"/>
      <c r="M682" s="160"/>
      <c r="N682" s="160"/>
      <c r="O682" s="160"/>
      <c r="P682" s="160"/>
      <c r="AE682" s="161"/>
    </row>
    <row r="683" spans="3:31" ht="15.75" customHeight="1">
      <c r="C683" s="160"/>
      <c r="D683" s="160"/>
      <c r="E683" s="160"/>
      <c r="F683" s="160"/>
      <c r="G683" s="160"/>
      <c r="H683" s="160"/>
      <c r="I683" s="160"/>
      <c r="J683" s="160"/>
      <c r="K683" s="160"/>
      <c r="L683" s="160"/>
      <c r="M683" s="160"/>
      <c r="N683" s="160"/>
      <c r="O683" s="160"/>
      <c r="P683" s="160"/>
      <c r="AE683" s="161"/>
    </row>
    <row r="684" spans="3:31" ht="15.75" customHeight="1">
      <c r="C684" s="160"/>
      <c r="D684" s="160"/>
      <c r="E684" s="160"/>
      <c r="F684" s="160"/>
      <c r="G684" s="160"/>
      <c r="H684" s="160"/>
      <c r="I684" s="160"/>
      <c r="J684" s="160"/>
      <c r="K684" s="160"/>
      <c r="L684" s="160"/>
      <c r="M684" s="160"/>
      <c r="N684" s="160"/>
      <c r="O684" s="160"/>
      <c r="P684" s="160"/>
      <c r="AE684" s="161"/>
    </row>
    <row r="685" spans="3:31" ht="15.75" customHeight="1">
      <c r="C685" s="160"/>
      <c r="D685" s="160"/>
      <c r="E685" s="160"/>
      <c r="F685" s="160"/>
      <c r="G685" s="160"/>
      <c r="H685" s="160"/>
      <c r="I685" s="160"/>
      <c r="J685" s="160"/>
      <c r="K685" s="160"/>
      <c r="L685" s="160"/>
      <c r="M685" s="160"/>
      <c r="N685" s="160"/>
      <c r="O685" s="160"/>
      <c r="P685" s="160"/>
      <c r="AE685" s="161"/>
    </row>
    <row r="686" spans="3:31" ht="15.75" customHeight="1">
      <c r="C686" s="160"/>
      <c r="D686" s="160"/>
      <c r="E686" s="160"/>
      <c r="F686" s="160"/>
      <c r="G686" s="160"/>
      <c r="H686" s="160"/>
      <c r="I686" s="160"/>
      <c r="J686" s="160"/>
      <c r="K686" s="160"/>
      <c r="L686" s="160"/>
      <c r="M686" s="160"/>
      <c r="N686" s="160"/>
      <c r="O686" s="160"/>
      <c r="P686" s="160"/>
      <c r="AE686" s="161"/>
    </row>
    <row r="687" spans="3:31" ht="15.75" customHeight="1">
      <c r="C687" s="160"/>
      <c r="D687" s="160"/>
      <c r="E687" s="160"/>
      <c r="F687" s="160"/>
      <c r="G687" s="160"/>
      <c r="H687" s="160"/>
      <c r="I687" s="160"/>
      <c r="J687" s="160"/>
      <c r="K687" s="160"/>
      <c r="L687" s="160"/>
      <c r="M687" s="160"/>
      <c r="N687" s="160"/>
      <c r="O687" s="160"/>
      <c r="P687" s="160"/>
      <c r="AE687" s="161"/>
    </row>
    <row r="688" spans="3:31" ht="15.75" customHeight="1">
      <c r="C688" s="160"/>
      <c r="D688" s="160"/>
      <c r="E688" s="160"/>
      <c r="F688" s="160"/>
      <c r="G688" s="160"/>
      <c r="H688" s="160"/>
      <c r="I688" s="160"/>
      <c r="J688" s="160"/>
      <c r="K688" s="160"/>
      <c r="L688" s="160"/>
      <c r="M688" s="160"/>
      <c r="N688" s="160"/>
      <c r="O688" s="160"/>
      <c r="P688" s="160"/>
      <c r="AE688" s="161"/>
    </row>
    <row r="689" spans="3:31" ht="15.75" customHeight="1">
      <c r="C689" s="160"/>
      <c r="D689" s="160"/>
      <c r="E689" s="160"/>
      <c r="F689" s="160"/>
      <c r="G689" s="160"/>
      <c r="H689" s="160"/>
      <c r="I689" s="160"/>
      <c r="J689" s="160"/>
      <c r="K689" s="160"/>
      <c r="L689" s="160"/>
      <c r="M689" s="160"/>
      <c r="N689" s="160"/>
      <c r="O689" s="160"/>
      <c r="P689" s="160"/>
      <c r="AE689" s="161"/>
    </row>
    <row r="690" spans="3:31" ht="15.75" customHeight="1">
      <c r="C690" s="160"/>
      <c r="D690" s="160"/>
      <c r="E690" s="160"/>
      <c r="F690" s="160"/>
      <c r="G690" s="160"/>
      <c r="H690" s="160"/>
      <c r="I690" s="160"/>
      <c r="J690" s="160"/>
      <c r="K690" s="160"/>
      <c r="L690" s="160"/>
      <c r="M690" s="160"/>
      <c r="N690" s="160"/>
      <c r="O690" s="160"/>
      <c r="P690" s="160"/>
      <c r="AE690" s="161"/>
    </row>
    <row r="691" spans="3:31" ht="15.75" customHeight="1">
      <c r="C691" s="160"/>
      <c r="D691" s="160"/>
      <c r="E691" s="160"/>
      <c r="F691" s="160"/>
      <c r="G691" s="160"/>
      <c r="H691" s="160"/>
      <c r="I691" s="160"/>
      <c r="J691" s="160"/>
      <c r="K691" s="160"/>
      <c r="L691" s="160"/>
      <c r="M691" s="160"/>
      <c r="N691" s="160"/>
      <c r="O691" s="160"/>
      <c r="P691" s="160"/>
      <c r="AE691" s="161"/>
    </row>
    <row r="692" spans="3:31" ht="15.75" customHeight="1">
      <c r="C692" s="160"/>
      <c r="D692" s="160"/>
      <c r="E692" s="160"/>
      <c r="F692" s="160"/>
      <c r="G692" s="160"/>
      <c r="H692" s="160"/>
      <c r="I692" s="160"/>
      <c r="J692" s="160"/>
      <c r="K692" s="160"/>
      <c r="L692" s="160"/>
      <c r="M692" s="160"/>
      <c r="N692" s="160"/>
      <c r="O692" s="160"/>
      <c r="P692" s="160"/>
      <c r="AE692" s="161"/>
    </row>
    <row r="693" spans="3:31" ht="15.75" customHeight="1">
      <c r="C693" s="160"/>
      <c r="D693" s="160"/>
      <c r="E693" s="160"/>
      <c r="F693" s="160"/>
      <c r="G693" s="160"/>
      <c r="H693" s="160"/>
      <c r="I693" s="160"/>
      <c r="J693" s="160"/>
      <c r="K693" s="160"/>
      <c r="L693" s="160"/>
      <c r="M693" s="160"/>
      <c r="N693" s="160"/>
      <c r="O693" s="160"/>
      <c r="P693" s="160"/>
      <c r="AE693" s="161"/>
    </row>
    <row r="694" spans="3:31" ht="15.75" customHeight="1">
      <c r="C694" s="160"/>
      <c r="D694" s="160"/>
      <c r="E694" s="160"/>
      <c r="F694" s="160"/>
      <c r="G694" s="160"/>
      <c r="H694" s="160"/>
      <c r="I694" s="160"/>
      <c r="J694" s="160"/>
      <c r="K694" s="160"/>
      <c r="L694" s="160"/>
      <c r="M694" s="160"/>
      <c r="N694" s="160"/>
      <c r="O694" s="160"/>
      <c r="P694" s="160"/>
      <c r="AE694" s="161"/>
    </row>
    <row r="695" spans="3:31" ht="15.75" customHeight="1">
      <c r="C695" s="160"/>
      <c r="D695" s="160"/>
      <c r="E695" s="160"/>
      <c r="F695" s="160"/>
      <c r="G695" s="160"/>
      <c r="H695" s="160"/>
      <c r="I695" s="160"/>
      <c r="J695" s="160"/>
      <c r="K695" s="160"/>
      <c r="L695" s="160"/>
      <c r="M695" s="160"/>
      <c r="N695" s="160"/>
      <c r="O695" s="160"/>
      <c r="P695" s="160"/>
      <c r="AE695" s="161"/>
    </row>
    <row r="696" spans="3:31" ht="15.75" customHeight="1">
      <c r="C696" s="160"/>
      <c r="D696" s="160"/>
      <c r="E696" s="160"/>
      <c r="F696" s="160"/>
      <c r="G696" s="160"/>
      <c r="H696" s="160"/>
      <c r="I696" s="160"/>
      <c r="J696" s="160"/>
      <c r="K696" s="160"/>
      <c r="L696" s="160"/>
      <c r="M696" s="160"/>
      <c r="N696" s="160"/>
      <c r="O696" s="160"/>
      <c r="P696" s="160"/>
      <c r="AE696" s="161"/>
    </row>
    <row r="697" spans="3:31" ht="15.75" customHeight="1">
      <c r="C697" s="160"/>
      <c r="D697" s="160"/>
      <c r="E697" s="160"/>
      <c r="F697" s="160"/>
      <c r="G697" s="160"/>
      <c r="H697" s="160"/>
      <c r="I697" s="160"/>
      <c r="J697" s="160"/>
      <c r="K697" s="160"/>
      <c r="L697" s="160"/>
      <c r="M697" s="160"/>
      <c r="N697" s="160"/>
      <c r="O697" s="160"/>
      <c r="P697" s="160"/>
      <c r="AE697" s="161"/>
    </row>
    <row r="698" spans="3:31" ht="15.75" customHeight="1">
      <c r="C698" s="160"/>
      <c r="D698" s="160"/>
      <c r="E698" s="160"/>
      <c r="F698" s="160"/>
      <c r="G698" s="160"/>
      <c r="H698" s="160"/>
      <c r="I698" s="160"/>
      <c r="J698" s="160"/>
      <c r="K698" s="160"/>
      <c r="L698" s="160"/>
      <c r="M698" s="160"/>
      <c r="N698" s="160"/>
      <c r="O698" s="160"/>
      <c r="P698" s="160"/>
      <c r="AE698" s="161"/>
    </row>
    <row r="699" spans="3:31" ht="15.75" customHeight="1">
      <c r="C699" s="160"/>
      <c r="D699" s="160"/>
      <c r="E699" s="160"/>
      <c r="F699" s="160"/>
      <c r="G699" s="160"/>
      <c r="H699" s="160"/>
      <c r="I699" s="160"/>
      <c r="J699" s="160"/>
      <c r="K699" s="160"/>
      <c r="L699" s="160"/>
      <c r="M699" s="160"/>
      <c r="N699" s="160"/>
      <c r="O699" s="160"/>
      <c r="P699" s="160"/>
      <c r="AE699" s="161"/>
    </row>
    <row r="700" spans="3:31" ht="15.75" customHeight="1">
      <c r="C700" s="160"/>
      <c r="D700" s="160"/>
      <c r="E700" s="160"/>
      <c r="F700" s="160"/>
      <c r="G700" s="160"/>
      <c r="H700" s="160"/>
      <c r="I700" s="160"/>
      <c r="J700" s="160"/>
      <c r="K700" s="160"/>
      <c r="L700" s="160"/>
      <c r="M700" s="160"/>
      <c r="N700" s="160"/>
      <c r="O700" s="160"/>
      <c r="P700" s="160"/>
      <c r="AE700" s="161"/>
    </row>
    <row r="701" spans="3:31" ht="15.75" customHeight="1">
      <c r="C701" s="160"/>
      <c r="D701" s="160"/>
      <c r="E701" s="160"/>
      <c r="F701" s="160"/>
      <c r="G701" s="160"/>
      <c r="H701" s="160"/>
      <c r="I701" s="160"/>
      <c r="J701" s="160"/>
      <c r="K701" s="160"/>
      <c r="L701" s="160"/>
      <c r="M701" s="160"/>
      <c r="N701" s="160"/>
      <c r="O701" s="160"/>
      <c r="P701" s="160"/>
      <c r="AE701" s="161"/>
    </row>
    <row r="702" spans="3:31" ht="15.75" customHeight="1">
      <c r="C702" s="160"/>
      <c r="D702" s="160"/>
      <c r="E702" s="160"/>
      <c r="F702" s="160"/>
      <c r="G702" s="160"/>
      <c r="H702" s="160"/>
      <c r="I702" s="160"/>
      <c r="J702" s="160"/>
      <c r="K702" s="160"/>
      <c r="L702" s="160"/>
      <c r="M702" s="160"/>
      <c r="N702" s="160"/>
      <c r="O702" s="160"/>
      <c r="P702" s="160"/>
      <c r="AE702" s="161"/>
    </row>
    <row r="703" spans="3:31" ht="15.75" customHeight="1">
      <c r="C703" s="160"/>
      <c r="D703" s="160"/>
      <c r="E703" s="160"/>
      <c r="F703" s="160"/>
      <c r="G703" s="160"/>
      <c r="H703" s="160"/>
      <c r="I703" s="160"/>
      <c r="J703" s="160"/>
      <c r="K703" s="160"/>
      <c r="L703" s="160"/>
      <c r="M703" s="160"/>
      <c r="N703" s="160"/>
      <c r="O703" s="160"/>
      <c r="P703" s="160"/>
      <c r="AE703" s="161"/>
    </row>
    <row r="704" spans="3:31" ht="15.75" customHeight="1">
      <c r="C704" s="160"/>
      <c r="D704" s="160"/>
      <c r="E704" s="160"/>
      <c r="F704" s="160"/>
      <c r="G704" s="160"/>
      <c r="H704" s="160"/>
      <c r="I704" s="160"/>
      <c r="J704" s="160"/>
      <c r="K704" s="160"/>
      <c r="L704" s="160"/>
      <c r="M704" s="160"/>
      <c r="N704" s="160"/>
      <c r="O704" s="160"/>
      <c r="P704" s="160"/>
      <c r="AE704" s="161"/>
    </row>
    <row r="705" spans="3:31" ht="15.75" customHeight="1">
      <c r="C705" s="160"/>
      <c r="D705" s="160"/>
      <c r="E705" s="160"/>
      <c r="F705" s="160"/>
      <c r="G705" s="160"/>
      <c r="H705" s="160"/>
      <c r="I705" s="160"/>
      <c r="J705" s="160"/>
      <c r="K705" s="160"/>
      <c r="L705" s="160"/>
      <c r="M705" s="160"/>
      <c r="N705" s="160"/>
      <c r="O705" s="160"/>
      <c r="P705" s="160"/>
      <c r="AE705" s="161"/>
    </row>
    <row r="706" spans="3:31" ht="15.75" customHeight="1">
      <c r="C706" s="160"/>
      <c r="D706" s="160"/>
      <c r="E706" s="160"/>
      <c r="F706" s="160"/>
      <c r="G706" s="160"/>
      <c r="H706" s="160"/>
      <c r="I706" s="160"/>
      <c r="J706" s="160"/>
      <c r="K706" s="160"/>
      <c r="L706" s="160"/>
      <c r="M706" s="160"/>
      <c r="N706" s="160"/>
      <c r="O706" s="160"/>
      <c r="P706" s="160"/>
      <c r="AE706" s="161"/>
    </row>
    <row r="707" spans="3:31" ht="15.75" customHeight="1">
      <c r="C707" s="160"/>
      <c r="D707" s="160"/>
      <c r="E707" s="160"/>
      <c r="F707" s="160"/>
      <c r="G707" s="160"/>
      <c r="H707" s="160"/>
      <c r="I707" s="160"/>
      <c r="J707" s="160"/>
      <c r="K707" s="160"/>
      <c r="L707" s="160"/>
      <c r="M707" s="160"/>
      <c r="N707" s="160"/>
      <c r="O707" s="160"/>
      <c r="P707" s="160"/>
      <c r="AE707" s="161"/>
    </row>
    <row r="708" spans="3:31" ht="15.75" customHeight="1">
      <c r="C708" s="160"/>
      <c r="D708" s="160"/>
      <c r="E708" s="160"/>
      <c r="F708" s="160"/>
      <c r="G708" s="160"/>
      <c r="H708" s="160"/>
      <c r="I708" s="160"/>
      <c r="J708" s="160"/>
      <c r="K708" s="160"/>
      <c r="L708" s="160"/>
      <c r="M708" s="160"/>
      <c r="N708" s="160"/>
      <c r="O708" s="160"/>
      <c r="P708" s="160"/>
      <c r="AE708" s="161"/>
    </row>
    <row r="709" spans="3:31" ht="15.75" customHeight="1">
      <c r="C709" s="160"/>
      <c r="D709" s="160"/>
      <c r="E709" s="160"/>
      <c r="F709" s="160"/>
      <c r="G709" s="160"/>
      <c r="H709" s="160"/>
      <c r="I709" s="160"/>
      <c r="J709" s="160"/>
      <c r="K709" s="160"/>
      <c r="L709" s="160"/>
      <c r="M709" s="160"/>
      <c r="N709" s="160"/>
      <c r="O709" s="160"/>
      <c r="P709" s="160"/>
      <c r="AE709" s="161"/>
    </row>
    <row r="710" spans="3:31" ht="15.75" customHeight="1">
      <c r="C710" s="160"/>
      <c r="D710" s="160"/>
      <c r="E710" s="160"/>
      <c r="F710" s="160"/>
      <c r="G710" s="160"/>
      <c r="H710" s="160"/>
      <c r="I710" s="160"/>
      <c r="J710" s="160"/>
      <c r="K710" s="160"/>
      <c r="L710" s="160"/>
      <c r="M710" s="160"/>
      <c r="N710" s="160"/>
      <c r="O710" s="160"/>
      <c r="P710" s="160"/>
      <c r="AE710" s="161"/>
    </row>
    <row r="711" spans="3:31" ht="15.75" customHeight="1">
      <c r="C711" s="160"/>
      <c r="D711" s="160"/>
      <c r="E711" s="160"/>
      <c r="F711" s="160"/>
      <c r="G711" s="160"/>
      <c r="H711" s="160"/>
      <c r="I711" s="160"/>
      <c r="J711" s="160"/>
      <c r="K711" s="160"/>
      <c r="L711" s="160"/>
      <c r="M711" s="160"/>
      <c r="N711" s="160"/>
      <c r="O711" s="160"/>
      <c r="P711" s="160"/>
      <c r="AE711" s="161"/>
    </row>
    <row r="712" spans="3:31" ht="15.75" customHeight="1">
      <c r="C712" s="160"/>
      <c r="D712" s="160"/>
      <c r="E712" s="160"/>
      <c r="F712" s="160"/>
      <c r="G712" s="160"/>
      <c r="H712" s="160"/>
      <c r="I712" s="160"/>
      <c r="J712" s="160"/>
      <c r="K712" s="160"/>
      <c r="L712" s="160"/>
      <c r="M712" s="160"/>
      <c r="N712" s="160"/>
      <c r="O712" s="160"/>
      <c r="P712" s="160"/>
      <c r="AE712" s="161"/>
    </row>
    <row r="713" spans="3:31" ht="15.75" customHeight="1">
      <c r="C713" s="160"/>
      <c r="D713" s="160"/>
      <c r="E713" s="160"/>
      <c r="F713" s="160"/>
      <c r="G713" s="160"/>
      <c r="H713" s="160"/>
      <c r="I713" s="160"/>
      <c r="J713" s="160"/>
      <c r="K713" s="160"/>
      <c r="L713" s="160"/>
      <c r="M713" s="160"/>
      <c r="N713" s="160"/>
      <c r="O713" s="160"/>
      <c r="P713" s="160"/>
      <c r="AE713" s="161"/>
    </row>
    <row r="714" spans="3:31" ht="15.75" customHeight="1">
      <c r="C714" s="160"/>
      <c r="D714" s="160"/>
      <c r="E714" s="160"/>
      <c r="F714" s="160"/>
      <c r="G714" s="160"/>
      <c r="H714" s="160"/>
      <c r="I714" s="160"/>
      <c r="J714" s="160"/>
      <c r="K714" s="160"/>
      <c r="L714" s="160"/>
      <c r="M714" s="160"/>
      <c r="N714" s="160"/>
      <c r="O714" s="160"/>
      <c r="P714" s="160"/>
      <c r="AE714" s="161"/>
    </row>
    <row r="715" spans="3:31" ht="15.75" customHeight="1">
      <c r="C715" s="160"/>
      <c r="D715" s="160"/>
      <c r="E715" s="160"/>
      <c r="F715" s="160"/>
      <c r="G715" s="160"/>
      <c r="H715" s="160"/>
      <c r="I715" s="160"/>
      <c r="J715" s="160"/>
      <c r="K715" s="160"/>
      <c r="L715" s="160"/>
      <c r="M715" s="160"/>
      <c r="N715" s="160"/>
      <c r="O715" s="160"/>
      <c r="P715" s="160"/>
      <c r="AE715" s="161"/>
    </row>
    <row r="716" spans="3:31" ht="15.75" customHeight="1">
      <c r="C716" s="160"/>
      <c r="D716" s="160"/>
      <c r="E716" s="160"/>
      <c r="F716" s="160"/>
      <c r="G716" s="160"/>
      <c r="H716" s="160"/>
      <c r="I716" s="160"/>
      <c r="J716" s="160"/>
      <c r="K716" s="160"/>
      <c r="L716" s="160"/>
      <c r="M716" s="160"/>
      <c r="N716" s="160"/>
      <c r="O716" s="160"/>
      <c r="P716" s="160"/>
      <c r="AE716" s="161"/>
    </row>
    <row r="717" spans="3:31" ht="15.75" customHeight="1">
      <c r="C717" s="160"/>
      <c r="D717" s="160"/>
      <c r="E717" s="160"/>
      <c r="F717" s="160"/>
      <c r="G717" s="160"/>
      <c r="H717" s="160"/>
      <c r="I717" s="160"/>
      <c r="J717" s="160"/>
      <c r="K717" s="160"/>
      <c r="L717" s="160"/>
      <c r="M717" s="160"/>
      <c r="N717" s="160"/>
      <c r="O717" s="160"/>
      <c r="P717" s="160"/>
      <c r="AE717" s="161"/>
    </row>
    <row r="718" spans="3:31" ht="15.75" customHeight="1">
      <c r="C718" s="160"/>
      <c r="D718" s="160"/>
      <c r="E718" s="160"/>
      <c r="F718" s="160"/>
      <c r="G718" s="160"/>
      <c r="H718" s="160"/>
      <c r="I718" s="160"/>
      <c r="J718" s="160"/>
      <c r="K718" s="160"/>
      <c r="L718" s="160"/>
      <c r="M718" s="160"/>
      <c r="N718" s="160"/>
      <c r="O718" s="160"/>
      <c r="P718" s="160"/>
      <c r="AE718" s="161"/>
    </row>
    <row r="719" spans="3:31" ht="15.75" customHeight="1">
      <c r="C719" s="160"/>
      <c r="D719" s="160"/>
      <c r="E719" s="160"/>
      <c r="F719" s="160"/>
      <c r="G719" s="160"/>
      <c r="H719" s="160"/>
      <c r="I719" s="160"/>
      <c r="J719" s="160"/>
      <c r="K719" s="160"/>
      <c r="L719" s="160"/>
      <c r="M719" s="160"/>
      <c r="N719" s="160"/>
      <c r="O719" s="160"/>
      <c r="P719" s="160"/>
      <c r="AE719" s="161"/>
    </row>
    <row r="720" spans="3:31" ht="15.75" customHeight="1">
      <c r="C720" s="160"/>
      <c r="D720" s="160"/>
      <c r="E720" s="160"/>
      <c r="F720" s="160"/>
      <c r="G720" s="160"/>
      <c r="H720" s="160"/>
      <c r="I720" s="160"/>
      <c r="J720" s="160"/>
      <c r="K720" s="160"/>
      <c r="L720" s="160"/>
      <c r="M720" s="160"/>
      <c r="N720" s="160"/>
      <c r="O720" s="160"/>
      <c r="P720" s="160"/>
      <c r="AE720" s="161"/>
    </row>
    <row r="721" spans="3:31" ht="15.75" customHeight="1">
      <c r="C721" s="160"/>
      <c r="D721" s="160"/>
      <c r="E721" s="160"/>
      <c r="F721" s="160"/>
      <c r="G721" s="160"/>
      <c r="H721" s="160"/>
      <c r="I721" s="160"/>
      <c r="J721" s="160"/>
      <c r="K721" s="160"/>
      <c r="L721" s="160"/>
      <c r="M721" s="160"/>
      <c r="N721" s="160"/>
      <c r="O721" s="160"/>
      <c r="P721" s="160"/>
      <c r="AE721" s="161"/>
    </row>
    <row r="722" spans="3:31" ht="15.75" customHeight="1">
      <c r="C722" s="160"/>
      <c r="D722" s="160"/>
      <c r="E722" s="160"/>
      <c r="F722" s="160"/>
      <c r="G722" s="160"/>
      <c r="H722" s="160"/>
      <c r="I722" s="160"/>
      <c r="J722" s="160"/>
      <c r="K722" s="160"/>
      <c r="L722" s="160"/>
      <c r="M722" s="160"/>
      <c r="N722" s="160"/>
      <c r="O722" s="160"/>
      <c r="P722" s="160"/>
      <c r="AE722" s="161"/>
    </row>
    <row r="723" spans="3:31" ht="15.75" customHeight="1">
      <c r="C723" s="160"/>
      <c r="D723" s="160"/>
      <c r="E723" s="160"/>
      <c r="F723" s="160"/>
      <c r="G723" s="160"/>
      <c r="H723" s="160"/>
      <c r="I723" s="160"/>
      <c r="J723" s="160"/>
      <c r="K723" s="160"/>
      <c r="L723" s="160"/>
      <c r="M723" s="160"/>
      <c r="N723" s="160"/>
      <c r="O723" s="160"/>
      <c r="P723" s="160"/>
      <c r="AE723" s="161"/>
    </row>
    <row r="724" spans="3:31" ht="15.75" customHeight="1">
      <c r="C724" s="160"/>
      <c r="D724" s="160"/>
      <c r="E724" s="160"/>
      <c r="F724" s="160"/>
      <c r="G724" s="160"/>
      <c r="H724" s="160"/>
      <c r="I724" s="160"/>
      <c r="J724" s="160"/>
      <c r="K724" s="160"/>
      <c r="L724" s="160"/>
      <c r="M724" s="160"/>
      <c r="N724" s="160"/>
      <c r="O724" s="160"/>
      <c r="P724" s="160"/>
      <c r="AE724" s="161"/>
    </row>
    <row r="725" spans="3:31" ht="15.75" customHeight="1">
      <c r="C725" s="160"/>
      <c r="D725" s="160"/>
      <c r="E725" s="160"/>
      <c r="F725" s="160"/>
      <c r="G725" s="160"/>
      <c r="H725" s="160"/>
      <c r="I725" s="160"/>
      <c r="J725" s="160"/>
      <c r="K725" s="160"/>
      <c r="L725" s="160"/>
      <c r="M725" s="160"/>
      <c r="N725" s="160"/>
      <c r="O725" s="160"/>
      <c r="P725" s="160"/>
      <c r="AE725" s="161"/>
    </row>
    <row r="726" spans="3:31" ht="15.75" customHeight="1">
      <c r="C726" s="160"/>
      <c r="D726" s="160"/>
      <c r="E726" s="160"/>
      <c r="F726" s="160"/>
      <c r="G726" s="160"/>
      <c r="H726" s="160"/>
      <c r="I726" s="160"/>
      <c r="J726" s="160"/>
      <c r="K726" s="160"/>
      <c r="L726" s="160"/>
      <c r="M726" s="160"/>
      <c r="N726" s="160"/>
      <c r="O726" s="160"/>
      <c r="P726" s="160"/>
      <c r="AE726" s="161"/>
    </row>
    <row r="727" spans="3:31" ht="15.75" customHeight="1">
      <c r="C727" s="160"/>
      <c r="D727" s="160"/>
      <c r="E727" s="160"/>
      <c r="F727" s="160"/>
      <c r="G727" s="160"/>
      <c r="H727" s="160"/>
      <c r="I727" s="160"/>
      <c r="J727" s="160"/>
      <c r="K727" s="160"/>
      <c r="L727" s="160"/>
      <c r="M727" s="160"/>
      <c r="N727" s="160"/>
      <c r="O727" s="160"/>
      <c r="P727" s="160"/>
      <c r="AE727" s="161"/>
    </row>
    <row r="728" spans="3:31" ht="15.75" customHeight="1">
      <c r="C728" s="160"/>
      <c r="D728" s="160"/>
      <c r="E728" s="160"/>
      <c r="F728" s="160"/>
      <c r="G728" s="160"/>
      <c r="H728" s="160"/>
      <c r="I728" s="160"/>
      <c r="J728" s="160"/>
      <c r="K728" s="160"/>
      <c r="L728" s="160"/>
      <c r="M728" s="160"/>
      <c r="N728" s="160"/>
      <c r="O728" s="160"/>
      <c r="P728" s="160"/>
      <c r="AE728" s="161"/>
    </row>
    <row r="729" spans="3:31" ht="15.75" customHeight="1">
      <c r="C729" s="160"/>
      <c r="D729" s="160"/>
      <c r="E729" s="160"/>
      <c r="F729" s="160"/>
      <c r="G729" s="160"/>
      <c r="H729" s="160"/>
      <c r="I729" s="160"/>
      <c r="J729" s="160"/>
      <c r="K729" s="160"/>
      <c r="L729" s="160"/>
      <c r="M729" s="160"/>
      <c r="N729" s="160"/>
      <c r="O729" s="160"/>
      <c r="P729" s="160"/>
      <c r="AE729" s="161"/>
    </row>
    <row r="730" spans="3:31" ht="15.75" customHeight="1">
      <c r="C730" s="160"/>
      <c r="D730" s="160"/>
      <c r="E730" s="160"/>
      <c r="F730" s="160"/>
      <c r="G730" s="160"/>
      <c r="H730" s="160"/>
      <c r="I730" s="160"/>
      <c r="J730" s="160"/>
      <c r="K730" s="160"/>
      <c r="L730" s="160"/>
      <c r="M730" s="160"/>
      <c r="N730" s="160"/>
      <c r="O730" s="160"/>
      <c r="P730" s="160"/>
      <c r="AE730" s="161"/>
    </row>
    <row r="731" spans="3:31" ht="15.75" customHeight="1">
      <c r="C731" s="160"/>
      <c r="D731" s="160"/>
      <c r="E731" s="160"/>
      <c r="F731" s="160"/>
      <c r="G731" s="160"/>
      <c r="H731" s="160"/>
      <c r="I731" s="160"/>
      <c r="J731" s="160"/>
      <c r="K731" s="160"/>
      <c r="L731" s="160"/>
      <c r="M731" s="160"/>
      <c r="N731" s="160"/>
      <c r="O731" s="160"/>
      <c r="P731" s="160"/>
      <c r="AE731" s="161"/>
    </row>
    <row r="732" spans="3:31" ht="15.75" customHeight="1">
      <c r="C732" s="160"/>
      <c r="D732" s="160"/>
      <c r="E732" s="160"/>
      <c r="F732" s="160"/>
      <c r="G732" s="160"/>
      <c r="H732" s="160"/>
      <c r="I732" s="160"/>
      <c r="J732" s="160"/>
      <c r="K732" s="160"/>
      <c r="L732" s="160"/>
      <c r="M732" s="160"/>
      <c r="N732" s="160"/>
      <c r="O732" s="160"/>
      <c r="P732" s="160"/>
      <c r="AE732" s="161"/>
    </row>
    <row r="733" spans="3:31" ht="15.75" customHeight="1">
      <c r="C733" s="160"/>
      <c r="D733" s="160"/>
      <c r="E733" s="160"/>
      <c r="F733" s="160"/>
      <c r="G733" s="160"/>
      <c r="H733" s="160"/>
      <c r="I733" s="160"/>
      <c r="J733" s="160"/>
      <c r="K733" s="160"/>
      <c r="L733" s="160"/>
      <c r="M733" s="160"/>
      <c r="N733" s="160"/>
      <c r="O733" s="160"/>
      <c r="P733" s="160"/>
      <c r="AE733" s="161"/>
    </row>
    <row r="734" spans="3:31" ht="15.75" customHeight="1">
      <c r="C734" s="160"/>
      <c r="D734" s="160"/>
      <c r="E734" s="160"/>
      <c r="F734" s="160"/>
      <c r="G734" s="160"/>
      <c r="H734" s="160"/>
      <c r="I734" s="160"/>
      <c r="J734" s="160"/>
      <c r="K734" s="160"/>
      <c r="L734" s="160"/>
      <c r="M734" s="160"/>
      <c r="N734" s="160"/>
      <c r="O734" s="160"/>
      <c r="P734" s="160"/>
      <c r="AE734" s="161"/>
    </row>
    <row r="735" spans="3:31" ht="15.75" customHeight="1">
      <c r="C735" s="160"/>
      <c r="D735" s="160"/>
      <c r="E735" s="160"/>
      <c r="F735" s="160"/>
      <c r="G735" s="160"/>
      <c r="H735" s="160"/>
      <c r="I735" s="160"/>
      <c r="J735" s="160"/>
      <c r="K735" s="160"/>
      <c r="L735" s="160"/>
      <c r="M735" s="160"/>
      <c r="N735" s="160"/>
      <c r="O735" s="160"/>
      <c r="P735" s="160"/>
      <c r="AE735" s="161"/>
    </row>
    <row r="736" spans="3:31" ht="15.75" customHeight="1">
      <c r="C736" s="160"/>
      <c r="D736" s="160"/>
      <c r="E736" s="160"/>
      <c r="F736" s="160"/>
      <c r="G736" s="160"/>
      <c r="H736" s="160"/>
      <c r="I736" s="160"/>
      <c r="J736" s="160"/>
      <c r="K736" s="160"/>
      <c r="L736" s="160"/>
      <c r="M736" s="160"/>
      <c r="N736" s="160"/>
      <c r="O736" s="160"/>
      <c r="P736" s="160"/>
      <c r="AE736" s="161"/>
    </row>
    <row r="737" spans="3:31" ht="15.75" customHeight="1">
      <c r="C737" s="160"/>
      <c r="D737" s="160"/>
      <c r="E737" s="160"/>
      <c r="F737" s="160"/>
      <c r="G737" s="160"/>
      <c r="H737" s="160"/>
      <c r="I737" s="160"/>
      <c r="J737" s="160"/>
      <c r="K737" s="160"/>
      <c r="L737" s="160"/>
      <c r="M737" s="160"/>
      <c r="N737" s="160"/>
      <c r="O737" s="160"/>
      <c r="P737" s="160"/>
      <c r="AE737" s="161"/>
    </row>
    <row r="738" spans="3:31" ht="15.75" customHeight="1">
      <c r="C738" s="160"/>
      <c r="D738" s="160"/>
      <c r="E738" s="160"/>
      <c r="F738" s="160"/>
      <c r="G738" s="160"/>
      <c r="H738" s="160"/>
      <c r="I738" s="160"/>
      <c r="J738" s="160"/>
      <c r="K738" s="160"/>
      <c r="L738" s="160"/>
      <c r="M738" s="160"/>
      <c r="N738" s="160"/>
      <c r="O738" s="160"/>
      <c r="P738" s="160"/>
      <c r="AE738" s="161"/>
    </row>
    <row r="739" spans="3:31" ht="15.75" customHeight="1">
      <c r="C739" s="160"/>
      <c r="D739" s="160"/>
      <c r="E739" s="160"/>
      <c r="F739" s="160"/>
      <c r="G739" s="160"/>
      <c r="H739" s="160"/>
      <c r="I739" s="160"/>
      <c r="J739" s="160"/>
      <c r="K739" s="160"/>
      <c r="L739" s="160"/>
      <c r="M739" s="160"/>
      <c r="N739" s="160"/>
      <c r="O739" s="160"/>
      <c r="P739" s="160"/>
      <c r="AE739" s="161"/>
    </row>
    <row r="740" spans="3:31" ht="15.75" customHeight="1">
      <c r="C740" s="160"/>
      <c r="D740" s="160"/>
      <c r="E740" s="160"/>
      <c r="F740" s="160"/>
      <c r="G740" s="160"/>
      <c r="H740" s="160"/>
      <c r="I740" s="160"/>
      <c r="J740" s="160"/>
      <c r="K740" s="160"/>
      <c r="L740" s="160"/>
      <c r="M740" s="160"/>
      <c r="N740" s="160"/>
      <c r="O740" s="160"/>
      <c r="P740" s="160"/>
      <c r="AE740" s="161"/>
    </row>
    <row r="741" spans="3:31" ht="15.75" customHeight="1">
      <c r="C741" s="160"/>
      <c r="D741" s="160"/>
      <c r="E741" s="160"/>
      <c r="F741" s="160"/>
      <c r="G741" s="160"/>
      <c r="H741" s="160"/>
      <c r="I741" s="160"/>
      <c r="J741" s="160"/>
      <c r="K741" s="160"/>
      <c r="L741" s="160"/>
      <c r="M741" s="160"/>
      <c r="N741" s="160"/>
      <c r="O741" s="160"/>
      <c r="P741" s="160"/>
      <c r="AE741" s="161"/>
    </row>
    <row r="742" spans="3:31" ht="15.75" customHeight="1">
      <c r="C742" s="160"/>
      <c r="D742" s="160"/>
      <c r="E742" s="160"/>
      <c r="F742" s="160"/>
      <c r="G742" s="160"/>
      <c r="H742" s="160"/>
      <c r="I742" s="160"/>
      <c r="J742" s="160"/>
      <c r="K742" s="160"/>
      <c r="L742" s="160"/>
      <c r="M742" s="160"/>
      <c r="N742" s="160"/>
      <c r="O742" s="160"/>
      <c r="P742" s="160"/>
      <c r="AE742" s="161"/>
    </row>
    <row r="743" spans="3:31" ht="15.75" customHeight="1">
      <c r="C743" s="160"/>
      <c r="D743" s="160"/>
      <c r="E743" s="160"/>
      <c r="F743" s="160"/>
      <c r="G743" s="160"/>
      <c r="H743" s="160"/>
      <c r="I743" s="160"/>
      <c r="J743" s="160"/>
      <c r="K743" s="160"/>
      <c r="L743" s="160"/>
      <c r="M743" s="160"/>
      <c r="N743" s="160"/>
      <c r="O743" s="160"/>
      <c r="P743" s="160"/>
      <c r="AE743" s="161"/>
    </row>
    <row r="744" spans="3:31" ht="15.75" customHeight="1">
      <c r="C744" s="160"/>
      <c r="D744" s="160"/>
      <c r="E744" s="160"/>
      <c r="F744" s="160"/>
      <c r="G744" s="160"/>
      <c r="H744" s="160"/>
      <c r="I744" s="160"/>
      <c r="J744" s="160"/>
      <c r="K744" s="160"/>
      <c r="L744" s="160"/>
      <c r="M744" s="160"/>
      <c r="N744" s="160"/>
      <c r="O744" s="160"/>
      <c r="P744" s="160"/>
      <c r="AE744" s="161"/>
    </row>
    <row r="745" spans="3:31" ht="15.75" customHeight="1">
      <c r="C745" s="160"/>
      <c r="D745" s="160"/>
      <c r="E745" s="160"/>
      <c r="F745" s="160"/>
      <c r="G745" s="160"/>
      <c r="H745" s="160"/>
      <c r="I745" s="160"/>
      <c r="J745" s="160"/>
      <c r="K745" s="160"/>
      <c r="L745" s="160"/>
      <c r="M745" s="160"/>
      <c r="N745" s="160"/>
      <c r="O745" s="160"/>
      <c r="P745" s="160"/>
      <c r="AE745" s="161"/>
    </row>
    <row r="746" spans="3:31" ht="15.75" customHeight="1">
      <c r="C746" s="160"/>
      <c r="D746" s="160"/>
      <c r="E746" s="160"/>
      <c r="F746" s="160"/>
      <c r="G746" s="160"/>
      <c r="H746" s="160"/>
      <c r="I746" s="160"/>
      <c r="J746" s="160"/>
      <c r="K746" s="160"/>
      <c r="L746" s="160"/>
      <c r="M746" s="160"/>
      <c r="N746" s="160"/>
      <c r="O746" s="160"/>
      <c r="P746" s="160"/>
      <c r="AE746" s="161"/>
    </row>
    <row r="747" spans="3:31" ht="15.75" customHeight="1">
      <c r="C747" s="160"/>
      <c r="D747" s="160"/>
      <c r="E747" s="160"/>
      <c r="F747" s="160"/>
      <c r="G747" s="160"/>
      <c r="H747" s="160"/>
      <c r="I747" s="160"/>
      <c r="J747" s="160"/>
      <c r="K747" s="160"/>
      <c r="L747" s="160"/>
      <c r="M747" s="160"/>
      <c r="N747" s="160"/>
      <c r="O747" s="160"/>
      <c r="P747" s="160"/>
      <c r="AE747" s="161"/>
    </row>
    <row r="748" spans="3:31" ht="15.75" customHeight="1">
      <c r="C748" s="160"/>
      <c r="D748" s="160"/>
      <c r="E748" s="160"/>
      <c r="F748" s="160"/>
      <c r="G748" s="160"/>
      <c r="H748" s="160"/>
      <c r="I748" s="160"/>
      <c r="J748" s="160"/>
      <c r="K748" s="160"/>
      <c r="L748" s="160"/>
      <c r="M748" s="160"/>
      <c r="N748" s="160"/>
      <c r="O748" s="160"/>
      <c r="P748" s="160"/>
      <c r="AE748" s="161"/>
    </row>
    <row r="749" spans="3:31" ht="15.75" customHeight="1">
      <c r="C749" s="160"/>
      <c r="D749" s="160"/>
      <c r="E749" s="160"/>
      <c r="F749" s="160"/>
      <c r="G749" s="160"/>
      <c r="H749" s="160"/>
      <c r="I749" s="160"/>
      <c r="J749" s="160"/>
      <c r="K749" s="160"/>
      <c r="L749" s="160"/>
      <c r="M749" s="160"/>
      <c r="N749" s="160"/>
      <c r="O749" s="160"/>
      <c r="P749" s="160"/>
      <c r="AE749" s="161"/>
    </row>
    <row r="750" spans="3:31" ht="15.75" customHeight="1">
      <c r="C750" s="160"/>
      <c r="D750" s="160"/>
      <c r="E750" s="160"/>
      <c r="F750" s="160"/>
      <c r="G750" s="160"/>
      <c r="H750" s="160"/>
      <c r="I750" s="160"/>
      <c r="J750" s="160"/>
      <c r="K750" s="160"/>
      <c r="L750" s="160"/>
      <c r="M750" s="160"/>
      <c r="N750" s="160"/>
      <c r="O750" s="160"/>
      <c r="P750" s="160"/>
      <c r="AE750" s="161"/>
    </row>
    <row r="751" spans="3:31" ht="15.75" customHeight="1">
      <c r="C751" s="160"/>
      <c r="D751" s="160"/>
      <c r="E751" s="160"/>
      <c r="F751" s="160"/>
      <c r="G751" s="160"/>
      <c r="H751" s="160"/>
      <c r="I751" s="160"/>
      <c r="J751" s="160"/>
      <c r="K751" s="160"/>
      <c r="L751" s="160"/>
      <c r="M751" s="160"/>
      <c r="N751" s="160"/>
      <c r="O751" s="160"/>
      <c r="P751" s="160"/>
      <c r="AE751" s="161"/>
    </row>
    <row r="752" spans="3:31" ht="15.75" customHeight="1">
      <c r="C752" s="160"/>
      <c r="D752" s="160"/>
      <c r="E752" s="160"/>
      <c r="F752" s="160"/>
      <c r="G752" s="160"/>
      <c r="H752" s="160"/>
      <c r="I752" s="160"/>
      <c r="J752" s="160"/>
      <c r="K752" s="160"/>
      <c r="L752" s="160"/>
      <c r="M752" s="160"/>
      <c r="N752" s="160"/>
      <c r="O752" s="160"/>
      <c r="P752" s="160"/>
      <c r="AE752" s="161"/>
    </row>
    <row r="753" spans="3:31" ht="15.75" customHeight="1">
      <c r="C753" s="160"/>
      <c r="D753" s="160"/>
      <c r="E753" s="160"/>
      <c r="F753" s="160"/>
      <c r="G753" s="160"/>
      <c r="H753" s="160"/>
      <c r="I753" s="160"/>
      <c r="J753" s="160"/>
      <c r="K753" s="160"/>
      <c r="L753" s="160"/>
      <c r="M753" s="160"/>
      <c r="N753" s="160"/>
      <c r="O753" s="160"/>
      <c r="P753" s="160"/>
      <c r="AE753" s="161"/>
    </row>
    <row r="754" spans="3:31" ht="15.75" customHeight="1">
      <c r="C754" s="160"/>
      <c r="D754" s="160"/>
      <c r="E754" s="160"/>
      <c r="F754" s="160"/>
      <c r="G754" s="160"/>
      <c r="H754" s="160"/>
      <c r="I754" s="160"/>
      <c r="J754" s="160"/>
      <c r="K754" s="160"/>
      <c r="L754" s="160"/>
      <c r="M754" s="160"/>
      <c r="N754" s="160"/>
      <c r="O754" s="160"/>
      <c r="P754" s="160"/>
      <c r="AE754" s="161"/>
    </row>
    <row r="755" spans="3:31" ht="15.75" customHeight="1">
      <c r="C755" s="160"/>
      <c r="D755" s="160"/>
      <c r="E755" s="160"/>
      <c r="F755" s="160"/>
      <c r="G755" s="160"/>
      <c r="H755" s="160"/>
      <c r="I755" s="160"/>
      <c r="J755" s="160"/>
      <c r="K755" s="160"/>
      <c r="L755" s="160"/>
      <c r="M755" s="160"/>
      <c r="N755" s="160"/>
      <c r="O755" s="160"/>
      <c r="P755" s="160"/>
      <c r="AE755" s="161"/>
    </row>
    <row r="756" spans="3:31" ht="15.75" customHeight="1">
      <c r="C756" s="160"/>
      <c r="D756" s="160"/>
      <c r="E756" s="160"/>
      <c r="F756" s="160"/>
      <c r="G756" s="160"/>
      <c r="H756" s="160"/>
      <c r="I756" s="160"/>
      <c r="J756" s="160"/>
      <c r="K756" s="160"/>
      <c r="L756" s="160"/>
      <c r="M756" s="160"/>
      <c r="N756" s="160"/>
      <c r="O756" s="160"/>
      <c r="P756" s="160"/>
      <c r="AE756" s="161"/>
    </row>
    <row r="757" spans="3:31" ht="15.75" customHeight="1">
      <c r="C757" s="160"/>
      <c r="D757" s="160"/>
      <c r="E757" s="160"/>
      <c r="F757" s="160"/>
      <c r="G757" s="160"/>
      <c r="H757" s="160"/>
      <c r="I757" s="160"/>
      <c r="J757" s="160"/>
      <c r="K757" s="160"/>
      <c r="L757" s="160"/>
      <c r="M757" s="160"/>
      <c r="N757" s="160"/>
      <c r="O757" s="160"/>
      <c r="P757" s="160"/>
      <c r="AE757" s="161"/>
    </row>
    <row r="758" spans="3:31" ht="15.75" customHeight="1">
      <c r="C758" s="160"/>
      <c r="D758" s="160"/>
      <c r="E758" s="160"/>
      <c r="F758" s="160"/>
      <c r="G758" s="160"/>
      <c r="H758" s="160"/>
      <c r="I758" s="160"/>
      <c r="J758" s="160"/>
      <c r="K758" s="160"/>
      <c r="L758" s="160"/>
      <c r="M758" s="160"/>
      <c r="N758" s="160"/>
      <c r="O758" s="160"/>
      <c r="P758" s="160"/>
      <c r="AE758" s="161"/>
    </row>
    <row r="759" spans="3:31" ht="15.75" customHeight="1">
      <c r="C759" s="160"/>
      <c r="D759" s="160"/>
      <c r="E759" s="160"/>
      <c r="F759" s="160"/>
      <c r="G759" s="160"/>
      <c r="H759" s="160"/>
      <c r="I759" s="160"/>
      <c r="J759" s="160"/>
      <c r="K759" s="160"/>
      <c r="L759" s="160"/>
      <c r="M759" s="160"/>
      <c r="N759" s="160"/>
      <c r="O759" s="160"/>
      <c r="P759" s="160"/>
      <c r="AE759" s="161"/>
    </row>
    <row r="760" spans="3:31" ht="15.75" customHeight="1">
      <c r="C760" s="160"/>
      <c r="D760" s="160"/>
      <c r="E760" s="160"/>
      <c r="F760" s="160"/>
      <c r="G760" s="160"/>
      <c r="H760" s="160"/>
      <c r="I760" s="160"/>
      <c r="J760" s="160"/>
      <c r="K760" s="160"/>
      <c r="L760" s="160"/>
      <c r="M760" s="160"/>
      <c r="N760" s="160"/>
      <c r="O760" s="160"/>
      <c r="P760" s="160"/>
      <c r="AE760" s="161"/>
    </row>
    <row r="761" spans="3:31" ht="15.75" customHeight="1">
      <c r="C761" s="160"/>
      <c r="D761" s="160"/>
      <c r="E761" s="160"/>
      <c r="F761" s="160"/>
      <c r="G761" s="160"/>
      <c r="H761" s="160"/>
      <c r="I761" s="160"/>
      <c r="J761" s="160"/>
      <c r="K761" s="160"/>
      <c r="L761" s="160"/>
      <c r="M761" s="160"/>
      <c r="N761" s="160"/>
      <c r="O761" s="160"/>
      <c r="P761" s="160"/>
      <c r="AE761" s="161"/>
    </row>
    <row r="762" spans="3:31" ht="15.75" customHeight="1">
      <c r="C762" s="160"/>
      <c r="D762" s="160"/>
      <c r="E762" s="160"/>
      <c r="F762" s="160"/>
      <c r="G762" s="160"/>
      <c r="H762" s="160"/>
      <c r="I762" s="160"/>
      <c r="J762" s="160"/>
      <c r="K762" s="160"/>
      <c r="L762" s="160"/>
      <c r="M762" s="160"/>
      <c r="N762" s="160"/>
      <c r="O762" s="160"/>
      <c r="P762" s="160"/>
      <c r="AE762" s="161"/>
    </row>
    <row r="763" spans="3:31" ht="15.75" customHeight="1">
      <c r="C763" s="160"/>
      <c r="D763" s="160"/>
      <c r="E763" s="160"/>
      <c r="F763" s="160"/>
      <c r="G763" s="160"/>
      <c r="H763" s="160"/>
      <c r="I763" s="160"/>
      <c r="J763" s="160"/>
      <c r="K763" s="160"/>
      <c r="L763" s="160"/>
      <c r="M763" s="160"/>
      <c r="N763" s="160"/>
      <c r="O763" s="160"/>
      <c r="P763" s="160"/>
      <c r="AE763" s="161"/>
    </row>
    <row r="764" spans="3:31" ht="15.75" customHeight="1">
      <c r="C764" s="160"/>
      <c r="D764" s="160"/>
      <c r="E764" s="160"/>
      <c r="F764" s="160"/>
      <c r="G764" s="160"/>
      <c r="H764" s="160"/>
      <c r="I764" s="160"/>
      <c r="J764" s="160"/>
      <c r="K764" s="160"/>
      <c r="L764" s="160"/>
      <c r="M764" s="160"/>
      <c r="N764" s="160"/>
      <c r="O764" s="160"/>
      <c r="P764" s="160"/>
      <c r="AE764" s="161"/>
    </row>
    <row r="765" spans="3:31" ht="15.75" customHeight="1">
      <c r="C765" s="160"/>
      <c r="D765" s="160"/>
      <c r="E765" s="160"/>
      <c r="F765" s="160"/>
      <c r="G765" s="160"/>
      <c r="H765" s="160"/>
      <c r="I765" s="160"/>
      <c r="J765" s="160"/>
      <c r="K765" s="160"/>
      <c r="L765" s="160"/>
      <c r="M765" s="160"/>
      <c r="N765" s="160"/>
      <c r="O765" s="160"/>
      <c r="P765" s="160"/>
      <c r="AE765" s="161"/>
    </row>
    <row r="766" spans="3:31" ht="15.75" customHeight="1">
      <c r="C766" s="160"/>
      <c r="D766" s="160"/>
      <c r="E766" s="160"/>
      <c r="F766" s="160"/>
      <c r="G766" s="160"/>
      <c r="H766" s="160"/>
      <c r="I766" s="160"/>
      <c r="J766" s="160"/>
      <c r="K766" s="160"/>
      <c r="L766" s="160"/>
      <c r="M766" s="160"/>
      <c r="N766" s="160"/>
      <c r="O766" s="160"/>
      <c r="P766" s="160"/>
      <c r="AE766" s="161"/>
    </row>
    <row r="767" spans="3:31" ht="15.75" customHeight="1">
      <c r="C767" s="160"/>
      <c r="D767" s="160"/>
      <c r="E767" s="160"/>
      <c r="F767" s="160"/>
      <c r="G767" s="160"/>
      <c r="H767" s="160"/>
      <c r="I767" s="160"/>
      <c r="J767" s="160"/>
      <c r="K767" s="160"/>
      <c r="L767" s="160"/>
      <c r="M767" s="160"/>
      <c r="N767" s="160"/>
      <c r="O767" s="160"/>
      <c r="P767" s="160"/>
      <c r="AE767" s="161"/>
    </row>
    <row r="768" spans="3:31" ht="15.75" customHeight="1">
      <c r="C768" s="160"/>
      <c r="D768" s="160"/>
      <c r="E768" s="160"/>
      <c r="F768" s="160"/>
      <c r="G768" s="160"/>
      <c r="H768" s="160"/>
      <c r="I768" s="160"/>
      <c r="J768" s="160"/>
      <c r="K768" s="160"/>
      <c r="L768" s="160"/>
      <c r="M768" s="160"/>
      <c r="N768" s="160"/>
      <c r="O768" s="160"/>
      <c r="P768" s="160"/>
      <c r="AE768" s="161"/>
    </row>
    <row r="769" spans="3:31" ht="15.75" customHeight="1">
      <c r="C769" s="160"/>
      <c r="D769" s="160"/>
      <c r="E769" s="160"/>
      <c r="F769" s="160"/>
      <c r="G769" s="160"/>
      <c r="H769" s="160"/>
      <c r="I769" s="160"/>
      <c r="J769" s="160"/>
      <c r="K769" s="160"/>
      <c r="L769" s="160"/>
      <c r="M769" s="160"/>
      <c r="N769" s="160"/>
      <c r="O769" s="160"/>
      <c r="P769" s="160"/>
      <c r="AE769" s="161"/>
    </row>
    <row r="770" spans="3:31" ht="15.75" customHeight="1">
      <c r="C770" s="160"/>
      <c r="D770" s="160"/>
      <c r="E770" s="160"/>
      <c r="F770" s="160"/>
      <c r="G770" s="160"/>
      <c r="H770" s="160"/>
      <c r="I770" s="160"/>
      <c r="J770" s="160"/>
      <c r="K770" s="160"/>
      <c r="L770" s="160"/>
      <c r="M770" s="160"/>
      <c r="N770" s="160"/>
      <c r="O770" s="160"/>
      <c r="P770" s="160"/>
      <c r="AE770" s="161"/>
    </row>
    <row r="771" spans="3:31" ht="15.75" customHeight="1">
      <c r="C771" s="160"/>
      <c r="D771" s="160"/>
      <c r="E771" s="160"/>
      <c r="F771" s="160"/>
      <c r="G771" s="160"/>
      <c r="H771" s="160"/>
      <c r="I771" s="160"/>
      <c r="J771" s="160"/>
      <c r="K771" s="160"/>
      <c r="L771" s="160"/>
      <c r="M771" s="160"/>
      <c r="N771" s="160"/>
      <c r="O771" s="160"/>
      <c r="P771" s="160"/>
      <c r="AE771" s="161"/>
    </row>
    <row r="772" spans="3:31" ht="15.75" customHeight="1">
      <c r="C772" s="160"/>
      <c r="D772" s="160"/>
      <c r="E772" s="160"/>
      <c r="F772" s="160"/>
      <c r="G772" s="160"/>
      <c r="H772" s="160"/>
      <c r="I772" s="160"/>
      <c r="J772" s="160"/>
      <c r="K772" s="160"/>
      <c r="L772" s="160"/>
      <c r="M772" s="160"/>
      <c r="N772" s="160"/>
      <c r="O772" s="160"/>
      <c r="P772" s="160"/>
      <c r="AE772" s="161"/>
    </row>
    <row r="773" spans="3:31" ht="15.75" customHeight="1">
      <c r="C773" s="160"/>
      <c r="D773" s="160"/>
      <c r="E773" s="160"/>
      <c r="F773" s="160"/>
      <c r="G773" s="160"/>
      <c r="H773" s="160"/>
      <c r="I773" s="160"/>
      <c r="J773" s="160"/>
      <c r="K773" s="160"/>
      <c r="L773" s="160"/>
      <c r="M773" s="160"/>
      <c r="N773" s="160"/>
      <c r="O773" s="160"/>
      <c r="P773" s="160"/>
      <c r="AE773" s="161"/>
    </row>
    <row r="774" spans="3:31" ht="15.75" customHeight="1">
      <c r="C774" s="160"/>
      <c r="D774" s="160"/>
      <c r="E774" s="160"/>
      <c r="F774" s="160"/>
      <c r="G774" s="160"/>
      <c r="H774" s="160"/>
      <c r="I774" s="160"/>
      <c r="J774" s="160"/>
      <c r="K774" s="160"/>
      <c r="L774" s="160"/>
      <c r="M774" s="160"/>
      <c r="N774" s="160"/>
      <c r="O774" s="160"/>
      <c r="P774" s="160"/>
      <c r="AE774" s="161"/>
    </row>
    <row r="775" spans="3:31" ht="15.75" customHeight="1">
      <c r="C775" s="160"/>
      <c r="D775" s="160"/>
      <c r="E775" s="160"/>
      <c r="F775" s="160"/>
      <c r="G775" s="160"/>
      <c r="H775" s="160"/>
      <c r="I775" s="160"/>
      <c r="J775" s="160"/>
      <c r="K775" s="160"/>
      <c r="L775" s="160"/>
      <c r="M775" s="160"/>
      <c r="N775" s="160"/>
      <c r="O775" s="160"/>
      <c r="P775" s="160"/>
      <c r="AE775" s="161"/>
    </row>
    <row r="776" spans="3:31" ht="15.75" customHeight="1">
      <c r="C776" s="160"/>
      <c r="D776" s="160"/>
      <c r="E776" s="160"/>
      <c r="F776" s="160"/>
      <c r="G776" s="160"/>
      <c r="H776" s="160"/>
      <c r="I776" s="160"/>
      <c r="J776" s="160"/>
      <c r="K776" s="160"/>
      <c r="L776" s="160"/>
      <c r="M776" s="160"/>
      <c r="N776" s="160"/>
      <c r="O776" s="160"/>
      <c r="P776" s="160"/>
      <c r="AE776" s="161"/>
    </row>
    <row r="777" spans="3:31" ht="15.75" customHeight="1">
      <c r="C777" s="160"/>
      <c r="D777" s="160"/>
      <c r="E777" s="160"/>
      <c r="F777" s="160"/>
      <c r="G777" s="160"/>
      <c r="H777" s="160"/>
      <c r="I777" s="160"/>
      <c r="J777" s="160"/>
      <c r="K777" s="160"/>
      <c r="L777" s="160"/>
      <c r="M777" s="160"/>
      <c r="N777" s="160"/>
      <c r="O777" s="160"/>
      <c r="P777" s="160"/>
      <c r="AE777" s="161"/>
    </row>
    <row r="778" spans="3:31" ht="15.75" customHeight="1">
      <c r="C778" s="160"/>
      <c r="D778" s="160"/>
      <c r="E778" s="160"/>
      <c r="F778" s="160"/>
      <c r="G778" s="160"/>
      <c r="H778" s="160"/>
      <c r="I778" s="160"/>
      <c r="J778" s="160"/>
      <c r="K778" s="160"/>
      <c r="L778" s="160"/>
      <c r="M778" s="160"/>
      <c r="N778" s="160"/>
      <c r="O778" s="160"/>
      <c r="P778" s="160"/>
      <c r="AE778" s="161"/>
    </row>
    <row r="779" spans="3:31" ht="15.75" customHeight="1">
      <c r="C779" s="160"/>
      <c r="D779" s="160"/>
      <c r="E779" s="160"/>
      <c r="F779" s="160"/>
      <c r="G779" s="160"/>
      <c r="H779" s="160"/>
      <c r="I779" s="160"/>
      <c r="J779" s="160"/>
      <c r="K779" s="160"/>
      <c r="L779" s="160"/>
      <c r="M779" s="160"/>
      <c r="N779" s="160"/>
      <c r="O779" s="160"/>
      <c r="P779" s="160"/>
      <c r="AE779" s="161"/>
    </row>
    <row r="780" spans="3:31" ht="15.75" customHeight="1">
      <c r="C780" s="160"/>
      <c r="D780" s="160"/>
      <c r="E780" s="160"/>
      <c r="F780" s="160"/>
      <c r="G780" s="160"/>
      <c r="H780" s="160"/>
      <c r="I780" s="160"/>
      <c r="J780" s="160"/>
      <c r="K780" s="160"/>
      <c r="L780" s="160"/>
      <c r="M780" s="160"/>
      <c r="N780" s="160"/>
      <c r="O780" s="160"/>
      <c r="P780" s="160"/>
      <c r="AE780" s="161"/>
    </row>
    <row r="781" spans="3:31" ht="15.75" customHeight="1">
      <c r="C781" s="160"/>
      <c r="D781" s="160"/>
      <c r="E781" s="160"/>
      <c r="F781" s="160"/>
      <c r="G781" s="160"/>
      <c r="H781" s="160"/>
      <c r="I781" s="160"/>
      <c r="J781" s="160"/>
      <c r="K781" s="160"/>
      <c r="L781" s="160"/>
      <c r="M781" s="160"/>
      <c r="N781" s="160"/>
      <c r="O781" s="160"/>
      <c r="P781" s="160"/>
      <c r="AE781" s="161"/>
    </row>
    <row r="782" spans="3:31" ht="15.75" customHeight="1">
      <c r="C782" s="160"/>
      <c r="D782" s="160"/>
      <c r="E782" s="160"/>
      <c r="F782" s="160"/>
      <c r="G782" s="160"/>
      <c r="H782" s="160"/>
      <c r="I782" s="160"/>
      <c r="J782" s="160"/>
      <c r="K782" s="160"/>
      <c r="L782" s="160"/>
      <c r="M782" s="160"/>
      <c r="N782" s="160"/>
      <c r="O782" s="160"/>
      <c r="P782" s="160"/>
      <c r="AE782" s="161"/>
    </row>
    <row r="783" spans="3:31" ht="15.75" customHeight="1">
      <c r="C783" s="160"/>
      <c r="D783" s="160"/>
      <c r="E783" s="160"/>
      <c r="F783" s="160"/>
      <c r="G783" s="160"/>
      <c r="H783" s="160"/>
      <c r="I783" s="160"/>
      <c r="J783" s="160"/>
      <c r="K783" s="160"/>
      <c r="L783" s="160"/>
      <c r="M783" s="160"/>
      <c r="N783" s="160"/>
      <c r="O783" s="160"/>
      <c r="P783" s="160"/>
      <c r="AE783" s="161"/>
    </row>
    <row r="784" spans="3:31" ht="15.75" customHeight="1">
      <c r="C784" s="160"/>
      <c r="D784" s="160"/>
      <c r="E784" s="160"/>
      <c r="F784" s="160"/>
      <c r="G784" s="160"/>
      <c r="H784" s="160"/>
      <c r="I784" s="160"/>
      <c r="J784" s="160"/>
      <c r="K784" s="160"/>
      <c r="L784" s="160"/>
      <c r="M784" s="160"/>
      <c r="N784" s="160"/>
      <c r="O784" s="160"/>
      <c r="P784" s="160"/>
      <c r="AE784" s="161"/>
    </row>
    <row r="785" spans="3:31" ht="15.75" customHeight="1">
      <c r="C785" s="160"/>
      <c r="D785" s="160"/>
      <c r="E785" s="160"/>
      <c r="F785" s="160"/>
      <c r="G785" s="160"/>
      <c r="H785" s="160"/>
      <c r="I785" s="160"/>
      <c r="J785" s="160"/>
      <c r="K785" s="160"/>
      <c r="L785" s="160"/>
      <c r="M785" s="160"/>
      <c r="N785" s="160"/>
      <c r="O785" s="160"/>
      <c r="P785" s="160"/>
      <c r="AE785" s="161"/>
    </row>
    <row r="786" spans="3:31" ht="15.75" customHeight="1">
      <c r="C786" s="160"/>
      <c r="D786" s="160"/>
      <c r="E786" s="160"/>
      <c r="F786" s="160"/>
      <c r="G786" s="160"/>
      <c r="H786" s="160"/>
      <c r="I786" s="160"/>
      <c r="J786" s="160"/>
      <c r="K786" s="160"/>
      <c r="L786" s="160"/>
      <c r="M786" s="160"/>
      <c r="N786" s="160"/>
      <c r="O786" s="160"/>
      <c r="P786" s="160"/>
      <c r="AE786" s="161"/>
    </row>
    <row r="787" spans="3:31" ht="15.75" customHeight="1">
      <c r="C787" s="160"/>
      <c r="D787" s="160"/>
      <c r="E787" s="160"/>
      <c r="F787" s="160"/>
      <c r="G787" s="160"/>
      <c r="H787" s="160"/>
      <c r="I787" s="160"/>
      <c r="J787" s="160"/>
      <c r="K787" s="160"/>
      <c r="L787" s="160"/>
      <c r="M787" s="160"/>
      <c r="N787" s="160"/>
      <c r="O787" s="160"/>
      <c r="P787" s="160"/>
      <c r="AE787" s="161"/>
    </row>
    <row r="788" spans="3:31" ht="15.75" customHeight="1">
      <c r="C788" s="160"/>
      <c r="D788" s="160"/>
      <c r="E788" s="160"/>
      <c r="F788" s="160"/>
      <c r="G788" s="160"/>
      <c r="H788" s="160"/>
      <c r="I788" s="160"/>
      <c r="J788" s="160"/>
      <c r="K788" s="160"/>
      <c r="L788" s="160"/>
      <c r="M788" s="160"/>
      <c r="N788" s="160"/>
      <c r="O788" s="160"/>
      <c r="P788" s="160"/>
      <c r="AE788" s="161"/>
    </row>
    <row r="789" spans="3:31" ht="15.75" customHeight="1">
      <c r="C789" s="160"/>
      <c r="D789" s="160"/>
      <c r="E789" s="160"/>
      <c r="F789" s="160"/>
      <c r="G789" s="160"/>
      <c r="H789" s="160"/>
      <c r="I789" s="160"/>
      <c r="J789" s="160"/>
      <c r="K789" s="160"/>
      <c r="L789" s="160"/>
      <c r="M789" s="160"/>
      <c r="N789" s="160"/>
      <c r="O789" s="160"/>
      <c r="P789" s="160"/>
      <c r="AE789" s="161"/>
    </row>
    <row r="790" spans="3:31" ht="15.75" customHeight="1">
      <c r="C790" s="160"/>
      <c r="D790" s="160"/>
      <c r="E790" s="160"/>
      <c r="F790" s="160"/>
      <c r="G790" s="160"/>
      <c r="H790" s="160"/>
      <c r="I790" s="160"/>
      <c r="J790" s="160"/>
      <c r="K790" s="160"/>
      <c r="L790" s="160"/>
      <c r="M790" s="160"/>
      <c r="N790" s="160"/>
      <c r="O790" s="160"/>
      <c r="P790" s="160"/>
      <c r="AE790" s="161"/>
    </row>
    <row r="791" spans="3:31" ht="15.75" customHeight="1">
      <c r="C791" s="160"/>
      <c r="D791" s="160"/>
      <c r="E791" s="160"/>
      <c r="F791" s="160"/>
      <c r="G791" s="160"/>
      <c r="H791" s="160"/>
      <c r="I791" s="160"/>
      <c r="J791" s="160"/>
      <c r="K791" s="160"/>
      <c r="L791" s="160"/>
      <c r="M791" s="160"/>
      <c r="N791" s="160"/>
      <c r="O791" s="160"/>
      <c r="P791" s="160"/>
      <c r="AE791" s="161"/>
    </row>
    <row r="792" spans="3:31" ht="15.75" customHeight="1">
      <c r="C792" s="160"/>
      <c r="D792" s="160"/>
      <c r="E792" s="160"/>
      <c r="F792" s="160"/>
      <c r="G792" s="160"/>
      <c r="H792" s="160"/>
      <c r="I792" s="160"/>
      <c r="J792" s="160"/>
      <c r="K792" s="160"/>
      <c r="L792" s="160"/>
      <c r="M792" s="160"/>
      <c r="N792" s="160"/>
      <c r="O792" s="160"/>
      <c r="P792" s="160"/>
      <c r="AE792" s="161"/>
    </row>
    <row r="793" spans="3:31" ht="15.75" customHeight="1">
      <c r="C793" s="160"/>
      <c r="D793" s="160"/>
      <c r="E793" s="160"/>
      <c r="F793" s="160"/>
      <c r="G793" s="160"/>
      <c r="H793" s="160"/>
      <c r="I793" s="160"/>
      <c r="J793" s="160"/>
      <c r="K793" s="160"/>
      <c r="L793" s="160"/>
      <c r="M793" s="160"/>
      <c r="N793" s="160"/>
      <c r="O793" s="160"/>
      <c r="P793" s="160"/>
      <c r="AE793" s="161"/>
    </row>
    <row r="794" spans="3:31" ht="15.75" customHeight="1">
      <c r="C794" s="160"/>
      <c r="D794" s="160"/>
      <c r="E794" s="160"/>
      <c r="F794" s="160"/>
      <c r="G794" s="160"/>
      <c r="H794" s="160"/>
      <c r="I794" s="160"/>
      <c r="J794" s="160"/>
      <c r="K794" s="160"/>
      <c r="L794" s="160"/>
      <c r="M794" s="160"/>
      <c r="N794" s="160"/>
      <c r="O794" s="160"/>
      <c r="P794" s="160"/>
      <c r="AE794" s="161"/>
    </row>
    <row r="795" spans="3:31" ht="15.75" customHeight="1">
      <c r="C795" s="160"/>
      <c r="D795" s="160"/>
      <c r="E795" s="160"/>
      <c r="F795" s="160"/>
      <c r="G795" s="160"/>
      <c r="H795" s="160"/>
      <c r="I795" s="160"/>
      <c r="J795" s="160"/>
      <c r="K795" s="160"/>
      <c r="L795" s="160"/>
      <c r="M795" s="160"/>
      <c r="N795" s="160"/>
      <c r="O795" s="160"/>
      <c r="P795" s="160"/>
      <c r="AE795" s="161"/>
    </row>
    <row r="796" spans="3:31" ht="15.75" customHeight="1">
      <c r="C796" s="160"/>
      <c r="D796" s="160"/>
      <c r="E796" s="160"/>
      <c r="F796" s="160"/>
      <c r="G796" s="160"/>
      <c r="H796" s="160"/>
      <c r="I796" s="160"/>
      <c r="J796" s="160"/>
      <c r="K796" s="160"/>
      <c r="L796" s="160"/>
      <c r="M796" s="160"/>
      <c r="N796" s="160"/>
      <c r="O796" s="160"/>
      <c r="P796" s="160"/>
      <c r="AE796" s="161"/>
    </row>
    <row r="797" spans="3:31" ht="15.75" customHeight="1">
      <c r="C797" s="160"/>
      <c r="D797" s="160"/>
      <c r="E797" s="160"/>
      <c r="F797" s="160"/>
      <c r="G797" s="160"/>
      <c r="H797" s="160"/>
      <c r="I797" s="160"/>
      <c r="J797" s="160"/>
      <c r="K797" s="160"/>
      <c r="L797" s="160"/>
      <c r="M797" s="160"/>
      <c r="N797" s="160"/>
      <c r="O797" s="160"/>
      <c r="P797" s="160"/>
      <c r="AE797" s="161"/>
    </row>
    <row r="798" spans="3:31" ht="15.75" customHeight="1">
      <c r="C798" s="160"/>
      <c r="D798" s="160"/>
      <c r="E798" s="160"/>
      <c r="F798" s="160"/>
      <c r="G798" s="160"/>
      <c r="H798" s="160"/>
      <c r="I798" s="160"/>
      <c r="J798" s="160"/>
      <c r="K798" s="160"/>
      <c r="L798" s="160"/>
      <c r="M798" s="160"/>
      <c r="N798" s="160"/>
      <c r="O798" s="160"/>
      <c r="P798" s="160"/>
      <c r="AE798" s="161"/>
    </row>
    <row r="799" spans="3:31" ht="15.75" customHeight="1">
      <c r="C799" s="160"/>
      <c r="D799" s="160"/>
      <c r="E799" s="160"/>
      <c r="F799" s="160"/>
      <c r="G799" s="160"/>
      <c r="H799" s="160"/>
      <c r="I799" s="160"/>
      <c r="J799" s="160"/>
      <c r="K799" s="160"/>
      <c r="L799" s="160"/>
      <c r="M799" s="160"/>
      <c r="N799" s="160"/>
      <c r="O799" s="160"/>
      <c r="P799" s="160"/>
      <c r="AE799" s="161"/>
    </row>
    <row r="800" spans="3:31" ht="15.75" customHeight="1">
      <c r="C800" s="160"/>
      <c r="D800" s="160"/>
      <c r="E800" s="160"/>
      <c r="F800" s="160"/>
      <c r="G800" s="160"/>
      <c r="H800" s="160"/>
      <c r="I800" s="160"/>
      <c r="J800" s="160"/>
      <c r="K800" s="160"/>
      <c r="L800" s="160"/>
      <c r="M800" s="160"/>
      <c r="N800" s="160"/>
      <c r="O800" s="160"/>
      <c r="P800" s="160"/>
      <c r="AE800" s="161"/>
    </row>
    <row r="801" spans="3:31" ht="15.75" customHeight="1">
      <c r="C801" s="160"/>
      <c r="D801" s="160"/>
      <c r="E801" s="160"/>
      <c r="F801" s="160"/>
      <c r="G801" s="160"/>
      <c r="H801" s="160"/>
      <c r="I801" s="160"/>
      <c r="J801" s="160"/>
      <c r="K801" s="160"/>
      <c r="L801" s="160"/>
      <c r="M801" s="160"/>
      <c r="N801" s="160"/>
      <c r="O801" s="160"/>
      <c r="P801" s="160"/>
      <c r="AE801" s="161"/>
    </row>
    <row r="802" spans="3:31" ht="15.75" customHeight="1">
      <c r="C802" s="160"/>
      <c r="D802" s="160"/>
      <c r="E802" s="160"/>
      <c r="F802" s="160"/>
      <c r="G802" s="160"/>
      <c r="H802" s="160"/>
      <c r="I802" s="160"/>
      <c r="J802" s="160"/>
      <c r="K802" s="160"/>
      <c r="L802" s="160"/>
      <c r="M802" s="160"/>
      <c r="N802" s="160"/>
      <c r="O802" s="160"/>
      <c r="P802" s="160"/>
      <c r="AE802" s="161"/>
    </row>
    <row r="803" spans="3:31" ht="15.75" customHeight="1">
      <c r="C803" s="160"/>
      <c r="D803" s="160"/>
      <c r="E803" s="160"/>
      <c r="F803" s="160"/>
      <c r="G803" s="160"/>
      <c r="H803" s="160"/>
      <c r="I803" s="160"/>
      <c r="J803" s="160"/>
      <c r="K803" s="160"/>
      <c r="L803" s="160"/>
      <c r="M803" s="160"/>
      <c r="N803" s="160"/>
      <c r="O803" s="160"/>
      <c r="P803" s="160"/>
      <c r="AE803" s="161"/>
    </row>
    <row r="804" spans="3:31" ht="15.75" customHeight="1">
      <c r="C804" s="160"/>
      <c r="D804" s="160"/>
      <c r="E804" s="160"/>
      <c r="F804" s="160"/>
      <c r="G804" s="160"/>
      <c r="H804" s="160"/>
      <c r="I804" s="160"/>
      <c r="J804" s="160"/>
      <c r="K804" s="160"/>
      <c r="L804" s="160"/>
      <c r="M804" s="160"/>
      <c r="N804" s="160"/>
      <c r="O804" s="160"/>
      <c r="P804" s="160"/>
      <c r="AE804" s="161"/>
    </row>
    <row r="805" spans="3:31" ht="15.75" customHeight="1">
      <c r="C805" s="160"/>
      <c r="D805" s="160"/>
      <c r="E805" s="160"/>
      <c r="F805" s="160"/>
      <c r="G805" s="160"/>
      <c r="H805" s="160"/>
      <c r="I805" s="160"/>
      <c r="J805" s="160"/>
      <c r="K805" s="160"/>
      <c r="L805" s="160"/>
      <c r="M805" s="160"/>
      <c r="N805" s="160"/>
      <c r="O805" s="160"/>
      <c r="P805" s="160"/>
      <c r="AE805" s="161"/>
    </row>
    <row r="806" spans="3:31" ht="15.75" customHeight="1">
      <c r="C806" s="160"/>
      <c r="D806" s="160"/>
      <c r="E806" s="160"/>
      <c r="F806" s="160"/>
      <c r="G806" s="160"/>
      <c r="H806" s="160"/>
      <c r="I806" s="160"/>
      <c r="J806" s="160"/>
      <c r="K806" s="160"/>
      <c r="L806" s="160"/>
      <c r="M806" s="160"/>
      <c r="N806" s="160"/>
      <c r="O806" s="160"/>
      <c r="P806" s="160"/>
      <c r="AE806" s="161"/>
    </row>
    <row r="807" spans="3:31" ht="15.75" customHeight="1">
      <c r="C807" s="160"/>
      <c r="D807" s="160"/>
      <c r="E807" s="160"/>
      <c r="F807" s="160"/>
      <c r="G807" s="160"/>
      <c r="H807" s="160"/>
      <c r="I807" s="160"/>
      <c r="J807" s="160"/>
      <c r="K807" s="160"/>
      <c r="L807" s="160"/>
      <c r="M807" s="160"/>
      <c r="N807" s="160"/>
      <c r="O807" s="160"/>
      <c r="P807" s="160"/>
      <c r="AE807" s="161"/>
    </row>
    <row r="808" spans="3:31" ht="15.75" customHeight="1">
      <c r="C808" s="160"/>
      <c r="D808" s="160"/>
      <c r="E808" s="160"/>
      <c r="F808" s="160"/>
      <c r="G808" s="160"/>
      <c r="H808" s="160"/>
      <c r="I808" s="160"/>
      <c r="J808" s="160"/>
      <c r="K808" s="160"/>
      <c r="L808" s="160"/>
      <c r="M808" s="160"/>
      <c r="N808" s="160"/>
      <c r="O808" s="160"/>
      <c r="P808" s="160"/>
      <c r="AE808" s="161"/>
    </row>
    <row r="809" spans="3:31" ht="15.75" customHeight="1">
      <c r="C809" s="160"/>
      <c r="D809" s="160"/>
      <c r="E809" s="160"/>
      <c r="F809" s="160"/>
      <c r="G809" s="160"/>
      <c r="H809" s="160"/>
      <c r="I809" s="160"/>
      <c r="J809" s="160"/>
      <c r="K809" s="160"/>
      <c r="L809" s="160"/>
      <c r="M809" s="160"/>
      <c r="N809" s="160"/>
      <c r="O809" s="160"/>
      <c r="P809" s="160"/>
      <c r="AE809" s="161"/>
    </row>
    <row r="810" spans="3:31" ht="15.75" customHeight="1">
      <c r="C810" s="160"/>
      <c r="D810" s="160"/>
      <c r="E810" s="160"/>
      <c r="F810" s="160"/>
      <c r="G810" s="160"/>
      <c r="H810" s="160"/>
      <c r="I810" s="160"/>
      <c r="J810" s="160"/>
      <c r="K810" s="160"/>
      <c r="L810" s="160"/>
      <c r="M810" s="160"/>
      <c r="N810" s="160"/>
      <c r="O810" s="160"/>
      <c r="P810" s="160"/>
      <c r="AE810" s="161"/>
    </row>
    <row r="811" spans="3:31" ht="15.75" customHeight="1">
      <c r="C811" s="160"/>
      <c r="D811" s="160"/>
      <c r="E811" s="160"/>
      <c r="F811" s="160"/>
      <c r="G811" s="160"/>
      <c r="H811" s="160"/>
      <c r="I811" s="160"/>
      <c r="J811" s="160"/>
      <c r="K811" s="160"/>
      <c r="L811" s="160"/>
      <c r="M811" s="160"/>
      <c r="N811" s="160"/>
      <c r="O811" s="160"/>
      <c r="P811" s="160"/>
      <c r="AE811" s="161"/>
    </row>
    <row r="812" spans="3:31" ht="15.75" customHeight="1">
      <c r="C812" s="160"/>
      <c r="D812" s="160"/>
      <c r="E812" s="160"/>
      <c r="F812" s="160"/>
      <c r="G812" s="160"/>
      <c r="H812" s="160"/>
      <c r="I812" s="160"/>
      <c r="J812" s="160"/>
      <c r="K812" s="160"/>
      <c r="L812" s="160"/>
      <c r="M812" s="160"/>
      <c r="N812" s="160"/>
      <c r="O812" s="160"/>
      <c r="P812" s="160"/>
      <c r="AE812" s="161"/>
    </row>
    <row r="813" spans="3:31" ht="15.75" customHeight="1">
      <c r="C813" s="160"/>
      <c r="D813" s="160"/>
      <c r="E813" s="160"/>
      <c r="F813" s="160"/>
      <c r="G813" s="160"/>
      <c r="H813" s="160"/>
      <c r="I813" s="160"/>
      <c r="J813" s="160"/>
      <c r="K813" s="160"/>
      <c r="L813" s="160"/>
      <c r="M813" s="160"/>
      <c r="N813" s="160"/>
      <c r="O813" s="160"/>
      <c r="P813" s="160"/>
      <c r="AE813" s="161"/>
    </row>
    <row r="814" spans="3:31" ht="15.75" customHeight="1">
      <c r="C814" s="160"/>
      <c r="D814" s="160"/>
      <c r="E814" s="160"/>
      <c r="F814" s="160"/>
      <c r="G814" s="160"/>
      <c r="H814" s="160"/>
      <c r="I814" s="160"/>
      <c r="J814" s="160"/>
      <c r="K814" s="160"/>
      <c r="L814" s="160"/>
      <c r="M814" s="160"/>
      <c r="N814" s="160"/>
      <c r="O814" s="160"/>
      <c r="P814" s="160"/>
      <c r="AE814" s="161"/>
    </row>
    <row r="815" spans="3:31" ht="15.75" customHeight="1">
      <c r="C815" s="160"/>
      <c r="D815" s="160"/>
      <c r="E815" s="160"/>
      <c r="F815" s="160"/>
      <c r="G815" s="160"/>
      <c r="H815" s="160"/>
      <c r="I815" s="160"/>
      <c r="J815" s="160"/>
      <c r="K815" s="160"/>
      <c r="L815" s="160"/>
      <c r="M815" s="160"/>
      <c r="N815" s="160"/>
      <c r="O815" s="160"/>
      <c r="P815" s="160"/>
      <c r="AE815" s="161"/>
    </row>
    <row r="816" spans="3:31" ht="15.75" customHeight="1">
      <c r="C816" s="160"/>
      <c r="D816" s="160"/>
      <c r="E816" s="160"/>
      <c r="F816" s="160"/>
      <c r="G816" s="160"/>
      <c r="H816" s="160"/>
      <c r="I816" s="160"/>
      <c r="J816" s="160"/>
      <c r="K816" s="160"/>
      <c r="L816" s="160"/>
      <c r="M816" s="160"/>
      <c r="N816" s="160"/>
      <c r="O816" s="160"/>
      <c r="P816" s="160"/>
      <c r="AE816" s="161"/>
    </row>
    <row r="817" spans="3:31" ht="15.75" customHeight="1">
      <c r="C817" s="160"/>
      <c r="D817" s="160"/>
      <c r="E817" s="160"/>
      <c r="F817" s="160"/>
      <c r="G817" s="160"/>
      <c r="H817" s="160"/>
      <c r="I817" s="160"/>
      <c r="J817" s="160"/>
      <c r="K817" s="160"/>
      <c r="L817" s="160"/>
      <c r="M817" s="160"/>
      <c r="N817" s="160"/>
      <c r="O817" s="160"/>
      <c r="P817" s="160"/>
      <c r="AE817" s="161"/>
    </row>
    <row r="818" spans="3:31" ht="15.75" customHeight="1">
      <c r="C818" s="160"/>
      <c r="D818" s="160"/>
      <c r="E818" s="160"/>
      <c r="F818" s="160"/>
      <c r="G818" s="160"/>
      <c r="H818" s="160"/>
      <c r="I818" s="160"/>
      <c r="J818" s="160"/>
      <c r="K818" s="160"/>
      <c r="L818" s="160"/>
      <c r="M818" s="160"/>
      <c r="N818" s="160"/>
      <c r="O818" s="160"/>
      <c r="P818" s="160"/>
      <c r="AE818" s="161"/>
    </row>
    <row r="819" spans="3:31" ht="15.75" customHeight="1">
      <c r="C819" s="160"/>
      <c r="D819" s="160"/>
      <c r="E819" s="160"/>
      <c r="F819" s="160"/>
      <c r="G819" s="160"/>
      <c r="H819" s="160"/>
      <c r="I819" s="160"/>
      <c r="J819" s="160"/>
      <c r="K819" s="160"/>
      <c r="L819" s="160"/>
      <c r="M819" s="160"/>
      <c r="N819" s="160"/>
      <c r="O819" s="160"/>
      <c r="P819" s="160"/>
      <c r="AE819" s="161"/>
    </row>
    <row r="820" spans="3:31" ht="15.75" customHeight="1">
      <c r="C820" s="160"/>
      <c r="D820" s="160"/>
      <c r="E820" s="160"/>
      <c r="F820" s="160"/>
      <c r="G820" s="160"/>
      <c r="H820" s="160"/>
      <c r="I820" s="160"/>
      <c r="J820" s="160"/>
      <c r="K820" s="160"/>
      <c r="L820" s="160"/>
      <c r="M820" s="160"/>
      <c r="N820" s="160"/>
      <c r="O820" s="160"/>
      <c r="P820" s="160"/>
      <c r="AE820" s="161"/>
    </row>
    <row r="821" spans="3:31" ht="15.75" customHeight="1">
      <c r="C821" s="160"/>
      <c r="D821" s="160"/>
      <c r="E821" s="160"/>
      <c r="F821" s="160"/>
      <c r="G821" s="160"/>
      <c r="H821" s="160"/>
      <c r="I821" s="160"/>
      <c r="J821" s="160"/>
      <c r="K821" s="160"/>
      <c r="L821" s="160"/>
      <c r="M821" s="160"/>
      <c r="N821" s="160"/>
      <c r="O821" s="160"/>
      <c r="P821" s="160"/>
      <c r="AE821" s="161"/>
    </row>
    <row r="822" spans="3:31" ht="15.75" customHeight="1">
      <c r="C822" s="160"/>
      <c r="D822" s="160"/>
      <c r="E822" s="160"/>
      <c r="F822" s="160"/>
      <c r="G822" s="160"/>
      <c r="H822" s="160"/>
      <c r="I822" s="160"/>
      <c r="J822" s="160"/>
      <c r="K822" s="160"/>
      <c r="L822" s="160"/>
      <c r="M822" s="160"/>
      <c r="N822" s="160"/>
      <c r="O822" s="160"/>
      <c r="P822" s="160"/>
      <c r="AE822" s="161"/>
    </row>
    <row r="823" spans="3:31" ht="15.75" customHeight="1">
      <c r="C823" s="160"/>
      <c r="D823" s="160"/>
      <c r="E823" s="160"/>
      <c r="F823" s="160"/>
      <c r="G823" s="160"/>
      <c r="H823" s="160"/>
      <c r="I823" s="160"/>
      <c r="J823" s="160"/>
      <c r="K823" s="160"/>
      <c r="L823" s="160"/>
      <c r="M823" s="160"/>
      <c r="N823" s="160"/>
      <c r="O823" s="160"/>
      <c r="P823" s="160"/>
      <c r="AE823" s="161"/>
    </row>
    <row r="824" spans="3:31" ht="15.75" customHeight="1">
      <c r="C824" s="160"/>
      <c r="D824" s="160"/>
      <c r="E824" s="160"/>
      <c r="F824" s="160"/>
      <c r="G824" s="160"/>
      <c r="H824" s="160"/>
      <c r="I824" s="160"/>
      <c r="J824" s="160"/>
      <c r="K824" s="160"/>
      <c r="L824" s="160"/>
      <c r="M824" s="160"/>
      <c r="N824" s="160"/>
      <c r="O824" s="160"/>
      <c r="P824" s="160"/>
      <c r="AE824" s="161"/>
    </row>
    <row r="825" spans="3:31" ht="15.75" customHeight="1">
      <c r="C825" s="160"/>
      <c r="D825" s="160"/>
      <c r="E825" s="160"/>
      <c r="F825" s="160"/>
      <c r="G825" s="160"/>
      <c r="H825" s="160"/>
      <c r="I825" s="160"/>
      <c r="J825" s="160"/>
      <c r="K825" s="160"/>
      <c r="L825" s="160"/>
      <c r="M825" s="160"/>
      <c r="N825" s="160"/>
      <c r="O825" s="160"/>
      <c r="P825" s="160"/>
      <c r="AE825" s="161"/>
    </row>
    <row r="826" spans="3:31" ht="15.75" customHeight="1">
      <c r="C826" s="160"/>
      <c r="D826" s="160"/>
      <c r="E826" s="160"/>
      <c r="F826" s="160"/>
      <c r="G826" s="160"/>
      <c r="H826" s="160"/>
      <c r="I826" s="160"/>
      <c r="J826" s="160"/>
      <c r="K826" s="160"/>
      <c r="L826" s="160"/>
      <c r="M826" s="160"/>
      <c r="N826" s="160"/>
      <c r="O826" s="160"/>
      <c r="P826" s="160"/>
      <c r="AE826" s="161"/>
    </row>
    <row r="827" spans="3:31" ht="15.75" customHeight="1">
      <c r="C827" s="160"/>
      <c r="D827" s="160"/>
      <c r="E827" s="160"/>
      <c r="F827" s="160"/>
      <c r="G827" s="160"/>
      <c r="H827" s="160"/>
      <c r="I827" s="160"/>
      <c r="J827" s="160"/>
      <c r="K827" s="160"/>
      <c r="L827" s="160"/>
      <c r="M827" s="160"/>
      <c r="N827" s="160"/>
      <c r="O827" s="160"/>
      <c r="P827" s="160"/>
      <c r="AE827" s="161"/>
    </row>
    <row r="828" spans="3:31" ht="15.75" customHeight="1">
      <c r="C828" s="160"/>
      <c r="D828" s="160"/>
      <c r="E828" s="160"/>
      <c r="F828" s="160"/>
      <c r="G828" s="160"/>
      <c r="H828" s="160"/>
      <c r="I828" s="160"/>
      <c r="J828" s="160"/>
      <c r="K828" s="160"/>
      <c r="L828" s="160"/>
      <c r="M828" s="160"/>
      <c r="N828" s="160"/>
      <c r="O828" s="160"/>
      <c r="P828" s="160"/>
      <c r="AE828" s="161"/>
    </row>
    <row r="829" spans="3:31" ht="15.75" customHeight="1">
      <c r="C829" s="160"/>
      <c r="D829" s="160"/>
      <c r="E829" s="160"/>
      <c r="F829" s="160"/>
      <c r="G829" s="160"/>
      <c r="H829" s="160"/>
      <c r="I829" s="160"/>
      <c r="J829" s="160"/>
      <c r="K829" s="160"/>
      <c r="L829" s="160"/>
      <c r="M829" s="160"/>
      <c r="N829" s="160"/>
      <c r="O829" s="160"/>
      <c r="P829" s="160"/>
      <c r="AE829" s="161"/>
    </row>
    <row r="830" spans="3:31" ht="15.75" customHeight="1">
      <c r="C830" s="160"/>
      <c r="D830" s="160"/>
      <c r="E830" s="160"/>
      <c r="F830" s="160"/>
      <c r="G830" s="160"/>
      <c r="H830" s="160"/>
      <c r="I830" s="160"/>
      <c r="J830" s="160"/>
      <c r="K830" s="160"/>
      <c r="L830" s="160"/>
      <c r="M830" s="160"/>
      <c r="N830" s="160"/>
      <c r="O830" s="160"/>
      <c r="P830" s="160"/>
      <c r="AE830" s="161"/>
    </row>
    <row r="831" spans="3:31" ht="15.75" customHeight="1">
      <c r="C831" s="160"/>
      <c r="D831" s="160"/>
      <c r="E831" s="160"/>
      <c r="F831" s="160"/>
      <c r="G831" s="160"/>
      <c r="H831" s="160"/>
      <c r="I831" s="160"/>
      <c r="J831" s="160"/>
      <c r="K831" s="160"/>
      <c r="L831" s="160"/>
      <c r="M831" s="160"/>
      <c r="N831" s="160"/>
      <c r="O831" s="160"/>
      <c r="P831" s="160"/>
      <c r="AE831" s="161"/>
    </row>
    <row r="832" spans="3:31" ht="15.75" customHeight="1">
      <c r="C832" s="160"/>
      <c r="D832" s="160"/>
      <c r="E832" s="160"/>
      <c r="F832" s="160"/>
      <c r="G832" s="160"/>
      <c r="H832" s="160"/>
      <c r="I832" s="160"/>
      <c r="J832" s="160"/>
      <c r="K832" s="160"/>
      <c r="L832" s="160"/>
      <c r="M832" s="160"/>
      <c r="N832" s="160"/>
      <c r="O832" s="160"/>
      <c r="P832" s="160"/>
      <c r="AE832" s="161"/>
    </row>
    <row r="833" spans="3:31" ht="15.75" customHeight="1">
      <c r="C833" s="160"/>
      <c r="D833" s="160"/>
      <c r="E833" s="160"/>
      <c r="F833" s="160"/>
      <c r="G833" s="160"/>
      <c r="H833" s="160"/>
      <c r="I833" s="160"/>
      <c r="J833" s="160"/>
      <c r="K833" s="160"/>
      <c r="L833" s="160"/>
      <c r="M833" s="160"/>
      <c r="N833" s="160"/>
      <c r="O833" s="160"/>
      <c r="P833" s="160"/>
      <c r="AE833" s="161"/>
    </row>
    <row r="834" spans="3:31" ht="15.75" customHeight="1">
      <c r="C834" s="160"/>
      <c r="D834" s="160"/>
      <c r="E834" s="160"/>
      <c r="F834" s="160"/>
      <c r="G834" s="160"/>
      <c r="H834" s="160"/>
      <c r="I834" s="160"/>
      <c r="J834" s="160"/>
      <c r="K834" s="160"/>
      <c r="L834" s="160"/>
      <c r="M834" s="160"/>
      <c r="N834" s="160"/>
      <c r="O834" s="160"/>
      <c r="P834" s="160"/>
      <c r="AE834" s="161"/>
    </row>
    <row r="835" spans="3:31" ht="15.75" customHeight="1">
      <c r="C835" s="160"/>
      <c r="D835" s="160"/>
      <c r="E835" s="160"/>
      <c r="F835" s="160"/>
      <c r="G835" s="160"/>
      <c r="H835" s="160"/>
      <c r="I835" s="160"/>
      <c r="J835" s="160"/>
      <c r="K835" s="160"/>
      <c r="L835" s="160"/>
      <c r="M835" s="160"/>
      <c r="N835" s="160"/>
      <c r="O835" s="160"/>
      <c r="P835" s="160"/>
      <c r="AE835" s="161"/>
    </row>
    <row r="836" spans="3:31" ht="15.75" customHeight="1">
      <c r="C836" s="160"/>
      <c r="D836" s="160"/>
      <c r="E836" s="160"/>
      <c r="F836" s="160"/>
      <c r="G836" s="160"/>
      <c r="H836" s="160"/>
      <c r="I836" s="160"/>
      <c r="J836" s="160"/>
      <c r="K836" s="160"/>
      <c r="L836" s="160"/>
      <c r="M836" s="160"/>
      <c r="N836" s="160"/>
      <c r="O836" s="160"/>
      <c r="P836" s="160"/>
      <c r="AE836" s="161"/>
    </row>
    <row r="837" spans="3:31" ht="15.75" customHeight="1">
      <c r="C837" s="160"/>
      <c r="D837" s="160"/>
      <c r="E837" s="160"/>
      <c r="F837" s="160"/>
      <c r="G837" s="160"/>
      <c r="H837" s="160"/>
      <c r="I837" s="160"/>
      <c r="J837" s="160"/>
      <c r="K837" s="160"/>
      <c r="L837" s="160"/>
      <c r="M837" s="160"/>
      <c r="N837" s="160"/>
      <c r="O837" s="160"/>
      <c r="P837" s="160"/>
      <c r="AE837" s="161"/>
    </row>
    <row r="838" spans="3:31" ht="15.75" customHeight="1">
      <c r="C838" s="160"/>
      <c r="D838" s="160"/>
      <c r="E838" s="160"/>
      <c r="F838" s="160"/>
      <c r="G838" s="160"/>
      <c r="H838" s="160"/>
      <c r="I838" s="160"/>
      <c r="J838" s="160"/>
      <c r="K838" s="160"/>
      <c r="L838" s="160"/>
      <c r="M838" s="160"/>
      <c r="N838" s="160"/>
      <c r="O838" s="160"/>
      <c r="P838" s="160"/>
      <c r="AE838" s="161"/>
    </row>
    <row r="839" spans="3:31" ht="15.75" customHeight="1">
      <c r="C839" s="160"/>
      <c r="D839" s="160"/>
      <c r="E839" s="160"/>
      <c r="F839" s="160"/>
      <c r="G839" s="160"/>
      <c r="H839" s="160"/>
      <c r="I839" s="160"/>
      <c r="J839" s="160"/>
      <c r="K839" s="160"/>
      <c r="L839" s="160"/>
      <c r="M839" s="160"/>
      <c r="N839" s="160"/>
      <c r="O839" s="160"/>
      <c r="P839" s="160"/>
      <c r="AE839" s="161"/>
    </row>
    <row r="840" spans="3:31" ht="15.75" customHeight="1">
      <c r="C840" s="160"/>
      <c r="D840" s="160"/>
      <c r="E840" s="160"/>
      <c r="F840" s="160"/>
      <c r="G840" s="160"/>
      <c r="H840" s="160"/>
      <c r="I840" s="160"/>
      <c r="J840" s="160"/>
      <c r="K840" s="160"/>
      <c r="L840" s="160"/>
      <c r="M840" s="160"/>
      <c r="N840" s="160"/>
      <c r="O840" s="160"/>
      <c r="P840" s="160"/>
      <c r="AE840" s="161"/>
    </row>
    <row r="841" spans="3:31" ht="15.75" customHeight="1">
      <c r="C841" s="160"/>
      <c r="D841" s="160"/>
      <c r="E841" s="160"/>
      <c r="F841" s="160"/>
      <c r="G841" s="160"/>
      <c r="H841" s="160"/>
      <c r="I841" s="160"/>
      <c r="J841" s="160"/>
      <c r="K841" s="160"/>
      <c r="L841" s="160"/>
      <c r="M841" s="160"/>
      <c r="N841" s="160"/>
      <c r="O841" s="160"/>
      <c r="P841" s="160"/>
      <c r="AE841" s="161"/>
    </row>
    <row r="842" spans="3:31" ht="15.75" customHeight="1">
      <c r="C842" s="160"/>
      <c r="D842" s="160"/>
      <c r="E842" s="160"/>
      <c r="F842" s="160"/>
      <c r="G842" s="160"/>
      <c r="H842" s="160"/>
      <c r="I842" s="160"/>
      <c r="J842" s="160"/>
      <c r="K842" s="160"/>
      <c r="L842" s="160"/>
      <c r="M842" s="160"/>
      <c r="N842" s="160"/>
      <c r="O842" s="160"/>
      <c r="P842" s="160"/>
      <c r="AE842" s="161"/>
    </row>
    <row r="843" spans="3:31" ht="15.75" customHeight="1">
      <c r="C843" s="160"/>
      <c r="D843" s="160"/>
      <c r="E843" s="160"/>
      <c r="F843" s="160"/>
      <c r="G843" s="160"/>
      <c r="H843" s="160"/>
      <c r="I843" s="160"/>
      <c r="J843" s="160"/>
      <c r="K843" s="160"/>
      <c r="L843" s="160"/>
      <c r="M843" s="160"/>
      <c r="N843" s="160"/>
      <c r="O843" s="160"/>
      <c r="P843" s="160"/>
      <c r="AE843" s="161"/>
    </row>
    <row r="844" spans="3:31" ht="15.75" customHeight="1">
      <c r="C844" s="160"/>
      <c r="D844" s="160"/>
      <c r="E844" s="160"/>
      <c r="F844" s="160"/>
      <c r="G844" s="160"/>
      <c r="H844" s="160"/>
      <c r="I844" s="160"/>
      <c r="J844" s="160"/>
      <c r="K844" s="160"/>
      <c r="L844" s="160"/>
      <c r="M844" s="160"/>
      <c r="N844" s="160"/>
      <c r="O844" s="160"/>
      <c r="P844" s="160"/>
      <c r="AE844" s="161"/>
    </row>
    <row r="845" spans="3:31" ht="15.75" customHeight="1">
      <c r="C845" s="160"/>
      <c r="D845" s="160"/>
      <c r="E845" s="160"/>
      <c r="F845" s="160"/>
      <c r="G845" s="160"/>
      <c r="H845" s="160"/>
      <c r="I845" s="160"/>
      <c r="J845" s="160"/>
      <c r="K845" s="160"/>
      <c r="L845" s="160"/>
      <c r="M845" s="160"/>
      <c r="N845" s="160"/>
      <c r="O845" s="160"/>
      <c r="P845" s="160"/>
      <c r="AE845" s="161"/>
    </row>
    <row r="846" spans="3:31" ht="15.75" customHeight="1">
      <c r="C846" s="160"/>
      <c r="D846" s="160"/>
      <c r="E846" s="160"/>
      <c r="F846" s="160"/>
      <c r="G846" s="160"/>
      <c r="H846" s="160"/>
      <c r="I846" s="160"/>
      <c r="J846" s="160"/>
      <c r="K846" s="160"/>
      <c r="L846" s="160"/>
      <c r="M846" s="160"/>
      <c r="N846" s="160"/>
      <c r="O846" s="160"/>
      <c r="P846" s="160"/>
      <c r="AE846" s="161"/>
    </row>
    <row r="847" spans="3:31" ht="15.75" customHeight="1">
      <c r="C847" s="160"/>
      <c r="D847" s="160"/>
      <c r="E847" s="160"/>
      <c r="F847" s="160"/>
      <c r="G847" s="160"/>
      <c r="H847" s="160"/>
      <c r="I847" s="160"/>
      <c r="J847" s="160"/>
      <c r="K847" s="160"/>
      <c r="L847" s="160"/>
      <c r="M847" s="160"/>
      <c r="N847" s="160"/>
      <c r="O847" s="160"/>
      <c r="P847" s="160"/>
      <c r="AE847" s="161"/>
    </row>
    <row r="848" spans="3:31" ht="15.75" customHeight="1">
      <c r="C848" s="160"/>
      <c r="D848" s="160"/>
      <c r="E848" s="160"/>
      <c r="F848" s="160"/>
      <c r="G848" s="160"/>
      <c r="H848" s="160"/>
      <c r="I848" s="160"/>
      <c r="J848" s="160"/>
      <c r="K848" s="160"/>
      <c r="L848" s="160"/>
      <c r="M848" s="160"/>
      <c r="N848" s="160"/>
      <c r="O848" s="160"/>
      <c r="P848" s="160"/>
      <c r="AE848" s="161"/>
    </row>
    <row r="849" spans="3:31" ht="15.75" customHeight="1">
      <c r="C849" s="160"/>
      <c r="D849" s="160"/>
      <c r="E849" s="160"/>
      <c r="F849" s="160"/>
      <c r="G849" s="160"/>
      <c r="H849" s="160"/>
      <c r="I849" s="160"/>
      <c r="J849" s="160"/>
      <c r="K849" s="160"/>
      <c r="L849" s="160"/>
      <c r="M849" s="160"/>
      <c r="N849" s="160"/>
      <c r="O849" s="160"/>
      <c r="P849" s="160"/>
      <c r="AE849" s="161"/>
    </row>
    <row r="850" spans="3:31" ht="15.75" customHeight="1">
      <c r="C850" s="160"/>
      <c r="D850" s="160"/>
      <c r="E850" s="160"/>
      <c r="F850" s="160"/>
      <c r="G850" s="160"/>
      <c r="H850" s="160"/>
      <c r="I850" s="160"/>
      <c r="J850" s="160"/>
      <c r="K850" s="160"/>
      <c r="L850" s="160"/>
      <c r="M850" s="160"/>
      <c r="N850" s="160"/>
      <c r="O850" s="160"/>
      <c r="P850" s="160"/>
      <c r="AE850" s="161"/>
    </row>
    <row r="851" spans="3:31" ht="15.75" customHeight="1">
      <c r="C851" s="160"/>
      <c r="D851" s="160"/>
      <c r="E851" s="160"/>
      <c r="F851" s="160"/>
      <c r="G851" s="160"/>
      <c r="H851" s="160"/>
      <c r="I851" s="160"/>
      <c r="J851" s="160"/>
      <c r="K851" s="160"/>
      <c r="L851" s="160"/>
      <c r="M851" s="160"/>
      <c r="N851" s="160"/>
      <c r="O851" s="160"/>
      <c r="P851" s="160"/>
      <c r="AE851" s="161"/>
    </row>
    <row r="852" spans="3:31" ht="15.75" customHeight="1">
      <c r="C852" s="160"/>
      <c r="D852" s="160"/>
      <c r="E852" s="160"/>
      <c r="F852" s="160"/>
      <c r="G852" s="160"/>
      <c r="H852" s="160"/>
      <c r="I852" s="160"/>
      <c r="J852" s="160"/>
      <c r="K852" s="160"/>
      <c r="L852" s="160"/>
      <c r="M852" s="160"/>
      <c r="N852" s="160"/>
      <c r="O852" s="160"/>
      <c r="P852" s="160"/>
      <c r="AE852" s="161"/>
    </row>
    <row r="853" spans="3:31" ht="15.75" customHeight="1">
      <c r="C853" s="160"/>
      <c r="D853" s="160"/>
      <c r="E853" s="160"/>
      <c r="F853" s="160"/>
      <c r="G853" s="160"/>
      <c r="H853" s="160"/>
      <c r="I853" s="160"/>
      <c r="J853" s="160"/>
      <c r="K853" s="160"/>
      <c r="L853" s="160"/>
      <c r="M853" s="160"/>
      <c r="N853" s="160"/>
      <c r="O853" s="160"/>
      <c r="P853" s="160"/>
      <c r="AE853" s="161"/>
    </row>
    <row r="854" spans="3:31" ht="15.75" customHeight="1">
      <c r="C854" s="160"/>
      <c r="D854" s="160"/>
      <c r="E854" s="160"/>
      <c r="F854" s="160"/>
      <c r="G854" s="160"/>
      <c r="H854" s="160"/>
      <c r="I854" s="160"/>
      <c r="J854" s="160"/>
      <c r="K854" s="160"/>
      <c r="L854" s="160"/>
      <c r="M854" s="160"/>
      <c r="N854" s="160"/>
      <c r="O854" s="160"/>
      <c r="P854" s="160"/>
      <c r="AE854" s="161"/>
    </row>
    <row r="855" spans="3:31" ht="15.75" customHeight="1">
      <c r="C855" s="160"/>
      <c r="D855" s="160"/>
      <c r="E855" s="160"/>
      <c r="F855" s="160"/>
      <c r="G855" s="160"/>
      <c r="H855" s="160"/>
      <c r="I855" s="160"/>
      <c r="J855" s="160"/>
      <c r="K855" s="160"/>
      <c r="L855" s="160"/>
      <c r="M855" s="160"/>
      <c r="N855" s="160"/>
      <c r="O855" s="160"/>
      <c r="P855" s="160"/>
      <c r="AE855" s="161"/>
    </row>
    <row r="856" spans="3:31" ht="15.75" customHeight="1">
      <c r="C856" s="160"/>
      <c r="D856" s="160"/>
      <c r="E856" s="160"/>
      <c r="F856" s="160"/>
      <c r="G856" s="160"/>
      <c r="H856" s="160"/>
      <c r="I856" s="160"/>
      <c r="J856" s="160"/>
      <c r="K856" s="160"/>
      <c r="L856" s="160"/>
      <c r="M856" s="160"/>
      <c r="N856" s="160"/>
      <c r="O856" s="160"/>
      <c r="P856" s="160"/>
      <c r="AE856" s="161"/>
    </row>
    <row r="857" spans="3:31" ht="15.75" customHeight="1">
      <c r="C857" s="160"/>
      <c r="D857" s="160"/>
      <c r="E857" s="160"/>
      <c r="F857" s="160"/>
      <c r="G857" s="160"/>
      <c r="H857" s="160"/>
      <c r="I857" s="160"/>
      <c r="J857" s="160"/>
      <c r="K857" s="160"/>
      <c r="L857" s="160"/>
      <c r="M857" s="160"/>
      <c r="N857" s="160"/>
      <c r="O857" s="160"/>
      <c r="P857" s="160"/>
      <c r="AE857" s="161"/>
    </row>
    <row r="858" spans="3:31" ht="15.75" customHeight="1">
      <c r="C858" s="160"/>
      <c r="D858" s="160"/>
      <c r="E858" s="160"/>
      <c r="F858" s="160"/>
      <c r="G858" s="160"/>
      <c r="H858" s="160"/>
      <c r="I858" s="160"/>
      <c r="J858" s="160"/>
      <c r="K858" s="160"/>
      <c r="L858" s="160"/>
      <c r="M858" s="160"/>
      <c r="N858" s="160"/>
      <c r="O858" s="160"/>
      <c r="P858" s="160"/>
      <c r="AE858" s="161"/>
    </row>
    <row r="859" spans="3:31" ht="15.75" customHeight="1">
      <c r="C859" s="160"/>
      <c r="D859" s="160"/>
      <c r="E859" s="160"/>
      <c r="F859" s="160"/>
      <c r="G859" s="160"/>
      <c r="H859" s="160"/>
      <c r="I859" s="160"/>
      <c r="J859" s="160"/>
      <c r="K859" s="160"/>
      <c r="L859" s="160"/>
      <c r="M859" s="160"/>
      <c r="N859" s="160"/>
      <c r="O859" s="160"/>
      <c r="P859" s="160"/>
      <c r="AE859" s="161"/>
    </row>
    <row r="860" spans="3:31" ht="15.75" customHeight="1">
      <c r="C860" s="160"/>
      <c r="D860" s="160"/>
      <c r="E860" s="160"/>
      <c r="F860" s="160"/>
      <c r="G860" s="160"/>
      <c r="H860" s="160"/>
      <c r="I860" s="160"/>
      <c r="J860" s="160"/>
      <c r="K860" s="160"/>
      <c r="L860" s="160"/>
      <c r="M860" s="160"/>
      <c r="N860" s="160"/>
      <c r="O860" s="160"/>
      <c r="P860" s="160"/>
      <c r="AE860" s="161"/>
    </row>
    <row r="861" spans="3:31" ht="15.75" customHeight="1">
      <c r="C861" s="160"/>
      <c r="D861" s="160"/>
      <c r="E861" s="160"/>
      <c r="F861" s="160"/>
      <c r="G861" s="160"/>
      <c r="H861" s="160"/>
      <c r="I861" s="160"/>
      <c r="J861" s="160"/>
      <c r="K861" s="160"/>
      <c r="L861" s="160"/>
      <c r="M861" s="160"/>
      <c r="N861" s="160"/>
      <c r="O861" s="160"/>
      <c r="P861" s="160"/>
      <c r="AE861" s="161"/>
    </row>
    <row r="862" spans="3:31" ht="15.75" customHeight="1">
      <c r="C862" s="160"/>
      <c r="D862" s="160"/>
      <c r="E862" s="160"/>
      <c r="F862" s="160"/>
      <c r="G862" s="160"/>
      <c r="H862" s="160"/>
      <c r="I862" s="160"/>
      <c r="J862" s="160"/>
      <c r="K862" s="160"/>
      <c r="L862" s="160"/>
      <c r="M862" s="160"/>
      <c r="N862" s="160"/>
      <c r="O862" s="160"/>
      <c r="P862" s="160"/>
      <c r="AE862" s="161"/>
    </row>
    <row r="863" spans="3:31" ht="15.75" customHeight="1">
      <c r="C863" s="160"/>
      <c r="D863" s="160"/>
      <c r="E863" s="160"/>
      <c r="F863" s="160"/>
      <c r="G863" s="160"/>
      <c r="H863" s="160"/>
      <c r="I863" s="160"/>
      <c r="J863" s="160"/>
      <c r="K863" s="160"/>
      <c r="L863" s="160"/>
      <c r="M863" s="160"/>
      <c r="N863" s="160"/>
      <c r="O863" s="160"/>
      <c r="P863" s="160"/>
      <c r="AE863" s="161"/>
    </row>
    <row r="864" spans="3:31" ht="15.75" customHeight="1">
      <c r="C864" s="160"/>
      <c r="D864" s="160"/>
      <c r="E864" s="160"/>
      <c r="F864" s="160"/>
      <c r="G864" s="160"/>
      <c r="H864" s="160"/>
      <c r="I864" s="160"/>
      <c r="J864" s="160"/>
      <c r="K864" s="160"/>
      <c r="L864" s="160"/>
      <c r="M864" s="160"/>
      <c r="N864" s="160"/>
      <c r="O864" s="160"/>
      <c r="P864" s="160"/>
      <c r="AE864" s="161"/>
    </row>
    <row r="865" spans="3:31" ht="15.75" customHeight="1">
      <c r="C865" s="160"/>
      <c r="D865" s="160"/>
      <c r="E865" s="160"/>
      <c r="F865" s="160"/>
      <c r="G865" s="160"/>
      <c r="H865" s="160"/>
      <c r="I865" s="160"/>
      <c r="J865" s="160"/>
      <c r="K865" s="160"/>
      <c r="L865" s="160"/>
      <c r="M865" s="160"/>
      <c r="N865" s="160"/>
      <c r="O865" s="160"/>
      <c r="P865" s="160"/>
      <c r="AE865" s="161"/>
    </row>
    <row r="866" spans="3:31" ht="15.75" customHeight="1">
      <c r="C866" s="160"/>
      <c r="D866" s="160"/>
      <c r="E866" s="160"/>
      <c r="F866" s="160"/>
      <c r="G866" s="160"/>
      <c r="H866" s="160"/>
      <c r="I866" s="160"/>
      <c r="J866" s="160"/>
      <c r="K866" s="160"/>
      <c r="L866" s="160"/>
      <c r="M866" s="160"/>
      <c r="N866" s="160"/>
      <c r="O866" s="160"/>
      <c r="P866" s="160"/>
      <c r="AE866" s="161"/>
    </row>
    <row r="867" spans="3:31" ht="15.75" customHeight="1">
      <c r="C867" s="160"/>
      <c r="D867" s="160"/>
      <c r="E867" s="160"/>
      <c r="F867" s="160"/>
      <c r="G867" s="160"/>
      <c r="H867" s="160"/>
      <c r="I867" s="160"/>
      <c r="J867" s="160"/>
      <c r="K867" s="160"/>
      <c r="L867" s="160"/>
      <c r="M867" s="160"/>
      <c r="N867" s="160"/>
      <c r="O867" s="160"/>
      <c r="P867" s="160"/>
      <c r="AE867" s="161"/>
    </row>
    <row r="868" spans="3:31" ht="15.75" customHeight="1">
      <c r="C868" s="160"/>
      <c r="D868" s="160"/>
      <c r="E868" s="160"/>
      <c r="F868" s="160"/>
      <c r="G868" s="160"/>
      <c r="H868" s="160"/>
      <c r="I868" s="160"/>
      <c r="J868" s="160"/>
      <c r="K868" s="160"/>
      <c r="L868" s="160"/>
      <c r="M868" s="160"/>
      <c r="N868" s="160"/>
      <c r="O868" s="160"/>
      <c r="P868" s="160"/>
      <c r="AE868" s="161"/>
    </row>
    <row r="869" spans="3:31" ht="15.75" customHeight="1">
      <c r="C869" s="160"/>
      <c r="D869" s="160"/>
      <c r="E869" s="160"/>
      <c r="F869" s="160"/>
      <c r="G869" s="160"/>
      <c r="H869" s="160"/>
      <c r="I869" s="160"/>
      <c r="J869" s="160"/>
      <c r="K869" s="160"/>
      <c r="L869" s="160"/>
      <c r="M869" s="160"/>
      <c r="N869" s="160"/>
      <c r="O869" s="160"/>
      <c r="P869" s="160"/>
      <c r="AE869" s="161"/>
    </row>
    <row r="870" spans="3:31" ht="15.75" customHeight="1">
      <c r="C870" s="160"/>
      <c r="D870" s="160"/>
      <c r="E870" s="160"/>
      <c r="F870" s="160"/>
      <c r="G870" s="160"/>
      <c r="H870" s="160"/>
      <c r="I870" s="160"/>
      <c r="J870" s="160"/>
      <c r="K870" s="160"/>
      <c r="L870" s="160"/>
      <c r="M870" s="160"/>
      <c r="N870" s="160"/>
      <c r="O870" s="160"/>
      <c r="P870" s="160"/>
      <c r="AE870" s="161"/>
    </row>
    <row r="871" spans="3:31" ht="15.75" customHeight="1">
      <c r="C871" s="160"/>
      <c r="D871" s="160"/>
      <c r="E871" s="160"/>
      <c r="F871" s="160"/>
      <c r="G871" s="160"/>
      <c r="H871" s="160"/>
      <c r="I871" s="160"/>
      <c r="J871" s="160"/>
      <c r="K871" s="160"/>
      <c r="L871" s="160"/>
      <c r="M871" s="160"/>
      <c r="N871" s="160"/>
      <c r="O871" s="160"/>
      <c r="P871" s="160"/>
      <c r="AE871" s="161"/>
    </row>
    <row r="872" spans="3:31" ht="15.75" customHeight="1">
      <c r="C872" s="160"/>
      <c r="D872" s="160"/>
      <c r="E872" s="160"/>
      <c r="F872" s="160"/>
      <c r="G872" s="160"/>
      <c r="H872" s="160"/>
      <c r="I872" s="160"/>
      <c r="J872" s="160"/>
      <c r="K872" s="160"/>
      <c r="L872" s="160"/>
      <c r="M872" s="160"/>
      <c r="N872" s="160"/>
      <c r="O872" s="160"/>
      <c r="P872" s="160"/>
      <c r="AE872" s="161"/>
    </row>
    <row r="873" spans="3:31" ht="15.75" customHeight="1">
      <c r="C873" s="160"/>
      <c r="D873" s="160"/>
      <c r="E873" s="160"/>
      <c r="F873" s="160"/>
      <c r="G873" s="160"/>
      <c r="H873" s="160"/>
      <c r="I873" s="160"/>
      <c r="J873" s="160"/>
      <c r="K873" s="160"/>
      <c r="L873" s="160"/>
      <c r="M873" s="160"/>
      <c r="N873" s="160"/>
      <c r="O873" s="160"/>
      <c r="P873" s="160"/>
      <c r="AE873" s="161"/>
    </row>
    <row r="874" spans="3:31" ht="15.75" customHeight="1">
      <c r="C874" s="160"/>
      <c r="D874" s="160"/>
      <c r="E874" s="160"/>
      <c r="F874" s="160"/>
      <c r="G874" s="160"/>
      <c r="H874" s="160"/>
      <c r="I874" s="160"/>
      <c r="J874" s="160"/>
      <c r="K874" s="160"/>
      <c r="L874" s="160"/>
      <c r="M874" s="160"/>
      <c r="N874" s="160"/>
      <c r="O874" s="160"/>
      <c r="P874" s="160"/>
      <c r="AE874" s="161"/>
    </row>
    <row r="875" spans="3:31" ht="15.75" customHeight="1">
      <c r="C875" s="160"/>
      <c r="D875" s="160"/>
      <c r="E875" s="160"/>
      <c r="F875" s="160"/>
      <c r="G875" s="160"/>
      <c r="H875" s="160"/>
      <c r="I875" s="160"/>
      <c r="J875" s="160"/>
      <c r="K875" s="160"/>
      <c r="L875" s="160"/>
      <c r="M875" s="160"/>
      <c r="N875" s="160"/>
      <c r="O875" s="160"/>
      <c r="P875" s="160"/>
      <c r="AE875" s="161"/>
    </row>
    <row r="876" spans="3:31" ht="15.75" customHeight="1">
      <c r="C876" s="160"/>
      <c r="D876" s="160"/>
      <c r="E876" s="160"/>
      <c r="F876" s="160"/>
      <c r="G876" s="160"/>
      <c r="H876" s="160"/>
      <c r="I876" s="160"/>
      <c r="J876" s="160"/>
      <c r="K876" s="160"/>
      <c r="L876" s="160"/>
      <c r="M876" s="160"/>
      <c r="N876" s="160"/>
      <c r="O876" s="160"/>
      <c r="P876" s="160"/>
      <c r="AE876" s="161"/>
    </row>
    <row r="877" spans="3:31" ht="15.75" customHeight="1">
      <c r="C877" s="160"/>
      <c r="D877" s="160"/>
      <c r="E877" s="160"/>
      <c r="F877" s="160"/>
      <c r="G877" s="160"/>
      <c r="H877" s="160"/>
      <c r="I877" s="160"/>
      <c r="J877" s="160"/>
      <c r="K877" s="160"/>
      <c r="L877" s="160"/>
      <c r="M877" s="160"/>
      <c r="N877" s="160"/>
      <c r="O877" s="160"/>
      <c r="P877" s="160"/>
      <c r="AE877" s="161"/>
    </row>
    <row r="878" spans="3:31" ht="15.75" customHeight="1">
      <c r="C878" s="160"/>
      <c r="D878" s="160"/>
      <c r="E878" s="160"/>
      <c r="F878" s="160"/>
      <c r="G878" s="160"/>
      <c r="H878" s="160"/>
      <c r="I878" s="160"/>
      <c r="J878" s="160"/>
      <c r="K878" s="160"/>
      <c r="L878" s="160"/>
      <c r="M878" s="160"/>
      <c r="N878" s="160"/>
      <c r="O878" s="160"/>
      <c r="P878" s="160"/>
      <c r="AE878" s="161"/>
    </row>
    <row r="879" spans="3:31" ht="15.75" customHeight="1">
      <c r="C879" s="160"/>
      <c r="D879" s="160"/>
      <c r="E879" s="160"/>
      <c r="F879" s="160"/>
      <c r="G879" s="160"/>
      <c r="H879" s="160"/>
      <c r="I879" s="160"/>
      <c r="J879" s="160"/>
      <c r="K879" s="160"/>
      <c r="L879" s="160"/>
      <c r="M879" s="160"/>
      <c r="N879" s="160"/>
      <c r="O879" s="160"/>
      <c r="P879" s="160"/>
      <c r="AE879" s="161"/>
    </row>
    <row r="880" spans="3:31" ht="15.75" customHeight="1">
      <c r="C880" s="160"/>
      <c r="D880" s="160"/>
      <c r="E880" s="160"/>
      <c r="F880" s="160"/>
      <c r="G880" s="160"/>
      <c r="H880" s="160"/>
      <c r="I880" s="160"/>
      <c r="J880" s="160"/>
      <c r="K880" s="160"/>
      <c r="L880" s="160"/>
      <c r="M880" s="160"/>
      <c r="N880" s="160"/>
      <c r="O880" s="160"/>
      <c r="P880" s="160"/>
      <c r="AE880" s="161"/>
    </row>
    <row r="881" spans="3:31" ht="15.75" customHeight="1">
      <c r="C881" s="160"/>
      <c r="D881" s="160"/>
      <c r="E881" s="160"/>
      <c r="F881" s="160"/>
      <c r="G881" s="160"/>
      <c r="H881" s="160"/>
      <c r="I881" s="160"/>
      <c r="J881" s="160"/>
      <c r="K881" s="160"/>
      <c r="L881" s="160"/>
      <c r="M881" s="160"/>
      <c r="N881" s="160"/>
      <c r="O881" s="160"/>
      <c r="P881" s="160"/>
      <c r="AE881" s="161"/>
    </row>
    <row r="882" spans="3:31" ht="15.75" customHeight="1">
      <c r="C882" s="160"/>
      <c r="D882" s="160"/>
      <c r="E882" s="160"/>
      <c r="F882" s="160"/>
      <c r="G882" s="160"/>
      <c r="H882" s="160"/>
      <c r="I882" s="160"/>
      <c r="J882" s="160"/>
      <c r="K882" s="160"/>
      <c r="L882" s="160"/>
      <c r="M882" s="160"/>
      <c r="N882" s="160"/>
      <c r="O882" s="160"/>
      <c r="P882" s="160"/>
      <c r="AE882" s="161"/>
    </row>
    <row r="883" spans="3:31" ht="15.75" customHeight="1">
      <c r="C883" s="160"/>
      <c r="D883" s="160"/>
      <c r="E883" s="160"/>
      <c r="F883" s="160"/>
      <c r="G883" s="160"/>
      <c r="H883" s="160"/>
      <c r="I883" s="160"/>
      <c r="J883" s="160"/>
      <c r="K883" s="160"/>
      <c r="L883" s="160"/>
      <c r="M883" s="160"/>
      <c r="N883" s="160"/>
      <c r="O883" s="160"/>
      <c r="P883" s="160"/>
      <c r="AE883" s="161"/>
    </row>
    <row r="884" spans="3:31" ht="15.75" customHeight="1">
      <c r="C884" s="160"/>
      <c r="D884" s="160"/>
      <c r="E884" s="160"/>
      <c r="F884" s="160"/>
      <c r="G884" s="160"/>
      <c r="H884" s="160"/>
      <c r="I884" s="160"/>
      <c r="J884" s="160"/>
      <c r="K884" s="160"/>
      <c r="L884" s="160"/>
      <c r="M884" s="160"/>
      <c r="N884" s="160"/>
      <c r="O884" s="160"/>
      <c r="P884" s="160"/>
      <c r="AE884" s="161"/>
    </row>
    <row r="885" spans="3:31" ht="15.75" customHeight="1">
      <c r="C885" s="160"/>
      <c r="D885" s="160"/>
      <c r="E885" s="160"/>
      <c r="F885" s="160"/>
      <c r="G885" s="160"/>
      <c r="H885" s="160"/>
      <c r="I885" s="160"/>
      <c r="J885" s="160"/>
      <c r="K885" s="160"/>
      <c r="L885" s="160"/>
      <c r="M885" s="160"/>
      <c r="N885" s="160"/>
      <c r="O885" s="160"/>
      <c r="P885" s="160"/>
      <c r="AE885" s="161"/>
    </row>
    <row r="886" spans="3:31" ht="15.75" customHeight="1">
      <c r="C886" s="160"/>
      <c r="D886" s="160"/>
      <c r="E886" s="160"/>
      <c r="F886" s="160"/>
      <c r="G886" s="160"/>
      <c r="H886" s="160"/>
      <c r="I886" s="160"/>
      <c r="J886" s="160"/>
      <c r="K886" s="160"/>
      <c r="L886" s="160"/>
      <c r="M886" s="160"/>
      <c r="N886" s="160"/>
      <c r="O886" s="160"/>
      <c r="P886" s="160"/>
      <c r="AE886" s="161"/>
    </row>
    <row r="887" spans="3:31" ht="15.75" customHeight="1">
      <c r="C887" s="160"/>
      <c r="D887" s="160"/>
      <c r="E887" s="160"/>
      <c r="F887" s="160"/>
      <c r="G887" s="160"/>
      <c r="H887" s="160"/>
      <c r="I887" s="160"/>
      <c r="J887" s="160"/>
      <c r="K887" s="160"/>
      <c r="L887" s="160"/>
      <c r="M887" s="160"/>
      <c r="N887" s="160"/>
      <c r="O887" s="160"/>
      <c r="P887" s="160"/>
      <c r="AE887" s="161"/>
    </row>
    <row r="888" spans="3:31" ht="15.75" customHeight="1">
      <c r="C888" s="160"/>
      <c r="D888" s="160"/>
      <c r="E888" s="160"/>
      <c r="F888" s="160"/>
      <c r="G888" s="160"/>
      <c r="H888" s="160"/>
      <c r="I888" s="160"/>
      <c r="J888" s="160"/>
      <c r="K888" s="160"/>
      <c r="L888" s="160"/>
      <c r="M888" s="160"/>
      <c r="N888" s="160"/>
      <c r="O888" s="160"/>
      <c r="P888" s="160"/>
      <c r="AE888" s="161"/>
    </row>
    <row r="889" spans="3:31" ht="15.75" customHeight="1">
      <c r="C889" s="160"/>
      <c r="D889" s="160"/>
      <c r="E889" s="160"/>
      <c r="F889" s="160"/>
      <c r="G889" s="160"/>
      <c r="H889" s="160"/>
      <c r="I889" s="160"/>
      <c r="J889" s="160"/>
      <c r="K889" s="160"/>
      <c r="L889" s="160"/>
      <c r="M889" s="160"/>
      <c r="N889" s="160"/>
      <c r="O889" s="160"/>
      <c r="P889" s="160"/>
      <c r="AE889" s="161"/>
    </row>
    <row r="890" spans="3:31" ht="15.75" customHeight="1">
      <c r="C890" s="160"/>
      <c r="D890" s="160"/>
      <c r="E890" s="160"/>
      <c r="F890" s="160"/>
      <c r="G890" s="160"/>
      <c r="H890" s="160"/>
      <c r="I890" s="160"/>
      <c r="J890" s="160"/>
      <c r="K890" s="160"/>
      <c r="L890" s="160"/>
      <c r="M890" s="160"/>
      <c r="N890" s="160"/>
      <c r="O890" s="160"/>
      <c r="P890" s="160"/>
      <c r="AE890" s="161"/>
    </row>
    <row r="891" spans="3:31" ht="15.75" customHeight="1">
      <c r="C891" s="160"/>
      <c r="D891" s="160"/>
      <c r="E891" s="160"/>
      <c r="F891" s="160"/>
      <c r="G891" s="160"/>
      <c r="H891" s="160"/>
      <c r="I891" s="160"/>
      <c r="J891" s="160"/>
      <c r="K891" s="160"/>
      <c r="L891" s="160"/>
      <c r="M891" s="160"/>
      <c r="N891" s="160"/>
      <c r="O891" s="160"/>
      <c r="P891" s="160"/>
      <c r="AE891" s="161"/>
    </row>
    <row r="892" spans="3:31" ht="15.75" customHeight="1">
      <c r="C892" s="160"/>
      <c r="D892" s="160"/>
      <c r="E892" s="160"/>
      <c r="F892" s="160"/>
      <c r="G892" s="160"/>
      <c r="H892" s="160"/>
      <c r="I892" s="160"/>
      <c r="J892" s="160"/>
      <c r="K892" s="160"/>
      <c r="L892" s="160"/>
      <c r="M892" s="160"/>
      <c r="N892" s="160"/>
      <c r="O892" s="160"/>
      <c r="P892" s="160"/>
      <c r="AE892" s="161"/>
    </row>
    <row r="893" spans="3:31" ht="15.75" customHeight="1">
      <c r="C893" s="160"/>
      <c r="D893" s="160"/>
      <c r="E893" s="160"/>
      <c r="F893" s="160"/>
      <c r="G893" s="160"/>
      <c r="H893" s="160"/>
      <c r="I893" s="160"/>
      <c r="J893" s="160"/>
      <c r="K893" s="160"/>
      <c r="L893" s="160"/>
      <c r="M893" s="160"/>
      <c r="N893" s="160"/>
      <c r="O893" s="160"/>
      <c r="P893" s="160"/>
      <c r="AE893" s="161"/>
    </row>
    <row r="894" spans="3:31" ht="15.75" customHeight="1">
      <c r="C894" s="160"/>
      <c r="D894" s="160"/>
      <c r="E894" s="160"/>
      <c r="F894" s="160"/>
      <c r="G894" s="160"/>
      <c r="H894" s="160"/>
      <c r="I894" s="160"/>
      <c r="J894" s="160"/>
      <c r="K894" s="160"/>
      <c r="L894" s="160"/>
      <c r="M894" s="160"/>
      <c r="N894" s="160"/>
      <c r="O894" s="160"/>
      <c r="P894" s="160"/>
      <c r="AE894" s="161"/>
    </row>
    <row r="895" spans="3:31" ht="15.75" customHeight="1">
      <c r="C895" s="160"/>
      <c r="D895" s="160"/>
      <c r="E895" s="160"/>
      <c r="F895" s="160"/>
      <c r="G895" s="160"/>
      <c r="H895" s="160"/>
      <c r="I895" s="160"/>
      <c r="J895" s="160"/>
      <c r="K895" s="160"/>
      <c r="L895" s="160"/>
      <c r="M895" s="160"/>
      <c r="N895" s="160"/>
      <c r="O895" s="160"/>
      <c r="P895" s="160"/>
      <c r="AE895" s="161"/>
    </row>
    <row r="896" spans="3:31" ht="15.75" customHeight="1">
      <c r="C896" s="160"/>
      <c r="D896" s="160"/>
      <c r="E896" s="160"/>
      <c r="F896" s="160"/>
      <c r="G896" s="160"/>
      <c r="H896" s="160"/>
      <c r="I896" s="160"/>
      <c r="J896" s="160"/>
      <c r="K896" s="160"/>
      <c r="L896" s="160"/>
      <c r="M896" s="160"/>
      <c r="N896" s="160"/>
      <c r="O896" s="160"/>
      <c r="P896" s="160"/>
      <c r="AE896" s="161"/>
    </row>
    <row r="897" spans="3:31" ht="15.75" customHeight="1">
      <c r="C897" s="160"/>
      <c r="D897" s="160"/>
      <c r="E897" s="160"/>
      <c r="F897" s="160"/>
      <c r="G897" s="160"/>
      <c r="H897" s="160"/>
      <c r="I897" s="160"/>
      <c r="J897" s="160"/>
      <c r="K897" s="160"/>
      <c r="L897" s="160"/>
      <c r="M897" s="160"/>
      <c r="N897" s="160"/>
      <c r="O897" s="160"/>
      <c r="P897" s="160"/>
      <c r="AE897" s="161"/>
    </row>
    <row r="898" spans="3:31" ht="15.75" customHeight="1">
      <c r="C898" s="160"/>
      <c r="D898" s="160"/>
      <c r="E898" s="160"/>
      <c r="F898" s="160"/>
      <c r="G898" s="160"/>
      <c r="H898" s="160"/>
      <c r="I898" s="160"/>
      <c r="J898" s="160"/>
      <c r="K898" s="160"/>
      <c r="L898" s="160"/>
      <c r="M898" s="160"/>
      <c r="N898" s="160"/>
      <c r="O898" s="160"/>
      <c r="P898" s="160"/>
      <c r="AE898" s="161"/>
    </row>
    <row r="899" spans="3:31" ht="15.75" customHeight="1">
      <c r="C899" s="160"/>
      <c r="D899" s="160"/>
      <c r="E899" s="160"/>
      <c r="F899" s="160"/>
      <c r="G899" s="160"/>
      <c r="H899" s="160"/>
      <c r="I899" s="160"/>
      <c r="J899" s="160"/>
      <c r="K899" s="160"/>
      <c r="L899" s="160"/>
      <c r="M899" s="160"/>
      <c r="N899" s="160"/>
      <c r="O899" s="160"/>
      <c r="P899" s="160"/>
      <c r="AE899" s="161"/>
    </row>
    <row r="900" spans="3:31" ht="15.75" customHeight="1">
      <c r="C900" s="160"/>
      <c r="D900" s="160"/>
      <c r="E900" s="160"/>
      <c r="F900" s="160"/>
      <c r="G900" s="160"/>
      <c r="H900" s="160"/>
      <c r="I900" s="160"/>
      <c r="J900" s="160"/>
      <c r="K900" s="160"/>
      <c r="L900" s="160"/>
      <c r="M900" s="160"/>
      <c r="N900" s="160"/>
      <c r="O900" s="160"/>
      <c r="P900" s="160"/>
      <c r="AE900" s="161"/>
    </row>
    <row r="901" spans="3:31" ht="15.75" customHeight="1">
      <c r="C901" s="160"/>
      <c r="D901" s="160"/>
      <c r="E901" s="160"/>
      <c r="F901" s="160"/>
      <c r="G901" s="160"/>
      <c r="H901" s="160"/>
      <c r="I901" s="160"/>
      <c r="J901" s="160"/>
      <c r="K901" s="160"/>
      <c r="L901" s="160"/>
      <c r="M901" s="160"/>
      <c r="N901" s="160"/>
      <c r="O901" s="160"/>
      <c r="P901" s="160"/>
      <c r="AE901" s="161"/>
    </row>
    <row r="902" spans="3:31" ht="15.75" customHeight="1">
      <c r="C902" s="160"/>
      <c r="D902" s="160"/>
      <c r="E902" s="160"/>
      <c r="F902" s="160"/>
      <c r="G902" s="160"/>
      <c r="H902" s="160"/>
      <c r="I902" s="160"/>
      <c r="J902" s="160"/>
      <c r="K902" s="160"/>
      <c r="L902" s="160"/>
      <c r="M902" s="160"/>
      <c r="N902" s="160"/>
      <c r="O902" s="160"/>
      <c r="P902" s="160"/>
      <c r="AE902" s="161"/>
    </row>
    <row r="903" spans="3:31" ht="15.75" customHeight="1">
      <c r="C903" s="160"/>
      <c r="D903" s="160"/>
      <c r="E903" s="160"/>
      <c r="F903" s="160"/>
      <c r="G903" s="160"/>
      <c r="H903" s="160"/>
      <c r="I903" s="160"/>
      <c r="J903" s="160"/>
      <c r="K903" s="160"/>
      <c r="L903" s="160"/>
      <c r="M903" s="160"/>
      <c r="N903" s="160"/>
      <c r="O903" s="160"/>
      <c r="P903" s="160"/>
      <c r="AE903" s="161"/>
    </row>
    <row r="904" spans="3:31" ht="15.75" customHeight="1">
      <c r="C904" s="160"/>
      <c r="D904" s="160"/>
      <c r="E904" s="160"/>
      <c r="F904" s="160"/>
      <c r="G904" s="160"/>
      <c r="H904" s="160"/>
      <c r="I904" s="160"/>
      <c r="J904" s="160"/>
      <c r="K904" s="160"/>
      <c r="L904" s="160"/>
      <c r="M904" s="160"/>
      <c r="N904" s="160"/>
      <c r="O904" s="160"/>
      <c r="P904" s="160"/>
      <c r="AE904" s="161"/>
    </row>
    <row r="905" spans="3:31" ht="15.75" customHeight="1">
      <c r="C905" s="160"/>
      <c r="D905" s="160"/>
      <c r="E905" s="160"/>
      <c r="F905" s="160"/>
      <c r="G905" s="160"/>
      <c r="H905" s="160"/>
      <c r="I905" s="160"/>
      <c r="J905" s="160"/>
      <c r="K905" s="160"/>
      <c r="L905" s="160"/>
      <c r="M905" s="160"/>
      <c r="N905" s="160"/>
      <c r="O905" s="160"/>
      <c r="P905" s="160"/>
      <c r="AE905" s="161"/>
    </row>
    <row r="906" spans="3:31" ht="15.75" customHeight="1">
      <c r="C906" s="160"/>
      <c r="D906" s="160"/>
      <c r="E906" s="160"/>
      <c r="F906" s="160"/>
      <c r="G906" s="160"/>
      <c r="H906" s="160"/>
      <c r="I906" s="160"/>
      <c r="J906" s="160"/>
      <c r="K906" s="160"/>
      <c r="L906" s="160"/>
      <c r="M906" s="160"/>
      <c r="N906" s="160"/>
      <c r="O906" s="160"/>
      <c r="P906" s="160"/>
      <c r="AE906" s="161"/>
    </row>
    <row r="907" spans="3:31" ht="15.75" customHeight="1">
      <c r="C907" s="160"/>
      <c r="D907" s="160"/>
      <c r="E907" s="160"/>
      <c r="F907" s="160"/>
      <c r="G907" s="160"/>
      <c r="H907" s="160"/>
      <c r="I907" s="160"/>
      <c r="J907" s="160"/>
      <c r="K907" s="160"/>
      <c r="L907" s="160"/>
      <c r="M907" s="160"/>
      <c r="N907" s="160"/>
      <c r="O907" s="160"/>
      <c r="P907" s="160"/>
      <c r="AE907" s="161"/>
    </row>
    <row r="908" spans="3:31" ht="15.75" customHeight="1">
      <c r="C908" s="160"/>
      <c r="D908" s="160"/>
      <c r="E908" s="160"/>
      <c r="F908" s="160"/>
      <c r="G908" s="160"/>
      <c r="H908" s="160"/>
      <c r="I908" s="160"/>
      <c r="J908" s="160"/>
      <c r="K908" s="160"/>
      <c r="L908" s="160"/>
      <c r="M908" s="160"/>
      <c r="N908" s="160"/>
      <c r="O908" s="160"/>
      <c r="P908" s="160"/>
      <c r="AE908" s="161"/>
    </row>
    <row r="909" spans="3:31" ht="15.75" customHeight="1">
      <c r="C909" s="160"/>
      <c r="D909" s="160"/>
      <c r="E909" s="160"/>
      <c r="F909" s="160"/>
      <c r="G909" s="160"/>
      <c r="H909" s="160"/>
      <c r="I909" s="160"/>
      <c r="J909" s="160"/>
      <c r="K909" s="160"/>
      <c r="L909" s="160"/>
      <c r="M909" s="160"/>
      <c r="N909" s="160"/>
      <c r="O909" s="160"/>
      <c r="P909" s="160"/>
      <c r="AE909" s="161"/>
    </row>
    <row r="910" spans="3:31" ht="15.75" customHeight="1">
      <c r="C910" s="160"/>
      <c r="D910" s="160"/>
      <c r="E910" s="160"/>
      <c r="F910" s="160"/>
      <c r="G910" s="160"/>
      <c r="H910" s="160"/>
      <c r="I910" s="160"/>
      <c r="J910" s="160"/>
      <c r="K910" s="160"/>
      <c r="L910" s="160"/>
      <c r="M910" s="160"/>
      <c r="N910" s="160"/>
      <c r="O910" s="160"/>
      <c r="P910" s="160"/>
      <c r="AE910" s="161"/>
    </row>
    <row r="911" spans="3:31" ht="15.75" customHeight="1">
      <c r="C911" s="160"/>
      <c r="D911" s="160"/>
      <c r="E911" s="160"/>
      <c r="F911" s="160"/>
      <c r="G911" s="160"/>
      <c r="H911" s="160"/>
      <c r="I911" s="160"/>
      <c r="J911" s="160"/>
      <c r="K911" s="160"/>
      <c r="L911" s="160"/>
      <c r="M911" s="160"/>
      <c r="N911" s="160"/>
      <c r="O911" s="160"/>
      <c r="P911" s="160"/>
      <c r="AE911" s="161"/>
    </row>
    <row r="912" spans="3:31" ht="15.75" customHeight="1">
      <c r="C912" s="160"/>
      <c r="D912" s="160"/>
      <c r="E912" s="160"/>
      <c r="F912" s="160"/>
      <c r="G912" s="160"/>
      <c r="H912" s="160"/>
      <c r="I912" s="160"/>
      <c r="J912" s="160"/>
      <c r="K912" s="160"/>
      <c r="L912" s="160"/>
      <c r="M912" s="160"/>
      <c r="N912" s="160"/>
      <c r="O912" s="160"/>
      <c r="P912" s="160"/>
      <c r="AE912" s="161"/>
    </row>
    <row r="913" spans="3:31" ht="15.75" customHeight="1">
      <c r="C913" s="160"/>
      <c r="D913" s="160"/>
      <c r="E913" s="160"/>
      <c r="F913" s="160"/>
      <c r="G913" s="160"/>
      <c r="H913" s="160"/>
      <c r="I913" s="160"/>
      <c r="J913" s="160"/>
      <c r="K913" s="160"/>
      <c r="L913" s="160"/>
      <c r="M913" s="160"/>
      <c r="N913" s="160"/>
      <c r="O913" s="160"/>
      <c r="P913" s="160"/>
      <c r="AE913" s="161"/>
    </row>
    <row r="914" spans="3:31" ht="15.75" customHeight="1">
      <c r="C914" s="160"/>
      <c r="D914" s="160"/>
      <c r="E914" s="160"/>
      <c r="F914" s="160"/>
      <c r="G914" s="160"/>
      <c r="H914" s="160"/>
      <c r="I914" s="160"/>
      <c r="J914" s="160"/>
      <c r="K914" s="160"/>
      <c r="L914" s="160"/>
      <c r="M914" s="160"/>
      <c r="N914" s="160"/>
      <c r="O914" s="160"/>
      <c r="P914" s="160"/>
      <c r="AE914" s="161"/>
    </row>
    <row r="915" spans="3:31" ht="15.75" customHeight="1">
      <c r="C915" s="160"/>
      <c r="D915" s="160"/>
      <c r="E915" s="160"/>
      <c r="F915" s="160"/>
      <c r="G915" s="160"/>
      <c r="H915" s="160"/>
      <c r="I915" s="160"/>
      <c r="J915" s="160"/>
      <c r="K915" s="160"/>
      <c r="L915" s="160"/>
      <c r="M915" s="160"/>
      <c r="N915" s="160"/>
      <c r="O915" s="160"/>
      <c r="P915" s="160"/>
      <c r="AE915" s="161"/>
    </row>
    <row r="916" spans="3:31" ht="15.75" customHeight="1">
      <c r="C916" s="160"/>
      <c r="D916" s="160"/>
      <c r="E916" s="160"/>
      <c r="F916" s="160"/>
      <c r="G916" s="160"/>
      <c r="H916" s="160"/>
      <c r="I916" s="160"/>
      <c r="J916" s="160"/>
      <c r="K916" s="160"/>
      <c r="L916" s="160"/>
      <c r="M916" s="160"/>
      <c r="N916" s="160"/>
      <c r="O916" s="160"/>
      <c r="P916" s="160"/>
      <c r="AE916" s="161"/>
    </row>
    <row r="917" spans="3:31" ht="15.75" customHeight="1">
      <c r="C917" s="160"/>
      <c r="D917" s="160"/>
      <c r="E917" s="160"/>
      <c r="F917" s="160"/>
      <c r="G917" s="160"/>
      <c r="H917" s="160"/>
      <c r="I917" s="160"/>
      <c r="J917" s="160"/>
      <c r="K917" s="160"/>
      <c r="L917" s="160"/>
      <c r="M917" s="160"/>
      <c r="N917" s="160"/>
      <c r="O917" s="160"/>
      <c r="P917" s="160"/>
      <c r="AE917" s="161"/>
    </row>
    <row r="918" spans="3:31" ht="15.75" customHeight="1">
      <c r="C918" s="160"/>
      <c r="D918" s="160"/>
      <c r="E918" s="160"/>
      <c r="F918" s="160"/>
      <c r="G918" s="160"/>
      <c r="H918" s="160"/>
      <c r="I918" s="160"/>
      <c r="J918" s="160"/>
      <c r="K918" s="160"/>
      <c r="L918" s="160"/>
      <c r="M918" s="160"/>
      <c r="N918" s="160"/>
      <c r="O918" s="160"/>
      <c r="P918" s="160"/>
      <c r="AE918" s="161"/>
    </row>
    <row r="919" spans="3:31" ht="15.75" customHeight="1">
      <c r="C919" s="160"/>
      <c r="D919" s="160"/>
      <c r="E919" s="160"/>
      <c r="F919" s="160"/>
      <c r="G919" s="160"/>
      <c r="H919" s="160"/>
      <c r="I919" s="160"/>
      <c r="J919" s="160"/>
      <c r="K919" s="160"/>
      <c r="L919" s="160"/>
      <c r="M919" s="160"/>
      <c r="N919" s="160"/>
      <c r="O919" s="160"/>
      <c r="P919" s="160"/>
      <c r="AE919" s="161"/>
    </row>
    <row r="920" spans="3:31" ht="15.75" customHeight="1">
      <c r="C920" s="160"/>
      <c r="D920" s="160"/>
      <c r="E920" s="160"/>
      <c r="F920" s="160"/>
      <c r="G920" s="160"/>
      <c r="H920" s="160"/>
      <c r="I920" s="160"/>
      <c r="J920" s="160"/>
      <c r="K920" s="160"/>
      <c r="L920" s="160"/>
      <c r="M920" s="160"/>
      <c r="N920" s="160"/>
      <c r="O920" s="160"/>
      <c r="P920" s="160"/>
      <c r="AE920" s="161"/>
    </row>
    <row r="921" spans="3:31" ht="15.75" customHeight="1">
      <c r="C921" s="160"/>
      <c r="D921" s="160"/>
      <c r="E921" s="160"/>
      <c r="F921" s="160"/>
      <c r="G921" s="160"/>
      <c r="H921" s="160"/>
      <c r="I921" s="160"/>
      <c r="J921" s="160"/>
      <c r="K921" s="160"/>
      <c r="L921" s="160"/>
      <c r="M921" s="160"/>
      <c r="N921" s="160"/>
      <c r="O921" s="160"/>
      <c r="P921" s="160"/>
      <c r="AE921" s="161"/>
    </row>
    <row r="922" spans="3:31" ht="15.75" customHeight="1">
      <c r="C922" s="160"/>
      <c r="D922" s="160"/>
      <c r="E922" s="160"/>
      <c r="F922" s="160"/>
      <c r="G922" s="160"/>
      <c r="H922" s="160"/>
      <c r="I922" s="160"/>
      <c r="J922" s="160"/>
      <c r="K922" s="160"/>
      <c r="L922" s="160"/>
      <c r="M922" s="160"/>
      <c r="N922" s="160"/>
      <c r="O922" s="160"/>
      <c r="P922" s="160"/>
      <c r="AE922" s="161"/>
    </row>
    <row r="923" spans="3:31" ht="15.75" customHeight="1">
      <c r="C923" s="160"/>
      <c r="D923" s="160"/>
      <c r="E923" s="160"/>
      <c r="F923" s="160"/>
      <c r="G923" s="160"/>
      <c r="H923" s="160"/>
      <c r="I923" s="160"/>
      <c r="J923" s="160"/>
      <c r="K923" s="160"/>
      <c r="L923" s="160"/>
      <c r="M923" s="160"/>
      <c r="N923" s="160"/>
      <c r="O923" s="160"/>
      <c r="P923" s="160"/>
      <c r="AE923" s="161"/>
    </row>
    <row r="924" spans="3:31" ht="15.75" customHeight="1">
      <c r="C924" s="160"/>
      <c r="D924" s="160"/>
      <c r="E924" s="160"/>
      <c r="F924" s="160"/>
      <c r="G924" s="160"/>
      <c r="H924" s="160"/>
      <c r="I924" s="160"/>
      <c r="J924" s="160"/>
      <c r="K924" s="160"/>
      <c r="L924" s="160"/>
      <c r="M924" s="160"/>
      <c r="N924" s="160"/>
      <c r="O924" s="160"/>
      <c r="P924" s="160"/>
      <c r="AE924" s="161"/>
    </row>
    <row r="925" spans="3:31" ht="15.75" customHeight="1">
      <c r="C925" s="160"/>
      <c r="D925" s="160"/>
      <c r="E925" s="160"/>
      <c r="F925" s="160"/>
      <c r="G925" s="160"/>
      <c r="H925" s="160"/>
      <c r="I925" s="160"/>
      <c r="J925" s="160"/>
      <c r="K925" s="160"/>
      <c r="L925" s="160"/>
      <c r="M925" s="160"/>
      <c r="N925" s="160"/>
      <c r="O925" s="160"/>
      <c r="P925" s="160"/>
      <c r="AE925" s="161"/>
    </row>
    <row r="926" spans="3:31" ht="15.75" customHeight="1">
      <c r="C926" s="160"/>
      <c r="D926" s="160"/>
      <c r="E926" s="160"/>
      <c r="F926" s="160"/>
      <c r="G926" s="160"/>
      <c r="H926" s="160"/>
      <c r="I926" s="160"/>
      <c r="J926" s="160"/>
      <c r="K926" s="160"/>
      <c r="L926" s="160"/>
      <c r="M926" s="160"/>
      <c r="N926" s="160"/>
      <c r="O926" s="160"/>
      <c r="P926" s="160"/>
      <c r="AE926" s="161"/>
    </row>
    <row r="927" spans="3:31" ht="15.75" customHeight="1">
      <c r="C927" s="160"/>
      <c r="D927" s="160"/>
      <c r="E927" s="160"/>
      <c r="F927" s="160"/>
      <c r="G927" s="160"/>
      <c r="H927" s="160"/>
      <c r="I927" s="160"/>
      <c r="J927" s="160"/>
      <c r="K927" s="160"/>
      <c r="L927" s="160"/>
      <c r="M927" s="160"/>
      <c r="N927" s="160"/>
      <c r="O927" s="160"/>
      <c r="P927" s="160"/>
      <c r="AE927" s="161"/>
    </row>
    <row r="928" spans="3:31" ht="15.75" customHeight="1">
      <c r="C928" s="160"/>
      <c r="D928" s="160"/>
      <c r="E928" s="160"/>
      <c r="F928" s="160"/>
      <c r="G928" s="160"/>
      <c r="H928" s="160"/>
      <c r="I928" s="160"/>
      <c r="J928" s="160"/>
      <c r="K928" s="160"/>
      <c r="L928" s="160"/>
      <c r="M928" s="160"/>
      <c r="N928" s="160"/>
      <c r="O928" s="160"/>
      <c r="P928" s="160"/>
      <c r="AE928" s="161"/>
    </row>
    <row r="929" spans="3:31" ht="15.75" customHeight="1">
      <c r="C929" s="160"/>
      <c r="D929" s="160"/>
      <c r="E929" s="160"/>
      <c r="F929" s="160"/>
      <c r="G929" s="160"/>
      <c r="H929" s="160"/>
      <c r="I929" s="160"/>
      <c r="J929" s="160"/>
      <c r="K929" s="160"/>
      <c r="L929" s="160"/>
      <c r="M929" s="160"/>
      <c r="N929" s="160"/>
      <c r="O929" s="160"/>
      <c r="P929" s="160"/>
      <c r="AE929" s="161"/>
    </row>
    <row r="930" spans="3:31" ht="15.75" customHeight="1">
      <c r="C930" s="160"/>
      <c r="D930" s="160"/>
      <c r="E930" s="160"/>
      <c r="F930" s="160"/>
      <c r="G930" s="160"/>
      <c r="H930" s="160"/>
      <c r="I930" s="160"/>
      <c r="J930" s="160"/>
      <c r="K930" s="160"/>
      <c r="L930" s="160"/>
      <c r="M930" s="160"/>
      <c r="N930" s="160"/>
      <c r="O930" s="160"/>
      <c r="P930" s="160"/>
      <c r="AE930" s="161"/>
    </row>
    <row r="931" spans="3:31" ht="15.75" customHeight="1">
      <c r="C931" s="160"/>
      <c r="D931" s="160"/>
      <c r="E931" s="160"/>
      <c r="F931" s="160"/>
      <c r="G931" s="160"/>
      <c r="H931" s="160"/>
      <c r="I931" s="160"/>
      <c r="J931" s="160"/>
      <c r="K931" s="160"/>
      <c r="L931" s="160"/>
      <c r="M931" s="160"/>
      <c r="N931" s="160"/>
      <c r="O931" s="160"/>
      <c r="P931" s="160"/>
      <c r="AE931" s="161"/>
    </row>
    <row r="932" spans="3:31" ht="15.75" customHeight="1">
      <c r="C932" s="160"/>
      <c r="D932" s="160"/>
      <c r="E932" s="160"/>
      <c r="F932" s="160"/>
      <c r="G932" s="160"/>
      <c r="H932" s="160"/>
      <c r="I932" s="160"/>
      <c r="J932" s="160"/>
      <c r="K932" s="160"/>
      <c r="L932" s="160"/>
      <c r="M932" s="160"/>
      <c r="N932" s="160"/>
      <c r="O932" s="160"/>
      <c r="P932" s="160"/>
      <c r="AE932" s="161"/>
    </row>
    <row r="933" spans="3:31" ht="15.75" customHeight="1">
      <c r="C933" s="160"/>
      <c r="D933" s="160"/>
      <c r="E933" s="160"/>
      <c r="F933" s="160"/>
      <c r="G933" s="160"/>
      <c r="H933" s="160"/>
      <c r="I933" s="160"/>
      <c r="J933" s="160"/>
      <c r="K933" s="160"/>
      <c r="L933" s="160"/>
      <c r="M933" s="160"/>
      <c r="N933" s="160"/>
      <c r="O933" s="160"/>
      <c r="P933" s="160"/>
      <c r="AE933" s="161"/>
    </row>
    <row r="934" spans="3:31" ht="15.75" customHeight="1">
      <c r="C934" s="160"/>
      <c r="D934" s="160"/>
      <c r="E934" s="160"/>
      <c r="F934" s="160"/>
      <c r="G934" s="160"/>
      <c r="H934" s="160"/>
      <c r="I934" s="160"/>
      <c r="J934" s="160"/>
      <c r="K934" s="160"/>
      <c r="L934" s="160"/>
      <c r="M934" s="160"/>
      <c r="N934" s="160"/>
      <c r="O934" s="160"/>
      <c r="P934" s="160"/>
      <c r="AE934" s="161"/>
    </row>
    <row r="935" spans="3:31" ht="15.75" customHeight="1">
      <c r="C935" s="160"/>
      <c r="D935" s="160"/>
      <c r="E935" s="160"/>
      <c r="F935" s="160"/>
      <c r="G935" s="160"/>
      <c r="H935" s="160"/>
      <c r="I935" s="160"/>
      <c r="J935" s="160"/>
      <c r="K935" s="160"/>
      <c r="L935" s="160"/>
      <c r="M935" s="160"/>
      <c r="N935" s="160"/>
      <c r="O935" s="160"/>
      <c r="P935" s="160"/>
      <c r="AE935" s="161"/>
    </row>
    <row r="936" spans="3:31" ht="15.75" customHeight="1">
      <c r="C936" s="160"/>
      <c r="D936" s="160"/>
      <c r="E936" s="160"/>
      <c r="F936" s="160"/>
      <c r="G936" s="160"/>
      <c r="H936" s="160"/>
      <c r="I936" s="160"/>
      <c r="J936" s="160"/>
      <c r="K936" s="160"/>
      <c r="L936" s="160"/>
      <c r="M936" s="160"/>
      <c r="N936" s="160"/>
      <c r="O936" s="160"/>
      <c r="P936" s="160"/>
      <c r="AE936" s="161"/>
    </row>
    <row r="937" spans="3:31" ht="15.75" customHeight="1">
      <c r="C937" s="160"/>
      <c r="D937" s="160"/>
      <c r="E937" s="160"/>
      <c r="F937" s="160"/>
      <c r="G937" s="160"/>
      <c r="H937" s="160"/>
      <c r="I937" s="160"/>
      <c r="J937" s="160"/>
      <c r="K937" s="160"/>
      <c r="L937" s="160"/>
      <c r="M937" s="160"/>
      <c r="N937" s="160"/>
      <c r="O937" s="160"/>
      <c r="P937" s="160"/>
      <c r="AE937" s="161"/>
    </row>
    <row r="938" spans="3:31" ht="15.75" customHeight="1">
      <c r="C938" s="160"/>
      <c r="D938" s="160"/>
      <c r="E938" s="160"/>
      <c r="F938" s="160"/>
      <c r="G938" s="160"/>
      <c r="H938" s="160"/>
      <c r="I938" s="160"/>
      <c r="J938" s="160"/>
      <c r="K938" s="160"/>
      <c r="L938" s="160"/>
      <c r="M938" s="160"/>
      <c r="N938" s="160"/>
      <c r="O938" s="160"/>
      <c r="P938" s="160"/>
      <c r="AE938" s="161"/>
    </row>
    <row r="939" spans="3:31" ht="15.75" customHeight="1">
      <c r="C939" s="160"/>
      <c r="D939" s="160"/>
      <c r="E939" s="160"/>
      <c r="F939" s="160"/>
      <c r="G939" s="160"/>
      <c r="H939" s="160"/>
      <c r="I939" s="160"/>
      <c r="J939" s="160"/>
      <c r="K939" s="160"/>
      <c r="L939" s="160"/>
      <c r="M939" s="160"/>
      <c r="N939" s="160"/>
      <c r="O939" s="160"/>
      <c r="P939" s="160"/>
      <c r="AE939" s="161"/>
    </row>
    <row r="940" spans="3:31" ht="15.75" customHeight="1">
      <c r="C940" s="160"/>
      <c r="D940" s="160"/>
      <c r="E940" s="160"/>
      <c r="F940" s="160"/>
      <c r="G940" s="160"/>
      <c r="H940" s="160"/>
      <c r="I940" s="160"/>
      <c r="J940" s="160"/>
      <c r="K940" s="160"/>
      <c r="L940" s="160"/>
      <c r="M940" s="160"/>
      <c r="N940" s="160"/>
      <c r="O940" s="160"/>
      <c r="P940" s="160"/>
      <c r="AE940" s="161"/>
    </row>
    <row r="941" spans="3:31" ht="15.75" customHeight="1">
      <c r="C941" s="160"/>
      <c r="D941" s="160"/>
      <c r="E941" s="160"/>
      <c r="F941" s="160"/>
      <c r="G941" s="160"/>
      <c r="H941" s="160"/>
      <c r="I941" s="160"/>
      <c r="J941" s="160"/>
      <c r="K941" s="160"/>
      <c r="L941" s="160"/>
      <c r="M941" s="160"/>
      <c r="N941" s="160"/>
      <c r="O941" s="160"/>
      <c r="P941" s="160"/>
      <c r="AE941" s="161"/>
    </row>
    <row r="942" spans="3:31" ht="15.75" customHeight="1">
      <c r="C942" s="160"/>
      <c r="D942" s="160"/>
      <c r="E942" s="160"/>
      <c r="F942" s="160"/>
      <c r="G942" s="160"/>
      <c r="H942" s="160"/>
      <c r="I942" s="160"/>
      <c r="J942" s="160"/>
      <c r="K942" s="160"/>
      <c r="L942" s="160"/>
      <c r="M942" s="160"/>
      <c r="N942" s="160"/>
      <c r="O942" s="160"/>
      <c r="P942" s="160"/>
      <c r="AE942" s="161"/>
    </row>
    <row r="943" spans="3:31" ht="15.75" customHeight="1">
      <c r="C943" s="160"/>
      <c r="D943" s="160"/>
      <c r="E943" s="160"/>
      <c r="F943" s="160"/>
      <c r="G943" s="160"/>
      <c r="H943" s="160"/>
      <c r="I943" s="160"/>
      <c r="J943" s="160"/>
      <c r="K943" s="160"/>
      <c r="L943" s="160"/>
      <c r="M943" s="160"/>
      <c r="N943" s="160"/>
      <c r="O943" s="160"/>
      <c r="P943" s="160"/>
      <c r="AE943" s="161"/>
    </row>
    <row r="944" spans="3:31" ht="15.75" customHeight="1">
      <c r="C944" s="160"/>
      <c r="D944" s="160"/>
      <c r="E944" s="160"/>
      <c r="F944" s="160"/>
      <c r="G944" s="160"/>
      <c r="H944" s="160"/>
      <c r="I944" s="160"/>
      <c r="J944" s="160"/>
      <c r="K944" s="160"/>
      <c r="L944" s="160"/>
      <c r="M944" s="160"/>
      <c r="N944" s="160"/>
      <c r="O944" s="160"/>
      <c r="P944" s="160"/>
      <c r="AE944" s="161"/>
    </row>
    <row r="945" spans="3:31" ht="15.75" customHeight="1">
      <c r="C945" s="160"/>
      <c r="D945" s="160"/>
      <c r="E945" s="160"/>
      <c r="F945" s="160"/>
      <c r="G945" s="160"/>
      <c r="H945" s="160"/>
      <c r="I945" s="160"/>
      <c r="J945" s="160"/>
      <c r="K945" s="160"/>
      <c r="L945" s="160"/>
      <c r="M945" s="160"/>
      <c r="N945" s="160"/>
      <c r="O945" s="160"/>
      <c r="P945" s="160"/>
      <c r="AE945" s="161"/>
    </row>
    <row r="946" spans="3:31" ht="15.75" customHeight="1">
      <c r="C946" s="160"/>
      <c r="D946" s="160"/>
      <c r="E946" s="160"/>
      <c r="F946" s="160"/>
      <c r="G946" s="160"/>
      <c r="H946" s="160"/>
      <c r="I946" s="160"/>
      <c r="J946" s="160"/>
      <c r="K946" s="160"/>
      <c r="L946" s="160"/>
      <c r="M946" s="160"/>
      <c r="N946" s="160"/>
      <c r="O946" s="160"/>
      <c r="P946" s="160"/>
      <c r="AE946" s="161"/>
    </row>
    <row r="947" spans="3:31" ht="15.75" customHeight="1">
      <c r="C947" s="160"/>
      <c r="D947" s="160"/>
      <c r="E947" s="160"/>
      <c r="F947" s="160"/>
      <c r="G947" s="160"/>
      <c r="H947" s="160"/>
      <c r="I947" s="160"/>
      <c r="J947" s="160"/>
      <c r="K947" s="160"/>
      <c r="L947" s="160"/>
      <c r="M947" s="160"/>
      <c r="N947" s="160"/>
      <c r="O947" s="160"/>
      <c r="P947" s="160"/>
      <c r="AE947" s="161"/>
    </row>
    <row r="948" spans="3:31" ht="15.75" customHeight="1">
      <c r="C948" s="160"/>
      <c r="D948" s="160"/>
      <c r="E948" s="160"/>
      <c r="F948" s="160"/>
      <c r="G948" s="160"/>
      <c r="H948" s="160"/>
      <c r="I948" s="160"/>
      <c r="J948" s="160"/>
      <c r="K948" s="160"/>
      <c r="L948" s="160"/>
      <c r="M948" s="160"/>
      <c r="N948" s="160"/>
      <c r="O948" s="160"/>
      <c r="P948" s="160"/>
      <c r="AE948" s="161"/>
    </row>
    <row r="949" spans="3:31" ht="15.75" customHeight="1">
      <c r="C949" s="160"/>
      <c r="D949" s="160"/>
      <c r="E949" s="160"/>
      <c r="F949" s="160"/>
      <c r="G949" s="160"/>
      <c r="H949" s="160"/>
      <c r="I949" s="160"/>
      <c r="J949" s="160"/>
      <c r="K949" s="160"/>
      <c r="L949" s="160"/>
      <c r="M949" s="160"/>
      <c r="N949" s="160"/>
      <c r="O949" s="160"/>
      <c r="P949" s="160"/>
      <c r="AE949" s="161"/>
    </row>
    <row r="950" spans="3:31" ht="15.75" customHeight="1">
      <c r="C950" s="160"/>
      <c r="D950" s="160"/>
      <c r="E950" s="160"/>
      <c r="F950" s="160"/>
      <c r="G950" s="160"/>
      <c r="H950" s="160"/>
      <c r="I950" s="160"/>
      <c r="J950" s="160"/>
      <c r="K950" s="160"/>
      <c r="L950" s="160"/>
      <c r="M950" s="160"/>
      <c r="N950" s="160"/>
      <c r="O950" s="160"/>
      <c r="P950" s="160"/>
      <c r="AE950" s="161"/>
    </row>
    <row r="951" spans="3:31" ht="15.75" customHeight="1">
      <c r="C951" s="160"/>
      <c r="D951" s="160"/>
      <c r="E951" s="160"/>
      <c r="F951" s="160"/>
      <c r="G951" s="160"/>
      <c r="H951" s="160"/>
      <c r="I951" s="160"/>
      <c r="J951" s="160"/>
      <c r="K951" s="160"/>
      <c r="L951" s="160"/>
      <c r="M951" s="160"/>
      <c r="N951" s="160"/>
      <c r="O951" s="160"/>
      <c r="P951" s="160"/>
      <c r="AE951" s="161"/>
    </row>
    <row r="952" spans="3:31" ht="15.75" customHeight="1">
      <c r="C952" s="160"/>
      <c r="D952" s="160"/>
      <c r="E952" s="160"/>
      <c r="F952" s="160"/>
      <c r="G952" s="160"/>
      <c r="H952" s="160"/>
      <c r="I952" s="160"/>
      <c r="J952" s="160"/>
      <c r="K952" s="160"/>
      <c r="L952" s="160"/>
      <c r="M952" s="160"/>
      <c r="N952" s="160"/>
      <c r="O952" s="160"/>
      <c r="P952" s="160"/>
      <c r="AE952" s="161"/>
    </row>
    <row r="953" spans="3:31" ht="15.75" customHeight="1">
      <c r="C953" s="160"/>
      <c r="D953" s="160"/>
      <c r="E953" s="160"/>
      <c r="F953" s="160"/>
      <c r="G953" s="160"/>
      <c r="H953" s="160"/>
      <c r="I953" s="160"/>
      <c r="J953" s="160"/>
      <c r="K953" s="160"/>
      <c r="L953" s="160"/>
      <c r="M953" s="160"/>
      <c r="N953" s="160"/>
      <c r="O953" s="160"/>
      <c r="P953" s="160"/>
      <c r="AE953" s="161"/>
    </row>
    <row r="954" spans="3:31" ht="15.75" customHeight="1">
      <c r="C954" s="160"/>
      <c r="D954" s="160"/>
      <c r="E954" s="160"/>
      <c r="F954" s="160"/>
      <c r="G954" s="160"/>
      <c r="H954" s="160"/>
      <c r="I954" s="160"/>
      <c r="J954" s="160"/>
      <c r="K954" s="160"/>
      <c r="L954" s="160"/>
      <c r="M954" s="160"/>
      <c r="N954" s="160"/>
      <c r="O954" s="160"/>
      <c r="P954" s="160"/>
      <c r="AE954" s="161"/>
    </row>
    <row r="955" spans="3:31" ht="15.75" customHeight="1">
      <c r="C955" s="160"/>
      <c r="D955" s="160"/>
      <c r="E955" s="160"/>
      <c r="F955" s="160"/>
      <c r="G955" s="160"/>
      <c r="H955" s="160"/>
      <c r="I955" s="160"/>
      <c r="J955" s="160"/>
      <c r="K955" s="160"/>
      <c r="L955" s="160"/>
      <c r="M955" s="160"/>
      <c r="N955" s="160"/>
      <c r="O955" s="160"/>
      <c r="P955" s="160"/>
      <c r="AE955" s="161"/>
    </row>
    <row r="956" spans="3:31" ht="15.75" customHeight="1">
      <c r="C956" s="160"/>
      <c r="D956" s="160"/>
      <c r="E956" s="160"/>
      <c r="F956" s="160"/>
      <c r="G956" s="160"/>
      <c r="H956" s="160"/>
      <c r="I956" s="160"/>
      <c r="J956" s="160"/>
      <c r="K956" s="160"/>
      <c r="L956" s="160"/>
      <c r="M956" s="160"/>
      <c r="N956" s="160"/>
      <c r="O956" s="160"/>
      <c r="P956" s="160"/>
      <c r="AE956" s="161"/>
    </row>
    <row r="957" spans="3:31" ht="15.75" customHeight="1">
      <c r="C957" s="160"/>
      <c r="D957" s="160"/>
      <c r="E957" s="160"/>
      <c r="F957" s="160"/>
      <c r="G957" s="160"/>
      <c r="H957" s="160"/>
      <c r="I957" s="160"/>
      <c r="J957" s="160"/>
      <c r="K957" s="160"/>
      <c r="L957" s="160"/>
      <c r="M957" s="160"/>
      <c r="N957" s="160"/>
      <c r="O957" s="160"/>
      <c r="P957" s="160"/>
      <c r="AE957" s="161"/>
    </row>
    <row r="958" spans="3:31" ht="15.75" customHeight="1">
      <c r="C958" s="160"/>
      <c r="D958" s="160"/>
      <c r="E958" s="160"/>
      <c r="F958" s="160"/>
      <c r="G958" s="160"/>
      <c r="H958" s="160"/>
      <c r="I958" s="160"/>
      <c r="J958" s="160"/>
      <c r="K958" s="160"/>
      <c r="L958" s="160"/>
      <c r="M958" s="160"/>
      <c r="N958" s="160"/>
      <c r="O958" s="160"/>
      <c r="P958" s="160"/>
      <c r="AE958" s="161"/>
    </row>
    <row r="959" spans="3:31" ht="15.75" customHeight="1">
      <c r="C959" s="160"/>
      <c r="D959" s="160"/>
      <c r="E959" s="160"/>
      <c r="F959" s="160"/>
      <c r="G959" s="160"/>
      <c r="H959" s="160"/>
      <c r="I959" s="160"/>
      <c r="J959" s="160"/>
      <c r="K959" s="160"/>
      <c r="L959" s="160"/>
      <c r="M959" s="160"/>
      <c r="N959" s="160"/>
      <c r="O959" s="160"/>
      <c r="P959" s="160"/>
      <c r="AE959" s="161"/>
    </row>
    <row r="960" spans="3:31" ht="15.75" customHeight="1">
      <c r="C960" s="160"/>
      <c r="D960" s="160"/>
      <c r="E960" s="160"/>
      <c r="F960" s="160"/>
      <c r="G960" s="160"/>
      <c r="H960" s="160"/>
      <c r="I960" s="160"/>
      <c r="J960" s="160"/>
      <c r="K960" s="160"/>
      <c r="L960" s="160"/>
      <c r="M960" s="160"/>
      <c r="N960" s="160"/>
      <c r="O960" s="160"/>
      <c r="P960" s="160"/>
      <c r="AE960" s="161"/>
    </row>
    <row r="961" spans="3:31" ht="15.75" customHeight="1">
      <c r="C961" s="160"/>
      <c r="D961" s="160"/>
      <c r="E961" s="160"/>
      <c r="F961" s="160"/>
      <c r="G961" s="160"/>
      <c r="H961" s="160"/>
      <c r="I961" s="160"/>
      <c r="J961" s="160"/>
      <c r="K961" s="160"/>
      <c r="L961" s="160"/>
      <c r="M961" s="160"/>
      <c r="N961" s="160"/>
      <c r="O961" s="160"/>
      <c r="P961" s="160"/>
      <c r="AE961" s="161"/>
    </row>
    <row r="962" spans="3:31" ht="15.75" customHeight="1">
      <c r="C962" s="160"/>
      <c r="D962" s="160"/>
      <c r="E962" s="160"/>
      <c r="F962" s="160"/>
      <c r="G962" s="160"/>
      <c r="H962" s="160"/>
      <c r="I962" s="160"/>
      <c r="J962" s="160"/>
      <c r="K962" s="160"/>
      <c r="L962" s="160"/>
      <c r="M962" s="160"/>
      <c r="N962" s="160"/>
      <c r="O962" s="160"/>
      <c r="P962" s="160"/>
      <c r="AE962" s="161"/>
    </row>
    <row r="963" spans="3:31" ht="15.75" customHeight="1">
      <c r="C963" s="160"/>
      <c r="D963" s="160"/>
      <c r="E963" s="160"/>
      <c r="F963" s="160"/>
      <c r="G963" s="160"/>
      <c r="H963" s="160"/>
      <c r="I963" s="160"/>
      <c r="J963" s="160"/>
      <c r="K963" s="160"/>
      <c r="L963" s="160"/>
      <c r="M963" s="160"/>
      <c r="N963" s="160"/>
      <c r="O963" s="160"/>
      <c r="P963" s="160"/>
      <c r="AE963" s="161"/>
    </row>
    <row r="964" spans="3:31" ht="15.75" customHeight="1">
      <c r="C964" s="160"/>
      <c r="D964" s="160"/>
      <c r="E964" s="160"/>
      <c r="F964" s="160"/>
      <c r="G964" s="160"/>
      <c r="H964" s="160"/>
      <c r="I964" s="160"/>
      <c r="J964" s="160"/>
      <c r="K964" s="160"/>
      <c r="L964" s="160"/>
      <c r="M964" s="160"/>
      <c r="N964" s="160"/>
      <c r="O964" s="160"/>
      <c r="P964" s="160"/>
      <c r="AE964" s="161"/>
    </row>
    <row r="965" spans="3:31" ht="15.75" customHeight="1">
      <c r="C965" s="160"/>
      <c r="D965" s="160"/>
      <c r="E965" s="160"/>
      <c r="F965" s="160"/>
      <c r="G965" s="160"/>
      <c r="H965" s="160"/>
      <c r="I965" s="160"/>
      <c r="J965" s="160"/>
      <c r="K965" s="160"/>
      <c r="L965" s="160"/>
      <c r="M965" s="160"/>
      <c r="N965" s="160"/>
      <c r="O965" s="160"/>
      <c r="P965" s="160"/>
      <c r="AE965" s="161"/>
    </row>
    <row r="966" spans="3:31" ht="15.75" customHeight="1">
      <c r="C966" s="160"/>
      <c r="D966" s="160"/>
      <c r="E966" s="160"/>
      <c r="F966" s="160"/>
      <c r="G966" s="160"/>
      <c r="H966" s="160"/>
      <c r="I966" s="160"/>
      <c r="J966" s="160"/>
      <c r="K966" s="160"/>
      <c r="L966" s="160"/>
      <c r="M966" s="160"/>
      <c r="N966" s="160"/>
      <c r="O966" s="160"/>
      <c r="P966" s="160"/>
      <c r="AE966" s="161"/>
    </row>
    <row r="967" spans="3:31" ht="15.75" customHeight="1">
      <c r="C967" s="160"/>
      <c r="D967" s="160"/>
      <c r="E967" s="160"/>
      <c r="F967" s="160"/>
      <c r="G967" s="160"/>
      <c r="H967" s="160"/>
      <c r="I967" s="160"/>
      <c r="J967" s="160"/>
      <c r="K967" s="160"/>
      <c r="L967" s="160"/>
      <c r="M967" s="160"/>
      <c r="N967" s="160"/>
      <c r="O967" s="160"/>
      <c r="P967" s="160"/>
      <c r="AE967" s="161"/>
    </row>
    <row r="968" spans="3:31" ht="15.75" customHeight="1">
      <c r="C968" s="160"/>
      <c r="D968" s="160"/>
      <c r="E968" s="160"/>
      <c r="F968" s="160"/>
      <c r="G968" s="160"/>
      <c r="H968" s="160"/>
      <c r="I968" s="160"/>
      <c r="J968" s="160"/>
      <c r="K968" s="160"/>
      <c r="L968" s="160"/>
      <c r="M968" s="160"/>
      <c r="N968" s="160"/>
      <c r="O968" s="160"/>
      <c r="P968" s="160"/>
      <c r="AE968" s="161"/>
    </row>
    <row r="969" spans="3:31" ht="15.75" customHeight="1">
      <c r="C969" s="160"/>
      <c r="D969" s="160"/>
      <c r="E969" s="160"/>
      <c r="F969" s="160"/>
      <c r="G969" s="160"/>
      <c r="H969" s="160"/>
      <c r="I969" s="160"/>
      <c r="J969" s="160"/>
      <c r="K969" s="160"/>
      <c r="L969" s="160"/>
      <c r="M969" s="160"/>
      <c r="N969" s="160"/>
      <c r="O969" s="160"/>
      <c r="P969" s="160"/>
      <c r="AE969" s="161"/>
    </row>
    <row r="970" spans="3:31" ht="15.75" customHeight="1">
      <c r="C970" s="160"/>
      <c r="D970" s="160"/>
      <c r="E970" s="160"/>
      <c r="F970" s="160"/>
      <c r="G970" s="160"/>
      <c r="H970" s="160"/>
      <c r="I970" s="160"/>
      <c r="J970" s="160"/>
      <c r="K970" s="160"/>
      <c r="L970" s="160"/>
      <c r="M970" s="160"/>
      <c r="N970" s="160"/>
      <c r="O970" s="160"/>
      <c r="P970" s="160"/>
      <c r="AE970" s="161"/>
    </row>
    <row r="971" spans="3:31" ht="15.75" customHeight="1">
      <c r="C971" s="160"/>
      <c r="D971" s="160"/>
      <c r="E971" s="160"/>
      <c r="F971" s="160"/>
      <c r="G971" s="160"/>
      <c r="H971" s="160"/>
      <c r="I971" s="160"/>
      <c r="J971" s="160"/>
      <c r="K971" s="160"/>
      <c r="L971" s="160"/>
      <c r="M971" s="160"/>
      <c r="N971" s="160"/>
      <c r="O971" s="160"/>
      <c r="P971" s="160"/>
      <c r="AE971" s="161"/>
    </row>
    <row r="972" spans="3:31" ht="15.75" customHeight="1">
      <c r="C972" s="160"/>
      <c r="D972" s="160"/>
      <c r="E972" s="160"/>
      <c r="F972" s="160"/>
      <c r="G972" s="160"/>
      <c r="H972" s="160"/>
      <c r="I972" s="160"/>
      <c r="J972" s="160"/>
      <c r="K972" s="160"/>
      <c r="L972" s="160"/>
      <c r="M972" s="160"/>
      <c r="N972" s="160"/>
      <c r="O972" s="160"/>
      <c r="P972" s="160"/>
      <c r="AE972" s="161"/>
    </row>
    <row r="973" spans="3:31" ht="15.75" customHeight="1">
      <c r="C973" s="160"/>
      <c r="D973" s="160"/>
      <c r="E973" s="160"/>
      <c r="F973" s="160"/>
      <c r="G973" s="160"/>
      <c r="H973" s="160"/>
      <c r="I973" s="160"/>
      <c r="J973" s="160"/>
      <c r="K973" s="160"/>
      <c r="L973" s="160"/>
      <c r="M973" s="160"/>
      <c r="N973" s="160"/>
      <c r="O973" s="160"/>
      <c r="P973" s="160"/>
      <c r="AE973" s="161"/>
    </row>
    <row r="974" spans="3:31" ht="15.75" customHeight="1">
      <c r="C974" s="160"/>
      <c r="D974" s="160"/>
      <c r="E974" s="160"/>
      <c r="F974" s="160"/>
      <c r="G974" s="160"/>
      <c r="H974" s="160"/>
      <c r="I974" s="160"/>
      <c r="J974" s="160"/>
      <c r="K974" s="160"/>
      <c r="L974" s="160"/>
      <c r="M974" s="160"/>
      <c r="N974" s="160"/>
      <c r="O974" s="160"/>
      <c r="P974" s="160"/>
      <c r="AE974" s="161"/>
    </row>
    <row r="975" spans="3:31" ht="15.75" customHeight="1">
      <c r="C975" s="160"/>
      <c r="D975" s="160"/>
      <c r="E975" s="160"/>
      <c r="F975" s="160"/>
      <c r="G975" s="160"/>
      <c r="H975" s="160"/>
      <c r="I975" s="160"/>
      <c r="J975" s="160"/>
      <c r="K975" s="160"/>
      <c r="L975" s="160"/>
      <c r="M975" s="160"/>
      <c r="N975" s="160"/>
      <c r="O975" s="160"/>
      <c r="P975" s="160"/>
      <c r="AE975" s="161"/>
    </row>
    <row r="976" spans="3:31" ht="15.75" customHeight="1">
      <c r="C976" s="160"/>
      <c r="D976" s="160"/>
      <c r="E976" s="160"/>
      <c r="F976" s="160"/>
      <c r="G976" s="160"/>
      <c r="H976" s="160"/>
      <c r="I976" s="160"/>
      <c r="J976" s="160"/>
      <c r="K976" s="160"/>
      <c r="L976" s="160"/>
      <c r="M976" s="160"/>
      <c r="N976" s="160"/>
      <c r="O976" s="160"/>
      <c r="P976" s="160"/>
      <c r="AE976" s="161"/>
    </row>
    <row r="977" spans="3:31" ht="15.75" customHeight="1">
      <c r="C977" s="160"/>
      <c r="D977" s="160"/>
      <c r="E977" s="160"/>
      <c r="F977" s="160"/>
      <c r="G977" s="160"/>
      <c r="H977" s="160"/>
      <c r="I977" s="160"/>
      <c r="J977" s="160"/>
      <c r="K977" s="160"/>
      <c r="L977" s="160"/>
      <c r="M977" s="160"/>
      <c r="N977" s="160"/>
      <c r="O977" s="160"/>
      <c r="P977" s="160"/>
      <c r="AE977" s="161"/>
    </row>
    <row r="978" spans="3:31" ht="15.75" customHeight="1">
      <c r="C978" s="160"/>
      <c r="D978" s="160"/>
      <c r="E978" s="160"/>
      <c r="F978" s="160"/>
      <c r="G978" s="160"/>
      <c r="H978" s="160"/>
      <c r="I978" s="160"/>
      <c r="J978" s="160"/>
      <c r="K978" s="160"/>
      <c r="L978" s="160"/>
      <c r="M978" s="160"/>
      <c r="N978" s="160"/>
      <c r="O978" s="160"/>
      <c r="P978" s="160"/>
      <c r="AE978" s="161"/>
    </row>
    <row r="979" spans="3:31" ht="15.75" customHeight="1">
      <c r="C979" s="160"/>
      <c r="D979" s="160"/>
      <c r="E979" s="160"/>
      <c r="F979" s="160"/>
      <c r="G979" s="160"/>
      <c r="H979" s="160"/>
      <c r="I979" s="160"/>
      <c r="J979" s="160"/>
      <c r="K979" s="160"/>
      <c r="L979" s="160"/>
      <c r="M979" s="160"/>
      <c r="N979" s="160"/>
      <c r="O979" s="160"/>
      <c r="P979" s="160"/>
      <c r="AE979" s="161"/>
    </row>
    <row r="980" spans="3:31" ht="15.75" customHeight="1">
      <c r="C980" s="160"/>
      <c r="D980" s="160"/>
      <c r="E980" s="160"/>
      <c r="F980" s="160"/>
      <c r="G980" s="160"/>
      <c r="H980" s="160"/>
      <c r="I980" s="160"/>
      <c r="J980" s="160"/>
      <c r="K980" s="160"/>
      <c r="L980" s="160"/>
      <c r="M980" s="160"/>
      <c r="N980" s="160"/>
      <c r="O980" s="160"/>
      <c r="P980" s="160"/>
      <c r="AE980" s="161"/>
    </row>
    <row r="981" spans="3:31" ht="15.75" customHeight="1">
      <c r="C981" s="160"/>
      <c r="D981" s="160"/>
      <c r="E981" s="160"/>
      <c r="F981" s="160"/>
      <c r="G981" s="160"/>
      <c r="H981" s="160"/>
      <c r="I981" s="160"/>
      <c r="J981" s="160"/>
      <c r="K981" s="160"/>
      <c r="L981" s="160"/>
      <c r="M981" s="160"/>
      <c r="N981" s="160"/>
      <c r="O981" s="160"/>
      <c r="P981" s="160"/>
      <c r="AE981" s="161"/>
    </row>
    <row r="982" spans="3:31" ht="15.75" customHeight="1">
      <c r="C982" s="160"/>
      <c r="D982" s="160"/>
      <c r="E982" s="160"/>
      <c r="F982" s="160"/>
      <c r="G982" s="160"/>
      <c r="H982" s="160"/>
      <c r="I982" s="160"/>
      <c r="J982" s="160"/>
      <c r="K982" s="160"/>
      <c r="L982" s="160"/>
      <c r="M982" s="160"/>
      <c r="N982" s="160"/>
      <c r="O982" s="160"/>
      <c r="P982" s="160"/>
      <c r="AE982" s="161"/>
    </row>
    <row r="983" spans="3:31" ht="15.75" customHeight="1">
      <c r="C983" s="160"/>
      <c r="D983" s="160"/>
      <c r="E983" s="160"/>
      <c r="F983" s="160"/>
      <c r="G983" s="160"/>
      <c r="H983" s="160"/>
      <c r="I983" s="160"/>
      <c r="J983" s="160"/>
      <c r="K983" s="160"/>
      <c r="L983" s="160"/>
      <c r="M983" s="160"/>
      <c r="N983" s="160"/>
      <c r="O983" s="160"/>
      <c r="P983" s="160"/>
      <c r="AE983" s="161"/>
    </row>
    <row r="984" spans="3:31" ht="15.75" customHeight="1">
      <c r="C984" s="160"/>
      <c r="D984" s="160"/>
      <c r="E984" s="160"/>
      <c r="F984" s="160"/>
      <c r="G984" s="160"/>
      <c r="H984" s="160"/>
      <c r="I984" s="160"/>
      <c r="J984" s="160"/>
      <c r="K984" s="160"/>
      <c r="L984" s="160"/>
      <c r="M984" s="160"/>
      <c r="N984" s="160"/>
      <c r="O984" s="160"/>
      <c r="P984" s="160"/>
      <c r="AE984" s="161"/>
    </row>
    <row r="985" spans="3:31" ht="15.75" customHeight="1">
      <c r="C985" s="160"/>
      <c r="D985" s="160"/>
      <c r="E985" s="160"/>
      <c r="F985" s="160"/>
      <c r="G985" s="160"/>
      <c r="H985" s="160"/>
      <c r="I985" s="160"/>
      <c r="J985" s="160"/>
      <c r="K985" s="160"/>
      <c r="L985" s="160"/>
      <c r="M985" s="160"/>
      <c r="N985" s="160"/>
      <c r="O985" s="160"/>
      <c r="P985" s="160"/>
      <c r="AE985" s="161"/>
    </row>
    <row r="986" spans="3:31" ht="15.75" customHeight="1">
      <c r="C986" s="160"/>
      <c r="D986" s="160"/>
      <c r="E986" s="160"/>
      <c r="F986" s="160"/>
      <c r="G986" s="160"/>
      <c r="H986" s="160"/>
      <c r="I986" s="160"/>
      <c r="J986" s="160"/>
      <c r="K986" s="160"/>
      <c r="L986" s="160"/>
      <c r="M986" s="160"/>
      <c r="N986" s="160"/>
      <c r="O986" s="160"/>
      <c r="P986" s="160"/>
      <c r="AE986" s="161"/>
    </row>
    <row r="987" spans="3:31" ht="15.75" customHeight="1">
      <c r="C987" s="160"/>
      <c r="D987" s="160"/>
      <c r="E987" s="160"/>
      <c r="F987" s="160"/>
      <c r="G987" s="160"/>
      <c r="H987" s="160"/>
      <c r="I987" s="160"/>
      <c r="J987" s="160"/>
      <c r="K987" s="160"/>
      <c r="L987" s="160"/>
      <c r="M987" s="160"/>
      <c r="N987" s="160"/>
      <c r="O987" s="160"/>
      <c r="P987" s="160"/>
      <c r="AE987" s="161"/>
    </row>
    <row r="988" spans="3:31" ht="15.75" customHeight="1">
      <c r="C988" s="160"/>
      <c r="D988" s="160"/>
      <c r="E988" s="160"/>
      <c r="F988" s="160"/>
      <c r="G988" s="160"/>
      <c r="H988" s="160"/>
      <c r="I988" s="160"/>
      <c r="J988" s="160"/>
      <c r="K988" s="160"/>
      <c r="L988" s="160"/>
      <c r="M988" s="160"/>
      <c r="N988" s="160"/>
      <c r="O988" s="160"/>
      <c r="P988" s="160"/>
      <c r="AE988" s="161"/>
    </row>
    <row r="989" spans="3:31" ht="15.75" customHeight="1">
      <c r="C989" s="160"/>
      <c r="D989" s="160"/>
      <c r="E989" s="160"/>
      <c r="F989" s="160"/>
      <c r="G989" s="160"/>
      <c r="H989" s="160"/>
      <c r="I989" s="160"/>
      <c r="J989" s="160"/>
      <c r="K989" s="160"/>
      <c r="L989" s="160"/>
      <c r="M989" s="160"/>
      <c r="N989" s="160"/>
      <c r="O989" s="160"/>
      <c r="P989" s="160"/>
      <c r="AE989" s="161"/>
    </row>
    <row r="990" spans="3:31" ht="15.75" customHeight="1">
      <c r="C990" s="160"/>
      <c r="D990" s="160"/>
      <c r="E990" s="160"/>
      <c r="F990" s="160"/>
      <c r="G990" s="160"/>
      <c r="H990" s="160"/>
      <c r="I990" s="160"/>
      <c r="J990" s="160"/>
      <c r="K990" s="160"/>
      <c r="L990" s="160"/>
      <c r="M990" s="160"/>
      <c r="N990" s="160"/>
      <c r="O990" s="160"/>
      <c r="P990" s="160"/>
      <c r="AE990" s="161"/>
    </row>
    <row r="991" spans="3:31" ht="15.75" customHeight="1">
      <c r="C991" s="160"/>
      <c r="D991" s="160"/>
      <c r="E991" s="160"/>
      <c r="F991" s="160"/>
      <c r="G991" s="160"/>
      <c r="H991" s="160"/>
      <c r="I991" s="160"/>
      <c r="J991" s="160"/>
      <c r="K991" s="160"/>
      <c r="L991" s="160"/>
      <c r="M991" s="160"/>
      <c r="N991" s="160"/>
      <c r="O991" s="160"/>
      <c r="P991" s="160"/>
      <c r="AE991" s="161"/>
    </row>
    <row r="992" spans="3:31" ht="15.75" customHeight="1">
      <c r="C992" s="160"/>
      <c r="D992" s="160"/>
      <c r="E992" s="160"/>
      <c r="F992" s="160"/>
      <c r="G992" s="160"/>
      <c r="H992" s="160"/>
      <c r="I992" s="160"/>
      <c r="J992" s="160"/>
      <c r="K992" s="160"/>
      <c r="L992" s="160"/>
      <c r="M992" s="160"/>
      <c r="N992" s="160"/>
      <c r="O992" s="160"/>
      <c r="P992" s="160"/>
      <c r="AE992" s="161"/>
    </row>
    <row r="993" spans="3:31" ht="15.75" customHeight="1">
      <c r="C993" s="160"/>
      <c r="D993" s="160"/>
      <c r="E993" s="160"/>
      <c r="F993" s="160"/>
      <c r="G993" s="160"/>
      <c r="H993" s="160"/>
      <c r="I993" s="160"/>
      <c r="J993" s="160"/>
      <c r="K993" s="160"/>
      <c r="L993" s="160"/>
      <c r="M993" s="160"/>
      <c r="N993" s="160"/>
      <c r="O993" s="160"/>
      <c r="P993" s="160"/>
      <c r="AE993" s="161"/>
    </row>
    <row r="994" spans="3:31" ht="15.75" customHeight="1">
      <c r="C994" s="160"/>
      <c r="D994" s="160"/>
      <c r="E994" s="160"/>
      <c r="F994" s="160"/>
      <c r="G994" s="160"/>
      <c r="H994" s="160"/>
      <c r="I994" s="160"/>
      <c r="J994" s="160"/>
      <c r="K994" s="160"/>
      <c r="L994" s="160"/>
      <c r="M994" s="160"/>
      <c r="N994" s="160"/>
      <c r="O994" s="160"/>
      <c r="P994" s="160"/>
      <c r="AE994" s="161"/>
    </row>
    <row r="995" spans="3:31" ht="15.75" customHeight="1">
      <c r="C995" s="160"/>
      <c r="D995" s="160"/>
      <c r="E995" s="160"/>
      <c r="F995" s="160"/>
      <c r="G995" s="160"/>
      <c r="H995" s="160"/>
      <c r="I995" s="160"/>
      <c r="J995" s="160"/>
      <c r="K995" s="160"/>
      <c r="L995" s="160"/>
      <c r="M995" s="160"/>
      <c r="N995" s="160"/>
      <c r="O995" s="160"/>
      <c r="P995" s="160"/>
      <c r="AE995" s="161"/>
    </row>
    <row r="996" spans="3:31" ht="15.75" customHeight="1">
      <c r="C996" s="160"/>
      <c r="D996" s="160"/>
      <c r="E996" s="160"/>
      <c r="F996" s="160"/>
      <c r="G996" s="160"/>
      <c r="H996" s="160"/>
      <c r="I996" s="160"/>
      <c r="J996" s="160"/>
      <c r="K996" s="160"/>
      <c r="L996" s="160"/>
      <c r="M996" s="160"/>
      <c r="N996" s="160"/>
      <c r="O996" s="160"/>
      <c r="P996" s="160"/>
      <c r="AE996" s="161"/>
    </row>
    <row r="997" spans="3:31" ht="15.75" customHeight="1">
      <c r="C997" s="160"/>
      <c r="D997" s="160"/>
      <c r="E997" s="160"/>
      <c r="F997" s="160"/>
      <c r="G997" s="160"/>
      <c r="H997" s="160"/>
      <c r="I997" s="160"/>
      <c r="J997" s="160"/>
      <c r="K997" s="160"/>
      <c r="L997" s="160"/>
      <c r="M997" s="160"/>
      <c r="N997" s="160"/>
      <c r="O997" s="160"/>
      <c r="P997" s="160"/>
      <c r="AE997" s="161"/>
    </row>
    <row r="998" spans="3:31" ht="15.75" customHeight="1">
      <c r="C998" s="160"/>
      <c r="D998" s="160"/>
      <c r="E998" s="160"/>
      <c r="F998" s="160"/>
      <c r="G998" s="160"/>
      <c r="H998" s="160"/>
      <c r="I998" s="160"/>
      <c r="J998" s="160"/>
      <c r="K998" s="160"/>
      <c r="L998" s="160"/>
      <c r="M998" s="160"/>
      <c r="N998" s="160"/>
      <c r="O998" s="160"/>
      <c r="P998" s="160"/>
      <c r="AE998" s="161"/>
    </row>
    <row r="999" spans="3:31" ht="15.75" customHeight="1">
      <c r="C999" s="160"/>
      <c r="D999" s="160"/>
      <c r="E999" s="160"/>
      <c r="F999" s="160"/>
      <c r="G999" s="160"/>
      <c r="H999" s="160"/>
      <c r="I999" s="160"/>
      <c r="J999" s="160"/>
      <c r="K999" s="160"/>
      <c r="L999" s="160"/>
      <c r="M999" s="160"/>
      <c r="N999" s="160"/>
      <c r="O999" s="160"/>
      <c r="P999" s="160"/>
      <c r="AE999" s="161"/>
    </row>
    <row r="1000" spans="3:31" ht="15.75" customHeight="1">
      <c r="C1000" s="160"/>
      <c r="D1000" s="160"/>
      <c r="E1000" s="160"/>
      <c r="F1000" s="160"/>
      <c r="G1000" s="160"/>
      <c r="H1000" s="160"/>
      <c r="I1000" s="160"/>
      <c r="J1000" s="160"/>
      <c r="K1000" s="160"/>
      <c r="L1000" s="160"/>
      <c r="M1000" s="160"/>
      <c r="N1000" s="160"/>
      <c r="O1000" s="160"/>
      <c r="P1000" s="160"/>
      <c r="AE1000" s="161"/>
    </row>
  </sheetData>
  <mergeCells count="71">
    <mergeCell ref="H1:J1"/>
    <mergeCell ref="K1:L1"/>
    <mergeCell ref="H2:J2"/>
    <mergeCell ref="K2:L2"/>
    <mergeCell ref="H3:J3"/>
    <mergeCell ref="K3:L3"/>
    <mergeCell ref="A7:B7"/>
    <mergeCell ref="U5:U6"/>
    <mergeCell ref="V5:V6"/>
    <mergeCell ref="A4:G4"/>
    <mergeCell ref="H4:J4"/>
    <mergeCell ref="K4:L4"/>
    <mergeCell ref="Q4:AE4"/>
    <mergeCell ref="A5:B6"/>
    <mergeCell ref="C5:C6"/>
    <mergeCell ref="D5:D6"/>
    <mergeCell ref="E5:E6"/>
    <mergeCell ref="F5:F6"/>
    <mergeCell ref="G5:G6"/>
    <mergeCell ref="Y5:Y6"/>
    <mergeCell ref="Z5:Z6"/>
    <mergeCell ref="N5:N6"/>
    <mergeCell ref="W5:W6"/>
    <mergeCell ref="X5:X6"/>
    <mergeCell ref="H5:H6"/>
    <mergeCell ref="I5:I6"/>
    <mergeCell ref="J5:J6"/>
    <mergeCell ref="K5:K6"/>
    <mergeCell ref="L5:L6"/>
    <mergeCell ref="M5:M6"/>
    <mergeCell ref="S5:S6"/>
    <mergeCell ref="T5:T6"/>
    <mergeCell ref="O5:O6"/>
    <mergeCell ref="Q5:Q6"/>
    <mergeCell ref="R5:R6"/>
    <mergeCell ref="AA5:AA6"/>
    <mergeCell ref="AB5:AB6"/>
    <mergeCell ref="AC5:AC6"/>
    <mergeCell ref="AD5:AD6"/>
    <mergeCell ref="AE5:AE6"/>
    <mergeCell ref="A19:B19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31:B31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8:B38"/>
    <mergeCell ref="A32:B32"/>
    <mergeCell ref="A33:B33"/>
    <mergeCell ref="A34:B34"/>
    <mergeCell ref="A35:B35"/>
    <mergeCell ref="A36:B36"/>
    <mergeCell ref="A37:B37"/>
  </mergeCells>
  <pageMargins left="0.7" right="0.7" top="0.75" bottom="0.75" header="0" footer="0"/>
  <pageSetup fitToHeight="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47FAF-F2D9-4820-B11E-9A23F9776875}">
  <sheetPr codeName="Лист23"/>
  <dimension ref="A1:J35"/>
  <sheetViews>
    <sheetView topLeftCell="A13" workbookViewId="0">
      <selection activeCell="F33" sqref="F33:F34"/>
    </sheetView>
  </sheetViews>
  <sheetFormatPr defaultRowHeight="15"/>
  <cols>
    <col min="1" max="16384" width="8.796875" style="2"/>
  </cols>
  <sheetData>
    <row r="1" spans="1:10" ht="21">
      <c r="A1" s="154">
        <f>J35</f>
        <v>8928</v>
      </c>
      <c r="B1" s="209" t="s">
        <v>183</v>
      </c>
      <c r="C1" s="209"/>
      <c r="D1" s="209"/>
      <c r="E1" s="209"/>
      <c r="F1" s="209"/>
      <c r="G1" s="209"/>
      <c r="H1" s="209"/>
    </row>
    <row r="2" spans="1:10" ht="28.9" customHeight="1">
      <c r="A2" s="206" t="s">
        <v>0</v>
      </c>
      <c r="B2" s="210" t="s">
        <v>1</v>
      </c>
      <c r="C2" s="211"/>
      <c r="D2" s="206" t="s">
        <v>146</v>
      </c>
      <c r="E2" s="206" t="s">
        <v>147</v>
      </c>
      <c r="F2" s="4" t="s">
        <v>4</v>
      </c>
      <c r="G2" s="206" t="s">
        <v>11</v>
      </c>
      <c r="H2" s="206" t="s">
        <v>12</v>
      </c>
      <c r="I2" s="206" t="s">
        <v>13</v>
      </c>
      <c r="J2" s="206" t="s">
        <v>18</v>
      </c>
    </row>
    <row r="3" spans="1:10" ht="30">
      <c r="A3" s="207"/>
      <c r="B3" s="212"/>
      <c r="C3" s="213"/>
      <c r="D3" s="207"/>
      <c r="E3" s="207"/>
      <c r="F3" s="5" t="s">
        <v>156</v>
      </c>
      <c r="G3" s="207"/>
      <c r="H3" s="207"/>
      <c r="I3" s="207"/>
      <c r="J3" s="207"/>
    </row>
    <row r="4" spans="1:10">
      <c r="A4" s="6">
        <v>1</v>
      </c>
      <c r="B4" s="204">
        <v>45992</v>
      </c>
      <c r="C4" s="205"/>
      <c r="D4" s="122"/>
      <c r="E4" s="80"/>
      <c r="F4" s="184">
        <v>24</v>
      </c>
      <c r="G4" s="79">
        <f>SUM(D4*120)</f>
        <v>0</v>
      </c>
      <c r="H4" s="79">
        <f>SUM(E4*120)</f>
        <v>0</v>
      </c>
      <c r="I4" s="79">
        <f>SUM(F4*12)</f>
        <v>288</v>
      </c>
      <c r="J4" s="79">
        <f>SUM(G4:I4)</f>
        <v>288</v>
      </c>
    </row>
    <row r="5" spans="1:10">
      <c r="A5" s="6">
        <v>2</v>
      </c>
      <c r="B5" s="204">
        <v>45993</v>
      </c>
      <c r="C5" s="205"/>
      <c r="D5" s="122"/>
      <c r="E5" s="80"/>
      <c r="F5" s="184">
        <v>24</v>
      </c>
      <c r="G5" s="79">
        <f t="shared" ref="G5:G33" si="0">SUM(D5*120)</f>
        <v>0</v>
      </c>
      <c r="H5" s="79">
        <f t="shared" ref="H5:H33" si="1">SUM(E5*120)</f>
        <v>0</v>
      </c>
      <c r="I5" s="79">
        <f t="shared" ref="I5:I33" si="2">SUM(F5*12)</f>
        <v>288</v>
      </c>
      <c r="J5" s="79">
        <f t="shared" ref="J5:J34" si="3">SUM(G5:I5)</f>
        <v>288</v>
      </c>
    </row>
    <row r="6" spans="1:10">
      <c r="A6" s="6">
        <v>3</v>
      </c>
      <c r="B6" s="204">
        <v>45994</v>
      </c>
      <c r="C6" s="205"/>
      <c r="D6" s="122"/>
      <c r="E6" s="80"/>
      <c r="F6" s="184">
        <v>24</v>
      </c>
      <c r="G6" s="79">
        <f t="shared" si="0"/>
        <v>0</v>
      </c>
      <c r="H6" s="79">
        <f t="shared" si="1"/>
        <v>0</v>
      </c>
      <c r="I6" s="79">
        <f t="shared" si="2"/>
        <v>288</v>
      </c>
      <c r="J6" s="79">
        <f t="shared" si="3"/>
        <v>288</v>
      </c>
    </row>
    <row r="7" spans="1:10">
      <c r="A7" s="6">
        <v>4</v>
      </c>
      <c r="B7" s="204">
        <v>45995</v>
      </c>
      <c r="C7" s="205"/>
      <c r="D7" s="122"/>
      <c r="E7" s="80"/>
      <c r="F7" s="184">
        <v>24</v>
      </c>
      <c r="G7" s="79">
        <f t="shared" si="0"/>
        <v>0</v>
      </c>
      <c r="H7" s="79">
        <f t="shared" si="1"/>
        <v>0</v>
      </c>
      <c r="I7" s="79">
        <f t="shared" si="2"/>
        <v>288</v>
      </c>
      <c r="J7" s="79">
        <f t="shared" si="3"/>
        <v>288</v>
      </c>
    </row>
    <row r="8" spans="1:10">
      <c r="A8" s="6">
        <v>5</v>
      </c>
      <c r="B8" s="204">
        <v>45996</v>
      </c>
      <c r="C8" s="205"/>
      <c r="D8" s="122"/>
      <c r="E8" s="80"/>
      <c r="F8" s="184">
        <v>24</v>
      </c>
      <c r="G8" s="79">
        <f t="shared" si="0"/>
        <v>0</v>
      </c>
      <c r="H8" s="79">
        <f t="shared" si="1"/>
        <v>0</v>
      </c>
      <c r="I8" s="79">
        <f t="shared" si="2"/>
        <v>288</v>
      </c>
      <c r="J8" s="79">
        <f t="shared" si="3"/>
        <v>288</v>
      </c>
    </row>
    <row r="9" spans="1:10">
      <c r="A9" s="6">
        <v>6</v>
      </c>
      <c r="B9" s="204">
        <v>45997</v>
      </c>
      <c r="C9" s="205"/>
      <c r="D9" s="122"/>
      <c r="E9" s="80"/>
      <c r="F9" s="184">
        <v>24</v>
      </c>
      <c r="G9" s="79">
        <f t="shared" si="0"/>
        <v>0</v>
      </c>
      <c r="H9" s="79">
        <f t="shared" si="1"/>
        <v>0</v>
      </c>
      <c r="I9" s="79">
        <f t="shared" si="2"/>
        <v>288</v>
      </c>
      <c r="J9" s="79">
        <f t="shared" si="3"/>
        <v>288</v>
      </c>
    </row>
    <row r="10" spans="1:10">
      <c r="A10" s="6">
        <v>7</v>
      </c>
      <c r="B10" s="204">
        <v>45998</v>
      </c>
      <c r="C10" s="205"/>
      <c r="D10" s="122"/>
      <c r="E10" s="80"/>
      <c r="F10" s="184">
        <v>24</v>
      </c>
      <c r="G10" s="79">
        <f t="shared" si="0"/>
        <v>0</v>
      </c>
      <c r="H10" s="79">
        <f t="shared" si="1"/>
        <v>0</v>
      </c>
      <c r="I10" s="79">
        <f t="shared" si="2"/>
        <v>288</v>
      </c>
      <c r="J10" s="79">
        <f t="shared" si="3"/>
        <v>288</v>
      </c>
    </row>
    <row r="11" spans="1:10">
      <c r="A11" s="6">
        <v>8</v>
      </c>
      <c r="B11" s="204">
        <v>45999</v>
      </c>
      <c r="C11" s="205"/>
      <c r="D11" s="122"/>
      <c r="E11" s="80"/>
      <c r="F11" s="184">
        <v>24</v>
      </c>
      <c r="G11" s="79">
        <f t="shared" si="0"/>
        <v>0</v>
      </c>
      <c r="H11" s="79">
        <f t="shared" si="1"/>
        <v>0</v>
      </c>
      <c r="I11" s="79">
        <f t="shared" si="2"/>
        <v>288</v>
      </c>
      <c r="J11" s="79">
        <f t="shared" si="3"/>
        <v>288</v>
      </c>
    </row>
    <row r="12" spans="1:10">
      <c r="A12" s="6">
        <v>9</v>
      </c>
      <c r="B12" s="204">
        <v>46000</v>
      </c>
      <c r="C12" s="205"/>
      <c r="D12" s="122"/>
      <c r="E12" s="80"/>
      <c r="F12" s="184">
        <v>24</v>
      </c>
      <c r="G12" s="79">
        <f t="shared" si="0"/>
        <v>0</v>
      </c>
      <c r="H12" s="79">
        <f t="shared" si="1"/>
        <v>0</v>
      </c>
      <c r="I12" s="79">
        <f t="shared" si="2"/>
        <v>288</v>
      </c>
      <c r="J12" s="79">
        <f t="shared" si="3"/>
        <v>288</v>
      </c>
    </row>
    <row r="13" spans="1:10">
      <c r="A13" s="6">
        <v>10</v>
      </c>
      <c r="B13" s="204">
        <v>46001</v>
      </c>
      <c r="C13" s="205"/>
      <c r="D13" s="122"/>
      <c r="E13" s="80"/>
      <c r="F13" s="184">
        <v>24</v>
      </c>
      <c r="G13" s="79">
        <f t="shared" si="0"/>
        <v>0</v>
      </c>
      <c r="H13" s="79">
        <f t="shared" si="1"/>
        <v>0</v>
      </c>
      <c r="I13" s="79">
        <f t="shared" si="2"/>
        <v>288</v>
      </c>
      <c r="J13" s="79">
        <f t="shared" si="3"/>
        <v>288</v>
      </c>
    </row>
    <row r="14" spans="1:10">
      <c r="A14" s="6">
        <v>11</v>
      </c>
      <c r="B14" s="204">
        <v>46002</v>
      </c>
      <c r="C14" s="205"/>
      <c r="D14" s="122"/>
      <c r="E14" s="80"/>
      <c r="F14" s="184">
        <v>24</v>
      </c>
      <c r="G14" s="79">
        <f t="shared" si="0"/>
        <v>0</v>
      </c>
      <c r="H14" s="79">
        <f t="shared" si="1"/>
        <v>0</v>
      </c>
      <c r="I14" s="79">
        <f t="shared" si="2"/>
        <v>288</v>
      </c>
      <c r="J14" s="79">
        <f t="shared" si="3"/>
        <v>288</v>
      </c>
    </row>
    <row r="15" spans="1:10">
      <c r="A15" s="6">
        <v>12</v>
      </c>
      <c r="B15" s="204">
        <v>46003</v>
      </c>
      <c r="C15" s="205"/>
      <c r="D15" s="122"/>
      <c r="E15" s="80"/>
      <c r="F15" s="184">
        <v>24</v>
      </c>
      <c r="G15" s="79">
        <f t="shared" si="0"/>
        <v>0</v>
      </c>
      <c r="H15" s="79">
        <f t="shared" si="1"/>
        <v>0</v>
      </c>
      <c r="I15" s="79">
        <f t="shared" si="2"/>
        <v>288</v>
      </c>
      <c r="J15" s="79">
        <f t="shared" si="3"/>
        <v>288</v>
      </c>
    </row>
    <row r="16" spans="1:10">
      <c r="A16" s="6">
        <v>13</v>
      </c>
      <c r="B16" s="204">
        <v>46004</v>
      </c>
      <c r="C16" s="205"/>
      <c r="D16" s="122"/>
      <c r="E16" s="80"/>
      <c r="F16" s="184">
        <v>24</v>
      </c>
      <c r="G16" s="79">
        <f t="shared" si="0"/>
        <v>0</v>
      </c>
      <c r="H16" s="79">
        <f t="shared" si="1"/>
        <v>0</v>
      </c>
      <c r="I16" s="79">
        <f t="shared" si="2"/>
        <v>288</v>
      </c>
      <c r="J16" s="79">
        <f t="shared" si="3"/>
        <v>288</v>
      </c>
    </row>
    <row r="17" spans="1:10">
      <c r="A17" s="6">
        <v>14</v>
      </c>
      <c r="B17" s="204">
        <v>46005</v>
      </c>
      <c r="C17" s="205"/>
      <c r="D17" s="122"/>
      <c r="E17" s="80"/>
      <c r="F17" s="184">
        <v>24</v>
      </c>
      <c r="G17" s="79">
        <f t="shared" si="0"/>
        <v>0</v>
      </c>
      <c r="H17" s="79">
        <f t="shared" si="1"/>
        <v>0</v>
      </c>
      <c r="I17" s="79">
        <f t="shared" si="2"/>
        <v>288</v>
      </c>
      <c r="J17" s="79">
        <f t="shared" si="3"/>
        <v>288</v>
      </c>
    </row>
    <row r="18" spans="1:10">
      <c r="A18" s="6">
        <v>15</v>
      </c>
      <c r="B18" s="204">
        <v>46006</v>
      </c>
      <c r="C18" s="205"/>
      <c r="D18" s="122"/>
      <c r="E18" s="80"/>
      <c r="F18" s="184">
        <v>24</v>
      </c>
      <c r="G18" s="79">
        <f t="shared" si="0"/>
        <v>0</v>
      </c>
      <c r="H18" s="79">
        <f t="shared" si="1"/>
        <v>0</v>
      </c>
      <c r="I18" s="79">
        <f t="shared" si="2"/>
        <v>288</v>
      </c>
      <c r="J18" s="79">
        <f t="shared" si="3"/>
        <v>288</v>
      </c>
    </row>
    <row r="19" spans="1:10">
      <c r="A19" s="6">
        <v>16</v>
      </c>
      <c r="B19" s="204">
        <v>46007</v>
      </c>
      <c r="C19" s="205"/>
      <c r="D19" s="122"/>
      <c r="E19" s="80"/>
      <c r="F19" s="184">
        <v>24</v>
      </c>
      <c r="G19" s="79">
        <f t="shared" si="0"/>
        <v>0</v>
      </c>
      <c r="H19" s="79">
        <f t="shared" si="1"/>
        <v>0</v>
      </c>
      <c r="I19" s="79">
        <f t="shared" si="2"/>
        <v>288</v>
      </c>
      <c r="J19" s="79">
        <f t="shared" si="3"/>
        <v>288</v>
      </c>
    </row>
    <row r="20" spans="1:10">
      <c r="A20" s="6">
        <v>17</v>
      </c>
      <c r="B20" s="204">
        <v>46008</v>
      </c>
      <c r="C20" s="205"/>
      <c r="D20" s="122"/>
      <c r="E20" s="80"/>
      <c r="F20" s="184">
        <v>24</v>
      </c>
      <c r="G20" s="79">
        <f t="shared" si="0"/>
        <v>0</v>
      </c>
      <c r="H20" s="79">
        <f t="shared" si="1"/>
        <v>0</v>
      </c>
      <c r="I20" s="79">
        <f t="shared" si="2"/>
        <v>288</v>
      </c>
      <c r="J20" s="79">
        <f t="shared" si="3"/>
        <v>288</v>
      </c>
    </row>
    <row r="21" spans="1:10">
      <c r="A21" s="6">
        <v>18</v>
      </c>
      <c r="B21" s="204">
        <v>46009</v>
      </c>
      <c r="C21" s="205"/>
      <c r="D21" s="122"/>
      <c r="E21" s="80"/>
      <c r="F21" s="184">
        <v>24</v>
      </c>
      <c r="G21" s="79">
        <f t="shared" si="0"/>
        <v>0</v>
      </c>
      <c r="H21" s="79">
        <f t="shared" si="1"/>
        <v>0</v>
      </c>
      <c r="I21" s="79">
        <f t="shared" si="2"/>
        <v>288</v>
      </c>
      <c r="J21" s="79">
        <f t="shared" si="3"/>
        <v>288</v>
      </c>
    </row>
    <row r="22" spans="1:10">
      <c r="A22" s="6">
        <v>19</v>
      </c>
      <c r="B22" s="204">
        <v>46010</v>
      </c>
      <c r="C22" s="205"/>
      <c r="D22" s="122"/>
      <c r="E22" s="80"/>
      <c r="F22" s="184">
        <v>24</v>
      </c>
      <c r="G22" s="79">
        <f t="shared" si="0"/>
        <v>0</v>
      </c>
      <c r="H22" s="79">
        <f t="shared" si="1"/>
        <v>0</v>
      </c>
      <c r="I22" s="79">
        <f t="shared" si="2"/>
        <v>288</v>
      </c>
      <c r="J22" s="79">
        <f t="shared" si="3"/>
        <v>288</v>
      </c>
    </row>
    <row r="23" spans="1:10">
      <c r="A23" s="6">
        <v>20</v>
      </c>
      <c r="B23" s="204">
        <v>46011</v>
      </c>
      <c r="C23" s="205"/>
      <c r="D23" s="122"/>
      <c r="E23" s="80"/>
      <c r="F23" s="184">
        <v>24</v>
      </c>
      <c r="G23" s="79">
        <f t="shared" si="0"/>
        <v>0</v>
      </c>
      <c r="H23" s="79">
        <f t="shared" si="1"/>
        <v>0</v>
      </c>
      <c r="I23" s="79">
        <f t="shared" si="2"/>
        <v>288</v>
      </c>
      <c r="J23" s="79">
        <f t="shared" si="3"/>
        <v>288</v>
      </c>
    </row>
    <row r="24" spans="1:10">
      <c r="A24" s="6">
        <v>21</v>
      </c>
      <c r="B24" s="204">
        <v>46012</v>
      </c>
      <c r="C24" s="205"/>
      <c r="D24" s="122"/>
      <c r="E24" s="80"/>
      <c r="F24" s="184">
        <v>24</v>
      </c>
      <c r="G24" s="79">
        <f t="shared" si="0"/>
        <v>0</v>
      </c>
      <c r="H24" s="79">
        <f t="shared" si="1"/>
        <v>0</v>
      </c>
      <c r="I24" s="79">
        <f t="shared" si="2"/>
        <v>288</v>
      </c>
      <c r="J24" s="79">
        <f t="shared" si="3"/>
        <v>288</v>
      </c>
    </row>
    <row r="25" spans="1:10">
      <c r="A25" s="6">
        <v>22</v>
      </c>
      <c r="B25" s="204">
        <v>46013</v>
      </c>
      <c r="C25" s="205"/>
      <c r="D25" s="122"/>
      <c r="E25" s="80"/>
      <c r="F25" s="184">
        <v>24</v>
      </c>
      <c r="G25" s="79">
        <f t="shared" si="0"/>
        <v>0</v>
      </c>
      <c r="H25" s="79">
        <f t="shared" si="1"/>
        <v>0</v>
      </c>
      <c r="I25" s="79">
        <f t="shared" si="2"/>
        <v>288</v>
      </c>
      <c r="J25" s="79">
        <f t="shared" si="3"/>
        <v>288</v>
      </c>
    </row>
    <row r="26" spans="1:10">
      <c r="A26" s="6">
        <v>23</v>
      </c>
      <c r="B26" s="204">
        <v>46014</v>
      </c>
      <c r="C26" s="205"/>
      <c r="D26" s="122"/>
      <c r="E26" s="80"/>
      <c r="F26" s="184">
        <v>24</v>
      </c>
      <c r="G26" s="79">
        <f t="shared" si="0"/>
        <v>0</v>
      </c>
      <c r="H26" s="79">
        <f t="shared" si="1"/>
        <v>0</v>
      </c>
      <c r="I26" s="79">
        <f t="shared" si="2"/>
        <v>288</v>
      </c>
      <c r="J26" s="79">
        <f t="shared" si="3"/>
        <v>288</v>
      </c>
    </row>
    <row r="27" spans="1:10">
      <c r="A27" s="6">
        <v>24</v>
      </c>
      <c r="B27" s="204">
        <v>46015</v>
      </c>
      <c r="C27" s="205"/>
      <c r="D27" s="122"/>
      <c r="E27" s="80"/>
      <c r="F27" s="184">
        <v>24</v>
      </c>
      <c r="G27" s="79">
        <f t="shared" si="0"/>
        <v>0</v>
      </c>
      <c r="H27" s="79">
        <f t="shared" si="1"/>
        <v>0</v>
      </c>
      <c r="I27" s="79">
        <f t="shared" si="2"/>
        <v>288</v>
      </c>
      <c r="J27" s="79">
        <f t="shared" si="3"/>
        <v>288</v>
      </c>
    </row>
    <row r="28" spans="1:10">
      <c r="A28" s="6">
        <v>25</v>
      </c>
      <c r="B28" s="204">
        <v>46016</v>
      </c>
      <c r="C28" s="205"/>
      <c r="D28" s="122"/>
      <c r="E28" s="80"/>
      <c r="F28" s="184">
        <v>24</v>
      </c>
      <c r="G28" s="79">
        <f t="shared" si="0"/>
        <v>0</v>
      </c>
      <c r="H28" s="79">
        <f t="shared" si="1"/>
        <v>0</v>
      </c>
      <c r="I28" s="79">
        <f t="shared" si="2"/>
        <v>288</v>
      </c>
      <c r="J28" s="79">
        <f t="shared" si="3"/>
        <v>288</v>
      </c>
    </row>
    <row r="29" spans="1:10">
      <c r="A29" s="6">
        <v>26</v>
      </c>
      <c r="B29" s="204">
        <v>46017</v>
      </c>
      <c r="C29" s="205"/>
      <c r="D29" s="122"/>
      <c r="E29" s="80"/>
      <c r="F29" s="184">
        <v>24</v>
      </c>
      <c r="G29" s="79">
        <f t="shared" si="0"/>
        <v>0</v>
      </c>
      <c r="H29" s="79">
        <f t="shared" si="1"/>
        <v>0</v>
      </c>
      <c r="I29" s="79">
        <f t="shared" si="2"/>
        <v>288</v>
      </c>
      <c r="J29" s="79">
        <f t="shared" si="3"/>
        <v>288</v>
      </c>
    </row>
    <row r="30" spans="1:10">
      <c r="A30" s="6">
        <v>27</v>
      </c>
      <c r="B30" s="204">
        <v>46018</v>
      </c>
      <c r="C30" s="205"/>
      <c r="D30" s="122"/>
      <c r="E30" s="80"/>
      <c r="F30" s="184">
        <v>24</v>
      </c>
      <c r="G30" s="79">
        <f t="shared" si="0"/>
        <v>0</v>
      </c>
      <c r="H30" s="79">
        <f t="shared" si="1"/>
        <v>0</v>
      </c>
      <c r="I30" s="79">
        <f t="shared" si="2"/>
        <v>288</v>
      </c>
      <c r="J30" s="79">
        <f t="shared" si="3"/>
        <v>288</v>
      </c>
    </row>
    <row r="31" spans="1:10">
      <c r="A31" s="6">
        <v>28</v>
      </c>
      <c r="B31" s="204">
        <v>46019</v>
      </c>
      <c r="C31" s="205"/>
      <c r="D31" s="122"/>
      <c r="E31" s="80"/>
      <c r="F31" s="184">
        <v>24</v>
      </c>
      <c r="G31" s="79">
        <f t="shared" si="0"/>
        <v>0</v>
      </c>
      <c r="H31" s="79">
        <f t="shared" si="1"/>
        <v>0</v>
      </c>
      <c r="I31" s="79">
        <f t="shared" si="2"/>
        <v>288</v>
      </c>
      <c r="J31" s="79">
        <f t="shared" si="3"/>
        <v>288</v>
      </c>
    </row>
    <row r="32" spans="1:10">
      <c r="A32" s="6">
        <v>29</v>
      </c>
      <c r="B32" s="204">
        <v>46020</v>
      </c>
      <c r="C32" s="205"/>
      <c r="D32" s="122"/>
      <c r="E32" s="80"/>
      <c r="F32" s="184">
        <v>24</v>
      </c>
      <c r="G32" s="79">
        <f t="shared" si="0"/>
        <v>0</v>
      </c>
      <c r="H32" s="79">
        <f t="shared" si="1"/>
        <v>0</v>
      </c>
      <c r="I32" s="79">
        <f t="shared" si="2"/>
        <v>288</v>
      </c>
      <c r="J32" s="79">
        <f t="shared" si="3"/>
        <v>288</v>
      </c>
    </row>
    <row r="33" spans="1:10">
      <c r="A33" s="6">
        <v>30</v>
      </c>
      <c r="B33" s="204">
        <v>46021</v>
      </c>
      <c r="C33" s="205"/>
      <c r="D33" s="122"/>
      <c r="E33" s="80"/>
      <c r="F33" s="184">
        <v>24</v>
      </c>
      <c r="G33" s="79">
        <f t="shared" si="0"/>
        <v>0</v>
      </c>
      <c r="H33" s="79">
        <f t="shared" si="1"/>
        <v>0</v>
      </c>
      <c r="I33" s="79">
        <f t="shared" si="2"/>
        <v>288</v>
      </c>
      <c r="J33" s="79">
        <f t="shared" si="3"/>
        <v>288</v>
      </c>
    </row>
    <row r="34" spans="1:10">
      <c r="A34" s="6">
        <v>31</v>
      </c>
      <c r="B34" s="204">
        <v>46022</v>
      </c>
      <c r="C34" s="205"/>
      <c r="D34" s="122"/>
      <c r="E34" s="80"/>
      <c r="F34" s="184">
        <v>24</v>
      </c>
      <c r="G34" s="79">
        <f t="shared" ref="G34" si="4">SUM(D34*120)</f>
        <v>0</v>
      </c>
      <c r="H34" s="79">
        <f t="shared" ref="H34" si="5">SUM(E34*120)</f>
        <v>0</v>
      </c>
      <c r="I34" s="79">
        <f t="shared" ref="I34" si="6">SUM(F34*12)</f>
        <v>288</v>
      </c>
      <c r="J34" s="79">
        <f t="shared" si="3"/>
        <v>288</v>
      </c>
    </row>
    <row r="35" spans="1:10">
      <c r="D35" s="79"/>
      <c r="E35" s="79"/>
      <c r="F35" s="79"/>
      <c r="G35" s="79">
        <f>SUM(G4:G34)</f>
        <v>0</v>
      </c>
      <c r="H35" s="79">
        <f>SUM(H4:H34)</f>
        <v>0</v>
      </c>
      <c r="I35" s="79">
        <f>SUM(I4:I34)</f>
        <v>8928</v>
      </c>
      <c r="J35" s="157">
        <f>SUM(J4:J34)</f>
        <v>8928</v>
      </c>
    </row>
  </sheetData>
  <mergeCells count="40">
    <mergeCell ref="B1:H1"/>
    <mergeCell ref="A2:A3"/>
    <mergeCell ref="B2:C3"/>
    <mergeCell ref="D2:D3"/>
    <mergeCell ref="E2:E3"/>
    <mergeCell ref="G2:G3"/>
    <mergeCell ref="H2:H3"/>
    <mergeCell ref="B13:C13"/>
    <mergeCell ref="I2:I3"/>
    <mergeCell ref="J2:J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32:C32"/>
    <mergeCell ref="B33:C33"/>
    <mergeCell ref="B34:C34"/>
    <mergeCell ref="B26:C26"/>
    <mergeCell ref="B27:C27"/>
    <mergeCell ref="B28:C28"/>
    <mergeCell ref="B29:C29"/>
    <mergeCell ref="B30:C30"/>
    <mergeCell ref="B31:C3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C887A-3120-477C-9A31-A32FE32B469F}">
  <sheetPr codeName="Лист24"/>
  <dimension ref="A2:F21"/>
  <sheetViews>
    <sheetView workbookViewId="0">
      <selection activeCell="D12" sqref="D12"/>
    </sheetView>
  </sheetViews>
  <sheetFormatPr defaultRowHeight="15"/>
  <cols>
    <col min="1" max="1" width="6.3984375" style="2" customWidth="1"/>
    <col min="2" max="2" width="22.59765625" style="2" customWidth="1"/>
    <col min="3" max="3" width="8.796875" style="2" customWidth="1"/>
    <col min="4" max="4" width="9.296875" style="2" customWidth="1"/>
    <col min="5" max="5" width="8.69921875" style="2" customWidth="1"/>
    <col min="6" max="6" width="11.5" style="2" customWidth="1"/>
    <col min="7" max="16384" width="8.796875" style="2"/>
  </cols>
  <sheetData>
    <row r="2" spans="1:6" ht="21">
      <c r="A2" s="77" t="str">
        <f ca="1">IF(DAY(TODAY())&gt;27,"Акт  №    от  " &amp; TEXT(TODAY(),"ДД ММММ ГГГГ"),"Акт  №    от  " &amp; TEXT(TODAY()-DAY(TODAY()),"ДД ММММ ГГГГ"))</f>
        <v>Акт  №    от  31 Декабрь 2025</v>
      </c>
    </row>
    <row r="3" spans="1:6">
      <c r="A3" s="22" t="str">
        <f ca="1">IF(DAY(TODAY()) &gt; 27, "выполненных работ (оказанных услуг) за " &amp; TEXT(TODAY(),"ММММ ГГГГ"),"выполненных работ (оказанных услуг) за " &amp; TEXT(TODAY()-DAY(TODAY()),"ММММ ГГГГ"))</f>
        <v>выполненных работ (оказанных услуг) за Декабрь 2025</v>
      </c>
      <c r="B3" s="22"/>
      <c r="C3" s="22"/>
    </row>
    <row r="4" spans="1:6" ht="15" customHeight="1">
      <c r="A4" s="22" t="s">
        <v>141</v>
      </c>
      <c r="B4" s="22"/>
      <c r="C4" s="22"/>
    </row>
    <row r="5" spans="1:6">
      <c r="A5" s="2" t="s">
        <v>118</v>
      </c>
    </row>
    <row r="6" spans="1:6">
      <c r="A6" s="2" t="str">
        <f ca="1">IF(DAY(TODAY()) &gt; 27," Во исполнение Договора в период с " &amp; TEXT(TODAY()-DAY(TODAY()-DAY(TODAY())),"ДД ММММ ГГГГ") &amp; " г. По " &amp; TEXT(TODAY(),"ДД ММММ ГГГГ") &amp; "  г. ХРАНИТЕЛЬ оказал ПОКЛАЖЕДАТЕЛЮ следующие услуги (работы):"," Во исполнение Договора в период с " &amp; TEXT(TODAY()-DAY(TODAY())-DAY(TODAY()-DAY(TODAY()))+1,"ДД ММММ ГГГГ") &amp; " г. По " &amp; TEXT(TODAY()-DAY(TODAY()),"ДД ММММ ГГГГ") &amp; "  г. ХРАНИТЕЛЬ оказал ПОКЛАЖЕДАТЕЛЮ следующие услуги (работы):")</f>
        <v xml:space="preserve"> Во исполнение Договора в период с 01 Декабрь 2025 г. По 31 Декабрь 2025  г. ХРАНИТЕЛЬ оказал ПОКЛАЖЕДАТЕЛЮ следующие услуги (работы):</v>
      </c>
    </row>
    <row r="8" spans="1:6">
      <c r="A8" s="79" t="s">
        <v>0</v>
      </c>
      <c r="B8" s="79" t="s">
        <v>78</v>
      </c>
      <c r="C8" s="79" t="s">
        <v>79</v>
      </c>
      <c r="D8" s="79" t="s">
        <v>80</v>
      </c>
      <c r="E8" s="79" t="s">
        <v>81</v>
      </c>
      <c r="F8" s="79" t="s">
        <v>82</v>
      </c>
    </row>
    <row r="9" spans="1:6" ht="15.75">
      <c r="A9" s="80">
        <v>1</v>
      </c>
      <c r="B9" s="114" t="s">
        <v>184</v>
      </c>
      <c r="C9" s="80" t="s">
        <v>185</v>
      </c>
      <c r="D9" s="185">
        <v>225.5</v>
      </c>
      <c r="E9" s="186">
        <v>950</v>
      </c>
      <c r="F9" s="186">
        <f>D9*E9</f>
        <v>214225</v>
      </c>
    </row>
    <row r="10" spans="1:6" ht="15.75">
      <c r="A10" s="80">
        <v>2</v>
      </c>
      <c r="B10" s="113" t="s">
        <v>8</v>
      </c>
      <c r="C10" s="80" t="s">
        <v>185</v>
      </c>
      <c r="D10" s="185">
        <f>D9</f>
        <v>225.5</v>
      </c>
      <c r="E10" s="186">
        <v>120</v>
      </c>
      <c r="F10" s="186">
        <f t="shared" ref="F10:F11" si="0">D10*E10</f>
        <v>27060</v>
      </c>
    </row>
    <row r="11" spans="1:6" ht="15.75">
      <c r="A11" s="80">
        <v>3</v>
      </c>
      <c r="B11" s="113" t="s">
        <v>186</v>
      </c>
      <c r="C11" s="80" t="s">
        <v>187</v>
      </c>
      <c r="D11" s="185">
        <v>164</v>
      </c>
      <c r="E11" s="186">
        <v>830</v>
      </c>
      <c r="F11" s="186">
        <f t="shared" si="0"/>
        <v>136120</v>
      </c>
    </row>
    <row r="12" spans="1:6" ht="15.75">
      <c r="A12" s="2" t="s">
        <v>83</v>
      </c>
      <c r="F12" s="186">
        <f>SUM(F9:F11)</f>
        <v>377405</v>
      </c>
    </row>
    <row r="13" spans="1:6" ht="15.75">
      <c r="A13" s="2" t="s">
        <v>84</v>
      </c>
      <c r="F13" s="186">
        <f>F12</f>
        <v>377405</v>
      </c>
    </row>
    <row r="14" spans="1:6" ht="15.75">
      <c r="A14" s="2" t="s">
        <v>85</v>
      </c>
      <c r="F14" s="186">
        <f>F13*1.2</f>
        <v>452886</v>
      </c>
    </row>
    <row r="15" spans="1:6">
      <c r="A15" s="2" t="s">
        <v>86</v>
      </c>
    </row>
    <row r="16" spans="1:6">
      <c r="A16" s="2" t="s">
        <v>87</v>
      </c>
    </row>
    <row r="19" spans="1:4" ht="15" customHeight="1">
      <c r="A19" s="2" t="s">
        <v>89</v>
      </c>
      <c r="D19" s="2" t="s">
        <v>140</v>
      </c>
    </row>
    <row r="21" spans="1:4">
      <c r="A21" s="2" t="s">
        <v>129</v>
      </c>
      <c r="D21" s="2" t="s">
        <v>93</v>
      </c>
    </row>
  </sheetData>
  <pageMargins left="0.7" right="0.7" top="0.75" bottom="0.75" header="0.3" footer="0.3"/>
  <pageSetup paperSize="9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D83E6-DAA6-4A91-BD92-29BBE42F2AC4}">
  <sheetPr codeName="Лист25">
    <pageSetUpPr fitToPage="1"/>
  </sheetPr>
  <dimension ref="A3:G22"/>
  <sheetViews>
    <sheetView workbookViewId="0">
      <selection activeCell="A5" sqref="A5"/>
    </sheetView>
  </sheetViews>
  <sheetFormatPr defaultRowHeight="15"/>
  <cols>
    <col min="1" max="1" width="13.19921875" style="2" customWidth="1"/>
    <col min="2" max="2" width="19" style="2" customWidth="1"/>
    <col min="3" max="3" width="6.8984375" style="2" customWidth="1"/>
    <col min="4" max="4" width="7.8984375" style="2" customWidth="1"/>
    <col min="5" max="5" width="7.5" style="2" customWidth="1"/>
    <col min="6" max="6" width="10.19921875" style="2" customWidth="1"/>
    <col min="7" max="7" width="9.5" style="2" customWidth="1"/>
    <col min="8" max="16384" width="8.796875" style="2"/>
  </cols>
  <sheetData>
    <row r="3" spans="1:7" ht="21">
      <c r="A3" s="77" t="s">
        <v>188</v>
      </c>
    </row>
    <row r="4" spans="1:7">
      <c r="A4" s="22" t="str">
        <f ca="1">IF(DAY(TODAY()) &gt; 27, "выполненных работ (оказанных услуг) за " &amp; TEXT(TODAY(),"ММММ ГГГГ"),"выполненных работ (оказанных услуг) за " &amp; TEXT(TODAY()-DAY(TODAY()),"ММММ ГГГГ"))</f>
        <v>выполненных работ (оказанных услуг) за Декабрь 2025</v>
      </c>
      <c r="B4" s="22"/>
      <c r="C4" s="22"/>
    </row>
    <row r="5" spans="1:7">
      <c r="A5" s="22" t="s">
        <v>130</v>
      </c>
      <c r="B5" s="22"/>
      <c r="C5" s="22"/>
    </row>
    <row r="6" spans="1:7">
      <c r="A6" s="2" t="s">
        <v>118</v>
      </c>
    </row>
    <row r="7" spans="1:7">
      <c r="A7" s="2" t="s">
        <v>189</v>
      </c>
    </row>
    <row r="9" spans="1:7">
      <c r="A9" s="79" t="s">
        <v>0</v>
      </c>
      <c r="B9" s="79" t="s">
        <v>78</v>
      </c>
      <c r="C9" s="79" t="s">
        <v>79</v>
      </c>
      <c r="D9" s="79" t="s">
        <v>80</v>
      </c>
      <c r="E9" s="79" t="s">
        <v>81</v>
      </c>
      <c r="F9" s="79" t="s">
        <v>131</v>
      </c>
      <c r="G9" s="79" t="s">
        <v>132</v>
      </c>
    </row>
    <row r="10" spans="1:7" ht="15.75">
      <c r="A10" s="80">
        <v>1</v>
      </c>
      <c r="B10" s="79" t="s">
        <v>133</v>
      </c>
      <c r="C10" s="80" t="s">
        <v>134</v>
      </c>
      <c r="D10" s="6">
        <v>5</v>
      </c>
      <c r="E10" s="86">
        <v>2000</v>
      </c>
      <c r="F10" s="86">
        <f>SUM(D10*E10)</f>
        <v>10000</v>
      </c>
      <c r="G10" s="86">
        <f>F10*1.2</f>
        <v>12000</v>
      </c>
    </row>
    <row r="11" spans="1:7" ht="15.75">
      <c r="A11" s="80">
        <v>2</v>
      </c>
      <c r="B11" s="79" t="s">
        <v>135</v>
      </c>
      <c r="C11" s="80" t="s">
        <v>134</v>
      </c>
      <c r="D11" s="6"/>
      <c r="E11" s="86"/>
      <c r="F11" s="86">
        <f>SUM(D11*E11)</f>
        <v>0</v>
      </c>
      <c r="G11" s="86">
        <f>F11*1.2</f>
        <v>0</v>
      </c>
    </row>
    <row r="12" spans="1:7" ht="15.75">
      <c r="A12" s="118"/>
      <c r="C12" s="118"/>
      <c r="D12" s="119"/>
      <c r="E12" s="76"/>
      <c r="F12" s="86">
        <f>SUM(F10:F11)</f>
        <v>10000</v>
      </c>
      <c r="G12" s="86">
        <f>SUM(G10:G11)</f>
        <v>12000</v>
      </c>
    </row>
    <row r="13" spans="1:7">
      <c r="A13" s="22" t="s">
        <v>136</v>
      </c>
      <c r="B13" s="22" t="s">
        <v>190</v>
      </c>
      <c r="C13" s="22"/>
      <c r="D13" s="22"/>
    </row>
    <row r="14" spans="1:7">
      <c r="A14" s="22" t="s">
        <v>138</v>
      </c>
      <c r="B14" s="22" t="str">
        <f>B13</f>
        <v>десять тысяч рублей ноль копеек</v>
      </c>
      <c r="C14" s="22"/>
      <c r="D14" s="22"/>
    </row>
    <row r="15" spans="1:7">
      <c r="A15" s="22" t="s">
        <v>85</v>
      </c>
      <c r="B15" s="22" t="s">
        <v>191</v>
      </c>
      <c r="F15" s="120"/>
      <c r="G15" s="120"/>
    </row>
    <row r="16" spans="1:7">
      <c r="A16" s="2" t="s">
        <v>86</v>
      </c>
    </row>
    <row r="17" spans="1:4">
      <c r="A17" s="2" t="s">
        <v>87</v>
      </c>
    </row>
    <row r="20" spans="1:4">
      <c r="A20" s="2" t="s">
        <v>89</v>
      </c>
      <c r="D20" s="2" t="s">
        <v>140</v>
      </c>
    </row>
    <row r="22" spans="1:4">
      <c r="A22" s="2" t="s">
        <v>129</v>
      </c>
      <c r="D22" s="2" t="s">
        <v>93</v>
      </c>
    </row>
  </sheetData>
  <pageMargins left="0.7" right="0.7" top="0.75" bottom="0.75" header="0.3" footer="0.3"/>
  <pageSetup paperSize="9" scale="98" fitToHeight="0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30687-BDDE-47E5-93EF-82088ED5EF74}">
  <sheetPr codeName="Лист26">
    <pageSetUpPr fitToPage="1"/>
  </sheetPr>
  <dimension ref="A3:G22"/>
  <sheetViews>
    <sheetView workbookViewId="0">
      <selection activeCell="I14" sqref="I14"/>
    </sheetView>
  </sheetViews>
  <sheetFormatPr defaultRowHeight="15"/>
  <cols>
    <col min="1" max="1" width="13.19921875" style="2" customWidth="1"/>
    <col min="2" max="2" width="19" style="2" customWidth="1"/>
    <col min="3" max="3" width="6.8984375" style="2" customWidth="1"/>
    <col min="4" max="4" width="7.8984375" style="2" customWidth="1"/>
    <col min="5" max="5" width="7.5" style="2" customWidth="1"/>
    <col min="6" max="6" width="10.19921875" style="2" customWidth="1"/>
    <col min="7" max="7" width="9.5" style="2" customWidth="1"/>
    <col min="8" max="16384" width="8.796875" style="2"/>
  </cols>
  <sheetData>
    <row r="3" spans="1:7" ht="21">
      <c r="A3" s="77" t="str">
        <f ca="1">IF(DAY(TODAY())&gt;27,"Акт  №    от  " &amp; TEXT(TODAY(),"ДД ММММ ГГГГ"),"Акт  №    от  " &amp; TEXT(TODAY()-DAY(TODAY()),"ДД ММММ ГГГГ")) &amp; " г. Казань_Автосервисная"</f>
        <v>Акт  №    от  31 Декабрь 2025 г. Казань_Автосервисная</v>
      </c>
    </row>
    <row r="4" spans="1:7">
      <c r="A4" s="22" t="str">
        <f ca="1">IF(DAY(TODAY()) &gt; 27, "выполненных работ (оказанных услуг) за " &amp; TEXT(TODAY(),"ММММ ГГГГ"),"выполненных работ (оказанных услуг) за " &amp; TEXT(TODAY()-DAY(TODAY()),"ММММ ГГГГ"))</f>
        <v>выполненных работ (оказанных услуг) за Декабрь 2025</v>
      </c>
      <c r="B4" s="22"/>
      <c r="C4" s="22"/>
    </row>
    <row r="5" spans="1:7">
      <c r="A5" s="22" t="s">
        <v>130</v>
      </c>
      <c r="B5" s="22"/>
      <c r="C5" s="22"/>
    </row>
    <row r="6" spans="1:7">
      <c r="A6" s="2" t="s">
        <v>118</v>
      </c>
    </row>
    <row r="7" spans="1:7">
      <c r="A7" s="2" t="str">
        <f ca="1">IF(DAY(TODAY()) &gt; 27,"Во исполнение Договора в период с " &amp; TEXT(TODAY()-DAY(TODAY()-DAY(TODAY())),"ДД ММММ ГГГГ") &amp; " г. По " &amp; TEXT(TODAY(),"ДД ММММ ГГГГ") &amp; "  г. ХРАНИТЕЛЬ оказал ПОКЛАЖЕДАТЕЛЮ следующие услуги (работы):"," Во исполнение Договора в период с " &amp; TEXT(TODAY()-DAY(TODAY())-DAY(TODAY()-DAY(TODAY()))+1,"ДД ММММ ГГГГ") &amp; " г. По " &amp; TEXT(TODAY()-DAY(TODAY()),"ДД ММММ ГГГГ") &amp; "  г. ХРАНИТЕЛЬ оказал ПОКЛАЖЕДАТЕЛЮ следующие услуги (работы):")</f>
        <v xml:space="preserve"> Во исполнение Договора в период с 01 Декабрь 2025 г. По 31 Декабрь 2025  г. ХРАНИТЕЛЬ оказал ПОКЛАЖЕДАТЕЛЮ следующие услуги (работы):</v>
      </c>
    </row>
    <row r="9" spans="1:7">
      <c r="A9" s="79" t="s">
        <v>0</v>
      </c>
      <c r="B9" s="79" t="s">
        <v>78</v>
      </c>
      <c r="C9" s="79" t="s">
        <v>79</v>
      </c>
      <c r="D9" s="79" t="s">
        <v>80</v>
      </c>
      <c r="E9" s="79" t="s">
        <v>81</v>
      </c>
      <c r="F9" s="79" t="s">
        <v>131</v>
      </c>
      <c r="G9" s="79" t="s">
        <v>132</v>
      </c>
    </row>
    <row r="10" spans="1:7" ht="15.75">
      <c r="A10" s="80">
        <v>1</v>
      </c>
      <c r="B10" s="79" t="s">
        <v>133</v>
      </c>
      <c r="C10" s="80" t="s">
        <v>134</v>
      </c>
      <c r="D10" s="6">
        <v>28</v>
      </c>
      <c r="E10" s="86">
        <v>2000</v>
      </c>
      <c r="F10" s="86">
        <f>SUM(D10*E10)</f>
        <v>56000</v>
      </c>
      <c r="G10" s="86">
        <f>F10*1.2</f>
        <v>67200</v>
      </c>
    </row>
    <row r="11" spans="1:7" ht="15.75">
      <c r="A11" s="80">
        <v>2</v>
      </c>
      <c r="B11" s="79" t="s">
        <v>135</v>
      </c>
      <c r="C11" s="80" t="s">
        <v>134</v>
      </c>
      <c r="D11" s="6"/>
      <c r="E11" s="86"/>
      <c r="F11" s="86">
        <f>SUM(D11*E11)</f>
        <v>0</v>
      </c>
      <c r="G11" s="86">
        <f>F11*1.2</f>
        <v>0</v>
      </c>
    </row>
    <row r="12" spans="1:7" ht="15.75">
      <c r="A12" s="118"/>
      <c r="C12" s="118"/>
      <c r="D12" s="119"/>
      <c r="E12" s="76"/>
      <c r="F12" s="86">
        <f>SUM(F10:F11)</f>
        <v>56000</v>
      </c>
      <c r="G12" s="86">
        <f>SUM(G10:G11)</f>
        <v>67200</v>
      </c>
    </row>
    <row r="13" spans="1:7">
      <c r="A13" s="22" t="s">
        <v>136</v>
      </c>
      <c r="B13" s="22" t="s">
        <v>192</v>
      </c>
      <c r="C13" s="22"/>
      <c r="D13" s="22"/>
    </row>
    <row r="14" spans="1:7">
      <c r="A14" s="22" t="s">
        <v>138</v>
      </c>
      <c r="B14" s="22" t="str">
        <f>B13</f>
        <v>пятьдесят шесть тысячь рублей ноль копеек</v>
      </c>
      <c r="C14" s="22"/>
      <c r="D14" s="22"/>
    </row>
    <row r="15" spans="1:7">
      <c r="A15" s="22" t="s">
        <v>85</v>
      </c>
      <c r="B15" s="22" t="s">
        <v>193</v>
      </c>
      <c r="F15" s="120"/>
      <c r="G15" s="120"/>
    </row>
    <row r="16" spans="1:7">
      <c r="A16" s="2" t="s">
        <v>86</v>
      </c>
    </row>
    <row r="17" spans="1:4">
      <c r="A17" s="2" t="s">
        <v>87</v>
      </c>
    </row>
    <row r="20" spans="1:4">
      <c r="A20" s="2" t="s">
        <v>89</v>
      </c>
      <c r="D20" s="2" t="s">
        <v>140</v>
      </c>
    </row>
    <row r="22" spans="1:4">
      <c r="A22" s="2" t="s">
        <v>129</v>
      </c>
      <c r="D22" s="2" t="s">
        <v>93</v>
      </c>
    </row>
  </sheetData>
  <pageMargins left="0.7" right="0.7" top="0.75" bottom="0.75" header="0.3" footer="0.3"/>
  <pageSetup paperSize="9" fitToHeight="0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34EA1-D1C8-437B-9B87-815F3250BF7A}">
  <sheetPr codeName="Лист27"/>
  <dimension ref="A2:F21"/>
  <sheetViews>
    <sheetView workbookViewId="0">
      <selection activeCell="D12" sqref="D12"/>
    </sheetView>
  </sheetViews>
  <sheetFormatPr defaultRowHeight="15"/>
  <cols>
    <col min="1" max="1" width="6.3984375" style="2" customWidth="1"/>
    <col min="2" max="2" width="22.59765625" style="2" customWidth="1"/>
    <col min="3" max="3" width="8.796875" style="2" customWidth="1"/>
    <col min="4" max="4" width="9.296875" style="2" customWidth="1"/>
    <col min="5" max="5" width="8.69921875" style="2" customWidth="1"/>
    <col min="6" max="6" width="12.09765625" style="2" customWidth="1"/>
    <col min="7" max="16384" width="8.796875" style="2"/>
  </cols>
  <sheetData>
    <row r="2" spans="1:6" ht="21">
      <c r="A2" s="77" t="str">
        <f ca="1">IF(DAY(TODAY())&gt;27,"Акт  №    от  " &amp; TEXT(TODAY(),"ДД ММММ ГГГГ"),"Акт  №    от  " &amp; TEXT(TODAY()-DAY(TODAY()),"ДД ММММ ГГГГ"))</f>
        <v>Акт  №    от  31 Декабрь 2025</v>
      </c>
    </row>
    <row r="3" spans="1:6">
      <c r="A3" s="22" t="str">
        <f ca="1">IF(DAY(TODAY()) &gt; 27, "выполненных работ (оказанных услуг) за " &amp; TEXT(TODAY(),"ММММ ГГГГ"),"выполненных работ (оказанных услуг) за " &amp; TEXT(TODAY()-DAY(TODAY()),"ММММ ГГГГ"))</f>
        <v>выполненных работ (оказанных услуг) за Декабрь 2025</v>
      </c>
      <c r="B3" s="22"/>
      <c r="C3" s="22"/>
    </row>
    <row r="4" spans="1:6" ht="15" customHeight="1">
      <c r="A4" s="22" t="s">
        <v>141</v>
      </c>
      <c r="B4" s="22"/>
      <c r="C4" s="22"/>
    </row>
    <row r="5" spans="1:6">
      <c r="A5" s="2" t="s">
        <v>118</v>
      </c>
    </row>
    <row r="6" spans="1:6">
      <c r="A6" s="2" t="str">
        <f ca="1">IF(DAY(TODAY()) &gt; 27," Во исполнение Договора в период с " &amp; TEXT(TODAY()-DAY(TODAY()-DAY(TODAY())),"ДД ММММ ГГГГ") &amp; " г. По " &amp; TEXT(TODAY(),"ДД ММММ ГГГГ") &amp; "  г. ХРАНИТЕЛЬ оказал ПОКЛАЖЕДАТЕЛЮ следующие услуги (работы):"," Во исполнение Договора в период с " &amp; TEXT(TODAY()-DAY(TODAY())-DAY(TODAY()-DAY(TODAY()))+1,"ДД ММММ ГГГГ") &amp; " г. По " &amp; TEXT(TODAY()-DAY(TODAY()),"ДД ММММ ГГГГ") &amp; "  г. ХРАНИТЕЛЬ оказал ПОКЛАЖЕДАТЕЛЮ следующие услуги (работы):")</f>
        <v xml:space="preserve"> Во исполнение Договора в период с 01 Декабрь 2025 г. По 31 Декабрь 2025  г. ХРАНИТЕЛЬ оказал ПОКЛАЖЕДАТЕЛЮ следующие услуги (работы):</v>
      </c>
    </row>
    <row r="8" spans="1:6">
      <c r="A8" s="79" t="s">
        <v>0</v>
      </c>
      <c r="B8" s="79" t="s">
        <v>78</v>
      </c>
      <c r="C8" s="79" t="s">
        <v>79</v>
      </c>
      <c r="D8" s="79" t="s">
        <v>80</v>
      </c>
      <c r="E8" s="79" t="s">
        <v>81</v>
      </c>
      <c r="F8" s="79" t="s">
        <v>82</v>
      </c>
    </row>
    <row r="9" spans="1:6" ht="15.75">
      <c r="A9" s="80">
        <v>1</v>
      </c>
      <c r="B9" s="113" t="s">
        <v>184</v>
      </c>
      <c r="C9" s="80" t="s">
        <v>185</v>
      </c>
      <c r="D9" s="185">
        <v>24.75</v>
      </c>
      <c r="E9" s="186">
        <v>1000</v>
      </c>
      <c r="F9" s="186">
        <f t="shared" ref="F9:F11" si="0">SUM(D9*E9)</f>
        <v>24750</v>
      </c>
    </row>
    <row r="10" spans="1:6" ht="15.75">
      <c r="A10" s="80">
        <v>2</v>
      </c>
      <c r="B10" s="113" t="s">
        <v>8</v>
      </c>
      <c r="C10" s="80" t="s">
        <v>185</v>
      </c>
      <c r="D10" s="185">
        <f>D9</f>
        <v>24.75</v>
      </c>
      <c r="E10" s="186">
        <v>200</v>
      </c>
      <c r="F10" s="186">
        <f t="shared" si="0"/>
        <v>4950</v>
      </c>
    </row>
    <row r="11" spans="1:6" ht="15.75">
      <c r="A11" s="80">
        <v>3</v>
      </c>
      <c r="B11" s="187" t="s">
        <v>186</v>
      </c>
      <c r="C11" s="80" t="s">
        <v>187</v>
      </c>
      <c r="D11" s="188">
        <v>18</v>
      </c>
      <c r="E11" s="186">
        <v>830</v>
      </c>
      <c r="F11" s="186">
        <f t="shared" si="0"/>
        <v>14940</v>
      </c>
    </row>
    <row r="12" spans="1:6" ht="15.75">
      <c r="A12" s="2" t="s">
        <v>83</v>
      </c>
      <c r="F12" s="186">
        <f>SUM(F9:F11)</f>
        <v>44640</v>
      </c>
    </row>
    <row r="13" spans="1:6" ht="15.75">
      <c r="A13" s="2" t="s">
        <v>84</v>
      </c>
      <c r="F13" s="186">
        <f>SUM(F12)</f>
        <v>44640</v>
      </c>
    </row>
    <row r="14" spans="1:6" ht="15.75">
      <c r="A14" s="2" t="s">
        <v>85</v>
      </c>
      <c r="F14" s="186">
        <f>SUM(F13)*1.2</f>
        <v>53568</v>
      </c>
    </row>
    <row r="15" spans="1:6">
      <c r="A15" s="2" t="s">
        <v>86</v>
      </c>
    </row>
    <row r="16" spans="1:6">
      <c r="A16" s="2" t="s">
        <v>87</v>
      </c>
    </row>
    <row r="19" spans="1:4" ht="15" customHeight="1">
      <c r="A19" s="2" t="s">
        <v>89</v>
      </c>
      <c r="D19" s="2" t="s">
        <v>140</v>
      </c>
    </row>
    <row r="21" spans="1:4">
      <c r="A21" s="2" t="s">
        <v>129</v>
      </c>
      <c r="D21" s="2" t="s">
        <v>93</v>
      </c>
    </row>
  </sheetData>
  <pageMargins left="0.7" right="0.7" top="0.75" bottom="0.75" header="0.3" footer="0.3"/>
  <pageSetup paperSize="9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7FDA5-E578-4A82-9D4B-41B2CC63B8A2}">
  <sheetPr codeName="Лист28"/>
  <dimension ref="A2:F21"/>
  <sheetViews>
    <sheetView workbookViewId="0">
      <selection activeCell="D12" sqref="D12"/>
    </sheetView>
  </sheetViews>
  <sheetFormatPr defaultRowHeight="15"/>
  <cols>
    <col min="1" max="1" width="6.3984375" style="2" customWidth="1"/>
    <col min="2" max="2" width="22.59765625" style="2" customWidth="1"/>
    <col min="3" max="3" width="8.796875" style="2" customWidth="1"/>
    <col min="4" max="4" width="9.296875" style="2" customWidth="1"/>
    <col min="5" max="5" width="8.69921875" style="2" customWidth="1"/>
    <col min="6" max="6" width="12.09765625" style="2" customWidth="1"/>
    <col min="7" max="16384" width="8.796875" style="2"/>
  </cols>
  <sheetData>
    <row r="2" spans="1:6" ht="21">
      <c r="A2" s="77" t="str">
        <f ca="1">IF(DAY(TODAY())&gt;27,"Акт  №    от  " &amp; TEXT(TODAY(),"ДД ММММ ГГГГ"),"Акт  №    от  " &amp; TEXT(TODAY()-DAY(TODAY()),"ДД ММММ ГГГГ"))</f>
        <v>Акт  №    от  31 Декабрь 2025</v>
      </c>
    </row>
    <row r="3" spans="1:6">
      <c r="A3" s="22" t="str">
        <f ca="1">IF(DAY(TODAY()) &gt; 27, "выполненных работ (оказанных услуг) за " &amp; TEXT(TODAY(),"ММММ ГГГГ"),"выполненных работ (оказанных услуг) за " &amp; TEXT(TODAY()-DAY(TODAY()),"ММММ ГГГГ"))</f>
        <v>выполненных работ (оказанных услуг) за Декабрь 2025</v>
      </c>
      <c r="B3" s="22"/>
      <c r="C3" s="22"/>
    </row>
    <row r="4" spans="1:6" ht="15" customHeight="1">
      <c r="A4" s="22" t="s">
        <v>141</v>
      </c>
      <c r="B4" s="22"/>
      <c r="C4" s="22"/>
    </row>
    <row r="5" spans="1:6">
      <c r="A5" s="2" t="s">
        <v>118</v>
      </c>
    </row>
    <row r="6" spans="1:6">
      <c r="A6" s="2" t="str">
        <f ca="1">IF(DAY(TODAY()) &gt; 27," Во исполнение Договора в период с " &amp; TEXT(TODAY()-DAY(TODAY()-DAY(TODAY())),"ДД ММММ ГГГГ") &amp; " г. По " &amp; TEXT(TODAY(),"ДД ММММ ГГГГ") &amp; "  г. ХРАНИТЕЛЬ оказал ПОКЛАЖЕДАТЕЛЮ следующие услуги (работы):"," Во исполнение Договора в период с " &amp; TEXT(TODAY()-DAY(TODAY())-DAY(TODAY()-DAY(TODAY()))+1,"ДД ММММ ГГГГ") &amp; " г. По " &amp; TEXT(TODAY()-DAY(TODAY()),"ДД ММММ ГГГГ") &amp; "  г. ХРАНИТЕЛЬ оказал ПОКЛАЖЕДАТЕЛЮ следующие услуги (работы):")</f>
        <v xml:space="preserve"> Во исполнение Договора в период с 01 Декабрь 2025 г. По 31 Декабрь 2025  г. ХРАНИТЕЛЬ оказал ПОКЛАЖЕДАТЕЛЮ следующие услуги (работы):</v>
      </c>
    </row>
    <row r="8" spans="1:6">
      <c r="A8" s="79" t="s">
        <v>0</v>
      </c>
      <c r="B8" s="79" t="s">
        <v>78</v>
      </c>
      <c r="C8" s="79" t="s">
        <v>79</v>
      </c>
      <c r="D8" s="79" t="s">
        <v>80</v>
      </c>
      <c r="E8" s="79" t="s">
        <v>81</v>
      </c>
      <c r="F8" s="79" t="s">
        <v>82</v>
      </c>
    </row>
    <row r="9" spans="1:6" ht="15.75">
      <c r="A9" s="80">
        <v>1</v>
      </c>
      <c r="B9" s="113" t="s">
        <v>184</v>
      </c>
      <c r="C9" s="80" t="s">
        <v>185</v>
      </c>
      <c r="D9" s="185">
        <v>19.25</v>
      </c>
      <c r="E9" s="186">
        <v>1000</v>
      </c>
      <c r="F9" s="186">
        <f t="shared" ref="F9:F11" si="0">SUM(D9*E9)</f>
        <v>19250</v>
      </c>
    </row>
    <row r="10" spans="1:6" ht="15.75">
      <c r="A10" s="80">
        <v>2</v>
      </c>
      <c r="B10" s="113" t="s">
        <v>8</v>
      </c>
      <c r="C10" s="80" t="s">
        <v>185</v>
      </c>
      <c r="D10" s="185">
        <f>D9</f>
        <v>19.25</v>
      </c>
      <c r="E10" s="186">
        <v>200</v>
      </c>
      <c r="F10" s="186">
        <f t="shared" si="0"/>
        <v>3850</v>
      </c>
    </row>
    <row r="11" spans="1:6" ht="15.75">
      <c r="A11" s="80">
        <v>3</v>
      </c>
      <c r="B11" s="187" t="s">
        <v>186</v>
      </c>
      <c r="C11" s="80" t="s">
        <v>187</v>
      </c>
      <c r="D11" s="188">
        <v>14</v>
      </c>
      <c r="E11" s="186">
        <v>830</v>
      </c>
      <c r="F11" s="186">
        <f t="shared" si="0"/>
        <v>11620</v>
      </c>
    </row>
    <row r="12" spans="1:6" ht="15.75">
      <c r="A12" s="2" t="s">
        <v>83</v>
      </c>
      <c r="F12" s="186">
        <f>SUM(F9:F11)</f>
        <v>34720</v>
      </c>
    </row>
    <row r="13" spans="1:6" ht="15.75">
      <c r="A13" s="2" t="s">
        <v>84</v>
      </c>
      <c r="F13" s="186">
        <f>SUM(F12)</f>
        <v>34720</v>
      </c>
    </row>
    <row r="14" spans="1:6" ht="15.75">
      <c r="A14" s="2" t="s">
        <v>85</v>
      </c>
      <c r="F14" s="186">
        <f>SUM(F13)*1.2</f>
        <v>41664</v>
      </c>
    </row>
    <row r="15" spans="1:6">
      <c r="A15" s="2" t="s">
        <v>86</v>
      </c>
    </row>
    <row r="16" spans="1:6">
      <c r="A16" s="2" t="s">
        <v>87</v>
      </c>
    </row>
    <row r="19" spans="1:4" ht="15" customHeight="1">
      <c r="A19" s="2" t="s">
        <v>89</v>
      </c>
      <c r="D19" s="2" t="s">
        <v>140</v>
      </c>
    </row>
    <row r="21" spans="1:4">
      <c r="A21" s="2" t="s">
        <v>129</v>
      </c>
      <c r="D21" s="2" t="s">
        <v>93</v>
      </c>
    </row>
  </sheetData>
  <pageMargins left="0.7" right="0.7" top="0.75" bottom="0.75" header="0.3" footer="0.3"/>
  <pageSetup paperSize="9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604C6-0AD6-4147-AE02-116E9F27F0A8}">
  <sheetPr codeName="Лист29"/>
  <dimension ref="A2:F21"/>
  <sheetViews>
    <sheetView workbookViewId="0">
      <selection activeCell="A5" sqref="A5"/>
    </sheetView>
  </sheetViews>
  <sheetFormatPr defaultRowHeight="15"/>
  <cols>
    <col min="1" max="1" width="6.3984375" style="2" customWidth="1"/>
    <col min="2" max="2" width="22.59765625" style="2" customWidth="1"/>
    <col min="3" max="3" width="8.796875" style="2" customWidth="1"/>
    <col min="4" max="4" width="9.296875" style="2" customWidth="1"/>
    <col min="5" max="5" width="8.69921875" style="2" customWidth="1"/>
    <col min="6" max="6" width="11.5" style="2" customWidth="1"/>
    <col min="7" max="16384" width="8.796875" style="2"/>
  </cols>
  <sheetData>
    <row r="2" spans="1:6" ht="21">
      <c r="A2" s="77" t="str">
        <f ca="1">IF(DAY(TODAY())&gt;27,"Акт  №    от  " &amp; TEXT(TODAY(),"ДД ММММ ГГГГ"),"Акт  №    от  " &amp; TEXT(TODAY()-DAY(TODAY()),"ДД ММММ ГГГГ"))</f>
        <v>Акт  №    от  31 Декабрь 2025</v>
      </c>
    </row>
    <row r="3" spans="1:6">
      <c r="A3" s="22" t="str">
        <f ca="1">IF(DAY(TODAY()) &gt; 27, "выполненных работ (оказанных услуг) за " &amp; TEXT(TODAY(),"ММММ ГГГГ"),"выполненных работ (оказанных услуг) за " &amp; TEXT(TODAY()-DAY(TODAY()),"ММММ ГГГГ"))</f>
        <v>выполненных работ (оказанных услуг) за Декабрь 2025</v>
      </c>
      <c r="B3" s="22"/>
      <c r="C3" s="22"/>
    </row>
    <row r="4" spans="1:6" ht="15" customHeight="1">
      <c r="A4" s="22" t="s">
        <v>194</v>
      </c>
      <c r="B4" s="22"/>
      <c r="C4" s="22"/>
    </row>
    <row r="5" spans="1:6">
      <c r="A5" s="2" t="s">
        <v>118</v>
      </c>
    </row>
    <row r="6" spans="1:6">
      <c r="A6" s="2" t="str">
        <f ca="1">IF(DAY(TODAY()) &gt; 27," Во исполнение Договора в период с " &amp; TEXT(TODAY()-DAY(TODAY()-DAY(TODAY())),"ДД ММММ ГГГГ") &amp; " г. По " &amp; TEXT(TODAY(),"ДД ММММ ГГГГ") &amp; "  г. ХРАНИТЕЛЬ оказал ПОКЛАЖЕДАТЕЛЮ следующие услуги (работы):"," Во исполнение Договора в период с " &amp; TEXT(TODAY()-DAY(TODAY())-DAY(TODAY()-DAY(TODAY()))+1,"ДД ММММ ГГГГ") &amp; " г. По " &amp; TEXT(TODAY()-DAY(TODAY()),"ДД ММММ ГГГГ") &amp; "  г. ХРАНИТЕЛЬ оказал ПОКЛАЖЕДАТЕЛЮ следующие услуги (работы):")</f>
        <v xml:space="preserve"> Во исполнение Договора в период с 01 Декабрь 2025 г. По 31 Декабрь 2025  г. ХРАНИТЕЛЬ оказал ПОКЛАЖЕДАТЕЛЮ следующие услуги (работы):</v>
      </c>
    </row>
    <row r="8" spans="1:6">
      <c r="A8" s="79" t="s">
        <v>0</v>
      </c>
      <c r="B8" s="79" t="s">
        <v>78</v>
      </c>
      <c r="C8" s="79" t="s">
        <v>79</v>
      </c>
      <c r="D8" s="79" t="s">
        <v>80</v>
      </c>
      <c r="E8" s="79" t="s">
        <v>81</v>
      </c>
      <c r="F8" s="79" t="s">
        <v>82</v>
      </c>
    </row>
    <row r="9" spans="1:6" ht="15.75">
      <c r="A9" s="80">
        <v>1</v>
      </c>
      <c r="B9" s="114" t="s">
        <v>184</v>
      </c>
      <c r="C9" s="80" t="s">
        <v>185</v>
      </c>
      <c r="D9" s="185">
        <v>538.75</v>
      </c>
      <c r="E9" s="186">
        <v>950</v>
      </c>
      <c r="F9" s="186">
        <f>D9*E9</f>
        <v>511812.5</v>
      </c>
    </row>
    <row r="10" spans="1:6" ht="15.75">
      <c r="A10" s="80">
        <v>2</v>
      </c>
      <c r="B10" s="113" t="s">
        <v>8</v>
      </c>
      <c r="C10" s="80" t="s">
        <v>185</v>
      </c>
      <c r="D10" s="185">
        <f>D9</f>
        <v>538.75</v>
      </c>
      <c r="E10" s="186">
        <v>120</v>
      </c>
      <c r="F10" s="186">
        <f t="shared" ref="F10:F11" si="0">D10*E10</f>
        <v>64650</v>
      </c>
    </row>
    <row r="11" spans="1:6" ht="15.75">
      <c r="A11" s="80">
        <v>3</v>
      </c>
      <c r="B11" s="113" t="s">
        <v>186</v>
      </c>
      <c r="C11" s="80" t="s">
        <v>187</v>
      </c>
      <c r="D11" s="185">
        <v>473</v>
      </c>
      <c r="E11" s="186">
        <v>830</v>
      </c>
      <c r="F11" s="186">
        <f t="shared" si="0"/>
        <v>392590</v>
      </c>
    </row>
    <row r="12" spans="1:6" ht="15.75">
      <c r="A12" s="2" t="s">
        <v>83</v>
      </c>
      <c r="F12" s="186">
        <f>SUM(F9:F11)</f>
        <v>969052.5</v>
      </c>
    </row>
    <row r="13" spans="1:6" ht="15.75">
      <c r="A13" s="2" t="s">
        <v>84</v>
      </c>
      <c r="F13" s="186">
        <f>F12</f>
        <v>969052.5</v>
      </c>
    </row>
    <row r="14" spans="1:6" ht="15.75">
      <c r="A14" s="2" t="s">
        <v>85</v>
      </c>
      <c r="F14" s="186">
        <f>F13*1.2</f>
        <v>1162863</v>
      </c>
    </row>
    <row r="15" spans="1:6">
      <c r="A15" s="2" t="s">
        <v>86</v>
      </c>
    </row>
    <row r="16" spans="1:6">
      <c r="A16" s="2" t="s">
        <v>87</v>
      </c>
    </row>
    <row r="19" spans="1:4" ht="15" customHeight="1">
      <c r="A19" s="2" t="s">
        <v>89</v>
      </c>
      <c r="D19" s="2" t="s">
        <v>140</v>
      </c>
    </row>
    <row r="21" spans="1:4">
      <c r="A21" s="2" t="s">
        <v>129</v>
      </c>
      <c r="D21" s="2" t="s">
        <v>93</v>
      </c>
    </row>
  </sheetData>
  <pageMargins left="0.7" right="0.7" top="0.75" bottom="0.75" header="0.3" footer="0.3"/>
  <pageSetup paperSize="9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86EB7-D35A-4AD6-9CE1-CB4483F2086C}">
  <sheetPr codeName="Лист30">
    <pageSetUpPr fitToPage="1"/>
  </sheetPr>
  <dimension ref="A3:G22"/>
  <sheetViews>
    <sheetView workbookViewId="0">
      <selection activeCell="A8" sqref="A8"/>
    </sheetView>
  </sheetViews>
  <sheetFormatPr defaultRowHeight="15"/>
  <cols>
    <col min="1" max="1" width="13.19921875" style="2" customWidth="1"/>
    <col min="2" max="2" width="19" style="2" customWidth="1"/>
    <col min="3" max="3" width="6.8984375" style="2" customWidth="1"/>
    <col min="4" max="4" width="7.8984375" style="2" customWidth="1"/>
    <col min="5" max="5" width="7.5" style="2" customWidth="1"/>
    <col min="6" max="6" width="10.19921875" style="2" customWidth="1"/>
    <col min="7" max="7" width="9.5" style="2" customWidth="1"/>
    <col min="8" max="16384" width="8.796875" style="2"/>
  </cols>
  <sheetData>
    <row r="3" spans="1:7" ht="21">
      <c r="A3" s="77" t="str">
        <f ca="1">IF(DAY(TODAY())&gt;27,"Акт  №    от  " &amp; TEXT(TODAY(),"ДД ММММ ГГГГ"),"Акт  №    от  " &amp; TEXT(TODAY()-DAY(TODAY()),"ДД ММММ ГГГГ")) &amp; " г. Екатеринбург"</f>
        <v>Акт  №    от  31 Декабрь 2025 г. Екатеринбург</v>
      </c>
    </row>
    <row r="4" spans="1:7">
      <c r="A4" s="22" t="str">
        <f ca="1">IF(DAY(TODAY()) &gt; 27, "выполненных работ (оказанных услуг) за " &amp; TEXT(TODAY(),"ММММ ГГГГ"),"выполненных работ (оказанных услуг) за " &amp; TEXT(TODAY()-DAY(TODAY()),"ММММ ГГГГ"))</f>
        <v>выполненных работ (оказанных услуг) за Декабрь 2025</v>
      </c>
      <c r="B4" s="22"/>
      <c r="C4" s="22"/>
    </row>
    <row r="5" spans="1:7">
      <c r="A5" s="22" t="s">
        <v>130</v>
      </c>
      <c r="B5" s="22"/>
      <c r="C5" s="22"/>
    </row>
    <row r="6" spans="1:7">
      <c r="A6" s="2" t="s">
        <v>118</v>
      </c>
    </row>
    <row r="7" spans="1:7">
      <c r="A7" s="2" t="str">
        <f ca="1">IF(DAY(TODAY()) &gt; 27," Во исполнение Договора в период с " &amp; TEXT(TODAY()-DAY(TODAY()-DAY(TODAY())),"ДД ММММ ГГГГ") &amp; " г. По " &amp; TEXT(TODAY(),"ДД ММММ ГГГГ") &amp; "  г. ХРАНИТЕЛЬ оказал ПОКЛАЖЕДАТЕЛЮ следующие услуги (работы):"," Во исполнение Договора в период с " &amp; TEXT(TODAY()-DAY(TODAY())-DAY(TODAY()-DAY(TODAY()))+1,"ДД ММММ ГГГГ") &amp; " г. По " &amp; TEXT(TODAY()-DAY(TODAY()),"ДД ММММ ГГГГ") &amp; "  г. ХРАНИТЕЛЬ оказал ПОКЛАЖЕДАТЕЛЮ следующие услуги (работы):")</f>
        <v xml:space="preserve"> Во исполнение Договора в период с 01 Декабрь 2025 г. По 31 Декабрь 2025  г. ХРАНИТЕЛЬ оказал ПОКЛАЖЕДАТЕЛЮ следующие услуги (работы):</v>
      </c>
    </row>
    <row r="9" spans="1:7">
      <c r="A9" s="79" t="s">
        <v>0</v>
      </c>
      <c r="B9" s="79" t="s">
        <v>78</v>
      </c>
      <c r="C9" s="79" t="s">
        <v>79</v>
      </c>
      <c r="D9" s="79" t="s">
        <v>80</v>
      </c>
      <c r="E9" s="79" t="s">
        <v>81</v>
      </c>
      <c r="F9" s="79" t="s">
        <v>131</v>
      </c>
      <c r="G9" s="79" t="s">
        <v>132</v>
      </c>
    </row>
    <row r="10" spans="1:7" ht="15.75">
      <c r="A10" s="80">
        <v>1</v>
      </c>
      <c r="B10" s="79" t="s">
        <v>133</v>
      </c>
      <c r="C10" s="80" t="s">
        <v>134</v>
      </c>
      <c r="D10" s="6">
        <v>108</v>
      </c>
      <c r="E10" s="86">
        <v>2000</v>
      </c>
      <c r="F10" s="86">
        <f>SUM(D10*E10)</f>
        <v>216000</v>
      </c>
      <c r="G10" s="86">
        <f>F10*1.2</f>
        <v>259200</v>
      </c>
    </row>
    <row r="11" spans="1:7" ht="15.75">
      <c r="A11" s="80">
        <v>2</v>
      </c>
      <c r="B11" s="79" t="s">
        <v>135</v>
      </c>
      <c r="C11" s="80" t="s">
        <v>134</v>
      </c>
      <c r="D11" s="6"/>
      <c r="E11" s="86"/>
      <c r="F11" s="86">
        <f>SUM(D11*E11)</f>
        <v>0</v>
      </c>
      <c r="G11" s="86">
        <f>F11*1.2</f>
        <v>0</v>
      </c>
    </row>
    <row r="12" spans="1:7" ht="15.75">
      <c r="A12" s="118"/>
      <c r="C12" s="118"/>
      <c r="D12" s="119"/>
      <c r="E12" s="76"/>
      <c r="F12" s="86">
        <f>SUM(F10:F11)</f>
        <v>216000</v>
      </c>
      <c r="G12" s="86">
        <f>SUM(G10:G11)</f>
        <v>259200</v>
      </c>
    </row>
    <row r="13" spans="1:7">
      <c r="A13" s="22" t="s">
        <v>136</v>
      </c>
      <c r="B13" s="22" t="s">
        <v>195</v>
      </c>
      <c r="C13" s="22"/>
      <c r="D13" s="22"/>
    </row>
    <row r="14" spans="1:7">
      <c r="A14" s="22" t="s">
        <v>138</v>
      </c>
      <c r="B14" s="22" t="str">
        <f>B13</f>
        <v>двести шестнадцать тысяч рублей ноль копеек</v>
      </c>
      <c r="C14" s="22"/>
      <c r="D14" s="22"/>
    </row>
    <row r="15" spans="1:7">
      <c r="A15" s="22" t="s">
        <v>85</v>
      </c>
      <c r="B15" s="22" t="s">
        <v>196</v>
      </c>
      <c r="F15" s="120"/>
      <c r="G15" s="120"/>
    </row>
    <row r="16" spans="1:7">
      <c r="A16" s="2" t="s">
        <v>86</v>
      </c>
    </row>
    <row r="17" spans="1:4">
      <c r="A17" s="2" t="s">
        <v>87</v>
      </c>
    </row>
    <row r="20" spans="1:4">
      <c r="A20" s="2" t="s">
        <v>89</v>
      </c>
      <c r="D20" s="2" t="s">
        <v>140</v>
      </c>
    </row>
    <row r="22" spans="1:4">
      <c r="A22" s="2" t="s">
        <v>129</v>
      </c>
      <c r="D22" s="2" t="s">
        <v>93</v>
      </c>
    </row>
  </sheetData>
  <pageMargins left="0.7" right="0.7" top="0.75" bottom="0.75" header="0.3" footer="0.3"/>
  <pageSetup paperSize="9" fitToHeight="0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4F4D3-E891-4BDB-A2B0-253F1DD65C7C}">
  <sheetPr codeName="Лист31"/>
  <dimension ref="A1:N37"/>
  <sheetViews>
    <sheetView workbookViewId="0">
      <selection activeCell="I13" sqref="I13"/>
    </sheetView>
  </sheetViews>
  <sheetFormatPr defaultRowHeight="15"/>
  <cols>
    <col min="1" max="1" width="9.19921875" style="2" bestFit="1" customWidth="1"/>
    <col min="2" max="3" width="8.796875" style="2"/>
    <col min="4" max="4" width="8.19921875" style="2" customWidth="1"/>
    <col min="5" max="5" width="8.5" style="2" customWidth="1"/>
    <col min="6" max="6" width="9.296875" style="2" customWidth="1"/>
    <col min="7" max="7" width="7.3984375" style="2" bestFit="1" customWidth="1"/>
    <col min="8" max="8" width="6.59765625" style="2" bestFit="1" customWidth="1"/>
    <col min="9" max="9" width="10.59765625" style="2" customWidth="1"/>
    <col min="10" max="10" width="9.5" style="2" customWidth="1"/>
    <col min="11" max="11" width="10.19921875" style="2" customWidth="1"/>
    <col min="12" max="12" width="9.296875" style="2" customWidth="1"/>
    <col min="13" max="13" width="8.19921875" style="2" customWidth="1"/>
    <col min="14" max="14" width="17" style="2" customWidth="1"/>
    <col min="15" max="16384" width="8.796875" style="2"/>
  </cols>
  <sheetData>
    <row r="1" spans="1:14">
      <c r="A1" s="1">
        <f>N37</f>
        <v>28252.223999999998</v>
      </c>
      <c r="G1" s="3"/>
    </row>
    <row r="2" spans="1:14" ht="28.9" customHeight="1">
      <c r="A2" s="209" t="str">
        <f>"Отчет по хранению товара за " &amp; TEXT(B5,"ММММ ГГГГ")</f>
        <v>Отчет по хранению товара за Декабрь 2025</v>
      </c>
      <c r="B2" s="209"/>
      <c r="C2" s="209"/>
      <c r="D2" s="209"/>
      <c r="E2" s="209"/>
      <c r="F2" s="209"/>
      <c r="G2" s="209"/>
      <c r="H2" s="209"/>
    </row>
    <row r="3" spans="1:14" ht="28.9" customHeight="1">
      <c r="A3" s="206" t="s">
        <v>0</v>
      </c>
      <c r="B3" s="210" t="s">
        <v>1</v>
      </c>
      <c r="C3" s="211"/>
      <c r="D3" s="206" t="s">
        <v>2</v>
      </c>
      <c r="E3" s="206" t="s">
        <v>3</v>
      </c>
      <c r="F3" s="4" t="s">
        <v>4</v>
      </c>
      <c r="G3" s="206" t="s">
        <v>7</v>
      </c>
      <c r="H3" s="206" t="s">
        <v>8</v>
      </c>
      <c r="I3" s="206" t="s">
        <v>11</v>
      </c>
      <c r="J3" s="206" t="s">
        <v>12</v>
      </c>
      <c r="K3" s="206" t="s">
        <v>13</v>
      </c>
      <c r="L3" s="206" t="s">
        <v>16</v>
      </c>
      <c r="M3" s="206" t="s">
        <v>17</v>
      </c>
      <c r="N3" s="206" t="s">
        <v>18</v>
      </c>
    </row>
    <row r="4" spans="1:14">
      <c r="A4" s="207"/>
      <c r="B4" s="212"/>
      <c r="C4" s="213"/>
      <c r="D4" s="207"/>
      <c r="E4" s="207"/>
      <c r="F4" s="5"/>
      <c r="G4" s="207"/>
      <c r="H4" s="207"/>
      <c r="I4" s="207"/>
      <c r="J4" s="207"/>
      <c r="K4" s="207"/>
      <c r="L4" s="207"/>
      <c r="M4" s="207"/>
      <c r="N4" s="207"/>
    </row>
    <row r="5" spans="1:14">
      <c r="A5" s="6">
        <v>1</v>
      </c>
      <c r="B5" s="204">
        <v>45992</v>
      </c>
      <c r="C5" s="205"/>
      <c r="D5" s="189">
        <v>0</v>
      </c>
      <c r="E5" s="189">
        <v>0</v>
      </c>
      <c r="F5" s="189">
        <v>0</v>
      </c>
      <c r="G5" s="189">
        <v>0</v>
      </c>
      <c r="H5" s="189">
        <v>0</v>
      </c>
      <c r="I5" s="12">
        <f>SUM(D5*130)</f>
        <v>0</v>
      </c>
      <c r="J5" s="12">
        <f>SUM(E5*130)</f>
        <v>0</v>
      </c>
      <c r="K5" s="12">
        <f>SUM(F5*22)</f>
        <v>0</v>
      </c>
      <c r="L5" s="12">
        <f>SUM(G5*950)</f>
        <v>0</v>
      </c>
      <c r="M5" s="12">
        <f>SUM(H5*120)</f>
        <v>0</v>
      </c>
      <c r="N5" s="12">
        <f t="shared" ref="N5:N35" si="0">SUM(I5:M5)</f>
        <v>0</v>
      </c>
    </row>
    <row r="6" spans="1:14">
      <c r="A6" s="13">
        <v>2</v>
      </c>
      <c r="B6" s="204">
        <v>45993</v>
      </c>
      <c r="C6" s="205"/>
      <c r="D6" s="189">
        <v>0</v>
      </c>
      <c r="E6" s="189">
        <v>0</v>
      </c>
      <c r="F6" s="189">
        <f t="shared" ref="F6:F35" si="1">F5+D6-E5</f>
        <v>0</v>
      </c>
      <c r="G6" s="189">
        <v>0</v>
      </c>
      <c r="H6" s="189">
        <v>0</v>
      </c>
      <c r="I6" s="12">
        <f t="shared" ref="I6:I35" si="2">SUM(D6*130)</f>
        <v>0</v>
      </c>
      <c r="J6" s="12">
        <f t="shared" ref="J6:J35" si="3">SUM(E6*130)</f>
        <v>0</v>
      </c>
      <c r="K6" s="12">
        <f t="shared" ref="K6:K35" si="4">SUM(F6*22)</f>
        <v>0</v>
      </c>
      <c r="L6" s="12">
        <f t="shared" ref="L6:L35" si="5">SUM(G6*950)</f>
        <v>0</v>
      </c>
      <c r="M6" s="12">
        <f t="shared" ref="M6:M35" si="6">SUM(H6*120)</f>
        <v>0</v>
      </c>
      <c r="N6" s="12">
        <f t="shared" si="0"/>
        <v>0</v>
      </c>
    </row>
    <row r="7" spans="1:14">
      <c r="A7" s="13">
        <v>3</v>
      </c>
      <c r="B7" s="204">
        <v>45994</v>
      </c>
      <c r="C7" s="205"/>
      <c r="D7" s="189">
        <v>0</v>
      </c>
      <c r="E7" s="189">
        <v>0</v>
      </c>
      <c r="F7" s="189">
        <f t="shared" si="1"/>
        <v>0</v>
      </c>
      <c r="G7" s="189">
        <v>0</v>
      </c>
      <c r="H7" s="189">
        <v>0</v>
      </c>
      <c r="I7" s="12">
        <f t="shared" si="2"/>
        <v>0</v>
      </c>
      <c r="J7" s="12">
        <f t="shared" si="3"/>
        <v>0</v>
      </c>
      <c r="K7" s="12">
        <f t="shared" si="4"/>
        <v>0</v>
      </c>
      <c r="L7" s="12">
        <f t="shared" si="5"/>
        <v>0</v>
      </c>
      <c r="M7" s="12">
        <f t="shared" si="6"/>
        <v>0</v>
      </c>
      <c r="N7" s="12">
        <f t="shared" si="0"/>
        <v>0</v>
      </c>
    </row>
    <row r="8" spans="1:14">
      <c r="A8" s="13">
        <v>4</v>
      </c>
      <c r="B8" s="204">
        <v>45995</v>
      </c>
      <c r="C8" s="205"/>
      <c r="D8" s="189">
        <v>0</v>
      </c>
      <c r="E8" s="189">
        <v>0</v>
      </c>
      <c r="F8" s="189">
        <f t="shared" si="1"/>
        <v>0</v>
      </c>
      <c r="G8" s="189">
        <v>0</v>
      </c>
      <c r="H8" s="189">
        <v>0</v>
      </c>
      <c r="I8" s="12">
        <f t="shared" si="2"/>
        <v>0</v>
      </c>
      <c r="J8" s="12">
        <f t="shared" si="3"/>
        <v>0</v>
      </c>
      <c r="K8" s="12">
        <f t="shared" si="4"/>
        <v>0</v>
      </c>
      <c r="L8" s="12">
        <f t="shared" si="5"/>
        <v>0</v>
      </c>
      <c r="M8" s="12">
        <f t="shared" si="6"/>
        <v>0</v>
      </c>
      <c r="N8" s="12">
        <f t="shared" si="0"/>
        <v>0</v>
      </c>
    </row>
    <row r="9" spans="1:14">
      <c r="A9" s="13">
        <v>5</v>
      </c>
      <c r="B9" s="204">
        <v>45996</v>
      </c>
      <c r="C9" s="205"/>
      <c r="D9" s="189">
        <v>0</v>
      </c>
      <c r="E9" s="189">
        <v>0</v>
      </c>
      <c r="F9" s="189">
        <f t="shared" si="1"/>
        <v>0</v>
      </c>
      <c r="G9" s="189">
        <v>0</v>
      </c>
      <c r="H9" s="189">
        <v>0</v>
      </c>
      <c r="I9" s="12">
        <f t="shared" si="2"/>
        <v>0</v>
      </c>
      <c r="J9" s="12">
        <f t="shared" si="3"/>
        <v>0</v>
      </c>
      <c r="K9" s="12">
        <f t="shared" si="4"/>
        <v>0</v>
      </c>
      <c r="L9" s="12">
        <f t="shared" si="5"/>
        <v>0</v>
      </c>
      <c r="M9" s="12">
        <f t="shared" si="6"/>
        <v>0</v>
      </c>
      <c r="N9" s="12">
        <f t="shared" si="0"/>
        <v>0</v>
      </c>
    </row>
    <row r="10" spans="1:14">
      <c r="A10" s="13">
        <v>6</v>
      </c>
      <c r="B10" s="204">
        <v>45997</v>
      </c>
      <c r="C10" s="205"/>
      <c r="D10" s="189">
        <v>0</v>
      </c>
      <c r="E10" s="189">
        <v>0</v>
      </c>
      <c r="F10" s="189">
        <f t="shared" si="1"/>
        <v>0</v>
      </c>
      <c r="G10" s="189">
        <v>0</v>
      </c>
      <c r="H10" s="189">
        <v>0</v>
      </c>
      <c r="I10" s="12">
        <f t="shared" si="2"/>
        <v>0</v>
      </c>
      <c r="J10" s="12">
        <f t="shared" si="3"/>
        <v>0</v>
      </c>
      <c r="K10" s="12">
        <f t="shared" si="4"/>
        <v>0</v>
      </c>
      <c r="L10" s="12">
        <f t="shared" si="5"/>
        <v>0</v>
      </c>
      <c r="M10" s="12">
        <f t="shared" si="6"/>
        <v>0</v>
      </c>
      <c r="N10" s="12">
        <f t="shared" si="0"/>
        <v>0</v>
      </c>
    </row>
    <row r="11" spans="1:14">
      <c r="A11" s="13">
        <v>7</v>
      </c>
      <c r="B11" s="204">
        <v>45998</v>
      </c>
      <c r="C11" s="205"/>
      <c r="D11" s="189">
        <v>0</v>
      </c>
      <c r="E11" s="189">
        <v>0</v>
      </c>
      <c r="F11" s="189">
        <f t="shared" si="1"/>
        <v>0</v>
      </c>
      <c r="G11" s="189">
        <v>0</v>
      </c>
      <c r="H11" s="189">
        <v>0</v>
      </c>
      <c r="I11" s="12">
        <f t="shared" si="2"/>
        <v>0</v>
      </c>
      <c r="J11" s="12">
        <f t="shared" si="3"/>
        <v>0</v>
      </c>
      <c r="K11" s="12">
        <f t="shared" si="4"/>
        <v>0</v>
      </c>
      <c r="L11" s="12">
        <f t="shared" si="5"/>
        <v>0</v>
      </c>
      <c r="M11" s="12">
        <f t="shared" si="6"/>
        <v>0</v>
      </c>
      <c r="N11" s="12">
        <f t="shared" si="0"/>
        <v>0</v>
      </c>
    </row>
    <row r="12" spans="1:14">
      <c r="A12" s="13">
        <v>8</v>
      </c>
      <c r="B12" s="204">
        <v>45999</v>
      </c>
      <c r="C12" s="205"/>
      <c r="D12" s="189">
        <v>0</v>
      </c>
      <c r="E12" s="189">
        <v>0</v>
      </c>
      <c r="F12" s="189">
        <f t="shared" si="1"/>
        <v>0</v>
      </c>
      <c r="G12" s="189">
        <v>0</v>
      </c>
      <c r="H12" s="189">
        <v>0</v>
      </c>
      <c r="I12" s="12">
        <f t="shared" si="2"/>
        <v>0</v>
      </c>
      <c r="J12" s="12">
        <f t="shared" si="3"/>
        <v>0</v>
      </c>
      <c r="K12" s="12">
        <f t="shared" si="4"/>
        <v>0</v>
      </c>
      <c r="L12" s="12">
        <f t="shared" si="5"/>
        <v>0</v>
      </c>
      <c r="M12" s="12">
        <f t="shared" si="6"/>
        <v>0</v>
      </c>
      <c r="N12" s="12">
        <f t="shared" si="0"/>
        <v>0</v>
      </c>
    </row>
    <row r="13" spans="1:14">
      <c r="A13" s="13">
        <v>9</v>
      </c>
      <c r="B13" s="204">
        <v>46000</v>
      </c>
      <c r="C13" s="205"/>
      <c r="D13" s="189">
        <v>0</v>
      </c>
      <c r="E13" s="189">
        <v>0</v>
      </c>
      <c r="F13" s="189">
        <f t="shared" si="1"/>
        <v>0</v>
      </c>
      <c r="G13" s="189">
        <v>0</v>
      </c>
      <c r="H13" s="189">
        <v>0</v>
      </c>
      <c r="I13" s="12">
        <f t="shared" si="2"/>
        <v>0</v>
      </c>
      <c r="J13" s="12">
        <f t="shared" si="3"/>
        <v>0</v>
      </c>
      <c r="K13" s="12">
        <f t="shared" si="4"/>
        <v>0</v>
      </c>
      <c r="L13" s="12">
        <f t="shared" si="5"/>
        <v>0</v>
      </c>
      <c r="M13" s="12">
        <f t="shared" si="6"/>
        <v>0</v>
      </c>
      <c r="N13" s="12">
        <f t="shared" si="0"/>
        <v>0</v>
      </c>
    </row>
    <row r="14" spans="1:14">
      <c r="A14" s="13">
        <v>10</v>
      </c>
      <c r="B14" s="204">
        <v>46001</v>
      </c>
      <c r="C14" s="205"/>
      <c r="D14" s="189">
        <v>0</v>
      </c>
      <c r="E14" s="189">
        <v>0</v>
      </c>
      <c r="F14" s="189">
        <f t="shared" si="1"/>
        <v>0</v>
      </c>
      <c r="G14" s="189">
        <v>0</v>
      </c>
      <c r="H14" s="189">
        <v>0</v>
      </c>
      <c r="I14" s="12">
        <f t="shared" si="2"/>
        <v>0</v>
      </c>
      <c r="J14" s="12">
        <f t="shared" si="3"/>
        <v>0</v>
      </c>
      <c r="K14" s="12">
        <f t="shared" si="4"/>
        <v>0</v>
      </c>
      <c r="L14" s="12">
        <f t="shared" si="5"/>
        <v>0</v>
      </c>
      <c r="M14" s="12">
        <f t="shared" si="6"/>
        <v>0</v>
      </c>
      <c r="N14" s="12">
        <f t="shared" si="0"/>
        <v>0</v>
      </c>
    </row>
    <row r="15" spans="1:14">
      <c r="A15" s="13">
        <v>11</v>
      </c>
      <c r="B15" s="204">
        <v>46002</v>
      </c>
      <c r="C15" s="205"/>
      <c r="D15" s="189">
        <v>0</v>
      </c>
      <c r="E15" s="189">
        <v>0</v>
      </c>
      <c r="F15" s="189">
        <f t="shared" si="1"/>
        <v>0</v>
      </c>
      <c r="G15" s="189">
        <v>0</v>
      </c>
      <c r="H15" s="189">
        <v>0</v>
      </c>
      <c r="I15" s="12">
        <f t="shared" si="2"/>
        <v>0</v>
      </c>
      <c r="J15" s="12">
        <f t="shared" si="3"/>
        <v>0</v>
      </c>
      <c r="K15" s="12">
        <f t="shared" si="4"/>
        <v>0</v>
      </c>
      <c r="L15" s="12">
        <f t="shared" si="5"/>
        <v>0</v>
      </c>
      <c r="M15" s="12">
        <f t="shared" si="6"/>
        <v>0</v>
      </c>
      <c r="N15" s="12">
        <f t="shared" si="0"/>
        <v>0</v>
      </c>
    </row>
    <row r="16" spans="1:14">
      <c r="A16" s="13">
        <v>12</v>
      </c>
      <c r="B16" s="204">
        <v>46003</v>
      </c>
      <c r="C16" s="205"/>
      <c r="D16" s="189">
        <v>0</v>
      </c>
      <c r="E16" s="189">
        <v>0</v>
      </c>
      <c r="F16" s="189">
        <f t="shared" si="1"/>
        <v>0</v>
      </c>
      <c r="G16" s="189">
        <v>0</v>
      </c>
      <c r="H16" s="189">
        <v>0</v>
      </c>
      <c r="I16" s="12">
        <f t="shared" si="2"/>
        <v>0</v>
      </c>
      <c r="J16" s="12">
        <f t="shared" si="3"/>
        <v>0</v>
      </c>
      <c r="K16" s="12">
        <f t="shared" si="4"/>
        <v>0</v>
      </c>
      <c r="L16" s="12">
        <f t="shared" si="5"/>
        <v>0</v>
      </c>
      <c r="M16" s="12">
        <f t="shared" si="6"/>
        <v>0</v>
      </c>
      <c r="N16" s="12">
        <f t="shared" si="0"/>
        <v>0</v>
      </c>
    </row>
    <row r="17" spans="1:14">
      <c r="A17" s="13">
        <v>13</v>
      </c>
      <c r="B17" s="204">
        <v>46004</v>
      </c>
      <c r="C17" s="205"/>
      <c r="D17" s="189">
        <v>0</v>
      </c>
      <c r="E17" s="189">
        <v>0</v>
      </c>
      <c r="F17" s="189">
        <f t="shared" si="1"/>
        <v>0</v>
      </c>
      <c r="G17" s="189">
        <v>0</v>
      </c>
      <c r="H17" s="189">
        <v>0</v>
      </c>
      <c r="I17" s="12">
        <f t="shared" si="2"/>
        <v>0</v>
      </c>
      <c r="J17" s="12">
        <f t="shared" si="3"/>
        <v>0</v>
      </c>
      <c r="K17" s="12">
        <f t="shared" si="4"/>
        <v>0</v>
      </c>
      <c r="L17" s="12">
        <f t="shared" si="5"/>
        <v>0</v>
      </c>
      <c r="M17" s="12">
        <f t="shared" si="6"/>
        <v>0</v>
      </c>
      <c r="N17" s="12">
        <f t="shared" si="0"/>
        <v>0</v>
      </c>
    </row>
    <row r="18" spans="1:14">
      <c r="A18" s="13">
        <v>14</v>
      </c>
      <c r="B18" s="204">
        <v>46005</v>
      </c>
      <c r="C18" s="205"/>
      <c r="D18" s="189">
        <v>0</v>
      </c>
      <c r="E18" s="189">
        <v>0</v>
      </c>
      <c r="F18" s="189">
        <f t="shared" si="1"/>
        <v>0</v>
      </c>
      <c r="G18" s="189">
        <v>0</v>
      </c>
      <c r="H18" s="189">
        <v>0</v>
      </c>
      <c r="I18" s="12">
        <f t="shared" si="2"/>
        <v>0</v>
      </c>
      <c r="J18" s="12">
        <f t="shared" si="3"/>
        <v>0</v>
      </c>
      <c r="K18" s="12">
        <f t="shared" si="4"/>
        <v>0</v>
      </c>
      <c r="L18" s="12">
        <f t="shared" si="5"/>
        <v>0</v>
      </c>
      <c r="M18" s="12">
        <f t="shared" si="6"/>
        <v>0</v>
      </c>
      <c r="N18" s="12">
        <f t="shared" si="0"/>
        <v>0</v>
      </c>
    </row>
    <row r="19" spans="1:14">
      <c r="A19" s="13">
        <v>15</v>
      </c>
      <c r="B19" s="204">
        <v>46006</v>
      </c>
      <c r="C19" s="205"/>
      <c r="D19" s="189">
        <v>0</v>
      </c>
      <c r="E19" s="189">
        <v>0</v>
      </c>
      <c r="F19" s="189">
        <f t="shared" si="1"/>
        <v>0</v>
      </c>
      <c r="G19" s="189">
        <v>0</v>
      </c>
      <c r="H19" s="189">
        <v>0</v>
      </c>
      <c r="I19" s="12">
        <f t="shared" si="2"/>
        <v>0</v>
      </c>
      <c r="J19" s="12">
        <f t="shared" si="3"/>
        <v>0</v>
      </c>
      <c r="K19" s="12">
        <f t="shared" si="4"/>
        <v>0</v>
      </c>
      <c r="L19" s="12">
        <f t="shared" si="5"/>
        <v>0</v>
      </c>
      <c r="M19" s="12">
        <f t="shared" si="6"/>
        <v>0</v>
      </c>
      <c r="N19" s="12">
        <f t="shared" si="0"/>
        <v>0</v>
      </c>
    </row>
    <row r="20" spans="1:14">
      <c r="A20" s="13">
        <v>16</v>
      </c>
      <c r="B20" s="204">
        <v>46007</v>
      </c>
      <c r="C20" s="205"/>
      <c r="D20" s="189">
        <v>0</v>
      </c>
      <c r="E20" s="189">
        <v>0</v>
      </c>
      <c r="F20" s="189">
        <f t="shared" si="1"/>
        <v>0</v>
      </c>
      <c r="G20" s="189">
        <v>0</v>
      </c>
      <c r="H20" s="189">
        <v>0</v>
      </c>
      <c r="I20" s="12">
        <f t="shared" si="2"/>
        <v>0</v>
      </c>
      <c r="J20" s="12">
        <f t="shared" si="3"/>
        <v>0</v>
      </c>
      <c r="K20" s="12">
        <f t="shared" si="4"/>
        <v>0</v>
      </c>
      <c r="L20" s="12">
        <f t="shared" si="5"/>
        <v>0</v>
      </c>
      <c r="M20" s="12">
        <f t="shared" si="6"/>
        <v>0</v>
      </c>
      <c r="N20" s="12">
        <f t="shared" si="0"/>
        <v>0</v>
      </c>
    </row>
    <row r="21" spans="1:14">
      <c r="A21" s="13">
        <v>17</v>
      </c>
      <c r="B21" s="204">
        <v>46008</v>
      </c>
      <c r="C21" s="205"/>
      <c r="D21" s="189">
        <v>0</v>
      </c>
      <c r="E21" s="189">
        <v>0</v>
      </c>
      <c r="F21" s="189">
        <f t="shared" si="1"/>
        <v>0</v>
      </c>
      <c r="G21" s="189">
        <v>0</v>
      </c>
      <c r="H21" s="189">
        <v>0</v>
      </c>
      <c r="I21" s="12">
        <f t="shared" si="2"/>
        <v>0</v>
      </c>
      <c r="J21" s="12">
        <f t="shared" si="3"/>
        <v>0</v>
      </c>
      <c r="K21" s="12">
        <f t="shared" si="4"/>
        <v>0</v>
      </c>
      <c r="L21" s="12">
        <f t="shared" si="5"/>
        <v>0</v>
      </c>
      <c r="M21" s="12">
        <f t="shared" si="6"/>
        <v>0</v>
      </c>
      <c r="N21" s="12">
        <f t="shared" si="0"/>
        <v>0</v>
      </c>
    </row>
    <row r="22" spans="1:14">
      <c r="A22" s="13">
        <v>18</v>
      </c>
      <c r="B22" s="204">
        <v>46009</v>
      </c>
      <c r="C22" s="205"/>
      <c r="D22" s="189">
        <v>0</v>
      </c>
      <c r="E22" s="189">
        <v>0</v>
      </c>
      <c r="F22" s="189">
        <f t="shared" si="1"/>
        <v>0</v>
      </c>
      <c r="G22" s="189">
        <v>0</v>
      </c>
      <c r="H22" s="189">
        <v>0</v>
      </c>
      <c r="I22" s="12">
        <f t="shared" si="2"/>
        <v>0</v>
      </c>
      <c r="J22" s="12">
        <f t="shared" si="3"/>
        <v>0</v>
      </c>
      <c r="K22" s="12">
        <f t="shared" si="4"/>
        <v>0</v>
      </c>
      <c r="L22" s="12">
        <f t="shared" si="5"/>
        <v>0</v>
      </c>
      <c r="M22" s="12">
        <f t="shared" si="6"/>
        <v>0</v>
      </c>
      <c r="N22" s="12">
        <f t="shared" si="0"/>
        <v>0</v>
      </c>
    </row>
    <row r="23" spans="1:14">
      <c r="A23" s="13">
        <v>19</v>
      </c>
      <c r="B23" s="204">
        <v>46010</v>
      </c>
      <c r="C23" s="205"/>
      <c r="D23" s="189">
        <v>0</v>
      </c>
      <c r="E23" s="189">
        <v>0</v>
      </c>
      <c r="F23" s="189">
        <f t="shared" si="1"/>
        <v>0</v>
      </c>
      <c r="G23" s="189">
        <v>0</v>
      </c>
      <c r="H23" s="189">
        <v>0</v>
      </c>
      <c r="I23" s="12">
        <f t="shared" si="2"/>
        <v>0</v>
      </c>
      <c r="J23" s="12">
        <f t="shared" si="3"/>
        <v>0</v>
      </c>
      <c r="K23" s="12">
        <f t="shared" si="4"/>
        <v>0</v>
      </c>
      <c r="L23" s="12">
        <f t="shared" si="5"/>
        <v>0</v>
      </c>
      <c r="M23" s="12">
        <f t="shared" si="6"/>
        <v>0</v>
      </c>
      <c r="N23" s="12">
        <f t="shared" si="0"/>
        <v>0</v>
      </c>
    </row>
    <row r="24" spans="1:14">
      <c r="A24" s="13">
        <v>20</v>
      </c>
      <c r="B24" s="204">
        <v>46011</v>
      </c>
      <c r="C24" s="205"/>
      <c r="D24" s="189">
        <v>0</v>
      </c>
      <c r="E24" s="189">
        <v>0</v>
      </c>
      <c r="F24" s="189">
        <f t="shared" si="1"/>
        <v>0</v>
      </c>
      <c r="G24" s="189">
        <v>0</v>
      </c>
      <c r="H24" s="189">
        <v>0</v>
      </c>
      <c r="I24" s="12">
        <f t="shared" si="2"/>
        <v>0</v>
      </c>
      <c r="J24" s="12">
        <f t="shared" si="3"/>
        <v>0</v>
      </c>
      <c r="K24" s="12">
        <f t="shared" si="4"/>
        <v>0</v>
      </c>
      <c r="L24" s="12">
        <f t="shared" si="5"/>
        <v>0</v>
      </c>
      <c r="M24" s="12">
        <f t="shared" si="6"/>
        <v>0</v>
      </c>
      <c r="N24" s="12">
        <f t="shared" si="0"/>
        <v>0</v>
      </c>
    </row>
    <row r="25" spans="1:14">
      <c r="A25" s="13">
        <v>21</v>
      </c>
      <c r="B25" s="204">
        <v>46012</v>
      </c>
      <c r="C25" s="205"/>
      <c r="D25" s="189">
        <v>0</v>
      </c>
      <c r="E25" s="189">
        <v>0</v>
      </c>
      <c r="F25" s="189">
        <f t="shared" si="1"/>
        <v>0</v>
      </c>
      <c r="G25" s="189">
        <v>0</v>
      </c>
      <c r="H25" s="189">
        <v>0</v>
      </c>
      <c r="I25" s="12">
        <f t="shared" si="2"/>
        <v>0</v>
      </c>
      <c r="J25" s="12">
        <f t="shared" si="3"/>
        <v>0</v>
      </c>
      <c r="K25" s="12">
        <f t="shared" si="4"/>
        <v>0</v>
      </c>
      <c r="L25" s="12">
        <f t="shared" si="5"/>
        <v>0</v>
      </c>
      <c r="M25" s="12">
        <f t="shared" si="6"/>
        <v>0</v>
      </c>
      <c r="N25" s="12">
        <f t="shared" si="0"/>
        <v>0</v>
      </c>
    </row>
    <row r="26" spans="1:14">
      <c r="A26" s="13">
        <v>22</v>
      </c>
      <c r="B26" s="204">
        <v>46013</v>
      </c>
      <c r="C26" s="205"/>
      <c r="D26" s="189">
        <v>0</v>
      </c>
      <c r="E26" s="189">
        <v>0</v>
      </c>
      <c r="F26" s="189">
        <f t="shared" si="1"/>
        <v>0</v>
      </c>
      <c r="G26" s="189">
        <v>0</v>
      </c>
      <c r="H26" s="189">
        <v>0</v>
      </c>
      <c r="I26" s="12">
        <f t="shared" si="2"/>
        <v>0</v>
      </c>
      <c r="J26" s="12">
        <f t="shared" si="3"/>
        <v>0</v>
      </c>
      <c r="K26" s="12">
        <f t="shared" si="4"/>
        <v>0</v>
      </c>
      <c r="L26" s="12">
        <f t="shared" si="5"/>
        <v>0</v>
      </c>
      <c r="M26" s="12">
        <f t="shared" si="6"/>
        <v>0</v>
      </c>
      <c r="N26" s="12">
        <f t="shared" si="0"/>
        <v>0</v>
      </c>
    </row>
    <row r="27" spans="1:14">
      <c r="A27" s="13">
        <v>23</v>
      </c>
      <c r="B27" s="204">
        <v>46014</v>
      </c>
      <c r="C27" s="205"/>
      <c r="D27" s="189">
        <v>0</v>
      </c>
      <c r="E27" s="189">
        <v>0</v>
      </c>
      <c r="F27" s="189">
        <f t="shared" si="1"/>
        <v>0</v>
      </c>
      <c r="G27" s="189">
        <v>0</v>
      </c>
      <c r="H27" s="189">
        <v>0</v>
      </c>
      <c r="I27" s="12">
        <f t="shared" si="2"/>
        <v>0</v>
      </c>
      <c r="J27" s="12">
        <f t="shared" si="3"/>
        <v>0</v>
      </c>
      <c r="K27" s="12">
        <f t="shared" si="4"/>
        <v>0</v>
      </c>
      <c r="L27" s="12">
        <f t="shared" si="5"/>
        <v>0</v>
      </c>
      <c r="M27" s="12">
        <f t="shared" si="6"/>
        <v>0</v>
      </c>
      <c r="N27" s="12">
        <f t="shared" si="0"/>
        <v>0</v>
      </c>
    </row>
    <row r="28" spans="1:14">
      <c r="A28" s="13">
        <v>24</v>
      </c>
      <c r="B28" s="204">
        <v>46015</v>
      </c>
      <c r="C28" s="205"/>
      <c r="D28" s="189">
        <v>0</v>
      </c>
      <c r="E28" s="189">
        <v>0</v>
      </c>
      <c r="F28" s="189">
        <f t="shared" si="1"/>
        <v>0</v>
      </c>
      <c r="G28" s="189">
        <v>0</v>
      </c>
      <c r="H28" s="189">
        <v>0</v>
      </c>
      <c r="I28" s="12">
        <f t="shared" si="2"/>
        <v>0</v>
      </c>
      <c r="J28" s="12">
        <f t="shared" si="3"/>
        <v>0</v>
      </c>
      <c r="K28" s="12">
        <f t="shared" si="4"/>
        <v>0</v>
      </c>
      <c r="L28" s="12">
        <f t="shared" si="5"/>
        <v>0</v>
      </c>
      <c r="M28" s="12">
        <f t="shared" si="6"/>
        <v>0</v>
      </c>
      <c r="N28" s="12">
        <f t="shared" si="0"/>
        <v>0</v>
      </c>
    </row>
    <row r="29" spans="1:14">
      <c r="A29" s="13">
        <v>25</v>
      </c>
      <c r="B29" s="204">
        <v>46016</v>
      </c>
      <c r="C29" s="205"/>
      <c r="D29" s="189">
        <v>0</v>
      </c>
      <c r="E29" s="189">
        <v>0</v>
      </c>
      <c r="F29" s="189">
        <v>152.88</v>
      </c>
      <c r="G29" s="189">
        <v>0</v>
      </c>
      <c r="H29" s="189">
        <v>0</v>
      </c>
      <c r="I29" s="12">
        <f t="shared" si="2"/>
        <v>0</v>
      </c>
      <c r="J29" s="12">
        <f t="shared" si="3"/>
        <v>0</v>
      </c>
      <c r="K29" s="12">
        <f t="shared" si="4"/>
        <v>3363.3599999999997</v>
      </c>
      <c r="L29" s="12">
        <f t="shared" si="5"/>
        <v>0</v>
      </c>
      <c r="M29" s="12">
        <f t="shared" si="6"/>
        <v>0</v>
      </c>
      <c r="N29" s="12">
        <f t="shared" si="0"/>
        <v>3363.3599999999997</v>
      </c>
    </row>
    <row r="30" spans="1:14">
      <c r="A30" s="13">
        <v>26</v>
      </c>
      <c r="B30" s="204">
        <v>46017</v>
      </c>
      <c r="C30" s="205"/>
      <c r="D30" s="189">
        <v>0</v>
      </c>
      <c r="E30" s="189">
        <v>0</v>
      </c>
      <c r="F30" s="189">
        <f t="shared" si="1"/>
        <v>152.88</v>
      </c>
      <c r="G30" s="189">
        <v>0</v>
      </c>
      <c r="H30" s="189">
        <v>0</v>
      </c>
      <c r="I30" s="12">
        <f t="shared" si="2"/>
        <v>0</v>
      </c>
      <c r="J30" s="12">
        <f t="shared" si="3"/>
        <v>0</v>
      </c>
      <c r="K30" s="12">
        <f t="shared" si="4"/>
        <v>3363.3599999999997</v>
      </c>
      <c r="L30" s="12">
        <f t="shared" si="5"/>
        <v>0</v>
      </c>
      <c r="M30" s="12">
        <f t="shared" si="6"/>
        <v>0</v>
      </c>
      <c r="N30" s="12">
        <f t="shared" si="0"/>
        <v>3363.3599999999997</v>
      </c>
    </row>
    <row r="31" spans="1:14">
      <c r="A31" s="13">
        <v>27</v>
      </c>
      <c r="B31" s="204">
        <v>46018</v>
      </c>
      <c r="C31" s="205"/>
      <c r="D31" s="189">
        <v>0</v>
      </c>
      <c r="E31" s="189">
        <v>0</v>
      </c>
      <c r="F31" s="189">
        <f t="shared" si="1"/>
        <v>152.88</v>
      </c>
      <c r="G31" s="189">
        <v>0</v>
      </c>
      <c r="H31" s="189">
        <v>0</v>
      </c>
      <c r="I31" s="12">
        <f t="shared" si="2"/>
        <v>0</v>
      </c>
      <c r="J31" s="12">
        <f t="shared" si="3"/>
        <v>0</v>
      </c>
      <c r="K31" s="12">
        <f t="shared" si="4"/>
        <v>3363.3599999999997</v>
      </c>
      <c r="L31" s="12">
        <f t="shared" si="5"/>
        <v>0</v>
      </c>
      <c r="M31" s="12">
        <f t="shared" si="6"/>
        <v>0</v>
      </c>
      <c r="N31" s="12">
        <f t="shared" si="0"/>
        <v>3363.3599999999997</v>
      </c>
    </row>
    <row r="32" spans="1:14">
      <c r="A32" s="13">
        <v>28</v>
      </c>
      <c r="B32" s="204">
        <v>46019</v>
      </c>
      <c r="C32" s="205"/>
      <c r="D32" s="189">
        <v>0</v>
      </c>
      <c r="E32" s="189">
        <v>0</v>
      </c>
      <c r="F32" s="189">
        <f t="shared" si="1"/>
        <v>152.88</v>
      </c>
      <c r="G32" s="189">
        <v>0</v>
      </c>
      <c r="H32" s="189">
        <v>0</v>
      </c>
      <c r="I32" s="12">
        <f t="shared" si="2"/>
        <v>0</v>
      </c>
      <c r="J32" s="12">
        <f t="shared" si="3"/>
        <v>0</v>
      </c>
      <c r="K32" s="12">
        <f t="shared" si="4"/>
        <v>3363.3599999999997</v>
      </c>
      <c r="L32" s="12">
        <f t="shared" si="5"/>
        <v>0</v>
      </c>
      <c r="M32" s="12">
        <f t="shared" si="6"/>
        <v>0</v>
      </c>
      <c r="N32" s="12">
        <f t="shared" si="0"/>
        <v>3363.3599999999997</v>
      </c>
    </row>
    <row r="33" spans="1:14">
      <c r="A33" s="13">
        <v>29</v>
      </c>
      <c r="B33" s="204">
        <v>46020</v>
      </c>
      <c r="C33" s="205"/>
      <c r="D33" s="189">
        <v>0</v>
      </c>
      <c r="E33" s="189">
        <v>0</v>
      </c>
      <c r="F33" s="189">
        <f t="shared" si="1"/>
        <v>152.88</v>
      </c>
      <c r="G33" s="189">
        <v>0</v>
      </c>
      <c r="H33" s="189">
        <v>0</v>
      </c>
      <c r="I33" s="12">
        <f t="shared" si="2"/>
        <v>0</v>
      </c>
      <c r="J33" s="12">
        <f t="shared" si="3"/>
        <v>0</v>
      </c>
      <c r="K33" s="12">
        <f t="shared" si="4"/>
        <v>3363.3599999999997</v>
      </c>
      <c r="L33" s="12">
        <f t="shared" si="5"/>
        <v>0</v>
      </c>
      <c r="M33" s="12">
        <f t="shared" si="6"/>
        <v>0</v>
      </c>
      <c r="N33" s="12">
        <f t="shared" si="0"/>
        <v>3363.3599999999997</v>
      </c>
    </row>
    <row r="34" spans="1:14">
      <c r="A34" s="13">
        <v>30</v>
      </c>
      <c r="B34" s="204">
        <v>46021</v>
      </c>
      <c r="C34" s="205"/>
      <c r="D34" s="189">
        <v>0</v>
      </c>
      <c r="E34" s="189">
        <v>0</v>
      </c>
      <c r="F34" s="189">
        <f t="shared" si="1"/>
        <v>152.88</v>
      </c>
      <c r="G34" s="189">
        <v>0</v>
      </c>
      <c r="H34" s="189">
        <v>0</v>
      </c>
      <c r="I34" s="12">
        <f t="shared" si="2"/>
        <v>0</v>
      </c>
      <c r="J34" s="12">
        <f t="shared" si="3"/>
        <v>0</v>
      </c>
      <c r="K34" s="12">
        <f t="shared" si="4"/>
        <v>3363.3599999999997</v>
      </c>
      <c r="L34" s="12">
        <f t="shared" si="5"/>
        <v>0</v>
      </c>
      <c r="M34" s="12">
        <f t="shared" si="6"/>
        <v>0</v>
      </c>
      <c r="N34" s="12">
        <f t="shared" si="0"/>
        <v>3363.3599999999997</v>
      </c>
    </row>
    <row r="35" spans="1:14">
      <c r="A35" s="13">
        <v>31</v>
      </c>
      <c r="B35" s="204">
        <v>46022</v>
      </c>
      <c r="C35" s="205"/>
      <c r="D35" s="189">
        <v>0</v>
      </c>
      <c r="E35" s="189">
        <v>0</v>
      </c>
      <c r="F35" s="189">
        <f t="shared" si="1"/>
        <v>152.88</v>
      </c>
      <c r="G35" s="189">
        <v>0</v>
      </c>
      <c r="H35" s="189">
        <v>0</v>
      </c>
      <c r="I35" s="12">
        <f t="shared" si="2"/>
        <v>0</v>
      </c>
      <c r="J35" s="12">
        <f t="shared" si="3"/>
        <v>0</v>
      </c>
      <c r="K35" s="12">
        <f t="shared" si="4"/>
        <v>3363.3599999999997</v>
      </c>
      <c r="L35" s="12">
        <f t="shared" si="5"/>
        <v>0</v>
      </c>
      <c r="M35" s="12">
        <f t="shared" si="6"/>
        <v>0</v>
      </c>
      <c r="N35" s="12">
        <f t="shared" si="0"/>
        <v>3363.3599999999997</v>
      </c>
    </row>
    <row r="36" spans="1:14">
      <c r="D36" s="19">
        <f t="shared" ref="D36:N36" si="7">SUM(D5:D35)</f>
        <v>0</v>
      </c>
      <c r="E36" s="19">
        <f t="shared" si="7"/>
        <v>0</v>
      </c>
      <c r="F36" s="19">
        <f t="shared" si="7"/>
        <v>1070.1599999999999</v>
      </c>
      <c r="G36" s="19">
        <f t="shared" si="7"/>
        <v>0</v>
      </c>
      <c r="H36" s="19">
        <f t="shared" si="7"/>
        <v>0</v>
      </c>
      <c r="I36" s="21">
        <f t="shared" si="7"/>
        <v>0</v>
      </c>
      <c r="J36" s="21">
        <f t="shared" si="7"/>
        <v>0</v>
      </c>
      <c r="K36" s="21">
        <f t="shared" si="7"/>
        <v>23543.52</v>
      </c>
      <c r="L36" s="21">
        <f t="shared" si="7"/>
        <v>0</v>
      </c>
      <c r="M36" s="21">
        <f t="shared" si="7"/>
        <v>0</v>
      </c>
      <c r="N36" s="21">
        <f t="shared" si="7"/>
        <v>23543.52</v>
      </c>
    </row>
    <row r="37" spans="1:14">
      <c r="L37" s="22"/>
      <c r="M37" s="22"/>
      <c r="N37" s="23">
        <f>N36*1.2</f>
        <v>28252.223999999998</v>
      </c>
    </row>
  </sheetData>
  <mergeCells count="44">
    <mergeCell ref="N3:N4"/>
    <mergeCell ref="A2:H2"/>
    <mergeCell ref="A3:A4"/>
    <mergeCell ref="B3:C4"/>
    <mergeCell ref="D3:D4"/>
    <mergeCell ref="E3:E4"/>
    <mergeCell ref="G3:G4"/>
    <mergeCell ref="H3:H4"/>
    <mergeCell ref="I3:I4"/>
    <mergeCell ref="J3:J4"/>
    <mergeCell ref="K3:K4"/>
    <mergeCell ref="L3:L4"/>
    <mergeCell ref="M3:M4"/>
    <mergeCell ref="B16:C16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28:C28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35:C35"/>
    <mergeCell ref="B29:C29"/>
    <mergeCell ref="B30:C30"/>
    <mergeCell ref="B31:C31"/>
    <mergeCell ref="B32:C32"/>
    <mergeCell ref="B33:C33"/>
    <mergeCell ref="B34:C34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73710-69B7-4255-B381-05D201C7B5B1}">
  <sheetPr codeName="Лист32">
    <pageSetUpPr fitToPage="1"/>
  </sheetPr>
  <dimension ref="A1:T37"/>
  <sheetViews>
    <sheetView topLeftCell="A6" workbookViewId="0">
      <selection activeCell="L5" sqref="L5:L35"/>
    </sheetView>
  </sheetViews>
  <sheetFormatPr defaultRowHeight="15"/>
  <cols>
    <col min="1" max="8" width="8.796875" style="2"/>
    <col min="9" max="9" width="7.19921875" style="2" bestFit="1" customWidth="1"/>
    <col min="10" max="11" width="8.796875" style="2"/>
    <col min="12" max="12" width="6.5" style="2" bestFit="1" customWidth="1"/>
    <col min="13" max="13" width="10.09765625" style="2" customWidth="1"/>
    <col min="14" max="14" width="9.8984375" style="2" customWidth="1"/>
    <col min="15" max="15" width="10.59765625" style="2" customWidth="1"/>
    <col min="16" max="16" width="10.796875" style="2" customWidth="1"/>
    <col min="17" max="17" width="10.19921875" style="2" customWidth="1"/>
    <col min="18" max="18" width="9.296875" style="2" customWidth="1"/>
    <col min="19" max="19" width="10.19921875" style="2" customWidth="1"/>
    <col min="20" max="20" width="13.5" style="2" customWidth="1"/>
    <col min="21" max="16384" width="8.796875" style="2"/>
  </cols>
  <sheetData>
    <row r="1" spans="1:20">
      <c r="I1" s="3"/>
    </row>
    <row r="2" spans="1:20" ht="28.9" customHeight="1">
      <c r="A2" s="209" t="s">
        <v>197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</row>
    <row r="3" spans="1:20" ht="28.9" customHeight="1">
      <c r="A3" s="206" t="s">
        <v>0</v>
      </c>
      <c r="B3" s="210" t="s">
        <v>1</v>
      </c>
      <c r="C3" s="211"/>
      <c r="D3" s="206" t="s">
        <v>146</v>
      </c>
      <c r="E3" s="206" t="s">
        <v>147</v>
      </c>
      <c r="F3" s="4" t="s">
        <v>4</v>
      </c>
      <c r="G3" s="206" t="s">
        <v>198</v>
      </c>
      <c r="H3" s="206" t="s">
        <v>199</v>
      </c>
      <c r="I3" s="206" t="s">
        <v>7</v>
      </c>
      <c r="J3" s="206" t="s">
        <v>8</v>
      </c>
      <c r="K3" s="206" t="s">
        <v>200</v>
      </c>
      <c r="L3" s="206" t="s">
        <v>201</v>
      </c>
      <c r="M3" s="206" t="s">
        <v>11</v>
      </c>
      <c r="N3" s="206" t="s">
        <v>12</v>
      </c>
      <c r="O3" s="206" t="s">
        <v>13</v>
      </c>
      <c r="P3" s="206" t="s">
        <v>14</v>
      </c>
      <c r="Q3" s="206" t="s">
        <v>15</v>
      </c>
      <c r="R3" s="206" t="s">
        <v>16</v>
      </c>
      <c r="S3" s="206" t="s">
        <v>17</v>
      </c>
      <c r="T3" s="206" t="s">
        <v>18</v>
      </c>
    </row>
    <row r="4" spans="1:20" ht="30">
      <c r="A4" s="207"/>
      <c r="B4" s="212"/>
      <c r="C4" s="213"/>
      <c r="D4" s="207"/>
      <c r="E4" s="207"/>
      <c r="F4" s="5" t="s">
        <v>156</v>
      </c>
      <c r="G4" s="207"/>
      <c r="H4" s="207"/>
      <c r="I4" s="207"/>
      <c r="J4" s="207"/>
      <c r="K4" s="208"/>
      <c r="L4" s="208"/>
      <c r="M4" s="207"/>
      <c r="N4" s="207"/>
      <c r="O4" s="207"/>
      <c r="P4" s="207"/>
      <c r="Q4" s="207"/>
      <c r="R4" s="207"/>
      <c r="S4" s="207"/>
      <c r="T4" s="207"/>
    </row>
    <row r="5" spans="1:20">
      <c r="A5" s="6">
        <v>1</v>
      </c>
      <c r="B5" s="204" t="s">
        <v>202</v>
      </c>
      <c r="C5" s="205"/>
      <c r="D5" s="190">
        <v>0</v>
      </c>
      <c r="E5" s="190">
        <v>0</v>
      </c>
      <c r="F5" s="191">
        <v>16</v>
      </c>
      <c r="G5" s="192">
        <v>0</v>
      </c>
      <c r="H5" s="192">
        <v>0</v>
      </c>
      <c r="I5" s="11">
        <v>0</v>
      </c>
      <c r="J5" s="11">
        <v>0</v>
      </c>
      <c r="K5" s="11">
        <v>0</v>
      </c>
      <c r="L5" s="193">
        <v>0</v>
      </c>
      <c r="M5" s="193">
        <v>0</v>
      </c>
      <c r="N5" s="193">
        <v>0</v>
      </c>
      <c r="O5" s="193">
        <v>319.04000000000002</v>
      </c>
      <c r="P5" s="193">
        <v>0</v>
      </c>
      <c r="Q5" s="193">
        <v>0</v>
      </c>
      <c r="R5" s="193">
        <v>0</v>
      </c>
      <c r="S5" s="193">
        <v>0</v>
      </c>
      <c r="T5" s="193">
        <v>319.04000000000002</v>
      </c>
    </row>
    <row r="6" spans="1:20">
      <c r="A6" s="13">
        <v>2</v>
      </c>
      <c r="B6" s="204" t="s">
        <v>203</v>
      </c>
      <c r="C6" s="205"/>
      <c r="D6" s="190">
        <v>0</v>
      </c>
      <c r="E6" s="190">
        <v>0</v>
      </c>
      <c r="F6" s="191">
        <v>16</v>
      </c>
      <c r="G6" s="192">
        <v>0</v>
      </c>
      <c r="H6" s="192">
        <v>0</v>
      </c>
      <c r="I6" s="11">
        <v>0</v>
      </c>
      <c r="J6" s="11">
        <v>0</v>
      </c>
      <c r="K6" s="11">
        <v>0</v>
      </c>
      <c r="L6" s="193">
        <v>0</v>
      </c>
      <c r="M6" s="193">
        <v>0</v>
      </c>
      <c r="N6" s="193">
        <v>0</v>
      </c>
      <c r="O6" s="193">
        <v>319.04000000000002</v>
      </c>
      <c r="P6" s="193">
        <v>0</v>
      </c>
      <c r="Q6" s="193">
        <v>0</v>
      </c>
      <c r="R6" s="193">
        <v>0</v>
      </c>
      <c r="S6" s="193">
        <v>0</v>
      </c>
      <c r="T6" s="193">
        <v>319.04000000000002</v>
      </c>
    </row>
    <row r="7" spans="1:20">
      <c r="A7" s="13">
        <v>3</v>
      </c>
      <c r="B7" s="204" t="s">
        <v>204</v>
      </c>
      <c r="C7" s="205"/>
      <c r="D7" s="190">
        <v>0</v>
      </c>
      <c r="E7" s="190">
        <v>0</v>
      </c>
      <c r="F7" s="191">
        <v>16</v>
      </c>
      <c r="G7" s="192">
        <v>0</v>
      </c>
      <c r="H7" s="192">
        <v>0</v>
      </c>
      <c r="I7" s="11">
        <v>0</v>
      </c>
      <c r="J7" s="11">
        <v>0</v>
      </c>
      <c r="K7" s="11">
        <v>0</v>
      </c>
      <c r="L7" s="193">
        <v>0</v>
      </c>
      <c r="M7" s="193">
        <v>0</v>
      </c>
      <c r="N7" s="193">
        <v>0</v>
      </c>
      <c r="O7" s="193">
        <v>319.04000000000002</v>
      </c>
      <c r="P7" s="193">
        <v>0</v>
      </c>
      <c r="Q7" s="193">
        <v>0</v>
      </c>
      <c r="R7" s="193">
        <v>0</v>
      </c>
      <c r="S7" s="193">
        <v>0</v>
      </c>
      <c r="T7" s="193">
        <v>319.04000000000002</v>
      </c>
    </row>
    <row r="8" spans="1:20">
      <c r="A8" s="13">
        <v>4</v>
      </c>
      <c r="B8" s="204" t="s">
        <v>205</v>
      </c>
      <c r="C8" s="205"/>
      <c r="D8" s="190">
        <v>0</v>
      </c>
      <c r="E8" s="190">
        <v>0</v>
      </c>
      <c r="F8" s="191">
        <v>16</v>
      </c>
      <c r="G8" s="192">
        <v>0</v>
      </c>
      <c r="H8" s="192">
        <v>0</v>
      </c>
      <c r="I8" s="11">
        <v>0</v>
      </c>
      <c r="J8" s="11">
        <v>0</v>
      </c>
      <c r="K8" s="11">
        <v>0</v>
      </c>
      <c r="L8" s="193">
        <v>0</v>
      </c>
      <c r="M8" s="193">
        <v>0</v>
      </c>
      <c r="N8" s="193">
        <v>0</v>
      </c>
      <c r="O8" s="193">
        <v>319.04000000000002</v>
      </c>
      <c r="P8" s="193">
        <v>0</v>
      </c>
      <c r="Q8" s="193">
        <v>0</v>
      </c>
      <c r="R8" s="193">
        <v>0</v>
      </c>
      <c r="S8" s="193">
        <v>0</v>
      </c>
      <c r="T8" s="193">
        <v>319.04000000000002</v>
      </c>
    </row>
    <row r="9" spans="1:20">
      <c r="A9" s="13">
        <v>5</v>
      </c>
      <c r="B9" s="204" t="s">
        <v>206</v>
      </c>
      <c r="C9" s="205"/>
      <c r="D9" s="190">
        <v>0</v>
      </c>
      <c r="E9" s="190">
        <v>0</v>
      </c>
      <c r="F9" s="191">
        <v>16</v>
      </c>
      <c r="G9" s="192">
        <v>0</v>
      </c>
      <c r="H9" s="192">
        <v>0</v>
      </c>
      <c r="I9" s="11">
        <v>0</v>
      </c>
      <c r="J9" s="11">
        <v>0</v>
      </c>
      <c r="K9" s="11">
        <v>0</v>
      </c>
      <c r="L9" s="193">
        <v>0</v>
      </c>
      <c r="M9" s="193">
        <v>0</v>
      </c>
      <c r="N9" s="193">
        <v>0</v>
      </c>
      <c r="O9" s="193">
        <v>319.04000000000002</v>
      </c>
      <c r="P9" s="193">
        <v>0</v>
      </c>
      <c r="Q9" s="193">
        <v>0</v>
      </c>
      <c r="R9" s="193">
        <v>0</v>
      </c>
      <c r="S9" s="193">
        <v>0</v>
      </c>
      <c r="T9" s="193">
        <v>319.04000000000002</v>
      </c>
    </row>
    <row r="10" spans="1:20">
      <c r="A10" s="13">
        <v>6</v>
      </c>
      <c r="B10" s="204" t="s">
        <v>207</v>
      </c>
      <c r="C10" s="205"/>
      <c r="D10" s="190">
        <v>0</v>
      </c>
      <c r="E10" s="190">
        <v>0</v>
      </c>
      <c r="F10" s="191">
        <v>16</v>
      </c>
      <c r="G10" s="192">
        <v>0</v>
      </c>
      <c r="H10" s="192">
        <v>0</v>
      </c>
      <c r="I10" s="11">
        <v>0</v>
      </c>
      <c r="J10" s="11">
        <v>0</v>
      </c>
      <c r="K10" s="11">
        <v>0</v>
      </c>
      <c r="L10" s="193">
        <v>0</v>
      </c>
      <c r="M10" s="193">
        <v>0</v>
      </c>
      <c r="N10" s="193">
        <v>0</v>
      </c>
      <c r="O10" s="193">
        <v>319.04000000000002</v>
      </c>
      <c r="P10" s="193">
        <v>0</v>
      </c>
      <c r="Q10" s="193">
        <v>0</v>
      </c>
      <c r="R10" s="193">
        <v>0</v>
      </c>
      <c r="S10" s="193">
        <v>0</v>
      </c>
      <c r="T10" s="193">
        <v>319.04000000000002</v>
      </c>
    </row>
    <row r="11" spans="1:20">
      <c r="A11" s="13">
        <v>7</v>
      </c>
      <c r="B11" s="204" t="s">
        <v>208</v>
      </c>
      <c r="C11" s="205"/>
      <c r="D11" s="190">
        <v>0</v>
      </c>
      <c r="E11" s="190">
        <v>0</v>
      </c>
      <c r="F11" s="191">
        <v>16</v>
      </c>
      <c r="G11" s="192">
        <v>0</v>
      </c>
      <c r="H11" s="192">
        <v>0</v>
      </c>
      <c r="I11" s="11">
        <v>0</v>
      </c>
      <c r="J11" s="11">
        <v>0</v>
      </c>
      <c r="K11" s="11">
        <v>0</v>
      </c>
      <c r="L11" s="193">
        <v>0</v>
      </c>
      <c r="M11" s="193">
        <v>0</v>
      </c>
      <c r="N11" s="193">
        <v>0</v>
      </c>
      <c r="O11" s="193">
        <v>319.04000000000002</v>
      </c>
      <c r="P11" s="193">
        <v>0</v>
      </c>
      <c r="Q11" s="193">
        <v>0</v>
      </c>
      <c r="R11" s="193">
        <v>0</v>
      </c>
      <c r="S11" s="193">
        <v>0</v>
      </c>
      <c r="T11" s="193">
        <v>319.04000000000002</v>
      </c>
    </row>
    <row r="12" spans="1:20">
      <c r="A12" s="13">
        <v>8</v>
      </c>
      <c r="B12" s="204" t="s">
        <v>209</v>
      </c>
      <c r="C12" s="205"/>
      <c r="D12" s="190">
        <v>0</v>
      </c>
      <c r="E12" s="190">
        <v>0</v>
      </c>
      <c r="F12" s="191">
        <v>16</v>
      </c>
      <c r="G12" s="192">
        <v>0</v>
      </c>
      <c r="H12" s="192">
        <v>0</v>
      </c>
      <c r="I12" s="11">
        <v>0</v>
      </c>
      <c r="J12" s="11">
        <v>0</v>
      </c>
      <c r="K12" s="11">
        <v>0</v>
      </c>
      <c r="L12" s="193">
        <v>0</v>
      </c>
      <c r="M12" s="193">
        <v>0</v>
      </c>
      <c r="N12" s="193">
        <v>0</v>
      </c>
      <c r="O12" s="193">
        <v>319.04000000000002</v>
      </c>
      <c r="P12" s="193">
        <v>0</v>
      </c>
      <c r="Q12" s="193">
        <v>0</v>
      </c>
      <c r="R12" s="193">
        <v>0</v>
      </c>
      <c r="S12" s="193">
        <v>0</v>
      </c>
      <c r="T12" s="193">
        <v>319.04000000000002</v>
      </c>
    </row>
    <row r="13" spans="1:20">
      <c r="A13" s="13">
        <v>9</v>
      </c>
      <c r="B13" s="204" t="s">
        <v>210</v>
      </c>
      <c r="C13" s="205"/>
      <c r="D13" s="190">
        <v>0</v>
      </c>
      <c r="E13" s="190">
        <v>0</v>
      </c>
      <c r="F13" s="191">
        <v>16</v>
      </c>
      <c r="G13" s="192">
        <v>0</v>
      </c>
      <c r="H13" s="192">
        <v>0</v>
      </c>
      <c r="I13" s="11">
        <v>0</v>
      </c>
      <c r="J13" s="11">
        <v>0</v>
      </c>
      <c r="K13" s="11">
        <v>0</v>
      </c>
      <c r="L13" s="193">
        <v>0</v>
      </c>
      <c r="M13" s="193">
        <v>0</v>
      </c>
      <c r="N13" s="193">
        <v>0</v>
      </c>
      <c r="O13" s="193">
        <v>319.04000000000002</v>
      </c>
      <c r="P13" s="193">
        <v>0</v>
      </c>
      <c r="Q13" s="193">
        <v>0</v>
      </c>
      <c r="R13" s="193">
        <v>0</v>
      </c>
      <c r="S13" s="193">
        <v>0</v>
      </c>
      <c r="T13" s="193">
        <v>319.04000000000002</v>
      </c>
    </row>
    <row r="14" spans="1:20">
      <c r="A14" s="13">
        <v>10</v>
      </c>
      <c r="B14" s="204" t="s">
        <v>211</v>
      </c>
      <c r="C14" s="205"/>
      <c r="D14" s="190">
        <v>0</v>
      </c>
      <c r="E14" s="190">
        <v>0</v>
      </c>
      <c r="F14" s="191">
        <v>16</v>
      </c>
      <c r="G14" s="192">
        <v>0</v>
      </c>
      <c r="H14" s="192">
        <v>0</v>
      </c>
      <c r="I14" s="11">
        <v>0</v>
      </c>
      <c r="J14" s="11">
        <v>0</v>
      </c>
      <c r="K14" s="11">
        <v>0</v>
      </c>
      <c r="L14" s="193">
        <v>0</v>
      </c>
      <c r="M14" s="193">
        <v>0</v>
      </c>
      <c r="N14" s="193">
        <v>0</v>
      </c>
      <c r="O14" s="193">
        <v>319.04000000000002</v>
      </c>
      <c r="P14" s="193">
        <v>0</v>
      </c>
      <c r="Q14" s="193">
        <v>0</v>
      </c>
      <c r="R14" s="193">
        <v>0</v>
      </c>
      <c r="S14" s="193">
        <v>0</v>
      </c>
      <c r="T14" s="193">
        <v>319.04000000000002</v>
      </c>
    </row>
    <row r="15" spans="1:20">
      <c r="A15" s="13">
        <v>11</v>
      </c>
      <c r="B15" s="204" t="s">
        <v>212</v>
      </c>
      <c r="C15" s="205"/>
      <c r="D15" s="190">
        <v>0</v>
      </c>
      <c r="E15" s="190">
        <v>0</v>
      </c>
      <c r="F15" s="191">
        <v>16</v>
      </c>
      <c r="G15" s="192">
        <v>0</v>
      </c>
      <c r="H15" s="192">
        <v>0</v>
      </c>
      <c r="I15" s="11">
        <v>0</v>
      </c>
      <c r="J15" s="11">
        <v>0</v>
      </c>
      <c r="K15" s="11">
        <v>0</v>
      </c>
      <c r="L15" s="193">
        <v>0</v>
      </c>
      <c r="M15" s="193">
        <v>0</v>
      </c>
      <c r="N15" s="193">
        <v>0</v>
      </c>
      <c r="O15" s="193">
        <v>319.04000000000002</v>
      </c>
      <c r="P15" s="193">
        <v>0</v>
      </c>
      <c r="Q15" s="193">
        <v>0</v>
      </c>
      <c r="R15" s="193">
        <v>0</v>
      </c>
      <c r="S15" s="193">
        <v>0</v>
      </c>
      <c r="T15" s="193">
        <v>319.04000000000002</v>
      </c>
    </row>
    <row r="16" spans="1:20">
      <c r="A16" s="13">
        <v>12</v>
      </c>
      <c r="B16" s="204" t="s">
        <v>213</v>
      </c>
      <c r="C16" s="205"/>
      <c r="D16" s="190">
        <v>0</v>
      </c>
      <c r="E16" s="190">
        <v>0</v>
      </c>
      <c r="F16" s="191">
        <v>16</v>
      </c>
      <c r="G16" s="192">
        <v>0</v>
      </c>
      <c r="H16" s="192">
        <v>0</v>
      </c>
      <c r="I16" s="11">
        <v>0</v>
      </c>
      <c r="J16" s="11">
        <v>0</v>
      </c>
      <c r="K16" s="11">
        <v>0</v>
      </c>
      <c r="L16" s="193">
        <v>0</v>
      </c>
      <c r="M16" s="193">
        <v>0</v>
      </c>
      <c r="N16" s="193">
        <v>0</v>
      </c>
      <c r="O16" s="193">
        <v>319.04000000000002</v>
      </c>
      <c r="P16" s="193">
        <v>0</v>
      </c>
      <c r="Q16" s="193">
        <v>0</v>
      </c>
      <c r="R16" s="193">
        <v>0</v>
      </c>
      <c r="S16" s="193">
        <v>0</v>
      </c>
      <c r="T16" s="193">
        <v>319.04000000000002</v>
      </c>
    </row>
    <row r="17" spans="1:20">
      <c r="A17" s="13">
        <v>13</v>
      </c>
      <c r="B17" s="204" t="s">
        <v>214</v>
      </c>
      <c r="C17" s="205"/>
      <c r="D17" s="190">
        <v>0</v>
      </c>
      <c r="E17" s="190">
        <v>0</v>
      </c>
      <c r="F17" s="191">
        <v>16</v>
      </c>
      <c r="G17" s="192">
        <v>0</v>
      </c>
      <c r="H17" s="192">
        <v>0</v>
      </c>
      <c r="I17" s="11">
        <v>0</v>
      </c>
      <c r="J17" s="11">
        <v>0</v>
      </c>
      <c r="K17" s="11">
        <v>0</v>
      </c>
      <c r="L17" s="193">
        <v>0</v>
      </c>
      <c r="M17" s="193">
        <v>0</v>
      </c>
      <c r="N17" s="193">
        <v>0</v>
      </c>
      <c r="O17" s="193">
        <v>319.04000000000002</v>
      </c>
      <c r="P17" s="193">
        <v>0</v>
      </c>
      <c r="Q17" s="193">
        <v>0</v>
      </c>
      <c r="R17" s="193">
        <v>0</v>
      </c>
      <c r="S17" s="193">
        <v>0</v>
      </c>
      <c r="T17" s="193">
        <v>319.04000000000002</v>
      </c>
    </row>
    <row r="18" spans="1:20">
      <c r="A18" s="13">
        <v>14</v>
      </c>
      <c r="B18" s="204" t="s">
        <v>215</v>
      </c>
      <c r="C18" s="205"/>
      <c r="D18" s="190">
        <v>0</v>
      </c>
      <c r="E18" s="190">
        <v>0</v>
      </c>
      <c r="F18" s="191">
        <v>16</v>
      </c>
      <c r="G18" s="192">
        <v>0</v>
      </c>
      <c r="H18" s="192">
        <v>0</v>
      </c>
      <c r="I18" s="11">
        <v>0</v>
      </c>
      <c r="J18" s="11">
        <v>0</v>
      </c>
      <c r="K18" s="11">
        <v>0</v>
      </c>
      <c r="L18" s="193">
        <v>0</v>
      </c>
      <c r="M18" s="193">
        <v>0</v>
      </c>
      <c r="N18" s="193">
        <v>0</v>
      </c>
      <c r="O18" s="193">
        <v>319.04000000000002</v>
      </c>
      <c r="P18" s="193">
        <v>0</v>
      </c>
      <c r="Q18" s="193">
        <v>0</v>
      </c>
      <c r="R18" s="193">
        <v>0</v>
      </c>
      <c r="S18" s="193">
        <v>0</v>
      </c>
      <c r="T18" s="193">
        <v>319.04000000000002</v>
      </c>
    </row>
    <row r="19" spans="1:20">
      <c r="A19" s="13">
        <v>15</v>
      </c>
      <c r="B19" s="204" t="s">
        <v>216</v>
      </c>
      <c r="C19" s="205"/>
      <c r="D19" s="190">
        <v>0</v>
      </c>
      <c r="E19" s="190">
        <v>0</v>
      </c>
      <c r="F19" s="191">
        <v>16</v>
      </c>
      <c r="G19" s="192">
        <v>0</v>
      </c>
      <c r="H19" s="192">
        <v>0</v>
      </c>
      <c r="I19" s="11">
        <v>0</v>
      </c>
      <c r="J19" s="11">
        <v>0</v>
      </c>
      <c r="K19" s="11">
        <v>0</v>
      </c>
      <c r="L19" s="193">
        <v>0</v>
      </c>
      <c r="M19" s="193">
        <v>0</v>
      </c>
      <c r="N19" s="193">
        <v>0</v>
      </c>
      <c r="O19" s="193">
        <v>319.04000000000002</v>
      </c>
      <c r="P19" s="193">
        <v>0</v>
      </c>
      <c r="Q19" s="193">
        <v>0</v>
      </c>
      <c r="R19" s="193">
        <v>0</v>
      </c>
      <c r="S19" s="193">
        <v>0</v>
      </c>
      <c r="T19" s="193">
        <v>319.04000000000002</v>
      </c>
    </row>
    <row r="20" spans="1:20">
      <c r="A20" s="13">
        <v>16</v>
      </c>
      <c r="B20" s="204" t="s">
        <v>217</v>
      </c>
      <c r="C20" s="205"/>
      <c r="D20" s="190">
        <v>0</v>
      </c>
      <c r="E20" s="190">
        <v>0</v>
      </c>
      <c r="F20" s="191">
        <v>16</v>
      </c>
      <c r="G20" s="192">
        <v>0</v>
      </c>
      <c r="H20" s="192">
        <v>0</v>
      </c>
      <c r="I20" s="11">
        <v>0</v>
      </c>
      <c r="J20" s="11">
        <v>0</v>
      </c>
      <c r="K20" s="11">
        <v>0</v>
      </c>
      <c r="L20" s="193">
        <v>0</v>
      </c>
      <c r="M20" s="193">
        <v>0</v>
      </c>
      <c r="N20" s="193">
        <v>0</v>
      </c>
      <c r="O20" s="193">
        <v>319.04000000000002</v>
      </c>
      <c r="P20" s="193">
        <v>0</v>
      </c>
      <c r="Q20" s="193">
        <v>0</v>
      </c>
      <c r="R20" s="193">
        <v>0</v>
      </c>
      <c r="S20" s="193">
        <v>0</v>
      </c>
      <c r="T20" s="193">
        <v>319.04000000000002</v>
      </c>
    </row>
    <row r="21" spans="1:20">
      <c r="A21" s="13">
        <v>17</v>
      </c>
      <c r="B21" s="204" t="s">
        <v>218</v>
      </c>
      <c r="C21" s="205"/>
      <c r="D21" s="190">
        <v>0</v>
      </c>
      <c r="E21" s="190">
        <v>0</v>
      </c>
      <c r="F21" s="191">
        <v>16</v>
      </c>
      <c r="G21" s="192">
        <v>0</v>
      </c>
      <c r="H21" s="192">
        <v>0</v>
      </c>
      <c r="I21" s="11">
        <v>0</v>
      </c>
      <c r="J21" s="11">
        <v>0</v>
      </c>
      <c r="K21" s="11">
        <v>0</v>
      </c>
      <c r="L21" s="193">
        <v>0</v>
      </c>
      <c r="M21" s="193">
        <v>0</v>
      </c>
      <c r="N21" s="193">
        <v>0</v>
      </c>
      <c r="O21" s="193">
        <v>319.04000000000002</v>
      </c>
      <c r="P21" s="193">
        <v>0</v>
      </c>
      <c r="Q21" s="193">
        <v>0</v>
      </c>
      <c r="R21" s="193">
        <v>0</v>
      </c>
      <c r="S21" s="193">
        <v>0</v>
      </c>
      <c r="T21" s="193">
        <v>319.04000000000002</v>
      </c>
    </row>
    <row r="22" spans="1:20">
      <c r="A22" s="13">
        <v>18</v>
      </c>
      <c r="B22" s="204" t="s">
        <v>219</v>
      </c>
      <c r="C22" s="205"/>
      <c r="D22" s="190">
        <v>0</v>
      </c>
      <c r="E22" s="190">
        <v>0</v>
      </c>
      <c r="F22" s="191">
        <v>16</v>
      </c>
      <c r="G22" s="192">
        <v>0</v>
      </c>
      <c r="H22" s="192">
        <v>0</v>
      </c>
      <c r="I22" s="11">
        <v>0</v>
      </c>
      <c r="J22" s="11">
        <v>0</v>
      </c>
      <c r="K22" s="11">
        <v>0</v>
      </c>
      <c r="L22" s="193">
        <v>0</v>
      </c>
      <c r="M22" s="193">
        <v>0</v>
      </c>
      <c r="N22" s="193">
        <v>0</v>
      </c>
      <c r="O22" s="193">
        <v>319.04000000000002</v>
      </c>
      <c r="P22" s="193">
        <v>0</v>
      </c>
      <c r="Q22" s="193">
        <v>0</v>
      </c>
      <c r="R22" s="193">
        <v>0</v>
      </c>
      <c r="S22" s="193">
        <v>0</v>
      </c>
      <c r="T22" s="193">
        <v>319.04000000000002</v>
      </c>
    </row>
    <row r="23" spans="1:20">
      <c r="A23" s="13">
        <v>19</v>
      </c>
      <c r="B23" s="204" t="s">
        <v>220</v>
      </c>
      <c r="C23" s="205"/>
      <c r="D23" s="190">
        <v>0</v>
      </c>
      <c r="E23" s="190">
        <v>0</v>
      </c>
      <c r="F23" s="191">
        <v>16</v>
      </c>
      <c r="G23" s="192">
        <v>0</v>
      </c>
      <c r="H23" s="192">
        <v>0</v>
      </c>
      <c r="I23" s="11">
        <v>0</v>
      </c>
      <c r="J23" s="11">
        <v>0</v>
      </c>
      <c r="K23" s="11">
        <v>0</v>
      </c>
      <c r="L23" s="193">
        <v>0</v>
      </c>
      <c r="M23" s="193">
        <v>0</v>
      </c>
      <c r="N23" s="193">
        <v>0</v>
      </c>
      <c r="O23" s="193">
        <v>319.04000000000002</v>
      </c>
      <c r="P23" s="193">
        <v>0</v>
      </c>
      <c r="Q23" s="193">
        <v>0</v>
      </c>
      <c r="R23" s="193">
        <v>0</v>
      </c>
      <c r="S23" s="193">
        <v>0</v>
      </c>
      <c r="T23" s="193">
        <v>319.04000000000002</v>
      </c>
    </row>
    <row r="24" spans="1:20">
      <c r="A24" s="13">
        <v>20</v>
      </c>
      <c r="B24" s="204" t="s">
        <v>221</v>
      </c>
      <c r="C24" s="205"/>
      <c r="D24" s="190">
        <v>0</v>
      </c>
      <c r="E24" s="190">
        <v>0</v>
      </c>
      <c r="F24" s="191">
        <v>16</v>
      </c>
      <c r="G24" s="192">
        <v>0</v>
      </c>
      <c r="H24" s="192">
        <v>0</v>
      </c>
      <c r="I24" s="11">
        <v>0</v>
      </c>
      <c r="J24" s="11">
        <v>0</v>
      </c>
      <c r="K24" s="11">
        <v>0</v>
      </c>
      <c r="L24" s="193">
        <v>0</v>
      </c>
      <c r="M24" s="193">
        <v>0</v>
      </c>
      <c r="N24" s="193">
        <v>0</v>
      </c>
      <c r="O24" s="193">
        <v>319.04000000000002</v>
      </c>
      <c r="P24" s="193">
        <v>0</v>
      </c>
      <c r="Q24" s="193">
        <v>0</v>
      </c>
      <c r="R24" s="193">
        <v>0</v>
      </c>
      <c r="S24" s="193">
        <v>0</v>
      </c>
      <c r="T24" s="193">
        <v>319.04000000000002</v>
      </c>
    </row>
    <row r="25" spans="1:20">
      <c r="A25" s="13">
        <v>21</v>
      </c>
      <c r="B25" s="204" t="s">
        <v>222</v>
      </c>
      <c r="C25" s="205"/>
      <c r="D25" s="190">
        <v>0</v>
      </c>
      <c r="E25" s="190">
        <v>0</v>
      </c>
      <c r="F25" s="191">
        <v>16</v>
      </c>
      <c r="G25" s="192">
        <v>0</v>
      </c>
      <c r="H25" s="192">
        <v>0</v>
      </c>
      <c r="I25" s="11">
        <v>0</v>
      </c>
      <c r="J25" s="11">
        <v>0</v>
      </c>
      <c r="K25" s="11">
        <v>0</v>
      </c>
      <c r="L25" s="193">
        <v>0</v>
      </c>
      <c r="M25" s="193">
        <v>0</v>
      </c>
      <c r="N25" s="193">
        <v>0</v>
      </c>
      <c r="O25" s="193">
        <v>319.04000000000002</v>
      </c>
      <c r="P25" s="193">
        <v>0</v>
      </c>
      <c r="Q25" s="193">
        <v>0</v>
      </c>
      <c r="R25" s="193">
        <v>0</v>
      </c>
      <c r="S25" s="193">
        <v>0</v>
      </c>
      <c r="T25" s="193">
        <v>319.04000000000002</v>
      </c>
    </row>
    <row r="26" spans="1:20">
      <c r="A26" s="13">
        <v>22</v>
      </c>
      <c r="B26" s="204" t="s">
        <v>223</v>
      </c>
      <c r="C26" s="205"/>
      <c r="D26" s="190">
        <v>0</v>
      </c>
      <c r="E26" s="190">
        <v>0</v>
      </c>
      <c r="F26" s="191">
        <v>16</v>
      </c>
      <c r="G26" s="192">
        <v>0</v>
      </c>
      <c r="H26" s="192">
        <v>0</v>
      </c>
      <c r="I26" s="11">
        <v>0</v>
      </c>
      <c r="J26" s="11">
        <v>0</v>
      </c>
      <c r="K26" s="11">
        <v>0</v>
      </c>
      <c r="L26" s="193">
        <v>0</v>
      </c>
      <c r="M26" s="193">
        <v>0</v>
      </c>
      <c r="N26" s="193">
        <v>0</v>
      </c>
      <c r="O26" s="193">
        <v>319.04000000000002</v>
      </c>
      <c r="P26" s="193">
        <v>0</v>
      </c>
      <c r="Q26" s="193">
        <v>0</v>
      </c>
      <c r="R26" s="193">
        <v>0</v>
      </c>
      <c r="S26" s="193">
        <v>0</v>
      </c>
      <c r="T26" s="193">
        <v>319.04000000000002</v>
      </c>
    </row>
    <row r="27" spans="1:20">
      <c r="A27" s="13">
        <v>23</v>
      </c>
      <c r="B27" s="204" t="s">
        <v>224</v>
      </c>
      <c r="C27" s="205"/>
      <c r="D27" s="190">
        <v>0</v>
      </c>
      <c r="E27" s="190">
        <v>0</v>
      </c>
      <c r="F27" s="191">
        <v>16</v>
      </c>
      <c r="G27" s="192">
        <v>0</v>
      </c>
      <c r="H27" s="192">
        <v>0</v>
      </c>
      <c r="I27" s="11">
        <v>0</v>
      </c>
      <c r="J27" s="11">
        <v>0</v>
      </c>
      <c r="K27" s="11">
        <v>0</v>
      </c>
      <c r="L27" s="193">
        <v>0</v>
      </c>
      <c r="M27" s="193">
        <v>0</v>
      </c>
      <c r="N27" s="193">
        <v>0</v>
      </c>
      <c r="O27" s="193">
        <v>319.04000000000002</v>
      </c>
      <c r="P27" s="193">
        <v>0</v>
      </c>
      <c r="Q27" s="193">
        <v>0</v>
      </c>
      <c r="R27" s="193">
        <v>0</v>
      </c>
      <c r="S27" s="193">
        <v>0</v>
      </c>
      <c r="T27" s="193">
        <v>319.04000000000002</v>
      </c>
    </row>
    <row r="28" spans="1:20">
      <c r="A28" s="13">
        <v>24</v>
      </c>
      <c r="B28" s="204" t="s">
        <v>225</v>
      </c>
      <c r="C28" s="205"/>
      <c r="D28" s="190">
        <v>0</v>
      </c>
      <c r="E28" s="190">
        <v>0</v>
      </c>
      <c r="F28" s="191">
        <v>16</v>
      </c>
      <c r="G28" s="192">
        <v>0</v>
      </c>
      <c r="H28" s="192">
        <v>0</v>
      </c>
      <c r="I28" s="11">
        <v>0</v>
      </c>
      <c r="J28" s="11">
        <v>0</v>
      </c>
      <c r="K28" s="11">
        <v>0</v>
      </c>
      <c r="L28" s="193">
        <v>0</v>
      </c>
      <c r="M28" s="193">
        <v>0</v>
      </c>
      <c r="N28" s="193">
        <v>0</v>
      </c>
      <c r="O28" s="193">
        <v>319.04000000000002</v>
      </c>
      <c r="P28" s="193">
        <v>0</v>
      </c>
      <c r="Q28" s="193">
        <v>0</v>
      </c>
      <c r="R28" s="193">
        <v>0</v>
      </c>
      <c r="S28" s="193">
        <v>0</v>
      </c>
      <c r="T28" s="193">
        <v>319.04000000000002</v>
      </c>
    </row>
    <row r="29" spans="1:20">
      <c r="A29" s="13">
        <v>25</v>
      </c>
      <c r="B29" s="204" t="s">
        <v>226</v>
      </c>
      <c r="C29" s="205"/>
      <c r="D29" s="190">
        <v>0</v>
      </c>
      <c r="E29" s="190">
        <v>0</v>
      </c>
      <c r="F29" s="191">
        <v>16</v>
      </c>
      <c r="G29" s="192">
        <v>0</v>
      </c>
      <c r="H29" s="192">
        <v>0</v>
      </c>
      <c r="I29" s="11">
        <v>0</v>
      </c>
      <c r="J29" s="11">
        <v>0</v>
      </c>
      <c r="K29" s="11">
        <v>0</v>
      </c>
      <c r="L29" s="193">
        <v>0</v>
      </c>
      <c r="M29" s="193">
        <v>0</v>
      </c>
      <c r="N29" s="193">
        <v>0</v>
      </c>
      <c r="O29" s="193">
        <v>319.04000000000002</v>
      </c>
      <c r="P29" s="193">
        <v>0</v>
      </c>
      <c r="Q29" s="193">
        <v>0</v>
      </c>
      <c r="R29" s="193">
        <v>0</v>
      </c>
      <c r="S29" s="193">
        <v>0</v>
      </c>
      <c r="T29" s="193">
        <v>319.04000000000002</v>
      </c>
    </row>
    <row r="30" spans="1:20">
      <c r="A30" s="13">
        <v>26</v>
      </c>
      <c r="B30" s="204" t="s">
        <v>227</v>
      </c>
      <c r="C30" s="205"/>
      <c r="D30" s="190">
        <v>0</v>
      </c>
      <c r="E30" s="190">
        <v>0</v>
      </c>
      <c r="F30" s="191">
        <v>16</v>
      </c>
      <c r="G30" s="192">
        <v>0</v>
      </c>
      <c r="H30" s="192">
        <v>0</v>
      </c>
      <c r="I30" s="11">
        <v>0</v>
      </c>
      <c r="J30" s="11">
        <v>0</v>
      </c>
      <c r="K30" s="11">
        <v>0</v>
      </c>
      <c r="L30" s="193">
        <v>0</v>
      </c>
      <c r="M30" s="193">
        <v>0</v>
      </c>
      <c r="N30" s="193">
        <v>0</v>
      </c>
      <c r="O30" s="193">
        <v>319.04000000000002</v>
      </c>
      <c r="P30" s="193">
        <v>0</v>
      </c>
      <c r="Q30" s="193">
        <v>0</v>
      </c>
      <c r="R30" s="193">
        <v>0</v>
      </c>
      <c r="S30" s="193">
        <v>0</v>
      </c>
      <c r="T30" s="193">
        <v>319.04000000000002</v>
      </c>
    </row>
    <row r="31" spans="1:20">
      <c r="A31" s="13">
        <v>27</v>
      </c>
      <c r="B31" s="204" t="s">
        <v>228</v>
      </c>
      <c r="C31" s="205"/>
      <c r="D31" s="190">
        <v>0</v>
      </c>
      <c r="E31" s="190">
        <v>0</v>
      </c>
      <c r="F31" s="191">
        <v>16</v>
      </c>
      <c r="G31" s="192">
        <v>0</v>
      </c>
      <c r="H31" s="192">
        <v>0</v>
      </c>
      <c r="I31" s="11">
        <v>0</v>
      </c>
      <c r="J31" s="11">
        <v>0</v>
      </c>
      <c r="K31" s="11">
        <v>0</v>
      </c>
      <c r="L31" s="193">
        <v>0</v>
      </c>
      <c r="M31" s="193">
        <v>0</v>
      </c>
      <c r="N31" s="193">
        <v>0</v>
      </c>
      <c r="O31" s="193">
        <v>319.04000000000002</v>
      </c>
      <c r="P31" s="193">
        <v>0</v>
      </c>
      <c r="Q31" s="193">
        <v>0</v>
      </c>
      <c r="R31" s="193">
        <v>0</v>
      </c>
      <c r="S31" s="193">
        <v>0</v>
      </c>
      <c r="T31" s="193">
        <v>319.04000000000002</v>
      </c>
    </row>
    <row r="32" spans="1:20">
      <c r="A32" s="13">
        <v>28</v>
      </c>
      <c r="B32" s="204" t="s">
        <v>229</v>
      </c>
      <c r="C32" s="205"/>
      <c r="D32" s="190">
        <v>0</v>
      </c>
      <c r="E32" s="190">
        <v>8</v>
      </c>
      <c r="F32" s="191">
        <v>8</v>
      </c>
      <c r="G32" s="192">
        <v>0</v>
      </c>
      <c r="H32" s="192">
        <v>0</v>
      </c>
      <c r="I32" s="11">
        <v>0</v>
      </c>
      <c r="J32" s="11">
        <v>0</v>
      </c>
      <c r="K32" s="11">
        <v>0</v>
      </c>
      <c r="L32" s="193">
        <v>0</v>
      </c>
      <c r="M32" s="193">
        <v>0</v>
      </c>
      <c r="N32" s="193">
        <v>1210</v>
      </c>
      <c r="O32" s="193">
        <v>159.52000000000001</v>
      </c>
      <c r="P32" s="193">
        <v>0</v>
      </c>
      <c r="Q32" s="193">
        <v>0</v>
      </c>
      <c r="R32" s="193">
        <v>0</v>
      </c>
      <c r="S32" s="193">
        <v>0</v>
      </c>
      <c r="T32" s="193">
        <v>1369.52</v>
      </c>
    </row>
    <row r="33" spans="1:20">
      <c r="A33" s="13">
        <v>29</v>
      </c>
      <c r="B33" s="204" t="s">
        <v>230</v>
      </c>
      <c r="C33" s="205"/>
      <c r="D33" s="190">
        <v>0</v>
      </c>
      <c r="E33" s="190">
        <v>0</v>
      </c>
      <c r="F33" s="191">
        <v>8</v>
      </c>
      <c r="G33" s="192">
        <v>0</v>
      </c>
      <c r="H33" s="192">
        <v>0</v>
      </c>
      <c r="I33" s="11">
        <v>0</v>
      </c>
      <c r="J33" s="11">
        <v>0</v>
      </c>
      <c r="K33" s="11">
        <v>0</v>
      </c>
      <c r="L33" s="193">
        <v>0</v>
      </c>
      <c r="M33" s="193">
        <v>0</v>
      </c>
      <c r="N33" s="193">
        <v>0</v>
      </c>
      <c r="O33" s="193">
        <v>159.52000000000001</v>
      </c>
      <c r="P33" s="193">
        <v>0</v>
      </c>
      <c r="Q33" s="193">
        <v>0</v>
      </c>
      <c r="R33" s="193">
        <v>0</v>
      </c>
      <c r="S33" s="193">
        <v>0</v>
      </c>
      <c r="T33" s="193">
        <v>159.52000000000001</v>
      </c>
    </row>
    <row r="34" spans="1:20">
      <c r="A34" s="13">
        <v>30</v>
      </c>
      <c r="B34" s="204" t="s">
        <v>231</v>
      </c>
      <c r="C34" s="205"/>
      <c r="D34" s="190">
        <v>0</v>
      </c>
      <c r="E34" s="190">
        <v>0</v>
      </c>
      <c r="F34" s="191">
        <v>8</v>
      </c>
      <c r="G34" s="192">
        <v>0</v>
      </c>
      <c r="H34" s="192">
        <v>0</v>
      </c>
      <c r="I34" s="11">
        <v>0</v>
      </c>
      <c r="J34" s="11">
        <v>0</v>
      </c>
      <c r="K34" s="11">
        <v>0</v>
      </c>
      <c r="L34" s="193">
        <v>0</v>
      </c>
      <c r="M34" s="193">
        <v>0</v>
      </c>
      <c r="N34" s="193">
        <v>0</v>
      </c>
      <c r="O34" s="193">
        <v>159.52000000000001</v>
      </c>
      <c r="P34" s="193">
        <v>0</v>
      </c>
      <c r="Q34" s="193">
        <v>0</v>
      </c>
      <c r="R34" s="193">
        <v>0</v>
      </c>
      <c r="S34" s="193">
        <v>0</v>
      </c>
      <c r="T34" s="193">
        <v>159.52000000000001</v>
      </c>
    </row>
    <row r="35" spans="1:20">
      <c r="A35" s="13">
        <v>31</v>
      </c>
      <c r="B35" s="204" t="s">
        <v>232</v>
      </c>
      <c r="C35" s="205"/>
      <c r="D35" s="190">
        <v>0</v>
      </c>
      <c r="E35" s="190">
        <v>0</v>
      </c>
      <c r="F35" s="191">
        <v>8</v>
      </c>
      <c r="G35" s="192">
        <v>0</v>
      </c>
      <c r="H35" s="192">
        <v>0</v>
      </c>
      <c r="I35" s="11">
        <v>0</v>
      </c>
      <c r="J35" s="11">
        <v>0</v>
      </c>
      <c r="K35" s="11">
        <v>0</v>
      </c>
      <c r="L35" s="193">
        <v>0</v>
      </c>
      <c r="M35" s="193">
        <v>0</v>
      </c>
      <c r="N35" s="193">
        <v>0</v>
      </c>
      <c r="O35" s="193">
        <v>159.52000000000001</v>
      </c>
      <c r="P35" s="193">
        <v>0</v>
      </c>
      <c r="Q35" s="193">
        <v>0</v>
      </c>
      <c r="R35" s="193">
        <v>0</v>
      </c>
      <c r="S35" s="193">
        <v>0</v>
      </c>
      <c r="T35" s="193">
        <v>159.52000000000001</v>
      </c>
    </row>
    <row r="36" spans="1:20">
      <c r="D36" s="20">
        <v>0</v>
      </c>
      <c r="E36" s="20">
        <v>8</v>
      </c>
      <c r="F36" s="20">
        <v>464</v>
      </c>
      <c r="G36" s="20">
        <v>0</v>
      </c>
      <c r="H36" s="20">
        <v>0</v>
      </c>
      <c r="I36" s="20">
        <v>0</v>
      </c>
      <c r="J36" s="20">
        <v>0</v>
      </c>
      <c r="K36" s="20">
        <v>0</v>
      </c>
      <c r="L36" s="194">
        <v>0</v>
      </c>
      <c r="M36" s="194">
        <v>0</v>
      </c>
      <c r="N36" s="194">
        <v>1210</v>
      </c>
      <c r="O36" s="194">
        <v>9252.16</v>
      </c>
      <c r="P36" s="194">
        <v>0</v>
      </c>
      <c r="Q36" s="194">
        <v>0</v>
      </c>
      <c r="R36" s="194">
        <v>0</v>
      </c>
      <c r="S36" s="194">
        <v>0</v>
      </c>
      <c r="T36" s="194">
        <v>10462.16</v>
      </c>
    </row>
    <row r="37" spans="1:20">
      <c r="R37" s="22"/>
      <c r="S37" s="22"/>
      <c r="T37" s="195">
        <v>12554.59</v>
      </c>
    </row>
  </sheetData>
  <mergeCells count="50">
    <mergeCell ref="B8:C8"/>
    <mergeCell ref="B9:C9"/>
    <mergeCell ref="B10:C10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  <mergeCell ref="B7:C7"/>
    <mergeCell ref="L3:L4"/>
    <mergeCell ref="M3:M4"/>
    <mergeCell ref="N3:N4"/>
    <mergeCell ref="O3:O4"/>
    <mergeCell ref="R3:R4"/>
    <mergeCell ref="S3:S4"/>
    <mergeCell ref="T3:T4"/>
    <mergeCell ref="B5:C5"/>
    <mergeCell ref="B6:C6"/>
    <mergeCell ref="P3:P4"/>
    <mergeCell ref="Q3:Q4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13:C13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</mergeCells>
  <pageMargins left="0.7" right="0.7" top="0.75" bottom="0.75" header="0.3" footer="0.3"/>
  <pageSetup paperSize="9" fitToHeight="5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7FBDF-6E08-415A-88AA-785BBF50022C}">
  <sheetPr codeName="Лист33">
    <pageSetUpPr fitToPage="1"/>
  </sheetPr>
  <dimension ref="A1:T37"/>
  <sheetViews>
    <sheetView topLeftCell="A6" workbookViewId="0">
      <selection activeCell="L5" sqref="L5:L35"/>
    </sheetView>
  </sheetViews>
  <sheetFormatPr defaultRowHeight="15"/>
  <cols>
    <col min="1" max="8" width="8.796875" style="2"/>
    <col min="9" max="9" width="7.19921875" style="2" bestFit="1" customWidth="1"/>
    <col min="10" max="11" width="8.796875" style="2"/>
    <col min="12" max="12" width="6.5" style="2" bestFit="1" customWidth="1"/>
    <col min="13" max="13" width="10.09765625" style="2" customWidth="1"/>
    <col min="14" max="14" width="9.8984375" style="2" customWidth="1"/>
    <col min="15" max="15" width="10.59765625" style="2" customWidth="1"/>
    <col min="16" max="16" width="10.796875" style="2" customWidth="1"/>
    <col min="17" max="17" width="10.19921875" style="2" customWidth="1"/>
    <col min="18" max="18" width="9.296875" style="2" customWidth="1"/>
    <col min="19" max="19" width="10.19921875" style="2" customWidth="1"/>
    <col min="20" max="20" width="13.5" style="2" customWidth="1"/>
    <col min="21" max="16384" width="8.796875" style="2"/>
  </cols>
  <sheetData>
    <row r="1" spans="1:20">
      <c r="I1" s="3"/>
    </row>
    <row r="2" spans="1:20" ht="28.9" customHeight="1">
      <c r="A2" s="209" t="s">
        <v>233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</row>
    <row r="3" spans="1:20" ht="28.9" customHeight="1">
      <c r="A3" s="206" t="s">
        <v>0</v>
      </c>
      <c r="B3" s="210" t="s">
        <v>1</v>
      </c>
      <c r="C3" s="211"/>
      <c r="D3" s="206" t="s">
        <v>146</v>
      </c>
      <c r="E3" s="206" t="s">
        <v>147</v>
      </c>
      <c r="F3" s="4" t="s">
        <v>4</v>
      </c>
      <c r="G3" s="206" t="s">
        <v>198</v>
      </c>
      <c r="H3" s="206" t="s">
        <v>199</v>
      </c>
      <c r="I3" s="206" t="s">
        <v>7</v>
      </c>
      <c r="J3" s="206" t="s">
        <v>8</v>
      </c>
      <c r="K3" s="206" t="s">
        <v>200</v>
      </c>
      <c r="L3" s="206" t="s">
        <v>201</v>
      </c>
      <c r="M3" s="206" t="s">
        <v>11</v>
      </c>
      <c r="N3" s="206" t="s">
        <v>12</v>
      </c>
      <c r="O3" s="206" t="s">
        <v>13</v>
      </c>
      <c r="P3" s="206" t="s">
        <v>14</v>
      </c>
      <c r="Q3" s="206" t="s">
        <v>15</v>
      </c>
      <c r="R3" s="206" t="s">
        <v>16</v>
      </c>
      <c r="S3" s="206" t="s">
        <v>17</v>
      </c>
      <c r="T3" s="206" t="s">
        <v>18</v>
      </c>
    </row>
    <row r="4" spans="1:20" ht="30">
      <c r="A4" s="207"/>
      <c r="B4" s="212"/>
      <c r="C4" s="213"/>
      <c r="D4" s="207"/>
      <c r="E4" s="207"/>
      <c r="F4" s="5" t="s">
        <v>156</v>
      </c>
      <c r="G4" s="207"/>
      <c r="H4" s="207"/>
      <c r="I4" s="207"/>
      <c r="J4" s="207"/>
      <c r="K4" s="208"/>
      <c r="L4" s="208"/>
      <c r="M4" s="207"/>
      <c r="N4" s="207"/>
      <c r="O4" s="207"/>
      <c r="P4" s="207"/>
      <c r="Q4" s="207"/>
      <c r="R4" s="207"/>
      <c r="S4" s="207"/>
      <c r="T4" s="207"/>
    </row>
    <row r="5" spans="1:20">
      <c r="A5" s="13">
        <v>1</v>
      </c>
      <c r="B5" s="204" t="s">
        <v>202</v>
      </c>
      <c r="C5" s="205"/>
      <c r="D5" s="196">
        <v>63</v>
      </c>
      <c r="E5" s="196">
        <v>30</v>
      </c>
      <c r="F5" s="197">
        <v>4219</v>
      </c>
      <c r="G5" s="192">
        <v>2701</v>
      </c>
      <c r="H5" s="192">
        <v>532</v>
      </c>
      <c r="I5" s="11">
        <v>0</v>
      </c>
      <c r="J5" s="11">
        <v>0</v>
      </c>
      <c r="K5" s="11">
        <v>0</v>
      </c>
      <c r="L5" s="193">
        <v>0</v>
      </c>
      <c r="M5" s="193">
        <v>9528.75</v>
      </c>
      <c r="N5" s="193">
        <v>4537.5</v>
      </c>
      <c r="O5" s="193">
        <v>84126.86</v>
      </c>
      <c r="P5" s="193">
        <v>53857.94</v>
      </c>
      <c r="Q5" s="193">
        <v>80465</v>
      </c>
      <c r="R5" s="193">
        <v>0</v>
      </c>
      <c r="S5" s="193">
        <v>0</v>
      </c>
      <c r="T5" s="193">
        <v>232516.05</v>
      </c>
    </row>
    <row r="6" spans="1:20">
      <c r="A6" s="13">
        <v>2</v>
      </c>
      <c r="B6" s="204" t="s">
        <v>203</v>
      </c>
      <c r="C6" s="205"/>
      <c r="D6" s="196">
        <v>15</v>
      </c>
      <c r="E6" s="196">
        <v>62</v>
      </c>
      <c r="F6" s="197">
        <v>4172</v>
      </c>
      <c r="G6" s="192">
        <v>2748</v>
      </c>
      <c r="H6" s="192">
        <v>548</v>
      </c>
      <c r="I6" s="11">
        <v>0</v>
      </c>
      <c r="J6" s="11">
        <v>0</v>
      </c>
      <c r="K6" s="11">
        <v>0</v>
      </c>
      <c r="L6" s="193">
        <v>0</v>
      </c>
      <c r="M6" s="193">
        <v>2268.75</v>
      </c>
      <c r="N6" s="193">
        <v>9377.5</v>
      </c>
      <c r="O6" s="193">
        <v>83189.679999999993</v>
      </c>
      <c r="P6" s="193">
        <v>54795.12</v>
      </c>
      <c r="Q6" s="193">
        <v>82885</v>
      </c>
      <c r="R6" s="193">
        <v>0</v>
      </c>
      <c r="S6" s="193">
        <v>0</v>
      </c>
      <c r="T6" s="193">
        <v>232516.05</v>
      </c>
    </row>
    <row r="7" spans="1:20">
      <c r="A7" s="13">
        <v>3</v>
      </c>
      <c r="B7" s="204" t="s">
        <v>204</v>
      </c>
      <c r="C7" s="205"/>
      <c r="D7" s="196">
        <v>30</v>
      </c>
      <c r="E7" s="196">
        <v>51</v>
      </c>
      <c r="F7" s="197">
        <v>4151</v>
      </c>
      <c r="G7" s="192">
        <v>2769</v>
      </c>
      <c r="H7" s="192">
        <v>544</v>
      </c>
      <c r="I7" s="11">
        <v>0</v>
      </c>
      <c r="J7" s="11">
        <v>0</v>
      </c>
      <c r="K7" s="11">
        <v>0</v>
      </c>
      <c r="L7" s="193">
        <v>0</v>
      </c>
      <c r="M7" s="193">
        <v>4537.5</v>
      </c>
      <c r="N7" s="193">
        <v>7713.75</v>
      </c>
      <c r="O7" s="193">
        <v>82770.94</v>
      </c>
      <c r="P7" s="193">
        <v>55213.86</v>
      </c>
      <c r="Q7" s="193">
        <v>82280</v>
      </c>
      <c r="R7" s="193">
        <v>0</v>
      </c>
      <c r="S7" s="193">
        <v>0</v>
      </c>
      <c r="T7" s="193">
        <v>232516.05</v>
      </c>
    </row>
    <row r="8" spans="1:20">
      <c r="A8" s="13">
        <v>4</v>
      </c>
      <c r="B8" s="204" t="s">
        <v>205</v>
      </c>
      <c r="C8" s="205"/>
      <c r="D8" s="196">
        <v>137</v>
      </c>
      <c r="E8" s="196">
        <v>97</v>
      </c>
      <c r="F8" s="197">
        <v>4191</v>
      </c>
      <c r="G8" s="192">
        <v>2729</v>
      </c>
      <c r="H8" s="192">
        <v>391</v>
      </c>
      <c r="I8" s="11">
        <v>0</v>
      </c>
      <c r="J8" s="11">
        <v>0</v>
      </c>
      <c r="K8" s="11">
        <v>0</v>
      </c>
      <c r="L8" s="193">
        <v>0</v>
      </c>
      <c r="M8" s="193">
        <v>20721.25</v>
      </c>
      <c r="N8" s="193">
        <v>14671.25</v>
      </c>
      <c r="O8" s="193">
        <v>83568.539999999994</v>
      </c>
      <c r="P8" s="193">
        <v>54416.26</v>
      </c>
      <c r="Q8" s="193">
        <v>59138.75</v>
      </c>
      <c r="R8" s="193">
        <v>0</v>
      </c>
      <c r="S8" s="193">
        <v>0</v>
      </c>
      <c r="T8" s="193">
        <v>232516.05</v>
      </c>
    </row>
    <row r="9" spans="1:20">
      <c r="A9" s="13">
        <v>5</v>
      </c>
      <c r="B9" s="204" t="s">
        <v>206</v>
      </c>
      <c r="C9" s="205"/>
      <c r="D9" s="196">
        <v>47</v>
      </c>
      <c r="E9" s="196">
        <v>171</v>
      </c>
      <c r="F9" s="197">
        <v>4067</v>
      </c>
      <c r="G9" s="192">
        <v>2853</v>
      </c>
      <c r="H9" s="192">
        <v>407</v>
      </c>
      <c r="I9" s="11">
        <v>0</v>
      </c>
      <c r="J9" s="11">
        <v>0</v>
      </c>
      <c r="K9" s="11">
        <v>0</v>
      </c>
      <c r="L9" s="193">
        <v>0</v>
      </c>
      <c r="M9" s="193">
        <v>7108.75</v>
      </c>
      <c r="N9" s="193">
        <v>25863.75</v>
      </c>
      <c r="O9" s="193">
        <v>81095.98</v>
      </c>
      <c r="P9" s="193">
        <v>56888.82</v>
      </c>
      <c r="Q9" s="193">
        <v>61558.75</v>
      </c>
      <c r="R9" s="193">
        <v>0</v>
      </c>
      <c r="S9" s="193">
        <v>0</v>
      </c>
      <c r="T9" s="193">
        <v>232516.05</v>
      </c>
    </row>
    <row r="10" spans="1:20">
      <c r="A10" s="13">
        <v>6</v>
      </c>
      <c r="B10" s="204" t="s">
        <v>207</v>
      </c>
      <c r="C10" s="205"/>
      <c r="D10" s="196">
        <v>0</v>
      </c>
      <c r="E10" s="196">
        <v>121</v>
      </c>
      <c r="F10" s="197">
        <v>3946</v>
      </c>
      <c r="G10" s="192">
        <v>2974</v>
      </c>
      <c r="H10" s="192">
        <v>504</v>
      </c>
      <c r="I10" s="11">
        <v>0</v>
      </c>
      <c r="J10" s="11">
        <v>0</v>
      </c>
      <c r="K10" s="11">
        <v>0</v>
      </c>
      <c r="L10" s="193">
        <v>0</v>
      </c>
      <c r="M10" s="193">
        <v>0</v>
      </c>
      <c r="N10" s="193">
        <v>18301.25</v>
      </c>
      <c r="O10" s="193">
        <v>78683.240000000005</v>
      </c>
      <c r="P10" s="193">
        <v>59301.56</v>
      </c>
      <c r="Q10" s="193">
        <v>76230</v>
      </c>
      <c r="R10" s="193">
        <v>0</v>
      </c>
      <c r="S10" s="193">
        <v>0</v>
      </c>
      <c r="T10" s="193">
        <v>232516.05</v>
      </c>
    </row>
    <row r="11" spans="1:20">
      <c r="A11" s="13">
        <v>7</v>
      </c>
      <c r="B11" s="204" t="s">
        <v>208</v>
      </c>
      <c r="C11" s="205"/>
      <c r="D11" s="196">
        <v>16</v>
      </c>
      <c r="E11" s="196">
        <v>189</v>
      </c>
      <c r="F11" s="197">
        <v>3773</v>
      </c>
      <c r="G11" s="192">
        <v>3147</v>
      </c>
      <c r="H11" s="192">
        <v>420</v>
      </c>
      <c r="I11" s="11">
        <v>0</v>
      </c>
      <c r="J11" s="11">
        <v>0</v>
      </c>
      <c r="K11" s="11">
        <v>0</v>
      </c>
      <c r="L11" s="193">
        <v>0</v>
      </c>
      <c r="M11" s="193">
        <v>2420</v>
      </c>
      <c r="N11" s="193">
        <v>28586.25</v>
      </c>
      <c r="O11" s="193">
        <v>75233.62</v>
      </c>
      <c r="P11" s="193">
        <v>62751.18</v>
      </c>
      <c r="Q11" s="193">
        <v>63525</v>
      </c>
      <c r="R11" s="193">
        <v>0</v>
      </c>
      <c r="S11" s="193">
        <v>0</v>
      </c>
      <c r="T11" s="193">
        <v>232516.05</v>
      </c>
    </row>
    <row r="12" spans="1:20">
      <c r="A12" s="13">
        <v>8</v>
      </c>
      <c r="B12" s="204" t="s">
        <v>209</v>
      </c>
      <c r="C12" s="205"/>
      <c r="D12" s="196">
        <v>156</v>
      </c>
      <c r="E12" s="196">
        <v>124</v>
      </c>
      <c r="F12" s="197">
        <v>3805</v>
      </c>
      <c r="G12" s="192">
        <v>3115</v>
      </c>
      <c r="H12" s="192">
        <v>345</v>
      </c>
      <c r="I12" s="11">
        <v>0</v>
      </c>
      <c r="J12" s="11">
        <v>0</v>
      </c>
      <c r="K12" s="11">
        <v>0</v>
      </c>
      <c r="L12" s="193">
        <v>0</v>
      </c>
      <c r="M12" s="193">
        <v>23595</v>
      </c>
      <c r="N12" s="193">
        <v>18755</v>
      </c>
      <c r="O12" s="193">
        <v>75871.7</v>
      </c>
      <c r="P12" s="193">
        <v>62113.1</v>
      </c>
      <c r="Q12" s="193">
        <v>52181.25</v>
      </c>
      <c r="R12" s="193">
        <v>0</v>
      </c>
      <c r="S12" s="193">
        <v>0</v>
      </c>
      <c r="T12" s="193">
        <v>232516.05</v>
      </c>
    </row>
    <row r="13" spans="1:20">
      <c r="A13" s="13">
        <v>9</v>
      </c>
      <c r="B13" s="204" t="s">
        <v>210</v>
      </c>
      <c r="C13" s="205"/>
      <c r="D13" s="196">
        <v>16</v>
      </c>
      <c r="E13" s="196">
        <v>162</v>
      </c>
      <c r="F13" s="197">
        <v>3659</v>
      </c>
      <c r="G13" s="192">
        <v>3261</v>
      </c>
      <c r="H13" s="192">
        <v>447</v>
      </c>
      <c r="I13" s="11">
        <v>0</v>
      </c>
      <c r="J13" s="11">
        <v>0</v>
      </c>
      <c r="K13" s="11">
        <v>0</v>
      </c>
      <c r="L13" s="193">
        <v>0</v>
      </c>
      <c r="M13" s="193">
        <v>2420</v>
      </c>
      <c r="N13" s="193">
        <v>24502.5</v>
      </c>
      <c r="O13" s="193">
        <v>72960.460000000006</v>
      </c>
      <c r="P13" s="193">
        <v>65024.34</v>
      </c>
      <c r="Q13" s="193">
        <v>67608.75</v>
      </c>
      <c r="R13" s="193">
        <v>0</v>
      </c>
      <c r="S13" s="193">
        <v>0</v>
      </c>
      <c r="T13" s="193">
        <v>232516.05</v>
      </c>
    </row>
    <row r="14" spans="1:20">
      <c r="A14" s="13">
        <v>10</v>
      </c>
      <c r="B14" s="204" t="s">
        <v>211</v>
      </c>
      <c r="C14" s="205"/>
      <c r="D14" s="196">
        <v>46</v>
      </c>
      <c r="E14" s="196">
        <v>85</v>
      </c>
      <c r="F14" s="197">
        <v>3620</v>
      </c>
      <c r="G14" s="192">
        <v>3300</v>
      </c>
      <c r="H14" s="192">
        <v>494</v>
      </c>
      <c r="I14" s="11">
        <v>0</v>
      </c>
      <c r="J14" s="11">
        <v>0</v>
      </c>
      <c r="K14" s="11">
        <v>0</v>
      </c>
      <c r="L14" s="193">
        <v>0</v>
      </c>
      <c r="M14" s="193">
        <v>6957.5</v>
      </c>
      <c r="N14" s="193">
        <v>12856.25</v>
      </c>
      <c r="O14" s="193">
        <v>72182.8</v>
      </c>
      <c r="P14" s="193">
        <v>65802</v>
      </c>
      <c r="Q14" s="193">
        <v>74717.5</v>
      </c>
      <c r="R14" s="193">
        <v>0</v>
      </c>
      <c r="S14" s="193">
        <v>0</v>
      </c>
      <c r="T14" s="193">
        <v>232516.05</v>
      </c>
    </row>
    <row r="15" spans="1:20">
      <c r="A15" s="13">
        <v>11</v>
      </c>
      <c r="B15" s="204" t="s">
        <v>212</v>
      </c>
      <c r="C15" s="205"/>
      <c r="D15" s="196">
        <v>92</v>
      </c>
      <c r="E15" s="196">
        <v>138</v>
      </c>
      <c r="F15" s="197">
        <v>3574</v>
      </c>
      <c r="G15" s="192">
        <v>3346</v>
      </c>
      <c r="H15" s="192">
        <v>395</v>
      </c>
      <c r="I15" s="11">
        <v>0</v>
      </c>
      <c r="J15" s="11">
        <v>0</v>
      </c>
      <c r="K15" s="11">
        <v>0</v>
      </c>
      <c r="L15" s="193">
        <v>0</v>
      </c>
      <c r="M15" s="193">
        <v>13915</v>
      </c>
      <c r="N15" s="193">
        <v>20872.5</v>
      </c>
      <c r="O15" s="193">
        <v>71265.56</v>
      </c>
      <c r="P15" s="193">
        <v>66719.240000000005</v>
      </c>
      <c r="Q15" s="193">
        <v>59743.75</v>
      </c>
      <c r="R15" s="193">
        <v>0</v>
      </c>
      <c r="S15" s="193">
        <v>0</v>
      </c>
      <c r="T15" s="193">
        <v>232516.05</v>
      </c>
    </row>
    <row r="16" spans="1:20">
      <c r="A16" s="13">
        <v>12</v>
      </c>
      <c r="B16" s="204" t="s">
        <v>213</v>
      </c>
      <c r="C16" s="205"/>
      <c r="D16" s="196">
        <v>106</v>
      </c>
      <c r="E16" s="196">
        <v>31</v>
      </c>
      <c r="F16" s="197">
        <v>3649</v>
      </c>
      <c r="G16" s="192">
        <v>3271</v>
      </c>
      <c r="H16" s="192">
        <v>488</v>
      </c>
      <c r="I16" s="11">
        <v>3</v>
      </c>
      <c r="J16" s="11">
        <v>3</v>
      </c>
      <c r="K16" s="11">
        <v>0</v>
      </c>
      <c r="L16" s="193">
        <v>0</v>
      </c>
      <c r="M16" s="193">
        <v>16032.5</v>
      </c>
      <c r="N16" s="193">
        <v>4688.75</v>
      </c>
      <c r="O16" s="193">
        <v>72761.06</v>
      </c>
      <c r="P16" s="193">
        <v>65223.74</v>
      </c>
      <c r="Q16" s="193">
        <v>73810</v>
      </c>
      <c r="R16" s="193">
        <v>2475</v>
      </c>
      <c r="S16" s="193">
        <v>360</v>
      </c>
      <c r="T16" s="193">
        <v>235351.05</v>
      </c>
    </row>
    <row r="17" spans="1:20">
      <c r="A17" s="13">
        <v>13</v>
      </c>
      <c r="B17" s="204" t="s">
        <v>214</v>
      </c>
      <c r="C17" s="205"/>
      <c r="D17" s="196">
        <v>30</v>
      </c>
      <c r="E17" s="196">
        <v>64</v>
      </c>
      <c r="F17" s="197">
        <v>3615</v>
      </c>
      <c r="G17" s="192">
        <v>3305</v>
      </c>
      <c r="H17" s="192">
        <v>531</v>
      </c>
      <c r="I17" s="11">
        <v>0</v>
      </c>
      <c r="J17" s="11">
        <v>0</v>
      </c>
      <c r="K17" s="11">
        <v>0</v>
      </c>
      <c r="L17" s="193">
        <v>0</v>
      </c>
      <c r="M17" s="193">
        <v>4537.5</v>
      </c>
      <c r="N17" s="193">
        <v>9680</v>
      </c>
      <c r="O17" s="193">
        <v>72083.100000000006</v>
      </c>
      <c r="P17" s="193">
        <v>65901.7</v>
      </c>
      <c r="Q17" s="193">
        <v>80313.75</v>
      </c>
      <c r="R17" s="193">
        <v>0</v>
      </c>
      <c r="S17" s="193">
        <v>0</v>
      </c>
      <c r="T17" s="193">
        <v>232516.05</v>
      </c>
    </row>
    <row r="18" spans="1:20">
      <c r="A18" s="13">
        <v>14</v>
      </c>
      <c r="B18" s="204" t="s">
        <v>215</v>
      </c>
      <c r="C18" s="205"/>
      <c r="D18" s="196">
        <v>68</v>
      </c>
      <c r="E18" s="196">
        <v>10</v>
      </c>
      <c r="F18" s="197">
        <v>3673</v>
      </c>
      <c r="G18" s="192">
        <v>3247</v>
      </c>
      <c r="H18" s="192">
        <v>547</v>
      </c>
      <c r="I18" s="11">
        <v>0</v>
      </c>
      <c r="J18" s="11">
        <v>0</v>
      </c>
      <c r="K18" s="11">
        <v>0</v>
      </c>
      <c r="L18" s="193">
        <v>0</v>
      </c>
      <c r="M18" s="193">
        <v>10285</v>
      </c>
      <c r="N18" s="193">
        <v>1512.5</v>
      </c>
      <c r="O18" s="193">
        <v>73239.62</v>
      </c>
      <c r="P18" s="193">
        <v>64745.18</v>
      </c>
      <c r="Q18" s="193">
        <v>82733.75</v>
      </c>
      <c r="R18" s="193">
        <v>0</v>
      </c>
      <c r="S18" s="193">
        <v>0</v>
      </c>
      <c r="T18" s="193">
        <v>232516.05</v>
      </c>
    </row>
    <row r="19" spans="1:20">
      <c r="A19" s="13">
        <v>15</v>
      </c>
      <c r="B19" s="204" t="s">
        <v>216</v>
      </c>
      <c r="C19" s="205"/>
      <c r="D19" s="196">
        <v>0</v>
      </c>
      <c r="E19" s="196">
        <v>65</v>
      </c>
      <c r="F19" s="197">
        <v>3608</v>
      </c>
      <c r="G19" s="192">
        <v>3312</v>
      </c>
      <c r="H19" s="192">
        <v>560</v>
      </c>
      <c r="I19" s="11">
        <v>0</v>
      </c>
      <c r="J19" s="11">
        <v>0</v>
      </c>
      <c r="K19" s="11">
        <v>0</v>
      </c>
      <c r="L19" s="193">
        <v>0</v>
      </c>
      <c r="M19" s="193">
        <v>0</v>
      </c>
      <c r="N19" s="193">
        <v>9831.25</v>
      </c>
      <c r="O19" s="193">
        <v>71943.520000000004</v>
      </c>
      <c r="P19" s="193">
        <v>66041.279999999999</v>
      </c>
      <c r="Q19" s="193">
        <v>84700</v>
      </c>
      <c r="R19" s="193">
        <v>0</v>
      </c>
      <c r="S19" s="193">
        <v>0</v>
      </c>
      <c r="T19" s="193">
        <v>232516.05</v>
      </c>
    </row>
    <row r="20" spans="1:20">
      <c r="A20" s="13">
        <v>16</v>
      </c>
      <c r="B20" s="204" t="s">
        <v>217</v>
      </c>
      <c r="C20" s="205"/>
      <c r="D20" s="196">
        <v>30</v>
      </c>
      <c r="E20" s="196">
        <v>91</v>
      </c>
      <c r="F20" s="197">
        <v>3547</v>
      </c>
      <c r="G20" s="192">
        <v>3373</v>
      </c>
      <c r="H20" s="192">
        <v>504</v>
      </c>
      <c r="I20" s="11">
        <v>0</v>
      </c>
      <c r="J20" s="11">
        <v>0</v>
      </c>
      <c r="K20" s="11">
        <v>0</v>
      </c>
      <c r="L20" s="193">
        <v>0</v>
      </c>
      <c r="M20" s="193">
        <v>4537.5</v>
      </c>
      <c r="N20" s="193">
        <v>13763.75</v>
      </c>
      <c r="O20" s="193">
        <v>70727.179999999993</v>
      </c>
      <c r="P20" s="193">
        <v>67257.62</v>
      </c>
      <c r="Q20" s="193">
        <v>76230</v>
      </c>
      <c r="R20" s="193">
        <v>0</v>
      </c>
      <c r="S20" s="193">
        <v>0</v>
      </c>
      <c r="T20" s="193">
        <v>232516.05</v>
      </c>
    </row>
    <row r="21" spans="1:20">
      <c r="A21" s="13">
        <v>17</v>
      </c>
      <c r="B21" s="204" t="s">
        <v>218</v>
      </c>
      <c r="C21" s="205"/>
      <c r="D21" s="196">
        <v>60</v>
      </c>
      <c r="E21" s="196">
        <v>148</v>
      </c>
      <c r="F21" s="197">
        <v>3459</v>
      </c>
      <c r="G21" s="192">
        <v>3461</v>
      </c>
      <c r="H21" s="192">
        <v>417</v>
      </c>
      <c r="I21" s="11">
        <v>0</v>
      </c>
      <c r="J21" s="11">
        <v>0</v>
      </c>
      <c r="K21" s="11">
        <v>0</v>
      </c>
      <c r="L21" s="193">
        <v>0</v>
      </c>
      <c r="M21" s="193">
        <v>9075</v>
      </c>
      <c r="N21" s="193">
        <v>22385</v>
      </c>
      <c r="O21" s="193">
        <v>68972.460000000006</v>
      </c>
      <c r="P21" s="193">
        <v>69012.34</v>
      </c>
      <c r="Q21" s="193">
        <v>63071.25</v>
      </c>
      <c r="R21" s="193">
        <v>0</v>
      </c>
      <c r="S21" s="193">
        <v>0</v>
      </c>
      <c r="T21" s="193">
        <v>232516.05</v>
      </c>
    </row>
    <row r="22" spans="1:20">
      <c r="A22" s="13">
        <v>18</v>
      </c>
      <c r="B22" s="204" t="s">
        <v>219</v>
      </c>
      <c r="C22" s="205"/>
      <c r="D22" s="196">
        <v>60</v>
      </c>
      <c r="E22" s="196">
        <v>160</v>
      </c>
      <c r="F22" s="197">
        <v>3359</v>
      </c>
      <c r="G22" s="192">
        <v>3561</v>
      </c>
      <c r="H22" s="192">
        <v>405</v>
      </c>
      <c r="I22" s="11">
        <v>0</v>
      </c>
      <c r="J22" s="11">
        <v>0</v>
      </c>
      <c r="K22" s="11">
        <v>0</v>
      </c>
      <c r="L22" s="193">
        <v>0</v>
      </c>
      <c r="M22" s="193">
        <v>9075</v>
      </c>
      <c r="N22" s="193">
        <v>24200</v>
      </c>
      <c r="O22" s="193">
        <v>66978.460000000006</v>
      </c>
      <c r="P22" s="193">
        <v>71006.34</v>
      </c>
      <c r="Q22" s="193">
        <v>61256.25</v>
      </c>
      <c r="R22" s="193">
        <v>0</v>
      </c>
      <c r="S22" s="193">
        <v>0</v>
      </c>
      <c r="T22" s="193">
        <v>232516.05</v>
      </c>
    </row>
    <row r="23" spans="1:20">
      <c r="A23" s="13">
        <v>19</v>
      </c>
      <c r="B23" s="204" t="s">
        <v>220</v>
      </c>
      <c r="C23" s="205"/>
      <c r="D23" s="196">
        <v>15</v>
      </c>
      <c r="E23" s="196">
        <v>117</v>
      </c>
      <c r="F23" s="197">
        <v>3257</v>
      </c>
      <c r="G23" s="192">
        <v>3663</v>
      </c>
      <c r="H23" s="192">
        <v>493</v>
      </c>
      <c r="I23" s="11">
        <v>0</v>
      </c>
      <c r="J23" s="11">
        <v>0</v>
      </c>
      <c r="K23" s="11">
        <v>0</v>
      </c>
      <c r="L23" s="193">
        <v>0</v>
      </c>
      <c r="M23" s="193">
        <v>2268.75</v>
      </c>
      <c r="N23" s="193">
        <v>17696.25</v>
      </c>
      <c r="O23" s="193">
        <v>64944.58</v>
      </c>
      <c r="P23" s="193">
        <v>73040.22</v>
      </c>
      <c r="Q23" s="193">
        <v>74566.25</v>
      </c>
      <c r="R23" s="193">
        <v>0</v>
      </c>
      <c r="S23" s="193">
        <v>0</v>
      </c>
      <c r="T23" s="193">
        <v>232516.05</v>
      </c>
    </row>
    <row r="24" spans="1:20">
      <c r="A24" s="13">
        <v>20</v>
      </c>
      <c r="B24" s="204" t="s">
        <v>221</v>
      </c>
      <c r="C24" s="205"/>
      <c r="D24" s="196">
        <v>78</v>
      </c>
      <c r="E24" s="196">
        <v>68</v>
      </c>
      <c r="F24" s="197">
        <v>3267</v>
      </c>
      <c r="G24" s="192">
        <v>3653</v>
      </c>
      <c r="H24" s="192">
        <v>479</v>
      </c>
      <c r="I24" s="11">
        <v>9</v>
      </c>
      <c r="J24" s="11">
        <v>9</v>
      </c>
      <c r="K24" s="11">
        <v>0</v>
      </c>
      <c r="L24" s="193">
        <v>0</v>
      </c>
      <c r="M24" s="193">
        <v>11797.5</v>
      </c>
      <c r="N24" s="193">
        <v>10285</v>
      </c>
      <c r="O24" s="193">
        <v>65143.98</v>
      </c>
      <c r="P24" s="193">
        <v>72840.820000000007</v>
      </c>
      <c r="Q24" s="193">
        <v>72448.75</v>
      </c>
      <c r="R24" s="193">
        <v>7425</v>
      </c>
      <c r="S24" s="193">
        <v>1080</v>
      </c>
      <c r="T24" s="193">
        <v>241021.05</v>
      </c>
    </row>
    <row r="25" spans="1:20">
      <c r="A25" s="13">
        <v>21</v>
      </c>
      <c r="B25" s="204" t="s">
        <v>222</v>
      </c>
      <c r="C25" s="205"/>
      <c r="D25" s="196">
        <v>29</v>
      </c>
      <c r="E25" s="196">
        <v>16</v>
      </c>
      <c r="F25" s="197">
        <v>3280</v>
      </c>
      <c r="G25" s="192">
        <v>3640</v>
      </c>
      <c r="H25" s="192">
        <v>580</v>
      </c>
      <c r="I25" s="11">
        <v>0</v>
      </c>
      <c r="J25" s="11">
        <v>0</v>
      </c>
      <c r="K25" s="11">
        <v>0</v>
      </c>
      <c r="L25" s="193">
        <v>0</v>
      </c>
      <c r="M25" s="193">
        <v>4386.25</v>
      </c>
      <c r="N25" s="193">
        <v>2420</v>
      </c>
      <c r="O25" s="193">
        <v>65403.199999999997</v>
      </c>
      <c r="P25" s="193">
        <v>72581.600000000006</v>
      </c>
      <c r="Q25" s="193">
        <v>87725</v>
      </c>
      <c r="R25" s="193">
        <v>0</v>
      </c>
      <c r="S25" s="193">
        <v>0</v>
      </c>
      <c r="T25" s="193">
        <v>232516.05</v>
      </c>
    </row>
    <row r="26" spans="1:20">
      <c r="A26" s="13">
        <v>22</v>
      </c>
      <c r="B26" s="204" t="s">
        <v>223</v>
      </c>
      <c r="C26" s="205"/>
      <c r="D26" s="196">
        <v>45</v>
      </c>
      <c r="E26" s="196">
        <v>208</v>
      </c>
      <c r="F26" s="197">
        <v>3117</v>
      </c>
      <c r="G26" s="192">
        <v>3803</v>
      </c>
      <c r="H26" s="192">
        <v>372</v>
      </c>
      <c r="I26" s="11">
        <v>0</v>
      </c>
      <c r="J26" s="11">
        <v>0</v>
      </c>
      <c r="K26" s="11">
        <v>0</v>
      </c>
      <c r="L26" s="193">
        <v>0</v>
      </c>
      <c r="M26" s="193">
        <v>6806.25</v>
      </c>
      <c r="N26" s="193">
        <v>31460</v>
      </c>
      <c r="O26" s="193">
        <v>62152.98</v>
      </c>
      <c r="P26" s="193">
        <v>75831.820000000007</v>
      </c>
      <c r="Q26" s="193">
        <v>56265</v>
      </c>
      <c r="R26" s="193">
        <v>0</v>
      </c>
      <c r="S26" s="193">
        <v>0</v>
      </c>
      <c r="T26" s="193">
        <v>232516.05</v>
      </c>
    </row>
    <row r="27" spans="1:20">
      <c r="A27" s="13">
        <v>23</v>
      </c>
      <c r="B27" s="204" t="s">
        <v>224</v>
      </c>
      <c r="C27" s="205"/>
      <c r="D27" s="196">
        <v>53</v>
      </c>
      <c r="E27" s="196">
        <v>192</v>
      </c>
      <c r="F27" s="197">
        <v>2978</v>
      </c>
      <c r="G27" s="192">
        <v>3942</v>
      </c>
      <c r="H27" s="192">
        <v>380</v>
      </c>
      <c r="I27" s="11">
        <v>0</v>
      </c>
      <c r="J27" s="11">
        <v>0</v>
      </c>
      <c r="K27" s="11">
        <v>0</v>
      </c>
      <c r="L27" s="193">
        <v>0</v>
      </c>
      <c r="M27" s="193">
        <v>8016.25</v>
      </c>
      <c r="N27" s="193">
        <v>29040</v>
      </c>
      <c r="O27" s="193">
        <v>59381.32</v>
      </c>
      <c r="P27" s="193">
        <v>78603.48</v>
      </c>
      <c r="Q27" s="193">
        <v>57475</v>
      </c>
      <c r="R27" s="193">
        <v>0</v>
      </c>
      <c r="S27" s="193">
        <v>0</v>
      </c>
      <c r="T27" s="193">
        <v>232516.05</v>
      </c>
    </row>
    <row r="28" spans="1:20">
      <c r="A28" s="13">
        <v>24</v>
      </c>
      <c r="B28" s="204" t="s">
        <v>225</v>
      </c>
      <c r="C28" s="205"/>
      <c r="D28" s="196">
        <v>57</v>
      </c>
      <c r="E28" s="196">
        <v>117</v>
      </c>
      <c r="F28" s="197">
        <v>2918</v>
      </c>
      <c r="G28" s="192">
        <v>4002</v>
      </c>
      <c r="H28" s="192">
        <v>451</v>
      </c>
      <c r="I28" s="11">
        <v>0</v>
      </c>
      <c r="J28" s="11">
        <v>0</v>
      </c>
      <c r="K28" s="11">
        <v>0</v>
      </c>
      <c r="L28" s="193">
        <v>0</v>
      </c>
      <c r="M28" s="193">
        <v>8621.25</v>
      </c>
      <c r="N28" s="193">
        <v>17696.25</v>
      </c>
      <c r="O28" s="193">
        <v>58184.92</v>
      </c>
      <c r="P28" s="193">
        <v>79799.88</v>
      </c>
      <c r="Q28" s="193">
        <v>68213.75</v>
      </c>
      <c r="R28" s="193">
        <v>0</v>
      </c>
      <c r="S28" s="193">
        <v>0</v>
      </c>
      <c r="T28" s="193">
        <v>232516.05</v>
      </c>
    </row>
    <row r="29" spans="1:20">
      <c r="A29" s="13">
        <v>25</v>
      </c>
      <c r="B29" s="204" t="s">
        <v>226</v>
      </c>
      <c r="C29" s="205"/>
      <c r="D29" s="196">
        <v>49</v>
      </c>
      <c r="E29" s="196">
        <v>64</v>
      </c>
      <c r="F29" s="197">
        <v>2903</v>
      </c>
      <c r="G29" s="192">
        <v>4017</v>
      </c>
      <c r="H29" s="192">
        <v>512</v>
      </c>
      <c r="I29" s="11">
        <v>0</v>
      </c>
      <c r="J29" s="11">
        <v>0</v>
      </c>
      <c r="K29" s="11">
        <v>0</v>
      </c>
      <c r="L29" s="193">
        <v>0</v>
      </c>
      <c r="M29" s="193">
        <v>7411.25</v>
      </c>
      <c r="N29" s="193">
        <v>9680</v>
      </c>
      <c r="O29" s="193">
        <v>57885.82</v>
      </c>
      <c r="P29" s="193">
        <v>80098.98</v>
      </c>
      <c r="Q29" s="193">
        <v>77440</v>
      </c>
      <c r="R29" s="193">
        <v>0</v>
      </c>
      <c r="S29" s="193">
        <v>0</v>
      </c>
      <c r="T29" s="193">
        <v>232516.05</v>
      </c>
    </row>
    <row r="30" spans="1:20">
      <c r="A30" s="13">
        <v>26</v>
      </c>
      <c r="B30" s="204" t="s">
        <v>227</v>
      </c>
      <c r="C30" s="205"/>
      <c r="D30" s="196">
        <v>0</v>
      </c>
      <c r="E30" s="196">
        <v>2</v>
      </c>
      <c r="F30" s="197">
        <v>2901</v>
      </c>
      <c r="G30" s="192">
        <v>4019</v>
      </c>
      <c r="H30" s="192">
        <v>623</v>
      </c>
      <c r="I30" s="11">
        <v>0</v>
      </c>
      <c r="J30" s="11">
        <v>0</v>
      </c>
      <c r="K30" s="11">
        <v>0</v>
      </c>
      <c r="L30" s="193">
        <v>0</v>
      </c>
      <c r="M30" s="193">
        <v>0</v>
      </c>
      <c r="N30" s="193">
        <v>302.5</v>
      </c>
      <c r="O30" s="193">
        <v>57845.94</v>
      </c>
      <c r="P30" s="193">
        <v>80138.86</v>
      </c>
      <c r="Q30" s="193">
        <v>94228.75</v>
      </c>
      <c r="R30" s="193">
        <v>0</v>
      </c>
      <c r="S30" s="193">
        <v>0</v>
      </c>
      <c r="T30" s="193">
        <v>232516.05</v>
      </c>
    </row>
    <row r="31" spans="1:20">
      <c r="A31" s="13">
        <v>27</v>
      </c>
      <c r="B31" s="204" t="s">
        <v>228</v>
      </c>
      <c r="C31" s="205"/>
      <c r="D31" s="196">
        <v>87</v>
      </c>
      <c r="E31" s="196">
        <v>0</v>
      </c>
      <c r="F31" s="197">
        <v>2988</v>
      </c>
      <c r="G31" s="192">
        <v>3932</v>
      </c>
      <c r="H31" s="192">
        <v>538</v>
      </c>
      <c r="I31" s="11">
        <v>0</v>
      </c>
      <c r="J31" s="11">
        <v>0</v>
      </c>
      <c r="K31" s="11">
        <v>0</v>
      </c>
      <c r="L31" s="193">
        <v>0</v>
      </c>
      <c r="M31" s="193">
        <v>13158.75</v>
      </c>
      <c r="N31" s="193">
        <v>0</v>
      </c>
      <c r="O31" s="193">
        <v>59580.72</v>
      </c>
      <c r="P31" s="193">
        <v>78404.08</v>
      </c>
      <c r="Q31" s="193">
        <v>81372.5</v>
      </c>
      <c r="R31" s="193">
        <v>0</v>
      </c>
      <c r="S31" s="193">
        <v>0</v>
      </c>
      <c r="T31" s="193">
        <v>232516.05</v>
      </c>
    </row>
    <row r="32" spans="1:20">
      <c r="A32" s="13">
        <v>28</v>
      </c>
      <c r="B32" s="204" t="s">
        <v>229</v>
      </c>
      <c r="C32" s="205"/>
      <c r="D32" s="196">
        <v>30</v>
      </c>
      <c r="E32" s="196">
        <v>15</v>
      </c>
      <c r="F32" s="197">
        <v>3003</v>
      </c>
      <c r="G32" s="192">
        <v>3917</v>
      </c>
      <c r="H32" s="192">
        <v>580</v>
      </c>
      <c r="I32" s="11">
        <v>0</v>
      </c>
      <c r="J32" s="11">
        <v>0</v>
      </c>
      <c r="K32" s="11">
        <v>0</v>
      </c>
      <c r="L32" s="193">
        <v>0</v>
      </c>
      <c r="M32" s="193">
        <v>4537.5</v>
      </c>
      <c r="N32" s="193">
        <v>2268.75</v>
      </c>
      <c r="O32" s="193">
        <v>59879.82</v>
      </c>
      <c r="P32" s="193">
        <v>78104.98</v>
      </c>
      <c r="Q32" s="193">
        <v>87725</v>
      </c>
      <c r="R32" s="193">
        <v>0</v>
      </c>
      <c r="S32" s="193">
        <v>0</v>
      </c>
      <c r="T32" s="193">
        <v>232516.05</v>
      </c>
    </row>
    <row r="33" spans="1:20">
      <c r="A33" s="13">
        <v>29</v>
      </c>
      <c r="B33" s="204" t="s">
        <v>230</v>
      </c>
      <c r="C33" s="205"/>
      <c r="D33" s="196">
        <v>135</v>
      </c>
      <c r="E33" s="196">
        <v>40</v>
      </c>
      <c r="F33" s="197">
        <v>3098</v>
      </c>
      <c r="G33" s="192">
        <v>3822</v>
      </c>
      <c r="H33" s="192">
        <v>450</v>
      </c>
      <c r="I33" s="11">
        <v>0</v>
      </c>
      <c r="J33" s="11">
        <v>0</v>
      </c>
      <c r="K33" s="11">
        <v>0</v>
      </c>
      <c r="L33" s="193">
        <v>0</v>
      </c>
      <c r="M33" s="193">
        <v>20418.75</v>
      </c>
      <c r="N33" s="193">
        <v>6050</v>
      </c>
      <c r="O33" s="193">
        <v>61774.12</v>
      </c>
      <c r="P33" s="193">
        <v>76210.679999999993</v>
      </c>
      <c r="Q33" s="193">
        <v>68062.5</v>
      </c>
      <c r="R33" s="193">
        <v>0</v>
      </c>
      <c r="S33" s="193">
        <v>0</v>
      </c>
      <c r="T33" s="193">
        <v>232516.05</v>
      </c>
    </row>
    <row r="34" spans="1:20">
      <c r="A34" s="13">
        <v>30</v>
      </c>
      <c r="B34" s="204" t="s">
        <v>231</v>
      </c>
      <c r="C34" s="205"/>
      <c r="D34" s="196">
        <v>45</v>
      </c>
      <c r="E34" s="196">
        <v>0</v>
      </c>
      <c r="F34" s="197">
        <v>3143</v>
      </c>
      <c r="G34" s="192">
        <v>3777</v>
      </c>
      <c r="H34" s="192">
        <v>580</v>
      </c>
      <c r="I34" s="11">
        <v>0</v>
      </c>
      <c r="J34" s="11">
        <v>0</v>
      </c>
      <c r="K34" s="11">
        <v>0</v>
      </c>
      <c r="L34" s="193">
        <v>0</v>
      </c>
      <c r="M34" s="193">
        <v>6806.25</v>
      </c>
      <c r="N34" s="193">
        <v>0</v>
      </c>
      <c r="O34" s="193">
        <v>62671.42</v>
      </c>
      <c r="P34" s="193">
        <v>75313.38</v>
      </c>
      <c r="Q34" s="193">
        <v>87725</v>
      </c>
      <c r="R34" s="193">
        <v>0</v>
      </c>
      <c r="S34" s="193">
        <v>0</v>
      </c>
      <c r="T34" s="193">
        <v>232516.05</v>
      </c>
    </row>
    <row r="35" spans="1:20">
      <c r="A35" s="13">
        <v>31</v>
      </c>
      <c r="B35" s="204" t="s">
        <v>232</v>
      </c>
      <c r="C35" s="205"/>
      <c r="D35" s="196">
        <v>16</v>
      </c>
      <c r="E35" s="196">
        <v>0</v>
      </c>
      <c r="F35" s="197">
        <v>3159</v>
      </c>
      <c r="G35" s="192">
        <v>3761</v>
      </c>
      <c r="H35" s="192">
        <v>609</v>
      </c>
      <c r="I35" s="11">
        <v>0</v>
      </c>
      <c r="J35" s="11">
        <v>0</v>
      </c>
      <c r="K35" s="11">
        <v>0</v>
      </c>
      <c r="L35" s="193">
        <v>0</v>
      </c>
      <c r="M35" s="193">
        <v>2420</v>
      </c>
      <c r="N35" s="193">
        <v>0</v>
      </c>
      <c r="O35" s="193">
        <v>62990.46</v>
      </c>
      <c r="P35" s="193">
        <v>74994.34</v>
      </c>
      <c r="Q35" s="193">
        <v>92111.25</v>
      </c>
      <c r="R35" s="193">
        <v>0</v>
      </c>
      <c r="S35" s="193">
        <v>0</v>
      </c>
      <c r="T35" s="193">
        <v>232516.05</v>
      </c>
    </row>
    <row r="36" spans="1:20">
      <c r="D36" s="20">
        <v>1611</v>
      </c>
      <c r="E36" s="20">
        <v>2638</v>
      </c>
      <c r="F36" s="20">
        <v>108099</v>
      </c>
      <c r="G36" s="20">
        <v>106421</v>
      </c>
      <c r="H36" s="20">
        <v>15126</v>
      </c>
      <c r="I36" s="20">
        <v>12</v>
      </c>
      <c r="J36" s="20">
        <v>12</v>
      </c>
      <c r="K36" s="20">
        <v>0</v>
      </c>
      <c r="L36" s="194">
        <v>0</v>
      </c>
      <c r="M36" s="194">
        <v>243663.75</v>
      </c>
      <c r="N36" s="194">
        <v>398997.5</v>
      </c>
      <c r="O36" s="194">
        <v>2155494.06</v>
      </c>
      <c r="P36" s="194">
        <v>2122034.7400000002</v>
      </c>
      <c r="Q36" s="194">
        <v>2287807.5</v>
      </c>
      <c r="R36" s="194">
        <v>9900</v>
      </c>
      <c r="S36" s="194">
        <v>1440</v>
      </c>
      <c r="T36" s="194">
        <v>7219337.5499999998</v>
      </c>
    </row>
    <row r="37" spans="1:20">
      <c r="R37" s="22"/>
      <c r="S37" s="22"/>
      <c r="T37" s="195">
        <v>8663205.0600000005</v>
      </c>
    </row>
  </sheetData>
  <mergeCells count="50">
    <mergeCell ref="B8:C8"/>
    <mergeCell ref="B9:C9"/>
    <mergeCell ref="B10:C10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  <mergeCell ref="B7:C7"/>
    <mergeCell ref="L3:L4"/>
    <mergeCell ref="M3:M4"/>
    <mergeCell ref="N3:N4"/>
    <mergeCell ref="O3:O4"/>
    <mergeCell ref="R3:R4"/>
    <mergeCell ref="S3:S4"/>
    <mergeCell ref="T3:T4"/>
    <mergeCell ref="B5:C5"/>
    <mergeCell ref="B6:C6"/>
    <mergeCell ref="P3:P4"/>
    <mergeCell ref="Q3:Q4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13:C13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</mergeCells>
  <pageMargins left="0.7" right="0.7" top="0.75" bottom="0.75" header="0.3" footer="0.3"/>
  <pageSetup paperSize="9" fitToHeight="5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02726-BD96-4850-94F7-EE1DAC7FA8EF}">
  <sheetPr codeName="Лист34">
    <pageSetUpPr fitToPage="1"/>
  </sheetPr>
  <dimension ref="A1:T37"/>
  <sheetViews>
    <sheetView topLeftCell="A6" workbookViewId="0">
      <selection activeCell="L5" sqref="L5:L35"/>
    </sheetView>
  </sheetViews>
  <sheetFormatPr defaultRowHeight="15"/>
  <cols>
    <col min="1" max="8" width="8.796875" style="2"/>
    <col min="9" max="9" width="7.19921875" style="2" bestFit="1" customWidth="1"/>
    <col min="10" max="11" width="8.796875" style="2"/>
    <col min="12" max="12" width="6.5" style="2" bestFit="1" customWidth="1"/>
    <col min="13" max="13" width="10.09765625" style="2" customWidth="1"/>
    <col min="14" max="14" width="9.8984375" style="2" customWidth="1"/>
    <col min="15" max="15" width="10.59765625" style="2" customWidth="1"/>
    <col min="16" max="16" width="10.796875" style="2" customWidth="1"/>
    <col min="17" max="17" width="10.19921875" style="2" customWidth="1"/>
    <col min="18" max="18" width="9.296875" style="2" customWidth="1"/>
    <col min="19" max="19" width="10.19921875" style="2" customWidth="1"/>
    <col min="20" max="20" width="13.5" style="2" customWidth="1"/>
    <col min="21" max="16384" width="8.796875" style="2"/>
  </cols>
  <sheetData>
    <row r="1" spans="1:20">
      <c r="I1" s="3"/>
    </row>
    <row r="2" spans="1:20" ht="28.9" customHeight="1">
      <c r="A2" s="209" t="s">
        <v>234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</row>
    <row r="3" spans="1:20" ht="28.9" customHeight="1">
      <c r="A3" s="206" t="s">
        <v>0</v>
      </c>
      <c r="B3" s="210" t="s">
        <v>1</v>
      </c>
      <c r="C3" s="211"/>
      <c r="D3" s="206" t="s">
        <v>146</v>
      </c>
      <c r="E3" s="206" t="s">
        <v>147</v>
      </c>
      <c r="F3" s="4" t="s">
        <v>4</v>
      </c>
      <c r="G3" s="206" t="s">
        <v>198</v>
      </c>
      <c r="H3" s="206" t="s">
        <v>199</v>
      </c>
      <c r="I3" s="206" t="s">
        <v>7</v>
      </c>
      <c r="J3" s="206" t="s">
        <v>8</v>
      </c>
      <c r="K3" s="206" t="s">
        <v>200</v>
      </c>
      <c r="L3" s="206" t="s">
        <v>201</v>
      </c>
      <c r="M3" s="206" t="s">
        <v>11</v>
      </c>
      <c r="N3" s="206" t="s">
        <v>12</v>
      </c>
      <c r="O3" s="206" t="s">
        <v>13</v>
      </c>
      <c r="P3" s="206" t="s">
        <v>14</v>
      </c>
      <c r="Q3" s="206" t="s">
        <v>15</v>
      </c>
      <c r="R3" s="206" t="s">
        <v>16</v>
      </c>
      <c r="S3" s="206" t="s">
        <v>17</v>
      </c>
      <c r="T3" s="206" t="s">
        <v>18</v>
      </c>
    </row>
    <row r="4" spans="1:20" ht="30">
      <c r="A4" s="207"/>
      <c r="B4" s="212"/>
      <c r="C4" s="213"/>
      <c r="D4" s="207"/>
      <c r="E4" s="207"/>
      <c r="F4" s="5" t="s">
        <v>156</v>
      </c>
      <c r="G4" s="207"/>
      <c r="H4" s="207"/>
      <c r="I4" s="207"/>
      <c r="J4" s="207"/>
      <c r="K4" s="208"/>
      <c r="L4" s="208"/>
      <c r="M4" s="207"/>
      <c r="N4" s="207"/>
      <c r="O4" s="207"/>
      <c r="P4" s="207"/>
      <c r="Q4" s="207"/>
      <c r="R4" s="207"/>
      <c r="S4" s="207"/>
      <c r="T4" s="207"/>
    </row>
    <row r="5" spans="1:20">
      <c r="A5" s="13">
        <v>1</v>
      </c>
      <c r="B5" s="204" t="s">
        <v>202</v>
      </c>
      <c r="C5" s="205"/>
      <c r="D5" s="196">
        <v>0</v>
      </c>
      <c r="E5" s="196">
        <v>0</v>
      </c>
      <c r="F5" s="197">
        <v>417</v>
      </c>
      <c r="G5" s="192">
        <v>0</v>
      </c>
      <c r="H5" s="192">
        <v>0</v>
      </c>
      <c r="I5" s="11">
        <v>0</v>
      </c>
      <c r="J5" s="11">
        <v>0</v>
      </c>
      <c r="K5" s="11">
        <v>0</v>
      </c>
      <c r="L5" s="193">
        <v>0</v>
      </c>
      <c r="M5" s="193">
        <v>0</v>
      </c>
      <c r="N5" s="193">
        <v>0</v>
      </c>
      <c r="O5" s="193">
        <v>8314.98</v>
      </c>
      <c r="P5" s="193">
        <v>0</v>
      </c>
      <c r="Q5" s="193">
        <v>0</v>
      </c>
      <c r="R5" s="193">
        <v>0</v>
      </c>
      <c r="S5" s="193">
        <v>0</v>
      </c>
      <c r="T5" s="193">
        <v>8314.98</v>
      </c>
    </row>
    <row r="6" spans="1:20">
      <c r="A6" s="13">
        <v>2</v>
      </c>
      <c r="B6" s="204" t="s">
        <v>203</v>
      </c>
      <c r="C6" s="205"/>
      <c r="D6" s="196">
        <v>0</v>
      </c>
      <c r="E6" s="196">
        <v>7</v>
      </c>
      <c r="F6" s="197">
        <v>410</v>
      </c>
      <c r="G6" s="192">
        <v>0</v>
      </c>
      <c r="H6" s="192">
        <v>0</v>
      </c>
      <c r="I6" s="11">
        <v>0</v>
      </c>
      <c r="J6" s="11">
        <v>0</v>
      </c>
      <c r="K6" s="11">
        <v>0</v>
      </c>
      <c r="L6" s="193">
        <v>0</v>
      </c>
      <c r="M6" s="193">
        <v>0</v>
      </c>
      <c r="N6" s="193">
        <v>1058.75</v>
      </c>
      <c r="O6" s="193">
        <v>8175.4</v>
      </c>
      <c r="P6" s="193">
        <v>0</v>
      </c>
      <c r="Q6" s="193">
        <v>0</v>
      </c>
      <c r="R6" s="193">
        <v>0</v>
      </c>
      <c r="S6" s="193">
        <v>0</v>
      </c>
      <c r="T6" s="193">
        <v>9234.15</v>
      </c>
    </row>
    <row r="7" spans="1:20">
      <c r="A7" s="13">
        <v>3</v>
      </c>
      <c r="B7" s="204" t="s">
        <v>204</v>
      </c>
      <c r="C7" s="205"/>
      <c r="D7" s="196">
        <v>0</v>
      </c>
      <c r="E7" s="196">
        <v>32</v>
      </c>
      <c r="F7" s="197">
        <v>378</v>
      </c>
      <c r="G7" s="192">
        <v>0</v>
      </c>
      <c r="H7" s="192">
        <v>0</v>
      </c>
      <c r="I7" s="11">
        <v>0</v>
      </c>
      <c r="J7" s="11">
        <v>0</v>
      </c>
      <c r="K7" s="11">
        <v>0</v>
      </c>
      <c r="L7" s="193">
        <v>0</v>
      </c>
      <c r="M7" s="193">
        <v>0</v>
      </c>
      <c r="N7" s="193">
        <v>4840</v>
      </c>
      <c r="O7" s="193">
        <v>7537.32</v>
      </c>
      <c r="P7" s="193">
        <v>0</v>
      </c>
      <c r="Q7" s="193">
        <v>0</v>
      </c>
      <c r="R7" s="193">
        <v>0</v>
      </c>
      <c r="S7" s="193">
        <v>0</v>
      </c>
      <c r="T7" s="193">
        <v>12377.32</v>
      </c>
    </row>
    <row r="8" spans="1:20">
      <c r="A8" s="13">
        <v>4</v>
      </c>
      <c r="B8" s="204" t="s">
        <v>205</v>
      </c>
      <c r="C8" s="205"/>
      <c r="D8" s="196">
        <v>0</v>
      </c>
      <c r="E8" s="196">
        <v>0</v>
      </c>
      <c r="F8" s="197">
        <v>378</v>
      </c>
      <c r="G8" s="192">
        <v>0</v>
      </c>
      <c r="H8" s="192">
        <v>0</v>
      </c>
      <c r="I8" s="11">
        <v>0</v>
      </c>
      <c r="J8" s="11">
        <v>0</v>
      </c>
      <c r="K8" s="11">
        <v>0</v>
      </c>
      <c r="L8" s="193">
        <v>0</v>
      </c>
      <c r="M8" s="193">
        <v>0</v>
      </c>
      <c r="N8" s="193">
        <v>0</v>
      </c>
      <c r="O8" s="193">
        <v>7537.32</v>
      </c>
      <c r="P8" s="193">
        <v>0</v>
      </c>
      <c r="Q8" s="193">
        <v>0</v>
      </c>
      <c r="R8" s="193">
        <v>0</v>
      </c>
      <c r="S8" s="193">
        <v>0</v>
      </c>
      <c r="T8" s="193">
        <v>7537.32</v>
      </c>
    </row>
    <row r="9" spans="1:20">
      <c r="A9" s="13">
        <v>5</v>
      </c>
      <c r="B9" s="204" t="s">
        <v>206</v>
      </c>
      <c r="C9" s="205"/>
      <c r="D9" s="196">
        <v>0</v>
      </c>
      <c r="E9" s="196">
        <v>0</v>
      </c>
      <c r="F9" s="197">
        <v>378</v>
      </c>
      <c r="G9" s="192">
        <v>0</v>
      </c>
      <c r="H9" s="192">
        <v>0</v>
      </c>
      <c r="I9" s="11">
        <v>0</v>
      </c>
      <c r="J9" s="11">
        <v>0</v>
      </c>
      <c r="K9" s="11">
        <v>0</v>
      </c>
      <c r="L9" s="193">
        <v>0</v>
      </c>
      <c r="M9" s="193">
        <v>0</v>
      </c>
      <c r="N9" s="193">
        <v>0</v>
      </c>
      <c r="O9" s="193">
        <v>7537.32</v>
      </c>
      <c r="P9" s="193">
        <v>0</v>
      </c>
      <c r="Q9" s="193">
        <v>0</v>
      </c>
      <c r="R9" s="193">
        <v>0</v>
      </c>
      <c r="S9" s="193">
        <v>0</v>
      </c>
      <c r="T9" s="193">
        <v>7537.32</v>
      </c>
    </row>
    <row r="10" spans="1:20">
      <c r="A10" s="13">
        <v>6</v>
      </c>
      <c r="B10" s="204" t="s">
        <v>207</v>
      </c>
      <c r="C10" s="205"/>
      <c r="D10" s="196">
        <v>0</v>
      </c>
      <c r="E10" s="196">
        <v>16</v>
      </c>
      <c r="F10" s="197">
        <v>362</v>
      </c>
      <c r="G10" s="192">
        <v>0</v>
      </c>
      <c r="H10" s="192">
        <v>0</v>
      </c>
      <c r="I10" s="11">
        <v>0</v>
      </c>
      <c r="J10" s="11">
        <v>0</v>
      </c>
      <c r="K10" s="11">
        <v>0</v>
      </c>
      <c r="L10" s="193">
        <v>0</v>
      </c>
      <c r="M10" s="193">
        <v>0</v>
      </c>
      <c r="N10" s="193">
        <v>2420</v>
      </c>
      <c r="O10" s="193">
        <v>7218.28</v>
      </c>
      <c r="P10" s="193">
        <v>0</v>
      </c>
      <c r="Q10" s="193">
        <v>0</v>
      </c>
      <c r="R10" s="193">
        <v>0</v>
      </c>
      <c r="S10" s="193">
        <v>0</v>
      </c>
      <c r="T10" s="193">
        <v>9638.2800000000007</v>
      </c>
    </row>
    <row r="11" spans="1:20">
      <c r="A11" s="13">
        <v>7</v>
      </c>
      <c r="B11" s="204" t="s">
        <v>208</v>
      </c>
      <c r="C11" s="205"/>
      <c r="D11" s="196">
        <v>16</v>
      </c>
      <c r="E11" s="196">
        <v>0</v>
      </c>
      <c r="F11" s="197">
        <v>378</v>
      </c>
      <c r="G11" s="192">
        <v>0</v>
      </c>
      <c r="H11" s="192">
        <v>0</v>
      </c>
      <c r="I11" s="11">
        <v>0</v>
      </c>
      <c r="J11" s="11">
        <v>0</v>
      </c>
      <c r="K11" s="11">
        <v>0</v>
      </c>
      <c r="L11" s="193">
        <v>0</v>
      </c>
      <c r="M11" s="193">
        <v>2420</v>
      </c>
      <c r="N11" s="193">
        <v>0</v>
      </c>
      <c r="O11" s="193">
        <v>7537.32</v>
      </c>
      <c r="P11" s="193">
        <v>0</v>
      </c>
      <c r="Q11" s="193">
        <v>0</v>
      </c>
      <c r="R11" s="193">
        <v>0</v>
      </c>
      <c r="S11" s="193">
        <v>0</v>
      </c>
      <c r="T11" s="193">
        <v>9957.32</v>
      </c>
    </row>
    <row r="12" spans="1:20">
      <c r="A12" s="13">
        <v>8</v>
      </c>
      <c r="B12" s="204" t="s">
        <v>209</v>
      </c>
      <c r="C12" s="205"/>
      <c r="D12" s="196">
        <v>48</v>
      </c>
      <c r="E12" s="196">
        <v>0</v>
      </c>
      <c r="F12" s="197">
        <v>426</v>
      </c>
      <c r="G12" s="192">
        <v>0</v>
      </c>
      <c r="H12" s="192">
        <v>0</v>
      </c>
      <c r="I12" s="11">
        <v>0</v>
      </c>
      <c r="J12" s="11">
        <v>0</v>
      </c>
      <c r="K12" s="11">
        <v>0</v>
      </c>
      <c r="L12" s="193">
        <v>0</v>
      </c>
      <c r="M12" s="193">
        <v>7260</v>
      </c>
      <c r="N12" s="193">
        <v>0</v>
      </c>
      <c r="O12" s="193">
        <v>8494.44</v>
      </c>
      <c r="P12" s="193">
        <v>0</v>
      </c>
      <c r="Q12" s="193">
        <v>0</v>
      </c>
      <c r="R12" s="193">
        <v>0</v>
      </c>
      <c r="S12" s="193">
        <v>0</v>
      </c>
      <c r="T12" s="193">
        <v>15754.44</v>
      </c>
    </row>
    <row r="13" spans="1:20">
      <c r="A13" s="13">
        <v>9</v>
      </c>
      <c r="B13" s="204" t="s">
        <v>210</v>
      </c>
      <c r="C13" s="205"/>
      <c r="D13" s="196">
        <v>80</v>
      </c>
      <c r="E13" s="196">
        <v>1</v>
      </c>
      <c r="F13" s="197">
        <v>505</v>
      </c>
      <c r="G13" s="192">
        <v>0</v>
      </c>
      <c r="H13" s="192">
        <v>0</v>
      </c>
      <c r="I13" s="11">
        <v>0</v>
      </c>
      <c r="J13" s="11">
        <v>0</v>
      </c>
      <c r="K13" s="11">
        <v>0</v>
      </c>
      <c r="L13" s="193">
        <v>0</v>
      </c>
      <c r="M13" s="193">
        <v>12100</v>
      </c>
      <c r="N13" s="193">
        <v>151.25</v>
      </c>
      <c r="O13" s="193">
        <v>10069.700000000001</v>
      </c>
      <c r="P13" s="193">
        <v>0</v>
      </c>
      <c r="Q13" s="193">
        <v>0</v>
      </c>
      <c r="R13" s="193">
        <v>0</v>
      </c>
      <c r="S13" s="193">
        <v>0</v>
      </c>
      <c r="T13" s="193">
        <v>22320.95</v>
      </c>
    </row>
    <row r="14" spans="1:20">
      <c r="A14" s="13">
        <v>10</v>
      </c>
      <c r="B14" s="204" t="s">
        <v>211</v>
      </c>
      <c r="C14" s="205"/>
      <c r="D14" s="196">
        <v>16</v>
      </c>
      <c r="E14" s="196">
        <v>32</v>
      </c>
      <c r="F14" s="197">
        <v>489</v>
      </c>
      <c r="G14" s="192">
        <v>0</v>
      </c>
      <c r="H14" s="192">
        <v>0</v>
      </c>
      <c r="I14" s="11">
        <v>0</v>
      </c>
      <c r="J14" s="11">
        <v>0</v>
      </c>
      <c r="K14" s="11">
        <v>0</v>
      </c>
      <c r="L14" s="193">
        <v>0</v>
      </c>
      <c r="M14" s="193">
        <v>2420</v>
      </c>
      <c r="N14" s="193">
        <v>4840</v>
      </c>
      <c r="O14" s="193">
        <v>9750.66</v>
      </c>
      <c r="P14" s="193">
        <v>0</v>
      </c>
      <c r="Q14" s="193">
        <v>0</v>
      </c>
      <c r="R14" s="193">
        <v>0</v>
      </c>
      <c r="S14" s="193">
        <v>0</v>
      </c>
      <c r="T14" s="193">
        <v>17010.66</v>
      </c>
    </row>
    <row r="15" spans="1:20">
      <c r="A15" s="13">
        <v>11</v>
      </c>
      <c r="B15" s="204" t="s">
        <v>212</v>
      </c>
      <c r="C15" s="205"/>
      <c r="D15" s="196">
        <v>32</v>
      </c>
      <c r="E15" s="196">
        <v>0</v>
      </c>
      <c r="F15" s="197">
        <v>521</v>
      </c>
      <c r="G15" s="192">
        <v>0</v>
      </c>
      <c r="H15" s="192">
        <v>0</v>
      </c>
      <c r="I15" s="11">
        <v>0</v>
      </c>
      <c r="J15" s="11">
        <v>0</v>
      </c>
      <c r="K15" s="11">
        <v>0</v>
      </c>
      <c r="L15" s="193">
        <v>0</v>
      </c>
      <c r="M15" s="193">
        <v>4840</v>
      </c>
      <c r="N15" s="193">
        <v>0</v>
      </c>
      <c r="O15" s="193">
        <v>10388.74</v>
      </c>
      <c r="P15" s="193">
        <v>0</v>
      </c>
      <c r="Q15" s="193">
        <v>0</v>
      </c>
      <c r="R15" s="193">
        <v>0</v>
      </c>
      <c r="S15" s="193">
        <v>0</v>
      </c>
      <c r="T15" s="193">
        <v>15228.74</v>
      </c>
    </row>
    <row r="16" spans="1:20">
      <c r="A16" s="13">
        <v>12</v>
      </c>
      <c r="B16" s="204" t="s">
        <v>213</v>
      </c>
      <c r="C16" s="205"/>
      <c r="D16" s="196">
        <v>48</v>
      </c>
      <c r="E16" s="196">
        <v>0</v>
      </c>
      <c r="F16" s="197">
        <v>569</v>
      </c>
      <c r="G16" s="192">
        <v>0</v>
      </c>
      <c r="H16" s="192">
        <v>0</v>
      </c>
      <c r="I16" s="11">
        <v>0</v>
      </c>
      <c r="J16" s="11">
        <v>0</v>
      </c>
      <c r="K16" s="11">
        <v>0</v>
      </c>
      <c r="L16" s="193">
        <v>0</v>
      </c>
      <c r="M16" s="193">
        <v>7260</v>
      </c>
      <c r="N16" s="193">
        <v>0</v>
      </c>
      <c r="O16" s="193">
        <v>11345.86</v>
      </c>
      <c r="P16" s="193">
        <v>0</v>
      </c>
      <c r="Q16" s="193">
        <v>0</v>
      </c>
      <c r="R16" s="193">
        <v>0</v>
      </c>
      <c r="S16" s="193">
        <v>0</v>
      </c>
      <c r="T16" s="193">
        <v>18605.86</v>
      </c>
    </row>
    <row r="17" spans="1:20">
      <c r="A17" s="13">
        <v>13</v>
      </c>
      <c r="B17" s="204" t="s">
        <v>214</v>
      </c>
      <c r="C17" s="205"/>
      <c r="D17" s="196">
        <v>16</v>
      </c>
      <c r="E17" s="196">
        <v>0</v>
      </c>
      <c r="F17" s="197">
        <v>585</v>
      </c>
      <c r="G17" s="192">
        <v>0</v>
      </c>
      <c r="H17" s="192">
        <v>0</v>
      </c>
      <c r="I17" s="11">
        <v>0</v>
      </c>
      <c r="J17" s="11">
        <v>0</v>
      </c>
      <c r="K17" s="11">
        <v>0</v>
      </c>
      <c r="L17" s="193">
        <v>0</v>
      </c>
      <c r="M17" s="193">
        <v>2420</v>
      </c>
      <c r="N17" s="193">
        <v>0</v>
      </c>
      <c r="O17" s="193">
        <v>11664.9</v>
      </c>
      <c r="P17" s="193">
        <v>0</v>
      </c>
      <c r="Q17" s="193">
        <v>0</v>
      </c>
      <c r="R17" s="193">
        <v>0</v>
      </c>
      <c r="S17" s="193">
        <v>0</v>
      </c>
      <c r="T17" s="193">
        <v>14084.9</v>
      </c>
    </row>
    <row r="18" spans="1:20">
      <c r="A18" s="13">
        <v>14</v>
      </c>
      <c r="B18" s="204" t="s">
        <v>215</v>
      </c>
      <c r="C18" s="205"/>
      <c r="D18" s="196">
        <v>0</v>
      </c>
      <c r="E18" s="196">
        <v>0</v>
      </c>
      <c r="F18" s="197">
        <v>585</v>
      </c>
      <c r="G18" s="192">
        <v>0</v>
      </c>
      <c r="H18" s="192">
        <v>0</v>
      </c>
      <c r="I18" s="11">
        <v>0</v>
      </c>
      <c r="J18" s="11">
        <v>0</v>
      </c>
      <c r="K18" s="11">
        <v>0</v>
      </c>
      <c r="L18" s="193">
        <v>0</v>
      </c>
      <c r="M18" s="193">
        <v>0</v>
      </c>
      <c r="N18" s="193">
        <v>0</v>
      </c>
      <c r="O18" s="193">
        <v>11664.9</v>
      </c>
      <c r="P18" s="193">
        <v>0</v>
      </c>
      <c r="Q18" s="193">
        <v>0</v>
      </c>
      <c r="R18" s="193">
        <v>0</v>
      </c>
      <c r="S18" s="193">
        <v>0</v>
      </c>
      <c r="T18" s="193">
        <v>11664.9</v>
      </c>
    </row>
    <row r="19" spans="1:20">
      <c r="A19" s="13">
        <v>15</v>
      </c>
      <c r="B19" s="204" t="s">
        <v>216</v>
      </c>
      <c r="C19" s="205"/>
      <c r="D19" s="196">
        <v>0</v>
      </c>
      <c r="E19" s="196">
        <v>0</v>
      </c>
      <c r="F19" s="197">
        <v>585</v>
      </c>
      <c r="G19" s="192">
        <v>0</v>
      </c>
      <c r="H19" s="192">
        <v>0</v>
      </c>
      <c r="I19" s="11">
        <v>0</v>
      </c>
      <c r="J19" s="11">
        <v>0</v>
      </c>
      <c r="K19" s="11">
        <v>0</v>
      </c>
      <c r="L19" s="193">
        <v>0</v>
      </c>
      <c r="M19" s="193">
        <v>0</v>
      </c>
      <c r="N19" s="193">
        <v>0</v>
      </c>
      <c r="O19" s="193">
        <v>11664.9</v>
      </c>
      <c r="P19" s="193">
        <v>0</v>
      </c>
      <c r="Q19" s="193">
        <v>0</v>
      </c>
      <c r="R19" s="193">
        <v>0</v>
      </c>
      <c r="S19" s="193">
        <v>0</v>
      </c>
      <c r="T19" s="193">
        <v>11664.9</v>
      </c>
    </row>
    <row r="20" spans="1:20">
      <c r="A20" s="13">
        <v>16</v>
      </c>
      <c r="B20" s="204" t="s">
        <v>217</v>
      </c>
      <c r="C20" s="205"/>
      <c r="D20" s="196">
        <v>0</v>
      </c>
      <c r="E20" s="196">
        <v>16</v>
      </c>
      <c r="F20" s="197">
        <v>569</v>
      </c>
      <c r="G20" s="192">
        <v>0</v>
      </c>
      <c r="H20" s="192">
        <v>0</v>
      </c>
      <c r="I20" s="11">
        <v>0</v>
      </c>
      <c r="J20" s="11">
        <v>0</v>
      </c>
      <c r="K20" s="11">
        <v>0</v>
      </c>
      <c r="L20" s="193">
        <v>0</v>
      </c>
      <c r="M20" s="193">
        <v>0</v>
      </c>
      <c r="N20" s="193">
        <v>2420</v>
      </c>
      <c r="O20" s="193">
        <v>11345.86</v>
      </c>
      <c r="P20" s="193">
        <v>0</v>
      </c>
      <c r="Q20" s="193">
        <v>0</v>
      </c>
      <c r="R20" s="193">
        <v>0</v>
      </c>
      <c r="S20" s="193">
        <v>0</v>
      </c>
      <c r="T20" s="193">
        <v>13765.86</v>
      </c>
    </row>
    <row r="21" spans="1:20">
      <c r="A21" s="13">
        <v>17</v>
      </c>
      <c r="B21" s="204" t="s">
        <v>218</v>
      </c>
      <c r="C21" s="205"/>
      <c r="D21" s="196">
        <v>0</v>
      </c>
      <c r="E21" s="196">
        <v>16</v>
      </c>
      <c r="F21" s="197">
        <v>553</v>
      </c>
      <c r="G21" s="192">
        <v>0</v>
      </c>
      <c r="H21" s="192">
        <v>0</v>
      </c>
      <c r="I21" s="11">
        <v>0</v>
      </c>
      <c r="J21" s="11">
        <v>0</v>
      </c>
      <c r="K21" s="11">
        <v>0</v>
      </c>
      <c r="L21" s="193">
        <v>0</v>
      </c>
      <c r="M21" s="193">
        <v>0</v>
      </c>
      <c r="N21" s="193">
        <v>2420</v>
      </c>
      <c r="O21" s="193">
        <v>11026.82</v>
      </c>
      <c r="P21" s="193">
        <v>0</v>
      </c>
      <c r="Q21" s="193">
        <v>0</v>
      </c>
      <c r="R21" s="193">
        <v>0</v>
      </c>
      <c r="S21" s="193">
        <v>0</v>
      </c>
      <c r="T21" s="193">
        <v>13446.82</v>
      </c>
    </row>
    <row r="22" spans="1:20">
      <c r="A22" s="13">
        <v>18</v>
      </c>
      <c r="B22" s="204" t="s">
        <v>219</v>
      </c>
      <c r="C22" s="205"/>
      <c r="D22" s="196">
        <v>0</v>
      </c>
      <c r="E22" s="196">
        <v>16</v>
      </c>
      <c r="F22" s="197">
        <v>537</v>
      </c>
      <c r="G22" s="192">
        <v>0</v>
      </c>
      <c r="H22" s="192">
        <v>0</v>
      </c>
      <c r="I22" s="11">
        <v>0</v>
      </c>
      <c r="J22" s="11">
        <v>0</v>
      </c>
      <c r="K22" s="11">
        <v>0</v>
      </c>
      <c r="L22" s="193">
        <v>0</v>
      </c>
      <c r="M22" s="193">
        <v>0</v>
      </c>
      <c r="N22" s="193">
        <v>2420</v>
      </c>
      <c r="O22" s="193">
        <v>10707.78</v>
      </c>
      <c r="P22" s="193">
        <v>0</v>
      </c>
      <c r="Q22" s="193">
        <v>0</v>
      </c>
      <c r="R22" s="193">
        <v>0</v>
      </c>
      <c r="S22" s="193">
        <v>0</v>
      </c>
      <c r="T22" s="193">
        <v>13127.78</v>
      </c>
    </row>
    <row r="23" spans="1:20">
      <c r="A23" s="13">
        <v>19</v>
      </c>
      <c r="B23" s="204" t="s">
        <v>220</v>
      </c>
      <c r="C23" s="205"/>
      <c r="D23" s="196">
        <v>0</v>
      </c>
      <c r="E23" s="196">
        <v>48</v>
      </c>
      <c r="F23" s="197">
        <v>489</v>
      </c>
      <c r="G23" s="192">
        <v>0</v>
      </c>
      <c r="H23" s="192">
        <v>0</v>
      </c>
      <c r="I23" s="11">
        <v>0</v>
      </c>
      <c r="J23" s="11">
        <v>0</v>
      </c>
      <c r="K23" s="11">
        <v>0</v>
      </c>
      <c r="L23" s="193">
        <v>0</v>
      </c>
      <c r="M23" s="193">
        <v>0</v>
      </c>
      <c r="N23" s="193">
        <v>7260</v>
      </c>
      <c r="O23" s="193">
        <v>9750.66</v>
      </c>
      <c r="P23" s="193">
        <v>0</v>
      </c>
      <c r="Q23" s="193">
        <v>0</v>
      </c>
      <c r="R23" s="193">
        <v>0</v>
      </c>
      <c r="S23" s="193">
        <v>0</v>
      </c>
      <c r="T23" s="193">
        <v>17010.66</v>
      </c>
    </row>
    <row r="24" spans="1:20">
      <c r="A24" s="13">
        <v>20</v>
      </c>
      <c r="B24" s="204" t="s">
        <v>221</v>
      </c>
      <c r="C24" s="205"/>
      <c r="D24" s="196">
        <v>0</v>
      </c>
      <c r="E24" s="196">
        <v>0</v>
      </c>
      <c r="F24" s="197">
        <v>489</v>
      </c>
      <c r="G24" s="192">
        <v>0</v>
      </c>
      <c r="H24" s="192">
        <v>0</v>
      </c>
      <c r="I24" s="11">
        <v>0</v>
      </c>
      <c r="J24" s="11">
        <v>0</v>
      </c>
      <c r="K24" s="11">
        <v>0</v>
      </c>
      <c r="L24" s="193">
        <v>0</v>
      </c>
      <c r="M24" s="193">
        <v>0</v>
      </c>
      <c r="N24" s="193">
        <v>0</v>
      </c>
      <c r="O24" s="193">
        <v>9750.66</v>
      </c>
      <c r="P24" s="193">
        <v>0</v>
      </c>
      <c r="Q24" s="193">
        <v>0</v>
      </c>
      <c r="R24" s="193">
        <v>0</v>
      </c>
      <c r="S24" s="193">
        <v>0</v>
      </c>
      <c r="T24" s="193">
        <v>9750.66</v>
      </c>
    </row>
    <row r="25" spans="1:20">
      <c r="A25" s="13">
        <v>21</v>
      </c>
      <c r="B25" s="204" t="s">
        <v>222</v>
      </c>
      <c r="C25" s="205"/>
      <c r="D25" s="196">
        <v>0</v>
      </c>
      <c r="E25" s="196">
        <v>0</v>
      </c>
      <c r="F25" s="197">
        <v>489</v>
      </c>
      <c r="G25" s="192">
        <v>0</v>
      </c>
      <c r="H25" s="192">
        <v>0</v>
      </c>
      <c r="I25" s="11">
        <v>0</v>
      </c>
      <c r="J25" s="11">
        <v>0</v>
      </c>
      <c r="K25" s="11">
        <v>0</v>
      </c>
      <c r="L25" s="193">
        <v>0</v>
      </c>
      <c r="M25" s="193">
        <v>0</v>
      </c>
      <c r="N25" s="193">
        <v>0</v>
      </c>
      <c r="O25" s="193">
        <v>9750.66</v>
      </c>
      <c r="P25" s="193">
        <v>0</v>
      </c>
      <c r="Q25" s="193">
        <v>0</v>
      </c>
      <c r="R25" s="193">
        <v>0</v>
      </c>
      <c r="S25" s="193">
        <v>0</v>
      </c>
      <c r="T25" s="193">
        <v>9750.66</v>
      </c>
    </row>
    <row r="26" spans="1:20">
      <c r="A26" s="13">
        <v>22</v>
      </c>
      <c r="B26" s="204" t="s">
        <v>223</v>
      </c>
      <c r="C26" s="205"/>
      <c r="D26" s="196">
        <v>0</v>
      </c>
      <c r="E26" s="196">
        <v>16</v>
      </c>
      <c r="F26" s="197">
        <v>473</v>
      </c>
      <c r="G26" s="192">
        <v>0</v>
      </c>
      <c r="H26" s="192">
        <v>0</v>
      </c>
      <c r="I26" s="11">
        <v>0</v>
      </c>
      <c r="J26" s="11">
        <v>0</v>
      </c>
      <c r="K26" s="11">
        <v>0</v>
      </c>
      <c r="L26" s="193">
        <v>0</v>
      </c>
      <c r="M26" s="193">
        <v>0</v>
      </c>
      <c r="N26" s="193">
        <v>2420</v>
      </c>
      <c r="O26" s="193">
        <v>9431.6200000000008</v>
      </c>
      <c r="P26" s="193">
        <v>0</v>
      </c>
      <c r="Q26" s="193">
        <v>0</v>
      </c>
      <c r="R26" s="193">
        <v>0</v>
      </c>
      <c r="S26" s="193">
        <v>0</v>
      </c>
      <c r="T26" s="193">
        <v>11851.62</v>
      </c>
    </row>
    <row r="27" spans="1:20">
      <c r="A27" s="13">
        <v>23</v>
      </c>
      <c r="B27" s="204" t="s">
        <v>224</v>
      </c>
      <c r="C27" s="205"/>
      <c r="D27" s="196">
        <v>0</v>
      </c>
      <c r="E27" s="196">
        <v>80</v>
      </c>
      <c r="F27" s="197">
        <v>393</v>
      </c>
      <c r="G27" s="192">
        <v>0</v>
      </c>
      <c r="H27" s="192">
        <v>0</v>
      </c>
      <c r="I27" s="11">
        <v>0</v>
      </c>
      <c r="J27" s="11">
        <v>0</v>
      </c>
      <c r="K27" s="11">
        <v>0</v>
      </c>
      <c r="L27" s="193">
        <v>0</v>
      </c>
      <c r="M27" s="193">
        <v>0</v>
      </c>
      <c r="N27" s="193">
        <v>12100</v>
      </c>
      <c r="O27" s="193">
        <v>7836.42</v>
      </c>
      <c r="P27" s="193">
        <v>0</v>
      </c>
      <c r="Q27" s="193">
        <v>0</v>
      </c>
      <c r="R27" s="193">
        <v>0</v>
      </c>
      <c r="S27" s="193">
        <v>0</v>
      </c>
      <c r="T27" s="193">
        <v>19936.419999999998</v>
      </c>
    </row>
    <row r="28" spans="1:20">
      <c r="A28" s="13">
        <v>24</v>
      </c>
      <c r="B28" s="204" t="s">
        <v>225</v>
      </c>
      <c r="C28" s="205"/>
      <c r="D28" s="196">
        <v>0</v>
      </c>
      <c r="E28" s="196">
        <v>64</v>
      </c>
      <c r="F28" s="197">
        <v>329</v>
      </c>
      <c r="G28" s="192">
        <v>0</v>
      </c>
      <c r="H28" s="192">
        <v>0</v>
      </c>
      <c r="I28" s="11">
        <v>0</v>
      </c>
      <c r="J28" s="11">
        <v>0</v>
      </c>
      <c r="K28" s="11">
        <v>0</v>
      </c>
      <c r="L28" s="193">
        <v>0</v>
      </c>
      <c r="M28" s="193">
        <v>0</v>
      </c>
      <c r="N28" s="193">
        <v>9680</v>
      </c>
      <c r="O28" s="193">
        <v>6560.26</v>
      </c>
      <c r="P28" s="193">
        <v>0</v>
      </c>
      <c r="Q28" s="193">
        <v>0</v>
      </c>
      <c r="R28" s="193">
        <v>0</v>
      </c>
      <c r="S28" s="193">
        <v>0</v>
      </c>
      <c r="T28" s="193">
        <v>16240.26</v>
      </c>
    </row>
    <row r="29" spans="1:20">
      <c r="A29" s="13">
        <v>25</v>
      </c>
      <c r="B29" s="204" t="s">
        <v>226</v>
      </c>
      <c r="C29" s="205"/>
      <c r="D29" s="196">
        <v>0</v>
      </c>
      <c r="E29" s="196">
        <v>144</v>
      </c>
      <c r="F29" s="197">
        <v>185</v>
      </c>
      <c r="G29" s="192">
        <v>0</v>
      </c>
      <c r="H29" s="192">
        <v>0</v>
      </c>
      <c r="I29" s="11">
        <v>0</v>
      </c>
      <c r="J29" s="11">
        <v>0</v>
      </c>
      <c r="K29" s="11">
        <v>0</v>
      </c>
      <c r="L29" s="193">
        <v>0</v>
      </c>
      <c r="M29" s="193">
        <v>0</v>
      </c>
      <c r="N29" s="193">
        <v>21780</v>
      </c>
      <c r="O29" s="193">
        <v>3688.9</v>
      </c>
      <c r="P29" s="193">
        <v>0</v>
      </c>
      <c r="Q29" s="193">
        <v>0</v>
      </c>
      <c r="R29" s="193">
        <v>0</v>
      </c>
      <c r="S29" s="193">
        <v>0</v>
      </c>
      <c r="T29" s="193">
        <v>25468.9</v>
      </c>
    </row>
    <row r="30" spans="1:20">
      <c r="A30" s="13">
        <v>26</v>
      </c>
      <c r="B30" s="204" t="s">
        <v>227</v>
      </c>
      <c r="C30" s="205"/>
      <c r="D30" s="196">
        <v>0</v>
      </c>
      <c r="E30" s="196">
        <v>16</v>
      </c>
      <c r="F30" s="197">
        <v>169</v>
      </c>
      <c r="G30" s="192">
        <v>0</v>
      </c>
      <c r="H30" s="192">
        <v>0</v>
      </c>
      <c r="I30" s="11">
        <v>0</v>
      </c>
      <c r="J30" s="11">
        <v>0</v>
      </c>
      <c r="K30" s="11">
        <v>0</v>
      </c>
      <c r="L30" s="193">
        <v>0</v>
      </c>
      <c r="M30" s="193">
        <v>0</v>
      </c>
      <c r="N30" s="193">
        <v>2420</v>
      </c>
      <c r="O30" s="193">
        <v>3369.86</v>
      </c>
      <c r="P30" s="193">
        <v>0</v>
      </c>
      <c r="Q30" s="193">
        <v>0</v>
      </c>
      <c r="R30" s="193">
        <v>0</v>
      </c>
      <c r="S30" s="193">
        <v>0</v>
      </c>
      <c r="T30" s="193">
        <v>5789.86</v>
      </c>
    </row>
    <row r="31" spans="1:20">
      <c r="A31" s="13">
        <v>27</v>
      </c>
      <c r="B31" s="204" t="s">
        <v>228</v>
      </c>
      <c r="C31" s="205"/>
      <c r="D31" s="196">
        <v>0</v>
      </c>
      <c r="E31" s="196">
        <v>32</v>
      </c>
      <c r="F31" s="197">
        <v>137</v>
      </c>
      <c r="G31" s="192">
        <v>0</v>
      </c>
      <c r="H31" s="192">
        <v>0</v>
      </c>
      <c r="I31" s="11">
        <v>0</v>
      </c>
      <c r="J31" s="11">
        <v>0</v>
      </c>
      <c r="K31" s="11">
        <v>0</v>
      </c>
      <c r="L31" s="193">
        <v>0</v>
      </c>
      <c r="M31" s="193">
        <v>0</v>
      </c>
      <c r="N31" s="193">
        <v>4840</v>
      </c>
      <c r="O31" s="193">
        <v>2731.78</v>
      </c>
      <c r="P31" s="193">
        <v>0</v>
      </c>
      <c r="Q31" s="193">
        <v>0</v>
      </c>
      <c r="R31" s="193">
        <v>0</v>
      </c>
      <c r="S31" s="193">
        <v>0</v>
      </c>
      <c r="T31" s="193">
        <v>7571.78</v>
      </c>
    </row>
    <row r="32" spans="1:20">
      <c r="A32" s="13">
        <v>28</v>
      </c>
      <c r="B32" s="204" t="s">
        <v>229</v>
      </c>
      <c r="C32" s="205"/>
      <c r="D32" s="196">
        <v>0</v>
      </c>
      <c r="E32" s="196">
        <v>8</v>
      </c>
      <c r="F32" s="197">
        <v>129</v>
      </c>
      <c r="G32" s="192">
        <v>0</v>
      </c>
      <c r="H32" s="192">
        <v>0</v>
      </c>
      <c r="I32" s="11">
        <v>0</v>
      </c>
      <c r="J32" s="11">
        <v>0</v>
      </c>
      <c r="K32" s="11">
        <v>0</v>
      </c>
      <c r="L32" s="193">
        <v>0</v>
      </c>
      <c r="M32" s="193">
        <v>0</v>
      </c>
      <c r="N32" s="193">
        <v>1210</v>
      </c>
      <c r="O32" s="193">
        <v>2572.2600000000002</v>
      </c>
      <c r="P32" s="193">
        <v>0</v>
      </c>
      <c r="Q32" s="193">
        <v>0</v>
      </c>
      <c r="R32" s="193">
        <v>0</v>
      </c>
      <c r="S32" s="193">
        <v>0</v>
      </c>
      <c r="T32" s="193">
        <v>3782.26</v>
      </c>
    </row>
    <row r="33" spans="1:20">
      <c r="A33" s="13">
        <v>29</v>
      </c>
      <c r="B33" s="204" t="s">
        <v>230</v>
      </c>
      <c r="C33" s="205"/>
      <c r="D33" s="196">
        <v>16</v>
      </c>
      <c r="E33" s="196">
        <v>32</v>
      </c>
      <c r="F33" s="197">
        <v>113</v>
      </c>
      <c r="G33" s="192">
        <v>0</v>
      </c>
      <c r="H33" s="192">
        <v>0</v>
      </c>
      <c r="I33" s="11">
        <v>0</v>
      </c>
      <c r="J33" s="11">
        <v>0</v>
      </c>
      <c r="K33" s="11">
        <v>0</v>
      </c>
      <c r="L33" s="193">
        <v>0</v>
      </c>
      <c r="M33" s="193">
        <v>2420</v>
      </c>
      <c r="N33" s="193">
        <v>4840</v>
      </c>
      <c r="O33" s="193">
        <v>2253.2199999999998</v>
      </c>
      <c r="P33" s="193">
        <v>0</v>
      </c>
      <c r="Q33" s="193">
        <v>0</v>
      </c>
      <c r="R33" s="193">
        <v>0</v>
      </c>
      <c r="S33" s="193">
        <v>0</v>
      </c>
      <c r="T33" s="193">
        <v>9513.2199999999993</v>
      </c>
    </row>
    <row r="34" spans="1:20">
      <c r="A34" s="13">
        <v>30</v>
      </c>
      <c r="B34" s="204" t="s">
        <v>231</v>
      </c>
      <c r="C34" s="205"/>
      <c r="D34" s="196">
        <v>0</v>
      </c>
      <c r="E34" s="196">
        <v>0</v>
      </c>
      <c r="F34" s="197">
        <v>113</v>
      </c>
      <c r="G34" s="192">
        <v>0</v>
      </c>
      <c r="H34" s="192">
        <v>0</v>
      </c>
      <c r="I34" s="11">
        <v>0</v>
      </c>
      <c r="J34" s="11">
        <v>0</v>
      </c>
      <c r="K34" s="11">
        <v>0</v>
      </c>
      <c r="L34" s="193">
        <v>0</v>
      </c>
      <c r="M34" s="193">
        <v>0</v>
      </c>
      <c r="N34" s="193">
        <v>0</v>
      </c>
      <c r="O34" s="193">
        <v>2253.2199999999998</v>
      </c>
      <c r="P34" s="193">
        <v>0</v>
      </c>
      <c r="Q34" s="193">
        <v>0</v>
      </c>
      <c r="R34" s="193">
        <v>0</v>
      </c>
      <c r="S34" s="193">
        <v>0</v>
      </c>
      <c r="T34" s="193">
        <v>2253.2199999999998</v>
      </c>
    </row>
    <row r="35" spans="1:20">
      <c r="A35" s="13">
        <v>31</v>
      </c>
      <c r="B35" s="204" t="s">
        <v>232</v>
      </c>
      <c r="C35" s="205"/>
      <c r="D35" s="196">
        <v>0</v>
      </c>
      <c r="E35" s="196">
        <v>0</v>
      </c>
      <c r="F35" s="197">
        <v>113</v>
      </c>
      <c r="G35" s="192">
        <v>0</v>
      </c>
      <c r="H35" s="192">
        <v>0</v>
      </c>
      <c r="I35" s="11">
        <v>0</v>
      </c>
      <c r="J35" s="11">
        <v>0</v>
      </c>
      <c r="K35" s="11">
        <v>0</v>
      </c>
      <c r="L35" s="193">
        <v>0</v>
      </c>
      <c r="M35" s="193">
        <v>0</v>
      </c>
      <c r="N35" s="193">
        <v>0</v>
      </c>
      <c r="O35" s="193">
        <v>2253.2199999999998</v>
      </c>
      <c r="P35" s="193">
        <v>0</v>
      </c>
      <c r="Q35" s="193">
        <v>0</v>
      </c>
      <c r="R35" s="193">
        <v>0</v>
      </c>
      <c r="S35" s="193">
        <v>0</v>
      </c>
      <c r="T35" s="193">
        <v>2253.2199999999998</v>
      </c>
    </row>
    <row r="36" spans="1:20">
      <c r="D36" s="20">
        <v>272</v>
      </c>
      <c r="E36" s="20">
        <v>576</v>
      </c>
      <c r="F36" s="20">
        <v>12246</v>
      </c>
      <c r="G36" s="20">
        <v>0</v>
      </c>
      <c r="H36" s="20">
        <v>0</v>
      </c>
      <c r="I36" s="20">
        <v>0</v>
      </c>
      <c r="J36" s="20">
        <v>0</v>
      </c>
      <c r="K36" s="20">
        <v>0</v>
      </c>
      <c r="L36" s="194">
        <v>0</v>
      </c>
      <c r="M36" s="194">
        <v>41140</v>
      </c>
      <c r="N36" s="194">
        <v>87120</v>
      </c>
      <c r="O36" s="194">
        <v>244185.24</v>
      </c>
      <c r="P36" s="194">
        <v>0</v>
      </c>
      <c r="Q36" s="194">
        <v>0</v>
      </c>
      <c r="R36" s="194">
        <v>0</v>
      </c>
      <c r="S36" s="194">
        <v>0</v>
      </c>
      <c r="T36" s="194">
        <v>372445.24</v>
      </c>
    </row>
    <row r="37" spans="1:20">
      <c r="R37" s="22"/>
      <c r="S37" s="22"/>
      <c r="T37" s="195">
        <v>446934.29</v>
      </c>
    </row>
  </sheetData>
  <mergeCells count="50">
    <mergeCell ref="B8:C8"/>
    <mergeCell ref="B9:C9"/>
    <mergeCell ref="B10:C10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  <mergeCell ref="B7:C7"/>
    <mergeCell ref="L3:L4"/>
    <mergeCell ref="M3:M4"/>
    <mergeCell ref="N3:N4"/>
    <mergeCell ref="O3:O4"/>
    <mergeCell ref="R3:R4"/>
    <mergeCell ref="S3:S4"/>
    <mergeCell ref="T3:T4"/>
    <mergeCell ref="B5:C5"/>
    <mergeCell ref="B6:C6"/>
    <mergeCell ref="P3:P4"/>
    <mergeCell ref="Q3:Q4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13:C13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</mergeCells>
  <pageMargins left="0.7" right="0.7" top="0.75" bottom="0.75" header="0.3" footer="0.3"/>
  <pageSetup paperSize="9" fitToHeight="5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C15F2-5976-40A6-8A63-FAF71D5F0520}">
  <sheetPr codeName="Лист35">
    <pageSetUpPr fitToPage="1"/>
  </sheetPr>
  <dimension ref="A1:T37"/>
  <sheetViews>
    <sheetView workbookViewId="0">
      <selection activeCell="O5" sqref="O5:O35"/>
    </sheetView>
  </sheetViews>
  <sheetFormatPr defaultRowHeight="15"/>
  <cols>
    <col min="1" max="3" width="8.796875" style="2"/>
    <col min="4" max="4" width="7.09765625" style="2" customWidth="1"/>
    <col min="5" max="5" width="8.19921875" style="2" customWidth="1"/>
    <col min="6" max="6" width="9.59765625" style="2" customWidth="1"/>
    <col min="7" max="7" width="7.3984375" style="2" bestFit="1" customWidth="1"/>
    <col min="8" max="8" width="6.59765625" style="2" bestFit="1" customWidth="1"/>
    <col min="9" max="9" width="7.3984375" style="2" bestFit="1" customWidth="1"/>
    <col min="10" max="10" width="6.59765625" style="2" bestFit="1" customWidth="1"/>
    <col min="11" max="12" width="8.796875" style="2"/>
    <col min="13" max="13" width="9.19921875" style="2" customWidth="1"/>
    <col min="14" max="14" width="9.5" style="2" customWidth="1"/>
    <col min="15" max="15" width="10.19921875" style="2" customWidth="1"/>
    <col min="16" max="16" width="10.19921875" style="2" bestFit="1" customWidth="1"/>
    <col min="17" max="17" width="10.5" style="2" customWidth="1"/>
    <col min="18" max="18" width="9.296875" style="2" customWidth="1"/>
    <col min="19" max="19" width="8.19921875" style="2" customWidth="1"/>
    <col min="20" max="20" width="17" style="2" customWidth="1"/>
    <col min="21" max="16384" width="8.796875" style="2"/>
  </cols>
  <sheetData>
    <row r="1" spans="1:20">
      <c r="I1" s="3"/>
    </row>
    <row r="2" spans="1:20" ht="28.9" customHeight="1">
      <c r="A2" s="209" t="s">
        <v>235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</row>
    <row r="3" spans="1:20" ht="28.9" customHeight="1">
      <c r="A3" s="206" t="s">
        <v>0</v>
      </c>
      <c r="B3" s="210" t="s">
        <v>1</v>
      </c>
      <c r="C3" s="211"/>
      <c r="D3" s="206" t="s">
        <v>2</v>
      </c>
      <c r="E3" s="206" t="s">
        <v>3</v>
      </c>
      <c r="F3" s="4" t="s">
        <v>4</v>
      </c>
      <c r="G3" s="206" t="s">
        <v>236</v>
      </c>
      <c r="H3" s="206" t="s">
        <v>237</v>
      </c>
      <c r="I3" s="206" t="s">
        <v>7</v>
      </c>
      <c r="J3" s="206" t="s">
        <v>8</v>
      </c>
      <c r="K3" s="206" t="s">
        <v>9</v>
      </c>
      <c r="L3" s="206" t="s">
        <v>10</v>
      </c>
      <c r="M3" s="206" t="s">
        <v>11</v>
      </c>
      <c r="N3" s="206" t="s">
        <v>12</v>
      </c>
      <c r="O3" s="206" t="s">
        <v>13</v>
      </c>
      <c r="P3" s="206" t="s">
        <v>14</v>
      </c>
      <c r="Q3" s="206" t="s">
        <v>15</v>
      </c>
      <c r="R3" s="206" t="s">
        <v>16</v>
      </c>
      <c r="S3" s="206" t="s">
        <v>17</v>
      </c>
      <c r="T3" s="206" t="s">
        <v>18</v>
      </c>
    </row>
    <row r="4" spans="1:20">
      <c r="A4" s="207"/>
      <c r="B4" s="212"/>
      <c r="C4" s="213"/>
      <c r="D4" s="207"/>
      <c r="E4" s="207"/>
      <c r="F4" s="5"/>
      <c r="G4" s="207"/>
      <c r="H4" s="207"/>
      <c r="I4" s="207"/>
      <c r="J4" s="207"/>
      <c r="K4" s="208"/>
      <c r="L4" s="208"/>
      <c r="M4" s="207"/>
      <c r="N4" s="207"/>
      <c r="O4" s="207"/>
      <c r="P4" s="207"/>
      <c r="Q4" s="207"/>
      <c r="R4" s="207"/>
      <c r="S4" s="207"/>
      <c r="T4" s="207"/>
    </row>
    <row r="5" spans="1:20">
      <c r="A5" s="13">
        <v>1</v>
      </c>
      <c r="B5" s="204" t="s">
        <v>202</v>
      </c>
      <c r="C5" s="205"/>
      <c r="D5" s="198">
        <v>0</v>
      </c>
      <c r="E5" s="198">
        <v>0</v>
      </c>
      <c r="F5" s="198">
        <v>34</v>
      </c>
      <c r="G5" s="199"/>
      <c r="H5" s="199"/>
      <c r="I5" s="10"/>
      <c r="J5" s="10"/>
      <c r="K5" s="11"/>
      <c r="L5" s="193">
        <v>0</v>
      </c>
      <c r="M5" s="193">
        <v>0</v>
      </c>
      <c r="N5" s="193">
        <v>0</v>
      </c>
      <c r="O5" s="193">
        <v>612</v>
      </c>
      <c r="P5" s="193">
        <v>0</v>
      </c>
      <c r="Q5" s="193">
        <v>0</v>
      </c>
      <c r="R5" s="193">
        <v>0</v>
      </c>
      <c r="S5" s="193">
        <v>0</v>
      </c>
      <c r="T5" s="193">
        <v>612</v>
      </c>
    </row>
    <row r="6" spans="1:20">
      <c r="A6" s="13">
        <v>2</v>
      </c>
      <c r="B6" s="204" t="s">
        <v>203</v>
      </c>
      <c r="C6" s="205"/>
      <c r="D6" s="198">
        <v>0</v>
      </c>
      <c r="E6" s="198">
        <v>0</v>
      </c>
      <c r="F6" s="198">
        <v>34</v>
      </c>
      <c r="G6" s="199"/>
      <c r="H6" s="199"/>
      <c r="I6" s="10"/>
      <c r="J6" s="10"/>
      <c r="K6" s="11"/>
      <c r="L6" s="193">
        <v>0</v>
      </c>
      <c r="M6" s="193">
        <v>0</v>
      </c>
      <c r="N6" s="193">
        <v>0</v>
      </c>
      <c r="O6" s="193">
        <v>612</v>
      </c>
      <c r="P6" s="193">
        <v>0</v>
      </c>
      <c r="Q6" s="193">
        <v>0</v>
      </c>
      <c r="R6" s="193">
        <v>0</v>
      </c>
      <c r="S6" s="193">
        <v>0</v>
      </c>
      <c r="T6" s="193">
        <v>612</v>
      </c>
    </row>
    <row r="7" spans="1:20">
      <c r="A7" s="13">
        <v>3</v>
      </c>
      <c r="B7" s="204" t="s">
        <v>204</v>
      </c>
      <c r="C7" s="205"/>
      <c r="D7" s="198">
        <v>0</v>
      </c>
      <c r="E7" s="198">
        <v>0</v>
      </c>
      <c r="F7" s="198">
        <v>34</v>
      </c>
      <c r="G7" s="199"/>
      <c r="H7" s="199"/>
      <c r="I7" s="10"/>
      <c r="J7" s="10"/>
      <c r="K7" s="11"/>
      <c r="L7" s="193">
        <v>0</v>
      </c>
      <c r="M7" s="193">
        <v>0</v>
      </c>
      <c r="N7" s="193">
        <v>0</v>
      </c>
      <c r="O7" s="193">
        <v>612</v>
      </c>
      <c r="P7" s="193">
        <v>0</v>
      </c>
      <c r="Q7" s="193">
        <v>0</v>
      </c>
      <c r="R7" s="193">
        <v>0</v>
      </c>
      <c r="S7" s="193">
        <v>0</v>
      </c>
      <c r="T7" s="193">
        <v>612</v>
      </c>
    </row>
    <row r="8" spans="1:20">
      <c r="A8" s="13">
        <v>4</v>
      </c>
      <c r="B8" s="204" t="s">
        <v>205</v>
      </c>
      <c r="C8" s="205"/>
      <c r="D8" s="198">
        <v>0</v>
      </c>
      <c r="E8" s="198">
        <v>0</v>
      </c>
      <c r="F8" s="198">
        <v>34</v>
      </c>
      <c r="G8" s="199"/>
      <c r="H8" s="199"/>
      <c r="I8" s="10"/>
      <c r="J8" s="10"/>
      <c r="K8" s="11"/>
      <c r="L8" s="193">
        <v>0</v>
      </c>
      <c r="M8" s="193">
        <v>0</v>
      </c>
      <c r="N8" s="193">
        <v>0</v>
      </c>
      <c r="O8" s="193">
        <v>612</v>
      </c>
      <c r="P8" s="193">
        <v>0</v>
      </c>
      <c r="Q8" s="193">
        <v>0</v>
      </c>
      <c r="R8" s="193">
        <v>0</v>
      </c>
      <c r="S8" s="193">
        <v>0</v>
      </c>
      <c r="T8" s="193">
        <v>612</v>
      </c>
    </row>
    <row r="9" spans="1:20">
      <c r="A9" s="13">
        <v>5</v>
      </c>
      <c r="B9" s="204" t="s">
        <v>206</v>
      </c>
      <c r="C9" s="205"/>
      <c r="D9" s="198">
        <v>0</v>
      </c>
      <c r="E9" s="198">
        <v>0</v>
      </c>
      <c r="F9" s="198">
        <v>34</v>
      </c>
      <c r="G9" s="199"/>
      <c r="H9" s="199"/>
      <c r="I9" s="10"/>
      <c r="J9" s="10"/>
      <c r="K9" s="11"/>
      <c r="L9" s="193">
        <v>0</v>
      </c>
      <c r="M9" s="193">
        <v>0</v>
      </c>
      <c r="N9" s="193">
        <v>0</v>
      </c>
      <c r="O9" s="193">
        <v>612</v>
      </c>
      <c r="P9" s="193">
        <v>0</v>
      </c>
      <c r="Q9" s="193">
        <v>0</v>
      </c>
      <c r="R9" s="193">
        <v>0</v>
      </c>
      <c r="S9" s="193">
        <v>0</v>
      </c>
      <c r="T9" s="193">
        <v>612</v>
      </c>
    </row>
    <row r="10" spans="1:20">
      <c r="A10" s="13">
        <v>6</v>
      </c>
      <c r="B10" s="204" t="s">
        <v>207</v>
      </c>
      <c r="C10" s="205"/>
      <c r="D10" s="198">
        <v>0</v>
      </c>
      <c r="E10" s="198">
        <v>0</v>
      </c>
      <c r="F10" s="198">
        <v>34</v>
      </c>
      <c r="G10" s="199"/>
      <c r="H10" s="199"/>
      <c r="I10" s="10"/>
      <c r="J10" s="10"/>
      <c r="K10" s="11"/>
      <c r="L10" s="193">
        <v>0</v>
      </c>
      <c r="M10" s="193">
        <v>0</v>
      </c>
      <c r="N10" s="193">
        <v>0</v>
      </c>
      <c r="O10" s="193">
        <v>612</v>
      </c>
      <c r="P10" s="193">
        <v>0</v>
      </c>
      <c r="Q10" s="193">
        <v>0</v>
      </c>
      <c r="R10" s="193">
        <v>0</v>
      </c>
      <c r="S10" s="193">
        <v>0</v>
      </c>
      <c r="T10" s="193">
        <v>612</v>
      </c>
    </row>
    <row r="11" spans="1:20">
      <c r="A11" s="13">
        <v>7</v>
      </c>
      <c r="B11" s="204" t="s">
        <v>208</v>
      </c>
      <c r="C11" s="205"/>
      <c r="D11" s="198">
        <v>0</v>
      </c>
      <c r="E11" s="198">
        <v>0</v>
      </c>
      <c r="F11" s="198">
        <v>34</v>
      </c>
      <c r="G11" s="199"/>
      <c r="H11" s="199"/>
      <c r="I11" s="10"/>
      <c r="J11" s="10"/>
      <c r="K11" s="11"/>
      <c r="L11" s="193">
        <v>0</v>
      </c>
      <c r="M11" s="193">
        <v>0</v>
      </c>
      <c r="N11" s="193">
        <v>0</v>
      </c>
      <c r="O11" s="193">
        <v>612</v>
      </c>
      <c r="P11" s="193">
        <v>0</v>
      </c>
      <c r="Q11" s="193">
        <v>0</v>
      </c>
      <c r="R11" s="193">
        <v>0</v>
      </c>
      <c r="S11" s="193">
        <v>0</v>
      </c>
      <c r="T11" s="193">
        <v>612</v>
      </c>
    </row>
    <row r="12" spans="1:20">
      <c r="A12" s="13">
        <v>8</v>
      </c>
      <c r="B12" s="204" t="s">
        <v>209</v>
      </c>
      <c r="C12" s="205"/>
      <c r="D12" s="198">
        <v>0</v>
      </c>
      <c r="E12" s="198">
        <v>0</v>
      </c>
      <c r="F12" s="198">
        <v>34</v>
      </c>
      <c r="G12" s="199"/>
      <c r="H12" s="199"/>
      <c r="I12" s="10"/>
      <c r="J12" s="10"/>
      <c r="K12" s="11"/>
      <c r="L12" s="193">
        <v>0</v>
      </c>
      <c r="M12" s="193">
        <v>0</v>
      </c>
      <c r="N12" s="193">
        <v>0</v>
      </c>
      <c r="O12" s="193">
        <v>612</v>
      </c>
      <c r="P12" s="193">
        <v>0</v>
      </c>
      <c r="Q12" s="193">
        <v>0</v>
      </c>
      <c r="R12" s="193">
        <v>0</v>
      </c>
      <c r="S12" s="193">
        <v>0</v>
      </c>
      <c r="T12" s="193">
        <v>612</v>
      </c>
    </row>
    <row r="13" spans="1:20">
      <c r="A13" s="13">
        <v>9</v>
      </c>
      <c r="B13" s="204" t="s">
        <v>210</v>
      </c>
      <c r="C13" s="205"/>
      <c r="D13" s="198">
        <v>0</v>
      </c>
      <c r="E13" s="198">
        <v>0</v>
      </c>
      <c r="F13" s="198">
        <v>34</v>
      </c>
      <c r="G13" s="199"/>
      <c r="H13" s="199"/>
      <c r="I13" s="10"/>
      <c r="J13" s="10"/>
      <c r="K13" s="11"/>
      <c r="L13" s="193">
        <v>0</v>
      </c>
      <c r="M13" s="193">
        <v>0</v>
      </c>
      <c r="N13" s="193">
        <v>0</v>
      </c>
      <c r="O13" s="193">
        <v>612</v>
      </c>
      <c r="P13" s="193">
        <v>0</v>
      </c>
      <c r="Q13" s="193">
        <v>0</v>
      </c>
      <c r="R13" s="193">
        <v>0</v>
      </c>
      <c r="S13" s="193">
        <v>0</v>
      </c>
      <c r="T13" s="193">
        <v>612</v>
      </c>
    </row>
    <row r="14" spans="1:20">
      <c r="A14" s="13">
        <v>10</v>
      </c>
      <c r="B14" s="204" t="s">
        <v>211</v>
      </c>
      <c r="C14" s="205"/>
      <c r="D14" s="198">
        <v>0</v>
      </c>
      <c r="E14" s="198">
        <v>0</v>
      </c>
      <c r="F14" s="198">
        <v>34</v>
      </c>
      <c r="G14" s="199"/>
      <c r="H14" s="199"/>
      <c r="I14" s="10"/>
      <c r="J14" s="10"/>
      <c r="K14" s="11"/>
      <c r="L14" s="193">
        <v>0</v>
      </c>
      <c r="M14" s="193">
        <v>0</v>
      </c>
      <c r="N14" s="193">
        <v>0</v>
      </c>
      <c r="O14" s="193">
        <v>612</v>
      </c>
      <c r="P14" s="193">
        <v>0</v>
      </c>
      <c r="Q14" s="193">
        <v>0</v>
      </c>
      <c r="R14" s="193">
        <v>0</v>
      </c>
      <c r="S14" s="193">
        <v>0</v>
      </c>
      <c r="T14" s="193">
        <v>612</v>
      </c>
    </row>
    <row r="15" spans="1:20">
      <c r="A15" s="13">
        <v>11</v>
      </c>
      <c r="B15" s="204" t="s">
        <v>212</v>
      </c>
      <c r="C15" s="205"/>
      <c r="D15" s="198">
        <v>0</v>
      </c>
      <c r="E15" s="198">
        <v>0</v>
      </c>
      <c r="F15" s="198">
        <v>34</v>
      </c>
      <c r="G15" s="199"/>
      <c r="H15" s="199"/>
      <c r="I15" s="10"/>
      <c r="J15" s="10"/>
      <c r="K15" s="11"/>
      <c r="L15" s="193">
        <v>0</v>
      </c>
      <c r="M15" s="193">
        <v>0</v>
      </c>
      <c r="N15" s="193">
        <v>0</v>
      </c>
      <c r="O15" s="193">
        <v>612</v>
      </c>
      <c r="P15" s="193">
        <v>0</v>
      </c>
      <c r="Q15" s="193">
        <v>0</v>
      </c>
      <c r="R15" s="193">
        <v>0</v>
      </c>
      <c r="S15" s="193">
        <v>0</v>
      </c>
      <c r="T15" s="193">
        <v>612</v>
      </c>
    </row>
    <row r="16" spans="1:20">
      <c r="A16" s="13">
        <v>12</v>
      </c>
      <c r="B16" s="204" t="s">
        <v>213</v>
      </c>
      <c r="C16" s="205"/>
      <c r="D16" s="198">
        <v>0</v>
      </c>
      <c r="E16" s="198">
        <v>0</v>
      </c>
      <c r="F16" s="198">
        <v>34</v>
      </c>
      <c r="G16" s="199"/>
      <c r="H16" s="199"/>
      <c r="I16" s="10"/>
      <c r="J16" s="10"/>
      <c r="K16" s="18"/>
      <c r="L16" s="193">
        <v>0</v>
      </c>
      <c r="M16" s="193">
        <v>0</v>
      </c>
      <c r="N16" s="193">
        <v>0</v>
      </c>
      <c r="O16" s="193">
        <v>612</v>
      </c>
      <c r="P16" s="193">
        <v>0</v>
      </c>
      <c r="Q16" s="193">
        <v>0</v>
      </c>
      <c r="R16" s="193">
        <v>0</v>
      </c>
      <c r="S16" s="193">
        <v>0</v>
      </c>
      <c r="T16" s="193">
        <v>612</v>
      </c>
    </row>
    <row r="17" spans="1:20">
      <c r="A17" s="13">
        <v>13</v>
      </c>
      <c r="B17" s="204" t="s">
        <v>214</v>
      </c>
      <c r="C17" s="205"/>
      <c r="D17" s="198">
        <v>0</v>
      </c>
      <c r="E17" s="198">
        <v>0</v>
      </c>
      <c r="F17" s="198">
        <v>34</v>
      </c>
      <c r="G17" s="199"/>
      <c r="H17" s="199"/>
      <c r="I17" s="10"/>
      <c r="J17" s="10"/>
      <c r="K17" s="11"/>
      <c r="L17" s="193">
        <v>0</v>
      </c>
      <c r="M17" s="193">
        <v>0</v>
      </c>
      <c r="N17" s="193">
        <v>0</v>
      </c>
      <c r="O17" s="193">
        <v>612</v>
      </c>
      <c r="P17" s="193">
        <v>0</v>
      </c>
      <c r="Q17" s="193">
        <v>0</v>
      </c>
      <c r="R17" s="193">
        <v>0</v>
      </c>
      <c r="S17" s="193">
        <v>0</v>
      </c>
      <c r="T17" s="193">
        <v>612</v>
      </c>
    </row>
    <row r="18" spans="1:20">
      <c r="A18" s="13">
        <v>14</v>
      </c>
      <c r="B18" s="204" t="s">
        <v>215</v>
      </c>
      <c r="C18" s="205"/>
      <c r="D18" s="198">
        <v>0</v>
      </c>
      <c r="E18" s="198">
        <v>0</v>
      </c>
      <c r="F18" s="198">
        <v>34</v>
      </c>
      <c r="G18" s="199"/>
      <c r="H18" s="199"/>
      <c r="I18" s="10"/>
      <c r="J18" s="10"/>
      <c r="K18" s="11"/>
      <c r="L18" s="193">
        <v>0</v>
      </c>
      <c r="M18" s="193">
        <v>0</v>
      </c>
      <c r="N18" s="193">
        <v>0</v>
      </c>
      <c r="O18" s="193">
        <v>612</v>
      </c>
      <c r="P18" s="193">
        <v>0</v>
      </c>
      <c r="Q18" s="193">
        <v>0</v>
      </c>
      <c r="R18" s="193">
        <v>0</v>
      </c>
      <c r="S18" s="193">
        <v>0</v>
      </c>
      <c r="T18" s="193">
        <v>612</v>
      </c>
    </row>
    <row r="19" spans="1:20">
      <c r="A19" s="13">
        <v>15</v>
      </c>
      <c r="B19" s="204" t="s">
        <v>216</v>
      </c>
      <c r="C19" s="205"/>
      <c r="D19" s="198">
        <v>0</v>
      </c>
      <c r="E19" s="198">
        <v>0</v>
      </c>
      <c r="F19" s="198">
        <v>34</v>
      </c>
      <c r="G19" s="199"/>
      <c r="H19" s="199"/>
      <c r="I19" s="10"/>
      <c r="J19" s="10"/>
      <c r="K19" s="11"/>
      <c r="L19" s="193">
        <v>0</v>
      </c>
      <c r="M19" s="193">
        <v>0</v>
      </c>
      <c r="N19" s="193">
        <v>0</v>
      </c>
      <c r="O19" s="193">
        <v>612</v>
      </c>
      <c r="P19" s="193">
        <v>0</v>
      </c>
      <c r="Q19" s="193">
        <v>0</v>
      </c>
      <c r="R19" s="193">
        <v>0</v>
      </c>
      <c r="S19" s="193">
        <v>0</v>
      </c>
      <c r="T19" s="193">
        <v>612</v>
      </c>
    </row>
    <row r="20" spans="1:20">
      <c r="A20" s="13">
        <v>16</v>
      </c>
      <c r="B20" s="204" t="s">
        <v>217</v>
      </c>
      <c r="C20" s="205"/>
      <c r="D20" s="198">
        <v>0</v>
      </c>
      <c r="E20" s="198">
        <v>0</v>
      </c>
      <c r="F20" s="198">
        <v>34</v>
      </c>
      <c r="G20" s="199"/>
      <c r="H20" s="199"/>
      <c r="I20" s="10"/>
      <c r="J20" s="10"/>
      <c r="K20" s="11"/>
      <c r="L20" s="193">
        <v>0</v>
      </c>
      <c r="M20" s="193">
        <v>0</v>
      </c>
      <c r="N20" s="193">
        <v>0</v>
      </c>
      <c r="O20" s="193">
        <v>612</v>
      </c>
      <c r="P20" s="193">
        <v>0</v>
      </c>
      <c r="Q20" s="193">
        <v>0</v>
      </c>
      <c r="R20" s="193">
        <v>0</v>
      </c>
      <c r="S20" s="193">
        <v>0</v>
      </c>
      <c r="T20" s="193">
        <v>612</v>
      </c>
    </row>
    <row r="21" spans="1:20">
      <c r="A21" s="13">
        <v>17</v>
      </c>
      <c r="B21" s="204" t="s">
        <v>218</v>
      </c>
      <c r="C21" s="205"/>
      <c r="D21" s="198">
        <v>0</v>
      </c>
      <c r="E21" s="198">
        <v>0</v>
      </c>
      <c r="F21" s="198">
        <v>34</v>
      </c>
      <c r="G21" s="199"/>
      <c r="H21" s="199"/>
      <c r="I21" s="10"/>
      <c r="J21" s="10"/>
      <c r="K21" s="11"/>
      <c r="L21" s="193">
        <v>0</v>
      </c>
      <c r="M21" s="193">
        <v>0</v>
      </c>
      <c r="N21" s="193">
        <v>0</v>
      </c>
      <c r="O21" s="193">
        <v>612</v>
      </c>
      <c r="P21" s="193">
        <v>0</v>
      </c>
      <c r="Q21" s="193">
        <v>0</v>
      </c>
      <c r="R21" s="193">
        <v>0</v>
      </c>
      <c r="S21" s="193">
        <v>0</v>
      </c>
      <c r="T21" s="193">
        <v>612</v>
      </c>
    </row>
    <row r="22" spans="1:20">
      <c r="A22" s="13">
        <v>18</v>
      </c>
      <c r="B22" s="204" t="s">
        <v>219</v>
      </c>
      <c r="C22" s="205"/>
      <c r="D22" s="198">
        <v>0</v>
      </c>
      <c r="E22" s="198">
        <v>0</v>
      </c>
      <c r="F22" s="198">
        <v>34</v>
      </c>
      <c r="G22" s="199"/>
      <c r="H22" s="199"/>
      <c r="I22" s="10"/>
      <c r="J22" s="10"/>
      <c r="K22" s="11"/>
      <c r="L22" s="193">
        <v>0</v>
      </c>
      <c r="M22" s="193">
        <v>0</v>
      </c>
      <c r="N22" s="193">
        <v>0</v>
      </c>
      <c r="O22" s="193">
        <v>612</v>
      </c>
      <c r="P22" s="193">
        <v>0</v>
      </c>
      <c r="Q22" s="193">
        <v>0</v>
      </c>
      <c r="R22" s="193">
        <v>0</v>
      </c>
      <c r="S22" s="193">
        <v>0</v>
      </c>
      <c r="T22" s="193">
        <v>612</v>
      </c>
    </row>
    <row r="23" spans="1:20">
      <c r="A23" s="13">
        <v>19</v>
      </c>
      <c r="B23" s="204" t="s">
        <v>220</v>
      </c>
      <c r="C23" s="205"/>
      <c r="D23" s="198">
        <v>0</v>
      </c>
      <c r="E23" s="198">
        <v>0</v>
      </c>
      <c r="F23" s="198">
        <v>34</v>
      </c>
      <c r="G23" s="199"/>
      <c r="H23" s="199"/>
      <c r="I23" s="10"/>
      <c r="J23" s="10"/>
      <c r="K23" s="11"/>
      <c r="L23" s="193">
        <v>0</v>
      </c>
      <c r="M23" s="193">
        <v>0</v>
      </c>
      <c r="N23" s="193">
        <v>0</v>
      </c>
      <c r="O23" s="193">
        <v>612</v>
      </c>
      <c r="P23" s="193">
        <v>0</v>
      </c>
      <c r="Q23" s="193">
        <v>0</v>
      </c>
      <c r="R23" s="193">
        <v>0</v>
      </c>
      <c r="S23" s="193">
        <v>0</v>
      </c>
      <c r="T23" s="193">
        <v>612</v>
      </c>
    </row>
    <row r="24" spans="1:20">
      <c r="A24" s="13">
        <v>20</v>
      </c>
      <c r="B24" s="204" t="s">
        <v>221</v>
      </c>
      <c r="C24" s="205"/>
      <c r="D24" s="198">
        <v>0</v>
      </c>
      <c r="E24" s="198">
        <v>0</v>
      </c>
      <c r="F24" s="198">
        <v>34</v>
      </c>
      <c r="G24" s="199"/>
      <c r="H24" s="199"/>
      <c r="I24" s="10"/>
      <c r="J24" s="10"/>
      <c r="K24" s="11"/>
      <c r="L24" s="193">
        <v>0</v>
      </c>
      <c r="M24" s="193">
        <v>0</v>
      </c>
      <c r="N24" s="193">
        <v>0</v>
      </c>
      <c r="O24" s="193">
        <v>612</v>
      </c>
      <c r="P24" s="193">
        <v>0</v>
      </c>
      <c r="Q24" s="193">
        <v>0</v>
      </c>
      <c r="R24" s="193">
        <v>0</v>
      </c>
      <c r="S24" s="193">
        <v>0</v>
      </c>
      <c r="T24" s="193">
        <v>612</v>
      </c>
    </row>
    <row r="25" spans="1:20">
      <c r="A25" s="13">
        <v>21</v>
      </c>
      <c r="B25" s="204" t="s">
        <v>222</v>
      </c>
      <c r="C25" s="205"/>
      <c r="D25" s="198">
        <v>0</v>
      </c>
      <c r="E25" s="198">
        <v>0</v>
      </c>
      <c r="F25" s="198">
        <v>34</v>
      </c>
      <c r="G25" s="199"/>
      <c r="H25" s="199"/>
      <c r="I25" s="10"/>
      <c r="J25" s="10"/>
      <c r="K25" s="11"/>
      <c r="L25" s="193">
        <v>0</v>
      </c>
      <c r="M25" s="193">
        <v>0</v>
      </c>
      <c r="N25" s="193">
        <v>0</v>
      </c>
      <c r="O25" s="193">
        <v>612</v>
      </c>
      <c r="P25" s="193">
        <v>0</v>
      </c>
      <c r="Q25" s="193">
        <v>0</v>
      </c>
      <c r="R25" s="193">
        <v>0</v>
      </c>
      <c r="S25" s="193">
        <v>0</v>
      </c>
      <c r="T25" s="193">
        <v>612</v>
      </c>
    </row>
    <row r="26" spans="1:20">
      <c r="A26" s="13">
        <v>22</v>
      </c>
      <c r="B26" s="204" t="s">
        <v>223</v>
      </c>
      <c r="C26" s="205"/>
      <c r="D26" s="198">
        <v>0</v>
      </c>
      <c r="E26" s="198">
        <v>0</v>
      </c>
      <c r="F26" s="198">
        <v>34</v>
      </c>
      <c r="G26" s="199"/>
      <c r="H26" s="199"/>
      <c r="I26" s="10"/>
      <c r="J26" s="10"/>
      <c r="K26" s="11"/>
      <c r="L26" s="193">
        <v>0</v>
      </c>
      <c r="M26" s="193">
        <v>0</v>
      </c>
      <c r="N26" s="193">
        <v>0</v>
      </c>
      <c r="O26" s="193">
        <v>612</v>
      </c>
      <c r="P26" s="193">
        <v>0</v>
      </c>
      <c r="Q26" s="193">
        <v>0</v>
      </c>
      <c r="R26" s="193">
        <v>0</v>
      </c>
      <c r="S26" s="193">
        <v>0</v>
      </c>
      <c r="T26" s="193">
        <v>612</v>
      </c>
    </row>
    <row r="27" spans="1:20">
      <c r="A27" s="13">
        <v>23</v>
      </c>
      <c r="B27" s="204" t="s">
        <v>224</v>
      </c>
      <c r="C27" s="205"/>
      <c r="D27" s="198">
        <v>0</v>
      </c>
      <c r="E27" s="198">
        <v>0</v>
      </c>
      <c r="F27" s="198">
        <v>34</v>
      </c>
      <c r="G27" s="199"/>
      <c r="H27" s="199"/>
      <c r="I27" s="10"/>
      <c r="J27" s="10"/>
      <c r="K27" s="11"/>
      <c r="L27" s="193">
        <v>0</v>
      </c>
      <c r="M27" s="193">
        <v>0</v>
      </c>
      <c r="N27" s="193">
        <v>0</v>
      </c>
      <c r="O27" s="193">
        <v>612</v>
      </c>
      <c r="P27" s="193">
        <v>0</v>
      </c>
      <c r="Q27" s="193">
        <v>0</v>
      </c>
      <c r="R27" s="193">
        <v>0</v>
      </c>
      <c r="S27" s="193">
        <v>0</v>
      </c>
      <c r="T27" s="193">
        <v>612</v>
      </c>
    </row>
    <row r="28" spans="1:20">
      <c r="A28" s="13">
        <v>24</v>
      </c>
      <c r="B28" s="204" t="s">
        <v>225</v>
      </c>
      <c r="C28" s="205"/>
      <c r="D28" s="198">
        <v>0</v>
      </c>
      <c r="E28" s="198">
        <v>0</v>
      </c>
      <c r="F28" s="198">
        <v>34</v>
      </c>
      <c r="G28" s="199"/>
      <c r="H28" s="199"/>
      <c r="I28" s="10"/>
      <c r="J28" s="10"/>
      <c r="K28" s="11"/>
      <c r="L28" s="193">
        <v>0</v>
      </c>
      <c r="M28" s="193">
        <v>0</v>
      </c>
      <c r="N28" s="193">
        <v>0</v>
      </c>
      <c r="O28" s="193">
        <v>612</v>
      </c>
      <c r="P28" s="193">
        <v>0</v>
      </c>
      <c r="Q28" s="193">
        <v>0</v>
      </c>
      <c r="R28" s="193">
        <v>0</v>
      </c>
      <c r="S28" s="193">
        <v>0</v>
      </c>
      <c r="T28" s="193">
        <v>612</v>
      </c>
    </row>
    <row r="29" spans="1:20">
      <c r="A29" s="13">
        <v>25</v>
      </c>
      <c r="B29" s="204" t="s">
        <v>226</v>
      </c>
      <c r="C29" s="205"/>
      <c r="D29" s="198">
        <v>0</v>
      </c>
      <c r="E29" s="198">
        <v>0</v>
      </c>
      <c r="F29" s="198">
        <v>34</v>
      </c>
      <c r="G29" s="199"/>
      <c r="H29" s="199"/>
      <c r="I29" s="10"/>
      <c r="J29" s="10"/>
      <c r="K29" s="11"/>
      <c r="L29" s="193">
        <v>0</v>
      </c>
      <c r="M29" s="193">
        <v>0</v>
      </c>
      <c r="N29" s="193">
        <v>0</v>
      </c>
      <c r="O29" s="193">
        <v>612</v>
      </c>
      <c r="P29" s="193">
        <v>0</v>
      </c>
      <c r="Q29" s="193">
        <v>0</v>
      </c>
      <c r="R29" s="193">
        <v>0</v>
      </c>
      <c r="S29" s="193">
        <v>0</v>
      </c>
      <c r="T29" s="193">
        <v>612</v>
      </c>
    </row>
    <row r="30" spans="1:20">
      <c r="A30" s="13">
        <v>26</v>
      </c>
      <c r="B30" s="204" t="s">
        <v>227</v>
      </c>
      <c r="C30" s="205"/>
      <c r="D30" s="198">
        <v>0</v>
      </c>
      <c r="E30" s="198">
        <v>0</v>
      </c>
      <c r="F30" s="198">
        <v>34</v>
      </c>
      <c r="G30" s="199"/>
      <c r="H30" s="199"/>
      <c r="I30" s="10"/>
      <c r="J30" s="10"/>
      <c r="K30" s="11"/>
      <c r="L30" s="193">
        <v>0</v>
      </c>
      <c r="M30" s="193">
        <v>0</v>
      </c>
      <c r="N30" s="193">
        <v>0</v>
      </c>
      <c r="O30" s="193">
        <v>612</v>
      </c>
      <c r="P30" s="193">
        <v>0</v>
      </c>
      <c r="Q30" s="193">
        <v>0</v>
      </c>
      <c r="R30" s="193">
        <v>0</v>
      </c>
      <c r="S30" s="193">
        <v>0</v>
      </c>
      <c r="T30" s="193">
        <v>612</v>
      </c>
    </row>
    <row r="31" spans="1:20">
      <c r="A31" s="13">
        <v>27</v>
      </c>
      <c r="B31" s="204" t="s">
        <v>228</v>
      </c>
      <c r="C31" s="205"/>
      <c r="D31" s="198">
        <v>0</v>
      </c>
      <c r="E31" s="198">
        <v>0</v>
      </c>
      <c r="F31" s="198">
        <v>34</v>
      </c>
      <c r="G31" s="199"/>
      <c r="H31" s="199"/>
      <c r="I31" s="10"/>
      <c r="J31" s="10"/>
      <c r="K31" s="11"/>
      <c r="L31" s="193">
        <v>0</v>
      </c>
      <c r="M31" s="193">
        <v>0</v>
      </c>
      <c r="N31" s="193">
        <v>0</v>
      </c>
      <c r="O31" s="193">
        <v>612</v>
      </c>
      <c r="P31" s="193">
        <v>0</v>
      </c>
      <c r="Q31" s="193">
        <v>0</v>
      </c>
      <c r="R31" s="193">
        <v>0</v>
      </c>
      <c r="S31" s="193">
        <v>0</v>
      </c>
      <c r="T31" s="193">
        <v>612</v>
      </c>
    </row>
    <row r="32" spans="1:20">
      <c r="A32" s="13">
        <v>28</v>
      </c>
      <c r="B32" s="204" t="s">
        <v>229</v>
      </c>
      <c r="C32" s="205"/>
      <c r="D32" s="198">
        <v>0</v>
      </c>
      <c r="E32" s="198">
        <v>0</v>
      </c>
      <c r="F32" s="198">
        <v>34</v>
      </c>
      <c r="G32" s="199"/>
      <c r="H32" s="199"/>
      <c r="I32" s="10"/>
      <c r="J32" s="10"/>
      <c r="K32" s="11"/>
      <c r="L32" s="193">
        <v>0</v>
      </c>
      <c r="M32" s="193">
        <v>0</v>
      </c>
      <c r="N32" s="193">
        <v>0</v>
      </c>
      <c r="O32" s="193">
        <v>612</v>
      </c>
      <c r="P32" s="193">
        <v>0</v>
      </c>
      <c r="Q32" s="193">
        <v>0</v>
      </c>
      <c r="R32" s="193">
        <v>0</v>
      </c>
      <c r="S32" s="193">
        <v>0</v>
      </c>
      <c r="T32" s="193">
        <v>612</v>
      </c>
    </row>
    <row r="33" spans="1:20">
      <c r="A33" s="13">
        <v>29</v>
      </c>
      <c r="B33" s="204" t="s">
        <v>230</v>
      </c>
      <c r="C33" s="205"/>
      <c r="D33" s="198">
        <v>0</v>
      </c>
      <c r="E33" s="198">
        <v>0</v>
      </c>
      <c r="F33" s="198">
        <v>34</v>
      </c>
      <c r="G33" s="199"/>
      <c r="H33" s="199"/>
      <c r="I33" s="10"/>
      <c r="J33" s="10"/>
      <c r="K33" s="11"/>
      <c r="L33" s="193">
        <v>0</v>
      </c>
      <c r="M33" s="193">
        <v>0</v>
      </c>
      <c r="N33" s="193">
        <v>0</v>
      </c>
      <c r="O33" s="193">
        <v>612</v>
      </c>
      <c r="P33" s="193">
        <v>0</v>
      </c>
      <c r="Q33" s="193">
        <v>0</v>
      </c>
      <c r="R33" s="193">
        <v>0</v>
      </c>
      <c r="S33" s="193">
        <v>0</v>
      </c>
      <c r="T33" s="193">
        <v>612</v>
      </c>
    </row>
    <row r="34" spans="1:20">
      <c r="A34" s="13">
        <v>30</v>
      </c>
      <c r="B34" s="204" t="s">
        <v>231</v>
      </c>
      <c r="C34" s="205"/>
      <c r="D34" s="198">
        <v>0</v>
      </c>
      <c r="E34" s="198">
        <v>0</v>
      </c>
      <c r="F34" s="198">
        <v>34</v>
      </c>
      <c r="G34" s="199"/>
      <c r="H34" s="199"/>
      <c r="I34" s="10"/>
      <c r="J34" s="10"/>
      <c r="K34" s="11"/>
      <c r="L34" s="193">
        <v>0</v>
      </c>
      <c r="M34" s="193">
        <v>0</v>
      </c>
      <c r="N34" s="193">
        <v>0</v>
      </c>
      <c r="O34" s="193">
        <v>612</v>
      </c>
      <c r="P34" s="193">
        <v>0</v>
      </c>
      <c r="Q34" s="193">
        <v>0</v>
      </c>
      <c r="R34" s="193">
        <v>0</v>
      </c>
      <c r="S34" s="193">
        <v>0</v>
      </c>
      <c r="T34" s="193">
        <v>612</v>
      </c>
    </row>
    <row r="35" spans="1:20">
      <c r="A35" s="13">
        <v>31</v>
      </c>
      <c r="B35" s="204" t="s">
        <v>232</v>
      </c>
      <c r="C35" s="205"/>
      <c r="D35" s="198">
        <v>0</v>
      </c>
      <c r="E35" s="198">
        <v>0</v>
      </c>
      <c r="F35" s="198">
        <v>34</v>
      </c>
      <c r="G35" s="199"/>
      <c r="H35" s="199"/>
      <c r="I35" s="10"/>
      <c r="J35" s="10"/>
      <c r="K35" s="11"/>
      <c r="L35" s="193">
        <v>0</v>
      </c>
      <c r="M35" s="193">
        <v>0</v>
      </c>
      <c r="N35" s="193">
        <v>0</v>
      </c>
      <c r="O35" s="193">
        <v>612</v>
      </c>
      <c r="P35" s="193">
        <v>0</v>
      </c>
      <c r="Q35" s="193">
        <v>0</v>
      </c>
      <c r="R35" s="193">
        <v>0</v>
      </c>
      <c r="S35" s="193">
        <v>0</v>
      </c>
      <c r="T35" s="193">
        <v>612</v>
      </c>
    </row>
    <row r="36" spans="1:20">
      <c r="D36" s="19">
        <v>0</v>
      </c>
      <c r="E36" s="19">
        <v>0</v>
      </c>
      <c r="F36" s="19">
        <v>1054</v>
      </c>
      <c r="G36" s="19">
        <v>0</v>
      </c>
      <c r="H36" s="19">
        <v>0</v>
      </c>
      <c r="I36" s="19">
        <v>0</v>
      </c>
      <c r="J36" s="19">
        <v>0</v>
      </c>
      <c r="K36" s="20">
        <v>0</v>
      </c>
      <c r="L36" s="194">
        <v>0</v>
      </c>
      <c r="M36" s="194">
        <v>0</v>
      </c>
      <c r="N36" s="194">
        <v>0</v>
      </c>
      <c r="O36" s="194">
        <v>18972</v>
      </c>
      <c r="P36" s="194">
        <v>0</v>
      </c>
      <c r="Q36" s="194">
        <v>0</v>
      </c>
      <c r="R36" s="194">
        <v>0</v>
      </c>
      <c r="S36" s="194">
        <v>0</v>
      </c>
      <c r="T36" s="194">
        <v>18972</v>
      </c>
    </row>
    <row r="37" spans="1:20">
      <c r="R37" s="22"/>
      <c r="S37" s="22"/>
      <c r="T37" s="195">
        <v>22766.400000000001</v>
      </c>
    </row>
  </sheetData>
  <mergeCells count="50">
    <mergeCell ref="B8:C8"/>
    <mergeCell ref="B9:C9"/>
    <mergeCell ref="B10:C10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  <mergeCell ref="B7:C7"/>
    <mergeCell ref="L3:L4"/>
    <mergeCell ref="M3:M4"/>
    <mergeCell ref="N3:N4"/>
    <mergeCell ref="O3:O4"/>
    <mergeCell ref="R3:R4"/>
    <mergeCell ref="S3:S4"/>
    <mergeCell ref="T3:T4"/>
    <mergeCell ref="B5:C5"/>
    <mergeCell ref="B6:C6"/>
    <mergeCell ref="P3:P4"/>
    <mergeCell ref="Q3:Q4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13:C13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</mergeCells>
  <pageMargins left="0.7" right="0.7" top="0.75" bottom="0.75" header="0.3" footer="0.3"/>
  <pageSetup paperSize="9" fitToHeight="5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32B51-C4B1-4CE4-B9C5-653CF2D82C47}">
  <sheetPr codeName="Лист36">
    <pageSetUpPr fitToPage="1"/>
  </sheetPr>
  <dimension ref="A1:T37"/>
  <sheetViews>
    <sheetView workbookViewId="0">
      <selection activeCell="K5" sqref="K5"/>
    </sheetView>
  </sheetViews>
  <sheetFormatPr defaultRowHeight="15"/>
  <cols>
    <col min="1" max="3" width="8.796875" style="2"/>
    <col min="4" max="5" width="7.19921875" style="2" customWidth="1"/>
    <col min="6" max="6" width="9.19921875" style="2" customWidth="1"/>
    <col min="7" max="7" width="7.3984375" style="2" bestFit="1" customWidth="1"/>
    <col min="8" max="8" width="6.69921875" style="2" bestFit="1" customWidth="1"/>
    <col min="9" max="9" width="7.3984375" style="2" bestFit="1" customWidth="1"/>
    <col min="10" max="12" width="8.796875" style="2"/>
    <col min="13" max="13" width="11.09765625" style="2" customWidth="1"/>
    <col min="14" max="14" width="9.5" style="2" customWidth="1"/>
    <col min="15" max="15" width="10.19921875" style="2" customWidth="1"/>
    <col min="16" max="16" width="10.19921875" style="2" bestFit="1" customWidth="1"/>
    <col min="17" max="17" width="10.5" style="2" customWidth="1"/>
    <col min="18" max="18" width="9.296875" style="2" customWidth="1"/>
    <col min="19" max="19" width="8.19921875" style="2" customWidth="1"/>
    <col min="20" max="20" width="17" style="2" customWidth="1"/>
    <col min="21" max="16384" width="8.796875" style="2"/>
  </cols>
  <sheetData>
    <row r="1" spans="1:20">
      <c r="I1" s="3"/>
    </row>
    <row r="2" spans="1:20" ht="28.9" customHeight="1">
      <c r="A2" s="209" t="s">
        <v>238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</row>
    <row r="3" spans="1:20" ht="28.9" customHeight="1">
      <c r="A3" s="206" t="s">
        <v>0</v>
      </c>
      <c r="B3" s="210" t="s">
        <v>1</v>
      </c>
      <c r="C3" s="211"/>
      <c r="D3" s="206" t="s">
        <v>2</v>
      </c>
      <c r="E3" s="206" t="s">
        <v>3</v>
      </c>
      <c r="F3" s="4" t="s">
        <v>4</v>
      </c>
      <c r="G3" s="206" t="s">
        <v>239</v>
      </c>
      <c r="H3" s="206" t="s">
        <v>240</v>
      </c>
      <c r="I3" s="206" t="s">
        <v>7</v>
      </c>
      <c r="J3" s="206" t="s">
        <v>8</v>
      </c>
      <c r="K3" s="206" t="s">
        <v>200</v>
      </c>
      <c r="L3" s="206" t="s">
        <v>241</v>
      </c>
      <c r="M3" s="206" t="s">
        <v>11</v>
      </c>
      <c r="N3" s="206" t="s">
        <v>12</v>
      </c>
      <c r="O3" s="206" t="s">
        <v>13</v>
      </c>
      <c r="P3" s="206" t="s">
        <v>14</v>
      </c>
      <c r="Q3" s="206" t="s">
        <v>15</v>
      </c>
      <c r="R3" s="206" t="s">
        <v>16</v>
      </c>
      <c r="S3" s="206" t="s">
        <v>17</v>
      </c>
      <c r="T3" s="206" t="s">
        <v>18</v>
      </c>
    </row>
    <row r="4" spans="1:20">
      <c r="A4" s="207"/>
      <c r="B4" s="212"/>
      <c r="C4" s="213"/>
      <c r="D4" s="207"/>
      <c r="E4" s="207"/>
      <c r="F4" s="5"/>
      <c r="G4" s="207"/>
      <c r="H4" s="207"/>
      <c r="I4" s="207"/>
      <c r="J4" s="207"/>
      <c r="K4" s="208"/>
      <c r="L4" s="208"/>
      <c r="M4" s="207"/>
      <c r="N4" s="207"/>
      <c r="O4" s="207"/>
      <c r="P4" s="207"/>
      <c r="Q4" s="207"/>
      <c r="R4" s="207"/>
      <c r="S4" s="207"/>
      <c r="T4" s="207"/>
    </row>
    <row r="5" spans="1:20">
      <c r="A5" s="13">
        <v>1</v>
      </c>
      <c r="B5" s="204" t="s">
        <v>202</v>
      </c>
      <c r="C5" s="205"/>
      <c r="D5" s="198">
        <v>0</v>
      </c>
      <c r="E5" s="198">
        <v>0</v>
      </c>
      <c r="F5" s="198">
        <v>21.725000000000001</v>
      </c>
      <c r="G5" s="199">
        <v>0</v>
      </c>
      <c r="H5" s="199">
        <v>0</v>
      </c>
      <c r="I5" s="10">
        <v>0</v>
      </c>
      <c r="J5" s="11">
        <v>0</v>
      </c>
      <c r="K5" s="11">
        <v>0</v>
      </c>
      <c r="L5" s="193">
        <v>0</v>
      </c>
      <c r="M5" s="193">
        <v>0</v>
      </c>
      <c r="N5" s="193">
        <v>0</v>
      </c>
      <c r="O5" s="193">
        <v>349.12</v>
      </c>
      <c r="P5" s="193">
        <v>0</v>
      </c>
      <c r="Q5" s="193">
        <v>0</v>
      </c>
      <c r="R5" s="193">
        <v>0</v>
      </c>
      <c r="S5" s="193">
        <v>0</v>
      </c>
      <c r="T5" s="193">
        <v>349.12</v>
      </c>
    </row>
    <row r="6" spans="1:20">
      <c r="A6" s="13">
        <v>2</v>
      </c>
      <c r="B6" s="204" t="s">
        <v>203</v>
      </c>
      <c r="C6" s="205"/>
      <c r="D6" s="198">
        <v>0</v>
      </c>
      <c r="E6" s="198">
        <v>0</v>
      </c>
      <c r="F6" s="198">
        <v>21.725000000000001</v>
      </c>
      <c r="G6" s="199">
        <v>0</v>
      </c>
      <c r="H6" s="199">
        <v>0</v>
      </c>
      <c r="I6" s="10">
        <v>0</v>
      </c>
      <c r="J6" s="11">
        <v>0</v>
      </c>
      <c r="K6" s="11">
        <v>0</v>
      </c>
      <c r="L6" s="193">
        <v>0</v>
      </c>
      <c r="M6" s="193">
        <v>0</v>
      </c>
      <c r="N6" s="193">
        <v>0</v>
      </c>
      <c r="O6" s="193">
        <v>349.12</v>
      </c>
      <c r="P6" s="193">
        <v>0</v>
      </c>
      <c r="Q6" s="193">
        <v>0</v>
      </c>
      <c r="R6" s="193">
        <v>0</v>
      </c>
      <c r="S6" s="193">
        <v>0</v>
      </c>
      <c r="T6" s="193">
        <v>349.12</v>
      </c>
    </row>
    <row r="7" spans="1:20">
      <c r="A7" s="13">
        <v>3</v>
      </c>
      <c r="B7" s="204" t="s">
        <v>204</v>
      </c>
      <c r="C7" s="205"/>
      <c r="D7" s="198">
        <v>0</v>
      </c>
      <c r="E7" s="198">
        <v>0</v>
      </c>
      <c r="F7" s="198">
        <v>21.725000000000001</v>
      </c>
      <c r="G7" s="199">
        <v>0</v>
      </c>
      <c r="H7" s="199">
        <v>0</v>
      </c>
      <c r="I7" s="10">
        <v>0</v>
      </c>
      <c r="J7" s="11">
        <v>0</v>
      </c>
      <c r="K7" s="11">
        <v>0</v>
      </c>
      <c r="L7" s="193">
        <v>0</v>
      </c>
      <c r="M7" s="193">
        <v>0</v>
      </c>
      <c r="N7" s="193">
        <v>0</v>
      </c>
      <c r="O7" s="193">
        <v>349.12</v>
      </c>
      <c r="P7" s="193">
        <v>0</v>
      </c>
      <c r="Q7" s="193">
        <v>0</v>
      </c>
      <c r="R7" s="193">
        <v>0</v>
      </c>
      <c r="S7" s="193">
        <v>0</v>
      </c>
      <c r="T7" s="193">
        <v>349.12</v>
      </c>
    </row>
    <row r="8" spans="1:20">
      <c r="A8" s="13">
        <v>4</v>
      </c>
      <c r="B8" s="204" t="s">
        <v>205</v>
      </c>
      <c r="C8" s="205"/>
      <c r="D8" s="198">
        <v>0</v>
      </c>
      <c r="E8" s="198">
        <v>0</v>
      </c>
      <c r="F8" s="198">
        <v>21.725000000000001</v>
      </c>
      <c r="G8" s="199">
        <v>0</v>
      </c>
      <c r="H8" s="199">
        <v>0</v>
      </c>
      <c r="I8" s="10">
        <v>0</v>
      </c>
      <c r="J8" s="11">
        <v>0</v>
      </c>
      <c r="K8" s="11">
        <v>0</v>
      </c>
      <c r="L8" s="193">
        <v>0</v>
      </c>
      <c r="M8" s="193">
        <v>0</v>
      </c>
      <c r="N8" s="193">
        <v>0</v>
      </c>
      <c r="O8" s="193">
        <v>349.12</v>
      </c>
      <c r="P8" s="193">
        <v>0</v>
      </c>
      <c r="Q8" s="193">
        <v>0</v>
      </c>
      <c r="R8" s="193">
        <v>0</v>
      </c>
      <c r="S8" s="193">
        <v>0</v>
      </c>
      <c r="T8" s="193">
        <v>349.12</v>
      </c>
    </row>
    <row r="9" spans="1:20">
      <c r="A9" s="13">
        <v>5</v>
      </c>
      <c r="B9" s="204" t="s">
        <v>206</v>
      </c>
      <c r="C9" s="205"/>
      <c r="D9" s="198">
        <v>0</v>
      </c>
      <c r="E9" s="198">
        <v>0</v>
      </c>
      <c r="F9" s="198">
        <v>21.725000000000001</v>
      </c>
      <c r="G9" s="199">
        <v>0</v>
      </c>
      <c r="H9" s="199">
        <v>0</v>
      </c>
      <c r="I9" s="10">
        <v>0</v>
      </c>
      <c r="J9" s="11">
        <v>0</v>
      </c>
      <c r="K9" s="11">
        <v>0</v>
      </c>
      <c r="L9" s="193">
        <v>0</v>
      </c>
      <c r="M9" s="193">
        <v>0</v>
      </c>
      <c r="N9" s="193">
        <v>0</v>
      </c>
      <c r="O9" s="193">
        <v>349.12</v>
      </c>
      <c r="P9" s="193">
        <v>0</v>
      </c>
      <c r="Q9" s="193">
        <v>0</v>
      </c>
      <c r="R9" s="193">
        <v>0</v>
      </c>
      <c r="S9" s="193">
        <v>0</v>
      </c>
      <c r="T9" s="193">
        <v>349.12</v>
      </c>
    </row>
    <row r="10" spans="1:20">
      <c r="A10" s="13">
        <v>6</v>
      </c>
      <c r="B10" s="204" t="s">
        <v>207</v>
      </c>
      <c r="C10" s="205"/>
      <c r="D10" s="198">
        <v>0</v>
      </c>
      <c r="E10" s="198">
        <v>0</v>
      </c>
      <c r="F10" s="198">
        <v>21.725000000000001</v>
      </c>
      <c r="G10" s="199">
        <v>0</v>
      </c>
      <c r="H10" s="199">
        <v>0</v>
      </c>
      <c r="I10" s="10">
        <v>0</v>
      </c>
      <c r="J10" s="11">
        <v>0</v>
      </c>
      <c r="K10" s="11">
        <v>0</v>
      </c>
      <c r="L10" s="193">
        <v>0</v>
      </c>
      <c r="M10" s="193">
        <v>0</v>
      </c>
      <c r="N10" s="193">
        <v>0</v>
      </c>
      <c r="O10" s="193">
        <v>349.12</v>
      </c>
      <c r="P10" s="193">
        <v>0</v>
      </c>
      <c r="Q10" s="193">
        <v>0</v>
      </c>
      <c r="R10" s="193">
        <v>0</v>
      </c>
      <c r="S10" s="193">
        <v>0</v>
      </c>
      <c r="T10" s="193">
        <v>349.12</v>
      </c>
    </row>
    <row r="11" spans="1:20">
      <c r="A11" s="13">
        <v>7</v>
      </c>
      <c r="B11" s="204" t="s">
        <v>208</v>
      </c>
      <c r="C11" s="205"/>
      <c r="D11" s="198">
        <v>0</v>
      </c>
      <c r="E11" s="198">
        <v>0</v>
      </c>
      <c r="F11" s="198">
        <v>21.725000000000001</v>
      </c>
      <c r="G11" s="199">
        <v>0</v>
      </c>
      <c r="H11" s="199">
        <v>0</v>
      </c>
      <c r="I11" s="10">
        <v>0</v>
      </c>
      <c r="J11" s="11">
        <v>0</v>
      </c>
      <c r="K11" s="11">
        <v>0</v>
      </c>
      <c r="L11" s="193">
        <v>0</v>
      </c>
      <c r="M11" s="193">
        <v>0</v>
      </c>
      <c r="N11" s="193">
        <v>0</v>
      </c>
      <c r="O11" s="193">
        <v>349.12</v>
      </c>
      <c r="P11" s="193">
        <v>0</v>
      </c>
      <c r="Q11" s="193">
        <v>0</v>
      </c>
      <c r="R11" s="193">
        <v>0</v>
      </c>
      <c r="S11" s="193">
        <v>0</v>
      </c>
      <c r="T11" s="193">
        <v>349.12</v>
      </c>
    </row>
    <row r="12" spans="1:20">
      <c r="A12" s="13">
        <v>8</v>
      </c>
      <c r="B12" s="204" t="s">
        <v>209</v>
      </c>
      <c r="C12" s="205"/>
      <c r="D12" s="198">
        <v>0</v>
      </c>
      <c r="E12" s="198">
        <v>0</v>
      </c>
      <c r="F12" s="198">
        <v>21.725000000000001</v>
      </c>
      <c r="G12" s="199">
        <v>0</v>
      </c>
      <c r="H12" s="199">
        <v>0</v>
      </c>
      <c r="I12" s="10">
        <v>0</v>
      </c>
      <c r="J12" s="11">
        <v>0</v>
      </c>
      <c r="K12" s="11">
        <v>0</v>
      </c>
      <c r="L12" s="193">
        <v>0</v>
      </c>
      <c r="M12" s="193">
        <v>0</v>
      </c>
      <c r="N12" s="193">
        <v>0</v>
      </c>
      <c r="O12" s="193">
        <v>349.12</v>
      </c>
      <c r="P12" s="193">
        <v>0</v>
      </c>
      <c r="Q12" s="193">
        <v>0</v>
      </c>
      <c r="R12" s="193">
        <v>0</v>
      </c>
      <c r="S12" s="193">
        <v>0</v>
      </c>
      <c r="T12" s="193">
        <v>349.12</v>
      </c>
    </row>
    <row r="13" spans="1:20">
      <c r="A13" s="13">
        <v>9</v>
      </c>
      <c r="B13" s="204" t="s">
        <v>210</v>
      </c>
      <c r="C13" s="205"/>
      <c r="D13" s="198">
        <v>0</v>
      </c>
      <c r="E13" s="198">
        <v>0</v>
      </c>
      <c r="F13" s="198">
        <v>21.725000000000001</v>
      </c>
      <c r="G13" s="199">
        <v>0</v>
      </c>
      <c r="H13" s="199">
        <v>0</v>
      </c>
      <c r="I13" s="10">
        <v>0</v>
      </c>
      <c r="J13" s="11">
        <v>0</v>
      </c>
      <c r="K13" s="11">
        <v>0</v>
      </c>
      <c r="L13" s="193">
        <v>0</v>
      </c>
      <c r="M13" s="193">
        <v>0</v>
      </c>
      <c r="N13" s="193">
        <v>0</v>
      </c>
      <c r="O13" s="193">
        <v>349.12</v>
      </c>
      <c r="P13" s="193">
        <v>0</v>
      </c>
      <c r="Q13" s="193">
        <v>0</v>
      </c>
      <c r="R13" s="193">
        <v>0</v>
      </c>
      <c r="S13" s="193">
        <v>0</v>
      </c>
      <c r="T13" s="193">
        <v>349.12</v>
      </c>
    </row>
    <row r="14" spans="1:20">
      <c r="A14" s="13">
        <v>10</v>
      </c>
      <c r="B14" s="204" t="s">
        <v>211</v>
      </c>
      <c r="C14" s="205"/>
      <c r="D14" s="198">
        <v>0</v>
      </c>
      <c r="E14" s="198">
        <v>0</v>
      </c>
      <c r="F14" s="198">
        <v>21.725000000000001</v>
      </c>
      <c r="G14" s="199">
        <v>0</v>
      </c>
      <c r="H14" s="199">
        <v>0</v>
      </c>
      <c r="I14" s="10">
        <v>0</v>
      </c>
      <c r="J14" s="11">
        <v>0</v>
      </c>
      <c r="K14" s="11">
        <v>0</v>
      </c>
      <c r="L14" s="193">
        <v>0</v>
      </c>
      <c r="M14" s="193">
        <v>0</v>
      </c>
      <c r="N14" s="193">
        <v>0</v>
      </c>
      <c r="O14" s="193">
        <v>349.12</v>
      </c>
      <c r="P14" s="193">
        <v>0</v>
      </c>
      <c r="Q14" s="193">
        <v>0</v>
      </c>
      <c r="R14" s="193">
        <v>0</v>
      </c>
      <c r="S14" s="193">
        <v>0</v>
      </c>
      <c r="T14" s="193">
        <v>349.12</v>
      </c>
    </row>
    <row r="15" spans="1:20">
      <c r="A15" s="13">
        <v>11</v>
      </c>
      <c r="B15" s="204" t="s">
        <v>212</v>
      </c>
      <c r="C15" s="205"/>
      <c r="D15" s="198">
        <v>0</v>
      </c>
      <c r="E15" s="198">
        <v>17.875</v>
      </c>
      <c r="F15" s="198">
        <v>3.85</v>
      </c>
      <c r="G15" s="199">
        <v>0</v>
      </c>
      <c r="H15" s="199">
        <v>0</v>
      </c>
      <c r="I15" s="10">
        <v>0</v>
      </c>
      <c r="J15" s="11">
        <v>0</v>
      </c>
      <c r="K15" s="11">
        <v>0</v>
      </c>
      <c r="L15" s="193">
        <v>0</v>
      </c>
      <c r="M15" s="193">
        <v>0</v>
      </c>
      <c r="N15" s="193">
        <v>1698.13</v>
      </c>
      <c r="O15" s="193">
        <v>61.87</v>
      </c>
      <c r="P15" s="193">
        <v>0</v>
      </c>
      <c r="Q15" s="193">
        <v>0</v>
      </c>
      <c r="R15" s="193">
        <v>0</v>
      </c>
      <c r="S15" s="193">
        <v>0</v>
      </c>
      <c r="T15" s="193">
        <v>1759.99</v>
      </c>
    </row>
    <row r="16" spans="1:20">
      <c r="A16" s="13">
        <v>12</v>
      </c>
      <c r="B16" s="204" t="s">
        <v>213</v>
      </c>
      <c r="C16" s="205"/>
      <c r="D16" s="198">
        <v>0</v>
      </c>
      <c r="E16" s="198">
        <v>0</v>
      </c>
      <c r="F16" s="198">
        <v>3.85</v>
      </c>
      <c r="G16" s="199">
        <v>0</v>
      </c>
      <c r="H16" s="199">
        <v>0</v>
      </c>
      <c r="I16" s="10">
        <v>0</v>
      </c>
      <c r="J16" s="11">
        <v>0</v>
      </c>
      <c r="K16" s="11">
        <v>0</v>
      </c>
      <c r="L16" s="193">
        <v>0</v>
      </c>
      <c r="M16" s="193">
        <v>0</v>
      </c>
      <c r="N16" s="193">
        <v>0</v>
      </c>
      <c r="O16" s="193">
        <v>61.87</v>
      </c>
      <c r="P16" s="193">
        <v>0</v>
      </c>
      <c r="Q16" s="193">
        <v>0</v>
      </c>
      <c r="R16" s="193">
        <v>0</v>
      </c>
      <c r="S16" s="193">
        <v>0</v>
      </c>
      <c r="T16" s="193">
        <v>61.87</v>
      </c>
    </row>
    <row r="17" spans="1:20">
      <c r="A17" s="13">
        <v>13</v>
      </c>
      <c r="B17" s="204" t="s">
        <v>214</v>
      </c>
      <c r="C17" s="205"/>
      <c r="D17" s="198">
        <v>0</v>
      </c>
      <c r="E17" s="198">
        <v>0</v>
      </c>
      <c r="F17" s="198">
        <v>3.85</v>
      </c>
      <c r="G17" s="199">
        <v>0</v>
      </c>
      <c r="H17" s="199">
        <v>0</v>
      </c>
      <c r="I17" s="10">
        <v>0</v>
      </c>
      <c r="J17" s="11">
        <v>0</v>
      </c>
      <c r="K17" s="11">
        <v>0</v>
      </c>
      <c r="L17" s="193">
        <v>0</v>
      </c>
      <c r="M17" s="193">
        <v>0</v>
      </c>
      <c r="N17" s="193">
        <v>0</v>
      </c>
      <c r="O17" s="193">
        <v>61.87</v>
      </c>
      <c r="P17" s="193">
        <v>0</v>
      </c>
      <c r="Q17" s="193">
        <v>0</v>
      </c>
      <c r="R17" s="193">
        <v>0</v>
      </c>
      <c r="S17" s="193">
        <v>0</v>
      </c>
      <c r="T17" s="193">
        <v>61.87</v>
      </c>
    </row>
    <row r="18" spans="1:20">
      <c r="A18" s="13">
        <v>14</v>
      </c>
      <c r="B18" s="204" t="s">
        <v>215</v>
      </c>
      <c r="C18" s="205"/>
      <c r="D18" s="198">
        <v>0</v>
      </c>
      <c r="E18" s="198">
        <v>0</v>
      </c>
      <c r="F18" s="198">
        <v>3.85</v>
      </c>
      <c r="G18" s="199">
        <v>0</v>
      </c>
      <c r="H18" s="199">
        <v>0</v>
      </c>
      <c r="I18" s="10">
        <v>0</v>
      </c>
      <c r="J18" s="11">
        <v>0</v>
      </c>
      <c r="K18" s="11">
        <v>0</v>
      </c>
      <c r="L18" s="193">
        <v>0</v>
      </c>
      <c r="M18" s="193">
        <v>0</v>
      </c>
      <c r="N18" s="193">
        <v>0</v>
      </c>
      <c r="O18" s="193">
        <v>61.87</v>
      </c>
      <c r="P18" s="193">
        <v>0</v>
      </c>
      <c r="Q18" s="193">
        <v>0</v>
      </c>
      <c r="R18" s="193">
        <v>0</v>
      </c>
      <c r="S18" s="193">
        <v>0</v>
      </c>
      <c r="T18" s="193">
        <v>61.87</v>
      </c>
    </row>
    <row r="19" spans="1:20">
      <c r="A19" s="13">
        <v>15</v>
      </c>
      <c r="B19" s="204" t="s">
        <v>216</v>
      </c>
      <c r="C19" s="205"/>
      <c r="D19" s="198">
        <v>0</v>
      </c>
      <c r="E19" s="198">
        <v>0</v>
      </c>
      <c r="F19" s="198">
        <v>3.85</v>
      </c>
      <c r="G19" s="199">
        <v>0</v>
      </c>
      <c r="H19" s="199">
        <v>0</v>
      </c>
      <c r="I19" s="10">
        <v>0</v>
      </c>
      <c r="J19" s="11">
        <v>0</v>
      </c>
      <c r="K19" s="11">
        <v>0</v>
      </c>
      <c r="L19" s="193">
        <v>0</v>
      </c>
      <c r="M19" s="193">
        <v>0</v>
      </c>
      <c r="N19" s="193">
        <v>0</v>
      </c>
      <c r="O19" s="193">
        <v>61.87</v>
      </c>
      <c r="P19" s="193">
        <v>0</v>
      </c>
      <c r="Q19" s="193">
        <v>0</v>
      </c>
      <c r="R19" s="193">
        <v>0</v>
      </c>
      <c r="S19" s="193">
        <v>0</v>
      </c>
      <c r="T19" s="193">
        <v>61.87</v>
      </c>
    </row>
    <row r="20" spans="1:20">
      <c r="A20" s="13">
        <v>16</v>
      </c>
      <c r="B20" s="204" t="s">
        <v>217</v>
      </c>
      <c r="C20" s="205"/>
      <c r="D20" s="198">
        <v>0</v>
      </c>
      <c r="E20" s="198">
        <v>0</v>
      </c>
      <c r="F20" s="198">
        <v>3.85</v>
      </c>
      <c r="G20" s="199">
        <v>0</v>
      </c>
      <c r="H20" s="199">
        <v>0</v>
      </c>
      <c r="I20" s="10">
        <v>0</v>
      </c>
      <c r="J20" s="11">
        <v>0</v>
      </c>
      <c r="K20" s="11">
        <v>0</v>
      </c>
      <c r="L20" s="193">
        <v>0</v>
      </c>
      <c r="M20" s="193">
        <v>0</v>
      </c>
      <c r="N20" s="193">
        <v>0</v>
      </c>
      <c r="O20" s="193">
        <v>61.87</v>
      </c>
      <c r="P20" s="193">
        <v>0</v>
      </c>
      <c r="Q20" s="193">
        <v>0</v>
      </c>
      <c r="R20" s="193">
        <v>0</v>
      </c>
      <c r="S20" s="193">
        <v>0</v>
      </c>
      <c r="T20" s="193">
        <v>61.87</v>
      </c>
    </row>
    <row r="21" spans="1:20">
      <c r="A21" s="13">
        <v>17</v>
      </c>
      <c r="B21" s="204" t="s">
        <v>218</v>
      </c>
      <c r="C21" s="205"/>
      <c r="D21" s="198">
        <v>0</v>
      </c>
      <c r="E21" s="198">
        <v>0</v>
      </c>
      <c r="F21" s="198">
        <v>3.85</v>
      </c>
      <c r="G21" s="199">
        <v>0</v>
      </c>
      <c r="H21" s="199">
        <v>0</v>
      </c>
      <c r="I21" s="10">
        <v>0</v>
      </c>
      <c r="J21" s="11">
        <v>0</v>
      </c>
      <c r="K21" s="11">
        <v>0</v>
      </c>
      <c r="L21" s="193">
        <v>0</v>
      </c>
      <c r="M21" s="193">
        <v>0</v>
      </c>
      <c r="N21" s="193">
        <v>0</v>
      </c>
      <c r="O21" s="193">
        <v>61.87</v>
      </c>
      <c r="P21" s="193">
        <v>0</v>
      </c>
      <c r="Q21" s="193">
        <v>0</v>
      </c>
      <c r="R21" s="193">
        <v>0</v>
      </c>
      <c r="S21" s="193">
        <v>0</v>
      </c>
      <c r="T21" s="193">
        <v>61.87</v>
      </c>
    </row>
    <row r="22" spans="1:20">
      <c r="A22" s="13">
        <v>18</v>
      </c>
      <c r="B22" s="204" t="s">
        <v>219</v>
      </c>
      <c r="C22" s="205"/>
      <c r="D22" s="198">
        <v>0</v>
      </c>
      <c r="E22" s="198">
        <v>0</v>
      </c>
      <c r="F22" s="198">
        <v>3.85</v>
      </c>
      <c r="G22" s="199">
        <v>0</v>
      </c>
      <c r="H22" s="199">
        <v>0</v>
      </c>
      <c r="I22" s="10">
        <v>0</v>
      </c>
      <c r="J22" s="11">
        <v>0</v>
      </c>
      <c r="K22" s="11">
        <v>0</v>
      </c>
      <c r="L22" s="193">
        <v>0</v>
      </c>
      <c r="M22" s="193">
        <v>0</v>
      </c>
      <c r="N22" s="193">
        <v>0</v>
      </c>
      <c r="O22" s="193">
        <v>61.87</v>
      </c>
      <c r="P22" s="193">
        <v>0</v>
      </c>
      <c r="Q22" s="193">
        <v>0</v>
      </c>
      <c r="R22" s="193">
        <v>0</v>
      </c>
      <c r="S22" s="193">
        <v>0</v>
      </c>
      <c r="T22" s="193">
        <v>61.87</v>
      </c>
    </row>
    <row r="23" spans="1:20">
      <c r="A23" s="13">
        <v>19</v>
      </c>
      <c r="B23" s="204" t="s">
        <v>220</v>
      </c>
      <c r="C23" s="205"/>
      <c r="D23" s="198">
        <v>0</v>
      </c>
      <c r="E23" s="198">
        <v>0</v>
      </c>
      <c r="F23" s="198">
        <v>3.85</v>
      </c>
      <c r="G23" s="199">
        <v>0</v>
      </c>
      <c r="H23" s="199">
        <v>0</v>
      </c>
      <c r="I23" s="10">
        <v>0</v>
      </c>
      <c r="J23" s="11">
        <v>0</v>
      </c>
      <c r="K23" s="11">
        <v>0</v>
      </c>
      <c r="L23" s="193">
        <v>0</v>
      </c>
      <c r="M23" s="193">
        <v>0</v>
      </c>
      <c r="N23" s="193">
        <v>0</v>
      </c>
      <c r="O23" s="193">
        <v>61.87</v>
      </c>
      <c r="P23" s="193">
        <v>0</v>
      </c>
      <c r="Q23" s="193">
        <v>0</v>
      </c>
      <c r="R23" s="193">
        <v>0</v>
      </c>
      <c r="S23" s="193">
        <v>0</v>
      </c>
      <c r="T23" s="193">
        <v>61.87</v>
      </c>
    </row>
    <row r="24" spans="1:20">
      <c r="A24" s="13">
        <v>20</v>
      </c>
      <c r="B24" s="204" t="s">
        <v>221</v>
      </c>
      <c r="C24" s="205"/>
      <c r="D24" s="198">
        <v>0</v>
      </c>
      <c r="E24" s="198">
        <v>0</v>
      </c>
      <c r="F24" s="198">
        <v>3.85</v>
      </c>
      <c r="G24" s="199">
        <v>0</v>
      </c>
      <c r="H24" s="199">
        <v>0</v>
      </c>
      <c r="I24" s="10">
        <v>0</v>
      </c>
      <c r="J24" s="11">
        <v>0</v>
      </c>
      <c r="K24" s="11">
        <v>0</v>
      </c>
      <c r="L24" s="193">
        <v>0</v>
      </c>
      <c r="M24" s="193">
        <v>0</v>
      </c>
      <c r="N24" s="193">
        <v>0</v>
      </c>
      <c r="O24" s="193">
        <v>61.87</v>
      </c>
      <c r="P24" s="193">
        <v>0</v>
      </c>
      <c r="Q24" s="193">
        <v>0</v>
      </c>
      <c r="R24" s="193">
        <v>0</v>
      </c>
      <c r="S24" s="193">
        <v>0</v>
      </c>
      <c r="T24" s="193">
        <v>61.87</v>
      </c>
    </row>
    <row r="25" spans="1:20">
      <c r="A25" s="13">
        <v>21</v>
      </c>
      <c r="B25" s="204" t="s">
        <v>222</v>
      </c>
      <c r="C25" s="205"/>
      <c r="D25" s="198">
        <v>0</v>
      </c>
      <c r="E25" s="198">
        <v>0</v>
      </c>
      <c r="F25" s="198">
        <v>3.85</v>
      </c>
      <c r="G25" s="199">
        <v>0</v>
      </c>
      <c r="H25" s="199">
        <v>0</v>
      </c>
      <c r="I25" s="10">
        <v>0</v>
      </c>
      <c r="J25" s="11">
        <v>0</v>
      </c>
      <c r="K25" s="11">
        <v>0</v>
      </c>
      <c r="L25" s="193">
        <v>0</v>
      </c>
      <c r="M25" s="193">
        <v>0</v>
      </c>
      <c r="N25" s="193">
        <v>0</v>
      </c>
      <c r="O25" s="193">
        <v>61.87</v>
      </c>
      <c r="P25" s="193">
        <v>0</v>
      </c>
      <c r="Q25" s="193">
        <v>0</v>
      </c>
      <c r="R25" s="193">
        <v>0</v>
      </c>
      <c r="S25" s="193">
        <v>0</v>
      </c>
      <c r="T25" s="193">
        <v>61.87</v>
      </c>
    </row>
    <row r="26" spans="1:20">
      <c r="A26" s="13">
        <v>22</v>
      </c>
      <c r="B26" s="204" t="s">
        <v>223</v>
      </c>
      <c r="C26" s="205"/>
      <c r="D26" s="198">
        <v>0</v>
      </c>
      <c r="E26" s="198">
        <v>0</v>
      </c>
      <c r="F26" s="198">
        <v>3.85</v>
      </c>
      <c r="G26" s="199">
        <v>0</v>
      </c>
      <c r="H26" s="199">
        <v>0</v>
      </c>
      <c r="I26" s="10">
        <v>0</v>
      </c>
      <c r="J26" s="11">
        <v>0</v>
      </c>
      <c r="K26" s="11">
        <v>0</v>
      </c>
      <c r="L26" s="193">
        <v>0</v>
      </c>
      <c r="M26" s="193">
        <v>0</v>
      </c>
      <c r="N26" s="193">
        <v>0</v>
      </c>
      <c r="O26" s="193">
        <v>61.87</v>
      </c>
      <c r="P26" s="193">
        <v>0</v>
      </c>
      <c r="Q26" s="193">
        <v>0</v>
      </c>
      <c r="R26" s="193">
        <v>0</v>
      </c>
      <c r="S26" s="193">
        <v>0</v>
      </c>
      <c r="T26" s="193">
        <v>61.87</v>
      </c>
    </row>
    <row r="27" spans="1:20">
      <c r="A27" s="13">
        <v>23</v>
      </c>
      <c r="B27" s="204" t="s">
        <v>224</v>
      </c>
      <c r="C27" s="205"/>
      <c r="D27" s="198">
        <v>0</v>
      </c>
      <c r="E27" s="198">
        <v>0</v>
      </c>
      <c r="F27" s="198">
        <v>3.85</v>
      </c>
      <c r="G27" s="199">
        <v>0</v>
      </c>
      <c r="H27" s="199">
        <v>0</v>
      </c>
      <c r="I27" s="10">
        <v>0</v>
      </c>
      <c r="J27" s="11">
        <v>0</v>
      </c>
      <c r="K27" s="11">
        <v>0</v>
      </c>
      <c r="L27" s="193">
        <v>0</v>
      </c>
      <c r="M27" s="193">
        <v>0</v>
      </c>
      <c r="N27" s="193">
        <v>0</v>
      </c>
      <c r="O27" s="193">
        <v>61.87</v>
      </c>
      <c r="P27" s="193">
        <v>0</v>
      </c>
      <c r="Q27" s="193">
        <v>0</v>
      </c>
      <c r="R27" s="193">
        <v>0</v>
      </c>
      <c r="S27" s="193">
        <v>0</v>
      </c>
      <c r="T27" s="193">
        <v>61.87</v>
      </c>
    </row>
    <row r="28" spans="1:20">
      <c r="A28" s="13">
        <v>24</v>
      </c>
      <c r="B28" s="204" t="s">
        <v>225</v>
      </c>
      <c r="C28" s="205"/>
      <c r="D28" s="198">
        <v>0</v>
      </c>
      <c r="E28" s="198">
        <v>0</v>
      </c>
      <c r="F28" s="198">
        <v>3.85</v>
      </c>
      <c r="G28" s="199">
        <v>0</v>
      </c>
      <c r="H28" s="199">
        <v>0</v>
      </c>
      <c r="I28" s="10">
        <v>0</v>
      </c>
      <c r="J28" s="11">
        <v>0</v>
      </c>
      <c r="K28" s="11">
        <v>0</v>
      </c>
      <c r="L28" s="193">
        <v>0</v>
      </c>
      <c r="M28" s="193">
        <v>0</v>
      </c>
      <c r="N28" s="193">
        <v>0</v>
      </c>
      <c r="O28" s="193">
        <v>61.87</v>
      </c>
      <c r="P28" s="193">
        <v>0</v>
      </c>
      <c r="Q28" s="193">
        <v>0</v>
      </c>
      <c r="R28" s="193">
        <v>0</v>
      </c>
      <c r="S28" s="193">
        <v>0</v>
      </c>
      <c r="T28" s="193">
        <v>61.87</v>
      </c>
    </row>
    <row r="29" spans="1:20">
      <c r="A29" s="13">
        <v>25</v>
      </c>
      <c r="B29" s="204" t="s">
        <v>226</v>
      </c>
      <c r="C29" s="205"/>
      <c r="D29" s="198">
        <v>0</v>
      </c>
      <c r="E29" s="198">
        <v>0</v>
      </c>
      <c r="F29" s="198">
        <v>3.85</v>
      </c>
      <c r="G29" s="199">
        <v>0</v>
      </c>
      <c r="H29" s="199">
        <v>0</v>
      </c>
      <c r="I29" s="10">
        <v>0</v>
      </c>
      <c r="J29" s="11">
        <v>0</v>
      </c>
      <c r="K29" s="11">
        <v>0</v>
      </c>
      <c r="L29" s="193">
        <v>0</v>
      </c>
      <c r="M29" s="193">
        <v>0</v>
      </c>
      <c r="N29" s="193">
        <v>0</v>
      </c>
      <c r="O29" s="193">
        <v>61.87</v>
      </c>
      <c r="P29" s="193">
        <v>0</v>
      </c>
      <c r="Q29" s="193">
        <v>0</v>
      </c>
      <c r="R29" s="193">
        <v>0</v>
      </c>
      <c r="S29" s="193">
        <v>0</v>
      </c>
      <c r="T29" s="193">
        <v>61.87</v>
      </c>
    </row>
    <row r="30" spans="1:20">
      <c r="A30" s="13">
        <v>26</v>
      </c>
      <c r="B30" s="204" t="s">
        <v>227</v>
      </c>
      <c r="C30" s="205"/>
      <c r="D30" s="198">
        <v>0</v>
      </c>
      <c r="E30" s="198">
        <v>0</v>
      </c>
      <c r="F30" s="198">
        <v>3.85</v>
      </c>
      <c r="G30" s="199">
        <v>0</v>
      </c>
      <c r="H30" s="199">
        <v>0</v>
      </c>
      <c r="I30" s="10">
        <v>0</v>
      </c>
      <c r="J30" s="11">
        <v>0</v>
      </c>
      <c r="K30" s="11">
        <v>0</v>
      </c>
      <c r="L30" s="193">
        <v>0</v>
      </c>
      <c r="M30" s="193">
        <v>0</v>
      </c>
      <c r="N30" s="193">
        <v>0</v>
      </c>
      <c r="O30" s="193">
        <v>61.87</v>
      </c>
      <c r="P30" s="193">
        <v>0</v>
      </c>
      <c r="Q30" s="193">
        <v>0</v>
      </c>
      <c r="R30" s="193">
        <v>0</v>
      </c>
      <c r="S30" s="193">
        <v>0</v>
      </c>
      <c r="T30" s="193">
        <v>61.87</v>
      </c>
    </row>
    <row r="31" spans="1:20">
      <c r="A31" s="13">
        <v>27</v>
      </c>
      <c r="B31" s="204" t="s">
        <v>228</v>
      </c>
      <c r="C31" s="205"/>
      <c r="D31" s="198">
        <v>0</v>
      </c>
      <c r="E31" s="198">
        <v>0</v>
      </c>
      <c r="F31" s="198">
        <v>3.85</v>
      </c>
      <c r="G31" s="199">
        <v>0</v>
      </c>
      <c r="H31" s="199">
        <v>0</v>
      </c>
      <c r="I31" s="10">
        <v>0</v>
      </c>
      <c r="J31" s="11">
        <v>0</v>
      </c>
      <c r="K31" s="11">
        <v>0</v>
      </c>
      <c r="L31" s="193">
        <v>0</v>
      </c>
      <c r="M31" s="193">
        <v>0</v>
      </c>
      <c r="N31" s="193">
        <v>0</v>
      </c>
      <c r="O31" s="193">
        <v>61.87</v>
      </c>
      <c r="P31" s="193">
        <v>0</v>
      </c>
      <c r="Q31" s="193">
        <v>0</v>
      </c>
      <c r="R31" s="193">
        <v>0</v>
      </c>
      <c r="S31" s="193">
        <v>0</v>
      </c>
      <c r="T31" s="193">
        <v>61.87</v>
      </c>
    </row>
    <row r="32" spans="1:20">
      <c r="A32" s="13">
        <v>28</v>
      </c>
      <c r="B32" s="204" t="s">
        <v>229</v>
      </c>
      <c r="C32" s="205"/>
      <c r="D32" s="198">
        <v>0</v>
      </c>
      <c r="E32" s="198">
        <v>0</v>
      </c>
      <c r="F32" s="198">
        <v>3.85</v>
      </c>
      <c r="G32" s="199">
        <v>0</v>
      </c>
      <c r="H32" s="199">
        <v>0</v>
      </c>
      <c r="I32" s="10">
        <v>0</v>
      </c>
      <c r="J32" s="11">
        <v>0</v>
      </c>
      <c r="K32" s="11">
        <v>0</v>
      </c>
      <c r="L32" s="193">
        <v>0</v>
      </c>
      <c r="M32" s="193">
        <v>0</v>
      </c>
      <c r="N32" s="193">
        <v>0</v>
      </c>
      <c r="O32" s="193">
        <v>61.87</v>
      </c>
      <c r="P32" s="193">
        <v>0</v>
      </c>
      <c r="Q32" s="193">
        <v>0</v>
      </c>
      <c r="R32" s="193">
        <v>0</v>
      </c>
      <c r="S32" s="193">
        <v>0</v>
      </c>
      <c r="T32" s="193">
        <v>61.87</v>
      </c>
    </row>
    <row r="33" spans="1:20">
      <c r="A33" s="13">
        <v>29</v>
      </c>
      <c r="B33" s="204" t="s">
        <v>230</v>
      </c>
      <c r="C33" s="205"/>
      <c r="D33" s="198">
        <v>0</v>
      </c>
      <c r="E33" s="198">
        <v>0</v>
      </c>
      <c r="F33" s="198">
        <v>3.85</v>
      </c>
      <c r="G33" s="199">
        <v>0</v>
      </c>
      <c r="H33" s="199">
        <v>0</v>
      </c>
      <c r="I33" s="10">
        <v>0</v>
      </c>
      <c r="J33" s="11">
        <v>0</v>
      </c>
      <c r="K33" s="11">
        <v>0</v>
      </c>
      <c r="L33" s="193">
        <v>0</v>
      </c>
      <c r="M33" s="193">
        <v>0</v>
      </c>
      <c r="N33" s="193">
        <v>0</v>
      </c>
      <c r="O33" s="193">
        <v>61.87</v>
      </c>
      <c r="P33" s="193">
        <v>0</v>
      </c>
      <c r="Q33" s="193">
        <v>0</v>
      </c>
      <c r="R33" s="193">
        <v>0</v>
      </c>
      <c r="S33" s="193">
        <v>0</v>
      </c>
      <c r="T33" s="193">
        <v>61.87</v>
      </c>
    </row>
    <row r="34" spans="1:20">
      <c r="A34" s="13">
        <v>30</v>
      </c>
      <c r="B34" s="204" t="s">
        <v>231</v>
      </c>
      <c r="C34" s="205"/>
      <c r="D34" s="198">
        <v>0</v>
      </c>
      <c r="E34" s="198">
        <v>0</v>
      </c>
      <c r="F34" s="198">
        <v>3.85</v>
      </c>
      <c r="G34" s="199">
        <v>0</v>
      </c>
      <c r="H34" s="199">
        <v>0</v>
      </c>
      <c r="I34" s="10">
        <v>0</v>
      </c>
      <c r="J34" s="11">
        <v>0</v>
      </c>
      <c r="K34" s="11">
        <v>0</v>
      </c>
      <c r="L34" s="193">
        <v>0</v>
      </c>
      <c r="M34" s="193">
        <v>0</v>
      </c>
      <c r="N34" s="193">
        <v>0</v>
      </c>
      <c r="O34" s="193">
        <v>61.87</v>
      </c>
      <c r="P34" s="193">
        <v>0</v>
      </c>
      <c r="Q34" s="193">
        <v>0</v>
      </c>
      <c r="R34" s="193">
        <v>0</v>
      </c>
      <c r="S34" s="193">
        <v>0</v>
      </c>
      <c r="T34" s="193">
        <v>61.87</v>
      </c>
    </row>
    <row r="35" spans="1:20">
      <c r="A35" s="13">
        <v>31</v>
      </c>
      <c r="B35" s="204" t="s">
        <v>232</v>
      </c>
      <c r="C35" s="205"/>
      <c r="D35" s="198">
        <v>0</v>
      </c>
      <c r="E35" s="198">
        <v>0</v>
      </c>
      <c r="F35" s="198">
        <v>3.85</v>
      </c>
      <c r="G35" s="199">
        <v>0</v>
      </c>
      <c r="H35" s="199">
        <v>0</v>
      </c>
      <c r="I35" s="10">
        <v>0</v>
      </c>
      <c r="J35" s="11">
        <v>0</v>
      </c>
      <c r="K35" s="11">
        <v>0</v>
      </c>
      <c r="L35" s="193">
        <v>0</v>
      </c>
      <c r="M35" s="193">
        <v>0</v>
      </c>
      <c r="N35" s="193">
        <v>0</v>
      </c>
      <c r="O35" s="193">
        <v>61.87</v>
      </c>
      <c r="P35" s="193">
        <v>0</v>
      </c>
      <c r="Q35" s="193">
        <v>0</v>
      </c>
      <c r="R35" s="193">
        <v>0</v>
      </c>
      <c r="S35" s="193">
        <v>0</v>
      </c>
      <c r="T35" s="193">
        <v>61.87</v>
      </c>
    </row>
    <row r="36" spans="1:20">
      <c r="D36" s="19">
        <v>0</v>
      </c>
      <c r="E36" s="19">
        <v>17.875</v>
      </c>
      <c r="F36" s="19">
        <v>298.10000000000014</v>
      </c>
      <c r="G36" s="19">
        <v>0</v>
      </c>
      <c r="H36" s="19">
        <v>0</v>
      </c>
      <c r="I36" s="19">
        <v>0</v>
      </c>
      <c r="J36" s="19">
        <v>0</v>
      </c>
      <c r="K36" s="19">
        <v>0</v>
      </c>
      <c r="L36" s="194">
        <v>0</v>
      </c>
      <c r="M36" s="194">
        <v>0</v>
      </c>
      <c r="N36" s="194">
        <v>1698.13</v>
      </c>
      <c r="O36" s="194">
        <v>4790.47</v>
      </c>
      <c r="P36" s="194">
        <v>0</v>
      </c>
      <c r="Q36" s="194">
        <v>0</v>
      </c>
      <c r="R36" s="194">
        <v>0</v>
      </c>
      <c r="S36" s="194">
        <v>0</v>
      </c>
      <c r="T36" s="194">
        <v>6488.59</v>
      </c>
    </row>
    <row r="37" spans="1:20">
      <c r="R37" s="22"/>
      <c r="S37" s="22"/>
      <c r="T37" s="195">
        <v>7786.31</v>
      </c>
    </row>
  </sheetData>
  <mergeCells count="50">
    <mergeCell ref="B8:C8"/>
    <mergeCell ref="B9:C9"/>
    <mergeCell ref="B10:C10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  <mergeCell ref="B7:C7"/>
    <mergeCell ref="L3:L4"/>
    <mergeCell ref="M3:M4"/>
    <mergeCell ref="N3:N4"/>
    <mergeCell ref="O3:O4"/>
    <mergeCell ref="R3:R4"/>
    <mergeCell ref="S3:S4"/>
    <mergeCell ref="T3:T4"/>
    <mergeCell ref="B5:C5"/>
    <mergeCell ref="B6:C6"/>
    <mergeCell ref="P3:P4"/>
    <mergeCell ref="Q3:Q4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13:C13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</mergeCells>
  <pageMargins left="0.7" right="0.7" top="0.75" bottom="0.75" header="0.3" footer="0.3"/>
  <pageSetup paperSize="9" fitToHeight="5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45199-2972-4972-A015-851CFED064AB}">
  <sheetPr codeName="Лист37">
    <pageSetUpPr fitToPage="1"/>
  </sheetPr>
  <dimension ref="A1:T37"/>
  <sheetViews>
    <sheetView workbookViewId="0">
      <selection activeCell="K5" sqref="K5"/>
    </sheetView>
  </sheetViews>
  <sheetFormatPr defaultRowHeight="15"/>
  <cols>
    <col min="1" max="3" width="8.796875" style="2"/>
    <col min="4" max="5" width="7.19921875" style="2" customWidth="1"/>
    <col min="6" max="6" width="9.19921875" style="2" customWidth="1"/>
    <col min="7" max="7" width="7.3984375" style="2" bestFit="1" customWidth="1"/>
    <col min="8" max="8" width="6.69921875" style="2" bestFit="1" customWidth="1"/>
    <col min="9" max="9" width="7.3984375" style="2" bestFit="1" customWidth="1"/>
    <col min="10" max="12" width="8.796875" style="2"/>
    <col min="13" max="13" width="11.09765625" style="2" customWidth="1"/>
    <col min="14" max="14" width="9.5" style="2" customWidth="1"/>
    <col min="15" max="15" width="10.19921875" style="2" customWidth="1"/>
    <col min="16" max="16" width="10.19921875" style="2" bestFit="1" customWidth="1"/>
    <col min="17" max="17" width="10.5" style="2" customWidth="1"/>
    <col min="18" max="18" width="9.296875" style="2" customWidth="1"/>
    <col min="19" max="19" width="8.19921875" style="2" customWidth="1"/>
    <col min="20" max="20" width="17" style="2" customWidth="1"/>
    <col min="21" max="16384" width="8.796875" style="2"/>
  </cols>
  <sheetData>
    <row r="1" spans="1:20">
      <c r="I1" s="3"/>
    </row>
    <row r="2" spans="1:20" ht="28.9" customHeight="1">
      <c r="A2" s="209" t="s">
        <v>242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</row>
    <row r="3" spans="1:20" ht="28.9" customHeight="1">
      <c r="A3" s="206" t="s">
        <v>0</v>
      </c>
      <c r="B3" s="210" t="s">
        <v>1</v>
      </c>
      <c r="C3" s="211"/>
      <c r="D3" s="206" t="s">
        <v>2</v>
      </c>
      <c r="E3" s="206" t="s">
        <v>3</v>
      </c>
      <c r="F3" s="4" t="s">
        <v>4</v>
      </c>
      <c r="G3" s="206" t="s">
        <v>239</v>
      </c>
      <c r="H3" s="206" t="s">
        <v>240</v>
      </c>
      <c r="I3" s="206" t="s">
        <v>7</v>
      </c>
      <c r="J3" s="206" t="s">
        <v>8</v>
      </c>
      <c r="K3" s="206" t="s">
        <v>200</v>
      </c>
      <c r="L3" s="206" t="s">
        <v>241</v>
      </c>
      <c r="M3" s="206" t="s">
        <v>11</v>
      </c>
      <c r="N3" s="206" t="s">
        <v>12</v>
      </c>
      <c r="O3" s="206" t="s">
        <v>13</v>
      </c>
      <c r="P3" s="206" t="s">
        <v>14</v>
      </c>
      <c r="Q3" s="206" t="s">
        <v>15</v>
      </c>
      <c r="R3" s="206" t="s">
        <v>16</v>
      </c>
      <c r="S3" s="206" t="s">
        <v>17</v>
      </c>
      <c r="T3" s="206" t="s">
        <v>18</v>
      </c>
    </row>
    <row r="4" spans="1:20">
      <c r="A4" s="207"/>
      <c r="B4" s="212"/>
      <c r="C4" s="213"/>
      <c r="D4" s="207"/>
      <c r="E4" s="207"/>
      <c r="F4" s="5"/>
      <c r="G4" s="207"/>
      <c r="H4" s="207"/>
      <c r="I4" s="207"/>
      <c r="J4" s="207"/>
      <c r="K4" s="208"/>
      <c r="L4" s="208"/>
      <c r="M4" s="207"/>
      <c r="N4" s="207"/>
      <c r="O4" s="207"/>
      <c r="P4" s="207"/>
      <c r="Q4" s="207"/>
      <c r="R4" s="207"/>
      <c r="S4" s="207"/>
      <c r="T4" s="207"/>
    </row>
    <row r="5" spans="1:20">
      <c r="A5" s="13">
        <v>1</v>
      </c>
      <c r="B5" s="204" t="s">
        <v>202</v>
      </c>
      <c r="C5" s="205"/>
      <c r="D5" s="198">
        <v>67</v>
      </c>
      <c r="E5" s="198">
        <v>39</v>
      </c>
      <c r="F5" s="198">
        <v>10213.302</v>
      </c>
      <c r="G5" s="199">
        <v>286.69800000000032</v>
      </c>
      <c r="H5" s="199">
        <v>894</v>
      </c>
      <c r="I5" s="10">
        <v>0</v>
      </c>
      <c r="J5" s="11">
        <v>0</v>
      </c>
      <c r="K5" s="11">
        <v>0</v>
      </c>
      <c r="L5" s="193">
        <v>0</v>
      </c>
      <c r="M5" s="193">
        <v>6365</v>
      </c>
      <c r="N5" s="193">
        <v>3705</v>
      </c>
      <c r="O5" s="193">
        <v>164127.76</v>
      </c>
      <c r="P5" s="193">
        <v>4607.24</v>
      </c>
      <c r="Q5" s="193">
        <v>84930</v>
      </c>
      <c r="R5" s="193">
        <v>0</v>
      </c>
      <c r="S5" s="193">
        <v>0</v>
      </c>
      <c r="T5" s="193">
        <v>263735</v>
      </c>
    </row>
    <row r="6" spans="1:20">
      <c r="A6" s="13">
        <v>2</v>
      </c>
      <c r="B6" s="204" t="s">
        <v>203</v>
      </c>
      <c r="C6" s="205"/>
      <c r="D6" s="198">
        <v>21</v>
      </c>
      <c r="E6" s="198">
        <v>44.5</v>
      </c>
      <c r="F6" s="198">
        <v>10189.802</v>
      </c>
      <c r="G6" s="199">
        <v>310.19800000000032</v>
      </c>
      <c r="H6" s="199">
        <v>934.5</v>
      </c>
      <c r="I6" s="10">
        <v>0</v>
      </c>
      <c r="J6" s="11">
        <v>0</v>
      </c>
      <c r="K6" s="11">
        <v>0</v>
      </c>
      <c r="L6" s="193">
        <v>0</v>
      </c>
      <c r="M6" s="193">
        <v>1995</v>
      </c>
      <c r="N6" s="193">
        <v>4227.5</v>
      </c>
      <c r="O6" s="193">
        <v>163750.12</v>
      </c>
      <c r="P6" s="193">
        <v>4984.88</v>
      </c>
      <c r="Q6" s="193">
        <v>88777.5</v>
      </c>
      <c r="R6" s="193">
        <v>0</v>
      </c>
      <c r="S6" s="193">
        <v>0</v>
      </c>
      <c r="T6" s="193">
        <v>263735</v>
      </c>
    </row>
    <row r="7" spans="1:20">
      <c r="A7" s="13">
        <v>3</v>
      </c>
      <c r="B7" s="204" t="s">
        <v>204</v>
      </c>
      <c r="C7" s="205"/>
      <c r="D7" s="198">
        <v>0</v>
      </c>
      <c r="E7" s="198">
        <v>118.125</v>
      </c>
      <c r="F7" s="198">
        <v>10071.677</v>
      </c>
      <c r="G7" s="199">
        <v>428.32300000000032</v>
      </c>
      <c r="H7" s="199">
        <v>881.875</v>
      </c>
      <c r="I7" s="10">
        <v>0</v>
      </c>
      <c r="J7" s="11">
        <v>0</v>
      </c>
      <c r="K7" s="11">
        <v>0</v>
      </c>
      <c r="L7" s="193">
        <v>0</v>
      </c>
      <c r="M7" s="193">
        <v>0</v>
      </c>
      <c r="N7" s="193">
        <v>11221.88</v>
      </c>
      <c r="O7" s="193">
        <v>161851.85</v>
      </c>
      <c r="P7" s="193">
        <v>6883.15</v>
      </c>
      <c r="Q7" s="193">
        <v>83778.13</v>
      </c>
      <c r="R7" s="193">
        <v>0</v>
      </c>
      <c r="S7" s="193">
        <v>0</v>
      </c>
      <c r="T7" s="193">
        <v>263735</v>
      </c>
    </row>
    <row r="8" spans="1:20">
      <c r="A8" s="13">
        <v>4</v>
      </c>
      <c r="B8" s="204" t="s">
        <v>205</v>
      </c>
      <c r="C8" s="205"/>
      <c r="D8" s="198">
        <v>0</v>
      </c>
      <c r="E8" s="198">
        <v>175.75</v>
      </c>
      <c r="F8" s="198">
        <v>9895.9269999999997</v>
      </c>
      <c r="G8" s="199">
        <v>604.07300000000032</v>
      </c>
      <c r="H8" s="199">
        <v>824.25</v>
      </c>
      <c r="I8" s="10">
        <v>0</v>
      </c>
      <c r="J8" s="11">
        <v>0</v>
      </c>
      <c r="K8" s="11">
        <v>0</v>
      </c>
      <c r="L8" s="193">
        <v>0</v>
      </c>
      <c r="M8" s="193">
        <v>0</v>
      </c>
      <c r="N8" s="193">
        <v>16696.25</v>
      </c>
      <c r="O8" s="193">
        <v>159027.54999999999</v>
      </c>
      <c r="P8" s="193">
        <v>9707.4500000000007</v>
      </c>
      <c r="Q8" s="193">
        <v>78303.75</v>
      </c>
      <c r="R8" s="193">
        <v>0</v>
      </c>
      <c r="S8" s="193">
        <v>0</v>
      </c>
      <c r="T8" s="193">
        <v>263735</v>
      </c>
    </row>
    <row r="9" spans="1:20">
      <c r="A9" s="13">
        <v>5</v>
      </c>
      <c r="B9" s="204" t="s">
        <v>206</v>
      </c>
      <c r="C9" s="205"/>
      <c r="D9" s="198">
        <v>0</v>
      </c>
      <c r="E9" s="198">
        <v>115.625</v>
      </c>
      <c r="F9" s="198">
        <v>9780.3019999999997</v>
      </c>
      <c r="G9" s="199">
        <v>719.69800000000032</v>
      </c>
      <c r="H9" s="199">
        <v>884.375</v>
      </c>
      <c r="I9" s="10">
        <v>0</v>
      </c>
      <c r="J9" s="11">
        <v>0</v>
      </c>
      <c r="K9" s="11">
        <v>0</v>
      </c>
      <c r="L9" s="193">
        <v>0</v>
      </c>
      <c r="M9" s="193">
        <v>0</v>
      </c>
      <c r="N9" s="193">
        <v>10984.38</v>
      </c>
      <c r="O9" s="193">
        <v>157169.45000000001</v>
      </c>
      <c r="P9" s="193">
        <v>11565.55</v>
      </c>
      <c r="Q9" s="193">
        <v>84015.63</v>
      </c>
      <c r="R9" s="193">
        <v>0</v>
      </c>
      <c r="S9" s="193">
        <v>0</v>
      </c>
      <c r="T9" s="193">
        <v>263735</v>
      </c>
    </row>
    <row r="10" spans="1:20">
      <c r="A10" s="13">
        <v>6</v>
      </c>
      <c r="B10" s="204" t="s">
        <v>207</v>
      </c>
      <c r="C10" s="205"/>
      <c r="D10" s="198">
        <v>0</v>
      </c>
      <c r="E10" s="198">
        <v>246</v>
      </c>
      <c r="F10" s="198">
        <v>9534.3019999999997</v>
      </c>
      <c r="G10" s="199">
        <v>965.69800000000032</v>
      </c>
      <c r="H10" s="199">
        <v>754</v>
      </c>
      <c r="I10" s="10">
        <v>0</v>
      </c>
      <c r="J10" s="11">
        <v>0</v>
      </c>
      <c r="K10" s="11">
        <v>0</v>
      </c>
      <c r="L10" s="193">
        <v>0</v>
      </c>
      <c r="M10" s="193">
        <v>0</v>
      </c>
      <c r="N10" s="193">
        <v>23370</v>
      </c>
      <c r="O10" s="193">
        <v>153216.23000000001</v>
      </c>
      <c r="P10" s="193">
        <v>15518.77</v>
      </c>
      <c r="Q10" s="193">
        <v>71630</v>
      </c>
      <c r="R10" s="193">
        <v>0</v>
      </c>
      <c r="S10" s="193">
        <v>0</v>
      </c>
      <c r="T10" s="193">
        <v>263735</v>
      </c>
    </row>
    <row r="11" spans="1:20">
      <c r="A11" s="13">
        <v>7</v>
      </c>
      <c r="B11" s="204" t="s">
        <v>208</v>
      </c>
      <c r="C11" s="205"/>
      <c r="D11" s="198">
        <v>177</v>
      </c>
      <c r="E11" s="198">
        <v>134.5</v>
      </c>
      <c r="F11" s="198">
        <v>9576.8019999999997</v>
      </c>
      <c r="G11" s="199">
        <v>923.19800000000032</v>
      </c>
      <c r="H11" s="199">
        <v>688.5</v>
      </c>
      <c r="I11" s="10">
        <v>0</v>
      </c>
      <c r="J11" s="11">
        <v>0</v>
      </c>
      <c r="K11" s="11">
        <v>0</v>
      </c>
      <c r="L11" s="193">
        <v>0</v>
      </c>
      <c r="M11" s="193">
        <v>16815</v>
      </c>
      <c r="N11" s="193">
        <v>12777.5</v>
      </c>
      <c r="O11" s="193">
        <v>153899.21</v>
      </c>
      <c r="P11" s="193">
        <v>14835.79</v>
      </c>
      <c r="Q11" s="193">
        <v>65407.5</v>
      </c>
      <c r="R11" s="193">
        <v>0</v>
      </c>
      <c r="S11" s="193">
        <v>0</v>
      </c>
      <c r="T11" s="193">
        <v>263735</v>
      </c>
    </row>
    <row r="12" spans="1:20">
      <c r="A12" s="13">
        <v>8</v>
      </c>
      <c r="B12" s="204" t="s">
        <v>209</v>
      </c>
      <c r="C12" s="205"/>
      <c r="D12" s="198">
        <v>310.5</v>
      </c>
      <c r="E12" s="198">
        <v>182.625</v>
      </c>
      <c r="F12" s="198">
        <v>9704.6769999999997</v>
      </c>
      <c r="G12" s="199">
        <v>795.32300000000032</v>
      </c>
      <c r="H12" s="199">
        <v>506.875</v>
      </c>
      <c r="I12" s="10">
        <v>0</v>
      </c>
      <c r="J12" s="11">
        <v>0</v>
      </c>
      <c r="K12" s="11">
        <v>0</v>
      </c>
      <c r="L12" s="193">
        <v>0</v>
      </c>
      <c r="M12" s="193">
        <v>29497.5</v>
      </c>
      <c r="N12" s="193">
        <v>17349.38</v>
      </c>
      <c r="O12" s="193">
        <v>155954.16</v>
      </c>
      <c r="P12" s="193">
        <v>12780.84</v>
      </c>
      <c r="Q12" s="193">
        <v>48153.13</v>
      </c>
      <c r="R12" s="193">
        <v>0</v>
      </c>
      <c r="S12" s="193">
        <v>0</v>
      </c>
      <c r="T12" s="193">
        <v>263735</v>
      </c>
    </row>
    <row r="13" spans="1:20">
      <c r="A13" s="13">
        <v>9</v>
      </c>
      <c r="B13" s="204" t="s">
        <v>210</v>
      </c>
      <c r="C13" s="205"/>
      <c r="D13" s="198">
        <v>132.5</v>
      </c>
      <c r="E13" s="198">
        <v>71.125</v>
      </c>
      <c r="F13" s="198">
        <v>9766.0519999999997</v>
      </c>
      <c r="G13" s="199">
        <v>733.94800000000032</v>
      </c>
      <c r="H13" s="199">
        <v>796.375</v>
      </c>
      <c r="I13" s="10">
        <v>0</v>
      </c>
      <c r="J13" s="11">
        <v>0</v>
      </c>
      <c r="K13" s="11">
        <v>0</v>
      </c>
      <c r="L13" s="193">
        <v>0</v>
      </c>
      <c r="M13" s="193">
        <v>12587.5</v>
      </c>
      <c r="N13" s="193">
        <v>6756.88</v>
      </c>
      <c r="O13" s="193">
        <v>156940.46</v>
      </c>
      <c r="P13" s="193">
        <v>11794.54</v>
      </c>
      <c r="Q13" s="193">
        <v>75655.63</v>
      </c>
      <c r="R13" s="193">
        <v>0</v>
      </c>
      <c r="S13" s="193">
        <v>0</v>
      </c>
      <c r="T13" s="193">
        <v>263735</v>
      </c>
    </row>
    <row r="14" spans="1:20">
      <c r="A14" s="13">
        <v>10</v>
      </c>
      <c r="B14" s="204" t="s">
        <v>211</v>
      </c>
      <c r="C14" s="205"/>
      <c r="D14" s="198">
        <v>198.49199999999999</v>
      </c>
      <c r="E14" s="198">
        <v>222</v>
      </c>
      <c r="F14" s="198">
        <v>9742.5439999999999</v>
      </c>
      <c r="G14" s="199">
        <v>757.45600000000013</v>
      </c>
      <c r="H14" s="199">
        <v>579.50800000000004</v>
      </c>
      <c r="I14" s="10">
        <v>2.75</v>
      </c>
      <c r="J14" s="11">
        <v>2.75</v>
      </c>
      <c r="K14" s="11">
        <v>2.75</v>
      </c>
      <c r="L14" s="193">
        <v>412.5</v>
      </c>
      <c r="M14" s="193">
        <v>18856.740000000002</v>
      </c>
      <c r="N14" s="193">
        <v>21090</v>
      </c>
      <c r="O14" s="193">
        <v>156562.68</v>
      </c>
      <c r="P14" s="193">
        <v>12172.32</v>
      </c>
      <c r="Q14" s="193">
        <v>55053.26</v>
      </c>
      <c r="R14" s="193">
        <v>2750</v>
      </c>
      <c r="S14" s="193">
        <v>550</v>
      </c>
      <c r="T14" s="193">
        <v>267447.5</v>
      </c>
    </row>
    <row r="15" spans="1:20">
      <c r="A15" s="13">
        <v>11</v>
      </c>
      <c r="B15" s="204" t="s">
        <v>212</v>
      </c>
      <c r="C15" s="205"/>
      <c r="D15" s="198">
        <v>45</v>
      </c>
      <c r="E15" s="198">
        <v>215.57499999999999</v>
      </c>
      <c r="F15" s="198">
        <v>9571.9689999999991</v>
      </c>
      <c r="G15" s="199">
        <v>928.03100000000086</v>
      </c>
      <c r="H15" s="199">
        <v>739.42499999999995</v>
      </c>
      <c r="I15" s="10">
        <v>0</v>
      </c>
      <c r="J15" s="11">
        <v>0</v>
      </c>
      <c r="K15" s="11">
        <v>0</v>
      </c>
      <c r="L15" s="193">
        <v>0</v>
      </c>
      <c r="M15" s="193">
        <v>4275</v>
      </c>
      <c r="N15" s="193">
        <v>20479.63</v>
      </c>
      <c r="O15" s="193">
        <v>153821.54</v>
      </c>
      <c r="P15" s="193">
        <v>14913.46</v>
      </c>
      <c r="Q15" s="193">
        <v>70245.38</v>
      </c>
      <c r="R15" s="193">
        <v>0</v>
      </c>
      <c r="S15" s="193">
        <v>0</v>
      </c>
      <c r="T15" s="193">
        <v>263735</v>
      </c>
    </row>
    <row r="16" spans="1:20">
      <c r="A16" s="13">
        <v>12</v>
      </c>
      <c r="B16" s="204" t="s">
        <v>213</v>
      </c>
      <c r="C16" s="205"/>
      <c r="D16" s="198">
        <v>494.99</v>
      </c>
      <c r="E16" s="198">
        <v>139.5</v>
      </c>
      <c r="F16" s="198">
        <v>9927.4590000000007</v>
      </c>
      <c r="G16" s="199">
        <v>572.54099999999926</v>
      </c>
      <c r="H16" s="199">
        <v>365.51</v>
      </c>
      <c r="I16" s="10">
        <v>1.4750000000000001</v>
      </c>
      <c r="J16" s="11">
        <v>1.4750000000000001</v>
      </c>
      <c r="K16" s="11">
        <v>1.4999999999999999E-2</v>
      </c>
      <c r="L16" s="193">
        <v>2.25</v>
      </c>
      <c r="M16" s="193">
        <v>47024.05</v>
      </c>
      <c r="N16" s="193">
        <v>13252.5</v>
      </c>
      <c r="O16" s="193">
        <v>159534.26999999999</v>
      </c>
      <c r="P16" s="193">
        <v>9200.73</v>
      </c>
      <c r="Q16" s="193">
        <v>34723.449999999997</v>
      </c>
      <c r="R16" s="193">
        <v>1475</v>
      </c>
      <c r="S16" s="193">
        <v>295</v>
      </c>
      <c r="T16" s="193">
        <v>265507.25</v>
      </c>
    </row>
    <row r="17" spans="1:20">
      <c r="A17" s="13">
        <v>13</v>
      </c>
      <c r="B17" s="204" t="s">
        <v>214</v>
      </c>
      <c r="C17" s="205"/>
      <c r="D17" s="198">
        <v>270</v>
      </c>
      <c r="E17" s="198">
        <v>452.625</v>
      </c>
      <c r="F17" s="198">
        <v>9744.8340000000007</v>
      </c>
      <c r="G17" s="199">
        <v>755.16599999999926</v>
      </c>
      <c r="H17" s="199">
        <v>277.375</v>
      </c>
      <c r="I17" s="10">
        <v>0</v>
      </c>
      <c r="J17" s="11">
        <v>0</v>
      </c>
      <c r="K17" s="11">
        <v>0</v>
      </c>
      <c r="L17" s="193">
        <v>0</v>
      </c>
      <c r="M17" s="193">
        <v>25650</v>
      </c>
      <c r="N17" s="193">
        <v>42999.38</v>
      </c>
      <c r="O17" s="193">
        <v>156599.48000000001</v>
      </c>
      <c r="P17" s="193">
        <v>12135.52</v>
      </c>
      <c r="Q17" s="193">
        <v>26350.63</v>
      </c>
      <c r="R17" s="193">
        <v>0</v>
      </c>
      <c r="S17" s="193">
        <v>0</v>
      </c>
      <c r="T17" s="193">
        <v>263735</v>
      </c>
    </row>
    <row r="18" spans="1:20">
      <c r="A18" s="13">
        <v>14</v>
      </c>
      <c r="B18" s="204" t="s">
        <v>215</v>
      </c>
      <c r="C18" s="205"/>
      <c r="D18" s="198">
        <v>493.37</v>
      </c>
      <c r="E18" s="198">
        <v>552.5</v>
      </c>
      <c r="F18" s="198">
        <v>9685.7039999999997</v>
      </c>
      <c r="G18" s="199">
        <v>814.29600000000028</v>
      </c>
      <c r="H18" s="199">
        <v>0</v>
      </c>
      <c r="I18" s="10">
        <v>3</v>
      </c>
      <c r="J18" s="11">
        <v>3</v>
      </c>
      <c r="K18" s="11">
        <v>4.9000000000000002E-2</v>
      </c>
      <c r="L18" s="193">
        <v>7.35</v>
      </c>
      <c r="M18" s="193">
        <v>46870.15</v>
      </c>
      <c r="N18" s="193">
        <v>52487.5</v>
      </c>
      <c r="O18" s="193">
        <v>155649.26</v>
      </c>
      <c r="P18" s="193">
        <v>13085.74</v>
      </c>
      <c r="Q18" s="193">
        <v>0</v>
      </c>
      <c r="R18" s="193">
        <v>3000</v>
      </c>
      <c r="S18" s="193">
        <v>600</v>
      </c>
      <c r="T18" s="193">
        <v>271700</v>
      </c>
    </row>
    <row r="19" spans="1:20">
      <c r="A19" s="13">
        <v>15</v>
      </c>
      <c r="B19" s="204" t="s">
        <v>216</v>
      </c>
      <c r="C19" s="205"/>
      <c r="D19" s="198">
        <v>517.42499999999995</v>
      </c>
      <c r="E19" s="198">
        <v>663</v>
      </c>
      <c r="F19" s="198">
        <v>9540.1290000000008</v>
      </c>
      <c r="G19" s="199">
        <v>959.87099999999919</v>
      </c>
      <c r="H19" s="199">
        <v>0</v>
      </c>
      <c r="I19" s="10">
        <v>21.875</v>
      </c>
      <c r="J19" s="11">
        <v>21.875</v>
      </c>
      <c r="K19" s="11">
        <v>0.55000000000000004</v>
      </c>
      <c r="L19" s="193">
        <v>82.5</v>
      </c>
      <c r="M19" s="193">
        <v>49155.38</v>
      </c>
      <c r="N19" s="193">
        <v>62985</v>
      </c>
      <c r="O19" s="193">
        <v>153309.87</v>
      </c>
      <c r="P19" s="193">
        <v>15425.13</v>
      </c>
      <c r="Q19" s="193">
        <v>0</v>
      </c>
      <c r="R19" s="193">
        <v>21875</v>
      </c>
      <c r="S19" s="193">
        <v>4375</v>
      </c>
      <c r="T19" s="193">
        <v>307207.88</v>
      </c>
    </row>
    <row r="20" spans="1:20">
      <c r="A20" s="13">
        <v>16</v>
      </c>
      <c r="B20" s="204" t="s">
        <v>217</v>
      </c>
      <c r="C20" s="205"/>
      <c r="D20" s="198">
        <v>315</v>
      </c>
      <c r="E20" s="198">
        <v>742.125</v>
      </c>
      <c r="F20" s="198">
        <v>9113.0040000000008</v>
      </c>
      <c r="G20" s="199">
        <v>1386.9959999999992</v>
      </c>
      <c r="H20" s="199">
        <v>0</v>
      </c>
      <c r="I20" s="10">
        <v>0</v>
      </c>
      <c r="J20" s="11">
        <v>0</v>
      </c>
      <c r="K20" s="11">
        <v>0</v>
      </c>
      <c r="L20" s="193">
        <v>0</v>
      </c>
      <c r="M20" s="193">
        <v>29925</v>
      </c>
      <c r="N20" s="193">
        <v>70501.88</v>
      </c>
      <c r="O20" s="193">
        <v>146445.97</v>
      </c>
      <c r="P20" s="193">
        <v>22289.03</v>
      </c>
      <c r="Q20" s="193">
        <v>0</v>
      </c>
      <c r="R20" s="193">
        <v>0</v>
      </c>
      <c r="S20" s="193">
        <v>0</v>
      </c>
      <c r="T20" s="193">
        <v>269161.88</v>
      </c>
    </row>
    <row r="21" spans="1:20">
      <c r="A21" s="13">
        <v>17</v>
      </c>
      <c r="B21" s="204" t="s">
        <v>218</v>
      </c>
      <c r="C21" s="205"/>
      <c r="D21" s="198">
        <v>495</v>
      </c>
      <c r="E21" s="198">
        <v>481.375</v>
      </c>
      <c r="F21" s="198">
        <v>9126.6290000000008</v>
      </c>
      <c r="G21" s="199">
        <v>1373.3709999999992</v>
      </c>
      <c r="H21" s="199">
        <v>23.625</v>
      </c>
      <c r="I21" s="10">
        <v>0</v>
      </c>
      <c r="J21" s="11">
        <v>0</v>
      </c>
      <c r="K21" s="11">
        <v>0</v>
      </c>
      <c r="L21" s="193">
        <v>0</v>
      </c>
      <c r="M21" s="193">
        <v>47025</v>
      </c>
      <c r="N21" s="193">
        <v>45730.63</v>
      </c>
      <c r="O21" s="193">
        <v>146664.93</v>
      </c>
      <c r="P21" s="193">
        <v>22070.07</v>
      </c>
      <c r="Q21" s="193">
        <v>2244.38</v>
      </c>
      <c r="R21" s="193">
        <v>0</v>
      </c>
      <c r="S21" s="193">
        <v>0</v>
      </c>
      <c r="T21" s="193">
        <v>263735</v>
      </c>
    </row>
    <row r="22" spans="1:20">
      <c r="A22" s="13">
        <v>18</v>
      </c>
      <c r="B22" s="204" t="s">
        <v>219</v>
      </c>
      <c r="C22" s="205"/>
      <c r="D22" s="198">
        <v>200.47300000000001</v>
      </c>
      <c r="E22" s="198">
        <v>431.72500000000002</v>
      </c>
      <c r="F22" s="198">
        <v>8895.3770000000004</v>
      </c>
      <c r="G22" s="199">
        <v>1604.6229999999996</v>
      </c>
      <c r="H22" s="199">
        <v>367.80199999999996</v>
      </c>
      <c r="I22" s="10">
        <v>0</v>
      </c>
      <c r="J22" s="11">
        <v>0.27400000000000002</v>
      </c>
      <c r="K22" s="11">
        <v>2.7E-2</v>
      </c>
      <c r="L22" s="193">
        <v>4.05</v>
      </c>
      <c r="M22" s="193">
        <v>19044.939999999999</v>
      </c>
      <c r="N22" s="193">
        <v>41013.879999999997</v>
      </c>
      <c r="O22" s="193">
        <v>142948.71</v>
      </c>
      <c r="P22" s="193">
        <v>25786.29</v>
      </c>
      <c r="Q22" s="193">
        <v>34941.19</v>
      </c>
      <c r="R22" s="193">
        <v>0</v>
      </c>
      <c r="S22" s="193">
        <v>54.8</v>
      </c>
      <c r="T22" s="193">
        <v>263793.84999999998</v>
      </c>
    </row>
    <row r="23" spans="1:20">
      <c r="A23" s="13">
        <v>19</v>
      </c>
      <c r="B23" s="204" t="s">
        <v>220</v>
      </c>
      <c r="C23" s="205"/>
      <c r="D23" s="198">
        <v>135</v>
      </c>
      <c r="E23" s="198">
        <v>350.875</v>
      </c>
      <c r="F23" s="198">
        <v>8679.5020000000004</v>
      </c>
      <c r="G23" s="199">
        <v>1820.4979999999996</v>
      </c>
      <c r="H23" s="199">
        <v>514.125</v>
      </c>
      <c r="I23" s="10">
        <v>0</v>
      </c>
      <c r="J23" s="11">
        <v>0</v>
      </c>
      <c r="K23" s="11">
        <v>0</v>
      </c>
      <c r="L23" s="193">
        <v>0</v>
      </c>
      <c r="M23" s="193">
        <v>12825</v>
      </c>
      <c r="N23" s="193">
        <v>33333.129999999997</v>
      </c>
      <c r="O23" s="193">
        <v>139479.6</v>
      </c>
      <c r="P23" s="193">
        <v>29255.4</v>
      </c>
      <c r="Q23" s="193">
        <v>48841.88</v>
      </c>
      <c r="R23" s="193">
        <v>0</v>
      </c>
      <c r="S23" s="193">
        <v>0</v>
      </c>
      <c r="T23" s="193">
        <v>263735</v>
      </c>
    </row>
    <row r="24" spans="1:20">
      <c r="A24" s="13">
        <v>20</v>
      </c>
      <c r="B24" s="204" t="s">
        <v>221</v>
      </c>
      <c r="C24" s="205"/>
      <c r="D24" s="198">
        <v>45</v>
      </c>
      <c r="E24" s="198">
        <v>178.52500000000001</v>
      </c>
      <c r="F24" s="198">
        <v>8545.9770000000008</v>
      </c>
      <c r="G24" s="199">
        <v>1954.0229999999992</v>
      </c>
      <c r="H24" s="199">
        <v>776.47500000000002</v>
      </c>
      <c r="I24" s="10">
        <v>21.75</v>
      </c>
      <c r="J24" s="11">
        <v>21.75</v>
      </c>
      <c r="K24" s="11">
        <v>0</v>
      </c>
      <c r="L24" s="193">
        <v>0</v>
      </c>
      <c r="M24" s="193">
        <v>4275</v>
      </c>
      <c r="N24" s="193">
        <v>16959.88</v>
      </c>
      <c r="O24" s="193">
        <v>137333.85</v>
      </c>
      <c r="P24" s="193">
        <v>31401.15</v>
      </c>
      <c r="Q24" s="193">
        <v>73765.13</v>
      </c>
      <c r="R24" s="193">
        <v>21750</v>
      </c>
      <c r="S24" s="193">
        <v>4350</v>
      </c>
      <c r="T24" s="193">
        <v>289835</v>
      </c>
    </row>
    <row r="25" spans="1:20">
      <c r="A25" s="13">
        <v>21</v>
      </c>
      <c r="B25" s="204" t="s">
        <v>222</v>
      </c>
      <c r="C25" s="205"/>
      <c r="D25" s="198">
        <v>0</v>
      </c>
      <c r="E25" s="198">
        <v>67.5</v>
      </c>
      <c r="F25" s="198">
        <v>8478.4770000000008</v>
      </c>
      <c r="G25" s="199">
        <v>2021.5229999999992</v>
      </c>
      <c r="H25" s="199">
        <v>932.5</v>
      </c>
      <c r="I25" s="10">
        <v>0</v>
      </c>
      <c r="J25" s="11">
        <v>0</v>
      </c>
      <c r="K25" s="11">
        <v>0</v>
      </c>
      <c r="L25" s="193">
        <v>0</v>
      </c>
      <c r="M25" s="193">
        <v>0</v>
      </c>
      <c r="N25" s="193">
        <v>6412.5</v>
      </c>
      <c r="O25" s="193">
        <v>136249.13</v>
      </c>
      <c r="P25" s="193">
        <v>32485.87</v>
      </c>
      <c r="Q25" s="193">
        <v>88587.5</v>
      </c>
      <c r="R25" s="193">
        <v>0</v>
      </c>
      <c r="S25" s="193">
        <v>0</v>
      </c>
      <c r="T25" s="193">
        <v>263735</v>
      </c>
    </row>
    <row r="26" spans="1:20">
      <c r="A26" s="13">
        <v>22</v>
      </c>
      <c r="B26" s="204" t="s">
        <v>223</v>
      </c>
      <c r="C26" s="205"/>
      <c r="D26" s="198">
        <v>0</v>
      </c>
      <c r="E26" s="198">
        <v>207.875</v>
      </c>
      <c r="F26" s="198">
        <v>8270.6020000000008</v>
      </c>
      <c r="G26" s="199">
        <v>2229.3979999999992</v>
      </c>
      <c r="H26" s="199">
        <v>792.125</v>
      </c>
      <c r="I26" s="10">
        <v>0.8</v>
      </c>
      <c r="J26" s="11">
        <v>0.8</v>
      </c>
      <c r="K26" s="11">
        <v>2.4E-2</v>
      </c>
      <c r="L26" s="193">
        <v>3.6</v>
      </c>
      <c r="M26" s="193">
        <v>0</v>
      </c>
      <c r="N26" s="193">
        <v>19748.13</v>
      </c>
      <c r="O26" s="193">
        <v>132908.57</v>
      </c>
      <c r="P26" s="193">
        <v>35826.43</v>
      </c>
      <c r="Q26" s="193">
        <v>75251.88</v>
      </c>
      <c r="R26" s="193">
        <v>800</v>
      </c>
      <c r="S26" s="193">
        <v>160</v>
      </c>
      <c r="T26" s="193">
        <v>264698.59999999998</v>
      </c>
    </row>
    <row r="27" spans="1:20">
      <c r="A27" s="13">
        <v>23</v>
      </c>
      <c r="B27" s="204" t="s">
        <v>224</v>
      </c>
      <c r="C27" s="205"/>
      <c r="D27" s="198">
        <v>44.975000000000001</v>
      </c>
      <c r="E27" s="198">
        <v>405.125</v>
      </c>
      <c r="F27" s="198">
        <v>7910.4520000000002</v>
      </c>
      <c r="G27" s="199">
        <v>2589.5479999999998</v>
      </c>
      <c r="H27" s="199">
        <v>549.9</v>
      </c>
      <c r="I27" s="10">
        <v>19.075000000000003</v>
      </c>
      <c r="J27" s="11">
        <v>3.0750000000000002</v>
      </c>
      <c r="K27" s="11">
        <v>0.05</v>
      </c>
      <c r="L27" s="193">
        <v>7.5</v>
      </c>
      <c r="M27" s="193">
        <v>4272.63</v>
      </c>
      <c r="N27" s="193">
        <v>38486.879999999997</v>
      </c>
      <c r="O27" s="193">
        <v>127120.96000000001</v>
      </c>
      <c r="P27" s="193">
        <v>41614.04</v>
      </c>
      <c r="Q27" s="193">
        <v>52240.5</v>
      </c>
      <c r="R27" s="193">
        <v>19075</v>
      </c>
      <c r="S27" s="193">
        <v>615</v>
      </c>
      <c r="T27" s="193">
        <v>283432.5</v>
      </c>
    </row>
    <row r="28" spans="1:20">
      <c r="A28" s="13">
        <v>24</v>
      </c>
      <c r="B28" s="204" t="s">
        <v>225</v>
      </c>
      <c r="C28" s="205"/>
      <c r="D28" s="198">
        <v>156.6</v>
      </c>
      <c r="E28" s="198">
        <v>382.5</v>
      </c>
      <c r="F28" s="198">
        <v>7684.5519999999997</v>
      </c>
      <c r="G28" s="199">
        <v>2815.4480000000003</v>
      </c>
      <c r="H28" s="199">
        <v>460.9</v>
      </c>
      <c r="I28" s="10">
        <v>0</v>
      </c>
      <c r="J28" s="11">
        <v>0</v>
      </c>
      <c r="K28" s="11">
        <v>0</v>
      </c>
      <c r="L28" s="193">
        <v>0</v>
      </c>
      <c r="M28" s="193">
        <v>14877</v>
      </c>
      <c r="N28" s="193">
        <v>36337.5</v>
      </c>
      <c r="O28" s="193">
        <v>123490.75</v>
      </c>
      <c r="P28" s="193">
        <v>45244.25</v>
      </c>
      <c r="Q28" s="193">
        <v>43785.5</v>
      </c>
      <c r="R28" s="193">
        <v>0</v>
      </c>
      <c r="S28" s="193">
        <v>0</v>
      </c>
      <c r="T28" s="193">
        <v>263735</v>
      </c>
    </row>
    <row r="29" spans="1:20">
      <c r="A29" s="13">
        <v>25</v>
      </c>
      <c r="B29" s="204" t="s">
        <v>226</v>
      </c>
      <c r="C29" s="205"/>
      <c r="D29" s="198">
        <v>112.5</v>
      </c>
      <c r="E29" s="198">
        <v>567.5</v>
      </c>
      <c r="F29" s="198">
        <v>7229.5519999999997</v>
      </c>
      <c r="G29" s="199">
        <v>3270.4480000000003</v>
      </c>
      <c r="H29" s="199">
        <v>320</v>
      </c>
      <c r="I29" s="10">
        <v>0</v>
      </c>
      <c r="J29" s="11">
        <v>0</v>
      </c>
      <c r="K29" s="11">
        <v>0</v>
      </c>
      <c r="L29" s="193">
        <v>0</v>
      </c>
      <c r="M29" s="193">
        <v>10687.5</v>
      </c>
      <c r="N29" s="193">
        <v>53912.5</v>
      </c>
      <c r="O29" s="193">
        <v>116178.9</v>
      </c>
      <c r="P29" s="193">
        <v>52556.1</v>
      </c>
      <c r="Q29" s="193">
        <v>30400</v>
      </c>
      <c r="R29" s="193">
        <v>0</v>
      </c>
      <c r="S29" s="193">
        <v>0</v>
      </c>
      <c r="T29" s="193">
        <v>263735</v>
      </c>
    </row>
    <row r="30" spans="1:20">
      <c r="A30" s="13">
        <v>26</v>
      </c>
      <c r="B30" s="204" t="s">
        <v>227</v>
      </c>
      <c r="C30" s="205"/>
      <c r="D30" s="198">
        <v>64.75</v>
      </c>
      <c r="E30" s="198">
        <v>363</v>
      </c>
      <c r="F30" s="198">
        <v>6931.3019999999997</v>
      </c>
      <c r="G30" s="199">
        <v>3568.6980000000003</v>
      </c>
      <c r="H30" s="199">
        <v>572.25</v>
      </c>
      <c r="I30" s="10">
        <v>0</v>
      </c>
      <c r="J30" s="11">
        <v>0</v>
      </c>
      <c r="K30" s="11">
        <v>0</v>
      </c>
      <c r="L30" s="193">
        <v>0</v>
      </c>
      <c r="M30" s="193">
        <v>6151.25</v>
      </c>
      <c r="N30" s="193">
        <v>34485</v>
      </c>
      <c r="O30" s="193">
        <v>111386.02</v>
      </c>
      <c r="P30" s="193">
        <v>57348.98</v>
      </c>
      <c r="Q30" s="193">
        <v>54363.75</v>
      </c>
      <c r="R30" s="193">
        <v>0</v>
      </c>
      <c r="S30" s="193">
        <v>0</v>
      </c>
      <c r="T30" s="193">
        <v>263735</v>
      </c>
    </row>
    <row r="31" spans="1:20">
      <c r="A31" s="13">
        <v>27</v>
      </c>
      <c r="B31" s="204" t="s">
        <v>228</v>
      </c>
      <c r="C31" s="205"/>
      <c r="D31" s="198">
        <v>0</v>
      </c>
      <c r="E31" s="198">
        <v>275</v>
      </c>
      <c r="F31" s="198">
        <v>6656.3019999999997</v>
      </c>
      <c r="G31" s="199">
        <v>3843.6980000000003</v>
      </c>
      <c r="H31" s="199">
        <v>725</v>
      </c>
      <c r="I31" s="10">
        <v>0</v>
      </c>
      <c r="J31" s="11">
        <v>0</v>
      </c>
      <c r="K31" s="11">
        <v>0</v>
      </c>
      <c r="L31" s="193">
        <v>0</v>
      </c>
      <c r="M31" s="193">
        <v>0</v>
      </c>
      <c r="N31" s="193">
        <v>26125</v>
      </c>
      <c r="O31" s="193">
        <v>106966.77</v>
      </c>
      <c r="P31" s="193">
        <v>61768.23</v>
      </c>
      <c r="Q31" s="193">
        <v>68875</v>
      </c>
      <c r="R31" s="193">
        <v>0</v>
      </c>
      <c r="S31" s="193">
        <v>0</v>
      </c>
      <c r="T31" s="193">
        <v>263735</v>
      </c>
    </row>
    <row r="32" spans="1:20">
      <c r="A32" s="13">
        <v>28</v>
      </c>
      <c r="B32" s="204" t="s">
        <v>229</v>
      </c>
      <c r="C32" s="205"/>
      <c r="D32" s="198">
        <v>0</v>
      </c>
      <c r="E32" s="198">
        <v>134</v>
      </c>
      <c r="F32" s="198">
        <v>6522.3019999999997</v>
      </c>
      <c r="G32" s="199">
        <v>3977.6980000000003</v>
      </c>
      <c r="H32" s="199">
        <v>866</v>
      </c>
      <c r="I32" s="10">
        <v>0</v>
      </c>
      <c r="J32" s="11">
        <v>0</v>
      </c>
      <c r="K32" s="11">
        <v>0</v>
      </c>
      <c r="L32" s="193">
        <v>0</v>
      </c>
      <c r="M32" s="193">
        <v>0</v>
      </c>
      <c r="N32" s="193">
        <v>12730</v>
      </c>
      <c r="O32" s="193">
        <v>104813.39</v>
      </c>
      <c r="P32" s="193">
        <v>63921.61</v>
      </c>
      <c r="Q32" s="193">
        <v>82270</v>
      </c>
      <c r="R32" s="193">
        <v>0</v>
      </c>
      <c r="S32" s="193">
        <v>0</v>
      </c>
      <c r="T32" s="193">
        <v>263735</v>
      </c>
    </row>
    <row r="33" spans="1:20">
      <c r="A33" s="13">
        <v>29</v>
      </c>
      <c r="B33" s="204" t="s">
        <v>230</v>
      </c>
      <c r="C33" s="205"/>
      <c r="D33" s="198">
        <v>0</v>
      </c>
      <c r="E33" s="198">
        <v>181</v>
      </c>
      <c r="F33" s="198">
        <v>6341.3019999999997</v>
      </c>
      <c r="G33" s="199">
        <v>4158.6980000000003</v>
      </c>
      <c r="H33" s="199">
        <v>819</v>
      </c>
      <c r="I33" s="10">
        <v>0</v>
      </c>
      <c r="J33" s="11">
        <v>0</v>
      </c>
      <c r="K33" s="11">
        <v>0</v>
      </c>
      <c r="L33" s="193">
        <v>0</v>
      </c>
      <c r="M33" s="193">
        <v>0</v>
      </c>
      <c r="N33" s="193">
        <v>17195</v>
      </c>
      <c r="O33" s="193">
        <v>101904.72</v>
      </c>
      <c r="P33" s="193">
        <v>66830.28</v>
      </c>
      <c r="Q33" s="193">
        <v>77805</v>
      </c>
      <c r="R33" s="193">
        <v>0</v>
      </c>
      <c r="S33" s="193">
        <v>0</v>
      </c>
      <c r="T33" s="193">
        <v>263735</v>
      </c>
    </row>
    <row r="34" spans="1:20">
      <c r="A34" s="13">
        <v>30</v>
      </c>
      <c r="B34" s="204" t="s">
        <v>231</v>
      </c>
      <c r="C34" s="205"/>
      <c r="D34" s="198">
        <v>0</v>
      </c>
      <c r="E34" s="198">
        <v>91.125</v>
      </c>
      <c r="F34" s="198">
        <v>6250.1769999999997</v>
      </c>
      <c r="G34" s="199">
        <v>4249.8230000000003</v>
      </c>
      <c r="H34" s="199">
        <v>908.875</v>
      </c>
      <c r="I34" s="10">
        <v>0</v>
      </c>
      <c r="J34" s="11">
        <v>0</v>
      </c>
      <c r="K34" s="11">
        <v>0</v>
      </c>
      <c r="L34" s="193">
        <v>0</v>
      </c>
      <c r="M34" s="193">
        <v>0</v>
      </c>
      <c r="N34" s="193">
        <v>8656.8799999999992</v>
      </c>
      <c r="O34" s="193">
        <v>100440.34</v>
      </c>
      <c r="P34" s="193">
        <v>68294.66</v>
      </c>
      <c r="Q34" s="193">
        <v>86343.13</v>
      </c>
      <c r="R34" s="193">
        <v>0</v>
      </c>
      <c r="S34" s="193">
        <v>0</v>
      </c>
      <c r="T34" s="193">
        <v>263735</v>
      </c>
    </row>
    <row r="35" spans="1:20">
      <c r="A35" s="13">
        <v>31</v>
      </c>
      <c r="B35" s="204" t="s">
        <v>232</v>
      </c>
      <c r="C35" s="205"/>
      <c r="D35" s="198">
        <v>0</v>
      </c>
      <c r="E35" s="198">
        <v>0</v>
      </c>
      <c r="F35" s="198">
        <v>6250.1769999999997</v>
      </c>
      <c r="G35" s="199">
        <v>4249.8230000000003</v>
      </c>
      <c r="H35" s="199">
        <v>1000</v>
      </c>
      <c r="I35" s="10">
        <v>0</v>
      </c>
      <c r="J35" s="11">
        <v>0</v>
      </c>
      <c r="K35" s="11">
        <v>0</v>
      </c>
      <c r="L35" s="193">
        <v>0</v>
      </c>
      <c r="M35" s="193">
        <v>0</v>
      </c>
      <c r="N35" s="193">
        <v>0</v>
      </c>
      <c r="O35" s="193">
        <v>100440.34</v>
      </c>
      <c r="P35" s="193">
        <v>68294.66</v>
      </c>
      <c r="Q35" s="193">
        <v>95000</v>
      </c>
      <c r="R35" s="193">
        <v>0</v>
      </c>
      <c r="S35" s="193">
        <v>0</v>
      </c>
      <c r="T35" s="193">
        <v>263735</v>
      </c>
    </row>
    <row r="36" spans="1:20">
      <c r="D36" s="19">
        <v>4296.5749999999998</v>
      </c>
      <c r="E36" s="19">
        <v>8231.7000000000007</v>
      </c>
      <c r="F36" s="19">
        <v>269831.16800000006</v>
      </c>
      <c r="G36" s="19">
        <v>55668.832000000024</v>
      </c>
      <c r="H36" s="19">
        <v>18755.144999999997</v>
      </c>
      <c r="I36" s="19">
        <v>70.724999999999994</v>
      </c>
      <c r="J36" s="19">
        <v>54.999000000000002</v>
      </c>
      <c r="K36" s="19">
        <v>3.4649999999999999</v>
      </c>
      <c r="L36" s="194">
        <v>519.75</v>
      </c>
      <c r="M36" s="194">
        <v>408174.63</v>
      </c>
      <c r="N36" s="194">
        <v>782011.5</v>
      </c>
      <c r="O36" s="194">
        <v>4336186.87</v>
      </c>
      <c r="P36" s="194">
        <v>894598.13</v>
      </c>
      <c r="Q36" s="194">
        <v>1781738.78</v>
      </c>
      <c r="R36" s="194">
        <v>70725</v>
      </c>
      <c r="S36" s="194">
        <v>10999.8</v>
      </c>
      <c r="T36" s="194">
        <v>8284954.4500000002</v>
      </c>
    </row>
    <row r="37" spans="1:20">
      <c r="R37" s="22"/>
      <c r="S37" s="22"/>
      <c r="T37" s="195">
        <v>9941945.3399999999</v>
      </c>
    </row>
  </sheetData>
  <mergeCells count="50">
    <mergeCell ref="B8:C8"/>
    <mergeCell ref="B9:C9"/>
    <mergeCell ref="B10:C10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  <mergeCell ref="B7:C7"/>
    <mergeCell ref="L3:L4"/>
    <mergeCell ref="M3:M4"/>
    <mergeCell ref="N3:N4"/>
    <mergeCell ref="O3:O4"/>
    <mergeCell ref="R3:R4"/>
    <mergeCell ref="S3:S4"/>
    <mergeCell ref="T3:T4"/>
    <mergeCell ref="B5:C5"/>
    <mergeCell ref="B6:C6"/>
    <mergeCell ref="P3:P4"/>
    <mergeCell ref="Q3:Q4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13:C13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</mergeCells>
  <pageMargins left="0.7" right="0.7" top="0.75" bottom="0.75" header="0.3" footer="0.3"/>
  <pageSetup paperSize="9" fitToHeight="5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5F2AC-61CA-4E75-BECF-C08E1D4239F8}">
  <sheetPr codeName="Лист38">
    <pageSetUpPr fitToPage="1"/>
  </sheetPr>
  <dimension ref="A1:T37"/>
  <sheetViews>
    <sheetView workbookViewId="0">
      <selection activeCell="K5" sqref="K5"/>
    </sheetView>
  </sheetViews>
  <sheetFormatPr defaultRowHeight="15"/>
  <cols>
    <col min="1" max="3" width="8.796875" style="2"/>
    <col min="4" max="5" width="7.19921875" style="2" customWidth="1"/>
    <col min="6" max="6" width="9.19921875" style="2" customWidth="1"/>
    <col min="7" max="7" width="7.3984375" style="2" bestFit="1" customWidth="1"/>
    <col min="8" max="8" width="6.69921875" style="2" bestFit="1" customWidth="1"/>
    <col min="9" max="9" width="7.3984375" style="2" bestFit="1" customWidth="1"/>
    <col min="10" max="12" width="8.796875" style="2"/>
    <col min="13" max="13" width="11.09765625" style="2" customWidth="1"/>
    <col min="14" max="14" width="9.5" style="2" customWidth="1"/>
    <col min="15" max="15" width="10.19921875" style="2" customWidth="1"/>
    <col min="16" max="16" width="10.19921875" style="2" bestFit="1" customWidth="1"/>
    <col min="17" max="17" width="10.5" style="2" customWidth="1"/>
    <col min="18" max="18" width="9.296875" style="2" customWidth="1"/>
    <col min="19" max="19" width="8.19921875" style="2" customWidth="1"/>
    <col min="20" max="20" width="17" style="2" customWidth="1"/>
    <col min="21" max="16384" width="8.796875" style="2"/>
  </cols>
  <sheetData>
    <row r="1" spans="1:20">
      <c r="I1" s="3"/>
    </row>
    <row r="2" spans="1:20" ht="28.9" customHeight="1">
      <c r="A2" s="209" t="s">
        <v>243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</row>
    <row r="3" spans="1:20" ht="28.9" customHeight="1">
      <c r="A3" s="206" t="s">
        <v>0</v>
      </c>
      <c r="B3" s="210" t="s">
        <v>1</v>
      </c>
      <c r="C3" s="211"/>
      <c r="D3" s="206" t="s">
        <v>2</v>
      </c>
      <c r="E3" s="206" t="s">
        <v>3</v>
      </c>
      <c r="F3" s="4" t="s">
        <v>4</v>
      </c>
      <c r="G3" s="206" t="s">
        <v>239</v>
      </c>
      <c r="H3" s="206" t="s">
        <v>240</v>
      </c>
      <c r="I3" s="206" t="s">
        <v>7</v>
      </c>
      <c r="J3" s="206" t="s">
        <v>8</v>
      </c>
      <c r="K3" s="206" t="s">
        <v>200</v>
      </c>
      <c r="L3" s="206" t="s">
        <v>241</v>
      </c>
      <c r="M3" s="206" t="s">
        <v>11</v>
      </c>
      <c r="N3" s="206" t="s">
        <v>12</v>
      </c>
      <c r="O3" s="206" t="s">
        <v>13</v>
      </c>
      <c r="P3" s="206" t="s">
        <v>14</v>
      </c>
      <c r="Q3" s="206" t="s">
        <v>15</v>
      </c>
      <c r="R3" s="206" t="s">
        <v>16</v>
      </c>
      <c r="S3" s="206" t="s">
        <v>17</v>
      </c>
      <c r="T3" s="206" t="s">
        <v>18</v>
      </c>
    </row>
    <row r="4" spans="1:20">
      <c r="A4" s="207"/>
      <c r="B4" s="212"/>
      <c r="C4" s="213"/>
      <c r="D4" s="207"/>
      <c r="E4" s="207"/>
      <c r="F4" s="5"/>
      <c r="G4" s="207"/>
      <c r="H4" s="207"/>
      <c r="I4" s="207"/>
      <c r="J4" s="207"/>
      <c r="K4" s="208"/>
      <c r="L4" s="208"/>
      <c r="M4" s="207"/>
      <c r="N4" s="207"/>
      <c r="O4" s="207"/>
      <c r="P4" s="207"/>
      <c r="Q4" s="207"/>
      <c r="R4" s="207"/>
      <c r="S4" s="207"/>
      <c r="T4" s="207"/>
    </row>
    <row r="5" spans="1:20">
      <c r="A5" s="13">
        <v>1</v>
      </c>
      <c r="B5" s="204" t="s">
        <v>202</v>
      </c>
      <c r="C5" s="205"/>
      <c r="D5" s="198">
        <v>0</v>
      </c>
      <c r="E5" s="198">
        <v>0</v>
      </c>
      <c r="F5" s="198">
        <v>322.72500000000002</v>
      </c>
      <c r="G5" s="199">
        <v>0</v>
      </c>
      <c r="H5" s="199">
        <v>0</v>
      </c>
      <c r="I5" s="10">
        <v>0</v>
      </c>
      <c r="J5" s="11">
        <v>0</v>
      </c>
      <c r="K5" s="11">
        <v>0</v>
      </c>
      <c r="L5" s="193">
        <v>0</v>
      </c>
      <c r="M5" s="193">
        <v>0</v>
      </c>
      <c r="N5" s="193">
        <v>0</v>
      </c>
      <c r="O5" s="193">
        <v>5186.1899999999996</v>
      </c>
      <c r="P5" s="193">
        <v>0</v>
      </c>
      <c r="Q5" s="193">
        <v>0</v>
      </c>
      <c r="R5" s="193">
        <v>0</v>
      </c>
      <c r="S5" s="193">
        <v>0</v>
      </c>
      <c r="T5" s="193">
        <v>5186.1899999999996</v>
      </c>
    </row>
    <row r="6" spans="1:20">
      <c r="A6" s="13">
        <v>2</v>
      </c>
      <c r="B6" s="204" t="s">
        <v>203</v>
      </c>
      <c r="C6" s="205"/>
      <c r="D6" s="198">
        <v>0</v>
      </c>
      <c r="E6" s="198">
        <v>0</v>
      </c>
      <c r="F6" s="198">
        <v>322.72500000000002</v>
      </c>
      <c r="G6" s="199">
        <v>0</v>
      </c>
      <c r="H6" s="199">
        <v>0</v>
      </c>
      <c r="I6" s="10">
        <v>0</v>
      </c>
      <c r="J6" s="11">
        <v>0</v>
      </c>
      <c r="K6" s="11">
        <v>0</v>
      </c>
      <c r="L6" s="193">
        <v>0</v>
      </c>
      <c r="M6" s="193">
        <v>0</v>
      </c>
      <c r="N6" s="193">
        <v>0</v>
      </c>
      <c r="O6" s="193">
        <v>5186.1899999999996</v>
      </c>
      <c r="P6" s="193">
        <v>0</v>
      </c>
      <c r="Q6" s="193">
        <v>0</v>
      </c>
      <c r="R6" s="193">
        <v>0</v>
      </c>
      <c r="S6" s="193">
        <v>0</v>
      </c>
      <c r="T6" s="193">
        <v>5186.1899999999996</v>
      </c>
    </row>
    <row r="7" spans="1:20">
      <c r="A7" s="13">
        <v>3</v>
      </c>
      <c r="B7" s="204" t="s">
        <v>204</v>
      </c>
      <c r="C7" s="205"/>
      <c r="D7" s="198">
        <v>0</v>
      </c>
      <c r="E7" s="198">
        <v>0</v>
      </c>
      <c r="F7" s="198">
        <v>322.72500000000002</v>
      </c>
      <c r="G7" s="199">
        <v>0</v>
      </c>
      <c r="H7" s="199">
        <v>0</v>
      </c>
      <c r="I7" s="10">
        <v>0</v>
      </c>
      <c r="J7" s="11">
        <v>0</v>
      </c>
      <c r="K7" s="11">
        <v>0</v>
      </c>
      <c r="L7" s="193">
        <v>0</v>
      </c>
      <c r="M7" s="193">
        <v>0</v>
      </c>
      <c r="N7" s="193">
        <v>0</v>
      </c>
      <c r="O7" s="193">
        <v>5186.1899999999996</v>
      </c>
      <c r="P7" s="193">
        <v>0</v>
      </c>
      <c r="Q7" s="193">
        <v>0</v>
      </c>
      <c r="R7" s="193">
        <v>0</v>
      </c>
      <c r="S7" s="193">
        <v>0</v>
      </c>
      <c r="T7" s="193">
        <v>5186.1899999999996</v>
      </c>
    </row>
    <row r="8" spans="1:20">
      <c r="A8" s="13">
        <v>4</v>
      </c>
      <c r="B8" s="204" t="s">
        <v>205</v>
      </c>
      <c r="C8" s="205"/>
      <c r="D8" s="198">
        <v>0</v>
      </c>
      <c r="E8" s="198">
        <v>0</v>
      </c>
      <c r="F8" s="198">
        <v>322.72500000000002</v>
      </c>
      <c r="G8" s="199">
        <v>0</v>
      </c>
      <c r="H8" s="199">
        <v>0</v>
      </c>
      <c r="I8" s="10">
        <v>0</v>
      </c>
      <c r="J8" s="11">
        <v>0</v>
      </c>
      <c r="K8" s="11">
        <v>0</v>
      </c>
      <c r="L8" s="193">
        <v>0</v>
      </c>
      <c r="M8" s="193">
        <v>0</v>
      </c>
      <c r="N8" s="193">
        <v>0</v>
      </c>
      <c r="O8" s="193">
        <v>5186.1899999999996</v>
      </c>
      <c r="P8" s="193">
        <v>0</v>
      </c>
      <c r="Q8" s="193">
        <v>0</v>
      </c>
      <c r="R8" s="193">
        <v>0</v>
      </c>
      <c r="S8" s="193">
        <v>0</v>
      </c>
      <c r="T8" s="193">
        <v>5186.1899999999996</v>
      </c>
    </row>
    <row r="9" spans="1:20">
      <c r="A9" s="13">
        <v>5</v>
      </c>
      <c r="B9" s="204" t="s">
        <v>206</v>
      </c>
      <c r="C9" s="205"/>
      <c r="D9" s="198">
        <v>0</v>
      </c>
      <c r="E9" s="198">
        <v>22</v>
      </c>
      <c r="F9" s="198">
        <v>300.72500000000002</v>
      </c>
      <c r="G9" s="199">
        <v>0</v>
      </c>
      <c r="H9" s="199">
        <v>0</v>
      </c>
      <c r="I9" s="10">
        <v>0</v>
      </c>
      <c r="J9" s="11">
        <v>0</v>
      </c>
      <c r="K9" s="11">
        <v>0</v>
      </c>
      <c r="L9" s="193">
        <v>0</v>
      </c>
      <c r="M9" s="193">
        <v>0</v>
      </c>
      <c r="N9" s="193">
        <v>2090</v>
      </c>
      <c r="O9" s="193">
        <v>4832.6499999999996</v>
      </c>
      <c r="P9" s="193">
        <v>0</v>
      </c>
      <c r="Q9" s="193">
        <v>0</v>
      </c>
      <c r="R9" s="193">
        <v>0</v>
      </c>
      <c r="S9" s="193">
        <v>0</v>
      </c>
      <c r="T9" s="193">
        <v>6922.65</v>
      </c>
    </row>
    <row r="10" spans="1:20">
      <c r="A10" s="13">
        <v>6</v>
      </c>
      <c r="B10" s="204" t="s">
        <v>207</v>
      </c>
      <c r="C10" s="205"/>
      <c r="D10" s="198">
        <v>0</v>
      </c>
      <c r="E10" s="198">
        <v>0</v>
      </c>
      <c r="F10" s="198">
        <v>300.72500000000002</v>
      </c>
      <c r="G10" s="199">
        <v>0</v>
      </c>
      <c r="H10" s="199">
        <v>0</v>
      </c>
      <c r="I10" s="10">
        <v>0</v>
      </c>
      <c r="J10" s="11">
        <v>0</v>
      </c>
      <c r="K10" s="11">
        <v>0</v>
      </c>
      <c r="L10" s="193">
        <v>0</v>
      </c>
      <c r="M10" s="193">
        <v>0</v>
      </c>
      <c r="N10" s="193">
        <v>0</v>
      </c>
      <c r="O10" s="193">
        <v>4832.6499999999996</v>
      </c>
      <c r="P10" s="193">
        <v>0</v>
      </c>
      <c r="Q10" s="193">
        <v>0</v>
      </c>
      <c r="R10" s="193">
        <v>0</v>
      </c>
      <c r="S10" s="193">
        <v>0</v>
      </c>
      <c r="T10" s="193">
        <v>4832.6499999999996</v>
      </c>
    </row>
    <row r="11" spans="1:20">
      <c r="A11" s="13">
        <v>7</v>
      </c>
      <c r="B11" s="204" t="s">
        <v>208</v>
      </c>
      <c r="C11" s="205"/>
      <c r="D11" s="198">
        <v>22</v>
      </c>
      <c r="E11" s="198">
        <v>0</v>
      </c>
      <c r="F11" s="198">
        <v>322.72500000000002</v>
      </c>
      <c r="G11" s="199">
        <v>0</v>
      </c>
      <c r="H11" s="199">
        <v>0</v>
      </c>
      <c r="I11" s="10">
        <v>0</v>
      </c>
      <c r="J11" s="11">
        <v>0</v>
      </c>
      <c r="K11" s="11">
        <v>0</v>
      </c>
      <c r="L11" s="193">
        <v>0</v>
      </c>
      <c r="M11" s="193">
        <v>2090</v>
      </c>
      <c r="N11" s="193">
        <v>0</v>
      </c>
      <c r="O11" s="193">
        <v>5186.1899999999996</v>
      </c>
      <c r="P11" s="193">
        <v>0</v>
      </c>
      <c r="Q11" s="193">
        <v>0</v>
      </c>
      <c r="R11" s="193">
        <v>0</v>
      </c>
      <c r="S11" s="193">
        <v>0</v>
      </c>
      <c r="T11" s="193">
        <v>7276.19</v>
      </c>
    </row>
    <row r="12" spans="1:20">
      <c r="A12" s="13">
        <v>8</v>
      </c>
      <c r="B12" s="204" t="s">
        <v>209</v>
      </c>
      <c r="C12" s="205"/>
      <c r="D12" s="198">
        <v>22</v>
      </c>
      <c r="E12" s="198">
        <v>0</v>
      </c>
      <c r="F12" s="198">
        <v>344.72500000000002</v>
      </c>
      <c r="G12" s="199">
        <v>0</v>
      </c>
      <c r="H12" s="199">
        <v>0</v>
      </c>
      <c r="I12" s="10">
        <v>0</v>
      </c>
      <c r="J12" s="11">
        <v>0</v>
      </c>
      <c r="K12" s="11">
        <v>0</v>
      </c>
      <c r="L12" s="193">
        <v>0</v>
      </c>
      <c r="M12" s="193">
        <v>2090</v>
      </c>
      <c r="N12" s="193">
        <v>0</v>
      </c>
      <c r="O12" s="193">
        <v>5539.73</v>
      </c>
      <c r="P12" s="193">
        <v>0</v>
      </c>
      <c r="Q12" s="193">
        <v>0</v>
      </c>
      <c r="R12" s="193">
        <v>0</v>
      </c>
      <c r="S12" s="193">
        <v>0</v>
      </c>
      <c r="T12" s="193">
        <v>7629.73</v>
      </c>
    </row>
    <row r="13" spans="1:20">
      <c r="A13" s="13">
        <v>9</v>
      </c>
      <c r="B13" s="204" t="s">
        <v>210</v>
      </c>
      <c r="C13" s="205"/>
      <c r="D13" s="198">
        <v>0</v>
      </c>
      <c r="E13" s="198">
        <v>0</v>
      </c>
      <c r="F13" s="198">
        <v>344.72500000000002</v>
      </c>
      <c r="G13" s="199">
        <v>0</v>
      </c>
      <c r="H13" s="199">
        <v>0</v>
      </c>
      <c r="I13" s="10">
        <v>0</v>
      </c>
      <c r="J13" s="11">
        <v>0</v>
      </c>
      <c r="K13" s="11">
        <v>0</v>
      </c>
      <c r="L13" s="193">
        <v>0</v>
      </c>
      <c r="M13" s="193">
        <v>0</v>
      </c>
      <c r="N13" s="193">
        <v>0</v>
      </c>
      <c r="O13" s="193">
        <v>5539.73</v>
      </c>
      <c r="P13" s="193">
        <v>0</v>
      </c>
      <c r="Q13" s="193">
        <v>0</v>
      </c>
      <c r="R13" s="193">
        <v>0</v>
      </c>
      <c r="S13" s="193">
        <v>0</v>
      </c>
      <c r="T13" s="193">
        <v>5539.73</v>
      </c>
    </row>
    <row r="14" spans="1:20">
      <c r="A14" s="13">
        <v>10</v>
      </c>
      <c r="B14" s="204" t="s">
        <v>211</v>
      </c>
      <c r="C14" s="205"/>
      <c r="D14" s="198">
        <v>88</v>
      </c>
      <c r="E14" s="198">
        <v>0</v>
      </c>
      <c r="F14" s="198">
        <v>432.72500000000002</v>
      </c>
      <c r="G14" s="199">
        <v>0</v>
      </c>
      <c r="H14" s="199">
        <v>0</v>
      </c>
      <c r="I14" s="10">
        <v>0</v>
      </c>
      <c r="J14" s="11">
        <v>0</v>
      </c>
      <c r="K14" s="11">
        <v>0</v>
      </c>
      <c r="L14" s="193">
        <v>0</v>
      </c>
      <c r="M14" s="193">
        <v>8360</v>
      </c>
      <c r="N14" s="193">
        <v>0</v>
      </c>
      <c r="O14" s="193">
        <v>6953.89</v>
      </c>
      <c r="P14" s="193">
        <v>0</v>
      </c>
      <c r="Q14" s="193">
        <v>0</v>
      </c>
      <c r="R14" s="193">
        <v>0</v>
      </c>
      <c r="S14" s="193">
        <v>0</v>
      </c>
      <c r="T14" s="193">
        <v>15313.89</v>
      </c>
    </row>
    <row r="15" spans="1:20">
      <c r="A15" s="13">
        <v>11</v>
      </c>
      <c r="B15" s="204" t="s">
        <v>212</v>
      </c>
      <c r="C15" s="205"/>
      <c r="D15" s="198">
        <v>44</v>
      </c>
      <c r="E15" s="198">
        <v>2.5000000000000001E-2</v>
      </c>
      <c r="F15" s="198">
        <v>476.7</v>
      </c>
      <c r="G15" s="199">
        <v>0</v>
      </c>
      <c r="H15" s="199">
        <v>0</v>
      </c>
      <c r="I15" s="10">
        <v>0</v>
      </c>
      <c r="J15" s="11">
        <v>0</v>
      </c>
      <c r="K15" s="11">
        <v>0</v>
      </c>
      <c r="L15" s="193">
        <v>0</v>
      </c>
      <c r="M15" s="193">
        <v>4180</v>
      </c>
      <c r="N15" s="193">
        <v>2.38</v>
      </c>
      <c r="O15" s="193">
        <v>7660.57</v>
      </c>
      <c r="P15" s="193">
        <v>0</v>
      </c>
      <c r="Q15" s="193">
        <v>0</v>
      </c>
      <c r="R15" s="193">
        <v>0</v>
      </c>
      <c r="S15" s="193">
        <v>0</v>
      </c>
      <c r="T15" s="193">
        <v>11842.94</v>
      </c>
    </row>
    <row r="16" spans="1:20">
      <c r="A16" s="13">
        <v>12</v>
      </c>
      <c r="B16" s="204" t="s">
        <v>213</v>
      </c>
      <c r="C16" s="205"/>
      <c r="D16" s="198">
        <v>0</v>
      </c>
      <c r="E16" s="198">
        <v>0</v>
      </c>
      <c r="F16" s="198">
        <v>476.7</v>
      </c>
      <c r="G16" s="199">
        <v>0</v>
      </c>
      <c r="H16" s="199">
        <v>0</v>
      </c>
      <c r="I16" s="10">
        <v>0</v>
      </c>
      <c r="J16" s="11">
        <v>0</v>
      </c>
      <c r="K16" s="11">
        <v>0</v>
      </c>
      <c r="L16" s="193">
        <v>0</v>
      </c>
      <c r="M16" s="193">
        <v>0</v>
      </c>
      <c r="N16" s="193">
        <v>0</v>
      </c>
      <c r="O16" s="193">
        <v>7660.57</v>
      </c>
      <c r="P16" s="193">
        <v>0</v>
      </c>
      <c r="Q16" s="193">
        <v>0</v>
      </c>
      <c r="R16" s="193">
        <v>0</v>
      </c>
      <c r="S16" s="193">
        <v>0</v>
      </c>
      <c r="T16" s="193">
        <v>7660.57</v>
      </c>
    </row>
    <row r="17" spans="1:20">
      <c r="A17" s="13">
        <v>13</v>
      </c>
      <c r="B17" s="204" t="s">
        <v>214</v>
      </c>
      <c r="C17" s="205"/>
      <c r="D17" s="198">
        <v>0</v>
      </c>
      <c r="E17" s="198">
        <v>0</v>
      </c>
      <c r="F17" s="198">
        <v>476.7</v>
      </c>
      <c r="G17" s="199">
        <v>0</v>
      </c>
      <c r="H17" s="199">
        <v>0</v>
      </c>
      <c r="I17" s="10">
        <v>0</v>
      </c>
      <c r="J17" s="11">
        <v>0</v>
      </c>
      <c r="K17" s="11">
        <v>0</v>
      </c>
      <c r="L17" s="193">
        <v>0</v>
      </c>
      <c r="M17" s="193">
        <v>0</v>
      </c>
      <c r="N17" s="193">
        <v>0</v>
      </c>
      <c r="O17" s="193">
        <v>7660.57</v>
      </c>
      <c r="P17" s="193">
        <v>0</v>
      </c>
      <c r="Q17" s="193">
        <v>0</v>
      </c>
      <c r="R17" s="193">
        <v>0</v>
      </c>
      <c r="S17" s="193">
        <v>0</v>
      </c>
      <c r="T17" s="193">
        <v>7660.57</v>
      </c>
    </row>
    <row r="18" spans="1:20">
      <c r="A18" s="13">
        <v>14</v>
      </c>
      <c r="B18" s="204" t="s">
        <v>215</v>
      </c>
      <c r="C18" s="205"/>
      <c r="D18" s="198">
        <v>0</v>
      </c>
      <c r="E18" s="198">
        <v>22</v>
      </c>
      <c r="F18" s="198">
        <v>454.7</v>
      </c>
      <c r="G18" s="199">
        <v>0</v>
      </c>
      <c r="H18" s="199">
        <v>0</v>
      </c>
      <c r="I18" s="10">
        <v>0</v>
      </c>
      <c r="J18" s="11">
        <v>0</v>
      </c>
      <c r="K18" s="11">
        <v>0</v>
      </c>
      <c r="L18" s="193">
        <v>0</v>
      </c>
      <c r="M18" s="193">
        <v>0</v>
      </c>
      <c r="N18" s="193">
        <v>2090</v>
      </c>
      <c r="O18" s="193">
        <v>7307.03</v>
      </c>
      <c r="P18" s="193">
        <v>0</v>
      </c>
      <c r="Q18" s="193">
        <v>0</v>
      </c>
      <c r="R18" s="193">
        <v>0</v>
      </c>
      <c r="S18" s="193">
        <v>0</v>
      </c>
      <c r="T18" s="193">
        <v>9397.0300000000007</v>
      </c>
    </row>
    <row r="19" spans="1:20">
      <c r="A19" s="13">
        <v>15</v>
      </c>
      <c r="B19" s="204" t="s">
        <v>216</v>
      </c>
      <c r="C19" s="205"/>
      <c r="D19" s="198">
        <v>0</v>
      </c>
      <c r="E19" s="198">
        <v>0</v>
      </c>
      <c r="F19" s="198">
        <v>454.7</v>
      </c>
      <c r="G19" s="199">
        <v>0</v>
      </c>
      <c r="H19" s="199">
        <v>0</v>
      </c>
      <c r="I19" s="10">
        <v>0</v>
      </c>
      <c r="J19" s="11">
        <v>0</v>
      </c>
      <c r="K19" s="11">
        <v>0</v>
      </c>
      <c r="L19" s="193">
        <v>0</v>
      </c>
      <c r="M19" s="193">
        <v>0</v>
      </c>
      <c r="N19" s="193">
        <v>0</v>
      </c>
      <c r="O19" s="193">
        <v>7307.03</v>
      </c>
      <c r="P19" s="193">
        <v>0</v>
      </c>
      <c r="Q19" s="193">
        <v>0</v>
      </c>
      <c r="R19" s="193">
        <v>0</v>
      </c>
      <c r="S19" s="193">
        <v>0</v>
      </c>
      <c r="T19" s="193">
        <v>7307.03</v>
      </c>
    </row>
    <row r="20" spans="1:20">
      <c r="A20" s="13">
        <v>16</v>
      </c>
      <c r="B20" s="204" t="s">
        <v>217</v>
      </c>
      <c r="C20" s="205"/>
      <c r="D20" s="198">
        <v>0</v>
      </c>
      <c r="E20" s="198">
        <v>44</v>
      </c>
      <c r="F20" s="198">
        <v>410.7</v>
      </c>
      <c r="G20" s="199">
        <v>0</v>
      </c>
      <c r="H20" s="199">
        <v>0</v>
      </c>
      <c r="I20" s="10">
        <v>0</v>
      </c>
      <c r="J20" s="11">
        <v>0</v>
      </c>
      <c r="K20" s="11">
        <v>0</v>
      </c>
      <c r="L20" s="193">
        <v>0</v>
      </c>
      <c r="M20" s="193">
        <v>0</v>
      </c>
      <c r="N20" s="193">
        <v>4180</v>
      </c>
      <c r="O20" s="193">
        <v>6599.95</v>
      </c>
      <c r="P20" s="193">
        <v>0</v>
      </c>
      <c r="Q20" s="193">
        <v>0</v>
      </c>
      <c r="R20" s="193">
        <v>0</v>
      </c>
      <c r="S20" s="193">
        <v>0</v>
      </c>
      <c r="T20" s="193">
        <v>10779.95</v>
      </c>
    </row>
    <row r="21" spans="1:20">
      <c r="A21" s="13">
        <v>17</v>
      </c>
      <c r="B21" s="204" t="s">
        <v>218</v>
      </c>
      <c r="C21" s="205"/>
      <c r="D21" s="198">
        <v>0</v>
      </c>
      <c r="E21" s="198">
        <v>22</v>
      </c>
      <c r="F21" s="198">
        <v>388.7</v>
      </c>
      <c r="G21" s="199">
        <v>0</v>
      </c>
      <c r="H21" s="199">
        <v>0</v>
      </c>
      <c r="I21" s="10">
        <v>0</v>
      </c>
      <c r="J21" s="11">
        <v>0</v>
      </c>
      <c r="K21" s="11">
        <v>0</v>
      </c>
      <c r="L21" s="193">
        <v>0</v>
      </c>
      <c r="M21" s="193">
        <v>0</v>
      </c>
      <c r="N21" s="193">
        <v>2090</v>
      </c>
      <c r="O21" s="193">
        <v>6246.41</v>
      </c>
      <c r="P21" s="193">
        <v>0</v>
      </c>
      <c r="Q21" s="193">
        <v>0</v>
      </c>
      <c r="R21" s="193">
        <v>0</v>
      </c>
      <c r="S21" s="193">
        <v>0</v>
      </c>
      <c r="T21" s="193">
        <v>8336.41</v>
      </c>
    </row>
    <row r="22" spans="1:20">
      <c r="A22" s="13">
        <v>18</v>
      </c>
      <c r="B22" s="204" t="s">
        <v>219</v>
      </c>
      <c r="C22" s="205"/>
      <c r="D22" s="198">
        <v>0</v>
      </c>
      <c r="E22" s="198">
        <v>0</v>
      </c>
      <c r="F22" s="198">
        <v>388.7</v>
      </c>
      <c r="G22" s="199">
        <v>0</v>
      </c>
      <c r="H22" s="199">
        <v>0</v>
      </c>
      <c r="I22" s="10">
        <v>0</v>
      </c>
      <c r="J22" s="11">
        <v>0</v>
      </c>
      <c r="K22" s="11">
        <v>0</v>
      </c>
      <c r="L22" s="193">
        <v>0</v>
      </c>
      <c r="M22" s="193">
        <v>0</v>
      </c>
      <c r="N22" s="193">
        <v>0</v>
      </c>
      <c r="O22" s="193">
        <v>6246.41</v>
      </c>
      <c r="P22" s="193">
        <v>0</v>
      </c>
      <c r="Q22" s="193">
        <v>0</v>
      </c>
      <c r="R22" s="193">
        <v>0</v>
      </c>
      <c r="S22" s="193">
        <v>0</v>
      </c>
      <c r="T22" s="193">
        <v>6246.41</v>
      </c>
    </row>
    <row r="23" spans="1:20">
      <c r="A23" s="13">
        <v>19</v>
      </c>
      <c r="B23" s="204" t="s">
        <v>220</v>
      </c>
      <c r="C23" s="205"/>
      <c r="D23" s="198">
        <v>22</v>
      </c>
      <c r="E23" s="198">
        <v>0</v>
      </c>
      <c r="F23" s="198">
        <v>410.7</v>
      </c>
      <c r="G23" s="199">
        <v>0</v>
      </c>
      <c r="H23" s="199">
        <v>0</v>
      </c>
      <c r="I23" s="10">
        <v>0</v>
      </c>
      <c r="J23" s="11">
        <v>0</v>
      </c>
      <c r="K23" s="11">
        <v>0</v>
      </c>
      <c r="L23" s="193">
        <v>0</v>
      </c>
      <c r="M23" s="193">
        <v>2090</v>
      </c>
      <c r="N23" s="193">
        <v>0</v>
      </c>
      <c r="O23" s="193">
        <v>6599.95</v>
      </c>
      <c r="P23" s="193">
        <v>0</v>
      </c>
      <c r="Q23" s="193">
        <v>0</v>
      </c>
      <c r="R23" s="193">
        <v>0</v>
      </c>
      <c r="S23" s="193">
        <v>0</v>
      </c>
      <c r="T23" s="193">
        <v>8689.9500000000007</v>
      </c>
    </row>
    <row r="24" spans="1:20">
      <c r="A24" s="13">
        <v>20</v>
      </c>
      <c r="B24" s="204" t="s">
        <v>221</v>
      </c>
      <c r="C24" s="205"/>
      <c r="D24" s="198">
        <v>0</v>
      </c>
      <c r="E24" s="198">
        <v>66</v>
      </c>
      <c r="F24" s="198">
        <v>344.7</v>
      </c>
      <c r="G24" s="199">
        <v>0</v>
      </c>
      <c r="H24" s="199">
        <v>0</v>
      </c>
      <c r="I24" s="10">
        <v>0</v>
      </c>
      <c r="J24" s="11">
        <v>0</v>
      </c>
      <c r="K24" s="11">
        <v>0</v>
      </c>
      <c r="L24" s="193">
        <v>0</v>
      </c>
      <c r="M24" s="193">
        <v>0</v>
      </c>
      <c r="N24" s="193">
        <v>6270</v>
      </c>
      <c r="O24" s="193">
        <v>5539.33</v>
      </c>
      <c r="P24" s="193">
        <v>0</v>
      </c>
      <c r="Q24" s="193">
        <v>0</v>
      </c>
      <c r="R24" s="193">
        <v>0</v>
      </c>
      <c r="S24" s="193">
        <v>0</v>
      </c>
      <c r="T24" s="193">
        <v>11809.33</v>
      </c>
    </row>
    <row r="25" spans="1:20">
      <c r="A25" s="13">
        <v>21</v>
      </c>
      <c r="B25" s="204" t="s">
        <v>222</v>
      </c>
      <c r="C25" s="205"/>
      <c r="D25" s="198">
        <v>0</v>
      </c>
      <c r="E25" s="198">
        <v>0</v>
      </c>
      <c r="F25" s="198">
        <v>344.7</v>
      </c>
      <c r="G25" s="199">
        <v>0</v>
      </c>
      <c r="H25" s="199">
        <v>0</v>
      </c>
      <c r="I25" s="10">
        <v>0</v>
      </c>
      <c r="J25" s="11">
        <v>0</v>
      </c>
      <c r="K25" s="11">
        <v>0</v>
      </c>
      <c r="L25" s="193">
        <v>0</v>
      </c>
      <c r="M25" s="193">
        <v>0</v>
      </c>
      <c r="N25" s="193">
        <v>0</v>
      </c>
      <c r="O25" s="193">
        <v>5539.33</v>
      </c>
      <c r="P25" s="193">
        <v>0</v>
      </c>
      <c r="Q25" s="193">
        <v>0</v>
      </c>
      <c r="R25" s="193">
        <v>0</v>
      </c>
      <c r="S25" s="193">
        <v>0</v>
      </c>
      <c r="T25" s="193">
        <v>5539.33</v>
      </c>
    </row>
    <row r="26" spans="1:20">
      <c r="A26" s="13">
        <v>22</v>
      </c>
      <c r="B26" s="204" t="s">
        <v>223</v>
      </c>
      <c r="C26" s="205"/>
      <c r="D26" s="198">
        <v>0</v>
      </c>
      <c r="E26" s="198">
        <v>0</v>
      </c>
      <c r="F26" s="198">
        <v>344.7</v>
      </c>
      <c r="G26" s="199">
        <v>0</v>
      </c>
      <c r="H26" s="199">
        <v>0</v>
      </c>
      <c r="I26" s="10">
        <v>0</v>
      </c>
      <c r="J26" s="11">
        <v>0</v>
      </c>
      <c r="K26" s="11">
        <v>0</v>
      </c>
      <c r="L26" s="193">
        <v>0</v>
      </c>
      <c r="M26" s="193">
        <v>0</v>
      </c>
      <c r="N26" s="193">
        <v>0</v>
      </c>
      <c r="O26" s="193">
        <v>5539.33</v>
      </c>
      <c r="P26" s="193">
        <v>0</v>
      </c>
      <c r="Q26" s="193">
        <v>0</v>
      </c>
      <c r="R26" s="193">
        <v>0</v>
      </c>
      <c r="S26" s="193">
        <v>0</v>
      </c>
      <c r="T26" s="193">
        <v>5539.33</v>
      </c>
    </row>
    <row r="27" spans="1:20">
      <c r="A27" s="13">
        <v>23</v>
      </c>
      <c r="B27" s="204" t="s">
        <v>224</v>
      </c>
      <c r="C27" s="205"/>
      <c r="D27" s="198">
        <v>0</v>
      </c>
      <c r="E27" s="198">
        <v>22</v>
      </c>
      <c r="F27" s="198">
        <v>322.7</v>
      </c>
      <c r="G27" s="199">
        <v>0</v>
      </c>
      <c r="H27" s="199">
        <v>0</v>
      </c>
      <c r="I27" s="10">
        <v>0</v>
      </c>
      <c r="J27" s="11">
        <v>0</v>
      </c>
      <c r="K27" s="11">
        <v>0</v>
      </c>
      <c r="L27" s="193">
        <v>0</v>
      </c>
      <c r="M27" s="193">
        <v>0</v>
      </c>
      <c r="N27" s="193">
        <v>2090</v>
      </c>
      <c r="O27" s="193">
        <v>5185.79</v>
      </c>
      <c r="P27" s="193">
        <v>0</v>
      </c>
      <c r="Q27" s="193">
        <v>0</v>
      </c>
      <c r="R27" s="193">
        <v>0</v>
      </c>
      <c r="S27" s="193">
        <v>0</v>
      </c>
      <c r="T27" s="193">
        <v>7275.79</v>
      </c>
    </row>
    <row r="28" spans="1:20">
      <c r="A28" s="13">
        <v>24</v>
      </c>
      <c r="B28" s="204" t="s">
        <v>225</v>
      </c>
      <c r="C28" s="205"/>
      <c r="D28" s="198">
        <v>0</v>
      </c>
      <c r="E28" s="198">
        <v>22</v>
      </c>
      <c r="F28" s="198">
        <v>300.7</v>
      </c>
      <c r="G28" s="199">
        <v>0</v>
      </c>
      <c r="H28" s="199">
        <v>0</v>
      </c>
      <c r="I28" s="10">
        <v>0</v>
      </c>
      <c r="J28" s="11">
        <v>0</v>
      </c>
      <c r="K28" s="11">
        <v>0</v>
      </c>
      <c r="L28" s="193">
        <v>0</v>
      </c>
      <c r="M28" s="193">
        <v>0</v>
      </c>
      <c r="N28" s="193">
        <v>2090</v>
      </c>
      <c r="O28" s="193">
        <v>4832.25</v>
      </c>
      <c r="P28" s="193">
        <v>0</v>
      </c>
      <c r="Q28" s="193">
        <v>0</v>
      </c>
      <c r="R28" s="193">
        <v>0</v>
      </c>
      <c r="S28" s="193">
        <v>0</v>
      </c>
      <c r="T28" s="193">
        <v>6922.25</v>
      </c>
    </row>
    <row r="29" spans="1:20">
      <c r="A29" s="13">
        <v>25</v>
      </c>
      <c r="B29" s="204" t="s">
        <v>226</v>
      </c>
      <c r="C29" s="205"/>
      <c r="D29" s="198">
        <v>0</v>
      </c>
      <c r="E29" s="198">
        <v>0</v>
      </c>
      <c r="F29" s="198">
        <v>300.7</v>
      </c>
      <c r="G29" s="199">
        <v>0</v>
      </c>
      <c r="H29" s="199">
        <v>0</v>
      </c>
      <c r="I29" s="10">
        <v>0</v>
      </c>
      <c r="J29" s="11">
        <v>0</v>
      </c>
      <c r="K29" s="11">
        <v>0</v>
      </c>
      <c r="L29" s="193">
        <v>0</v>
      </c>
      <c r="M29" s="193">
        <v>0</v>
      </c>
      <c r="N29" s="193">
        <v>0</v>
      </c>
      <c r="O29" s="193">
        <v>4832.25</v>
      </c>
      <c r="P29" s="193">
        <v>0</v>
      </c>
      <c r="Q29" s="193">
        <v>0</v>
      </c>
      <c r="R29" s="193">
        <v>0</v>
      </c>
      <c r="S29" s="193">
        <v>0</v>
      </c>
      <c r="T29" s="193">
        <v>4832.25</v>
      </c>
    </row>
    <row r="30" spans="1:20">
      <c r="A30" s="13">
        <v>26</v>
      </c>
      <c r="B30" s="204" t="s">
        <v>227</v>
      </c>
      <c r="C30" s="205"/>
      <c r="D30" s="198">
        <v>0</v>
      </c>
      <c r="E30" s="198">
        <v>22</v>
      </c>
      <c r="F30" s="198">
        <v>278.7</v>
      </c>
      <c r="G30" s="199">
        <v>0</v>
      </c>
      <c r="H30" s="199">
        <v>0</v>
      </c>
      <c r="I30" s="10">
        <v>0</v>
      </c>
      <c r="J30" s="11">
        <v>0</v>
      </c>
      <c r="K30" s="11">
        <v>0</v>
      </c>
      <c r="L30" s="193">
        <v>0</v>
      </c>
      <c r="M30" s="193">
        <v>0</v>
      </c>
      <c r="N30" s="193">
        <v>2090</v>
      </c>
      <c r="O30" s="193">
        <v>4478.71</v>
      </c>
      <c r="P30" s="193">
        <v>0</v>
      </c>
      <c r="Q30" s="193">
        <v>0</v>
      </c>
      <c r="R30" s="193">
        <v>0</v>
      </c>
      <c r="S30" s="193">
        <v>0</v>
      </c>
      <c r="T30" s="193">
        <v>6568.71</v>
      </c>
    </row>
    <row r="31" spans="1:20">
      <c r="A31" s="13">
        <v>27</v>
      </c>
      <c r="B31" s="204" t="s">
        <v>228</v>
      </c>
      <c r="C31" s="205"/>
      <c r="D31" s="198">
        <v>0</v>
      </c>
      <c r="E31" s="198">
        <v>0</v>
      </c>
      <c r="F31" s="198">
        <v>278.7</v>
      </c>
      <c r="G31" s="199">
        <v>0</v>
      </c>
      <c r="H31" s="199">
        <v>0</v>
      </c>
      <c r="I31" s="10">
        <v>0</v>
      </c>
      <c r="J31" s="11">
        <v>0</v>
      </c>
      <c r="K31" s="11">
        <v>0</v>
      </c>
      <c r="L31" s="193">
        <v>0</v>
      </c>
      <c r="M31" s="193">
        <v>0</v>
      </c>
      <c r="N31" s="193">
        <v>0</v>
      </c>
      <c r="O31" s="193">
        <v>4478.71</v>
      </c>
      <c r="P31" s="193">
        <v>0</v>
      </c>
      <c r="Q31" s="193">
        <v>0</v>
      </c>
      <c r="R31" s="193">
        <v>0</v>
      </c>
      <c r="S31" s="193">
        <v>0</v>
      </c>
      <c r="T31" s="193">
        <v>4478.71</v>
      </c>
    </row>
    <row r="32" spans="1:20">
      <c r="A32" s="13">
        <v>28</v>
      </c>
      <c r="B32" s="204" t="s">
        <v>229</v>
      </c>
      <c r="C32" s="205"/>
      <c r="D32" s="198">
        <v>0</v>
      </c>
      <c r="E32" s="198">
        <v>22</v>
      </c>
      <c r="F32" s="198">
        <v>256.7</v>
      </c>
      <c r="G32" s="199">
        <v>0</v>
      </c>
      <c r="H32" s="199">
        <v>0</v>
      </c>
      <c r="I32" s="10">
        <v>0</v>
      </c>
      <c r="J32" s="11">
        <v>0</v>
      </c>
      <c r="K32" s="11">
        <v>0</v>
      </c>
      <c r="L32" s="193">
        <v>0</v>
      </c>
      <c r="M32" s="193">
        <v>0</v>
      </c>
      <c r="N32" s="193">
        <v>2090</v>
      </c>
      <c r="O32" s="193">
        <v>4125.17</v>
      </c>
      <c r="P32" s="193">
        <v>0</v>
      </c>
      <c r="Q32" s="193">
        <v>0</v>
      </c>
      <c r="R32" s="193">
        <v>0</v>
      </c>
      <c r="S32" s="193">
        <v>0</v>
      </c>
      <c r="T32" s="193">
        <v>6215.17</v>
      </c>
    </row>
    <row r="33" spans="1:20">
      <c r="A33" s="13">
        <v>29</v>
      </c>
      <c r="B33" s="204" t="s">
        <v>230</v>
      </c>
      <c r="C33" s="205"/>
      <c r="D33" s="198">
        <v>0</v>
      </c>
      <c r="E33" s="198">
        <v>0</v>
      </c>
      <c r="F33" s="198">
        <v>256.7</v>
      </c>
      <c r="G33" s="199">
        <v>0</v>
      </c>
      <c r="H33" s="199">
        <v>0</v>
      </c>
      <c r="I33" s="10">
        <v>0</v>
      </c>
      <c r="J33" s="11">
        <v>0</v>
      </c>
      <c r="K33" s="11">
        <v>0</v>
      </c>
      <c r="L33" s="193">
        <v>0</v>
      </c>
      <c r="M33" s="193">
        <v>0</v>
      </c>
      <c r="N33" s="193">
        <v>0</v>
      </c>
      <c r="O33" s="193">
        <v>4125.17</v>
      </c>
      <c r="P33" s="193">
        <v>0</v>
      </c>
      <c r="Q33" s="193">
        <v>0</v>
      </c>
      <c r="R33" s="193">
        <v>0</v>
      </c>
      <c r="S33" s="193">
        <v>0</v>
      </c>
      <c r="T33" s="193">
        <v>4125.17</v>
      </c>
    </row>
    <row r="34" spans="1:20">
      <c r="A34" s="13">
        <v>30</v>
      </c>
      <c r="B34" s="204" t="s">
        <v>231</v>
      </c>
      <c r="C34" s="205"/>
      <c r="D34" s="198">
        <v>0</v>
      </c>
      <c r="E34" s="198">
        <v>0</v>
      </c>
      <c r="F34" s="198">
        <v>256.7</v>
      </c>
      <c r="G34" s="199">
        <v>0</v>
      </c>
      <c r="H34" s="199">
        <v>0</v>
      </c>
      <c r="I34" s="10">
        <v>0</v>
      </c>
      <c r="J34" s="11">
        <v>0</v>
      </c>
      <c r="K34" s="11">
        <v>0</v>
      </c>
      <c r="L34" s="193">
        <v>0</v>
      </c>
      <c r="M34" s="193">
        <v>0</v>
      </c>
      <c r="N34" s="193">
        <v>0</v>
      </c>
      <c r="O34" s="193">
        <v>4125.17</v>
      </c>
      <c r="P34" s="193">
        <v>0</v>
      </c>
      <c r="Q34" s="193">
        <v>0</v>
      </c>
      <c r="R34" s="193">
        <v>0</v>
      </c>
      <c r="S34" s="193">
        <v>0</v>
      </c>
      <c r="T34" s="193">
        <v>4125.17</v>
      </c>
    </row>
    <row r="35" spans="1:20">
      <c r="A35" s="13">
        <v>31</v>
      </c>
      <c r="B35" s="204" t="s">
        <v>232</v>
      </c>
      <c r="C35" s="205"/>
      <c r="D35" s="198">
        <v>0</v>
      </c>
      <c r="E35" s="198">
        <v>0</v>
      </c>
      <c r="F35" s="198">
        <v>256.7</v>
      </c>
      <c r="G35" s="199">
        <v>0</v>
      </c>
      <c r="H35" s="199">
        <v>0</v>
      </c>
      <c r="I35" s="10">
        <v>0</v>
      </c>
      <c r="J35" s="11">
        <v>0</v>
      </c>
      <c r="K35" s="11">
        <v>0</v>
      </c>
      <c r="L35" s="193">
        <v>0</v>
      </c>
      <c r="M35" s="193">
        <v>0</v>
      </c>
      <c r="N35" s="193">
        <v>0</v>
      </c>
      <c r="O35" s="193">
        <v>4125.17</v>
      </c>
      <c r="P35" s="193">
        <v>0</v>
      </c>
      <c r="Q35" s="193">
        <v>0</v>
      </c>
      <c r="R35" s="193">
        <v>0</v>
      </c>
      <c r="S35" s="193">
        <v>0</v>
      </c>
      <c r="T35" s="193">
        <v>4125.17</v>
      </c>
    </row>
    <row r="36" spans="1:20">
      <c r="D36" s="19">
        <v>198</v>
      </c>
      <c r="E36" s="19">
        <v>264.02499999999998</v>
      </c>
      <c r="F36" s="19">
        <v>10817.950000000004</v>
      </c>
      <c r="G36" s="19">
        <v>0</v>
      </c>
      <c r="H36" s="19">
        <v>0</v>
      </c>
      <c r="I36" s="19">
        <v>0</v>
      </c>
      <c r="J36" s="19">
        <v>0</v>
      </c>
      <c r="K36" s="19">
        <v>0</v>
      </c>
      <c r="L36" s="194">
        <v>0</v>
      </c>
      <c r="M36" s="194">
        <v>18810</v>
      </c>
      <c r="N36" s="194">
        <v>25082.38</v>
      </c>
      <c r="O36" s="194">
        <v>173844.46</v>
      </c>
      <c r="P36" s="194">
        <v>0</v>
      </c>
      <c r="Q36" s="194">
        <v>0</v>
      </c>
      <c r="R36" s="194">
        <v>0</v>
      </c>
      <c r="S36" s="194">
        <v>0</v>
      </c>
      <c r="T36" s="194">
        <v>217736.83</v>
      </c>
    </row>
    <row r="37" spans="1:20">
      <c r="R37" s="22"/>
      <c r="S37" s="22"/>
      <c r="T37" s="195">
        <v>261284.2</v>
      </c>
    </row>
  </sheetData>
  <mergeCells count="50">
    <mergeCell ref="B8:C8"/>
    <mergeCell ref="B9:C9"/>
    <mergeCell ref="B10:C10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  <mergeCell ref="B7:C7"/>
    <mergeCell ref="L3:L4"/>
    <mergeCell ref="M3:M4"/>
    <mergeCell ref="N3:N4"/>
    <mergeCell ref="O3:O4"/>
    <mergeCell ref="R3:R4"/>
    <mergeCell ref="S3:S4"/>
    <mergeCell ref="T3:T4"/>
    <mergeCell ref="B5:C5"/>
    <mergeCell ref="B6:C6"/>
    <mergeCell ref="P3:P4"/>
    <mergeCell ref="Q3:Q4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13:C13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</mergeCells>
  <pageMargins left="0.7" right="0.7" top="0.75" bottom="0.75" header="0.3" footer="0.3"/>
  <pageSetup paperSize="9" fitToHeight="5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AD0F5-BCDD-456A-A138-314F9A6C5CD7}">
  <sheetPr codeName="Лист39">
    <pageSetUpPr fitToPage="1"/>
  </sheetPr>
  <dimension ref="A1:T37"/>
  <sheetViews>
    <sheetView workbookViewId="0">
      <selection activeCell="M5" sqref="M5:N35"/>
    </sheetView>
  </sheetViews>
  <sheetFormatPr defaultRowHeight="15"/>
  <cols>
    <col min="1" max="3" width="8.796875" style="2"/>
    <col min="4" max="5" width="7.19921875" style="2" customWidth="1"/>
    <col min="6" max="6" width="9.19921875" style="2" customWidth="1"/>
    <col min="7" max="7" width="7.3984375" style="2" bestFit="1" customWidth="1"/>
    <col min="8" max="8" width="6.69921875" style="2" bestFit="1" customWidth="1"/>
    <col min="9" max="9" width="7.3984375" style="2" bestFit="1" customWidth="1"/>
    <col min="10" max="12" width="8.796875" style="2"/>
    <col min="13" max="13" width="11.09765625" style="2" customWidth="1"/>
    <col min="14" max="14" width="10.796875" style="2" customWidth="1"/>
    <col min="15" max="15" width="10.19921875" style="2" customWidth="1"/>
    <col min="16" max="16" width="10.19921875" style="2" bestFit="1" customWidth="1"/>
    <col min="17" max="17" width="10.5" style="2" customWidth="1"/>
    <col min="18" max="18" width="9.296875" style="2" customWidth="1"/>
    <col min="19" max="19" width="8.19921875" style="2" customWidth="1"/>
    <col min="20" max="20" width="17" style="2" customWidth="1"/>
    <col min="21" max="16384" width="8.796875" style="2"/>
  </cols>
  <sheetData>
    <row r="1" spans="1:20">
      <c r="I1" s="3"/>
    </row>
    <row r="2" spans="1:20" ht="28.9" customHeight="1">
      <c r="A2" s="209" t="s">
        <v>244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</row>
    <row r="3" spans="1:20" ht="28.9" customHeight="1">
      <c r="A3" s="206" t="s">
        <v>0</v>
      </c>
      <c r="B3" s="210" t="s">
        <v>1</v>
      </c>
      <c r="C3" s="211"/>
      <c r="D3" s="206" t="s">
        <v>2</v>
      </c>
      <c r="E3" s="206" t="s">
        <v>3</v>
      </c>
      <c r="F3" s="4" t="s">
        <v>4</v>
      </c>
      <c r="G3" s="206" t="s">
        <v>239</v>
      </c>
      <c r="H3" s="206" t="s">
        <v>240</v>
      </c>
      <c r="I3" s="206" t="s">
        <v>7</v>
      </c>
      <c r="J3" s="206" t="s">
        <v>8</v>
      </c>
      <c r="K3" s="206" t="s">
        <v>200</v>
      </c>
      <c r="L3" s="206" t="s">
        <v>241</v>
      </c>
      <c r="M3" s="206" t="s">
        <v>11</v>
      </c>
      <c r="N3" s="206" t="s">
        <v>12</v>
      </c>
      <c r="O3" s="206" t="s">
        <v>13</v>
      </c>
      <c r="P3" s="206" t="s">
        <v>14</v>
      </c>
      <c r="Q3" s="206" t="s">
        <v>15</v>
      </c>
      <c r="R3" s="206" t="s">
        <v>16</v>
      </c>
      <c r="S3" s="206" t="s">
        <v>17</v>
      </c>
      <c r="T3" s="206" t="s">
        <v>18</v>
      </c>
    </row>
    <row r="4" spans="1:20">
      <c r="A4" s="207"/>
      <c r="B4" s="212"/>
      <c r="C4" s="213"/>
      <c r="D4" s="207"/>
      <c r="E4" s="207"/>
      <c r="F4" s="5"/>
      <c r="G4" s="207"/>
      <c r="H4" s="207"/>
      <c r="I4" s="207"/>
      <c r="J4" s="207"/>
      <c r="K4" s="208"/>
      <c r="L4" s="208"/>
      <c r="M4" s="207"/>
      <c r="N4" s="207"/>
      <c r="O4" s="207"/>
      <c r="P4" s="207"/>
      <c r="Q4" s="207"/>
      <c r="R4" s="207"/>
      <c r="S4" s="207"/>
      <c r="T4" s="207"/>
    </row>
    <row r="5" spans="1:20">
      <c r="A5" s="13">
        <v>1</v>
      </c>
      <c r="B5" s="204" t="s">
        <v>202</v>
      </c>
      <c r="C5" s="205"/>
      <c r="D5" s="198">
        <v>0</v>
      </c>
      <c r="E5" s="198">
        <v>0</v>
      </c>
      <c r="F5" s="198">
        <v>77.397000000000006</v>
      </c>
      <c r="G5" s="199"/>
      <c r="H5" s="199"/>
      <c r="I5" s="10"/>
      <c r="J5" s="11"/>
      <c r="K5" s="11"/>
      <c r="L5" s="193">
        <v>0</v>
      </c>
      <c r="M5" s="193">
        <v>0</v>
      </c>
      <c r="N5" s="193">
        <v>0</v>
      </c>
      <c r="O5" s="193">
        <v>1243.77</v>
      </c>
      <c r="P5" s="193">
        <v>0</v>
      </c>
      <c r="Q5" s="193">
        <v>0</v>
      </c>
      <c r="R5" s="193">
        <v>0</v>
      </c>
      <c r="S5" s="193">
        <v>0</v>
      </c>
      <c r="T5" s="193">
        <v>1243.77</v>
      </c>
    </row>
    <row r="6" spans="1:20">
      <c r="A6" s="13">
        <v>2</v>
      </c>
      <c r="B6" s="204" t="s">
        <v>203</v>
      </c>
      <c r="C6" s="205"/>
      <c r="D6" s="198">
        <v>0</v>
      </c>
      <c r="E6" s="198">
        <v>0</v>
      </c>
      <c r="F6" s="198">
        <v>77.397000000000006</v>
      </c>
      <c r="G6" s="199"/>
      <c r="H6" s="199"/>
      <c r="I6" s="10"/>
      <c r="J6" s="11"/>
      <c r="K6" s="11"/>
      <c r="L6" s="193">
        <v>0</v>
      </c>
      <c r="M6" s="193">
        <v>0</v>
      </c>
      <c r="N6" s="193">
        <v>0</v>
      </c>
      <c r="O6" s="193">
        <v>1243.77</v>
      </c>
      <c r="P6" s="193">
        <v>0</v>
      </c>
      <c r="Q6" s="193">
        <v>0</v>
      </c>
      <c r="R6" s="193">
        <v>0</v>
      </c>
      <c r="S6" s="193">
        <v>0</v>
      </c>
      <c r="T6" s="193">
        <v>1243.77</v>
      </c>
    </row>
    <row r="7" spans="1:20">
      <c r="A7" s="13">
        <v>3</v>
      </c>
      <c r="B7" s="204" t="s">
        <v>204</v>
      </c>
      <c r="C7" s="205"/>
      <c r="D7" s="198">
        <v>0</v>
      </c>
      <c r="E7" s="198">
        <v>0</v>
      </c>
      <c r="F7" s="198">
        <v>77.397000000000006</v>
      </c>
      <c r="G7" s="199"/>
      <c r="H7" s="199"/>
      <c r="I7" s="10"/>
      <c r="J7" s="11"/>
      <c r="K7" s="11"/>
      <c r="L7" s="193">
        <v>0</v>
      </c>
      <c r="M7" s="193">
        <v>0</v>
      </c>
      <c r="N7" s="193">
        <v>0</v>
      </c>
      <c r="O7" s="193">
        <v>1243.77</v>
      </c>
      <c r="P7" s="193">
        <v>0</v>
      </c>
      <c r="Q7" s="193">
        <v>0</v>
      </c>
      <c r="R7" s="193">
        <v>0</v>
      </c>
      <c r="S7" s="193">
        <v>0</v>
      </c>
      <c r="T7" s="193">
        <v>1243.77</v>
      </c>
    </row>
    <row r="8" spans="1:20">
      <c r="A8" s="13">
        <v>4</v>
      </c>
      <c r="B8" s="204" t="s">
        <v>205</v>
      </c>
      <c r="C8" s="205"/>
      <c r="D8" s="198">
        <v>0</v>
      </c>
      <c r="E8" s="198">
        <v>0</v>
      </c>
      <c r="F8" s="198">
        <v>77.397000000000006</v>
      </c>
      <c r="G8" s="199"/>
      <c r="H8" s="199"/>
      <c r="I8" s="10"/>
      <c r="J8" s="11"/>
      <c r="K8" s="11"/>
      <c r="L8" s="193">
        <v>0</v>
      </c>
      <c r="M8" s="193">
        <v>0</v>
      </c>
      <c r="N8" s="193">
        <v>0</v>
      </c>
      <c r="O8" s="193">
        <v>1243.77</v>
      </c>
      <c r="P8" s="193">
        <v>0</v>
      </c>
      <c r="Q8" s="193">
        <v>0</v>
      </c>
      <c r="R8" s="193">
        <v>0</v>
      </c>
      <c r="S8" s="193">
        <v>0</v>
      </c>
      <c r="T8" s="193">
        <v>1243.77</v>
      </c>
    </row>
    <row r="9" spans="1:20">
      <c r="A9" s="13">
        <v>5</v>
      </c>
      <c r="B9" s="204" t="s">
        <v>206</v>
      </c>
      <c r="C9" s="205"/>
      <c r="D9" s="198">
        <v>0</v>
      </c>
      <c r="E9" s="198">
        <v>0</v>
      </c>
      <c r="F9" s="198">
        <v>77.397000000000006</v>
      </c>
      <c r="G9" s="199"/>
      <c r="H9" s="199"/>
      <c r="I9" s="10"/>
      <c r="J9" s="11"/>
      <c r="K9" s="11"/>
      <c r="L9" s="193">
        <v>0</v>
      </c>
      <c r="M9" s="193">
        <v>0</v>
      </c>
      <c r="N9" s="193">
        <v>0</v>
      </c>
      <c r="O9" s="193">
        <v>1243.77</v>
      </c>
      <c r="P9" s="193">
        <v>0</v>
      </c>
      <c r="Q9" s="193">
        <v>0</v>
      </c>
      <c r="R9" s="193">
        <v>0</v>
      </c>
      <c r="S9" s="193">
        <v>0</v>
      </c>
      <c r="T9" s="193">
        <v>1243.77</v>
      </c>
    </row>
    <row r="10" spans="1:20">
      <c r="A10" s="13">
        <v>6</v>
      </c>
      <c r="B10" s="204" t="s">
        <v>207</v>
      </c>
      <c r="C10" s="205"/>
      <c r="D10" s="198">
        <v>0</v>
      </c>
      <c r="E10" s="198">
        <v>0</v>
      </c>
      <c r="F10" s="198">
        <v>77.397000000000006</v>
      </c>
      <c r="G10" s="199"/>
      <c r="H10" s="199"/>
      <c r="I10" s="10"/>
      <c r="J10" s="11"/>
      <c r="K10" s="11"/>
      <c r="L10" s="193">
        <v>0</v>
      </c>
      <c r="M10" s="193">
        <v>0</v>
      </c>
      <c r="N10" s="193">
        <v>0</v>
      </c>
      <c r="O10" s="193">
        <v>1243.77</v>
      </c>
      <c r="P10" s="193">
        <v>0</v>
      </c>
      <c r="Q10" s="193">
        <v>0</v>
      </c>
      <c r="R10" s="193">
        <v>0</v>
      </c>
      <c r="S10" s="193">
        <v>0</v>
      </c>
      <c r="T10" s="193">
        <v>1243.77</v>
      </c>
    </row>
    <row r="11" spans="1:20">
      <c r="A11" s="13">
        <v>7</v>
      </c>
      <c r="B11" s="204" t="s">
        <v>208</v>
      </c>
      <c r="C11" s="205"/>
      <c r="D11" s="198">
        <v>0</v>
      </c>
      <c r="E11" s="198">
        <v>0</v>
      </c>
      <c r="F11" s="198">
        <v>77.397000000000006</v>
      </c>
      <c r="G11" s="199"/>
      <c r="H11" s="199"/>
      <c r="I11" s="10"/>
      <c r="J11" s="11"/>
      <c r="K11" s="11"/>
      <c r="L11" s="193">
        <v>0</v>
      </c>
      <c r="M11" s="193">
        <v>0</v>
      </c>
      <c r="N11" s="193">
        <v>0</v>
      </c>
      <c r="O11" s="193">
        <v>1243.77</v>
      </c>
      <c r="P11" s="193">
        <v>0</v>
      </c>
      <c r="Q11" s="193">
        <v>0</v>
      </c>
      <c r="R11" s="193">
        <v>0</v>
      </c>
      <c r="S11" s="193">
        <v>0</v>
      </c>
      <c r="T11" s="193">
        <v>1243.77</v>
      </c>
    </row>
    <row r="12" spans="1:20">
      <c r="A12" s="13">
        <v>8</v>
      </c>
      <c r="B12" s="204" t="s">
        <v>209</v>
      </c>
      <c r="C12" s="205"/>
      <c r="D12" s="198">
        <v>0</v>
      </c>
      <c r="E12" s="198">
        <v>0</v>
      </c>
      <c r="F12" s="198">
        <v>77.397000000000006</v>
      </c>
      <c r="G12" s="199"/>
      <c r="H12" s="199"/>
      <c r="I12" s="10"/>
      <c r="J12" s="11"/>
      <c r="K12" s="11"/>
      <c r="L12" s="193">
        <v>0</v>
      </c>
      <c r="M12" s="193">
        <v>0</v>
      </c>
      <c r="N12" s="193">
        <v>0</v>
      </c>
      <c r="O12" s="193">
        <v>1243.77</v>
      </c>
      <c r="P12" s="193">
        <v>0</v>
      </c>
      <c r="Q12" s="193">
        <v>0</v>
      </c>
      <c r="R12" s="193">
        <v>0</v>
      </c>
      <c r="S12" s="193">
        <v>0</v>
      </c>
      <c r="T12" s="193">
        <v>1243.77</v>
      </c>
    </row>
    <row r="13" spans="1:20">
      <c r="A13" s="13">
        <v>9</v>
      </c>
      <c r="B13" s="204" t="s">
        <v>210</v>
      </c>
      <c r="C13" s="205"/>
      <c r="D13" s="198">
        <v>0</v>
      </c>
      <c r="E13" s="198">
        <v>0</v>
      </c>
      <c r="F13" s="198">
        <v>77.397000000000006</v>
      </c>
      <c r="G13" s="199"/>
      <c r="H13" s="199"/>
      <c r="I13" s="10"/>
      <c r="J13" s="11"/>
      <c r="K13" s="11"/>
      <c r="L13" s="193">
        <v>0</v>
      </c>
      <c r="M13" s="193">
        <v>0</v>
      </c>
      <c r="N13" s="193">
        <v>0</v>
      </c>
      <c r="O13" s="193">
        <v>1243.77</v>
      </c>
      <c r="P13" s="193">
        <v>0</v>
      </c>
      <c r="Q13" s="193">
        <v>0</v>
      </c>
      <c r="R13" s="193">
        <v>0</v>
      </c>
      <c r="S13" s="193">
        <v>0</v>
      </c>
      <c r="T13" s="193">
        <v>1243.77</v>
      </c>
    </row>
    <row r="14" spans="1:20">
      <c r="A14" s="13">
        <v>10</v>
      </c>
      <c r="B14" s="204" t="s">
        <v>211</v>
      </c>
      <c r="C14" s="205"/>
      <c r="D14" s="198">
        <v>0</v>
      </c>
      <c r="E14" s="198">
        <v>0</v>
      </c>
      <c r="F14" s="198">
        <v>77.397000000000006</v>
      </c>
      <c r="G14" s="199"/>
      <c r="H14" s="199"/>
      <c r="I14" s="10"/>
      <c r="J14" s="11"/>
      <c r="K14" s="11"/>
      <c r="L14" s="193">
        <v>0</v>
      </c>
      <c r="M14" s="193">
        <v>0</v>
      </c>
      <c r="N14" s="193">
        <v>0</v>
      </c>
      <c r="O14" s="193">
        <v>1243.77</v>
      </c>
      <c r="P14" s="193">
        <v>0</v>
      </c>
      <c r="Q14" s="193">
        <v>0</v>
      </c>
      <c r="R14" s="193">
        <v>0</v>
      </c>
      <c r="S14" s="193">
        <v>0</v>
      </c>
      <c r="T14" s="193">
        <v>1243.77</v>
      </c>
    </row>
    <row r="15" spans="1:20">
      <c r="A15" s="13">
        <v>11</v>
      </c>
      <c r="B15" s="204" t="s">
        <v>212</v>
      </c>
      <c r="C15" s="205"/>
      <c r="D15" s="198">
        <v>0</v>
      </c>
      <c r="E15" s="198">
        <v>0</v>
      </c>
      <c r="F15" s="198">
        <v>77.397000000000006</v>
      </c>
      <c r="G15" s="199"/>
      <c r="H15" s="199"/>
      <c r="I15" s="10"/>
      <c r="J15" s="11"/>
      <c r="K15" s="11"/>
      <c r="L15" s="193">
        <v>0</v>
      </c>
      <c r="M15" s="193">
        <v>0</v>
      </c>
      <c r="N15" s="193">
        <v>0</v>
      </c>
      <c r="O15" s="193">
        <v>1243.77</v>
      </c>
      <c r="P15" s="193">
        <v>0</v>
      </c>
      <c r="Q15" s="193">
        <v>0</v>
      </c>
      <c r="R15" s="193">
        <v>0</v>
      </c>
      <c r="S15" s="193">
        <v>0</v>
      </c>
      <c r="T15" s="193">
        <v>1243.77</v>
      </c>
    </row>
    <row r="16" spans="1:20">
      <c r="A16" s="13">
        <v>12</v>
      </c>
      <c r="B16" s="204" t="s">
        <v>213</v>
      </c>
      <c r="C16" s="205"/>
      <c r="D16" s="198">
        <v>0</v>
      </c>
      <c r="E16" s="198">
        <v>0</v>
      </c>
      <c r="F16" s="198">
        <v>77.397000000000006</v>
      </c>
      <c r="G16" s="199"/>
      <c r="H16" s="199"/>
      <c r="I16" s="10"/>
      <c r="J16" s="11"/>
      <c r="K16" s="11"/>
      <c r="L16" s="193">
        <v>0</v>
      </c>
      <c r="M16" s="193">
        <v>0</v>
      </c>
      <c r="N16" s="193">
        <v>0</v>
      </c>
      <c r="O16" s="193">
        <v>1243.77</v>
      </c>
      <c r="P16" s="193">
        <v>0</v>
      </c>
      <c r="Q16" s="193">
        <v>0</v>
      </c>
      <c r="R16" s="193">
        <v>0</v>
      </c>
      <c r="S16" s="193">
        <v>0</v>
      </c>
      <c r="T16" s="193">
        <v>1243.77</v>
      </c>
    </row>
    <row r="17" spans="1:20">
      <c r="A17" s="13">
        <v>13</v>
      </c>
      <c r="B17" s="204" t="s">
        <v>214</v>
      </c>
      <c r="C17" s="205"/>
      <c r="D17" s="198">
        <v>0</v>
      </c>
      <c r="E17" s="198">
        <v>0</v>
      </c>
      <c r="F17" s="198">
        <v>77.397000000000006</v>
      </c>
      <c r="G17" s="199"/>
      <c r="H17" s="199"/>
      <c r="I17" s="10"/>
      <c r="J17" s="11"/>
      <c r="K17" s="11"/>
      <c r="L17" s="193">
        <v>0</v>
      </c>
      <c r="M17" s="193">
        <v>0</v>
      </c>
      <c r="N17" s="193">
        <v>0</v>
      </c>
      <c r="O17" s="193">
        <v>1243.77</v>
      </c>
      <c r="P17" s="193">
        <v>0</v>
      </c>
      <c r="Q17" s="193">
        <v>0</v>
      </c>
      <c r="R17" s="193">
        <v>0</v>
      </c>
      <c r="S17" s="193">
        <v>0</v>
      </c>
      <c r="T17" s="193">
        <v>1243.77</v>
      </c>
    </row>
    <row r="18" spans="1:20">
      <c r="A18" s="13">
        <v>14</v>
      </c>
      <c r="B18" s="204" t="s">
        <v>215</v>
      </c>
      <c r="C18" s="205"/>
      <c r="D18" s="198">
        <v>0</v>
      </c>
      <c r="E18" s="198">
        <v>0</v>
      </c>
      <c r="F18" s="198">
        <v>77.397000000000006</v>
      </c>
      <c r="G18" s="199"/>
      <c r="H18" s="199"/>
      <c r="I18" s="10"/>
      <c r="J18" s="11"/>
      <c r="K18" s="11"/>
      <c r="L18" s="193">
        <v>0</v>
      </c>
      <c r="M18" s="193">
        <v>0</v>
      </c>
      <c r="N18" s="193">
        <v>0</v>
      </c>
      <c r="O18" s="193">
        <v>1243.77</v>
      </c>
      <c r="P18" s="193">
        <v>0</v>
      </c>
      <c r="Q18" s="193">
        <v>0</v>
      </c>
      <c r="R18" s="193">
        <v>0</v>
      </c>
      <c r="S18" s="193">
        <v>0</v>
      </c>
      <c r="T18" s="193">
        <v>1243.77</v>
      </c>
    </row>
    <row r="19" spans="1:20">
      <c r="A19" s="13">
        <v>15</v>
      </c>
      <c r="B19" s="204" t="s">
        <v>216</v>
      </c>
      <c r="C19" s="205"/>
      <c r="D19" s="198">
        <v>0</v>
      </c>
      <c r="E19" s="198">
        <v>0</v>
      </c>
      <c r="F19" s="198">
        <v>77.397000000000006</v>
      </c>
      <c r="G19" s="199"/>
      <c r="H19" s="199"/>
      <c r="I19" s="10"/>
      <c r="J19" s="11"/>
      <c r="K19" s="11"/>
      <c r="L19" s="193">
        <v>0</v>
      </c>
      <c r="M19" s="193">
        <v>0</v>
      </c>
      <c r="N19" s="193">
        <v>0</v>
      </c>
      <c r="O19" s="193">
        <v>1243.77</v>
      </c>
      <c r="P19" s="193">
        <v>0</v>
      </c>
      <c r="Q19" s="193">
        <v>0</v>
      </c>
      <c r="R19" s="193">
        <v>0</v>
      </c>
      <c r="S19" s="193">
        <v>0</v>
      </c>
      <c r="T19" s="193">
        <v>1243.77</v>
      </c>
    </row>
    <row r="20" spans="1:20">
      <c r="A20" s="13">
        <v>16</v>
      </c>
      <c r="B20" s="204" t="s">
        <v>217</v>
      </c>
      <c r="C20" s="205"/>
      <c r="D20" s="198">
        <v>0</v>
      </c>
      <c r="E20" s="198">
        <v>0</v>
      </c>
      <c r="F20" s="198">
        <v>77.397000000000006</v>
      </c>
      <c r="G20" s="199"/>
      <c r="H20" s="199"/>
      <c r="I20" s="10"/>
      <c r="J20" s="11"/>
      <c r="K20" s="11"/>
      <c r="L20" s="193">
        <v>0</v>
      </c>
      <c r="M20" s="193">
        <v>0</v>
      </c>
      <c r="N20" s="193">
        <v>0</v>
      </c>
      <c r="O20" s="193">
        <v>1243.77</v>
      </c>
      <c r="P20" s="193">
        <v>0</v>
      </c>
      <c r="Q20" s="193">
        <v>0</v>
      </c>
      <c r="R20" s="193">
        <v>0</v>
      </c>
      <c r="S20" s="193">
        <v>0</v>
      </c>
      <c r="T20" s="193">
        <v>1243.77</v>
      </c>
    </row>
    <row r="21" spans="1:20">
      <c r="A21" s="13">
        <v>17</v>
      </c>
      <c r="B21" s="204" t="s">
        <v>218</v>
      </c>
      <c r="C21" s="205"/>
      <c r="D21" s="198">
        <v>0</v>
      </c>
      <c r="E21" s="198">
        <v>0</v>
      </c>
      <c r="F21" s="198">
        <v>77.397000000000006</v>
      </c>
      <c r="G21" s="199"/>
      <c r="H21" s="199"/>
      <c r="I21" s="10"/>
      <c r="J21" s="11"/>
      <c r="K21" s="11"/>
      <c r="L21" s="193">
        <v>0</v>
      </c>
      <c r="M21" s="193">
        <v>0</v>
      </c>
      <c r="N21" s="193">
        <v>0</v>
      </c>
      <c r="O21" s="193">
        <v>1243.77</v>
      </c>
      <c r="P21" s="193">
        <v>0</v>
      </c>
      <c r="Q21" s="193">
        <v>0</v>
      </c>
      <c r="R21" s="193">
        <v>0</v>
      </c>
      <c r="S21" s="193">
        <v>0</v>
      </c>
      <c r="T21" s="193">
        <v>1243.77</v>
      </c>
    </row>
    <row r="22" spans="1:20">
      <c r="A22" s="13">
        <v>18</v>
      </c>
      <c r="B22" s="204" t="s">
        <v>219</v>
      </c>
      <c r="C22" s="205"/>
      <c r="D22" s="198">
        <v>0</v>
      </c>
      <c r="E22" s="198">
        <v>0</v>
      </c>
      <c r="F22" s="198">
        <v>77.397000000000006</v>
      </c>
      <c r="G22" s="199"/>
      <c r="H22" s="199"/>
      <c r="I22" s="10"/>
      <c r="J22" s="11"/>
      <c r="K22" s="11"/>
      <c r="L22" s="193">
        <v>0</v>
      </c>
      <c r="M22" s="193">
        <v>0</v>
      </c>
      <c r="N22" s="193">
        <v>0</v>
      </c>
      <c r="O22" s="193">
        <v>1243.77</v>
      </c>
      <c r="P22" s="193">
        <v>0</v>
      </c>
      <c r="Q22" s="193">
        <v>0</v>
      </c>
      <c r="R22" s="193">
        <v>0</v>
      </c>
      <c r="S22" s="193">
        <v>0</v>
      </c>
      <c r="T22" s="193">
        <v>1243.77</v>
      </c>
    </row>
    <row r="23" spans="1:20">
      <c r="A23" s="13">
        <v>19</v>
      </c>
      <c r="B23" s="204" t="s">
        <v>220</v>
      </c>
      <c r="C23" s="205"/>
      <c r="D23" s="198">
        <v>0</v>
      </c>
      <c r="E23" s="198">
        <v>0</v>
      </c>
      <c r="F23" s="198">
        <v>77.397000000000006</v>
      </c>
      <c r="G23" s="199"/>
      <c r="H23" s="199"/>
      <c r="I23" s="10"/>
      <c r="J23" s="11"/>
      <c r="K23" s="11"/>
      <c r="L23" s="193">
        <v>0</v>
      </c>
      <c r="M23" s="193">
        <v>0</v>
      </c>
      <c r="N23" s="193">
        <v>0</v>
      </c>
      <c r="O23" s="193">
        <v>1243.77</v>
      </c>
      <c r="P23" s="193">
        <v>0</v>
      </c>
      <c r="Q23" s="193">
        <v>0</v>
      </c>
      <c r="R23" s="193">
        <v>0</v>
      </c>
      <c r="S23" s="193">
        <v>0</v>
      </c>
      <c r="T23" s="193">
        <v>1243.77</v>
      </c>
    </row>
    <row r="24" spans="1:20">
      <c r="A24" s="13">
        <v>20</v>
      </c>
      <c r="B24" s="204" t="s">
        <v>221</v>
      </c>
      <c r="C24" s="205"/>
      <c r="D24" s="198">
        <v>0</v>
      </c>
      <c r="E24" s="198">
        <v>0</v>
      </c>
      <c r="F24" s="198">
        <v>77.397000000000006</v>
      </c>
      <c r="G24" s="199"/>
      <c r="H24" s="199"/>
      <c r="I24" s="10"/>
      <c r="J24" s="11"/>
      <c r="K24" s="11"/>
      <c r="L24" s="193">
        <v>0</v>
      </c>
      <c r="M24" s="193">
        <v>0</v>
      </c>
      <c r="N24" s="193">
        <v>0</v>
      </c>
      <c r="O24" s="193">
        <v>1243.77</v>
      </c>
      <c r="P24" s="193">
        <v>0</v>
      </c>
      <c r="Q24" s="193">
        <v>0</v>
      </c>
      <c r="R24" s="193">
        <v>0</v>
      </c>
      <c r="S24" s="193">
        <v>0</v>
      </c>
      <c r="T24" s="193">
        <v>1243.77</v>
      </c>
    </row>
    <row r="25" spans="1:20">
      <c r="A25" s="13">
        <v>21</v>
      </c>
      <c r="B25" s="204" t="s">
        <v>222</v>
      </c>
      <c r="C25" s="205"/>
      <c r="D25" s="198">
        <v>0</v>
      </c>
      <c r="E25" s="198">
        <v>0</v>
      </c>
      <c r="F25" s="198">
        <v>77.397000000000006</v>
      </c>
      <c r="G25" s="199"/>
      <c r="H25" s="199"/>
      <c r="I25" s="10"/>
      <c r="J25" s="11"/>
      <c r="K25" s="11"/>
      <c r="L25" s="193">
        <v>0</v>
      </c>
      <c r="M25" s="193">
        <v>0</v>
      </c>
      <c r="N25" s="193">
        <v>0</v>
      </c>
      <c r="O25" s="193">
        <v>1243.77</v>
      </c>
      <c r="P25" s="193">
        <v>0</v>
      </c>
      <c r="Q25" s="193">
        <v>0</v>
      </c>
      <c r="R25" s="193">
        <v>0</v>
      </c>
      <c r="S25" s="193">
        <v>0</v>
      </c>
      <c r="T25" s="193">
        <v>1243.77</v>
      </c>
    </row>
    <row r="26" spans="1:20">
      <c r="A26" s="13">
        <v>22</v>
      </c>
      <c r="B26" s="204" t="s">
        <v>223</v>
      </c>
      <c r="C26" s="205"/>
      <c r="D26" s="198">
        <v>33.598999999999997</v>
      </c>
      <c r="E26" s="198">
        <v>0</v>
      </c>
      <c r="F26" s="198">
        <v>110.996</v>
      </c>
      <c r="G26" s="199"/>
      <c r="H26" s="199"/>
      <c r="I26" s="10"/>
      <c r="J26" s="11"/>
      <c r="K26" s="11"/>
      <c r="L26" s="193">
        <v>0</v>
      </c>
      <c r="M26" s="193">
        <v>5039.8500000000004</v>
      </c>
      <c r="N26" s="193">
        <v>0</v>
      </c>
      <c r="O26" s="193">
        <v>1783.71</v>
      </c>
      <c r="P26" s="193">
        <v>0</v>
      </c>
      <c r="Q26" s="193">
        <v>0</v>
      </c>
      <c r="R26" s="193">
        <v>0</v>
      </c>
      <c r="S26" s="193">
        <v>0</v>
      </c>
      <c r="T26" s="193">
        <v>6823.56</v>
      </c>
    </row>
    <row r="27" spans="1:20">
      <c r="A27" s="13">
        <v>23</v>
      </c>
      <c r="B27" s="204" t="s">
        <v>224</v>
      </c>
      <c r="C27" s="205"/>
      <c r="D27" s="198">
        <v>66.397999999999996</v>
      </c>
      <c r="E27" s="198">
        <v>0</v>
      </c>
      <c r="F27" s="198">
        <v>177.39400000000001</v>
      </c>
      <c r="G27" s="199"/>
      <c r="H27" s="199"/>
      <c r="I27" s="10"/>
      <c r="J27" s="11"/>
      <c r="K27" s="11"/>
      <c r="L27" s="193">
        <v>0</v>
      </c>
      <c r="M27" s="193">
        <v>9959.7000000000007</v>
      </c>
      <c r="N27" s="193">
        <v>0</v>
      </c>
      <c r="O27" s="193">
        <v>2850.72</v>
      </c>
      <c r="P27" s="193">
        <v>0</v>
      </c>
      <c r="Q27" s="193">
        <v>0</v>
      </c>
      <c r="R27" s="193">
        <v>0</v>
      </c>
      <c r="S27" s="193">
        <v>0</v>
      </c>
      <c r="T27" s="193">
        <v>12810.42</v>
      </c>
    </row>
    <row r="28" spans="1:20">
      <c r="A28" s="13">
        <v>24</v>
      </c>
      <c r="B28" s="204" t="s">
        <v>225</v>
      </c>
      <c r="C28" s="205"/>
      <c r="D28" s="198">
        <v>0</v>
      </c>
      <c r="E28" s="198">
        <v>0</v>
      </c>
      <c r="F28" s="198">
        <v>177.39400000000001</v>
      </c>
      <c r="G28" s="199"/>
      <c r="H28" s="199"/>
      <c r="I28" s="10"/>
      <c r="J28" s="11"/>
      <c r="K28" s="11"/>
      <c r="L28" s="193">
        <v>0</v>
      </c>
      <c r="M28" s="193">
        <v>0</v>
      </c>
      <c r="N28" s="193">
        <v>0</v>
      </c>
      <c r="O28" s="193">
        <v>2850.72</v>
      </c>
      <c r="P28" s="193">
        <v>0</v>
      </c>
      <c r="Q28" s="193">
        <v>0</v>
      </c>
      <c r="R28" s="193">
        <v>0</v>
      </c>
      <c r="S28" s="193">
        <v>0</v>
      </c>
      <c r="T28" s="193">
        <v>2850.72</v>
      </c>
    </row>
    <row r="29" spans="1:20">
      <c r="A29" s="13">
        <v>25</v>
      </c>
      <c r="B29" s="204" t="s">
        <v>226</v>
      </c>
      <c r="C29" s="205"/>
      <c r="D29" s="198">
        <v>0</v>
      </c>
      <c r="E29" s="198">
        <v>0</v>
      </c>
      <c r="F29" s="198">
        <v>177.39400000000001</v>
      </c>
      <c r="G29" s="199"/>
      <c r="H29" s="199"/>
      <c r="I29" s="10"/>
      <c r="J29" s="11"/>
      <c r="K29" s="11"/>
      <c r="L29" s="193">
        <v>0</v>
      </c>
      <c r="M29" s="193">
        <v>0</v>
      </c>
      <c r="N29" s="193">
        <v>0</v>
      </c>
      <c r="O29" s="193">
        <v>2850.72</v>
      </c>
      <c r="P29" s="193">
        <v>0</v>
      </c>
      <c r="Q29" s="193">
        <v>0</v>
      </c>
      <c r="R29" s="193">
        <v>0</v>
      </c>
      <c r="S29" s="193">
        <v>0</v>
      </c>
      <c r="T29" s="193">
        <v>2850.72</v>
      </c>
    </row>
    <row r="30" spans="1:20">
      <c r="A30" s="13">
        <v>26</v>
      </c>
      <c r="B30" s="204" t="s">
        <v>227</v>
      </c>
      <c r="C30" s="205"/>
      <c r="D30" s="198">
        <v>0</v>
      </c>
      <c r="E30" s="198">
        <v>0</v>
      </c>
      <c r="F30" s="198">
        <v>177.39400000000001</v>
      </c>
      <c r="G30" s="199"/>
      <c r="H30" s="199"/>
      <c r="I30" s="10"/>
      <c r="J30" s="11"/>
      <c r="K30" s="11"/>
      <c r="L30" s="193">
        <v>0</v>
      </c>
      <c r="M30" s="193">
        <v>0</v>
      </c>
      <c r="N30" s="193">
        <v>0</v>
      </c>
      <c r="O30" s="193">
        <v>2850.72</v>
      </c>
      <c r="P30" s="193">
        <v>0</v>
      </c>
      <c r="Q30" s="193">
        <v>0</v>
      </c>
      <c r="R30" s="193">
        <v>0</v>
      </c>
      <c r="S30" s="193">
        <v>0</v>
      </c>
      <c r="T30" s="193">
        <v>2850.72</v>
      </c>
    </row>
    <row r="31" spans="1:20">
      <c r="A31" s="13">
        <v>27</v>
      </c>
      <c r="B31" s="204" t="s">
        <v>228</v>
      </c>
      <c r="C31" s="205"/>
      <c r="D31" s="198">
        <v>0</v>
      </c>
      <c r="E31" s="198">
        <v>0</v>
      </c>
      <c r="F31" s="198">
        <v>177.39400000000001</v>
      </c>
      <c r="G31" s="199"/>
      <c r="H31" s="199"/>
      <c r="I31" s="10"/>
      <c r="J31" s="11"/>
      <c r="K31" s="11"/>
      <c r="L31" s="193">
        <v>0</v>
      </c>
      <c r="M31" s="193">
        <v>0</v>
      </c>
      <c r="N31" s="193">
        <v>0</v>
      </c>
      <c r="O31" s="193">
        <v>2850.72</v>
      </c>
      <c r="P31" s="193">
        <v>0</v>
      </c>
      <c r="Q31" s="193">
        <v>0</v>
      </c>
      <c r="R31" s="193">
        <v>0</v>
      </c>
      <c r="S31" s="193">
        <v>0</v>
      </c>
      <c r="T31" s="193">
        <v>2850.72</v>
      </c>
    </row>
    <row r="32" spans="1:20">
      <c r="A32" s="13">
        <v>28</v>
      </c>
      <c r="B32" s="204" t="s">
        <v>229</v>
      </c>
      <c r="C32" s="205"/>
      <c r="D32" s="198">
        <v>0</v>
      </c>
      <c r="E32" s="198">
        <v>0</v>
      </c>
      <c r="F32" s="198">
        <v>177.39400000000001</v>
      </c>
      <c r="G32" s="199"/>
      <c r="H32" s="199"/>
      <c r="I32" s="10"/>
      <c r="J32" s="11"/>
      <c r="K32" s="11"/>
      <c r="L32" s="193">
        <v>0</v>
      </c>
      <c r="M32" s="193">
        <v>0</v>
      </c>
      <c r="N32" s="193">
        <v>0</v>
      </c>
      <c r="O32" s="193">
        <v>2850.72</v>
      </c>
      <c r="P32" s="193">
        <v>0</v>
      </c>
      <c r="Q32" s="193">
        <v>0</v>
      </c>
      <c r="R32" s="193">
        <v>0</v>
      </c>
      <c r="S32" s="193">
        <v>0</v>
      </c>
      <c r="T32" s="193">
        <v>2850.72</v>
      </c>
    </row>
    <row r="33" spans="1:20">
      <c r="A33" s="13">
        <v>29</v>
      </c>
      <c r="B33" s="204" t="s">
        <v>230</v>
      </c>
      <c r="C33" s="205"/>
      <c r="D33" s="198">
        <v>0</v>
      </c>
      <c r="E33" s="198">
        <v>0</v>
      </c>
      <c r="F33" s="198">
        <v>177.39400000000001</v>
      </c>
      <c r="G33" s="199"/>
      <c r="H33" s="199"/>
      <c r="I33" s="10"/>
      <c r="J33" s="11"/>
      <c r="K33" s="11"/>
      <c r="L33" s="193">
        <v>0</v>
      </c>
      <c r="M33" s="193">
        <v>0</v>
      </c>
      <c r="N33" s="193">
        <v>0</v>
      </c>
      <c r="O33" s="193">
        <v>2850.72</v>
      </c>
      <c r="P33" s="193">
        <v>0</v>
      </c>
      <c r="Q33" s="193">
        <v>0</v>
      </c>
      <c r="R33" s="193">
        <v>0</v>
      </c>
      <c r="S33" s="193">
        <v>0</v>
      </c>
      <c r="T33" s="193">
        <v>2850.72</v>
      </c>
    </row>
    <row r="34" spans="1:20">
      <c r="A34" s="13">
        <v>30</v>
      </c>
      <c r="B34" s="204" t="s">
        <v>231</v>
      </c>
      <c r="C34" s="205"/>
      <c r="D34" s="198">
        <v>0</v>
      </c>
      <c r="E34" s="198">
        <v>0</v>
      </c>
      <c r="F34" s="198">
        <v>177.39400000000001</v>
      </c>
      <c r="G34" s="199"/>
      <c r="H34" s="199"/>
      <c r="I34" s="10"/>
      <c r="J34" s="11"/>
      <c r="K34" s="11"/>
      <c r="L34" s="193">
        <v>0</v>
      </c>
      <c r="M34" s="193">
        <v>0</v>
      </c>
      <c r="N34" s="193">
        <v>0</v>
      </c>
      <c r="O34" s="193">
        <v>2850.72</v>
      </c>
      <c r="P34" s="193">
        <v>0</v>
      </c>
      <c r="Q34" s="193">
        <v>0</v>
      </c>
      <c r="R34" s="193">
        <v>0</v>
      </c>
      <c r="S34" s="193">
        <v>0</v>
      </c>
      <c r="T34" s="193">
        <v>2850.72</v>
      </c>
    </row>
    <row r="35" spans="1:20">
      <c r="A35" s="13">
        <v>31</v>
      </c>
      <c r="B35" s="204" t="s">
        <v>232</v>
      </c>
      <c r="C35" s="205"/>
      <c r="D35" s="198">
        <v>0</v>
      </c>
      <c r="E35" s="198">
        <v>0</v>
      </c>
      <c r="F35" s="198">
        <v>177.39400000000001</v>
      </c>
      <c r="G35" s="199"/>
      <c r="H35" s="199"/>
      <c r="I35" s="10"/>
      <c r="J35" s="11"/>
      <c r="K35" s="11"/>
      <c r="L35" s="193">
        <v>0</v>
      </c>
      <c r="M35" s="193">
        <v>0</v>
      </c>
      <c r="N35" s="193">
        <v>0</v>
      </c>
      <c r="O35" s="193">
        <v>2850.72</v>
      </c>
      <c r="P35" s="193">
        <v>0</v>
      </c>
      <c r="Q35" s="193">
        <v>0</v>
      </c>
      <c r="R35" s="193">
        <v>0</v>
      </c>
      <c r="S35" s="193">
        <v>0</v>
      </c>
      <c r="T35" s="193">
        <v>2850.72</v>
      </c>
    </row>
    <row r="36" spans="1:20">
      <c r="D36" s="19">
        <v>99.996999999999986</v>
      </c>
      <c r="E36" s="19">
        <v>0</v>
      </c>
      <c r="F36" s="19">
        <v>3332.8790000000017</v>
      </c>
      <c r="G36" s="19">
        <v>0</v>
      </c>
      <c r="H36" s="19">
        <v>0</v>
      </c>
      <c r="I36" s="19">
        <v>0</v>
      </c>
      <c r="J36" s="19">
        <v>0</v>
      </c>
      <c r="K36" s="19">
        <v>0</v>
      </c>
      <c r="L36" s="194">
        <v>0</v>
      </c>
      <c r="M36" s="194">
        <v>14999.55</v>
      </c>
      <c r="N36" s="194">
        <v>0</v>
      </c>
      <c r="O36" s="194">
        <v>53559.37</v>
      </c>
      <c r="P36" s="194">
        <v>0</v>
      </c>
      <c r="Q36" s="194">
        <v>0</v>
      </c>
      <c r="R36" s="194">
        <v>0</v>
      </c>
      <c r="S36" s="194">
        <v>0</v>
      </c>
      <c r="T36" s="194">
        <v>68558.92</v>
      </c>
    </row>
    <row r="37" spans="1:20">
      <c r="R37" s="22"/>
      <c r="S37" s="22"/>
      <c r="T37" s="195">
        <v>82270.7</v>
      </c>
    </row>
  </sheetData>
  <mergeCells count="50">
    <mergeCell ref="B8:C8"/>
    <mergeCell ref="B9:C9"/>
    <mergeCell ref="B10:C10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  <mergeCell ref="B7:C7"/>
    <mergeCell ref="L3:L4"/>
    <mergeCell ref="M3:M4"/>
    <mergeCell ref="N3:N4"/>
    <mergeCell ref="O3:O4"/>
    <mergeCell ref="R3:R4"/>
    <mergeCell ref="S3:S4"/>
    <mergeCell ref="T3:T4"/>
    <mergeCell ref="B5:C5"/>
    <mergeCell ref="B6:C6"/>
    <mergeCell ref="P3:P4"/>
    <mergeCell ref="Q3:Q4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13:C13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</mergeCells>
  <pageMargins left="0.7" right="0.7" top="0.75" bottom="0.75" header="0.3" footer="0.3"/>
  <pageSetup paperSize="9" fitToHeight="5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F9293-6B78-41DC-A465-0FBD50F7F426}">
  <sheetPr codeName="Лист40">
    <pageSetUpPr fitToPage="1"/>
  </sheetPr>
  <dimension ref="A1:T37"/>
  <sheetViews>
    <sheetView workbookViewId="0">
      <selection activeCell="Q5" sqref="Q5:Q35"/>
    </sheetView>
  </sheetViews>
  <sheetFormatPr defaultRowHeight="15"/>
  <cols>
    <col min="1" max="3" width="8.796875" style="2"/>
    <col min="4" max="5" width="8.09765625" style="2" customWidth="1"/>
    <col min="6" max="6" width="8.796875" style="2" customWidth="1"/>
    <col min="7" max="7" width="7.8984375" style="2" customWidth="1"/>
    <col min="8" max="8" width="7.59765625" style="2" customWidth="1"/>
    <col min="9" max="9" width="7.3984375" style="2" bestFit="1" customWidth="1"/>
    <col min="10" max="10" width="6.59765625" style="2" bestFit="1" customWidth="1"/>
    <col min="11" max="12" width="8.796875" style="2"/>
    <col min="13" max="13" width="9.19921875" style="2" customWidth="1"/>
    <col min="14" max="14" width="9.5" style="2" customWidth="1"/>
    <col min="15" max="15" width="10.19921875" style="2" customWidth="1"/>
    <col min="16" max="16" width="10.19921875" style="2" bestFit="1" customWidth="1"/>
    <col min="17" max="17" width="10.5" style="2" customWidth="1"/>
    <col min="18" max="18" width="9.296875" style="2" customWidth="1"/>
    <col min="19" max="19" width="8.19921875" style="2" customWidth="1"/>
    <col min="20" max="20" width="17" style="2" customWidth="1"/>
    <col min="21" max="16384" width="8.796875" style="2"/>
  </cols>
  <sheetData>
    <row r="1" spans="1:20">
      <c r="I1" s="3"/>
    </row>
    <row r="2" spans="1:20" ht="28.9" customHeight="1">
      <c r="A2" s="209" t="s">
        <v>245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</row>
    <row r="3" spans="1:20" ht="28.9" customHeight="1">
      <c r="A3" s="206" t="s">
        <v>0</v>
      </c>
      <c r="B3" s="210" t="s">
        <v>1</v>
      </c>
      <c r="C3" s="211"/>
      <c r="D3" s="206" t="s">
        <v>2</v>
      </c>
      <c r="E3" s="206" t="s">
        <v>3</v>
      </c>
      <c r="F3" s="4" t="s">
        <v>4</v>
      </c>
      <c r="G3" s="206" t="s">
        <v>246</v>
      </c>
      <c r="H3" s="206" t="s">
        <v>247</v>
      </c>
      <c r="I3" s="206" t="s">
        <v>7</v>
      </c>
      <c r="J3" s="206" t="s">
        <v>8</v>
      </c>
      <c r="K3" s="206" t="s">
        <v>9</v>
      </c>
      <c r="L3" s="206" t="s">
        <v>10</v>
      </c>
      <c r="M3" s="206" t="s">
        <v>11</v>
      </c>
      <c r="N3" s="206" t="s">
        <v>12</v>
      </c>
      <c r="O3" s="206" t="s">
        <v>13</v>
      </c>
      <c r="P3" s="206" t="s">
        <v>14</v>
      </c>
      <c r="Q3" s="206" t="s">
        <v>15</v>
      </c>
      <c r="R3" s="206" t="s">
        <v>16</v>
      </c>
      <c r="S3" s="206" t="s">
        <v>17</v>
      </c>
      <c r="T3" s="206" t="s">
        <v>18</v>
      </c>
    </row>
    <row r="4" spans="1:20">
      <c r="A4" s="207"/>
      <c r="B4" s="212"/>
      <c r="C4" s="213"/>
      <c r="D4" s="207"/>
      <c r="E4" s="207"/>
      <c r="F4" s="5"/>
      <c r="G4" s="207"/>
      <c r="H4" s="207"/>
      <c r="I4" s="207"/>
      <c r="J4" s="207"/>
      <c r="K4" s="208"/>
      <c r="L4" s="208"/>
      <c r="M4" s="207"/>
      <c r="N4" s="207"/>
      <c r="O4" s="207"/>
      <c r="P4" s="207"/>
      <c r="Q4" s="207"/>
      <c r="R4" s="207"/>
      <c r="S4" s="207"/>
      <c r="T4" s="207"/>
    </row>
    <row r="5" spans="1:20">
      <c r="A5" s="13">
        <v>1</v>
      </c>
      <c r="B5" s="204" t="s">
        <v>202</v>
      </c>
      <c r="C5" s="205"/>
      <c r="D5" s="198">
        <v>130.125</v>
      </c>
      <c r="E5" s="198">
        <v>129</v>
      </c>
      <c r="F5" s="198">
        <v>11138.444</v>
      </c>
      <c r="G5" s="199">
        <v>0</v>
      </c>
      <c r="H5" s="199">
        <v>440.875</v>
      </c>
      <c r="I5" s="10">
        <v>0</v>
      </c>
      <c r="J5" s="10">
        <v>0</v>
      </c>
      <c r="K5" s="11"/>
      <c r="L5" s="193">
        <v>0</v>
      </c>
      <c r="M5" s="193">
        <v>14128.97</v>
      </c>
      <c r="N5" s="193">
        <v>14006.82</v>
      </c>
      <c r="O5" s="193">
        <v>113612.13</v>
      </c>
      <c r="P5" s="193">
        <v>0</v>
      </c>
      <c r="Q5" s="193">
        <v>47870.21</v>
      </c>
      <c r="R5" s="193">
        <v>0</v>
      </c>
      <c r="S5" s="193">
        <v>0</v>
      </c>
      <c r="T5" s="193">
        <v>189618.13</v>
      </c>
    </row>
    <row r="6" spans="1:20">
      <c r="A6" s="13">
        <v>2</v>
      </c>
      <c r="B6" s="204" t="s">
        <v>203</v>
      </c>
      <c r="C6" s="205"/>
      <c r="D6" s="198">
        <v>281.625</v>
      </c>
      <c r="E6" s="198">
        <v>285.75</v>
      </c>
      <c r="F6" s="198">
        <v>11134.319</v>
      </c>
      <c r="G6" s="199">
        <v>0</v>
      </c>
      <c r="H6" s="199">
        <v>132.625</v>
      </c>
      <c r="I6" s="10">
        <v>0</v>
      </c>
      <c r="J6" s="10">
        <v>0</v>
      </c>
      <c r="K6" s="11"/>
      <c r="L6" s="193">
        <v>0</v>
      </c>
      <c r="M6" s="193">
        <v>30578.84</v>
      </c>
      <c r="N6" s="193">
        <v>31026.74</v>
      </c>
      <c r="O6" s="193">
        <v>113570.05</v>
      </c>
      <c r="P6" s="193">
        <v>0</v>
      </c>
      <c r="Q6" s="193">
        <v>14400.42</v>
      </c>
      <c r="R6" s="193">
        <v>0</v>
      </c>
      <c r="S6" s="193">
        <v>0</v>
      </c>
      <c r="T6" s="193">
        <v>189576.05</v>
      </c>
    </row>
    <row r="7" spans="1:20">
      <c r="A7" s="13">
        <v>3</v>
      </c>
      <c r="B7" s="204" t="s">
        <v>204</v>
      </c>
      <c r="C7" s="205"/>
      <c r="D7" s="198">
        <v>172.875</v>
      </c>
      <c r="E7" s="198">
        <v>730.75</v>
      </c>
      <c r="F7" s="198">
        <v>10576.444</v>
      </c>
      <c r="G7" s="199">
        <v>0</v>
      </c>
      <c r="H7" s="199">
        <v>0</v>
      </c>
      <c r="I7" s="10">
        <v>0</v>
      </c>
      <c r="J7" s="10">
        <v>0</v>
      </c>
      <c r="K7" s="11"/>
      <c r="L7" s="193">
        <v>0</v>
      </c>
      <c r="M7" s="193">
        <v>18770.77</v>
      </c>
      <c r="N7" s="193">
        <v>79344.84</v>
      </c>
      <c r="O7" s="193">
        <v>107879.73</v>
      </c>
      <c r="P7" s="193">
        <v>0</v>
      </c>
      <c r="Q7" s="193">
        <v>0</v>
      </c>
      <c r="R7" s="193">
        <v>0</v>
      </c>
      <c r="S7" s="193">
        <v>0</v>
      </c>
      <c r="T7" s="193">
        <v>205995.33</v>
      </c>
    </row>
    <row r="8" spans="1:20">
      <c r="A8" s="13">
        <v>4</v>
      </c>
      <c r="B8" s="204" t="s">
        <v>205</v>
      </c>
      <c r="C8" s="205"/>
      <c r="D8" s="198">
        <v>130.75</v>
      </c>
      <c r="E8" s="198">
        <v>132.375</v>
      </c>
      <c r="F8" s="198">
        <v>10574.819</v>
      </c>
      <c r="G8" s="199">
        <v>0</v>
      </c>
      <c r="H8" s="199">
        <v>436.875</v>
      </c>
      <c r="I8" s="10">
        <v>0</v>
      </c>
      <c r="J8" s="10">
        <v>0</v>
      </c>
      <c r="K8" s="11"/>
      <c r="L8" s="193">
        <v>0</v>
      </c>
      <c r="M8" s="193">
        <v>14196.84</v>
      </c>
      <c r="N8" s="193">
        <v>14373.28</v>
      </c>
      <c r="O8" s="193">
        <v>107863.15</v>
      </c>
      <c r="P8" s="193">
        <v>0</v>
      </c>
      <c r="Q8" s="193">
        <v>47435.89</v>
      </c>
      <c r="R8" s="193">
        <v>0</v>
      </c>
      <c r="S8" s="193">
        <v>0</v>
      </c>
      <c r="T8" s="193">
        <v>183869.15</v>
      </c>
    </row>
    <row r="9" spans="1:20">
      <c r="A9" s="13">
        <v>5</v>
      </c>
      <c r="B9" s="204" t="s">
        <v>206</v>
      </c>
      <c r="C9" s="205"/>
      <c r="D9" s="198">
        <v>278.5</v>
      </c>
      <c r="E9" s="198">
        <v>246.25</v>
      </c>
      <c r="F9" s="198">
        <v>10607.069</v>
      </c>
      <c r="G9" s="199">
        <v>0</v>
      </c>
      <c r="H9" s="199">
        <v>175.25</v>
      </c>
      <c r="I9" s="10">
        <v>0</v>
      </c>
      <c r="J9" s="10">
        <v>0</v>
      </c>
      <c r="K9" s="11"/>
      <c r="L9" s="193">
        <v>0</v>
      </c>
      <c r="M9" s="193">
        <v>30239.53</v>
      </c>
      <c r="N9" s="193">
        <v>26737.83</v>
      </c>
      <c r="O9" s="193">
        <v>108192.1</v>
      </c>
      <c r="P9" s="193">
        <v>0</v>
      </c>
      <c r="Q9" s="193">
        <v>19028.650000000001</v>
      </c>
      <c r="R9" s="193">
        <v>0</v>
      </c>
      <c r="S9" s="193">
        <v>0</v>
      </c>
      <c r="T9" s="193">
        <v>184198.1</v>
      </c>
    </row>
    <row r="10" spans="1:20">
      <c r="A10" s="13">
        <v>6</v>
      </c>
      <c r="B10" s="204" t="s">
        <v>207</v>
      </c>
      <c r="C10" s="205"/>
      <c r="D10" s="198">
        <v>0</v>
      </c>
      <c r="E10" s="198">
        <v>0</v>
      </c>
      <c r="F10" s="198">
        <v>10607.069</v>
      </c>
      <c r="G10" s="199">
        <v>0</v>
      </c>
      <c r="H10" s="199">
        <v>700</v>
      </c>
      <c r="I10" s="10">
        <v>0</v>
      </c>
      <c r="J10" s="10">
        <v>0</v>
      </c>
      <c r="K10" s="11"/>
      <c r="L10" s="193">
        <v>0</v>
      </c>
      <c r="M10" s="193">
        <v>0</v>
      </c>
      <c r="N10" s="193">
        <v>0</v>
      </c>
      <c r="O10" s="193">
        <v>108192.1</v>
      </c>
      <c r="P10" s="193">
        <v>0</v>
      </c>
      <c r="Q10" s="193">
        <v>76006</v>
      </c>
      <c r="R10" s="193">
        <v>0</v>
      </c>
      <c r="S10" s="193">
        <v>0</v>
      </c>
      <c r="T10" s="193">
        <v>184198.1</v>
      </c>
    </row>
    <row r="11" spans="1:20">
      <c r="A11" s="13">
        <v>7</v>
      </c>
      <c r="B11" s="204" t="s">
        <v>208</v>
      </c>
      <c r="C11" s="205"/>
      <c r="D11" s="198">
        <v>0</v>
      </c>
      <c r="E11" s="198">
        <v>0</v>
      </c>
      <c r="F11" s="198">
        <v>10607.069</v>
      </c>
      <c r="G11" s="199">
        <v>0</v>
      </c>
      <c r="H11" s="199">
        <v>700</v>
      </c>
      <c r="I11" s="10">
        <v>0</v>
      </c>
      <c r="J11" s="10">
        <v>0</v>
      </c>
      <c r="K11" s="11"/>
      <c r="L11" s="193">
        <v>0</v>
      </c>
      <c r="M11" s="193">
        <v>0</v>
      </c>
      <c r="N11" s="193">
        <v>0</v>
      </c>
      <c r="O11" s="193">
        <v>108192.1</v>
      </c>
      <c r="P11" s="193">
        <v>0</v>
      </c>
      <c r="Q11" s="193">
        <v>76006</v>
      </c>
      <c r="R11" s="193">
        <v>0</v>
      </c>
      <c r="S11" s="193">
        <v>0</v>
      </c>
      <c r="T11" s="193">
        <v>184198.1</v>
      </c>
    </row>
    <row r="12" spans="1:20">
      <c r="A12" s="13">
        <v>8</v>
      </c>
      <c r="B12" s="204" t="s">
        <v>209</v>
      </c>
      <c r="C12" s="205"/>
      <c r="D12" s="198">
        <v>130.125</v>
      </c>
      <c r="E12" s="198">
        <v>221.875</v>
      </c>
      <c r="F12" s="198">
        <v>10515.319</v>
      </c>
      <c r="G12" s="199">
        <v>0</v>
      </c>
      <c r="H12" s="199">
        <v>348</v>
      </c>
      <c r="I12" s="10">
        <v>0</v>
      </c>
      <c r="J12" s="10">
        <v>0</v>
      </c>
      <c r="K12" s="11"/>
      <c r="L12" s="193">
        <v>0</v>
      </c>
      <c r="M12" s="193">
        <v>14128.97</v>
      </c>
      <c r="N12" s="193">
        <v>24091.19</v>
      </c>
      <c r="O12" s="193">
        <v>107256.25</v>
      </c>
      <c r="P12" s="193">
        <v>0</v>
      </c>
      <c r="Q12" s="193">
        <v>37785.839999999997</v>
      </c>
      <c r="R12" s="193">
        <v>0</v>
      </c>
      <c r="S12" s="193">
        <v>0</v>
      </c>
      <c r="T12" s="193">
        <v>183262.25</v>
      </c>
    </row>
    <row r="13" spans="1:20">
      <c r="A13" s="13">
        <v>9</v>
      </c>
      <c r="B13" s="204" t="s">
        <v>210</v>
      </c>
      <c r="C13" s="205"/>
      <c r="D13" s="198">
        <v>108.75</v>
      </c>
      <c r="E13" s="198">
        <v>198.25</v>
      </c>
      <c r="F13" s="198">
        <v>10425.819</v>
      </c>
      <c r="G13" s="199">
        <v>0</v>
      </c>
      <c r="H13" s="199">
        <v>393</v>
      </c>
      <c r="I13" s="10">
        <v>0</v>
      </c>
      <c r="J13" s="10">
        <v>0</v>
      </c>
      <c r="K13" s="11"/>
      <c r="L13" s="193">
        <v>0</v>
      </c>
      <c r="M13" s="193">
        <v>11808.08</v>
      </c>
      <c r="N13" s="193">
        <v>21525.99</v>
      </c>
      <c r="O13" s="193">
        <v>106343.35</v>
      </c>
      <c r="P13" s="193">
        <v>0</v>
      </c>
      <c r="Q13" s="193">
        <v>42671.94</v>
      </c>
      <c r="R13" s="193">
        <v>0</v>
      </c>
      <c r="S13" s="193">
        <v>0</v>
      </c>
      <c r="T13" s="193">
        <v>182349.35</v>
      </c>
    </row>
    <row r="14" spans="1:20">
      <c r="A14" s="13">
        <v>10</v>
      </c>
      <c r="B14" s="204" t="s">
        <v>211</v>
      </c>
      <c r="C14" s="205"/>
      <c r="D14" s="198">
        <v>130.125</v>
      </c>
      <c r="E14" s="198">
        <v>380.125</v>
      </c>
      <c r="F14" s="198">
        <v>10175.819</v>
      </c>
      <c r="G14" s="199">
        <v>0</v>
      </c>
      <c r="H14" s="199">
        <v>189.75</v>
      </c>
      <c r="I14" s="10">
        <v>0</v>
      </c>
      <c r="J14" s="10">
        <v>0</v>
      </c>
      <c r="K14" s="11"/>
      <c r="L14" s="193">
        <v>0</v>
      </c>
      <c r="M14" s="193">
        <v>14128.97</v>
      </c>
      <c r="N14" s="193">
        <v>41273.97</v>
      </c>
      <c r="O14" s="193">
        <v>103793.35</v>
      </c>
      <c r="P14" s="193">
        <v>0</v>
      </c>
      <c r="Q14" s="193">
        <v>20603.060000000001</v>
      </c>
      <c r="R14" s="193">
        <v>0</v>
      </c>
      <c r="S14" s="193">
        <v>0</v>
      </c>
      <c r="T14" s="193">
        <v>179799.35</v>
      </c>
    </row>
    <row r="15" spans="1:20">
      <c r="A15" s="13">
        <v>11</v>
      </c>
      <c r="B15" s="204" t="s">
        <v>212</v>
      </c>
      <c r="C15" s="205"/>
      <c r="D15" s="198">
        <v>194.25</v>
      </c>
      <c r="E15" s="198">
        <v>551.02499999999998</v>
      </c>
      <c r="F15" s="198">
        <v>9819.0439999999999</v>
      </c>
      <c r="G15" s="199">
        <v>0</v>
      </c>
      <c r="H15" s="199">
        <v>0</v>
      </c>
      <c r="I15" s="10">
        <v>0</v>
      </c>
      <c r="J15" s="10">
        <v>0</v>
      </c>
      <c r="K15" s="11"/>
      <c r="L15" s="193">
        <v>0</v>
      </c>
      <c r="M15" s="193">
        <v>21091.67</v>
      </c>
      <c r="N15" s="193">
        <v>59830.29</v>
      </c>
      <c r="O15" s="193">
        <v>100154.25</v>
      </c>
      <c r="P15" s="193">
        <v>0</v>
      </c>
      <c r="Q15" s="193">
        <v>0</v>
      </c>
      <c r="R15" s="193">
        <v>0</v>
      </c>
      <c r="S15" s="193">
        <v>0</v>
      </c>
      <c r="T15" s="193">
        <v>181076.21</v>
      </c>
    </row>
    <row r="16" spans="1:20">
      <c r="A16" s="13">
        <v>12</v>
      </c>
      <c r="B16" s="204" t="s">
        <v>213</v>
      </c>
      <c r="C16" s="205"/>
      <c r="D16" s="198">
        <v>151.5</v>
      </c>
      <c r="E16" s="198">
        <v>309.25</v>
      </c>
      <c r="F16" s="198">
        <v>9661.2939999999999</v>
      </c>
      <c r="G16" s="199">
        <v>0</v>
      </c>
      <c r="H16" s="199">
        <v>239.25</v>
      </c>
      <c r="I16" s="10">
        <v>0</v>
      </c>
      <c r="J16" s="10">
        <v>0</v>
      </c>
      <c r="K16" s="18"/>
      <c r="L16" s="193">
        <v>0</v>
      </c>
      <c r="M16" s="193">
        <v>16449.87</v>
      </c>
      <c r="N16" s="193">
        <v>33578.370000000003</v>
      </c>
      <c r="O16" s="193">
        <v>98545.2</v>
      </c>
      <c r="P16" s="193">
        <v>0</v>
      </c>
      <c r="Q16" s="193">
        <v>25977.77</v>
      </c>
      <c r="R16" s="193">
        <v>0</v>
      </c>
      <c r="S16" s="193">
        <v>0</v>
      </c>
      <c r="T16" s="193">
        <v>174551.2</v>
      </c>
    </row>
    <row r="17" spans="1:20">
      <c r="A17" s="13">
        <v>13</v>
      </c>
      <c r="B17" s="204" t="s">
        <v>214</v>
      </c>
      <c r="C17" s="205"/>
      <c r="D17" s="198">
        <v>152.75</v>
      </c>
      <c r="E17" s="198">
        <v>197.5</v>
      </c>
      <c r="F17" s="198">
        <v>9616.5439999999999</v>
      </c>
      <c r="G17" s="199">
        <v>0</v>
      </c>
      <c r="H17" s="199">
        <v>349.75</v>
      </c>
      <c r="I17" s="10">
        <v>0</v>
      </c>
      <c r="J17" s="10">
        <v>0</v>
      </c>
      <c r="K17" s="11"/>
      <c r="L17" s="193">
        <v>0</v>
      </c>
      <c r="M17" s="193">
        <v>16585.599999999999</v>
      </c>
      <c r="N17" s="193">
        <v>21444.55</v>
      </c>
      <c r="O17" s="193">
        <v>98088.75</v>
      </c>
      <c r="P17" s="193">
        <v>0</v>
      </c>
      <c r="Q17" s="193">
        <v>37975.86</v>
      </c>
      <c r="R17" s="193">
        <v>0</v>
      </c>
      <c r="S17" s="193">
        <v>0</v>
      </c>
      <c r="T17" s="193">
        <v>174094.75</v>
      </c>
    </row>
    <row r="18" spans="1:20">
      <c r="A18" s="13">
        <v>14</v>
      </c>
      <c r="B18" s="204" t="s">
        <v>215</v>
      </c>
      <c r="C18" s="205"/>
      <c r="D18" s="198">
        <v>259.625</v>
      </c>
      <c r="E18" s="198">
        <v>109.375</v>
      </c>
      <c r="F18" s="198">
        <v>9766.7939999999999</v>
      </c>
      <c r="G18" s="199">
        <v>0</v>
      </c>
      <c r="H18" s="199">
        <v>331</v>
      </c>
      <c r="I18" s="10">
        <v>0</v>
      </c>
      <c r="J18" s="10">
        <v>0</v>
      </c>
      <c r="K18" s="11"/>
      <c r="L18" s="193">
        <v>0</v>
      </c>
      <c r="M18" s="193">
        <v>28190.080000000002</v>
      </c>
      <c r="N18" s="193">
        <v>11875.94</v>
      </c>
      <c r="O18" s="193">
        <v>99621.3</v>
      </c>
      <c r="P18" s="193">
        <v>0</v>
      </c>
      <c r="Q18" s="193">
        <v>35939.980000000003</v>
      </c>
      <c r="R18" s="193">
        <v>0</v>
      </c>
      <c r="S18" s="193">
        <v>0</v>
      </c>
      <c r="T18" s="193">
        <v>175627.3</v>
      </c>
    </row>
    <row r="19" spans="1:20">
      <c r="A19" s="13">
        <v>15</v>
      </c>
      <c r="B19" s="204" t="s">
        <v>216</v>
      </c>
      <c r="C19" s="205"/>
      <c r="D19" s="198">
        <v>130.75</v>
      </c>
      <c r="E19" s="198">
        <v>109.875</v>
      </c>
      <c r="F19" s="198">
        <v>9787.6689999999999</v>
      </c>
      <c r="G19" s="199">
        <v>0</v>
      </c>
      <c r="H19" s="199">
        <v>459.375</v>
      </c>
      <c r="I19" s="10">
        <v>0</v>
      </c>
      <c r="J19" s="10">
        <v>0</v>
      </c>
      <c r="K19" s="11"/>
      <c r="L19" s="193">
        <v>0</v>
      </c>
      <c r="M19" s="193">
        <v>14196.84</v>
      </c>
      <c r="N19" s="193">
        <v>11930.23</v>
      </c>
      <c r="O19" s="193">
        <v>99834.22</v>
      </c>
      <c r="P19" s="193">
        <v>0</v>
      </c>
      <c r="Q19" s="193">
        <v>49878.94</v>
      </c>
      <c r="R19" s="193">
        <v>0</v>
      </c>
      <c r="S19" s="193">
        <v>0</v>
      </c>
      <c r="T19" s="193">
        <v>175840.22</v>
      </c>
    </row>
    <row r="20" spans="1:20">
      <c r="A20" s="13">
        <v>16</v>
      </c>
      <c r="B20" s="204" t="s">
        <v>217</v>
      </c>
      <c r="C20" s="205"/>
      <c r="D20" s="198">
        <v>21.375</v>
      </c>
      <c r="E20" s="198">
        <v>263.25</v>
      </c>
      <c r="F20" s="198">
        <v>9545.7939999999999</v>
      </c>
      <c r="G20" s="199">
        <v>0</v>
      </c>
      <c r="H20" s="199">
        <v>415.375</v>
      </c>
      <c r="I20" s="10">
        <v>0</v>
      </c>
      <c r="J20" s="10">
        <v>0</v>
      </c>
      <c r="K20" s="11"/>
      <c r="L20" s="193">
        <v>0</v>
      </c>
      <c r="M20" s="193">
        <v>2320.9</v>
      </c>
      <c r="N20" s="193">
        <v>28583.69</v>
      </c>
      <c r="O20" s="193">
        <v>97367.1</v>
      </c>
      <c r="P20" s="193">
        <v>0</v>
      </c>
      <c r="Q20" s="193">
        <v>45101.42</v>
      </c>
      <c r="R20" s="193">
        <v>0</v>
      </c>
      <c r="S20" s="193">
        <v>0</v>
      </c>
      <c r="T20" s="193">
        <v>173373.1</v>
      </c>
    </row>
    <row r="21" spans="1:20">
      <c r="A21" s="13">
        <v>17</v>
      </c>
      <c r="B21" s="204" t="s">
        <v>218</v>
      </c>
      <c r="C21" s="205"/>
      <c r="D21" s="198">
        <v>21.375</v>
      </c>
      <c r="E21" s="198">
        <v>278.25</v>
      </c>
      <c r="F21" s="198">
        <v>9288.9189999999999</v>
      </c>
      <c r="G21" s="199">
        <v>211.08100000000013</v>
      </c>
      <c r="H21" s="199">
        <v>400.375</v>
      </c>
      <c r="I21" s="10">
        <v>0</v>
      </c>
      <c r="J21" s="10">
        <v>0</v>
      </c>
      <c r="K21" s="11"/>
      <c r="L21" s="193">
        <v>0</v>
      </c>
      <c r="M21" s="193">
        <v>2320.9</v>
      </c>
      <c r="N21" s="193">
        <v>30212.39</v>
      </c>
      <c r="O21" s="193">
        <v>94746.97</v>
      </c>
      <c r="P21" s="193">
        <v>2153.0300000000002</v>
      </c>
      <c r="Q21" s="193">
        <v>43472.72</v>
      </c>
      <c r="R21" s="193">
        <v>0</v>
      </c>
      <c r="S21" s="193">
        <v>0</v>
      </c>
      <c r="T21" s="193">
        <v>172906</v>
      </c>
    </row>
    <row r="22" spans="1:20">
      <c r="A22" s="13">
        <v>18</v>
      </c>
      <c r="B22" s="204" t="s">
        <v>219</v>
      </c>
      <c r="C22" s="205"/>
      <c r="D22" s="198">
        <v>594</v>
      </c>
      <c r="E22" s="198">
        <v>395.37</v>
      </c>
      <c r="F22" s="198">
        <v>9487.5490000000009</v>
      </c>
      <c r="G22" s="199">
        <v>12.450999999999112</v>
      </c>
      <c r="H22" s="199">
        <v>0</v>
      </c>
      <c r="I22" s="10">
        <v>0</v>
      </c>
      <c r="J22" s="10">
        <v>0</v>
      </c>
      <c r="K22" s="11"/>
      <c r="L22" s="193">
        <v>0</v>
      </c>
      <c r="M22" s="193">
        <v>64496.52</v>
      </c>
      <c r="N22" s="193">
        <v>42929.27</v>
      </c>
      <c r="O22" s="193">
        <v>96773</v>
      </c>
      <c r="P22" s="193">
        <v>127</v>
      </c>
      <c r="Q22" s="193">
        <v>0</v>
      </c>
      <c r="R22" s="193">
        <v>0</v>
      </c>
      <c r="S22" s="193">
        <v>0</v>
      </c>
      <c r="T22" s="193">
        <v>204325.79</v>
      </c>
    </row>
    <row r="23" spans="1:20">
      <c r="A23" s="13">
        <v>19</v>
      </c>
      <c r="B23" s="204" t="s">
        <v>220</v>
      </c>
      <c r="C23" s="205"/>
      <c r="D23" s="198">
        <v>220</v>
      </c>
      <c r="E23" s="198">
        <v>155.125</v>
      </c>
      <c r="F23" s="198">
        <v>9552.4240000000009</v>
      </c>
      <c r="G23" s="199">
        <v>0</v>
      </c>
      <c r="H23" s="199">
        <v>324.875</v>
      </c>
      <c r="I23" s="10">
        <v>0</v>
      </c>
      <c r="J23" s="10">
        <v>0</v>
      </c>
      <c r="K23" s="11"/>
      <c r="L23" s="193">
        <v>0</v>
      </c>
      <c r="M23" s="193">
        <v>23887.599999999999</v>
      </c>
      <c r="N23" s="193">
        <v>16843.47</v>
      </c>
      <c r="O23" s="193">
        <v>97434.72</v>
      </c>
      <c r="P23" s="193">
        <v>0</v>
      </c>
      <c r="Q23" s="193">
        <v>35274.93</v>
      </c>
      <c r="R23" s="193">
        <v>0</v>
      </c>
      <c r="S23" s="193">
        <v>0</v>
      </c>
      <c r="T23" s="193">
        <v>173440.72</v>
      </c>
    </row>
    <row r="24" spans="1:20">
      <c r="A24" s="13">
        <v>20</v>
      </c>
      <c r="B24" s="204" t="s">
        <v>221</v>
      </c>
      <c r="C24" s="205"/>
      <c r="D24" s="198">
        <v>219.375</v>
      </c>
      <c r="E24" s="198">
        <v>80.25</v>
      </c>
      <c r="F24" s="198">
        <v>9691.5490000000009</v>
      </c>
      <c r="G24" s="199">
        <v>0</v>
      </c>
      <c r="H24" s="199">
        <v>400.375</v>
      </c>
      <c r="I24" s="10">
        <v>0</v>
      </c>
      <c r="J24" s="10">
        <v>0</v>
      </c>
      <c r="K24" s="11"/>
      <c r="L24" s="193">
        <v>0</v>
      </c>
      <c r="M24" s="193">
        <v>23819.74</v>
      </c>
      <c r="N24" s="193">
        <v>8713.5499999999993</v>
      </c>
      <c r="O24" s="193">
        <v>98853.8</v>
      </c>
      <c r="P24" s="193">
        <v>0</v>
      </c>
      <c r="Q24" s="193">
        <v>43472.72</v>
      </c>
      <c r="R24" s="193">
        <v>0</v>
      </c>
      <c r="S24" s="193">
        <v>0</v>
      </c>
      <c r="T24" s="193">
        <v>174859.8</v>
      </c>
    </row>
    <row r="25" spans="1:20">
      <c r="A25" s="13">
        <v>21</v>
      </c>
      <c r="B25" s="204" t="s">
        <v>222</v>
      </c>
      <c r="C25" s="205"/>
      <c r="D25" s="198">
        <v>131.375</v>
      </c>
      <c r="E25" s="198">
        <v>42.625</v>
      </c>
      <c r="F25" s="198">
        <v>9780.2990000000009</v>
      </c>
      <c r="G25" s="199">
        <v>0</v>
      </c>
      <c r="H25" s="199">
        <v>526</v>
      </c>
      <c r="I25" s="10">
        <v>0</v>
      </c>
      <c r="J25" s="10">
        <v>0</v>
      </c>
      <c r="K25" s="11"/>
      <c r="L25" s="193">
        <v>0</v>
      </c>
      <c r="M25" s="193">
        <v>14264.7</v>
      </c>
      <c r="N25" s="193">
        <v>4628.22</v>
      </c>
      <c r="O25" s="193">
        <v>99759.05</v>
      </c>
      <c r="P25" s="193">
        <v>0</v>
      </c>
      <c r="Q25" s="193">
        <v>57113.08</v>
      </c>
      <c r="R25" s="193">
        <v>0</v>
      </c>
      <c r="S25" s="193">
        <v>0</v>
      </c>
      <c r="T25" s="193">
        <v>175765.05</v>
      </c>
    </row>
    <row r="26" spans="1:20">
      <c r="A26" s="13">
        <v>22</v>
      </c>
      <c r="B26" s="204" t="s">
        <v>223</v>
      </c>
      <c r="C26" s="205"/>
      <c r="D26" s="198">
        <v>110</v>
      </c>
      <c r="E26" s="198">
        <v>71.5</v>
      </c>
      <c r="F26" s="198">
        <v>9818.7990000000009</v>
      </c>
      <c r="G26" s="199">
        <v>0</v>
      </c>
      <c r="H26" s="199">
        <v>518.5</v>
      </c>
      <c r="I26" s="10">
        <v>0</v>
      </c>
      <c r="J26" s="10">
        <v>0</v>
      </c>
      <c r="K26" s="11"/>
      <c r="L26" s="193">
        <v>0</v>
      </c>
      <c r="M26" s="193">
        <v>11943.8</v>
      </c>
      <c r="N26" s="193">
        <v>7763.47</v>
      </c>
      <c r="O26" s="193">
        <v>100151.75</v>
      </c>
      <c r="P26" s="193">
        <v>0</v>
      </c>
      <c r="Q26" s="193">
        <v>56298.73</v>
      </c>
      <c r="R26" s="193">
        <v>0</v>
      </c>
      <c r="S26" s="193">
        <v>0</v>
      </c>
      <c r="T26" s="193">
        <v>176157.75</v>
      </c>
    </row>
    <row r="27" spans="1:20">
      <c r="A27" s="13">
        <v>23</v>
      </c>
      <c r="B27" s="204" t="s">
        <v>224</v>
      </c>
      <c r="C27" s="205"/>
      <c r="D27" s="198">
        <v>108.125</v>
      </c>
      <c r="E27" s="198">
        <v>137.5</v>
      </c>
      <c r="F27" s="198">
        <v>9789.4240000000009</v>
      </c>
      <c r="G27" s="199">
        <v>0</v>
      </c>
      <c r="H27" s="199">
        <v>454.375</v>
      </c>
      <c r="I27" s="10">
        <v>0</v>
      </c>
      <c r="J27" s="10">
        <v>0</v>
      </c>
      <c r="K27" s="11"/>
      <c r="L27" s="193">
        <v>0</v>
      </c>
      <c r="M27" s="193">
        <v>11740.21</v>
      </c>
      <c r="N27" s="193">
        <v>14929.75</v>
      </c>
      <c r="O27" s="193">
        <v>99852.12</v>
      </c>
      <c r="P27" s="193">
        <v>0</v>
      </c>
      <c r="Q27" s="193">
        <v>49336.04</v>
      </c>
      <c r="R27" s="193">
        <v>0</v>
      </c>
      <c r="S27" s="193">
        <v>0</v>
      </c>
      <c r="T27" s="193">
        <v>175858.12</v>
      </c>
    </row>
    <row r="28" spans="1:20">
      <c r="A28" s="13">
        <v>24</v>
      </c>
      <c r="B28" s="204" t="s">
        <v>225</v>
      </c>
      <c r="C28" s="205"/>
      <c r="D28" s="198">
        <v>151.5</v>
      </c>
      <c r="E28" s="198">
        <v>247.75</v>
      </c>
      <c r="F28" s="198">
        <v>9693.1740000000009</v>
      </c>
      <c r="G28" s="199">
        <v>0</v>
      </c>
      <c r="H28" s="199">
        <v>300.75</v>
      </c>
      <c r="I28" s="10">
        <v>0</v>
      </c>
      <c r="J28" s="10">
        <v>0</v>
      </c>
      <c r="K28" s="11"/>
      <c r="L28" s="193">
        <v>0</v>
      </c>
      <c r="M28" s="193">
        <v>16449.87</v>
      </c>
      <c r="N28" s="193">
        <v>26900.7</v>
      </c>
      <c r="O28" s="193">
        <v>98870.37</v>
      </c>
      <c r="P28" s="193">
        <v>0</v>
      </c>
      <c r="Q28" s="193">
        <v>32655.439999999999</v>
      </c>
      <c r="R28" s="193">
        <v>0</v>
      </c>
      <c r="S28" s="193">
        <v>0</v>
      </c>
      <c r="T28" s="193">
        <v>174876.37</v>
      </c>
    </row>
    <row r="29" spans="1:20">
      <c r="A29" s="13">
        <v>25</v>
      </c>
      <c r="B29" s="204" t="s">
        <v>226</v>
      </c>
      <c r="C29" s="205"/>
      <c r="D29" s="198">
        <v>66</v>
      </c>
      <c r="E29" s="198">
        <v>131.27500000000001</v>
      </c>
      <c r="F29" s="198">
        <v>9627.8989999999994</v>
      </c>
      <c r="G29" s="199">
        <v>0</v>
      </c>
      <c r="H29" s="199">
        <v>502.72500000000002</v>
      </c>
      <c r="I29" s="10">
        <v>0</v>
      </c>
      <c r="J29" s="10">
        <v>0</v>
      </c>
      <c r="K29" s="11"/>
      <c r="L29" s="193">
        <v>0</v>
      </c>
      <c r="M29" s="193">
        <v>7166.28</v>
      </c>
      <c r="N29" s="193">
        <v>14253.84</v>
      </c>
      <c r="O29" s="193">
        <v>98204.57</v>
      </c>
      <c r="P29" s="193">
        <v>0</v>
      </c>
      <c r="Q29" s="193">
        <v>54585.88</v>
      </c>
      <c r="R29" s="193">
        <v>0</v>
      </c>
      <c r="S29" s="193">
        <v>0</v>
      </c>
      <c r="T29" s="193">
        <v>174210.57</v>
      </c>
    </row>
    <row r="30" spans="1:20">
      <c r="A30" s="13">
        <v>26</v>
      </c>
      <c r="B30" s="204" t="s">
        <v>227</v>
      </c>
      <c r="C30" s="205"/>
      <c r="D30" s="198">
        <v>220</v>
      </c>
      <c r="E30" s="198">
        <v>318.49099999999999</v>
      </c>
      <c r="F30" s="198">
        <v>9529.4079999999994</v>
      </c>
      <c r="G30" s="199">
        <v>0</v>
      </c>
      <c r="H30" s="199">
        <v>161.50900000000001</v>
      </c>
      <c r="I30" s="10">
        <v>0</v>
      </c>
      <c r="J30" s="10">
        <v>0</v>
      </c>
      <c r="K30" s="11"/>
      <c r="L30" s="193">
        <v>0</v>
      </c>
      <c r="M30" s="193">
        <v>23887.599999999999</v>
      </c>
      <c r="N30" s="193">
        <v>34581.75</v>
      </c>
      <c r="O30" s="193">
        <v>97199.96</v>
      </c>
      <c r="P30" s="193">
        <v>0</v>
      </c>
      <c r="Q30" s="193">
        <v>17536.650000000001</v>
      </c>
      <c r="R30" s="193">
        <v>0</v>
      </c>
      <c r="S30" s="193">
        <v>0</v>
      </c>
      <c r="T30" s="193">
        <v>173205.96</v>
      </c>
    </row>
    <row r="31" spans="1:20">
      <c r="A31" s="13">
        <v>27</v>
      </c>
      <c r="B31" s="204" t="s">
        <v>228</v>
      </c>
      <c r="C31" s="205"/>
      <c r="D31" s="198">
        <v>261.5</v>
      </c>
      <c r="E31" s="198">
        <v>110</v>
      </c>
      <c r="F31" s="198">
        <v>9680.9079999999994</v>
      </c>
      <c r="G31" s="199">
        <v>0</v>
      </c>
      <c r="H31" s="199">
        <v>328.5</v>
      </c>
      <c r="I31" s="10">
        <v>0</v>
      </c>
      <c r="J31" s="10">
        <v>0</v>
      </c>
      <c r="K31" s="11"/>
      <c r="L31" s="193">
        <v>0</v>
      </c>
      <c r="M31" s="193">
        <v>28393.67</v>
      </c>
      <c r="N31" s="193">
        <v>11943.8</v>
      </c>
      <c r="O31" s="193">
        <v>98745.26</v>
      </c>
      <c r="P31" s="193">
        <v>0</v>
      </c>
      <c r="Q31" s="193">
        <v>35668.53</v>
      </c>
      <c r="R31" s="193">
        <v>0</v>
      </c>
      <c r="S31" s="193">
        <v>0</v>
      </c>
      <c r="T31" s="193">
        <v>174751.26</v>
      </c>
    </row>
    <row r="32" spans="1:20">
      <c r="A32" s="13">
        <v>28</v>
      </c>
      <c r="B32" s="204" t="s">
        <v>229</v>
      </c>
      <c r="C32" s="205"/>
      <c r="D32" s="198">
        <v>413.625</v>
      </c>
      <c r="E32" s="198">
        <v>44</v>
      </c>
      <c r="F32" s="198">
        <v>10050.532999999999</v>
      </c>
      <c r="G32" s="199">
        <v>0</v>
      </c>
      <c r="H32" s="199">
        <v>242.375</v>
      </c>
      <c r="I32" s="10">
        <v>0</v>
      </c>
      <c r="J32" s="10">
        <v>0</v>
      </c>
      <c r="K32" s="11"/>
      <c r="L32" s="193">
        <v>0</v>
      </c>
      <c r="M32" s="193">
        <v>44911.4</v>
      </c>
      <c r="N32" s="193">
        <v>4777.5200000000004</v>
      </c>
      <c r="O32" s="193">
        <v>102515.44</v>
      </c>
      <c r="P32" s="193">
        <v>0</v>
      </c>
      <c r="Q32" s="193">
        <v>26317.08</v>
      </c>
      <c r="R32" s="193">
        <v>0</v>
      </c>
      <c r="S32" s="193">
        <v>0</v>
      </c>
      <c r="T32" s="193">
        <v>178521.44</v>
      </c>
    </row>
    <row r="33" spans="1:20">
      <c r="A33" s="13">
        <v>29</v>
      </c>
      <c r="B33" s="204" t="s">
        <v>230</v>
      </c>
      <c r="C33" s="205"/>
      <c r="D33" s="198">
        <v>738</v>
      </c>
      <c r="E33" s="198">
        <v>110.125</v>
      </c>
      <c r="F33" s="198">
        <v>10678.407999999999</v>
      </c>
      <c r="G33" s="199">
        <v>0</v>
      </c>
      <c r="H33" s="199">
        <v>0</v>
      </c>
      <c r="I33" s="10">
        <v>0</v>
      </c>
      <c r="J33" s="10">
        <v>0</v>
      </c>
      <c r="K33" s="11"/>
      <c r="L33" s="193">
        <v>0</v>
      </c>
      <c r="M33" s="193">
        <v>80132.039999999994</v>
      </c>
      <c r="N33" s="193">
        <v>11957.37</v>
      </c>
      <c r="O33" s="193">
        <v>108919.76</v>
      </c>
      <c r="P33" s="193">
        <v>0</v>
      </c>
      <c r="Q33" s="193">
        <v>0</v>
      </c>
      <c r="R33" s="193">
        <v>0</v>
      </c>
      <c r="S33" s="193">
        <v>0</v>
      </c>
      <c r="T33" s="193">
        <v>201009.17</v>
      </c>
    </row>
    <row r="34" spans="1:20">
      <c r="A34" s="13">
        <v>30</v>
      </c>
      <c r="B34" s="204" t="s">
        <v>231</v>
      </c>
      <c r="C34" s="205"/>
      <c r="D34" s="198">
        <v>653.125</v>
      </c>
      <c r="E34" s="198">
        <v>43.924999999999997</v>
      </c>
      <c r="F34" s="198">
        <v>11287.608</v>
      </c>
      <c r="G34" s="199">
        <v>0</v>
      </c>
      <c r="H34" s="199">
        <v>2.9500000000000455</v>
      </c>
      <c r="I34" s="10">
        <v>0</v>
      </c>
      <c r="J34" s="10">
        <v>0</v>
      </c>
      <c r="K34" s="11"/>
      <c r="L34" s="193">
        <v>0</v>
      </c>
      <c r="M34" s="193">
        <v>70916.31</v>
      </c>
      <c r="N34" s="193">
        <v>4769.38</v>
      </c>
      <c r="O34" s="193">
        <v>115133.6</v>
      </c>
      <c r="P34" s="193">
        <v>0</v>
      </c>
      <c r="Q34" s="193">
        <v>320.31</v>
      </c>
      <c r="R34" s="193">
        <v>0</v>
      </c>
      <c r="S34" s="193">
        <v>0</v>
      </c>
      <c r="T34" s="193">
        <v>191139.6</v>
      </c>
    </row>
    <row r="35" spans="1:20">
      <c r="A35" s="13">
        <v>31</v>
      </c>
      <c r="B35" s="204" t="s">
        <v>232</v>
      </c>
      <c r="C35" s="205"/>
      <c r="D35" s="198">
        <v>215</v>
      </c>
      <c r="E35" s="198">
        <v>0</v>
      </c>
      <c r="F35" s="198">
        <v>11502.608</v>
      </c>
      <c r="G35" s="199">
        <v>0</v>
      </c>
      <c r="H35" s="199">
        <v>485</v>
      </c>
      <c r="I35" s="10">
        <v>0</v>
      </c>
      <c r="J35" s="10">
        <v>0</v>
      </c>
      <c r="K35" s="11"/>
      <c r="L35" s="193">
        <v>0</v>
      </c>
      <c r="M35" s="193">
        <v>23344.7</v>
      </c>
      <c r="N35" s="193">
        <v>0</v>
      </c>
      <c r="O35" s="193">
        <v>117326.6</v>
      </c>
      <c r="P35" s="193">
        <v>0</v>
      </c>
      <c r="Q35" s="193">
        <v>52661.3</v>
      </c>
      <c r="R35" s="193">
        <v>0</v>
      </c>
      <c r="S35" s="193">
        <v>0</v>
      </c>
      <c r="T35" s="193">
        <v>193332.6</v>
      </c>
    </row>
    <row r="36" spans="1:20">
      <c r="D36" s="19">
        <v>6396.125</v>
      </c>
      <c r="E36" s="19">
        <v>6030.8359999999993</v>
      </c>
      <c r="F36" s="19">
        <v>314018.83799999999</v>
      </c>
      <c r="G36" s="19">
        <v>223.53199999999924</v>
      </c>
      <c r="H36" s="19">
        <v>9959.4340000000011</v>
      </c>
      <c r="I36" s="19">
        <v>0</v>
      </c>
      <c r="J36" s="19">
        <v>0</v>
      </c>
      <c r="K36" s="20">
        <v>0</v>
      </c>
      <c r="L36" s="194">
        <v>0</v>
      </c>
      <c r="M36" s="194">
        <v>694491.25</v>
      </c>
      <c r="N36" s="194">
        <v>654828.17000000004</v>
      </c>
      <c r="O36" s="194">
        <v>3202992.15</v>
      </c>
      <c r="P36" s="194">
        <v>2280.0300000000002</v>
      </c>
      <c r="Q36" s="194">
        <v>1081395.3400000001</v>
      </c>
      <c r="R36" s="194">
        <v>0</v>
      </c>
      <c r="S36" s="194">
        <v>0</v>
      </c>
      <c r="T36" s="194">
        <v>5635986.9400000004</v>
      </c>
    </row>
    <row r="37" spans="1:20">
      <c r="R37" s="22"/>
      <c r="S37" s="22"/>
      <c r="T37" s="195">
        <v>6763184.3300000001</v>
      </c>
    </row>
  </sheetData>
  <mergeCells count="50">
    <mergeCell ref="B8:C8"/>
    <mergeCell ref="B9:C9"/>
    <mergeCell ref="B10:C10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  <mergeCell ref="B7:C7"/>
    <mergeCell ref="L3:L4"/>
    <mergeCell ref="M3:M4"/>
    <mergeCell ref="N3:N4"/>
    <mergeCell ref="O3:O4"/>
    <mergeCell ref="R3:R4"/>
    <mergeCell ref="S3:S4"/>
    <mergeCell ref="T3:T4"/>
    <mergeCell ref="B5:C5"/>
    <mergeCell ref="B6:C6"/>
    <mergeCell ref="P3:P4"/>
    <mergeCell ref="Q3:Q4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13:C13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</mergeCells>
  <pageMargins left="0.7" right="0.7" top="0.75" bottom="0.75" header="0.3" footer="0.3"/>
  <pageSetup paperSize="9" fitToHeight="5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754E6-3468-488F-8FDC-7483CB0C8C96}">
  <sheetPr codeName="Лист41">
    <pageSetUpPr fitToPage="1"/>
  </sheetPr>
  <dimension ref="A1:T37"/>
  <sheetViews>
    <sheetView workbookViewId="0">
      <selection activeCell="Q5" sqref="Q5:Q35"/>
    </sheetView>
  </sheetViews>
  <sheetFormatPr defaultRowHeight="15"/>
  <cols>
    <col min="1" max="3" width="8.796875" style="2"/>
    <col min="4" max="5" width="8.09765625" style="2" customWidth="1"/>
    <col min="6" max="6" width="8.796875" style="2" customWidth="1"/>
    <col min="7" max="7" width="7.8984375" style="2" customWidth="1"/>
    <col min="8" max="8" width="7.59765625" style="2" customWidth="1"/>
    <col min="9" max="9" width="7.3984375" style="2" bestFit="1" customWidth="1"/>
    <col min="10" max="10" width="6.59765625" style="2" bestFit="1" customWidth="1"/>
    <col min="11" max="12" width="8.796875" style="2"/>
    <col min="13" max="13" width="9.19921875" style="2" customWidth="1"/>
    <col min="14" max="14" width="9.5" style="2" customWidth="1"/>
    <col min="15" max="15" width="10.19921875" style="2" customWidth="1"/>
    <col min="16" max="16" width="10.19921875" style="2" bestFit="1" customWidth="1"/>
    <col min="17" max="17" width="10.5" style="2" customWidth="1"/>
    <col min="18" max="18" width="9.296875" style="2" customWidth="1"/>
    <col min="19" max="19" width="8.19921875" style="2" customWidth="1"/>
    <col min="20" max="20" width="17" style="2" customWidth="1"/>
    <col min="21" max="16384" width="8.796875" style="2"/>
  </cols>
  <sheetData>
    <row r="1" spans="1:20">
      <c r="I1" s="3"/>
    </row>
    <row r="2" spans="1:20" ht="28.9" customHeight="1">
      <c r="A2" s="209" t="s">
        <v>248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</row>
    <row r="3" spans="1:20" ht="28.9" customHeight="1">
      <c r="A3" s="206" t="s">
        <v>0</v>
      </c>
      <c r="B3" s="210" t="s">
        <v>1</v>
      </c>
      <c r="C3" s="211"/>
      <c r="D3" s="206" t="s">
        <v>2</v>
      </c>
      <c r="E3" s="206" t="s">
        <v>3</v>
      </c>
      <c r="F3" s="4" t="s">
        <v>4</v>
      </c>
      <c r="G3" s="206" t="s">
        <v>246</v>
      </c>
      <c r="H3" s="206" t="s">
        <v>249</v>
      </c>
      <c r="I3" s="206" t="s">
        <v>7</v>
      </c>
      <c r="J3" s="206" t="s">
        <v>8</v>
      </c>
      <c r="K3" s="206" t="s">
        <v>9</v>
      </c>
      <c r="L3" s="206" t="s">
        <v>10</v>
      </c>
      <c r="M3" s="206" t="s">
        <v>11</v>
      </c>
      <c r="N3" s="206" t="s">
        <v>12</v>
      </c>
      <c r="O3" s="206" t="s">
        <v>13</v>
      </c>
      <c r="P3" s="206" t="s">
        <v>14</v>
      </c>
      <c r="Q3" s="206" t="s">
        <v>15</v>
      </c>
      <c r="R3" s="206" t="s">
        <v>16</v>
      </c>
      <c r="S3" s="206" t="s">
        <v>17</v>
      </c>
      <c r="T3" s="206" t="s">
        <v>18</v>
      </c>
    </row>
    <row r="4" spans="1:20">
      <c r="A4" s="207"/>
      <c r="B4" s="212"/>
      <c r="C4" s="213"/>
      <c r="D4" s="207"/>
      <c r="E4" s="207"/>
      <c r="F4" s="5"/>
      <c r="G4" s="207"/>
      <c r="H4" s="207"/>
      <c r="I4" s="207"/>
      <c r="J4" s="207"/>
      <c r="K4" s="208"/>
      <c r="L4" s="208"/>
      <c r="M4" s="207"/>
      <c r="N4" s="207"/>
      <c r="O4" s="207"/>
      <c r="P4" s="207"/>
      <c r="Q4" s="207"/>
      <c r="R4" s="207"/>
      <c r="S4" s="207"/>
      <c r="T4" s="207"/>
    </row>
    <row r="5" spans="1:20">
      <c r="A5" s="13">
        <v>1</v>
      </c>
      <c r="B5" s="204" t="s">
        <v>202</v>
      </c>
      <c r="C5" s="205"/>
      <c r="D5" s="198">
        <v>88</v>
      </c>
      <c r="E5" s="198">
        <v>44</v>
      </c>
      <c r="F5" s="198">
        <v>496.25</v>
      </c>
      <c r="G5" s="199">
        <v>0</v>
      </c>
      <c r="H5" s="199">
        <v>0</v>
      </c>
      <c r="I5" s="10">
        <v>0</v>
      </c>
      <c r="J5" s="10">
        <v>0</v>
      </c>
      <c r="K5" s="11"/>
      <c r="L5" s="193">
        <v>0</v>
      </c>
      <c r="M5" s="193">
        <v>9555.0400000000009</v>
      </c>
      <c r="N5" s="193">
        <v>4777.5200000000004</v>
      </c>
      <c r="O5" s="193">
        <v>5061.75</v>
      </c>
      <c r="P5" s="193">
        <v>0</v>
      </c>
      <c r="Q5" s="193">
        <v>0</v>
      </c>
      <c r="R5" s="193">
        <v>0</v>
      </c>
      <c r="S5" s="193">
        <v>0</v>
      </c>
      <c r="T5" s="193">
        <v>19394.310000000001</v>
      </c>
    </row>
    <row r="6" spans="1:20">
      <c r="A6" s="13">
        <v>2</v>
      </c>
      <c r="B6" s="204" t="s">
        <v>203</v>
      </c>
      <c r="C6" s="205"/>
      <c r="D6" s="198">
        <v>88.25</v>
      </c>
      <c r="E6" s="198">
        <v>44</v>
      </c>
      <c r="F6" s="198">
        <v>540.5</v>
      </c>
      <c r="G6" s="199">
        <v>0</v>
      </c>
      <c r="H6" s="199">
        <v>0</v>
      </c>
      <c r="I6" s="10">
        <v>0</v>
      </c>
      <c r="J6" s="10">
        <v>0</v>
      </c>
      <c r="K6" s="11"/>
      <c r="L6" s="193">
        <v>0</v>
      </c>
      <c r="M6" s="193">
        <v>9582.19</v>
      </c>
      <c r="N6" s="193">
        <v>4777.5200000000004</v>
      </c>
      <c r="O6" s="193">
        <v>5513.1</v>
      </c>
      <c r="P6" s="193">
        <v>0</v>
      </c>
      <c r="Q6" s="193">
        <v>0</v>
      </c>
      <c r="R6" s="193">
        <v>0</v>
      </c>
      <c r="S6" s="193">
        <v>0</v>
      </c>
      <c r="T6" s="193">
        <v>19872.810000000001</v>
      </c>
    </row>
    <row r="7" spans="1:20">
      <c r="A7" s="13">
        <v>3</v>
      </c>
      <c r="B7" s="204" t="s">
        <v>204</v>
      </c>
      <c r="C7" s="205"/>
      <c r="D7" s="198">
        <v>462</v>
      </c>
      <c r="E7" s="198">
        <v>44.25</v>
      </c>
      <c r="F7" s="198">
        <v>958.25</v>
      </c>
      <c r="G7" s="199">
        <v>0</v>
      </c>
      <c r="H7" s="199">
        <v>0</v>
      </c>
      <c r="I7" s="10">
        <v>0</v>
      </c>
      <c r="J7" s="10">
        <v>0</v>
      </c>
      <c r="K7" s="11"/>
      <c r="L7" s="193">
        <v>0</v>
      </c>
      <c r="M7" s="193">
        <v>50163.96</v>
      </c>
      <c r="N7" s="193">
        <v>4804.67</v>
      </c>
      <c r="O7" s="193">
        <v>9774.15</v>
      </c>
      <c r="P7" s="193">
        <v>0</v>
      </c>
      <c r="Q7" s="193">
        <v>0</v>
      </c>
      <c r="R7" s="193">
        <v>0</v>
      </c>
      <c r="S7" s="193">
        <v>0</v>
      </c>
      <c r="T7" s="193">
        <v>64742.78</v>
      </c>
    </row>
    <row r="8" spans="1:20">
      <c r="A8" s="13">
        <v>4</v>
      </c>
      <c r="B8" s="204" t="s">
        <v>205</v>
      </c>
      <c r="C8" s="205"/>
      <c r="D8" s="198">
        <v>0</v>
      </c>
      <c r="E8" s="198">
        <v>22</v>
      </c>
      <c r="F8" s="198">
        <v>936.25</v>
      </c>
      <c r="G8" s="199">
        <v>0</v>
      </c>
      <c r="H8" s="199">
        <v>0</v>
      </c>
      <c r="I8" s="10">
        <v>0</v>
      </c>
      <c r="J8" s="10">
        <v>0</v>
      </c>
      <c r="K8" s="11"/>
      <c r="L8" s="193">
        <v>0</v>
      </c>
      <c r="M8" s="193">
        <v>0</v>
      </c>
      <c r="N8" s="193">
        <v>2388.7600000000002</v>
      </c>
      <c r="O8" s="193">
        <v>9549.75</v>
      </c>
      <c r="P8" s="193">
        <v>0</v>
      </c>
      <c r="Q8" s="193">
        <v>0</v>
      </c>
      <c r="R8" s="193">
        <v>0</v>
      </c>
      <c r="S8" s="193">
        <v>0</v>
      </c>
      <c r="T8" s="193">
        <v>11938.51</v>
      </c>
    </row>
    <row r="9" spans="1:20">
      <c r="A9" s="13">
        <v>5</v>
      </c>
      <c r="B9" s="204" t="s">
        <v>206</v>
      </c>
      <c r="C9" s="205"/>
      <c r="D9" s="198">
        <v>0</v>
      </c>
      <c r="E9" s="198">
        <v>43.25</v>
      </c>
      <c r="F9" s="198">
        <v>893</v>
      </c>
      <c r="G9" s="199">
        <v>0</v>
      </c>
      <c r="H9" s="199">
        <v>0</v>
      </c>
      <c r="I9" s="10">
        <v>0</v>
      </c>
      <c r="J9" s="10">
        <v>0</v>
      </c>
      <c r="K9" s="11"/>
      <c r="L9" s="193">
        <v>0</v>
      </c>
      <c r="M9" s="193">
        <v>0</v>
      </c>
      <c r="N9" s="193">
        <v>4696.09</v>
      </c>
      <c r="O9" s="193">
        <v>9108.6</v>
      </c>
      <c r="P9" s="193">
        <v>0</v>
      </c>
      <c r="Q9" s="193">
        <v>0</v>
      </c>
      <c r="R9" s="193">
        <v>0</v>
      </c>
      <c r="S9" s="193">
        <v>0</v>
      </c>
      <c r="T9" s="193">
        <v>13804.69</v>
      </c>
    </row>
    <row r="10" spans="1:20">
      <c r="A10" s="13">
        <v>6</v>
      </c>
      <c r="B10" s="204" t="s">
        <v>207</v>
      </c>
      <c r="C10" s="205"/>
      <c r="D10" s="198">
        <v>0</v>
      </c>
      <c r="E10" s="198">
        <v>0</v>
      </c>
      <c r="F10" s="198">
        <v>893</v>
      </c>
      <c r="G10" s="199">
        <v>0</v>
      </c>
      <c r="H10" s="199">
        <v>0</v>
      </c>
      <c r="I10" s="10">
        <v>0</v>
      </c>
      <c r="J10" s="10">
        <v>0</v>
      </c>
      <c r="K10" s="11"/>
      <c r="L10" s="193">
        <v>0</v>
      </c>
      <c r="M10" s="193">
        <v>0</v>
      </c>
      <c r="N10" s="193">
        <v>0</v>
      </c>
      <c r="O10" s="193">
        <v>9108.6</v>
      </c>
      <c r="P10" s="193">
        <v>0</v>
      </c>
      <c r="Q10" s="193">
        <v>0</v>
      </c>
      <c r="R10" s="193">
        <v>0</v>
      </c>
      <c r="S10" s="193">
        <v>0</v>
      </c>
      <c r="T10" s="193">
        <v>9108.6</v>
      </c>
    </row>
    <row r="11" spans="1:20">
      <c r="A11" s="13">
        <v>7</v>
      </c>
      <c r="B11" s="204" t="s">
        <v>208</v>
      </c>
      <c r="C11" s="205"/>
      <c r="D11" s="198">
        <v>109.25</v>
      </c>
      <c r="E11" s="198">
        <v>0</v>
      </c>
      <c r="F11" s="198">
        <v>1002.25</v>
      </c>
      <c r="G11" s="199">
        <v>0</v>
      </c>
      <c r="H11" s="199">
        <v>0</v>
      </c>
      <c r="I11" s="10">
        <v>0</v>
      </c>
      <c r="J11" s="10">
        <v>0</v>
      </c>
      <c r="K11" s="11"/>
      <c r="L11" s="193">
        <v>0</v>
      </c>
      <c r="M11" s="193">
        <v>11862.37</v>
      </c>
      <c r="N11" s="193">
        <v>0</v>
      </c>
      <c r="O11" s="193">
        <v>10222.950000000001</v>
      </c>
      <c r="P11" s="193">
        <v>0</v>
      </c>
      <c r="Q11" s="193">
        <v>0</v>
      </c>
      <c r="R11" s="193">
        <v>0</v>
      </c>
      <c r="S11" s="193">
        <v>0</v>
      </c>
      <c r="T11" s="193">
        <v>22085.32</v>
      </c>
    </row>
    <row r="12" spans="1:20">
      <c r="A12" s="13">
        <v>8</v>
      </c>
      <c r="B12" s="204" t="s">
        <v>209</v>
      </c>
      <c r="C12" s="205"/>
      <c r="D12" s="198">
        <v>44</v>
      </c>
      <c r="E12" s="198">
        <v>0</v>
      </c>
      <c r="F12" s="198">
        <v>1046.25</v>
      </c>
      <c r="G12" s="199">
        <v>0</v>
      </c>
      <c r="H12" s="199">
        <v>0</v>
      </c>
      <c r="I12" s="10">
        <v>0</v>
      </c>
      <c r="J12" s="10">
        <v>0</v>
      </c>
      <c r="K12" s="11"/>
      <c r="L12" s="193">
        <v>0</v>
      </c>
      <c r="M12" s="193">
        <v>4777.5200000000004</v>
      </c>
      <c r="N12" s="193">
        <v>0</v>
      </c>
      <c r="O12" s="193">
        <v>10671.75</v>
      </c>
      <c r="P12" s="193">
        <v>0</v>
      </c>
      <c r="Q12" s="193">
        <v>0</v>
      </c>
      <c r="R12" s="193">
        <v>0</v>
      </c>
      <c r="S12" s="193">
        <v>0</v>
      </c>
      <c r="T12" s="193">
        <v>15449.27</v>
      </c>
    </row>
    <row r="13" spans="1:20">
      <c r="A13" s="13">
        <v>9</v>
      </c>
      <c r="B13" s="204" t="s">
        <v>210</v>
      </c>
      <c r="C13" s="205"/>
      <c r="D13" s="198">
        <v>0</v>
      </c>
      <c r="E13" s="198">
        <v>44</v>
      </c>
      <c r="F13" s="198">
        <v>1002.25</v>
      </c>
      <c r="G13" s="199">
        <v>0</v>
      </c>
      <c r="H13" s="199">
        <v>0</v>
      </c>
      <c r="I13" s="10">
        <v>0</v>
      </c>
      <c r="J13" s="10">
        <v>0</v>
      </c>
      <c r="K13" s="11"/>
      <c r="L13" s="193">
        <v>0</v>
      </c>
      <c r="M13" s="193">
        <v>0</v>
      </c>
      <c r="N13" s="193">
        <v>4777.5200000000004</v>
      </c>
      <c r="O13" s="193">
        <v>10222.950000000001</v>
      </c>
      <c r="P13" s="193">
        <v>0</v>
      </c>
      <c r="Q13" s="193">
        <v>0</v>
      </c>
      <c r="R13" s="193">
        <v>0</v>
      </c>
      <c r="S13" s="193">
        <v>0</v>
      </c>
      <c r="T13" s="193">
        <v>15000.47</v>
      </c>
    </row>
    <row r="14" spans="1:20">
      <c r="A14" s="13">
        <v>10</v>
      </c>
      <c r="B14" s="204" t="s">
        <v>211</v>
      </c>
      <c r="C14" s="205"/>
      <c r="D14" s="198">
        <v>0</v>
      </c>
      <c r="E14" s="198">
        <v>44</v>
      </c>
      <c r="F14" s="198">
        <v>958.25</v>
      </c>
      <c r="G14" s="199">
        <v>0</v>
      </c>
      <c r="H14" s="199">
        <v>0</v>
      </c>
      <c r="I14" s="10">
        <v>0</v>
      </c>
      <c r="J14" s="10">
        <v>0</v>
      </c>
      <c r="K14" s="11"/>
      <c r="L14" s="193">
        <v>0</v>
      </c>
      <c r="M14" s="193">
        <v>0</v>
      </c>
      <c r="N14" s="193">
        <v>4777.5200000000004</v>
      </c>
      <c r="O14" s="193">
        <v>9774.15</v>
      </c>
      <c r="P14" s="193">
        <v>0</v>
      </c>
      <c r="Q14" s="193">
        <v>0</v>
      </c>
      <c r="R14" s="193">
        <v>0</v>
      </c>
      <c r="S14" s="193">
        <v>0</v>
      </c>
      <c r="T14" s="193">
        <v>14551.67</v>
      </c>
    </row>
    <row r="15" spans="1:20">
      <c r="A15" s="13">
        <v>11</v>
      </c>
      <c r="B15" s="204" t="s">
        <v>212</v>
      </c>
      <c r="C15" s="205"/>
      <c r="D15" s="198">
        <v>0</v>
      </c>
      <c r="E15" s="198">
        <v>22</v>
      </c>
      <c r="F15" s="198">
        <v>936.25</v>
      </c>
      <c r="G15" s="199">
        <v>0</v>
      </c>
      <c r="H15" s="199">
        <v>0</v>
      </c>
      <c r="I15" s="10">
        <v>0</v>
      </c>
      <c r="J15" s="10">
        <v>0</v>
      </c>
      <c r="K15" s="11"/>
      <c r="L15" s="193">
        <v>0</v>
      </c>
      <c r="M15" s="193">
        <v>0</v>
      </c>
      <c r="N15" s="193">
        <v>2388.7600000000002</v>
      </c>
      <c r="O15" s="193">
        <v>9549.75</v>
      </c>
      <c r="P15" s="193">
        <v>0</v>
      </c>
      <c r="Q15" s="193">
        <v>0</v>
      </c>
      <c r="R15" s="193">
        <v>0</v>
      </c>
      <c r="S15" s="193">
        <v>0</v>
      </c>
      <c r="T15" s="193">
        <v>11938.51</v>
      </c>
    </row>
    <row r="16" spans="1:20">
      <c r="A16" s="13">
        <v>12</v>
      </c>
      <c r="B16" s="204" t="s">
        <v>213</v>
      </c>
      <c r="C16" s="205"/>
      <c r="D16" s="198">
        <v>0</v>
      </c>
      <c r="E16" s="198">
        <v>43.25</v>
      </c>
      <c r="F16" s="198">
        <v>893</v>
      </c>
      <c r="G16" s="199">
        <v>0</v>
      </c>
      <c r="H16" s="199">
        <v>0</v>
      </c>
      <c r="I16" s="10">
        <v>0</v>
      </c>
      <c r="J16" s="10">
        <v>0</v>
      </c>
      <c r="K16" s="18"/>
      <c r="L16" s="193">
        <v>0</v>
      </c>
      <c r="M16" s="193">
        <v>0</v>
      </c>
      <c r="N16" s="193">
        <v>4696.09</v>
      </c>
      <c r="O16" s="193">
        <v>9108.6</v>
      </c>
      <c r="P16" s="193">
        <v>0</v>
      </c>
      <c r="Q16" s="193">
        <v>0</v>
      </c>
      <c r="R16" s="193">
        <v>0</v>
      </c>
      <c r="S16" s="193">
        <v>0</v>
      </c>
      <c r="T16" s="193">
        <v>13804.69</v>
      </c>
    </row>
    <row r="17" spans="1:20">
      <c r="A17" s="13">
        <v>13</v>
      </c>
      <c r="B17" s="204" t="s">
        <v>214</v>
      </c>
      <c r="C17" s="205"/>
      <c r="D17" s="198">
        <v>0</v>
      </c>
      <c r="E17" s="198">
        <v>44</v>
      </c>
      <c r="F17" s="198">
        <v>849</v>
      </c>
      <c r="G17" s="199">
        <v>0</v>
      </c>
      <c r="H17" s="199">
        <v>0</v>
      </c>
      <c r="I17" s="10">
        <v>0</v>
      </c>
      <c r="J17" s="10">
        <v>0</v>
      </c>
      <c r="K17" s="11"/>
      <c r="L17" s="193">
        <v>0</v>
      </c>
      <c r="M17" s="193">
        <v>0</v>
      </c>
      <c r="N17" s="193">
        <v>4777.5200000000004</v>
      </c>
      <c r="O17" s="193">
        <v>8659.7999999999993</v>
      </c>
      <c r="P17" s="193">
        <v>0</v>
      </c>
      <c r="Q17" s="193">
        <v>0</v>
      </c>
      <c r="R17" s="193">
        <v>0</v>
      </c>
      <c r="S17" s="193">
        <v>0</v>
      </c>
      <c r="T17" s="193">
        <v>13437.32</v>
      </c>
    </row>
    <row r="18" spans="1:20">
      <c r="A18" s="13">
        <v>14</v>
      </c>
      <c r="B18" s="204" t="s">
        <v>215</v>
      </c>
      <c r="C18" s="205"/>
      <c r="D18" s="198">
        <v>0</v>
      </c>
      <c r="E18" s="198">
        <v>22</v>
      </c>
      <c r="F18" s="198">
        <v>827</v>
      </c>
      <c r="G18" s="199">
        <v>0</v>
      </c>
      <c r="H18" s="199">
        <v>0</v>
      </c>
      <c r="I18" s="10">
        <v>0</v>
      </c>
      <c r="J18" s="10">
        <v>0</v>
      </c>
      <c r="K18" s="11"/>
      <c r="L18" s="193">
        <v>0</v>
      </c>
      <c r="M18" s="193">
        <v>0</v>
      </c>
      <c r="N18" s="193">
        <v>2388.7600000000002</v>
      </c>
      <c r="O18" s="193">
        <v>8435.4</v>
      </c>
      <c r="P18" s="193">
        <v>0</v>
      </c>
      <c r="Q18" s="193">
        <v>0</v>
      </c>
      <c r="R18" s="193">
        <v>0</v>
      </c>
      <c r="S18" s="193">
        <v>0</v>
      </c>
      <c r="T18" s="193">
        <v>10824.16</v>
      </c>
    </row>
    <row r="19" spans="1:20">
      <c r="A19" s="13">
        <v>15</v>
      </c>
      <c r="B19" s="204" t="s">
        <v>216</v>
      </c>
      <c r="C19" s="205"/>
      <c r="D19" s="198">
        <v>44</v>
      </c>
      <c r="E19" s="198">
        <v>22</v>
      </c>
      <c r="F19" s="198">
        <v>849</v>
      </c>
      <c r="G19" s="199">
        <v>0</v>
      </c>
      <c r="H19" s="199">
        <v>0</v>
      </c>
      <c r="I19" s="10">
        <v>0</v>
      </c>
      <c r="J19" s="10">
        <v>0</v>
      </c>
      <c r="K19" s="11"/>
      <c r="L19" s="193">
        <v>0</v>
      </c>
      <c r="M19" s="193">
        <v>4777.5200000000004</v>
      </c>
      <c r="N19" s="193">
        <v>2388.7600000000002</v>
      </c>
      <c r="O19" s="193">
        <v>8659.7999999999993</v>
      </c>
      <c r="P19" s="193">
        <v>0</v>
      </c>
      <c r="Q19" s="193">
        <v>0</v>
      </c>
      <c r="R19" s="193">
        <v>0</v>
      </c>
      <c r="S19" s="193">
        <v>0</v>
      </c>
      <c r="T19" s="193">
        <v>15826.08</v>
      </c>
    </row>
    <row r="20" spans="1:20">
      <c r="A20" s="13">
        <v>16</v>
      </c>
      <c r="B20" s="204" t="s">
        <v>217</v>
      </c>
      <c r="C20" s="205"/>
      <c r="D20" s="198">
        <v>0</v>
      </c>
      <c r="E20" s="198">
        <v>0</v>
      </c>
      <c r="F20" s="198">
        <v>849</v>
      </c>
      <c r="G20" s="199">
        <v>0</v>
      </c>
      <c r="H20" s="199">
        <v>0</v>
      </c>
      <c r="I20" s="10">
        <v>0</v>
      </c>
      <c r="J20" s="10">
        <v>0</v>
      </c>
      <c r="K20" s="11"/>
      <c r="L20" s="193">
        <v>0</v>
      </c>
      <c r="M20" s="193">
        <v>0</v>
      </c>
      <c r="N20" s="193">
        <v>0</v>
      </c>
      <c r="O20" s="193">
        <v>8659.7999999999993</v>
      </c>
      <c r="P20" s="193">
        <v>0</v>
      </c>
      <c r="Q20" s="193">
        <v>0</v>
      </c>
      <c r="R20" s="193">
        <v>0</v>
      </c>
      <c r="S20" s="193">
        <v>0</v>
      </c>
      <c r="T20" s="193">
        <v>8659.7999999999993</v>
      </c>
    </row>
    <row r="21" spans="1:20">
      <c r="A21" s="13">
        <v>17</v>
      </c>
      <c r="B21" s="204" t="s">
        <v>218</v>
      </c>
      <c r="C21" s="205"/>
      <c r="D21" s="198">
        <v>110</v>
      </c>
      <c r="E21" s="198">
        <v>43.25</v>
      </c>
      <c r="F21" s="198">
        <v>915.75</v>
      </c>
      <c r="G21" s="199">
        <v>0</v>
      </c>
      <c r="H21" s="199">
        <v>0</v>
      </c>
      <c r="I21" s="10">
        <v>0</v>
      </c>
      <c r="J21" s="10">
        <v>0</v>
      </c>
      <c r="K21" s="11"/>
      <c r="L21" s="193">
        <v>0</v>
      </c>
      <c r="M21" s="193">
        <v>11943.8</v>
      </c>
      <c r="N21" s="193">
        <v>4696.09</v>
      </c>
      <c r="O21" s="193">
        <v>9340.65</v>
      </c>
      <c r="P21" s="193">
        <v>0</v>
      </c>
      <c r="Q21" s="193">
        <v>0</v>
      </c>
      <c r="R21" s="193">
        <v>0</v>
      </c>
      <c r="S21" s="193">
        <v>0</v>
      </c>
      <c r="T21" s="193">
        <v>25980.54</v>
      </c>
    </row>
    <row r="22" spans="1:20">
      <c r="A22" s="13">
        <v>18</v>
      </c>
      <c r="B22" s="204" t="s">
        <v>219</v>
      </c>
      <c r="C22" s="205"/>
      <c r="D22" s="198">
        <v>42.75</v>
      </c>
      <c r="E22" s="198">
        <v>0</v>
      </c>
      <c r="F22" s="198">
        <v>958.5</v>
      </c>
      <c r="G22" s="199">
        <v>0</v>
      </c>
      <c r="H22" s="199">
        <v>0</v>
      </c>
      <c r="I22" s="10">
        <v>0</v>
      </c>
      <c r="J22" s="10">
        <v>0</v>
      </c>
      <c r="K22" s="11"/>
      <c r="L22" s="193">
        <v>0</v>
      </c>
      <c r="M22" s="193">
        <v>4641.8</v>
      </c>
      <c r="N22" s="193">
        <v>0</v>
      </c>
      <c r="O22" s="193">
        <v>9776.7000000000007</v>
      </c>
      <c r="P22" s="193">
        <v>0</v>
      </c>
      <c r="Q22" s="193">
        <v>0</v>
      </c>
      <c r="R22" s="193">
        <v>0</v>
      </c>
      <c r="S22" s="193">
        <v>0</v>
      </c>
      <c r="T22" s="193">
        <v>14418.5</v>
      </c>
    </row>
    <row r="23" spans="1:20">
      <c r="A23" s="13">
        <v>19</v>
      </c>
      <c r="B23" s="204" t="s">
        <v>220</v>
      </c>
      <c r="C23" s="205"/>
      <c r="D23" s="198">
        <v>64.125</v>
      </c>
      <c r="E23" s="198">
        <v>66</v>
      </c>
      <c r="F23" s="198">
        <v>956.625</v>
      </c>
      <c r="G23" s="199">
        <v>0</v>
      </c>
      <c r="H23" s="199">
        <v>0</v>
      </c>
      <c r="I23" s="10">
        <v>0</v>
      </c>
      <c r="J23" s="10">
        <v>0</v>
      </c>
      <c r="K23" s="11"/>
      <c r="L23" s="193">
        <v>0</v>
      </c>
      <c r="M23" s="193">
        <v>6962.69</v>
      </c>
      <c r="N23" s="193">
        <v>7166.28</v>
      </c>
      <c r="O23" s="193">
        <v>9757.58</v>
      </c>
      <c r="P23" s="193">
        <v>0</v>
      </c>
      <c r="Q23" s="193">
        <v>0</v>
      </c>
      <c r="R23" s="193">
        <v>0</v>
      </c>
      <c r="S23" s="193">
        <v>0</v>
      </c>
      <c r="T23" s="193">
        <v>23886.55</v>
      </c>
    </row>
    <row r="24" spans="1:20">
      <c r="A24" s="13">
        <v>20</v>
      </c>
      <c r="B24" s="204" t="s">
        <v>221</v>
      </c>
      <c r="C24" s="205"/>
      <c r="D24" s="198">
        <v>0</v>
      </c>
      <c r="E24" s="198">
        <v>0</v>
      </c>
      <c r="F24" s="198">
        <v>956.625</v>
      </c>
      <c r="G24" s="199">
        <v>0</v>
      </c>
      <c r="H24" s="199">
        <v>0</v>
      </c>
      <c r="I24" s="10">
        <v>0</v>
      </c>
      <c r="J24" s="10">
        <v>0</v>
      </c>
      <c r="K24" s="11"/>
      <c r="L24" s="193">
        <v>0</v>
      </c>
      <c r="M24" s="193">
        <v>0</v>
      </c>
      <c r="N24" s="193">
        <v>0</v>
      </c>
      <c r="O24" s="193">
        <v>9757.58</v>
      </c>
      <c r="P24" s="193">
        <v>0</v>
      </c>
      <c r="Q24" s="193">
        <v>0</v>
      </c>
      <c r="R24" s="193">
        <v>0</v>
      </c>
      <c r="S24" s="193">
        <v>0</v>
      </c>
      <c r="T24" s="193">
        <v>9757.58</v>
      </c>
    </row>
    <row r="25" spans="1:20">
      <c r="A25" s="13">
        <v>21</v>
      </c>
      <c r="B25" s="204" t="s">
        <v>222</v>
      </c>
      <c r="C25" s="205"/>
      <c r="D25" s="198">
        <v>0</v>
      </c>
      <c r="E25" s="198">
        <v>0</v>
      </c>
      <c r="F25" s="198">
        <v>956.625</v>
      </c>
      <c r="G25" s="199">
        <v>0</v>
      </c>
      <c r="H25" s="199">
        <v>0</v>
      </c>
      <c r="I25" s="10">
        <v>0</v>
      </c>
      <c r="J25" s="10">
        <v>0</v>
      </c>
      <c r="K25" s="11"/>
      <c r="L25" s="193">
        <v>0</v>
      </c>
      <c r="M25" s="193">
        <v>0</v>
      </c>
      <c r="N25" s="193">
        <v>0</v>
      </c>
      <c r="O25" s="193">
        <v>9757.58</v>
      </c>
      <c r="P25" s="193">
        <v>0</v>
      </c>
      <c r="Q25" s="193">
        <v>0</v>
      </c>
      <c r="R25" s="193">
        <v>0</v>
      </c>
      <c r="S25" s="193">
        <v>0</v>
      </c>
      <c r="T25" s="193">
        <v>9757.58</v>
      </c>
    </row>
    <row r="26" spans="1:20">
      <c r="A26" s="13">
        <v>22</v>
      </c>
      <c r="B26" s="204" t="s">
        <v>223</v>
      </c>
      <c r="C26" s="205"/>
      <c r="D26" s="198">
        <v>0</v>
      </c>
      <c r="E26" s="198">
        <v>43.25</v>
      </c>
      <c r="F26" s="198">
        <v>913.375</v>
      </c>
      <c r="G26" s="199">
        <v>0</v>
      </c>
      <c r="H26" s="199">
        <v>0</v>
      </c>
      <c r="I26" s="10">
        <v>0</v>
      </c>
      <c r="J26" s="10">
        <v>0</v>
      </c>
      <c r="K26" s="11"/>
      <c r="L26" s="193">
        <v>0</v>
      </c>
      <c r="M26" s="193">
        <v>0</v>
      </c>
      <c r="N26" s="193">
        <v>4696.09</v>
      </c>
      <c r="O26" s="193">
        <v>9316.43</v>
      </c>
      <c r="P26" s="193">
        <v>0</v>
      </c>
      <c r="Q26" s="193">
        <v>0</v>
      </c>
      <c r="R26" s="193">
        <v>0</v>
      </c>
      <c r="S26" s="193">
        <v>0</v>
      </c>
      <c r="T26" s="193">
        <v>14012.51</v>
      </c>
    </row>
    <row r="27" spans="1:20">
      <c r="A27" s="13">
        <v>23</v>
      </c>
      <c r="B27" s="204" t="s">
        <v>224</v>
      </c>
      <c r="C27" s="205"/>
      <c r="D27" s="198">
        <v>0</v>
      </c>
      <c r="E27" s="198">
        <v>22</v>
      </c>
      <c r="F27" s="198">
        <v>891.375</v>
      </c>
      <c r="G27" s="199">
        <v>0</v>
      </c>
      <c r="H27" s="199">
        <v>0</v>
      </c>
      <c r="I27" s="10">
        <v>0</v>
      </c>
      <c r="J27" s="10">
        <v>0</v>
      </c>
      <c r="K27" s="11"/>
      <c r="L27" s="193">
        <v>0</v>
      </c>
      <c r="M27" s="193">
        <v>0</v>
      </c>
      <c r="N27" s="193">
        <v>2388.7600000000002</v>
      </c>
      <c r="O27" s="193">
        <v>9092.0300000000007</v>
      </c>
      <c r="P27" s="193">
        <v>0</v>
      </c>
      <c r="Q27" s="193">
        <v>0</v>
      </c>
      <c r="R27" s="193">
        <v>0</v>
      </c>
      <c r="S27" s="193">
        <v>0</v>
      </c>
      <c r="T27" s="193">
        <v>11480.79</v>
      </c>
    </row>
    <row r="28" spans="1:20">
      <c r="A28" s="13">
        <v>24</v>
      </c>
      <c r="B28" s="204" t="s">
        <v>225</v>
      </c>
      <c r="C28" s="205"/>
      <c r="D28" s="198">
        <v>0</v>
      </c>
      <c r="E28" s="198">
        <v>22</v>
      </c>
      <c r="F28" s="198">
        <v>869.375</v>
      </c>
      <c r="G28" s="199">
        <v>0</v>
      </c>
      <c r="H28" s="199">
        <v>0</v>
      </c>
      <c r="I28" s="10">
        <v>0</v>
      </c>
      <c r="J28" s="10">
        <v>0</v>
      </c>
      <c r="K28" s="11"/>
      <c r="L28" s="193">
        <v>0</v>
      </c>
      <c r="M28" s="193">
        <v>0</v>
      </c>
      <c r="N28" s="193">
        <v>2388.7600000000002</v>
      </c>
      <c r="O28" s="193">
        <v>8867.6299999999992</v>
      </c>
      <c r="P28" s="193">
        <v>0</v>
      </c>
      <c r="Q28" s="193">
        <v>0</v>
      </c>
      <c r="R28" s="193">
        <v>0</v>
      </c>
      <c r="S28" s="193">
        <v>0</v>
      </c>
      <c r="T28" s="193">
        <v>11256.39</v>
      </c>
    </row>
    <row r="29" spans="1:20">
      <c r="A29" s="13">
        <v>25</v>
      </c>
      <c r="B29" s="204" t="s">
        <v>226</v>
      </c>
      <c r="C29" s="205"/>
      <c r="D29" s="198">
        <v>88</v>
      </c>
      <c r="E29" s="198">
        <v>0</v>
      </c>
      <c r="F29" s="198">
        <v>957.375</v>
      </c>
      <c r="G29" s="199">
        <v>0</v>
      </c>
      <c r="H29" s="199">
        <v>0</v>
      </c>
      <c r="I29" s="10">
        <v>0</v>
      </c>
      <c r="J29" s="10">
        <v>0</v>
      </c>
      <c r="K29" s="11"/>
      <c r="L29" s="193">
        <v>0</v>
      </c>
      <c r="M29" s="193">
        <v>9555.0400000000009</v>
      </c>
      <c r="N29" s="193">
        <v>0</v>
      </c>
      <c r="O29" s="193">
        <v>9765.23</v>
      </c>
      <c r="P29" s="193">
        <v>0</v>
      </c>
      <c r="Q29" s="193">
        <v>0</v>
      </c>
      <c r="R29" s="193">
        <v>0</v>
      </c>
      <c r="S29" s="193">
        <v>0</v>
      </c>
      <c r="T29" s="193">
        <v>19320.27</v>
      </c>
    </row>
    <row r="30" spans="1:20">
      <c r="A30" s="13">
        <v>26</v>
      </c>
      <c r="B30" s="204" t="s">
        <v>227</v>
      </c>
      <c r="C30" s="205"/>
      <c r="D30" s="198">
        <v>21.25</v>
      </c>
      <c r="E30" s="198">
        <v>43.25</v>
      </c>
      <c r="F30" s="198">
        <v>935.375</v>
      </c>
      <c r="G30" s="199">
        <v>0</v>
      </c>
      <c r="H30" s="199">
        <v>0</v>
      </c>
      <c r="I30" s="10">
        <v>0</v>
      </c>
      <c r="J30" s="10">
        <v>0</v>
      </c>
      <c r="K30" s="11"/>
      <c r="L30" s="193">
        <v>0</v>
      </c>
      <c r="M30" s="193">
        <v>2307.33</v>
      </c>
      <c r="N30" s="193">
        <v>4696.09</v>
      </c>
      <c r="O30" s="193">
        <v>9540.83</v>
      </c>
      <c r="P30" s="193">
        <v>0</v>
      </c>
      <c r="Q30" s="193">
        <v>0</v>
      </c>
      <c r="R30" s="193">
        <v>0</v>
      </c>
      <c r="S30" s="193">
        <v>0</v>
      </c>
      <c r="T30" s="193">
        <v>16544.240000000002</v>
      </c>
    </row>
    <row r="31" spans="1:20">
      <c r="A31" s="13">
        <v>27</v>
      </c>
      <c r="B31" s="204" t="s">
        <v>228</v>
      </c>
      <c r="C31" s="205"/>
      <c r="D31" s="198">
        <v>65.25</v>
      </c>
      <c r="E31" s="198">
        <v>43.25</v>
      </c>
      <c r="F31" s="198">
        <v>957.375</v>
      </c>
      <c r="G31" s="199">
        <v>0</v>
      </c>
      <c r="H31" s="199">
        <v>0</v>
      </c>
      <c r="I31" s="10">
        <v>0</v>
      </c>
      <c r="J31" s="10">
        <v>0</v>
      </c>
      <c r="K31" s="11"/>
      <c r="L31" s="193">
        <v>0</v>
      </c>
      <c r="M31" s="193">
        <v>7084.85</v>
      </c>
      <c r="N31" s="193">
        <v>4696.09</v>
      </c>
      <c r="O31" s="193">
        <v>9765.23</v>
      </c>
      <c r="P31" s="193">
        <v>0</v>
      </c>
      <c r="Q31" s="193">
        <v>0</v>
      </c>
      <c r="R31" s="193">
        <v>0</v>
      </c>
      <c r="S31" s="193">
        <v>0</v>
      </c>
      <c r="T31" s="193">
        <v>21546.16</v>
      </c>
    </row>
    <row r="32" spans="1:20">
      <c r="A32" s="13">
        <v>28</v>
      </c>
      <c r="B32" s="204" t="s">
        <v>229</v>
      </c>
      <c r="C32" s="205"/>
      <c r="D32" s="198">
        <v>66</v>
      </c>
      <c r="E32" s="198">
        <v>0</v>
      </c>
      <c r="F32" s="198">
        <v>1023.375</v>
      </c>
      <c r="G32" s="199">
        <v>0</v>
      </c>
      <c r="H32" s="199">
        <v>0</v>
      </c>
      <c r="I32" s="10">
        <v>0</v>
      </c>
      <c r="J32" s="10">
        <v>0</v>
      </c>
      <c r="K32" s="11"/>
      <c r="L32" s="193">
        <v>0</v>
      </c>
      <c r="M32" s="193">
        <v>7166.28</v>
      </c>
      <c r="N32" s="193">
        <v>0</v>
      </c>
      <c r="O32" s="193">
        <v>10438.43</v>
      </c>
      <c r="P32" s="193">
        <v>0</v>
      </c>
      <c r="Q32" s="193">
        <v>0</v>
      </c>
      <c r="R32" s="193">
        <v>0</v>
      </c>
      <c r="S32" s="193">
        <v>0</v>
      </c>
      <c r="T32" s="193">
        <v>17604.71</v>
      </c>
    </row>
    <row r="33" spans="1:20">
      <c r="A33" s="13">
        <v>29</v>
      </c>
      <c r="B33" s="204" t="s">
        <v>230</v>
      </c>
      <c r="C33" s="205"/>
      <c r="D33" s="198">
        <v>0</v>
      </c>
      <c r="E33" s="198">
        <v>44</v>
      </c>
      <c r="F33" s="198">
        <v>979.375</v>
      </c>
      <c r="G33" s="199">
        <v>0</v>
      </c>
      <c r="H33" s="199">
        <v>0</v>
      </c>
      <c r="I33" s="10">
        <v>0</v>
      </c>
      <c r="J33" s="10">
        <v>0</v>
      </c>
      <c r="K33" s="11"/>
      <c r="L33" s="193">
        <v>0</v>
      </c>
      <c r="M33" s="193">
        <v>0</v>
      </c>
      <c r="N33" s="193">
        <v>4777.5200000000004</v>
      </c>
      <c r="O33" s="193">
        <v>9989.6299999999992</v>
      </c>
      <c r="P33" s="193">
        <v>0</v>
      </c>
      <c r="Q33" s="193">
        <v>0</v>
      </c>
      <c r="R33" s="193">
        <v>0</v>
      </c>
      <c r="S33" s="193">
        <v>0</v>
      </c>
      <c r="T33" s="193">
        <v>14767.15</v>
      </c>
    </row>
    <row r="34" spans="1:20">
      <c r="A34" s="13">
        <v>30</v>
      </c>
      <c r="B34" s="204" t="s">
        <v>231</v>
      </c>
      <c r="C34" s="205"/>
      <c r="D34" s="198">
        <v>22</v>
      </c>
      <c r="E34" s="198">
        <v>0</v>
      </c>
      <c r="F34" s="198">
        <v>1001.375</v>
      </c>
      <c r="G34" s="199">
        <v>0</v>
      </c>
      <c r="H34" s="199">
        <v>0</v>
      </c>
      <c r="I34" s="10">
        <v>0</v>
      </c>
      <c r="J34" s="10">
        <v>0</v>
      </c>
      <c r="K34" s="11"/>
      <c r="L34" s="193">
        <v>0</v>
      </c>
      <c r="M34" s="193">
        <v>2388.7600000000002</v>
      </c>
      <c r="N34" s="193">
        <v>0</v>
      </c>
      <c r="O34" s="193">
        <v>10214.030000000001</v>
      </c>
      <c r="P34" s="193">
        <v>0</v>
      </c>
      <c r="Q34" s="193">
        <v>0</v>
      </c>
      <c r="R34" s="193">
        <v>0</v>
      </c>
      <c r="S34" s="193">
        <v>0</v>
      </c>
      <c r="T34" s="193">
        <v>12602.79</v>
      </c>
    </row>
    <row r="35" spans="1:20">
      <c r="A35" s="13">
        <v>31</v>
      </c>
      <c r="B35" s="204" t="s">
        <v>232</v>
      </c>
      <c r="C35" s="205"/>
      <c r="D35" s="198">
        <v>22</v>
      </c>
      <c r="E35" s="198">
        <v>0</v>
      </c>
      <c r="F35" s="198">
        <v>1023.375</v>
      </c>
      <c r="G35" s="199">
        <v>0</v>
      </c>
      <c r="H35" s="199">
        <v>0</v>
      </c>
      <c r="I35" s="10">
        <v>0</v>
      </c>
      <c r="J35" s="10">
        <v>0</v>
      </c>
      <c r="K35" s="11"/>
      <c r="L35" s="193">
        <v>0</v>
      </c>
      <c r="M35" s="193">
        <v>2388.7600000000002</v>
      </c>
      <c r="N35" s="193">
        <v>0</v>
      </c>
      <c r="O35" s="193">
        <v>10438.43</v>
      </c>
      <c r="P35" s="193">
        <v>0</v>
      </c>
      <c r="Q35" s="193">
        <v>0</v>
      </c>
      <c r="R35" s="193">
        <v>0</v>
      </c>
      <c r="S35" s="193">
        <v>0</v>
      </c>
      <c r="T35" s="193">
        <v>12827.19</v>
      </c>
    </row>
    <row r="36" spans="1:20">
      <c r="D36" s="19">
        <v>1336.875</v>
      </c>
      <c r="E36" s="19">
        <v>765.75</v>
      </c>
      <c r="F36" s="19">
        <v>28225.375</v>
      </c>
      <c r="G36" s="19">
        <v>0</v>
      </c>
      <c r="H36" s="19">
        <v>0</v>
      </c>
      <c r="I36" s="19">
        <v>0</v>
      </c>
      <c r="J36" s="19">
        <v>0</v>
      </c>
      <c r="K36" s="20">
        <v>0</v>
      </c>
      <c r="L36" s="194">
        <v>0</v>
      </c>
      <c r="M36" s="194">
        <v>145157.89000000001</v>
      </c>
      <c r="N36" s="194">
        <v>83145.14</v>
      </c>
      <c r="O36" s="194">
        <v>287898.83</v>
      </c>
      <c r="P36" s="194">
        <v>0</v>
      </c>
      <c r="Q36" s="194">
        <v>0</v>
      </c>
      <c r="R36" s="194">
        <v>0</v>
      </c>
      <c r="S36" s="194">
        <v>0</v>
      </c>
      <c r="T36" s="194">
        <v>516201.85</v>
      </c>
    </row>
    <row r="37" spans="1:20">
      <c r="R37" s="22"/>
      <c r="S37" s="22"/>
      <c r="T37" s="195">
        <v>619442.22</v>
      </c>
    </row>
  </sheetData>
  <mergeCells count="50">
    <mergeCell ref="B8:C8"/>
    <mergeCell ref="B9:C9"/>
    <mergeCell ref="B10:C10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  <mergeCell ref="B7:C7"/>
    <mergeCell ref="L3:L4"/>
    <mergeCell ref="M3:M4"/>
    <mergeCell ref="N3:N4"/>
    <mergeCell ref="O3:O4"/>
    <mergeCell ref="R3:R4"/>
    <mergeCell ref="S3:S4"/>
    <mergeCell ref="T3:T4"/>
    <mergeCell ref="B5:C5"/>
    <mergeCell ref="B6:C6"/>
    <mergeCell ref="P3:P4"/>
    <mergeCell ref="Q3:Q4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13:C13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</mergeCells>
  <pageMargins left="0.7" right="0.7" top="0.75" bottom="0.75" header="0.3" footer="0.3"/>
  <pageSetup paperSize="9" fitToHeight="5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2E00E-9693-4C77-8AC9-61E4CF7C2210}">
  <sheetPr codeName="Лист42">
    <pageSetUpPr fitToPage="1"/>
  </sheetPr>
  <dimension ref="A1:T37"/>
  <sheetViews>
    <sheetView workbookViewId="0">
      <selection activeCell="G5" sqref="G5:H35"/>
    </sheetView>
  </sheetViews>
  <sheetFormatPr defaultRowHeight="15"/>
  <cols>
    <col min="1" max="3" width="8.796875" style="2"/>
    <col min="4" max="5" width="6.59765625" style="2" bestFit="1" customWidth="1"/>
    <col min="6" max="6" width="8.69921875" style="2" customWidth="1"/>
    <col min="7" max="7" width="7.3984375" style="2" bestFit="1" customWidth="1"/>
    <col min="8" max="8" width="6.69921875" style="2" bestFit="1" customWidth="1"/>
    <col min="9" max="9" width="7.3984375" style="2" bestFit="1" customWidth="1"/>
    <col min="10" max="12" width="8.796875" style="2"/>
    <col min="13" max="13" width="9.19921875" style="2" customWidth="1"/>
    <col min="14" max="14" width="9.5" style="2" customWidth="1"/>
    <col min="15" max="15" width="10.19921875" style="2" customWidth="1"/>
    <col min="16" max="16" width="11.09765625" style="2" customWidth="1"/>
    <col min="17" max="17" width="10.5" style="2" customWidth="1"/>
    <col min="18" max="18" width="9.296875" style="2" customWidth="1"/>
    <col min="19" max="19" width="8.19921875" style="2" customWidth="1"/>
    <col min="20" max="20" width="17" style="2" customWidth="1"/>
    <col min="21" max="16384" width="8.796875" style="2"/>
  </cols>
  <sheetData>
    <row r="1" spans="1:20">
      <c r="I1" s="3"/>
    </row>
    <row r="2" spans="1:20" ht="28.9" customHeight="1">
      <c r="A2" s="209" t="s">
        <v>250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</row>
    <row r="3" spans="1:20" ht="28.9" customHeight="1">
      <c r="A3" s="206" t="s">
        <v>0</v>
      </c>
      <c r="B3" s="210" t="s">
        <v>1</v>
      </c>
      <c r="C3" s="211"/>
      <c r="D3" s="206" t="s">
        <v>2</v>
      </c>
      <c r="E3" s="206" t="s">
        <v>3</v>
      </c>
      <c r="F3" s="4" t="s">
        <v>4</v>
      </c>
      <c r="G3" s="206" t="s">
        <v>251</v>
      </c>
      <c r="H3" s="206" t="s">
        <v>252</v>
      </c>
      <c r="I3" s="206" t="s">
        <v>7</v>
      </c>
      <c r="J3" s="206" t="s">
        <v>8</v>
      </c>
      <c r="K3" s="206" t="s">
        <v>9</v>
      </c>
      <c r="L3" s="206" t="s">
        <v>10</v>
      </c>
      <c r="M3" s="206" t="s">
        <v>11</v>
      </c>
      <c r="N3" s="206" t="s">
        <v>12</v>
      </c>
      <c r="O3" s="206" t="s">
        <v>13</v>
      </c>
      <c r="P3" s="206" t="s">
        <v>14</v>
      </c>
      <c r="Q3" s="206" t="s">
        <v>15</v>
      </c>
      <c r="R3" s="206" t="s">
        <v>16</v>
      </c>
      <c r="S3" s="206" t="s">
        <v>17</v>
      </c>
      <c r="T3" s="206" t="s">
        <v>18</v>
      </c>
    </row>
    <row r="4" spans="1:20">
      <c r="A4" s="207"/>
      <c r="B4" s="212"/>
      <c r="C4" s="213"/>
      <c r="D4" s="207"/>
      <c r="E4" s="207"/>
      <c r="F4" s="5"/>
      <c r="G4" s="207"/>
      <c r="H4" s="207"/>
      <c r="I4" s="207"/>
      <c r="J4" s="207"/>
      <c r="K4" s="208"/>
      <c r="L4" s="208"/>
      <c r="M4" s="207"/>
      <c r="N4" s="207"/>
      <c r="O4" s="207"/>
      <c r="P4" s="207"/>
      <c r="Q4" s="207"/>
      <c r="R4" s="207"/>
      <c r="S4" s="207"/>
      <c r="T4" s="207"/>
    </row>
    <row r="5" spans="1:20">
      <c r="A5" s="13">
        <v>1</v>
      </c>
      <c r="B5" s="204" t="s">
        <v>202</v>
      </c>
      <c r="C5" s="205"/>
      <c r="D5" s="198">
        <v>286</v>
      </c>
      <c r="E5" s="198">
        <v>352</v>
      </c>
      <c r="F5" s="198">
        <v>11123.457</v>
      </c>
      <c r="G5" s="199">
        <v>876.54299999999967</v>
      </c>
      <c r="H5" s="199">
        <v>362</v>
      </c>
      <c r="I5" s="10">
        <v>0</v>
      </c>
      <c r="J5" s="11">
        <v>0</v>
      </c>
      <c r="K5" s="11"/>
      <c r="L5" s="193">
        <v>0</v>
      </c>
      <c r="M5" s="193">
        <v>34320</v>
      </c>
      <c r="N5" s="193">
        <v>42240</v>
      </c>
      <c r="O5" s="193">
        <v>389321</v>
      </c>
      <c r="P5" s="193">
        <v>30679.01</v>
      </c>
      <c r="Q5" s="193">
        <v>43440</v>
      </c>
      <c r="R5" s="193">
        <v>0</v>
      </c>
      <c r="S5" s="193">
        <v>0</v>
      </c>
      <c r="T5" s="193">
        <v>540000</v>
      </c>
    </row>
    <row r="6" spans="1:20">
      <c r="A6" s="13">
        <v>2</v>
      </c>
      <c r="B6" s="204" t="s">
        <v>203</v>
      </c>
      <c r="C6" s="205"/>
      <c r="D6" s="198">
        <v>176</v>
      </c>
      <c r="E6" s="198">
        <v>136.125</v>
      </c>
      <c r="F6" s="198">
        <v>11163.332</v>
      </c>
      <c r="G6" s="199">
        <v>836.66799999999967</v>
      </c>
      <c r="H6" s="199">
        <v>687.875</v>
      </c>
      <c r="I6" s="10">
        <v>0</v>
      </c>
      <c r="J6" s="11">
        <v>0</v>
      </c>
      <c r="K6" s="11"/>
      <c r="L6" s="193">
        <v>0</v>
      </c>
      <c r="M6" s="193">
        <v>21120</v>
      </c>
      <c r="N6" s="193">
        <v>16335</v>
      </c>
      <c r="O6" s="193">
        <v>390716.62</v>
      </c>
      <c r="P6" s="193">
        <v>29283.38</v>
      </c>
      <c r="Q6" s="193">
        <v>82545</v>
      </c>
      <c r="R6" s="193">
        <v>0</v>
      </c>
      <c r="S6" s="193">
        <v>0</v>
      </c>
      <c r="T6" s="193">
        <v>540000</v>
      </c>
    </row>
    <row r="7" spans="1:20">
      <c r="A7" s="13">
        <v>3</v>
      </c>
      <c r="B7" s="204" t="s">
        <v>204</v>
      </c>
      <c r="C7" s="205"/>
      <c r="D7" s="198">
        <v>132</v>
      </c>
      <c r="E7" s="198">
        <v>159.495</v>
      </c>
      <c r="F7" s="198">
        <v>11135.837</v>
      </c>
      <c r="G7" s="199">
        <v>864.16300000000047</v>
      </c>
      <c r="H7" s="199">
        <v>708.505</v>
      </c>
      <c r="I7" s="10">
        <v>0</v>
      </c>
      <c r="J7" s="11">
        <v>0</v>
      </c>
      <c r="K7" s="11"/>
      <c r="L7" s="193">
        <v>0</v>
      </c>
      <c r="M7" s="193">
        <v>15840</v>
      </c>
      <c r="N7" s="193">
        <v>19139.400000000001</v>
      </c>
      <c r="O7" s="193">
        <v>389754.3</v>
      </c>
      <c r="P7" s="193">
        <v>30245.71</v>
      </c>
      <c r="Q7" s="193">
        <v>85020.6</v>
      </c>
      <c r="R7" s="193">
        <v>0</v>
      </c>
      <c r="S7" s="193">
        <v>0</v>
      </c>
      <c r="T7" s="193">
        <v>540000</v>
      </c>
    </row>
    <row r="8" spans="1:20">
      <c r="A8" s="13">
        <v>4</v>
      </c>
      <c r="B8" s="204" t="s">
        <v>205</v>
      </c>
      <c r="C8" s="205"/>
      <c r="D8" s="198">
        <v>176</v>
      </c>
      <c r="E8" s="198">
        <v>203.5</v>
      </c>
      <c r="F8" s="198">
        <v>11108.337</v>
      </c>
      <c r="G8" s="199">
        <v>891.66300000000047</v>
      </c>
      <c r="H8" s="199">
        <v>620.5</v>
      </c>
      <c r="I8" s="10">
        <v>0</v>
      </c>
      <c r="J8" s="11">
        <v>0</v>
      </c>
      <c r="K8" s="11"/>
      <c r="L8" s="193">
        <v>0</v>
      </c>
      <c r="M8" s="193">
        <v>21120</v>
      </c>
      <c r="N8" s="193">
        <v>24420</v>
      </c>
      <c r="O8" s="193">
        <v>388791.8</v>
      </c>
      <c r="P8" s="193">
        <v>31208.21</v>
      </c>
      <c r="Q8" s="193">
        <v>74460</v>
      </c>
      <c r="R8" s="193">
        <v>0</v>
      </c>
      <c r="S8" s="193">
        <v>0</v>
      </c>
      <c r="T8" s="193">
        <v>540000</v>
      </c>
    </row>
    <row r="9" spans="1:20">
      <c r="A9" s="13">
        <v>5</v>
      </c>
      <c r="B9" s="204" t="s">
        <v>206</v>
      </c>
      <c r="C9" s="205"/>
      <c r="D9" s="198">
        <v>132</v>
      </c>
      <c r="E9" s="198">
        <v>155.375</v>
      </c>
      <c r="F9" s="198">
        <v>11084.962</v>
      </c>
      <c r="G9" s="199">
        <v>915.03800000000047</v>
      </c>
      <c r="H9" s="199">
        <v>712.625</v>
      </c>
      <c r="I9" s="10">
        <v>0</v>
      </c>
      <c r="J9" s="11">
        <v>0</v>
      </c>
      <c r="K9" s="11"/>
      <c r="L9" s="193">
        <v>0</v>
      </c>
      <c r="M9" s="193">
        <v>15840</v>
      </c>
      <c r="N9" s="193">
        <v>18645</v>
      </c>
      <c r="O9" s="193">
        <v>387973.67</v>
      </c>
      <c r="P9" s="193">
        <v>32026.33</v>
      </c>
      <c r="Q9" s="193">
        <v>85515</v>
      </c>
      <c r="R9" s="193">
        <v>0</v>
      </c>
      <c r="S9" s="193">
        <v>0</v>
      </c>
      <c r="T9" s="193">
        <v>540000</v>
      </c>
    </row>
    <row r="10" spans="1:20">
      <c r="A10" s="13">
        <v>6</v>
      </c>
      <c r="B10" s="204" t="s">
        <v>207</v>
      </c>
      <c r="C10" s="205"/>
      <c r="D10" s="198">
        <v>176</v>
      </c>
      <c r="E10" s="198">
        <v>286</v>
      </c>
      <c r="F10" s="198">
        <v>10974.962</v>
      </c>
      <c r="G10" s="199">
        <v>1025.0380000000005</v>
      </c>
      <c r="H10" s="199">
        <v>538</v>
      </c>
      <c r="I10" s="10">
        <v>0</v>
      </c>
      <c r="J10" s="11">
        <v>0</v>
      </c>
      <c r="K10" s="11"/>
      <c r="L10" s="193">
        <v>0</v>
      </c>
      <c r="M10" s="193">
        <v>21120</v>
      </c>
      <c r="N10" s="193">
        <v>34320</v>
      </c>
      <c r="O10" s="193">
        <v>384123.67</v>
      </c>
      <c r="P10" s="193">
        <v>35876.33</v>
      </c>
      <c r="Q10" s="193">
        <v>64560</v>
      </c>
      <c r="R10" s="193">
        <v>0</v>
      </c>
      <c r="S10" s="193">
        <v>0</v>
      </c>
      <c r="T10" s="193">
        <v>540000</v>
      </c>
    </row>
    <row r="11" spans="1:20">
      <c r="A11" s="13">
        <v>7</v>
      </c>
      <c r="B11" s="204" t="s">
        <v>208</v>
      </c>
      <c r="C11" s="205"/>
      <c r="D11" s="198">
        <v>241.375</v>
      </c>
      <c r="E11" s="198">
        <v>291.5</v>
      </c>
      <c r="F11" s="198">
        <v>10924.837</v>
      </c>
      <c r="G11" s="199">
        <v>1075.1630000000005</v>
      </c>
      <c r="H11" s="199">
        <v>467.125</v>
      </c>
      <c r="I11" s="10">
        <v>0</v>
      </c>
      <c r="J11" s="11">
        <v>0</v>
      </c>
      <c r="K11" s="11"/>
      <c r="L11" s="193">
        <v>0</v>
      </c>
      <c r="M11" s="193">
        <v>28965</v>
      </c>
      <c r="N11" s="193">
        <v>34980</v>
      </c>
      <c r="O11" s="193">
        <v>382369.3</v>
      </c>
      <c r="P11" s="193">
        <v>37630.71</v>
      </c>
      <c r="Q11" s="193">
        <v>56055</v>
      </c>
      <c r="R11" s="193">
        <v>0</v>
      </c>
      <c r="S11" s="193">
        <v>0</v>
      </c>
      <c r="T11" s="193">
        <v>540000</v>
      </c>
    </row>
    <row r="12" spans="1:20">
      <c r="A12" s="13">
        <v>8</v>
      </c>
      <c r="B12" s="204" t="s">
        <v>209</v>
      </c>
      <c r="C12" s="205"/>
      <c r="D12" s="198">
        <v>195.5</v>
      </c>
      <c r="E12" s="198">
        <v>209</v>
      </c>
      <c r="F12" s="198">
        <v>10911.337</v>
      </c>
      <c r="G12" s="199">
        <v>1088.6630000000005</v>
      </c>
      <c r="H12" s="199">
        <v>595.5</v>
      </c>
      <c r="I12" s="10">
        <v>0</v>
      </c>
      <c r="J12" s="11">
        <v>0</v>
      </c>
      <c r="K12" s="11"/>
      <c r="L12" s="193">
        <v>0</v>
      </c>
      <c r="M12" s="193">
        <v>23460</v>
      </c>
      <c r="N12" s="193">
        <v>25080</v>
      </c>
      <c r="O12" s="193">
        <v>381896.8</v>
      </c>
      <c r="P12" s="193">
        <v>38103.21</v>
      </c>
      <c r="Q12" s="193">
        <v>71460</v>
      </c>
      <c r="R12" s="193">
        <v>0</v>
      </c>
      <c r="S12" s="193">
        <v>0</v>
      </c>
      <c r="T12" s="193">
        <v>540000</v>
      </c>
    </row>
    <row r="13" spans="1:20">
      <c r="A13" s="13">
        <v>9</v>
      </c>
      <c r="B13" s="204" t="s">
        <v>210</v>
      </c>
      <c r="C13" s="205"/>
      <c r="D13" s="198">
        <v>195.5</v>
      </c>
      <c r="E13" s="198">
        <v>279.125</v>
      </c>
      <c r="F13" s="198">
        <v>10827.712</v>
      </c>
      <c r="G13" s="199">
        <v>1172.2880000000005</v>
      </c>
      <c r="H13" s="199">
        <v>525.375</v>
      </c>
      <c r="I13" s="10">
        <v>0</v>
      </c>
      <c r="J13" s="11">
        <v>0</v>
      </c>
      <c r="K13" s="11"/>
      <c r="L13" s="193">
        <v>0</v>
      </c>
      <c r="M13" s="193">
        <v>23460</v>
      </c>
      <c r="N13" s="193">
        <v>33495</v>
      </c>
      <c r="O13" s="193">
        <v>378969.92</v>
      </c>
      <c r="P13" s="193">
        <v>41030.080000000002</v>
      </c>
      <c r="Q13" s="193">
        <v>63045</v>
      </c>
      <c r="R13" s="193">
        <v>0</v>
      </c>
      <c r="S13" s="193">
        <v>0</v>
      </c>
      <c r="T13" s="193">
        <v>540000</v>
      </c>
    </row>
    <row r="14" spans="1:20">
      <c r="A14" s="13">
        <v>10</v>
      </c>
      <c r="B14" s="204" t="s">
        <v>211</v>
      </c>
      <c r="C14" s="205"/>
      <c r="D14" s="198">
        <v>66</v>
      </c>
      <c r="E14" s="198">
        <v>398.75</v>
      </c>
      <c r="F14" s="198">
        <v>10494.962</v>
      </c>
      <c r="G14" s="199">
        <v>1505.0380000000005</v>
      </c>
      <c r="H14" s="199">
        <v>535.25</v>
      </c>
      <c r="I14" s="10">
        <v>0</v>
      </c>
      <c r="J14" s="11">
        <v>0</v>
      </c>
      <c r="K14" s="11"/>
      <c r="L14" s="193">
        <v>0</v>
      </c>
      <c r="M14" s="193">
        <v>7920</v>
      </c>
      <c r="N14" s="193">
        <v>47850</v>
      </c>
      <c r="O14" s="193">
        <v>367323.67</v>
      </c>
      <c r="P14" s="193">
        <v>52676.33</v>
      </c>
      <c r="Q14" s="193">
        <v>64230</v>
      </c>
      <c r="R14" s="193">
        <v>0</v>
      </c>
      <c r="S14" s="193">
        <v>0</v>
      </c>
      <c r="T14" s="193">
        <v>540000</v>
      </c>
    </row>
    <row r="15" spans="1:20">
      <c r="A15" s="13">
        <v>11</v>
      </c>
      <c r="B15" s="204" t="s">
        <v>212</v>
      </c>
      <c r="C15" s="205"/>
      <c r="D15" s="198">
        <v>215.625</v>
      </c>
      <c r="E15" s="198">
        <v>294.27499999999998</v>
      </c>
      <c r="F15" s="198">
        <v>10416.312</v>
      </c>
      <c r="G15" s="199">
        <v>1583.6880000000001</v>
      </c>
      <c r="H15" s="199">
        <v>490.1</v>
      </c>
      <c r="I15" s="10">
        <v>0</v>
      </c>
      <c r="J15" s="11">
        <v>0</v>
      </c>
      <c r="K15" s="11"/>
      <c r="L15" s="193">
        <v>0</v>
      </c>
      <c r="M15" s="193">
        <v>25875</v>
      </c>
      <c r="N15" s="193">
        <v>35313</v>
      </c>
      <c r="O15" s="193">
        <v>364570.92</v>
      </c>
      <c r="P15" s="193">
        <v>55429.08</v>
      </c>
      <c r="Q15" s="193">
        <v>58812</v>
      </c>
      <c r="R15" s="193">
        <v>0</v>
      </c>
      <c r="S15" s="193">
        <v>0</v>
      </c>
      <c r="T15" s="193">
        <v>540000</v>
      </c>
    </row>
    <row r="16" spans="1:20">
      <c r="A16" s="13">
        <v>12</v>
      </c>
      <c r="B16" s="204" t="s">
        <v>213</v>
      </c>
      <c r="C16" s="205"/>
      <c r="D16" s="198">
        <v>87.375</v>
      </c>
      <c r="E16" s="198">
        <v>132</v>
      </c>
      <c r="F16" s="198">
        <v>10371.687</v>
      </c>
      <c r="G16" s="199">
        <v>1628.3130000000001</v>
      </c>
      <c r="H16" s="199">
        <v>780.625</v>
      </c>
      <c r="I16" s="10">
        <v>0</v>
      </c>
      <c r="J16" s="11">
        <v>0</v>
      </c>
      <c r="K16" s="18"/>
      <c r="L16" s="193">
        <v>0</v>
      </c>
      <c r="M16" s="193">
        <v>10485</v>
      </c>
      <c r="N16" s="193">
        <v>15840</v>
      </c>
      <c r="O16" s="193">
        <v>363009.05</v>
      </c>
      <c r="P16" s="193">
        <v>56990.96</v>
      </c>
      <c r="Q16" s="193">
        <v>93675</v>
      </c>
      <c r="R16" s="193">
        <v>0</v>
      </c>
      <c r="S16" s="193">
        <v>0</v>
      </c>
      <c r="T16" s="193">
        <v>540000</v>
      </c>
    </row>
    <row r="17" spans="1:20">
      <c r="A17" s="13">
        <v>13</v>
      </c>
      <c r="B17" s="204" t="s">
        <v>214</v>
      </c>
      <c r="C17" s="205"/>
      <c r="D17" s="198">
        <v>110</v>
      </c>
      <c r="E17" s="198">
        <v>396</v>
      </c>
      <c r="F17" s="198">
        <v>10085.687</v>
      </c>
      <c r="G17" s="199">
        <v>1914.3130000000001</v>
      </c>
      <c r="H17" s="199">
        <v>494</v>
      </c>
      <c r="I17" s="10">
        <v>0</v>
      </c>
      <c r="J17" s="11">
        <v>0</v>
      </c>
      <c r="K17" s="11"/>
      <c r="L17" s="193">
        <v>0</v>
      </c>
      <c r="M17" s="193">
        <v>13200</v>
      </c>
      <c r="N17" s="193">
        <v>47520</v>
      </c>
      <c r="O17" s="193">
        <v>352999.05</v>
      </c>
      <c r="P17" s="193">
        <v>67000.960000000006</v>
      </c>
      <c r="Q17" s="193">
        <v>59280</v>
      </c>
      <c r="R17" s="193">
        <v>0</v>
      </c>
      <c r="S17" s="193">
        <v>0</v>
      </c>
      <c r="T17" s="193">
        <v>540000</v>
      </c>
    </row>
    <row r="18" spans="1:20">
      <c r="A18" s="13">
        <v>14</v>
      </c>
      <c r="B18" s="204" t="s">
        <v>215</v>
      </c>
      <c r="C18" s="205"/>
      <c r="D18" s="198">
        <v>66</v>
      </c>
      <c r="E18" s="198">
        <v>244.75</v>
      </c>
      <c r="F18" s="198">
        <v>9906.9369999999999</v>
      </c>
      <c r="G18" s="199">
        <v>2093.0630000000001</v>
      </c>
      <c r="H18" s="199">
        <v>689.25</v>
      </c>
      <c r="I18" s="10">
        <v>0</v>
      </c>
      <c r="J18" s="11">
        <v>0</v>
      </c>
      <c r="K18" s="11"/>
      <c r="L18" s="193">
        <v>0</v>
      </c>
      <c r="M18" s="193">
        <v>7920</v>
      </c>
      <c r="N18" s="193">
        <v>29370</v>
      </c>
      <c r="O18" s="193">
        <v>346742.8</v>
      </c>
      <c r="P18" s="193">
        <v>73257.210000000006</v>
      </c>
      <c r="Q18" s="193">
        <v>82710</v>
      </c>
      <c r="R18" s="193">
        <v>0</v>
      </c>
      <c r="S18" s="193">
        <v>0</v>
      </c>
      <c r="T18" s="193">
        <v>540000</v>
      </c>
    </row>
    <row r="19" spans="1:20">
      <c r="A19" s="13">
        <v>15</v>
      </c>
      <c r="B19" s="204" t="s">
        <v>216</v>
      </c>
      <c r="C19" s="205"/>
      <c r="D19" s="198">
        <v>44</v>
      </c>
      <c r="E19" s="198">
        <v>343.75</v>
      </c>
      <c r="F19" s="198">
        <v>9607.1869999999999</v>
      </c>
      <c r="G19" s="199">
        <v>2392.8130000000001</v>
      </c>
      <c r="H19" s="199">
        <v>612.25</v>
      </c>
      <c r="I19" s="10">
        <v>0</v>
      </c>
      <c r="J19" s="11">
        <v>0</v>
      </c>
      <c r="K19" s="11"/>
      <c r="L19" s="193">
        <v>0</v>
      </c>
      <c r="M19" s="193">
        <v>5280</v>
      </c>
      <c r="N19" s="193">
        <v>41250</v>
      </c>
      <c r="O19" s="193">
        <v>336251.55</v>
      </c>
      <c r="P19" s="193">
        <v>83748.460000000006</v>
      </c>
      <c r="Q19" s="193">
        <v>73470</v>
      </c>
      <c r="R19" s="193">
        <v>0</v>
      </c>
      <c r="S19" s="193">
        <v>0</v>
      </c>
      <c r="T19" s="193">
        <v>540000</v>
      </c>
    </row>
    <row r="20" spans="1:20">
      <c r="A20" s="13">
        <v>16</v>
      </c>
      <c r="B20" s="204" t="s">
        <v>217</v>
      </c>
      <c r="C20" s="205"/>
      <c r="D20" s="198">
        <v>0</v>
      </c>
      <c r="E20" s="198">
        <v>364.375</v>
      </c>
      <c r="F20" s="198">
        <v>9242.8119999999999</v>
      </c>
      <c r="G20" s="199">
        <v>2757.1880000000001</v>
      </c>
      <c r="H20" s="199">
        <v>635.625</v>
      </c>
      <c r="I20" s="10">
        <v>0</v>
      </c>
      <c r="J20" s="11">
        <v>0</v>
      </c>
      <c r="K20" s="11"/>
      <c r="L20" s="193">
        <v>0</v>
      </c>
      <c r="M20" s="193">
        <v>0</v>
      </c>
      <c r="N20" s="193">
        <v>43725</v>
      </c>
      <c r="O20" s="193">
        <v>323498.42</v>
      </c>
      <c r="P20" s="193">
        <v>96501.58</v>
      </c>
      <c r="Q20" s="193">
        <v>76275</v>
      </c>
      <c r="R20" s="193">
        <v>0</v>
      </c>
      <c r="S20" s="193">
        <v>0</v>
      </c>
      <c r="T20" s="193">
        <v>540000</v>
      </c>
    </row>
    <row r="21" spans="1:20">
      <c r="A21" s="13">
        <v>17</v>
      </c>
      <c r="B21" s="204" t="s">
        <v>218</v>
      </c>
      <c r="C21" s="205"/>
      <c r="D21" s="198">
        <v>176</v>
      </c>
      <c r="E21" s="198">
        <v>331.375</v>
      </c>
      <c r="F21" s="198">
        <v>9087.4369999999999</v>
      </c>
      <c r="G21" s="199">
        <v>2912.5630000000001</v>
      </c>
      <c r="H21" s="199">
        <v>492.625</v>
      </c>
      <c r="I21" s="10">
        <v>0</v>
      </c>
      <c r="J21" s="11">
        <v>0</v>
      </c>
      <c r="K21" s="11"/>
      <c r="L21" s="193">
        <v>0</v>
      </c>
      <c r="M21" s="193">
        <v>21120</v>
      </c>
      <c r="N21" s="193">
        <v>39765</v>
      </c>
      <c r="O21" s="193">
        <v>318060.3</v>
      </c>
      <c r="P21" s="193">
        <v>101939.71</v>
      </c>
      <c r="Q21" s="193">
        <v>59115</v>
      </c>
      <c r="R21" s="193">
        <v>0</v>
      </c>
      <c r="S21" s="193">
        <v>0</v>
      </c>
      <c r="T21" s="193">
        <v>540000</v>
      </c>
    </row>
    <row r="22" spans="1:20">
      <c r="A22" s="13">
        <v>18</v>
      </c>
      <c r="B22" s="204" t="s">
        <v>219</v>
      </c>
      <c r="C22" s="205"/>
      <c r="D22" s="198">
        <v>550</v>
      </c>
      <c r="E22" s="198">
        <v>572</v>
      </c>
      <c r="F22" s="198">
        <v>9065.4369999999999</v>
      </c>
      <c r="G22" s="199">
        <v>2934.5630000000001</v>
      </c>
      <c r="H22" s="199">
        <v>0</v>
      </c>
      <c r="I22" s="10">
        <v>0</v>
      </c>
      <c r="J22" s="11">
        <v>0</v>
      </c>
      <c r="K22" s="11"/>
      <c r="L22" s="193">
        <v>0</v>
      </c>
      <c r="M22" s="193">
        <v>66000</v>
      </c>
      <c r="N22" s="193">
        <v>68640</v>
      </c>
      <c r="O22" s="193">
        <v>317290.3</v>
      </c>
      <c r="P22" s="193">
        <v>102709.71</v>
      </c>
      <c r="Q22" s="193">
        <v>0</v>
      </c>
      <c r="R22" s="193">
        <v>0</v>
      </c>
      <c r="S22" s="193">
        <v>0</v>
      </c>
      <c r="T22" s="193">
        <v>554640</v>
      </c>
    </row>
    <row r="23" spans="1:20">
      <c r="A23" s="13">
        <v>19</v>
      </c>
      <c r="B23" s="204" t="s">
        <v>220</v>
      </c>
      <c r="C23" s="205"/>
      <c r="D23" s="198">
        <v>352</v>
      </c>
      <c r="E23" s="198">
        <v>589.875</v>
      </c>
      <c r="F23" s="198">
        <v>8827.5619999999999</v>
      </c>
      <c r="G23" s="199">
        <v>3172.4380000000001</v>
      </c>
      <c r="H23" s="199">
        <v>58.125</v>
      </c>
      <c r="I23" s="10">
        <v>0</v>
      </c>
      <c r="J23" s="11">
        <v>0</v>
      </c>
      <c r="K23" s="11"/>
      <c r="L23" s="193">
        <v>0</v>
      </c>
      <c r="M23" s="193">
        <v>42240</v>
      </c>
      <c r="N23" s="193">
        <v>70785</v>
      </c>
      <c r="O23" s="193">
        <v>308964.67</v>
      </c>
      <c r="P23" s="193">
        <v>111035.33</v>
      </c>
      <c r="Q23" s="193">
        <v>6975</v>
      </c>
      <c r="R23" s="193">
        <v>0</v>
      </c>
      <c r="S23" s="193">
        <v>0</v>
      </c>
      <c r="T23" s="193">
        <v>540000</v>
      </c>
    </row>
    <row r="24" spans="1:20">
      <c r="A24" s="13">
        <v>20</v>
      </c>
      <c r="B24" s="204" t="s">
        <v>221</v>
      </c>
      <c r="C24" s="205"/>
      <c r="D24" s="198">
        <v>328.125</v>
      </c>
      <c r="E24" s="198">
        <v>450.125</v>
      </c>
      <c r="F24" s="198">
        <v>8705.5619999999999</v>
      </c>
      <c r="G24" s="199">
        <v>3294.4380000000001</v>
      </c>
      <c r="H24" s="199">
        <v>221.75</v>
      </c>
      <c r="I24" s="10">
        <v>0</v>
      </c>
      <c r="J24" s="11">
        <v>0</v>
      </c>
      <c r="K24" s="11"/>
      <c r="L24" s="193">
        <v>0</v>
      </c>
      <c r="M24" s="193">
        <v>39375</v>
      </c>
      <c r="N24" s="193">
        <v>54015</v>
      </c>
      <c r="O24" s="193">
        <v>304694.67</v>
      </c>
      <c r="P24" s="193">
        <v>115305.33</v>
      </c>
      <c r="Q24" s="193">
        <v>26610</v>
      </c>
      <c r="R24" s="193">
        <v>0</v>
      </c>
      <c r="S24" s="193">
        <v>0</v>
      </c>
      <c r="T24" s="193">
        <v>540000</v>
      </c>
    </row>
    <row r="25" spans="1:20">
      <c r="A25" s="13">
        <v>21</v>
      </c>
      <c r="B25" s="204" t="s">
        <v>222</v>
      </c>
      <c r="C25" s="205"/>
      <c r="D25" s="198">
        <v>286</v>
      </c>
      <c r="E25" s="198">
        <v>176</v>
      </c>
      <c r="F25" s="198">
        <v>8815.5619999999999</v>
      </c>
      <c r="G25" s="199">
        <v>3184.4380000000001</v>
      </c>
      <c r="H25" s="199">
        <v>538</v>
      </c>
      <c r="I25" s="10">
        <v>0</v>
      </c>
      <c r="J25" s="11">
        <v>0</v>
      </c>
      <c r="K25" s="11"/>
      <c r="L25" s="193">
        <v>0</v>
      </c>
      <c r="M25" s="193">
        <v>34320</v>
      </c>
      <c r="N25" s="193">
        <v>21120</v>
      </c>
      <c r="O25" s="193">
        <v>308544.67</v>
      </c>
      <c r="P25" s="193">
        <v>111455.33</v>
      </c>
      <c r="Q25" s="193">
        <v>64560</v>
      </c>
      <c r="R25" s="193">
        <v>0</v>
      </c>
      <c r="S25" s="193">
        <v>0</v>
      </c>
      <c r="T25" s="193">
        <v>540000</v>
      </c>
    </row>
    <row r="26" spans="1:20">
      <c r="A26" s="13">
        <v>22</v>
      </c>
      <c r="B26" s="204" t="s">
        <v>223</v>
      </c>
      <c r="C26" s="205"/>
      <c r="D26" s="198">
        <v>88</v>
      </c>
      <c r="E26" s="198">
        <v>357.5</v>
      </c>
      <c r="F26" s="198">
        <v>8546.0619999999999</v>
      </c>
      <c r="G26" s="199">
        <v>3453.9380000000001</v>
      </c>
      <c r="H26" s="199">
        <v>554.5</v>
      </c>
      <c r="I26" s="10">
        <v>0</v>
      </c>
      <c r="J26" s="11">
        <v>0</v>
      </c>
      <c r="K26" s="11"/>
      <c r="L26" s="193">
        <v>0</v>
      </c>
      <c r="M26" s="193">
        <v>10560</v>
      </c>
      <c r="N26" s="193">
        <v>42900</v>
      </c>
      <c r="O26" s="193">
        <v>299112.17</v>
      </c>
      <c r="P26" s="193">
        <v>120887.83</v>
      </c>
      <c r="Q26" s="193">
        <v>66540</v>
      </c>
      <c r="R26" s="193">
        <v>0</v>
      </c>
      <c r="S26" s="193">
        <v>0</v>
      </c>
      <c r="T26" s="193">
        <v>540000</v>
      </c>
    </row>
    <row r="27" spans="1:20">
      <c r="A27" s="13">
        <v>23</v>
      </c>
      <c r="B27" s="204" t="s">
        <v>224</v>
      </c>
      <c r="C27" s="205"/>
      <c r="D27" s="198">
        <v>87.375</v>
      </c>
      <c r="E27" s="198">
        <v>189.75</v>
      </c>
      <c r="F27" s="198">
        <v>8443.6869999999999</v>
      </c>
      <c r="G27" s="199">
        <v>3556.3130000000001</v>
      </c>
      <c r="H27" s="199">
        <v>722.875</v>
      </c>
      <c r="I27" s="10">
        <v>0</v>
      </c>
      <c r="J27" s="11">
        <v>0</v>
      </c>
      <c r="K27" s="11"/>
      <c r="L27" s="193">
        <v>0</v>
      </c>
      <c r="M27" s="193">
        <v>10485</v>
      </c>
      <c r="N27" s="193">
        <v>22770</v>
      </c>
      <c r="O27" s="193">
        <v>295529.05</v>
      </c>
      <c r="P27" s="193">
        <v>124470.96</v>
      </c>
      <c r="Q27" s="193">
        <v>86745</v>
      </c>
      <c r="R27" s="193">
        <v>0</v>
      </c>
      <c r="S27" s="193">
        <v>0</v>
      </c>
      <c r="T27" s="193">
        <v>540000</v>
      </c>
    </row>
    <row r="28" spans="1:20">
      <c r="A28" s="13">
        <v>24</v>
      </c>
      <c r="B28" s="204" t="s">
        <v>225</v>
      </c>
      <c r="C28" s="205"/>
      <c r="D28" s="198">
        <v>88</v>
      </c>
      <c r="E28" s="198">
        <v>264</v>
      </c>
      <c r="F28" s="198">
        <v>8267.6869999999999</v>
      </c>
      <c r="G28" s="199">
        <v>3732.3130000000001</v>
      </c>
      <c r="H28" s="199">
        <v>648</v>
      </c>
      <c r="I28" s="10">
        <v>0</v>
      </c>
      <c r="J28" s="11">
        <v>0</v>
      </c>
      <c r="K28" s="11"/>
      <c r="L28" s="193">
        <v>0</v>
      </c>
      <c r="M28" s="193">
        <v>10560</v>
      </c>
      <c r="N28" s="193">
        <v>31680</v>
      </c>
      <c r="O28" s="193">
        <v>289369.05</v>
      </c>
      <c r="P28" s="193">
        <v>130630.96</v>
      </c>
      <c r="Q28" s="193">
        <v>77760</v>
      </c>
      <c r="R28" s="193">
        <v>0</v>
      </c>
      <c r="S28" s="193">
        <v>0</v>
      </c>
      <c r="T28" s="193">
        <v>540000</v>
      </c>
    </row>
    <row r="29" spans="1:20">
      <c r="A29" s="13">
        <v>25</v>
      </c>
      <c r="B29" s="204" t="s">
        <v>226</v>
      </c>
      <c r="C29" s="205"/>
      <c r="D29" s="198">
        <v>197.375</v>
      </c>
      <c r="E29" s="198">
        <v>215.875</v>
      </c>
      <c r="F29" s="198">
        <v>8249.1869999999999</v>
      </c>
      <c r="G29" s="199">
        <v>3750.8130000000001</v>
      </c>
      <c r="H29" s="199">
        <v>586.75</v>
      </c>
      <c r="I29" s="10">
        <v>0</v>
      </c>
      <c r="J29" s="11">
        <v>0</v>
      </c>
      <c r="K29" s="11"/>
      <c r="L29" s="193">
        <v>0</v>
      </c>
      <c r="M29" s="193">
        <v>23685</v>
      </c>
      <c r="N29" s="193">
        <v>25905</v>
      </c>
      <c r="O29" s="193">
        <v>288721.55</v>
      </c>
      <c r="P29" s="193">
        <v>131278.46</v>
      </c>
      <c r="Q29" s="193">
        <v>70410</v>
      </c>
      <c r="R29" s="193">
        <v>0</v>
      </c>
      <c r="S29" s="193">
        <v>0</v>
      </c>
      <c r="T29" s="193">
        <v>540000</v>
      </c>
    </row>
    <row r="30" spans="1:20">
      <c r="A30" s="13">
        <v>26</v>
      </c>
      <c r="B30" s="204" t="s">
        <v>227</v>
      </c>
      <c r="C30" s="205"/>
      <c r="D30" s="198">
        <v>329.375</v>
      </c>
      <c r="E30" s="198">
        <v>222.75</v>
      </c>
      <c r="F30" s="198">
        <v>8355.8119999999999</v>
      </c>
      <c r="G30" s="199">
        <v>3644.1880000000001</v>
      </c>
      <c r="H30" s="199">
        <v>447.875</v>
      </c>
      <c r="I30" s="10">
        <v>0</v>
      </c>
      <c r="J30" s="11">
        <v>0</v>
      </c>
      <c r="K30" s="11"/>
      <c r="L30" s="193">
        <v>0</v>
      </c>
      <c r="M30" s="193">
        <v>39525</v>
      </c>
      <c r="N30" s="193">
        <v>26730</v>
      </c>
      <c r="O30" s="193">
        <v>292453.42</v>
      </c>
      <c r="P30" s="193">
        <v>127546.58</v>
      </c>
      <c r="Q30" s="193">
        <v>53745</v>
      </c>
      <c r="R30" s="193">
        <v>0</v>
      </c>
      <c r="S30" s="193">
        <v>0</v>
      </c>
      <c r="T30" s="193">
        <v>540000</v>
      </c>
    </row>
    <row r="31" spans="1:20">
      <c r="A31" s="13">
        <v>27</v>
      </c>
      <c r="B31" s="204" t="s">
        <v>228</v>
      </c>
      <c r="C31" s="205"/>
      <c r="D31" s="198">
        <v>264</v>
      </c>
      <c r="E31" s="198">
        <v>308</v>
      </c>
      <c r="F31" s="198">
        <v>8311.8119999999999</v>
      </c>
      <c r="G31" s="199">
        <v>3688.1880000000001</v>
      </c>
      <c r="H31" s="199">
        <v>428</v>
      </c>
      <c r="I31" s="10">
        <v>0</v>
      </c>
      <c r="J31" s="11">
        <v>0</v>
      </c>
      <c r="K31" s="11"/>
      <c r="L31" s="193">
        <v>0</v>
      </c>
      <c r="M31" s="193">
        <v>31680</v>
      </c>
      <c r="N31" s="193">
        <v>36960</v>
      </c>
      <c r="O31" s="193">
        <v>290913.42</v>
      </c>
      <c r="P31" s="193">
        <v>129086.58</v>
      </c>
      <c r="Q31" s="193">
        <v>51360</v>
      </c>
      <c r="R31" s="193">
        <v>0</v>
      </c>
      <c r="S31" s="193">
        <v>0</v>
      </c>
      <c r="T31" s="193">
        <v>540000</v>
      </c>
    </row>
    <row r="32" spans="1:20">
      <c r="A32" s="13">
        <v>28</v>
      </c>
      <c r="B32" s="204" t="s">
        <v>229</v>
      </c>
      <c r="C32" s="205"/>
      <c r="D32" s="198">
        <v>308</v>
      </c>
      <c r="E32" s="198">
        <v>44</v>
      </c>
      <c r="F32" s="198">
        <v>8575.8119999999999</v>
      </c>
      <c r="G32" s="199">
        <v>3424.1880000000001</v>
      </c>
      <c r="H32" s="199">
        <v>648</v>
      </c>
      <c r="I32" s="10">
        <v>0</v>
      </c>
      <c r="J32" s="11">
        <v>0</v>
      </c>
      <c r="K32" s="11"/>
      <c r="L32" s="193">
        <v>0</v>
      </c>
      <c r="M32" s="193">
        <v>36960</v>
      </c>
      <c r="N32" s="193">
        <v>5280</v>
      </c>
      <c r="O32" s="193">
        <v>300153.42</v>
      </c>
      <c r="P32" s="193">
        <v>119846.58</v>
      </c>
      <c r="Q32" s="193">
        <v>77760</v>
      </c>
      <c r="R32" s="193">
        <v>0</v>
      </c>
      <c r="S32" s="193">
        <v>0</v>
      </c>
      <c r="T32" s="193">
        <v>540000</v>
      </c>
    </row>
    <row r="33" spans="1:20">
      <c r="A33" s="13">
        <v>29</v>
      </c>
      <c r="B33" s="204" t="s">
        <v>230</v>
      </c>
      <c r="C33" s="205"/>
      <c r="D33" s="198">
        <v>256.5</v>
      </c>
      <c r="E33" s="198">
        <v>132</v>
      </c>
      <c r="F33" s="198">
        <v>8700.3119999999999</v>
      </c>
      <c r="G33" s="199">
        <v>3299.6880000000001</v>
      </c>
      <c r="H33" s="199">
        <v>611.5</v>
      </c>
      <c r="I33" s="10">
        <v>0</v>
      </c>
      <c r="J33" s="11">
        <v>0</v>
      </c>
      <c r="K33" s="11"/>
      <c r="L33" s="193">
        <v>0</v>
      </c>
      <c r="M33" s="193">
        <v>30780</v>
      </c>
      <c r="N33" s="193">
        <v>15840</v>
      </c>
      <c r="O33" s="193">
        <v>304510.92</v>
      </c>
      <c r="P33" s="193">
        <v>115489.08</v>
      </c>
      <c r="Q33" s="193">
        <v>73380</v>
      </c>
      <c r="R33" s="193">
        <v>0</v>
      </c>
      <c r="S33" s="193">
        <v>0</v>
      </c>
      <c r="T33" s="193">
        <v>540000</v>
      </c>
    </row>
    <row r="34" spans="1:20">
      <c r="A34" s="13">
        <v>30</v>
      </c>
      <c r="B34" s="204" t="s">
        <v>231</v>
      </c>
      <c r="C34" s="205"/>
      <c r="D34" s="198">
        <v>524.25</v>
      </c>
      <c r="E34" s="198">
        <v>132</v>
      </c>
      <c r="F34" s="198">
        <v>9092.5619999999999</v>
      </c>
      <c r="G34" s="199">
        <v>2907.4380000000001</v>
      </c>
      <c r="H34" s="199">
        <v>343.75</v>
      </c>
      <c r="I34" s="10">
        <v>0</v>
      </c>
      <c r="J34" s="11">
        <v>0</v>
      </c>
      <c r="K34" s="11"/>
      <c r="L34" s="193">
        <v>0</v>
      </c>
      <c r="M34" s="193">
        <v>62910</v>
      </c>
      <c r="N34" s="193">
        <v>15840</v>
      </c>
      <c r="O34" s="193">
        <v>318239.67</v>
      </c>
      <c r="P34" s="193">
        <v>101760.33</v>
      </c>
      <c r="Q34" s="193">
        <v>41250</v>
      </c>
      <c r="R34" s="193">
        <v>0</v>
      </c>
      <c r="S34" s="193">
        <v>0</v>
      </c>
      <c r="T34" s="193">
        <v>540000</v>
      </c>
    </row>
    <row r="35" spans="1:20">
      <c r="A35" s="13">
        <v>31</v>
      </c>
      <c r="B35" s="204" t="s">
        <v>232</v>
      </c>
      <c r="C35" s="205"/>
      <c r="D35" s="198">
        <v>374</v>
      </c>
      <c r="E35" s="198">
        <v>0</v>
      </c>
      <c r="F35" s="198">
        <v>9466.5619999999999</v>
      </c>
      <c r="G35" s="199">
        <v>2533.4380000000001</v>
      </c>
      <c r="H35" s="199">
        <v>626</v>
      </c>
      <c r="I35" s="10">
        <v>0</v>
      </c>
      <c r="J35" s="11">
        <v>0</v>
      </c>
      <c r="K35" s="11"/>
      <c r="L35" s="193">
        <v>0</v>
      </c>
      <c r="M35" s="193">
        <v>44880</v>
      </c>
      <c r="N35" s="193">
        <v>0</v>
      </c>
      <c r="O35" s="193">
        <v>331329.67</v>
      </c>
      <c r="P35" s="193">
        <v>88670.33</v>
      </c>
      <c r="Q35" s="193">
        <v>75120</v>
      </c>
      <c r="R35" s="193">
        <v>0</v>
      </c>
      <c r="S35" s="193">
        <v>0</v>
      </c>
      <c r="T35" s="193">
        <v>540000</v>
      </c>
    </row>
    <row r="36" spans="1:20">
      <c r="D36" s="19">
        <v>6508.375</v>
      </c>
      <c r="E36" s="19">
        <v>8231.27</v>
      </c>
      <c r="F36" s="19">
        <v>299891.41199999995</v>
      </c>
      <c r="G36" s="19">
        <v>72108.588000000018</v>
      </c>
      <c r="H36" s="19">
        <v>16382.355</v>
      </c>
      <c r="I36" s="19">
        <v>0</v>
      </c>
      <c r="J36" s="20">
        <v>0</v>
      </c>
      <c r="K36" s="20">
        <v>0</v>
      </c>
      <c r="L36" s="194">
        <v>0</v>
      </c>
      <c r="M36" s="194">
        <v>781005</v>
      </c>
      <c r="N36" s="194">
        <v>987752.4</v>
      </c>
      <c r="O36" s="194">
        <v>10496199.42</v>
      </c>
      <c r="P36" s="194">
        <v>2523800.58</v>
      </c>
      <c r="Q36" s="194">
        <v>1965882.6</v>
      </c>
      <c r="R36" s="194">
        <v>0</v>
      </c>
      <c r="S36" s="194">
        <v>0</v>
      </c>
      <c r="T36" s="194">
        <v>16754640</v>
      </c>
    </row>
    <row r="37" spans="1:20">
      <c r="R37" s="22"/>
      <c r="S37" s="22"/>
      <c r="T37" s="195">
        <v>20105568</v>
      </c>
    </row>
  </sheetData>
  <mergeCells count="50">
    <mergeCell ref="B8:C8"/>
    <mergeCell ref="B9:C9"/>
    <mergeCell ref="B10:C10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  <mergeCell ref="B7:C7"/>
    <mergeCell ref="L3:L4"/>
    <mergeCell ref="M3:M4"/>
    <mergeCell ref="N3:N4"/>
    <mergeCell ref="O3:O4"/>
    <mergeCell ref="R3:R4"/>
    <mergeCell ref="S3:S4"/>
    <mergeCell ref="T3:T4"/>
    <mergeCell ref="B5:C5"/>
    <mergeCell ref="B6:C6"/>
    <mergeCell ref="P3:P4"/>
    <mergeCell ref="Q3:Q4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13:C13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</mergeCells>
  <pageMargins left="0.7" right="0.7" top="0.75" bottom="0.75" header="0.3" footer="0.3"/>
  <pageSetup paperSize="9" fitToHeight="5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2B90B-F535-45E6-83E5-CE75CBDED854}">
  <sheetPr codeName="Лист43">
    <pageSetUpPr fitToPage="1"/>
  </sheetPr>
  <dimension ref="A1:T37"/>
  <sheetViews>
    <sheetView workbookViewId="0">
      <selection activeCell="G5" sqref="G5:H35"/>
    </sheetView>
  </sheetViews>
  <sheetFormatPr defaultRowHeight="15"/>
  <cols>
    <col min="1" max="3" width="8.796875" style="2"/>
    <col min="4" max="5" width="6.59765625" style="2" bestFit="1" customWidth="1"/>
    <col min="6" max="6" width="8.69921875" style="2" customWidth="1"/>
    <col min="7" max="7" width="7.3984375" style="2" bestFit="1" customWidth="1"/>
    <col min="8" max="8" width="6.69921875" style="2" bestFit="1" customWidth="1"/>
    <col min="9" max="9" width="7.3984375" style="2" bestFit="1" customWidth="1"/>
    <col min="10" max="12" width="8.796875" style="2"/>
    <col min="13" max="13" width="9.19921875" style="2" customWidth="1"/>
    <col min="14" max="14" width="9.5" style="2" customWidth="1"/>
    <col min="15" max="15" width="10.19921875" style="2" customWidth="1"/>
    <col min="16" max="16" width="11.09765625" style="2" customWidth="1"/>
    <col min="17" max="17" width="10.5" style="2" customWidth="1"/>
    <col min="18" max="18" width="9.296875" style="2" customWidth="1"/>
    <col min="19" max="19" width="8.19921875" style="2" customWidth="1"/>
    <col min="20" max="20" width="17" style="2" customWidth="1"/>
    <col min="21" max="16384" width="8.796875" style="2"/>
  </cols>
  <sheetData>
    <row r="1" spans="1:20">
      <c r="I1" s="3"/>
    </row>
    <row r="2" spans="1:20" ht="28.9" customHeight="1">
      <c r="A2" s="209" t="s">
        <v>253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</row>
    <row r="3" spans="1:20" ht="28.9" customHeight="1">
      <c r="A3" s="206" t="s">
        <v>0</v>
      </c>
      <c r="B3" s="210" t="s">
        <v>1</v>
      </c>
      <c r="C3" s="211"/>
      <c r="D3" s="206" t="s">
        <v>2</v>
      </c>
      <c r="E3" s="206" t="s">
        <v>3</v>
      </c>
      <c r="F3" s="4" t="s">
        <v>4</v>
      </c>
      <c r="G3" s="206" t="s">
        <v>251</v>
      </c>
      <c r="H3" s="206" t="s">
        <v>252</v>
      </c>
      <c r="I3" s="206" t="s">
        <v>7</v>
      </c>
      <c r="J3" s="206" t="s">
        <v>8</v>
      </c>
      <c r="K3" s="206" t="s">
        <v>9</v>
      </c>
      <c r="L3" s="206" t="s">
        <v>10</v>
      </c>
      <c r="M3" s="206" t="s">
        <v>11</v>
      </c>
      <c r="N3" s="206" t="s">
        <v>12</v>
      </c>
      <c r="O3" s="206" t="s">
        <v>13</v>
      </c>
      <c r="P3" s="206" t="s">
        <v>14</v>
      </c>
      <c r="Q3" s="206" t="s">
        <v>15</v>
      </c>
      <c r="R3" s="206" t="s">
        <v>16</v>
      </c>
      <c r="S3" s="206" t="s">
        <v>17</v>
      </c>
      <c r="T3" s="206" t="s">
        <v>18</v>
      </c>
    </row>
    <row r="4" spans="1:20">
      <c r="A4" s="207"/>
      <c r="B4" s="212"/>
      <c r="C4" s="213"/>
      <c r="D4" s="207"/>
      <c r="E4" s="207"/>
      <c r="F4" s="5"/>
      <c r="G4" s="207"/>
      <c r="H4" s="207"/>
      <c r="I4" s="207"/>
      <c r="J4" s="207"/>
      <c r="K4" s="208"/>
      <c r="L4" s="208"/>
      <c r="M4" s="207"/>
      <c r="N4" s="207"/>
      <c r="O4" s="207"/>
      <c r="P4" s="207"/>
      <c r="Q4" s="207"/>
      <c r="R4" s="207"/>
      <c r="S4" s="207"/>
      <c r="T4" s="207"/>
    </row>
    <row r="5" spans="1:20">
      <c r="A5" s="13">
        <v>1</v>
      </c>
      <c r="B5" s="204" t="s">
        <v>202</v>
      </c>
      <c r="C5" s="205"/>
      <c r="D5" s="198">
        <v>0</v>
      </c>
      <c r="E5" s="198">
        <v>0</v>
      </c>
      <c r="F5" s="198">
        <v>10.5</v>
      </c>
      <c r="G5" s="199">
        <v>0</v>
      </c>
      <c r="H5" s="199">
        <v>0</v>
      </c>
      <c r="I5" s="10">
        <v>0</v>
      </c>
      <c r="J5" s="11">
        <v>0</v>
      </c>
      <c r="K5" s="11"/>
      <c r="L5" s="193">
        <v>0</v>
      </c>
      <c r="M5" s="193">
        <v>0</v>
      </c>
      <c r="N5" s="193">
        <v>0</v>
      </c>
      <c r="O5" s="193">
        <v>367.5</v>
      </c>
      <c r="P5" s="193">
        <v>0</v>
      </c>
      <c r="Q5" s="193">
        <v>0</v>
      </c>
      <c r="R5" s="193">
        <v>0</v>
      </c>
      <c r="S5" s="193">
        <v>0</v>
      </c>
      <c r="T5" s="193">
        <v>367.5</v>
      </c>
    </row>
    <row r="6" spans="1:20">
      <c r="A6" s="13">
        <v>2</v>
      </c>
      <c r="B6" s="204" t="s">
        <v>203</v>
      </c>
      <c r="C6" s="205"/>
      <c r="D6" s="198">
        <v>0</v>
      </c>
      <c r="E6" s="198">
        <v>0</v>
      </c>
      <c r="F6" s="198">
        <v>10.5</v>
      </c>
      <c r="G6" s="199">
        <v>0</v>
      </c>
      <c r="H6" s="199">
        <v>0</v>
      </c>
      <c r="I6" s="10">
        <v>0</v>
      </c>
      <c r="J6" s="11">
        <v>0</v>
      </c>
      <c r="K6" s="11"/>
      <c r="L6" s="193">
        <v>0</v>
      </c>
      <c r="M6" s="193">
        <v>0</v>
      </c>
      <c r="N6" s="193">
        <v>0</v>
      </c>
      <c r="O6" s="193">
        <v>367.5</v>
      </c>
      <c r="P6" s="193">
        <v>0</v>
      </c>
      <c r="Q6" s="193">
        <v>0</v>
      </c>
      <c r="R6" s="193">
        <v>0</v>
      </c>
      <c r="S6" s="193">
        <v>0</v>
      </c>
      <c r="T6" s="193">
        <v>367.5</v>
      </c>
    </row>
    <row r="7" spans="1:20">
      <c r="A7" s="13">
        <v>3</v>
      </c>
      <c r="B7" s="204" t="s">
        <v>204</v>
      </c>
      <c r="C7" s="205"/>
      <c r="D7" s="198">
        <v>0</v>
      </c>
      <c r="E7" s="198">
        <v>0</v>
      </c>
      <c r="F7" s="198">
        <v>10.5</v>
      </c>
      <c r="G7" s="199">
        <v>0</v>
      </c>
      <c r="H7" s="199">
        <v>0</v>
      </c>
      <c r="I7" s="10">
        <v>0</v>
      </c>
      <c r="J7" s="11">
        <v>0</v>
      </c>
      <c r="K7" s="11"/>
      <c r="L7" s="193">
        <v>0</v>
      </c>
      <c r="M7" s="193">
        <v>0</v>
      </c>
      <c r="N7" s="193">
        <v>0</v>
      </c>
      <c r="O7" s="193">
        <v>367.5</v>
      </c>
      <c r="P7" s="193">
        <v>0</v>
      </c>
      <c r="Q7" s="193">
        <v>0</v>
      </c>
      <c r="R7" s="193">
        <v>0</v>
      </c>
      <c r="S7" s="193">
        <v>0</v>
      </c>
      <c r="T7" s="193">
        <v>367.5</v>
      </c>
    </row>
    <row r="8" spans="1:20">
      <c r="A8" s="13">
        <v>4</v>
      </c>
      <c r="B8" s="204" t="s">
        <v>205</v>
      </c>
      <c r="C8" s="205"/>
      <c r="D8" s="198">
        <v>0</v>
      </c>
      <c r="E8" s="198">
        <v>0</v>
      </c>
      <c r="F8" s="198">
        <v>10.5</v>
      </c>
      <c r="G8" s="199">
        <v>0</v>
      </c>
      <c r="H8" s="199">
        <v>0</v>
      </c>
      <c r="I8" s="10">
        <v>0</v>
      </c>
      <c r="J8" s="11">
        <v>0</v>
      </c>
      <c r="K8" s="11"/>
      <c r="L8" s="193">
        <v>0</v>
      </c>
      <c r="M8" s="193">
        <v>0</v>
      </c>
      <c r="N8" s="193">
        <v>0</v>
      </c>
      <c r="O8" s="193">
        <v>367.5</v>
      </c>
      <c r="P8" s="193">
        <v>0</v>
      </c>
      <c r="Q8" s="193">
        <v>0</v>
      </c>
      <c r="R8" s="193">
        <v>0</v>
      </c>
      <c r="S8" s="193">
        <v>0</v>
      </c>
      <c r="T8" s="193">
        <v>367.5</v>
      </c>
    </row>
    <row r="9" spans="1:20">
      <c r="A9" s="13">
        <v>5</v>
      </c>
      <c r="B9" s="204" t="s">
        <v>206</v>
      </c>
      <c r="C9" s="205"/>
      <c r="D9" s="198">
        <v>0</v>
      </c>
      <c r="E9" s="198">
        <v>0</v>
      </c>
      <c r="F9" s="198">
        <v>10.5</v>
      </c>
      <c r="G9" s="199">
        <v>0</v>
      </c>
      <c r="H9" s="199">
        <v>0</v>
      </c>
      <c r="I9" s="10">
        <v>0</v>
      </c>
      <c r="J9" s="11">
        <v>0</v>
      </c>
      <c r="K9" s="11"/>
      <c r="L9" s="193">
        <v>0</v>
      </c>
      <c r="M9" s="193">
        <v>0</v>
      </c>
      <c r="N9" s="193">
        <v>0</v>
      </c>
      <c r="O9" s="193">
        <v>367.5</v>
      </c>
      <c r="P9" s="193">
        <v>0</v>
      </c>
      <c r="Q9" s="193">
        <v>0</v>
      </c>
      <c r="R9" s="193">
        <v>0</v>
      </c>
      <c r="S9" s="193">
        <v>0</v>
      </c>
      <c r="T9" s="193">
        <v>367.5</v>
      </c>
    </row>
    <row r="10" spans="1:20">
      <c r="A10" s="13">
        <v>6</v>
      </c>
      <c r="B10" s="204" t="s">
        <v>207</v>
      </c>
      <c r="C10" s="205"/>
      <c r="D10" s="198">
        <v>0</v>
      </c>
      <c r="E10" s="198">
        <v>0</v>
      </c>
      <c r="F10" s="198">
        <v>10.5</v>
      </c>
      <c r="G10" s="199">
        <v>0</v>
      </c>
      <c r="H10" s="199">
        <v>0</v>
      </c>
      <c r="I10" s="10">
        <v>0</v>
      </c>
      <c r="J10" s="11">
        <v>0</v>
      </c>
      <c r="K10" s="11"/>
      <c r="L10" s="193">
        <v>0</v>
      </c>
      <c r="M10" s="193">
        <v>0</v>
      </c>
      <c r="N10" s="193">
        <v>0</v>
      </c>
      <c r="O10" s="193">
        <v>367.5</v>
      </c>
      <c r="P10" s="193">
        <v>0</v>
      </c>
      <c r="Q10" s="193">
        <v>0</v>
      </c>
      <c r="R10" s="193">
        <v>0</v>
      </c>
      <c r="S10" s="193">
        <v>0</v>
      </c>
      <c r="T10" s="193">
        <v>367.5</v>
      </c>
    </row>
    <row r="11" spans="1:20">
      <c r="A11" s="13">
        <v>7</v>
      </c>
      <c r="B11" s="204" t="s">
        <v>208</v>
      </c>
      <c r="C11" s="205"/>
      <c r="D11" s="198">
        <v>0</v>
      </c>
      <c r="E11" s="198">
        <v>0</v>
      </c>
      <c r="F11" s="198">
        <v>10.5</v>
      </c>
      <c r="G11" s="199">
        <v>0</v>
      </c>
      <c r="H11" s="199">
        <v>0</v>
      </c>
      <c r="I11" s="10">
        <v>0</v>
      </c>
      <c r="J11" s="11">
        <v>0</v>
      </c>
      <c r="K11" s="11"/>
      <c r="L11" s="193">
        <v>0</v>
      </c>
      <c r="M11" s="193">
        <v>0</v>
      </c>
      <c r="N11" s="193">
        <v>0</v>
      </c>
      <c r="O11" s="193">
        <v>367.5</v>
      </c>
      <c r="P11" s="193">
        <v>0</v>
      </c>
      <c r="Q11" s="193">
        <v>0</v>
      </c>
      <c r="R11" s="193">
        <v>0</v>
      </c>
      <c r="S11" s="193">
        <v>0</v>
      </c>
      <c r="T11" s="193">
        <v>367.5</v>
      </c>
    </row>
    <row r="12" spans="1:20">
      <c r="A12" s="13">
        <v>8</v>
      </c>
      <c r="B12" s="204" t="s">
        <v>209</v>
      </c>
      <c r="C12" s="205"/>
      <c r="D12" s="198">
        <v>0</v>
      </c>
      <c r="E12" s="198">
        <v>0</v>
      </c>
      <c r="F12" s="198">
        <v>10.5</v>
      </c>
      <c r="G12" s="199">
        <v>0</v>
      </c>
      <c r="H12" s="199">
        <v>0</v>
      </c>
      <c r="I12" s="10">
        <v>0</v>
      </c>
      <c r="J12" s="11">
        <v>0</v>
      </c>
      <c r="K12" s="11"/>
      <c r="L12" s="193">
        <v>0</v>
      </c>
      <c r="M12" s="193">
        <v>0</v>
      </c>
      <c r="N12" s="193">
        <v>0</v>
      </c>
      <c r="O12" s="193">
        <v>367.5</v>
      </c>
      <c r="P12" s="193">
        <v>0</v>
      </c>
      <c r="Q12" s="193">
        <v>0</v>
      </c>
      <c r="R12" s="193">
        <v>0</v>
      </c>
      <c r="S12" s="193">
        <v>0</v>
      </c>
      <c r="T12" s="193">
        <v>367.5</v>
      </c>
    </row>
    <row r="13" spans="1:20">
      <c r="A13" s="13">
        <v>9</v>
      </c>
      <c r="B13" s="204" t="s">
        <v>210</v>
      </c>
      <c r="C13" s="205"/>
      <c r="D13" s="198">
        <v>0</v>
      </c>
      <c r="E13" s="198">
        <v>0</v>
      </c>
      <c r="F13" s="198">
        <v>10.5</v>
      </c>
      <c r="G13" s="199">
        <v>0</v>
      </c>
      <c r="H13" s="199">
        <v>0</v>
      </c>
      <c r="I13" s="10">
        <v>0</v>
      </c>
      <c r="J13" s="11">
        <v>0</v>
      </c>
      <c r="K13" s="11"/>
      <c r="L13" s="193">
        <v>0</v>
      </c>
      <c r="M13" s="193">
        <v>0</v>
      </c>
      <c r="N13" s="193">
        <v>0</v>
      </c>
      <c r="O13" s="193">
        <v>367.5</v>
      </c>
      <c r="P13" s="193">
        <v>0</v>
      </c>
      <c r="Q13" s="193">
        <v>0</v>
      </c>
      <c r="R13" s="193">
        <v>0</v>
      </c>
      <c r="S13" s="193">
        <v>0</v>
      </c>
      <c r="T13" s="193">
        <v>367.5</v>
      </c>
    </row>
    <row r="14" spans="1:20">
      <c r="A14" s="13">
        <v>10</v>
      </c>
      <c r="B14" s="204" t="s">
        <v>211</v>
      </c>
      <c r="C14" s="205"/>
      <c r="D14" s="198">
        <v>0</v>
      </c>
      <c r="E14" s="198">
        <v>0</v>
      </c>
      <c r="F14" s="198">
        <v>10.5</v>
      </c>
      <c r="G14" s="199">
        <v>0</v>
      </c>
      <c r="H14" s="199">
        <v>0</v>
      </c>
      <c r="I14" s="10">
        <v>0</v>
      </c>
      <c r="J14" s="11">
        <v>0</v>
      </c>
      <c r="K14" s="11"/>
      <c r="L14" s="193">
        <v>0</v>
      </c>
      <c r="M14" s="193">
        <v>0</v>
      </c>
      <c r="N14" s="193">
        <v>0</v>
      </c>
      <c r="O14" s="193">
        <v>367.5</v>
      </c>
      <c r="P14" s="193">
        <v>0</v>
      </c>
      <c r="Q14" s="193">
        <v>0</v>
      </c>
      <c r="R14" s="193">
        <v>0</v>
      </c>
      <c r="S14" s="193">
        <v>0</v>
      </c>
      <c r="T14" s="193">
        <v>367.5</v>
      </c>
    </row>
    <row r="15" spans="1:20">
      <c r="A15" s="13">
        <v>11</v>
      </c>
      <c r="B15" s="204" t="s">
        <v>212</v>
      </c>
      <c r="C15" s="205"/>
      <c r="D15" s="198">
        <v>0</v>
      </c>
      <c r="E15" s="198">
        <v>0</v>
      </c>
      <c r="F15" s="198">
        <v>10.5</v>
      </c>
      <c r="G15" s="199">
        <v>0</v>
      </c>
      <c r="H15" s="199">
        <v>0</v>
      </c>
      <c r="I15" s="10">
        <v>0</v>
      </c>
      <c r="J15" s="11">
        <v>0</v>
      </c>
      <c r="K15" s="11"/>
      <c r="L15" s="193">
        <v>0</v>
      </c>
      <c r="M15" s="193">
        <v>0</v>
      </c>
      <c r="N15" s="193">
        <v>0</v>
      </c>
      <c r="O15" s="193">
        <v>367.5</v>
      </c>
      <c r="P15" s="193">
        <v>0</v>
      </c>
      <c r="Q15" s="193">
        <v>0</v>
      </c>
      <c r="R15" s="193">
        <v>0</v>
      </c>
      <c r="S15" s="193">
        <v>0</v>
      </c>
      <c r="T15" s="193">
        <v>367.5</v>
      </c>
    </row>
    <row r="16" spans="1:20">
      <c r="A16" s="13">
        <v>12</v>
      </c>
      <c r="B16" s="204" t="s">
        <v>213</v>
      </c>
      <c r="C16" s="205"/>
      <c r="D16" s="198">
        <v>0</v>
      </c>
      <c r="E16" s="198">
        <v>0</v>
      </c>
      <c r="F16" s="198">
        <v>10.5</v>
      </c>
      <c r="G16" s="199">
        <v>0</v>
      </c>
      <c r="H16" s="199">
        <v>0</v>
      </c>
      <c r="I16" s="10">
        <v>0</v>
      </c>
      <c r="J16" s="11">
        <v>0</v>
      </c>
      <c r="K16" s="18"/>
      <c r="L16" s="193">
        <v>0</v>
      </c>
      <c r="M16" s="193">
        <v>0</v>
      </c>
      <c r="N16" s="193">
        <v>0</v>
      </c>
      <c r="O16" s="193">
        <v>367.5</v>
      </c>
      <c r="P16" s="193">
        <v>0</v>
      </c>
      <c r="Q16" s="193">
        <v>0</v>
      </c>
      <c r="R16" s="193">
        <v>0</v>
      </c>
      <c r="S16" s="193">
        <v>0</v>
      </c>
      <c r="T16" s="193">
        <v>367.5</v>
      </c>
    </row>
    <row r="17" spans="1:20">
      <c r="A17" s="13">
        <v>13</v>
      </c>
      <c r="B17" s="204" t="s">
        <v>214</v>
      </c>
      <c r="C17" s="205"/>
      <c r="D17" s="198">
        <v>0</v>
      </c>
      <c r="E17" s="198">
        <v>0</v>
      </c>
      <c r="F17" s="198">
        <v>10.5</v>
      </c>
      <c r="G17" s="199">
        <v>0</v>
      </c>
      <c r="H17" s="199">
        <v>0</v>
      </c>
      <c r="I17" s="10">
        <v>0</v>
      </c>
      <c r="J17" s="11">
        <v>0</v>
      </c>
      <c r="K17" s="11"/>
      <c r="L17" s="193">
        <v>0</v>
      </c>
      <c r="M17" s="193">
        <v>0</v>
      </c>
      <c r="N17" s="193">
        <v>0</v>
      </c>
      <c r="O17" s="193">
        <v>367.5</v>
      </c>
      <c r="P17" s="193">
        <v>0</v>
      </c>
      <c r="Q17" s="193">
        <v>0</v>
      </c>
      <c r="R17" s="193">
        <v>0</v>
      </c>
      <c r="S17" s="193">
        <v>0</v>
      </c>
      <c r="T17" s="193">
        <v>367.5</v>
      </c>
    </row>
    <row r="18" spans="1:20">
      <c r="A18" s="13">
        <v>14</v>
      </c>
      <c r="B18" s="204" t="s">
        <v>215</v>
      </c>
      <c r="C18" s="205"/>
      <c r="D18" s="198">
        <v>0</v>
      </c>
      <c r="E18" s="198">
        <v>0</v>
      </c>
      <c r="F18" s="198">
        <v>10.5</v>
      </c>
      <c r="G18" s="199">
        <v>0</v>
      </c>
      <c r="H18" s="199">
        <v>0</v>
      </c>
      <c r="I18" s="10">
        <v>0</v>
      </c>
      <c r="J18" s="11">
        <v>0</v>
      </c>
      <c r="K18" s="11"/>
      <c r="L18" s="193">
        <v>0</v>
      </c>
      <c r="M18" s="193">
        <v>0</v>
      </c>
      <c r="N18" s="193">
        <v>0</v>
      </c>
      <c r="O18" s="193">
        <v>367.5</v>
      </c>
      <c r="P18" s="193">
        <v>0</v>
      </c>
      <c r="Q18" s="193">
        <v>0</v>
      </c>
      <c r="R18" s="193">
        <v>0</v>
      </c>
      <c r="S18" s="193">
        <v>0</v>
      </c>
      <c r="T18" s="193">
        <v>367.5</v>
      </c>
    </row>
    <row r="19" spans="1:20">
      <c r="A19" s="13">
        <v>15</v>
      </c>
      <c r="B19" s="204" t="s">
        <v>216</v>
      </c>
      <c r="C19" s="205"/>
      <c r="D19" s="198">
        <v>0</v>
      </c>
      <c r="E19" s="198">
        <v>0</v>
      </c>
      <c r="F19" s="198">
        <v>10.5</v>
      </c>
      <c r="G19" s="199">
        <v>0</v>
      </c>
      <c r="H19" s="199">
        <v>0</v>
      </c>
      <c r="I19" s="10">
        <v>0</v>
      </c>
      <c r="J19" s="11">
        <v>0</v>
      </c>
      <c r="K19" s="11"/>
      <c r="L19" s="193">
        <v>0</v>
      </c>
      <c r="M19" s="193">
        <v>0</v>
      </c>
      <c r="N19" s="193">
        <v>0</v>
      </c>
      <c r="O19" s="193">
        <v>367.5</v>
      </c>
      <c r="P19" s="193">
        <v>0</v>
      </c>
      <c r="Q19" s="193">
        <v>0</v>
      </c>
      <c r="R19" s="193">
        <v>0</v>
      </c>
      <c r="S19" s="193">
        <v>0</v>
      </c>
      <c r="T19" s="193">
        <v>367.5</v>
      </c>
    </row>
    <row r="20" spans="1:20">
      <c r="A20" s="13">
        <v>16</v>
      </c>
      <c r="B20" s="204" t="s">
        <v>217</v>
      </c>
      <c r="C20" s="205"/>
      <c r="D20" s="198">
        <v>0</v>
      </c>
      <c r="E20" s="198">
        <v>0</v>
      </c>
      <c r="F20" s="198">
        <v>10.5</v>
      </c>
      <c r="G20" s="199">
        <v>0</v>
      </c>
      <c r="H20" s="199">
        <v>0</v>
      </c>
      <c r="I20" s="10">
        <v>0</v>
      </c>
      <c r="J20" s="11">
        <v>0</v>
      </c>
      <c r="K20" s="11"/>
      <c r="L20" s="193">
        <v>0</v>
      </c>
      <c r="M20" s="193">
        <v>0</v>
      </c>
      <c r="N20" s="193">
        <v>0</v>
      </c>
      <c r="O20" s="193">
        <v>367.5</v>
      </c>
      <c r="P20" s="193">
        <v>0</v>
      </c>
      <c r="Q20" s="193">
        <v>0</v>
      </c>
      <c r="R20" s="193">
        <v>0</v>
      </c>
      <c r="S20" s="193">
        <v>0</v>
      </c>
      <c r="T20" s="193">
        <v>367.5</v>
      </c>
    </row>
    <row r="21" spans="1:20">
      <c r="A21" s="13">
        <v>17</v>
      </c>
      <c r="B21" s="204" t="s">
        <v>218</v>
      </c>
      <c r="C21" s="205"/>
      <c r="D21" s="198">
        <v>0</v>
      </c>
      <c r="E21" s="198">
        <v>0</v>
      </c>
      <c r="F21" s="198">
        <v>10.5</v>
      </c>
      <c r="G21" s="199">
        <v>0</v>
      </c>
      <c r="H21" s="199">
        <v>0</v>
      </c>
      <c r="I21" s="10">
        <v>0</v>
      </c>
      <c r="J21" s="11">
        <v>0</v>
      </c>
      <c r="K21" s="11"/>
      <c r="L21" s="193">
        <v>0</v>
      </c>
      <c r="M21" s="193">
        <v>0</v>
      </c>
      <c r="N21" s="193">
        <v>0</v>
      </c>
      <c r="O21" s="193">
        <v>367.5</v>
      </c>
      <c r="P21" s="193">
        <v>0</v>
      </c>
      <c r="Q21" s="193">
        <v>0</v>
      </c>
      <c r="R21" s="193">
        <v>0</v>
      </c>
      <c r="S21" s="193">
        <v>0</v>
      </c>
      <c r="T21" s="193">
        <v>367.5</v>
      </c>
    </row>
    <row r="22" spans="1:20">
      <c r="A22" s="13">
        <v>18</v>
      </c>
      <c r="B22" s="204" t="s">
        <v>219</v>
      </c>
      <c r="C22" s="205"/>
      <c r="D22" s="198">
        <v>0</v>
      </c>
      <c r="E22" s="198">
        <v>0</v>
      </c>
      <c r="F22" s="198">
        <v>10.5</v>
      </c>
      <c r="G22" s="199">
        <v>0</v>
      </c>
      <c r="H22" s="199">
        <v>0</v>
      </c>
      <c r="I22" s="10">
        <v>0</v>
      </c>
      <c r="J22" s="11">
        <v>0</v>
      </c>
      <c r="K22" s="11"/>
      <c r="L22" s="193">
        <v>0</v>
      </c>
      <c r="M22" s="193">
        <v>0</v>
      </c>
      <c r="N22" s="193">
        <v>0</v>
      </c>
      <c r="O22" s="193">
        <v>367.5</v>
      </c>
      <c r="P22" s="193">
        <v>0</v>
      </c>
      <c r="Q22" s="193">
        <v>0</v>
      </c>
      <c r="R22" s="193">
        <v>0</v>
      </c>
      <c r="S22" s="193">
        <v>0</v>
      </c>
      <c r="T22" s="193">
        <v>367.5</v>
      </c>
    </row>
    <row r="23" spans="1:20">
      <c r="A23" s="13">
        <v>19</v>
      </c>
      <c r="B23" s="204" t="s">
        <v>220</v>
      </c>
      <c r="C23" s="205"/>
      <c r="D23" s="198">
        <v>0</v>
      </c>
      <c r="E23" s="198">
        <v>0</v>
      </c>
      <c r="F23" s="198">
        <v>10.5</v>
      </c>
      <c r="G23" s="199">
        <v>0</v>
      </c>
      <c r="H23" s="199">
        <v>0</v>
      </c>
      <c r="I23" s="10">
        <v>0</v>
      </c>
      <c r="J23" s="11">
        <v>0</v>
      </c>
      <c r="K23" s="11"/>
      <c r="L23" s="193">
        <v>0</v>
      </c>
      <c r="M23" s="193">
        <v>0</v>
      </c>
      <c r="N23" s="193">
        <v>0</v>
      </c>
      <c r="O23" s="193">
        <v>367.5</v>
      </c>
      <c r="P23" s="193">
        <v>0</v>
      </c>
      <c r="Q23" s="193">
        <v>0</v>
      </c>
      <c r="R23" s="193">
        <v>0</v>
      </c>
      <c r="S23" s="193">
        <v>0</v>
      </c>
      <c r="T23" s="193">
        <v>367.5</v>
      </c>
    </row>
    <row r="24" spans="1:20">
      <c r="A24" s="13">
        <v>20</v>
      </c>
      <c r="B24" s="204" t="s">
        <v>221</v>
      </c>
      <c r="C24" s="205"/>
      <c r="D24" s="198">
        <v>0</v>
      </c>
      <c r="E24" s="198">
        <v>0</v>
      </c>
      <c r="F24" s="198">
        <v>10.5</v>
      </c>
      <c r="G24" s="199">
        <v>0</v>
      </c>
      <c r="H24" s="199">
        <v>0</v>
      </c>
      <c r="I24" s="10">
        <v>0</v>
      </c>
      <c r="J24" s="11">
        <v>0</v>
      </c>
      <c r="K24" s="11"/>
      <c r="L24" s="193">
        <v>0</v>
      </c>
      <c r="M24" s="193">
        <v>0</v>
      </c>
      <c r="N24" s="193">
        <v>0</v>
      </c>
      <c r="O24" s="193">
        <v>367.5</v>
      </c>
      <c r="P24" s="193">
        <v>0</v>
      </c>
      <c r="Q24" s="193">
        <v>0</v>
      </c>
      <c r="R24" s="193">
        <v>0</v>
      </c>
      <c r="S24" s="193">
        <v>0</v>
      </c>
      <c r="T24" s="193">
        <v>367.5</v>
      </c>
    </row>
    <row r="25" spans="1:20">
      <c r="A25" s="13">
        <v>21</v>
      </c>
      <c r="B25" s="204" t="s">
        <v>222</v>
      </c>
      <c r="C25" s="205"/>
      <c r="D25" s="198">
        <v>0</v>
      </c>
      <c r="E25" s="198">
        <v>0</v>
      </c>
      <c r="F25" s="198">
        <v>10.5</v>
      </c>
      <c r="G25" s="199">
        <v>0</v>
      </c>
      <c r="H25" s="199">
        <v>0</v>
      </c>
      <c r="I25" s="10">
        <v>0</v>
      </c>
      <c r="J25" s="11">
        <v>0</v>
      </c>
      <c r="K25" s="11"/>
      <c r="L25" s="193">
        <v>0</v>
      </c>
      <c r="M25" s="193">
        <v>0</v>
      </c>
      <c r="N25" s="193">
        <v>0</v>
      </c>
      <c r="O25" s="193">
        <v>367.5</v>
      </c>
      <c r="P25" s="193">
        <v>0</v>
      </c>
      <c r="Q25" s="193">
        <v>0</v>
      </c>
      <c r="R25" s="193">
        <v>0</v>
      </c>
      <c r="S25" s="193">
        <v>0</v>
      </c>
      <c r="T25" s="193">
        <v>367.5</v>
      </c>
    </row>
    <row r="26" spans="1:20">
      <c r="A26" s="13">
        <v>22</v>
      </c>
      <c r="B26" s="204" t="s">
        <v>223</v>
      </c>
      <c r="C26" s="205"/>
      <c r="D26" s="198">
        <v>0</v>
      </c>
      <c r="E26" s="198">
        <v>0</v>
      </c>
      <c r="F26" s="198">
        <v>10.5</v>
      </c>
      <c r="G26" s="199">
        <v>0</v>
      </c>
      <c r="H26" s="199">
        <v>0</v>
      </c>
      <c r="I26" s="10">
        <v>0</v>
      </c>
      <c r="J26" s="11">
        <v>0</v>
      </c>
      <c r="K26" s="11"/>
      <c r="L26" s="193">
        <v>0</v>
      </c>
      <c r="M26" s="193">
        <v>0</v>
      </c>
      <c r="N26" s="193">
        <v>0</v>
      </c>
      <c r="O26" s="193">
        <v>367.5</v>
      </c>
      <c r="P26" s="193">
        <v>0</v>
      </c>
      <c r="Q26" s="193">
        <v>0</v>
      </c>
      <c r="R26" s="193">
        <v>0</v>
      </c>
      <c r="S26" s="193">
        <v>0</v>
      </c>
      <c r="T26" s="193">
        <v>367.5</v>
      </c>
    </row>
    <row r="27" spans="1:20">
      <c r="A27" s="13">
        <v>23</v>
      </c>
      <c r="B27" s="204" t="s">
        <v>224</v>
      </c>
      <c r="C27" s="205"/>
      <c r="D27" s="198">
        <v>0</v>
      </c>
      <c r="E27" s="198">
        <v>0</v>
      </c>
      <c r="F27" s="198">
        <v>10.5</v>
      </c>
      <c r="G27" s="199">
        <v>0</v>
      </c>
      <c r="H27" s="199">
        <v>0</v>
      </c>
      <c r="I27" s="10">
        <v>0</v>
      </c>
      <c r="J27" s="11">
        <v>0</v>
      </c>
      <c r="K27" s="11"/>
      <c r="L27" s="193">
        <v>0</v>
      </c>
      <c r="M27" s="193">
        <v>0</v>
      </c>
      <c r="N27" s="193">
        <v>0</v>
      </c>
      <c r="O27" s="193">
        <v>367.5</v>
      </c>
      <c r="P27" s="193">
        <v>0</v>
      </c>
      <c r="Q27" s="193">
        <v>0</v>
      </c>
      <c r="R27" s="193">
        <v>0</v>
      </c>
      <c r="S27" s="193">
        <v>0</v>
      </c>
      <c r="T27" s="193">
        <v>367.5</v>
      </c>
    </row>
    <row r="28" spans="1:20">
      <c r="A28" s="13">
        <v>24</v>
      </c>
      <c r="B28" s="204" t="s">
        <v>225</v>
      </c>
      <c r="C28" s="205"/>
      <c r="D28" s="198">
        <v>0</v>
      </c>
      <c r="E28" s="198">
        <v>0</v>
      </c>
      <c r="F28" s="198">
        <v>10.5</v>
      </c>
      <c r="G28" s="199">
        <v>0</v>
      </c>
      <c r="H28" s="199">
        <v>0</v>
      </c>
      <c r="I28" s="10">
        <v>0</v>
      </c>
      <c r="J28" s="11">
        <v>0</v>
      </c>
      <c r="K28" s="11"/>
      <c r="L28" s="193">
        <v>0</v>
      </c>
      <c r="M28" s="193">
        <v>0</v>
      </c>
      <c r="N28" s="193">
        <v>0</v>
      </c>
      <c r="O28" s="193">
        <v>367.5</v>
      </c>
      <c r="P28" s="193">
        <v>0</v>
      </c>
      <c r="Q28" s="193">
        <v>0</v>
      </c>
      <c r="R28" s="193">
        <v>0</v>
      </c>
      <c r="S28" s="193">
        <v>0</v>
      </c>
      <c r="T28" s="193">
        <v>367.5</v>
      </c>
    </row>
    <row r="29" spans="1:20">
      <c r="A29" s="13">
        <v>25</v>
      </c>
      <c r="B29" s="204" t="s">
        <v>226</v>
      </c>
      <c r="C29" s="205"/>
      <c r="D29" s="198">
        <v>0</v>
      </c>
      <c r="E29" s="198">
        <v>0</v>
      </c>
      <c r="F29" s="198">
        <v>10.5</v>
      </c>
      <c r="G29" s="199">
        <v>0</v>
      </c>
      <c r="H29" s="199">
        <v>0</v>
      </c>
      <c r="I29" s="10">
        <v>0</v>
      </c>
      <c r="J29" s="11">
        <v>0</v>
      </c>
      <c r="K29" s="11"/>
      <c r="L29" s="193">
        <v>0</v>
      </c>
      <c r="M29" s="193">
        <v>0</v>
      </c>
      <c r="N29" s="193">
        <v>0</v>
      </c>
      <c r="O29" s="193">
        <v>367.5</v>
      </c>
      <c r="P29" s="193">
        <v>0</v>
      </c>
      <c r="Q29" s="193">
        <v>0</v>
      </c>
      <c r="R29" s="193">
        <v>0</v>
      </c>
      <c r="S29" s="193">
        <v>0</v>
      </c>
      <c r="T29" s="193">
        <v>367.5</v>
      </c>
    </row>
    <row r="30" spans="1:20">
      <c r="A30" s="13">
        <v>26</v>
      </c>
      <c r="B30" s="204" t="s">
        <v>227</v>
      </c>
      <c r="C30" s="205"/>
      <c r="D30" s="198">
        <v>0</v>
      </c>
      <c r="E30" s="198">
        <v>0</v>
      </c>
      <c r="F30" s="198">
        <v>10.5</v>
      </c>
      <c r="G30" s="199">
        <v>0</v>
      </c>
      <c r="H30" s="199">
        <v>0</v>
      </c>
      <c r="I30" s="10">
        <v>0</v>
      </c>
      <c r="J30" s="11">
        <v>0</v>
      </c>
      <c r="K30" s="11"/>
      <c r="L30" s="193">
        <v>0</v>
      </c>
      <c r="M30" s="193">
        <v>0</v>
      </c>
      <c r="N30" s="193">
        <v>0</v>
      </c>
      <c r="O30" s="193">
        <v>367.5</v>
      </c>
      <c r="P30" s="193">
        <v>0</v>
      </c>
      <c r="Q30" s="193">
        <v>0</v>
      </c>
      <c r="R30" s="193">
        <v>0</v>
      </c>
      <c r="S30" s="193">
        <v>0</v>
      </c>
      <c r="T30" s="193">
        <v>367.5</v>
      </c>
    </row>
    <row r="31" spans="1:20">
      <c r="A31" s="13">
        <v>27</v>
      </c>
      <c r="B31" s="204" t="s">
        <v>228</v>
      </c>
      <c r="C31" s="205"/>
      <c r="D31" s="198">
        <v>0</v>
      </c>
      <c r="E31" s="198">
        <v>0</v>
      </c>
      <c r="F31" s="198">
        <v>10.5</v>
      </c>
      <c r="G31" s="199">
        <v>0</v>
      </c>
      <c r="H31" s="199">
        <v>0</v>
      </c>
      <c r="I31" s="10">
        <v>0</v>
      </c>
      <c r="J31" s="11">
        <v>0</v>
      </c>
      <c r="K31" s="11"/>
      <c r="L31" s="193">
        <v>0</v>
      </c>
      <c r="M31" s="193">
        <v>0</v>
      </c>
      <c r="N31" s="193">
        <v>0</v>
      </c>
      <c r="O31" s="193">
        <v>367.5</v>
      </c>
      <c r="P31" s="193">
        <v>0</v>
      </c>
      <c r="Q31" s="193">
        <v>0</v>
      </c>
      <c r="R31" s="193">
        <v>0</v>
      </c>
      <c r="S31" s="193">
        <v>0</v>
      </c>
      <c r="T31" s="193">
        <v>367.5</v>
      </c>
    </row>
    <row r="32" spans="1:20">
      <c r="A32" s="13">
        <v>28</v>
      </c>
      <c r="B32" s="204" t="s">
        <v>229</v>
      </c>
      <c r="C32" s="205"/>
      <c r="D32" s="198">
        <v>0</v>
      </c>
      <c r="E32" s="198">
        <v>0</v>
      </c>
      <c r="F32" s="198">
        <v>10.5</v>
      </c>
      <c r="G32" s="199">
        <v>0</v>
      </c>
      <c r="H32" s="199">
        <v>0</v>
      </c>
      <c r="I32" s="10">
        <v>0</v>
      </c>
      <c r="J32" s="11">
        <v>0</v>
      </c>
      <c r="K32" s="11"/>
      <c r="L32" s="193">
        <v>0</v>
      </c>
      <c r="M32" s="193">
        <v>0</v>
      </c>
      <c r="N32" s="193">
        <v>0</v>
      </c>
      <c r="O32" s="193">
        <v>367.5</v>
      </c>
      <c r="P32" s="193">
        <v>0</v>
      </c>
      <c r="Q32" s="193">
        <v>0</v>
      </c>
      <c r="R32" s="193">
        <v>0</v>
      </c>
      <c r="S32" s="193">
        <v>0</v>
      </c>
      <c r="T32" s="193">
        <v>367.5</v>
      </c>
    </row>
    <row r="33" spans="1:20">
      <c r="A33" s="13">
        <v>29</v>
      </c>
      <c r="B33" s="204" t="s">
        <v>230</v>
      </c>
      <c r="C33" s="205"/>
      <c r="D33" s="198">
        <v>0</v>
      </c>
      <c r="E33" s="198">
        <v>0</v>
      </c>
      <c r="F33" s="198">
        <v>10.5</v>
      </c>
      <c r="G33" s="199">
        <v>0</v>
      </c>
      <c r="H33" s="199">
        <v>0</v>
      </c>
      <c r="I33" s="10">
        <v>0</v>
      </c>
      <c r="J33" s="11">
        <v>0</v>
      </c>
      <c r="K33" s="11"/>
      <c r="L33" s="193">
        <v>0</v>
      </c>
      <c r="M33" s="193">
        <v>0</v>
      </c>
      <c r="N33" s="193">
        <v>0</v>
      </c>
      <c r="O33" s="193">
        <v>367.5</v>
      </c>
      <c r="P33" s="193">
        <v>0</v>
      </c>
      <c r="Q33" s="193">
        <v>0</v>
      </c>
      <c r="R33" s="193">
        <v>0</v>
      </c>
      <c r="S33" s="193">
        <v>0</v>
      </c>
      <c r="T33" s="193">
        <v>367.5</v>
      </c>
    </row>
    <row r="34" spans="1:20">
      <c r="A34" s="13">
        <v>30</v>
      </c>
      <c r="B34" s="204" t="s">
        <v>231</v>
      </c>
      <c r="C34" s="205"/>
      <c r="D34" s="198">
        <v>0</v>
      </c>
      <c r="E34" s="198">
        <v>0</v>
      </c>
      <c r="F34" s="198">
        <v>10.5</v>
      </c>
      <c r="G34" s="199">
        <v>0</v>
      </c>
      <c r="H34" s="199">
        <v>0</v>
      </c>
      <c r="I34" s="10">
        <v>0</v>
      </c>
      <c r="J34" s="11">
        <v>0</v>
      </c>
      <c r="K34" s="11"/>
      <c r="L34" s="193">
        <v>0</v>
      </c>
      <c r="M34" s="193">
        <v>0</v>
      </c>
      <c r="N34" s="193">
        <v>0</v>
      </c>
      <c r="O34" s="193">
        <v>367.5</v>
      </c>
      <c r="P34" s="193">
        <v>0</v>
      </c>
      <c r="Q34" s="193">
        <v>0</v>
      </c>
      <c r="R34" s="193">
        <v>0</v>
      </c>
      <c r="S34" s="193">
        <v>0</v>
      </c>
      <c r="T34" s="193">
        <v>367.5</v>
      </c>
    </row>
    <row r="35" spans="1:20">
      <c r="A35" s="13">
        <v>31</v>
      </c>
      <c r="B35" s="204" t="s">
        <v>232</v>
      </c>
      <c r="C35" s="205"/>
      <c r="D35" s="198">
        <v>0</v>
      </c>
      <c r="E35" s="198">
        <v>0</v>
      </c>
      <c r="F35" s="198">
        <v>10.5</v>
      </c>
      <c r="G35" s="199">
        <v>0</v>
      </c>
      <c r="H35" s="199">
        <v>0</v>
      </c>
      <c r="I35" s="10">
        <v>0</v>
      </c>
      <c r="J35" s="11">
        <v>0</v>
      </c>
      <c r="K35" s="11"/>
      <c r="L35" s="193">
        <v>0</v>
      </c>
      <c r="M35" s="193">
        <v>0</v>
      </c>
      <c r="N35" s="193">
        <v>0</v>
      </c>
      <c r="O35" s="193">
        <v>367.5</v>
      </c>
      <c r="P35" s="193">
        <v>0</v>
      </c>
      <c r="Q35" s="193">
        <v>0</v>
      </c>
      <c r="R35" s="193">
        <v>0</v>
      </c>
      <c r="S35" s="193">
        <v>0</v>
      </c>
      <c r="T35" s="193">
        <v>367.5</v>
      </c>
    </row>
    <row r="36" spans="1:20">
      <c r="D36" s="19">
        <v>0</v>
      </c>
      <c r="E36" s="19">
        <v>0</v>
      </c>
      <c r="F36" s="19">
        <v>325.5</v>
      </c>
      <c r="G36" s="19">
        <v>0</v>
      </c>
      <c r="H36" s="19">
        <v>0</v>
      </c>
      <c r="I36" s="19">
        <v>0</v>
      </c>
      <c r="J36" s="20">
        <v>0</v>
      </c>
      <c r="K36" s="20">
        <v>0</v>
      </c>
      <c r="L36" s="194">
        <v>0</v>
      </c>
      <c r="M36" s="194">
        <v>0</v>
      </c>
      <c r="N36" s="194">
        <v>0</v>
      </c>
      <c r="O36" s="194">
        <v>11392.5</v>
      </c>
      <c r="P36" s="194">
        <v>0</v>
      </c>
      <c r="Q36" s="194">
        <v>0</v>
      </c>
      <c r="R36" s="194">
        <v>0</v>
      </c>
      <c r="S36" s="194">
        <v>0</v>
      </c>
      <c r="T36" s="194">
        <v>11392.5</v>
      </c>
    </row>
    <row r="37" spans="1:20">
      <c r="R37" s="22"/>
      <c r="S37" s="22"/>
      <c r="T37" s="195">
        <v>13671</v>
      </c>
    </row>
  </sheetData>
  <mergeCells count="50">
    <mergeCell ref="B8:C8"/>
    <mergeCell ref="B9:C9"/>
    <mergeCell ref="B10:C10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  <mergeCell ref="B7:C7"/>
    <mergeCell ref="L3:L4"/>
    <mergeCell ref="M3:M4"/>
    <mergeCell ref="N3:N4"/>
    <mergeCell ref="O3:O4"/>
    <mergeCell ref="R3:R4"/>
    <mergeCell ref="S3:S4"/>
    <mergeCell ref="T3:T4"/>
    <mergeCell ref="B5:C5"/>
    <mergeCell ref="B6:C6"/>
    <mergeCell ref="P3:P4"/>
    <mergeCell ref="Q3:Q4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13:C13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</mergeCells>
  <pageMargins left="0.7" right="0.7" top="0.75" bottom="0.75" header="0.3" footer="0.3"/>
  <pageSetup paperSize="9" fitToHeight="5" orientation="landscape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A816E-FF86-4A02-AB53-1B4AE4EB4AC2}">
  <sheetPr codeName="Лист45">
    <pageSetUpPr fitToPage="1"/>
  </sheetPr>
  <dimension ref="A1:T37"/>
  <sheetViews>
    <sheetView workbookViewId="0">
      <selection activeCell="L5" sqref="L5:L35"/>
    </sheetView>
  </sheetViews>
  <sheetFormatPr defaultRowHeight="15"/>
  <cols>
    <col min="1" max="3" width="8.796875" style="2"/>
    <col min="4" max="5" width="6.59765625" style="2" bestFit="1" customWidth="1"/>
    <col min="6" max="6" width="8.69921875" style="2" customWidth="1"/>
    <col min="7" max="7" width="7.3984375" style="2" bestFit="1" customWidth="1"/>
    <col min="8" max="8" width="6.69921875" style="2" bestFit="1" customWidth="1"/>
    <col min="9" max="9" width="7.3984375" style="2" bestFit="1" customWidth="1"/>
    <col min="10" max="12" width="8.796875" style="2"/>
    <col min="13" max="13" width="9.19921875" style="2" customWidth="1"/>
    <col min="14" max="14" width="9.5" style="2" customWidth="1"/>
    <col min="15" max="15" width="11.296875" style="2" customWidth="1"/>
    <col min="16" max="16" width="11.09765625" style="2" customWidth="1"/>
    <col min="17" max="17" width="10.5" style="2" customWidth="1"/>
    <col min="18" max="18" width="9.296875" style="2" customWidth="1"/>
    <col min="19" max="19" width="8.19921875" style="2" customWidth="1"/>
    <col min="20" max="20" width="17" style="2" customWidth="1"/>
    <col min="21" max="16384" width="8.796875" style="2"/>
  </cols>
  <sheetData>
    <row r="1" spans="1:20">
      <c r="I1" s="3"/>
    </row>
    <row r="2" spans="1:20" ht="28.9" customHeight="1">
      <c r="A2" s="209" t="s">
        <v>254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</row>
    <row r="3" spans="1:20" ht="28.9" customHeight="1">
      <c r="A3" s="206" t="s">
        <v>0</v>
      </c>
      <c r="B3" s="210" t="s">
        <v>1</v>
      </c>
      <c r="C3" s="211"/>
      <c r="D3" s="206" t="s">
        <v>2</v>
      </c>
      <c r="E3" s="206" t="s">
        <v>3</v>
      </c>
      <c r="F3" s="4" t="s">
        <v>4</v>
      </c>
      <c r="G3" s="206" t="s">
        <v>255</v>
      </c>
      <c r="H3" s="206" t="s">
        <v>256</v>
      </c>
      <c r="I3" s="206" t="s">
        <v>7</v>
      </c>
      <c r="J3" s="206" t="s">
        <v>8</v>
      </c>
      <c r="K3" s="206" t="s">
        <v>200</v>
      </c>
      <c r="L3" s="206" t="s">
        <v>241</v>
      </c>
      <c r="M3" s="206" t="s">
        <v>11</v>
      </c>
      <c r="N3" s="206" t="s">
        <v>12</v>
      </c>
      <c r="O3" s="206" t="s">
        <v>13</v>
      </c>
      <c r="P3" s="206" t="s">
        <v>14</v>
      </c>
      <c r="Q3" s="206" t="s">
        <v>15</v>
      </c>
      <c r="R3" s="206" t="s">
        <v>16</v>
      </c>
      <c r="S3" s="206" t="s">
        <v>17</v>
      </c>
      <c r="T3" s="206" t="s">
        <v>18</v>
      </c>
    </row>
    <row r="4" spans="1:20">
      <c r="A4" s="207"/>
      <c r="B4" s="212"/>
      <c r="C4" s="213"/>
      <c r="D4" s="207"/>
      <c r="E4" s="207"/>
      <c r="F4" s="5"/>
      <c r="G4" s="207"/>
      <c r="H4" s="207"/>
      <c r="I4" s="207"/>
      <c r="J4" s="207"/>
      <c r="K4" s="208"/>
      <c r="L4" s="208"/>
      <c r="M4" s="207"/>
      <c r="N4" s="207"/>
      <c r="O4" s="207"/>
      <c r="P4" s="207"/>
      <c r="Q4" s="207"/>
      <c r="R4" s="207"/>
      <c r="S4" s="207"/>
      <c r="T4" s="207"/>
    </row>
    <row r="5" spans="1:20">
      <c r="A5" s="13">
        <v>1</v>
      </c>
      <c r="B5" s="204" t="s">
        <v>202</v>
      </c>
      <c r="C5" s="205"/>
      <c r="D5" s="198">
        <v>176</v>
      </c>
      <c r="E5" s="198">
        <v>88</v>
      </c>
      <c r="F5" s="198">
        <v>6408.9250000000002</v>
      </c>
      <c r="G5" s="199">
        <v>0</v>
      </c>
      <c r="H5" s="199">
        <v>236</v>
      </c>
      <c r="I5" s="10">
        <v>0</v>
      </c>
      <c r="J5" s="11">
        <v>0</v>
      </c>
      <c r="K5" s="11">
        <v>0</v>
      </c>
      <c r="L5" s="193">
        <v>0</v>
      </c>
      <c r="M5" s="193">
        <v>20592</v>
      </c>
      <c r="N5" s="193">
        <v>10296</v>
      </c>
      <c r="O5" s="193">
        <v>179449.9</v>
      </c>
      <c r="P5" s="193">
        <v>0</v>
      </c>
      <c r="Q5" s="193">
        <v>27612</v>
      </c>
      <c r="R5" s="193">
        <v>0</v>
      </c>
      <c r="S5" s="193">
        <v>0</v>
      </c>
      <c r="T5" s="193">
        <v>237949.9</v>
      </c>
    </row>
    <row r="6" spans="1:20">
      <c r="A6" s="13">
        <v>2</v>
      </c>
      <c r="B6" s="204" t="s">
        <v>203</v>
      </c>
      <c r="C6" s="205"/>
      <c r="D6" s="198">
        <v>263.375</v>
      </c>
      <c r="E6" s="198">
        <v>77</v>
      </c>
      <c r="F6" s="198">
        <v>6595.3</v>
      </c>
      <c r="G6" s="199">
        <v>0</v>
      </c>
      <c r="H6" s="199">
        <v>159.625</v>
      </c>
      <c r="I6" s="10">
        <v>0</v>
      </c>
      <c r="J6" s="11">
        <v>0</v>
      </c>
      <c r="K6" s="11">
        <v>0</v>
      </c>
      <c r="L6" s="193">
        <v>0</v>
      </c>
      <c r="M6" s="193">
        <v>30814.880000000001</v>
      </c>
      <c r="N6" s="193">
        <v>9009</v>
      </c>
      <c r="O6" s="193">
        <v>184668.4</v>
      </c>
      <c r="P6" s="193">
        <v>0</v>
      </c>
      <c r="Q6" s="193">
        <v>18676.13</v>
      </c>
      <c r="R6" s="193">
        <v>0</v>
      </c>
      <c r="S6" s="193">
        <v>0</v>
      </c>
      <c r="T6" s="193">
        <v>243168.4</v>
      </c>
    </row>
    <row r="7" spans="1:20">
      <c r="A7" s="13">
        <v>3</v>
      </c>
      <c r="B7" s="204" t="s">
        <v>204</v>
      </c>
      <c r="C7" s="205"/>
      <c r="D7" s="198">
        <v>130.75</v>
      </c>
      <c r="E7" s="198">
        <v>22</v>
      </c>
      <c r="F7" s="198">
        <v>6704.05</v>
      </c>
      <c r="G7" s="199">
        <v>0</v>
      </c>
      <c r="H7" s="199">
        <v>347.25</v>
      </c>
      <c r="I7" s="10">
        <v>0</v>
      </c>
      <c r="J7" s="11">
        <v>0</v>
      </c>
      <c r="K7" s="11">
        <v>0</v>
      </c>
      <c r="L7" s="193">
        <v>0</v>
      </c>
      <c r="M7" s="193">
        <v>15297.75</v>
      </c>
      <c r="N7" s="193">
        <v>2574</v>
      </c>
      <c r="O7" s="193">
        <v>187713.4</v>
      </c>
      <c r="P7" s="193">
        <v>0</v>
      </c>
      <c r="Q7" s="193">
        <v>40628.25</v>
      </c>
      <c r="R7" s="193">
        <v>0</v>
      </c>
      <c r="S7" s="193">
        <v>0</v>
      </c>
      <c r="T7" s="193">
        <v>246213.4</v>
      </c>
    </row>
    <row r="8" spans="1:20">
      <c r="A8" s="13">
        <v>4</v>
      </c>
      <c r="B8" s="204" t="s">
        <v>205</v>
      </c>
      <c r="C8" s="205"/>
      <c r="D8" s="198">
        <v>44</v>
      </c>
      <c r="E8" s="198">
        <v>11</v>
      </c>
      <c r="F8" s="198">
        <v>6737.05</v>
      </c>
      <c r="G8" s="199">
        <v>0</v>
      </c>
      <c r="H8" s="199">
        <v>445</v>
      </c>
      <c r="I8" s="10">
        <v>0</v>
      </c>
      <c r="J8" s="11">
        <v>0</v>
      </c>
      <c r="K8" s="11">
        <v>0</v>
      </c>
      <c r="L8" s="193">
        <v>0</v>
      </c>
      <c r="M8" s="193">
        <v>5148</v>
      </c>
      <c r="N8" s="193">
        <v>1287</v>
      </c>
      <c r="O8" s="193">
        <v>188637.4</v>
      </c>
      <c r="P8" s="193">
        <v>0</v>
      </c>
      <c r="Q8" s="193">
        <v>52065</v>
      </c>
      <c r="R8" s="193">
        <v>0</v>
      </c>
      <c r="S8" s="193">
        <v>0</v>
      </c>
      <c r="T8" s="193">
        <v>247137.4</v>
      </c>
    </row>
    <row r="9" spans="1:20">
      <c r="A9" s="13">
        <v>5</v>
      </c>
      <c r="B9" s="204" t="s">
        <v>206</v>
      </c>
      <c r="C9" s="205"/>
      <c r="D9" s="198">
        <v>66</v>
      </c>
      <c r="E9" s="198">
        <v>154</v>
      </c>
      <c r="F9" s="198">
        <v>6649.05</v>
      </c>
      <c r="G9" s="199">
        <v>0</v>
      </c>
      <c r="H9" s="199">
        <v>280</v>
      </c>
      <c r="I9" s="10">
        <v>0</v>
      </c>
      <c r="J9" s="11">
        <v>0</v>
      </c>
      <c r="K9" s="11">
        <v>0</v>
      </c>
      <c r="L9" s="193">
        <v>0</v>
      </c>
      <c r="M9" s="193">
        <v>7722</v>
      </c>
      <c r="N9" s="193">
        <v>18018</v>
      </c>
      <c r="O9" s="193">
        <v>186173.4</v>
      </c>
      <c r="P9" s="193">
        <v>0</v>
      </c>
      <c r="Q9" s="193">
        <v>32760</v>
      </c>
      <c r="R9" s="193">
        <v>0</v>
      </c>
      <c r="S9" s="193">
        <v>0</v>
      </c>
      <c r="T9" s="193">
        <v>244673.4</v>
      </c>
    </row>
    <row r="10" spans="1:20">
      <c r="A10" s="13">
        <v>6</v>
      </c>
      <c r="B10" s="204" t="s">
        <v>207</v>
      </c>
      <c r="C10" s="205"/>
      <c r="D10" s="198">
        <v>108.75</v>
      </c>
      <c r="E10" s="198">
        <v>66</v>
      </c>
      <c r="F10" s="198">
        <v>6691.8</v>
      </c>
      <c r="G10" s="199">
        <v>0</v>
      </c>
      <c r="H10" s="199">
        <v>325.25</v>
      </c>
      <c r="I10" s="10">
        <v>0</v>
      </c>
      <c r="J10" s="11">
        <v>0</v>
      </c>
      <c r="K10" s="11">
        <v>0</v>
      </c>
      <c r="L10" s="193">
        <v>0</v>
      </c>
      <c r="M10" s="193">
        <v>12723.75</v>
      </c>
      <c r="N10" s="193">
        <v>7722</v>
      </c>
      <c r="O10" s="193">
        <v>187370.4</v>
      </c>
      <c r="P10" s="193">
        <v>0</v>
      </c>
      <c r="Q10" s="193">
        <v>38054.25</v>
      </c>
      <c r="R10" s="193">
        <v>0</v>
      </c>
      <c r="S10" s="193">
        <v>0</v>
      </c>
      <c r="T10" s="193">
        <v>245870.4</v>
      </c>
    </row>
    <row r="11" spans="1:20">
      <c r="A11" s="13">
        <v>7</v>
      </c>
      <c r="B11" s="204" t="s">
        <v>208</v>
      </c>
      <c r="C11" s="205"/>
      <c r="D11" s="198">
        <v>109.375</v>
      </c>
      <c r="E11" s="198">
        <v>44</v>
      </c>
      <c r="F11" s="198">
        <v>6757.1750000000002</v>
      </c>
      <c r="G11" s="199">
        <v>0</v>
      </c>
      <c r="H11" s="199">
        <v>346.625</v>
      </c>
      <c r="I11" s="10">
        <v>0</v>
      </c>
      <c r="J11" s="11">
        <v>0</v>
      </c>
      <c r="K11" s="11">
        <v>0</v>
      </c>
      <c r="L11" s="193">
        <v>0</v>
      </c>
      <c r="M11" s="193">
        <v>12796.88</v>
      </c>
      <c r="N11" s="193">
        <v>5148</v>
      </c>
      <c r="O11" s="193">
        <v>189200.9</v>
      </c>
      <c r="P11" s="193">
        <v>0</v>
      </c>
      <c r="Q11" s="193">
        <v>40555.129999999997</v>
      </c>
      <c r="R11" s="193">
        <v>0</v>
      </c>
      <c r="S11" s="193">
        <v>0</v>
      </c>
      <c r="T11" s="193">
        <v>247700.9</v>
      </c>
    </row>
    <row r="12" spans="1:20">
      <c r="A12" s="13">
        <v>8</v>
      </c>
      <c r="B12" s="204" t="s">
        <v>209</v>
      </c>
      <c r="C12" s="205"/>
      <c r="D12" s="198">
        <v>66</v>
      </c>
      <c r="E12" s="198">
        <v>0</v>
      </c>
      <c r="F12" s="198">
        <v>6823.1750000000002</v>
      </c>
      <c r="G12" s="199">
        <v>0</v>
      </c>
      <c r="H12" s="199">
        <v>434</v>
      </c>
      <c r="I12" s="10">
        <v>0</v>
      </c>
      <c r="J12" s="11">
        <v>0</v>
      </c>
      <c r="K12" s="11">
        <v>0</v>
      </c>
      <c r="L12" s="193">
        <v>0</v>
      </c>
      <c r="M12" s="193">
        <v>7722</v>
      </c>
      <c r="N12" s="193">
        <v>0</v>
      </c>
      <c r="O12" s="193">
        <v>191048.9</v>
      </c>
      <c r="P12" s="193">
        <v>0</v>
      </c>
      <c r="Q12" s="193">
        <v>50778</v>
      </c>
      <c r="R12" s="193">
        <v>0</v>
      </c>
      <c r="S12" s="193">
        <v>0</v>
      </c>
      <c r="T12" s="193">
        <v>249548.9</v>
      </c>
    </row>
    <row r="13" spans="1:20">
      <c r="A13" s="13">
        <v>9</v>
      </c>
      <c r="B13" s="204" t="s">
        <v>210</v>
      </c>
      <c r="C13" s="205"/>
      <c r="D13" s="198">
        <v>66</v>
      </c>
      <c r="E13" s="198">
        <v>0</v>
      </c>
      <c r="F13" s="198">
        <v>6889.1750000000002</v>
      </c>
      <c r="G13" s="199">
        <v>0</v>
      </c>
      <c r="H13" s="199">
        <v>434</v>
      </c>
      <c r="I13" s="10">
        <v>0</v>
      </c>
      <c r="J13" s="11">
        <v>0</v>
      </c>
      <c r="K13" s="11">
        <v>0</v>
      </c>
      <c r="L13" s="193">
        <v>0</v>
      </c>
      <c r="M13" s="193">
        <v>7722</v>
      </c>
      <c r="N13" s="193">
        <v>0</v>
      </c>
      <c r="O13" s="193">
        <v>192896.9</v>
      </c>
      <c r="P13" s="193">
        <v>0</v>
      </c>
      <c r="Q13" s="193">
        <v>50778</v>
      </c>
      <c r="R13" s="193">
        <v>0</v>
      </c>
      <c r="S13" s="193">
        <v>0</v>
      </c>
      <c r="T13" s="193">
        <v>251396.9</v>
      </c>
    </row>
    <row r="14" spans="1:20">
      <c r="A14" s="13">
        <v>10</v>
      </c>
      <c r="B14" s="204" t="s">
        <v>211</v>
      </c>
      <c r="C14" s="205"/>
      <c r="D14" s="198">
        <v>88</v>
      </c>
      <c r="E14" s="198">
        <v>70.125</v>
      </c>
      <c r="F14" s="198">
        <v>6907.05</v>
      </c>
      <c r="G14" s="199">
        <v>0</v>
      </c>
      <c r="H14" s="199">
        <v>341.875</v>
      </c>
      <c r="I14" s="10">
        <v>0</v>
      </c>
      <c r="J14" s="11">
        <v>0</v>
      </c>
      <c r="K14" s="11">
        <v>0</v>
      </c>
      <c r="L14" s="193">
        <v>0</v>
      </c>
      <c r="M14" s="193">
        <v>10296</v>
      </c>
      <c r="N14" s="193">
        <v>8204.6299999999992</v>
      </c>
      <c r="O14" s="193">
        <v>193397.4</v>
      </c>
      <c r="P14" s="193">
        <v>0</v>
      </c>
      <c r="Q14" s="193">
        <v>39999.379999999997</v>
      </c>
      <c r="R14" s="193">
        <v>0</v>
      </c>
      <c r="S14" s="193">
        <v>0</v>
      </c>
      <c r="T14" s="193">
        <v>251897.4</v>
      </c>
    </row>
    <row r="15" spans="1:20">
      <c r="A15" s="13">
        <v>11</v>
      </c>
      <c r="B15" s="204" t="s">
        <v>212</v>
      </c>
      <c r="C15" s="205"/>
      <c r="D15" s="198">
        <v>0</v>
      </c>
      <c r="E15" s="198">
        <v>110</v>
      </c>
      <c r="F15" s="198">
        <v>6797.05</v>
      </c>
      <c r="G15" s="199">
        <v>0</v>
      </c>
      <c r="H15" s="199">
        <v>390</v>
      </c>
      <c r="I15" s="10">
        <v>0</v>
      </c>
      <c r="J15" s="11">
        <v>0</v>
      </c>
      <c r="K15" s="11">
        <v>0</v>
      </c>
      <c r="L15" s="193">
        <v>0</v>
      </c>
      <c r="M15" s="193">
        <v>0</v>
      </c>
      <c r="N15" s="193">
        <v>12870</v>
      </c>
      <c r="O15" s="193">
        <v>190317.4</v>
      </c>
      <c r="P15" s="193">
        <v>0</v>
      </c>
      <c r="Q15" s="193">
        <v>45630</v>
      </c>
      <c r="R15" s="193">
        <v>0</v>
      </c>
      <c r="S15" s="193">
        <v>0</v>
      </c>
      <c r="T15" s="193">
        <v>248817.4</v>
      </c>
    </row>
    <row r="16" spans="1:20">
      <c r="A16" s="13">
        <v>12</v>
      </c>
      <c r="B16" s="204" t="s">
        <v>213</v>
      </c>
      <c r="C16" s="205"/>
      <c r="D16" s="198">
        <v>66</v>
      </c>
      <c r="E16" s="198">
        <v>35.75</v>
      </c>
      <c r="F16" s="198">
        <v>6827.3</v>
      </c>
      <c r="G16" s="199">
        <v>0</v>
      </c>
      <c r="H16" s="199">
        <v>398.25</v>
      </c>
      <c r="I16" s="10">
        <v>0</v>
      </c>
      <c r="J16" s="11">
        <v>0</v>
      </c>
      <c r="K16" s="11">
        <v>0</v>
      </c>
      <c r="L16" s="193">
        <v>0</v>
      </c>
      <c r="M16" s="193">
        <v>7722</v>
      </c>
      <c r="N16" s="193">
        <v>4182.75</v>
      </c>
      <c r="O16" s="193">
        <v>191164.4</v>
      </c>
      <c r="P16" s="193">
        <v>0</v>
      </c>
      <c r="Q16" s="193">
        <v>46595.25</v>
      </c>
      <c r="R16" s="193">
        <v>0</v>
      </c>
      <c r="S16" s="193">
        <v>0</v>
      </c>
      <c r="T16" s="193">
        <v>249664.4</v>
      </c>
    </row>
    <row r="17" spans="1:20">
      <c r="A17" s="13">
        <v>13</v>
      </c>
      <c r="B17" s="204" t="s">
        <v>214</v>
      </c>
      <c r="C17" s="205"/>
      <c r="D17" s="198">
        <v>66</v>
      </c>
      <c r="E17" s="198">
        <v>90.75</v>
      </c>
      <c r="F17" s="198">
        <v>6802.55</v>
      </c>
      <c r="G17" s="199">
        <v>0</v>
      </c>
      <c r="H17" s="199">
        <v>343.25</v>
      </c>
      <c r="I17" s="10">
        <v>0</v>
      </c>
      <c r="J17" s="11">
        <v>0</v>
      </c>
      <c r="K17" s="11">
        <v>0</v>
      </c>
      <c r="L17" s="193">
        <v>0</v>
      </c>
      <c r="M17" s="193">
        <v>7722</v>
      </c>
      <c r="N17" s="193">
        <v>10617.75</v>
      </c>
      <c r="O17" s="193">
        <v>190471.4</v>
      </c>
      <c r="P17" s="193">
        <v>0</v>
      </c>
      <c r="Q17" s="193">
        <v>40160.25</v>
      </c>
      <c r="R17" s="193">
        <v>0</v>
      </c>
      <c r="S17" s="193">
        <v>0</v>
      </c>
      <c r="T17" s="193">
        <v>248971.4</v>
      </c>
    </row>
    <row r="18" spans="1:20">
      <c r="A18" s="13">
        <v>14</v>
      </c>
      <c r="B18" s="204" t="s">
        <v>215</v>
      </c>
      <c r="C18" s="205"/>
      <c r="D18" s="198">
        <v>130.125</v>
      </c>
      <c r="E18" s="198">
        <v>154</v>
      </c>
      <c r="F18" s="198">
        <v>6778.6750000000002</v>
      </c>
      <c r="G18" s="199">
        <v>0</v>
      </c>
      <c r="H18" s="199">
        <v>215.875</v>
      </c>
      <c r="I18" s="10">
        <v>0</v>
      </c>
      <c r="J18" s="11">
        <v>0</v>
      </c>
      <c r="K18" s="11">
        <v>0</v>
      </c>
      <c r="L18" s="193">
        <v>0</v>
      </c>
      <c r="M18" s="193">
        <v>15224.63</v>
      </c>
      <c r="N18" s="193">
        <v>18018</v>
      </c>
      <c r="O18" s="193">
        <v>189802.9</v>
      </c>
      <c r="P18" s="193">
        <v>0</v>
      </c>
      <c r="Q18" s="193">
        <v>25257.38</v>
      </c>
      <c r="R18" s="193">
        <v>0</v>
      </c>
      <c r="S18" s="193">
        <v>0</v>
      </c>
      <c r="T18" s="193">
        <v>248302.9</v>
      </c>
    </row>
    <row r="19" spans="1:20">
      <c r="A19" s="13">
        <v>15</v>
      </c>
      <c r="B19" s="204" t="s">
        <v>216</v>
      </c>
      <c r="C19" s="205"/>
      <c r="D19" s="198">
        <v>108.125</v>
      </c>
      <c r="E19" s="198">
        <v>121</v>
      </c>
      <c r="F19" s="198">
        <v>6765.8</v>
      </c>
      <c r="G19" s="199">
        <v>0</v>
      </c>
      <c r="H19" s="199">
        <v>270.875</v>
      </c>
      <c r="I19" s="10">
        <v>0</v>
      </c>
      <c r="J19" s="11">
        <v>0</v>
      </c>
      <c r="K19" s="11">
        <v>0</v>
      </c>
      <c r="L19" s="193">
        <v>0</v>
      </c>
      <c r="M19" s="193">
        <v>12650.63</v>
      </c>
      <c r="N19" s="193">
        <v>14157</v>
      </c>
      <c r="O19" s="193">
        <v>189442.4</v>
      </c>
      <c r="P19" s="193">
        <v>0</v>
      </c>
      <c r="Q19" s="193">
        <v>31692.38</v>
      </c>
      <c r="R19" s="193">
        <v>0</v>
      </c>
      <c r="S19" s="193">
        <v>0</v>
      </c>
      <c r="T19" s="193">
        <v>247942.39999999999</v>
      </c>
    </row>
    <row r="20" spans="1:20">
      <c r="A20" s="13">
        <v>16</v>
      </c>
      <c r="B20" s="204" t="s">
        <v>217</v>
      </c>
      <c r="C20" s="205"/>
      <c r="D20" s="198">
        <v>64.75</v>
      </c>
      <c r="E20" s="198">
        <v>119.625</v>
      </c>
      <c r="F20" s="198">
        <v>6710.9250000000002</v>
      </c>
      <c r="G20" s="199">
        <v>0</v>
      </c>
      <c r="H20" s="199">
        <v>315.625</v>
      </c>
      <c r="I20" s="10">
        <v>0</v>
      </c>
      <c r="J20" s="11">
        <v>0</v>
      </c>
      <c r="K20" s="11">
        <v>0</v>
      </c>
      <c r="L20" s="193">
        <v>0</v>
      </c>
      <c r="M20" s="193">
        <v>7575.75</v>
      </c>
      <c r="N20" s="193">
        <v>13996.13</v>
      </c>
      <c r="O20" s="193">
        <v>187905.9</v>
      </c>
      <c r="P20" s="193">
        <v>0</v>
      </c>
      <c r="Q20" s="193">
        <v>36928.129999999997</v>
      </c>
      <c r="R20" s="193">
        <v>0</v>
      </c>
      <c r="S20" s="193">
        <v>0</v>
      </c>
      <c r="T20" s="193">
        <v>246405.9</v>
      </c>
    </row>
    <row r="21" spans="1:20">
      <c r="A21" s="13">
        <v>17</v>
      </c>
      <c r="B21" s="204" t="s">
        <v>218</v>
      </c>
      <c r="C21" s="205"/>
      <c r="D21" s="198">
        <v>0</v>
      </c>
      <c r="E21" s="198">
        <v>198</v>
      </c>
      <c r="F21" s="198">
        <v>6512.9250000000002</v>
      </c>
      <c r="G21" s="199">
        <v>0</v>
      </c>
      <c r="H21" s="199">
        <v>302</v>
      </c>
      <c r="I21" s="10">
        <v>0</v>
      </c>
      <c r="J21" s="11">
        <v>0</v>
      </c>
      <c r="K21" s="11">
        <v>0</v>
      </c>
      <c r="L21" s="193">
        <v>0</v>
      </c>
      <c r="M21" s="193">
        <v>0</v>
      </c>
      <c r="N21" s="193">
        <v>23166</v>
      </c>
      <c r="O21" s="193">
        <v>182361.9</v>
      </c>
      <c r="P21" s="193">
        <v>0</v>
      </c>
      <c r="Q21" s="193">
        <v>35334</v>
      </c>
      <c r="R21" s="193">
        <v>0</v>
      </c>
      <c r="S21" s="193">
        <v>0</v>
      </c>
      <c r="T21" s="193">
        <v>240861.9</v>
      </c>
    </row>
    <row r="22" spans="1:20">
      <c r="A22" s="13">
        <v>18</v>
      </c>
      <c r="B22" s="204" t="s">
        <v>219</v>
      </c>
      <c r="C22" s="205"/>
      <c r="D22" s="198">
        <v>85.5</v>
      </c>
      <c r="E22" s="198">
        <v>155.52500000000001</v>
      </c>
      <c r="F22" s="198">
        <v>6442.9</v>
      </c>
      <c r="G22" s="199">
        <v>0</v>
      </c>
      <c r="H22" s="199">
        <v>258.97500000000002</v>
      </c>
      <c r="I22" s="10">
        <v>0</v>
      </c>
      <c r="J22" s="11">
        <v>0</v>
      </c>
      <c r="K22" s="11">
        <v>0</v>
      </c>
      <c r="L22" s="193">
        <v>0</v>
      </c>
      <c r="M22" s="193">
        <v>10003.5</v>
      </c>
      <c r="N22" s="193">
        <v>18196.43</v>
      </c>
      <c r="O22" s="193">
        <v>180401.2</v>
      </c>
      <c r="P22" s="193">
        <v>0</v>
      </c>
      <c r="Q22" s="193">
        <v>30300.080000000002</v>
      </c>
      <c r="R22" s="193">
        <v>0</v>
      </c>
      <c r="S22" s="193">
        <v>0</v>
      </c>
      <c r="T22" s="193">
        <v>238901.2</v>
      </c>
    </row>
    <row r="23" spans="1:20">
      <c r="A23" s="13">
        <v>19</v>
      </c>
      <c r="B23" s="204" t="s">
        <v>220</v>
      </c>
      <c r="C23" s="205"/>
      <c r="D23" s="198">
        <v>22</v>
      </c>
      <c r="E23" s="198">
        <v>244.75</v>
      </c>
      <c r="F23" s="198">
        <v>6220.15</v>
      </c>
      <c r="G23" s="199">
        <v>0</v>
      </c>
      <c r="H23" s="199">
        <v>233.25</v>
      </c>
      <c r="I23" s="10">
        <v>0</v>
      </c>
      <c r="J23" s="11">
        <v>0</v>
      </c>
      <c r="K23" s="11">
        <v>0</v>
      </c>
      <c r="L23" s="193">
        <v>0</v>
      </c>
      <c r="M23" s="193">
        <v>2574</v>
      </c>
      <c r="N23" s="193">
        <v>28635.75</v>
      </c>
      <c r="O23" s="193">
        <v>174164.2</v>
      </c>
      <c r="P23" s="193">
        <v>0</v>
      </c>
      <c r="Q23" s="193">
        <v>27290.25</v>
      </c>
      <c r="R23" s="193">
        <v>0</v>
      </c>
      <c r="S23" s="193">
        <v>0</v>
      </c>
      <c r="T23" s="193">
        <v>232664.2</v>
      </c>
    </row>
    <row r="24" spans="1:20">
      <c r="A24" s="13">
        <v>20</v>
      </c>
      <c r="B24" s="204" t="s">
        <v>221</v>
      </c>
      <c r="C24" s="205"/>
      <c r="D24" s="198">
        <v>88</v>
      </c>
      <c r="E24" s="198">
        <v>330</v>
      </c>
      <c r="F24" s="198">
        <v>5978.15</v>
      </c>
      <c r="G24" s="199">
        <v>21.850000000000364</v>
      </c>
      <c r="H24" s="199">
        <v>82</v>
      </c>
      <c r="I24" s="10">
        <v>0</v>
      </c>
      <c r="J24" s="11">
        <v>0</v>
      </c>
      <c r="K24" s="11">
        <v>0</v>
      </c>
      <c r="L24" s="193">
        <v>0</v>
      </c>
      <c r="M24" s="193">
        <v>10296</v>
      </c>
      <c r="N24" s="193">
        <v>38610</v>
      </c>
      <c r="O24" s="193">
        <v>167388.20000000001</v>
      </c>
      <c r="P24" s="193">
        <v>611.79999999999995</v>
      </c>
      <c r="Q24" s="193">
        <v>9594</v>
      </c>
      <c r="R24" s="193">
        <v>0</v>
      </c>
      <c r="S24" s="193">
        <v>0</v>
      </c>
      <c r="T24" s="193">
        <v>226500</v>
      </c>
    </row>
    <row r="25" spans="1:20">
      <c r="A25" s="13">
        <v>21</v>
      </c>
      <c r="B25" s="204" t="s">
        <v>222</v>
      </c>
      <c r="C25" s="205"/>
      <c r="D25" s="198">
        <v>0</v>
      </c>
      <c r="E25" s="198">
        <v>286</v>
      </c>
      <c r="F25" s="198">
        <v>5692.15</v>
      </c>
      <c r="G25" s="199">
        <v>307.85000000000036</v>
      </c>
      <c r="H25" s="199">
        <v>214</v>
      </c>
      <c r="I25" s="10">
        <v>0</v>
      </c>
      <c r="J25" s="11">
        <v>0</v>
      </c>
      <c r="K25" s="11">
        <v>0</v>
      </c>
      <c r="L25" s="193">
        <v>0</v>
      </c>
      <c r="M25" s="193">
        <v>0</v>
      </c>
      <c r="N25" s="193">
        <v>33462</v>
      </c>
      <c r="O25" s="193">
        <v>159380.20000000001</v>
      </c>
      <c r="P25" s="193">
        <v>8619.7999999999993</v>
      </c>
      <c r="Q25" s="193">
        <v>25038</v>
      </c>
      <c r="R25" s="193">
        <v>0</v>
      </c>
      <c r="S25" s="193">
        <v>0</v>
      </c>
      <c r="T25" s="193">
        <v>226500</v>
      </c>
    </row>
    <row r="26" spans="1:20">
      <c r="A26" s="13">
        <v>22</v>
      </c>
      <c r="B26" s="204" t="s">
        <v>223</v>
      </c>
      <c r="C26" s="205"/>
      <c r="D26" s="198">
        <v>88</v>
      </c>
      <c r="E26" s="198">
        <v>529.27499999999998</v>
      </c>
      <c r="F26" s="198">
        <v>5250.875</v>
      </c>
      <c r="G26" s="199">
        <v>749.125</v>
      </c>
      <c r="H26" s="199">
        <v>0</v>
      </c>
      <c r="I26" s="10">
        <v>0</v>
      </c>
      <c r="J26" s="11">
        <v>0</v>
      </c>
      <c r="K26" s="11">
        <v>0</v>
      </c>
      <c r="L26" s="193">
        <v>0</v>
      </c>
      <c r="M26" s="193">
        <v>10296</v>
      </c>
      <c r="N26" s="193">
        <v>61925.18</v>
      </c>
      <c r="O26" s="193">
        <v>147024.5</v>
      </c>
      <c r="P26" s="193">
        <v>20975.5</v>
      </c>
      <c r="Q26" s="193">
        <v>0</v>
      </c>
      <c r="R26" s="193">
        <v>0</v>
      </c>
      <c r="S26" s="193">
        <v>0</v>
      </c>
      <c r="T26" s="193">
        <v>240221.18</v>
      </c>
    </row>
    <row r="27" spans="1:20">
      <c r="A27" s="13">
        <v>23</v>
      </c>
      <c r="B27" s="204" t="s">
        <v>224</v>
      </c>
      <c r="C27" s="205"/>
      <c r="D27" s="198">
        <v>86.125</v>
      </c>
      <c r="E27" s="198">
        <v>121</v>
      </c>
      <c r="F27" s="198">
        <v>5216</v>
      </c>
      <c r="G27" s="199">
        <v>784</v>
      </c>
      <c r="H27" s="199">
        <v>292.875</v>
      </c>
      <c r="I27" s="10">
        <v>0</v>
      </c>
      <c r="J27" s="11">
        <v>0</v>
      </c>
      <c r="K27" s="11">
        <v>0</v>
      </c>
      <c r="L27" s="193">
        <v>0</v>
      </c>
      <c r="M27" s="193">
        <v>10076.629999999999</v>
      </c>
      <c r="N27" s="193">
        <v>14157</v>
      </c>
      <c r="O27" s="193">
        <v>146048</v>
      </c>
      <c r="P27" s="193">
        <v>21952</v>
      </c>
      <c r="Q27" s="193">
        <v>34266.379999999997</v>
      </c>
      <c r="R27" s="193">
        <v>0</v>
      </c>
      <c r="S27" s="193">
        <v>0</v>
      </c>
      <c r="T27" s="193">
        <v>226500</v>
      </c>
    </row>
    <row r="28" spans="1:20">
      <c r="A28" s="13">
        <v>24</v>
      </c>
      <c r="B28" s="204" t="s">
        <v>225</v>
      </c>
      <c r="C28" s="205"/>
      <c r="D28" s="198">
        <v>21.375</v>
      </c>
      <c r="E28" s="198">
        <v>198</v>
      </c>
      <c r="F28" s="198">
        <v>5039.375</v>
      </c>
      <c r="G28" s="199">
        <v>960.625</v>
      </c>
      <c r="H28" s="199">
        <v>280.625</v>
      </c>
      <c r="I28" s="10">
        <v>0</v>
      </c>
      <c r="J28" s="11">
        <v>0</v>
      </c>
      <c r="K28" s="11">
        <v>0</v>
      </c>
      <c r="L28" s="193">
        <v>0</v>
      </c>
      <c r="M28" s="193">
        <v>2500.88</v>
      </c>
      <c r="N28" s="193">
        <v>23166</v>
      </c>
      <c r="O28" s="193">
        <v>141102.5</v>
      </c>
      <c r="P28" s="193">
        <v>26897.5</v>
      </c>
      <c r="Q28" s="193">
        <v>32833.129999999997</v>
      </c>
      <c r="R28" s="193">
        <v>0</v>
      </c>
      <c r="S28" s="193">
        <v>0</v>
      </c>
      <c r="T28" s="193">
        <v>226500</v>
      </c>
    </row>
    <row r="29" spans="1:20">
      <c r="A29" s="13">
        <v>25</v>
      </c>
      <c r="B29" s="204" t="s">
        <v>226</v>
      </c>
      <c r="C29" s="205"/>
      <c r="D29" s="198">
        <v>0</v>
      </c>
      <c r="E29" s="198">
        <v>88</v>
      </c>
      <c r="F29" s="198">
        <v>4951.375</v>
      </c>
      <c r="G29" s="199">
        <v>1048.625</v>
      </c>
      <c r="H29" s="199">
        <v>412</v>
      </c>
      <c r="I29" s="10">
        <v>0</v>
      </c>
      <c r="J29" s="11">
        <v>0</v>
      </c>
      <c r="K29" s="11">
        <v>0</v>
      </c>
      <c r="L29" s="193">
        <v>0</v>
      </c>
      <c r="M29" s="193">
        <v>0</v>
      </c>
      <c r="N29" s="193">
        <v>10296</v>
      </c>
      <c r="O29" s="193">
        <v>138638.5</v>
      </c>
      <c r="P29" s="193">
        <v>29361.5</v>
      </c>
      <c r="Q29" s="193">
        <v>48204</v>
      </c>
      <c r="R29" s="193">
        <v>0</v>
      </c>
      <c r="S29" s="193">
        <v>0</v>
      </c>
      <c r="T29" s="193">
        <v>226500</v>
      </c>
    </row>
    <row r="30" spans="1:20">
      <c r="A30" s="13">
        <v>26</v>
      </c>
      <c r="B30" s="204" t="s">
        <v>227</v>
      </c>
      <c r="C30" s="205"/>
      <c r="D30" s="198">
        <v>0</v>
      </c>
      <c r="E30" s="198">
        <v>44</v>
      </c>
      <c r="F30" s="198">
        <v>4907.375</v>
      </c>
      <c r="G30" s="199">
        <v>1092.625</v>
      </c>
      <c r="H30" s="199">
        <v>456</v>
      </c>
      <c r="I30" s="10">
        <v>0</v>
      </c>
      <c r="J30" s="11">
        <v>0</v>
      </c>
      <c r="K30" s="11">
        <v>0</v>
      </c>
      <c r="L30" s="193">
        <v>0</v>
      </c>
      <c r="M30" s="193">
        <v>0</v>
      </c>
      <c r="N30" s="193">
        <v>5148</v>
      </c>
      <c r="O30" s="193">
        <v>137406.5</v>
      </c>
      <c r="P30" s="193">
        <v>30593.5</v>
      </c>
      <c r="Q30" s="193">
        <v>53352</v>
      </c>
      <c r="R30" s="193">
        <v>0</v>
      </c>
      <c r="S30" s="193">
        <v>0</v>
      </c>
      <c r="T30" s="193">
        <v>226500</v>
      </c>
    </row>
    <row r="31" spans="1:20">
      <c r="A31" s="13">
        <v>27</v>
      </c>
      <c r="B31" s="204" t="s">
        <v>228</v>
      </c>
      <c r="C31" s="205"/>
      <c r="D31" s="198">
        <v>256.5</v>
      </c>
      <c r="E31" s="198">
        <v>44</v>
      </c>
      <c r="F31" s="198">
        <v>5119.875</v>
      </c>
      <c r="G31" s="199">
        <v>880.125</v>
      </c>
      <c r="H31" s="199">
        <v>199.5</v>
      </c>
      <c r="I31" s="10">
        <v>0</v>
      </c>
      <c r="J31" s="11">
        <v>0</v>
      </c>
      <c r="K31" s="11">
        <v>0</v>
      </c>
      <c r="L31" s="193">
        <v>0</v>
      </c>
      <c r="M31" s="193">
        <v>30010.5</v>
      </c>
      <c r="N31" s="193">
        <v>5148</v>
      </c>
      <c r="O31" s="193">
        <v>143356.5</v>
      </c>
      <c r="P31" s="193">
        <v>24643.5</v>
      </c>
      <c r="Q31" s="193">
        <v>23341.5</v>
      </c>
      <c r="R31" s="193">
        <v>0</v>
      </c>
      <c r="S31" s="193">
        <v>0</v>
      </c>
      <c r="T31" s="193">
        <v>226500</v>
      </c>
    </row>
    <row r="32" spans="1:20">
      <c r="A32" s="13">
        <v>28</v>
      </c>
      <c r="B32" s="204" t="s">
        <v>229</v>
      </c>
      <c r="C32" s="205"/>
      <c r="D32" s="198">
        <v>387.875</v>
      </c>
      <c r="E32" s="198">
        <v>44</v>
      </c>
      <c r="F32" s="198">
        <v>5463.75</v>
      </c>
      <c r="G32" s="199">
        <v>536.25</v>
      </c>
      <c r="H32" s="199">
        <v>68.125</v>
      </c>
      <c r="I32" s="10">
        <v>0</v>
      </c>
      <c r="J32" s="11">
        <v>0</v>
      </c>
      <c r="K32" s="11">
        <v>0</v>
      </c>
      <c r="L32" s="193">
        <v>0</v>
      </c>
      <c r="M32" s="193">
        <v>45381.38</v>
      </c>
      <c r="N32" s="193">
        <v>5148</v>
      </c>
      <c r="O32" s="193">
        <v>152985</v>
      </c>
      <c r="P32" s="193">
        <v>15015</v>
      </c>
      <c r="Q32" s="193">
        <v>7970.63</v>
      </c>
      <c r="R32" s="193">
        <v>0</v>
      </c>
      <c r="S32" s="193">
        <v>0</v>
      </c>
      <c r="T32" s="193">
        <v>226500</v>
      </c>
    </row>
    <row r="33" spans="1:20">
      <c r="A33" s="13">
        <v>29</v>
      </c>
      <c r="B33" s="204" t="s">
        <v>230</v>
      </c>
      <c r="C33" s="205"/>
      <c r="D33" s="198">
        <v>240.125</v>
      </c>
      <c r="E33" s="198">
        <v>70.125</v>
      </c>
      <c r="F33" s="198">
        <v>5633.75</v>
      </c>
      <c r="G33" s="199">
        <v>366.25</v>
      </c>
      <c r="H33" s="199">
        <v>189.75</v>
      </c>
      <c r="I33" s="10">
        <v>0</v>
      </c>
      <c r="J33" s="11">
        <v>0</v>
      </c>
      <c r="K33" s="11">
        <v>0</v>
      </c>
      <c r="L33" s="193">
        <v>0</v>
      </c>
      <c r="M33" s="193">
        <v>28094.63</v>
      </c>
      <c r="N33" s="193">
        <v>8204.6299999999992</v>
      </c>
      <c r="O33" s="193">
        <v>157745</v>
      </c>
      <c r="P33" s="193">
        <v>10255</v>
      </c>
      <c r="Q33" s="193">
        <v>22200.75</v>
      </c>
      <c r="R33" s="193">
        <v>0</v>
      </c>
      <c r="S33" s="193">
        <v>0</v>
      </c>
      <c r="T33" s="193">
        <v>226500</v>
      </c>
    </row>
    <row r="34" spans="1:20">
      <c r="A34" s="13">
        <v>30</v>
      </c>
      <c r="B34" s="204" t="s">
        <v>231</v>
      </c>
      <c r="C34" s="205"/>
      <c r="D34" s="198">
        <v>44</v>
      </c>
      <c r="E34" s="198">
        <v>44</v>
      </c>
      <c r="F34" s="198">
        <v>5633.75</v>
      </c>
      <c r="G34" s="199">
        <v>366.25</v>
      </c>
      <c r="H34" s="199">
        <v>412</v>
      </c>
      <c r="I34" s="10">
        <v>0</v>
      </c>
      <c r="J34" s="11">
        <v>0</v>
      </c>
      <c r="K34" s="11">
        <v>0</v>
      </c>
      <c r="L34" s="193">
        <v>0</v>
      </c>
      <c r="M34" s="193">
        <v>5148</v>
      </c>
      <c r="N34" s="193">
        <v>5148</v>
      </c>
      <c r="O34" s="193">
        <v>157745</v>
      </c>
      <c r="P34" s="193">
        <v>10255</v>
      </c>
      <c r="Q34" s="193">
        <v>48204</v>
      </c>
      <c r="R34" s="193">
        <v>0</v>
      </c>
      <c r="S34" s="193">
        <v>0</v>
      </c>
      <c r="T34" s="193">
        <v>226500</v>
      </c>
    </row>
    <row r="35" spans="1:20">
      <c r="A35" s="13">
        <v>31</v>
      </c>
      <c r="B35" s="204" t="s">
        <v>232</v>
      </c>
      <c r="C35" s="205"/>
      <c r="D35" s="198">
        <v>0</v>
      </c>
      <c r="E35" s="198">
        <v>0</v>
      </c>
      <c r="F35" s="198">
        <v>5633.75</v>
      </c>
      <c r="G35" s="199">
        <v>366.25</v>
      </c>
      <c r="H35" s="199">
        <v>500</v>
      </c>
      <c r="I35" s="10">
        <v>0</v>
      </c>
      <c r="J35" s="11">
        <v>0</v>
      </c>
      <c r="K35" s="11">
        <v>0</v>
      </c>
      <c r="L35" s="193">
        <v>0</v>
      </c>
      <c r="M35" s="193">
        <v>0</v>
      </c>
      <c r="N35" s="193">
        <v>0</v>
      </c>
      <c r="O35" s="193">
        <v>157745</v>
      </c>
      <c r="P35" s="193">
        <v>10255</v>
      </c>
      <c r="Q35" s="193">
        <v>58500</v>
      </c>
      <c r="R35" s="193">
        <v>0</v>
      </c>
      <c r="S35" s="193">
        <v>0</v>
      </c>
      <c r="T35" s="193">
        <v>226500</v>
      </c>
    </row>
    <row r="36" spans="1:20">
      <c r="D36" s="19">
        <v>2872.75</v>
      </c>
      <c r="E36" s="19">
        <v>3559.9250000000002</v>
      </c>
      <c r="F36" s="19">
        <v>191541.2</v>
      </c>
      <c r="G36" s="19">
        <v>7479.8250000000007</v>
      </c>
      <c r="H36" s="19">
        <v>9184.6</v>
      </c>
      <c r="I36" s="19">
        <v>0</v>
      </c>
      <c r="J36" s="20">
        <v>0</v>
      </c>
      <c r="K36" s="20">
        <v>0</v>
      </c>
      <c r="L36" s="194">
        <v>0</v>
      </c>
      <c r="M36" s="194">
        <v>336111.75</v>
      </c>
      <c r="N36" s="194">
        <v>416511.23</v>
      </c>
      <c r="O36" s="194">
        <v>5363153.5999999996</v>
      </c>
      <c r="P36" s="194">
        <v>209435.1</v>
      </c>
      <c r="Q36" s="194">
        <v>1074598.2</v>
      </c>
      <c r="R36" s="194">
        <v>0</v>
      </c>
      <c r="S36" s="194">
        <v>0</v>
      </c>
      <c r="T36" s="194">
        <v>7399809.8799999999</v>
      </c>
    </row>
    <row r="37" spans="1:20">
      <c r="R37" s="22"/>
      <c r="S37" s="22"/>
      <c r="T37" s="195">
        <v>8879771.8499999996</v>
      </c>
    </row>
  </sheetData>
  <mergeCells count="50">
    <mergeCell ref="B8:C8"/>
    <mergeCell ref="B9:C9"/>
    <mergeCell ref="B10:C10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  <mergeCell ref="B7:C7"/>
    <mergeCell ref="L3:L4"/>
    <mergeCell ref="M3:M4"/>
    <mergeCell ref="N3:N4"/>
    <mergeCell ref="O3:O4"/>
    <mergeCell ref="R3:R4"/>
    <mergeCell ref="S3:S4"/>
    <mergeCell ref="T3:T4"/>
    <mergeCell ref="B5:C5"/>
    <mergeCell ref="B6:C6"/>
    <mergeCell ref="P3:P4"/>
    <mergeCell ref="Q3:Q4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13:C13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</mergeCells>
  <pageMargins left="0.7" right="0.7" top="0.75" bottom="0.75" header="0.3" footer="0.3"/>
  <pageSetup paperSize="9" fitToHeight="5" orientation="landscape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30F14-93F1-4CD9-B74B-979C301A779F}">
  <sheetPr codeName="Лист46">
    <pageSetUpPr fitToPage="1"/>
  </sheetPr>
  <dimension ref="A1:T37"/>
  <sheetViews>
    <sheetView workbookViewId="0">
      <selection activeCell="R5" sqref="R5"/>
    </sheetView>
  </sheetViews>
  <sheetFormatPr defaultRowHeight="15"/>
  <cols>
    <col min="1" max="3" width="8.796875" style="2"/>
    <col min="4" max="4" width="7.3984375" style="2" customWidth="1"/>
    <col min="5" max="5" width="7.19921875" style="2" customWidth="1"/>
    <col min="6" max="6" width="9.19921875" style="2" customWidth="1"/>
    <col min="7" max="7" width="9" style="2" customWidth="1"/>
    <col min="8" max="8" width="6.59765625" style="2" bestFit="1" customWidth="1"/>
    <col min="9" max="9" width="7.3984375" style="2" bestFit="1" customWidth="1"/>
    <col min="10" max="10" width="6.59765625" style="2" bestFit="1" customWidth="1"/>
    <col min="11" max="12" width="8.796875" style="2"/>
    <col min="13" max="13" width="9.19921875" style="2" customWidth="1"/>
    <col min="14" max="14" width="9.5" style="2" customWidth="1"/>
    <col min="15" max="15" width="10.19921875" style="2" customWidth="1"/>
    <col min="16" max="16" width="10.19921875" style="2" bestFit="1" customWidth="1"/>
    <col min="17" max="17" width="10.5" style="2" customWidth="1"/>
    <col min="18" max="18" width="9.296875" style="2" customWidth="1"/>
    <col min="19" max="19" width="8.19921875" style="2" customWidth="1"/>
    <col min="20" max="20" width="17" style="2" customWidth="1"/>
    <col min="21" max="16384" width="8.796875" style="2"/>
  </cols>
  <sheetData>
    <row r="1" spans="1:20">
      <c r="I1" s="3"/>
    </row>
    <row r="2" spans="1:20" ht="28.9" customHeight="1">
      <c r="A2" s="209" t="s">
        <v>257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</row>
    <row r="3" spans="1:20" ht="28.9" customHeight="1">
      <c r="A3" s="206" t="s">
        <v>0</v>
      </c>
      <c r="B3" s="210" t="s">
        <v>1</v>
      </c>
      <c r="C3" s="211"/>
      <c r="D3" s="206" t="s">
        <v>2</v>
      </c>
      <c r="E3" s="206" t="s">
        <v>3</v>
      </c>
      <c r="F3" s="4" t="s">
        <v>4</v>
      </c>
      <c r="G3" s="206" t="s">
        <v>258</v>
      </c>
      <c r="H3" s="206" t="s">
        <v>237</v>
      </c>
      <c r="I3" s="206" t="s">
        <v>7</v>
      </c>
      <c r="J3" s="206" t="s">
        <v>8</v>
      </c>
      <c r="K3" s="206" t="s">
        <v>9</v>
      </c>
      <c r="L3" s="206" t="s">
        <v>10</v>
      </c>
      <c r="M3" s="206" t="s">
        <v>11</v>
      </c>
      <c r="N3" s="206" t="s">
        <v>12</v>
      </c>
      <c r="O3" s="206" t="s">
        <v>13</v>
      </c>
      <c r="P3" s="206" t="s">
        <v>14</v>
      </c>
      <c r="Q3" s="206" t="s">
        <v>15</v>
      </c>
      <c r="R3" s="206" t="s">
        <v>16</v>
      </c>
      <c r="S3" s="206" t="s">
        <v>17</v>
      </c>
      <c r="T3" s="206" t="s">
        <v>18</v>
      </c>
    </row>
    <row r="4" spans="1:20">
      <c r="A4" s="207"/>
      <c r="B4" s="212"/>
      <c r="C4" s="213"/>
      <c r="D4" s="207"/>
      <c r="E4" s="207"/>
      <c r="F4" s="5"/>
      <c r="G4" s="207"/>
      <c r="H4" s="207"/>
      <c r="I4" s="207"/>
      <c r="J4" s="207"/>
      <c r="K4" s="208"/>
      <c r="L4" s="208"/>
      <c r="M4" s="207"/>
      <c r="N4" s="207"/>
      <c r="O4" s="207"/>
      <c r="P4" s="207"/>
      <c r="Q4" s="207"/>
      <c r="R4" s="207"/>
      <c r="S4" s="207"/>
      <c r="T4" s="207"/>
    </row>
    <row r="5" spans="1:20">
      <c r="A5" s="13">
        <v>1</v>
      </c>
      <c r="B5" s="204" t="s">
        <v>202</v>
      </c>
      <c r="C5" s="205"/>
      <c r="D5" s="198">
        <v>0</v>
      </c>
      <c r="E5" s="198">
        <v>0</v>
      </c>
      <c r="F5" s="198">
        <v>3424.34</v>
      </c>
      <c r="G5" s="199">
        <v>0</v>
      </c>
      <c r="H5" s="199"/>
      <c r="I5" s="10"/>
      <c r="J5" s="10"/>
      <c r="K5" s="11"/>
      <c r="L5" s="193">
        <v>0</v>
      </c>
      <c r="M5" s="193">
        <v>0</v>
      </c>
      <c r="N5" s="193">
        <v>0</v>
      </c>
      <c r="O5" s="193">
        <v>61638.12</v>
      </c>
      <c r="P5" s="193">
        <v>0</v>
      </c>
      <c r="Q5" s="193">
        <v>0</v>
      </c>
      <c r="R5" s="193">
        <v>0</v>
      </c>
      <c r="S5" s="193">
        <v>0</v>
      </c>
      <c r="T5" s="193">
        <v>61638.12</v>
      </c>
    </row>
    <row r="6" spans="1:20">
      <c r="A6" s="13">
        <v>2</v>
      </c>
      <c r="B6" s="204" t="s">
        <v>203</v>
      </c>
      <c r="C6" s="205"/>
      <c r="D6" s="198">
        <v>0</v>
      </c>
      <c r="E6" s="198">
        <v>0</v>
      </c>
      <c r="F6" s="198">
        <v>3424.34</v>
      </c>
      <c r="G6" s="199">
        <v>0</v>
      </c>
      <c r="H6" s="199"/>
      <c r="I6" s="10"/>
      <c r="J6" s="10"/>
      <c r="K6" s="11"/>
      <c r="L6" s="193">
        <v>0</v>
      </c>
      <c r="M6" s="193">
        <v>0</v>
      </c>
      <c r="N6" s="193">
        <v>0</v>
      </c>
      <c r="O6" s="193">
        <v>61638.12</v>
      </c>
      <c r="P6" s="193">
        <v>0</v>
      </c>
      <c r="Q6" s="193">
        <v>0</v>
      </c>
      <c r="R6" s="193">
        <v>0</v>
      </c>
      <c r="S6" s="193">
        <v>0</v>
      </c>
      <c r="T6" s="193">
        <v>61638.12</v>
      </c>
    </row>
    <row r="7" spans="1:20">
      <c r="A7" s="13">
        <v>3</v>
      </c>
      <c r="B7" s="204" t="s">
        <v>204</v>
      </c>
      <c r="C7" s="205"/>
      <c r="D7" s="198">
        <v>83.239000000000004</v>
      </c>
      <c r="E7" s="198">
        <v>11.391999999999999</v>
      </c>
      <c r="F7" s="198">
        <v>3496.1869999999999</v>
      </c>
      <c r="G7" s="199">
        <v>0</v>
      </c>
      <c r="H7" s="199"/>
      <c r="I7" s="10"/>
      <c r="J7" s="10"/>
      <c r="K7" s="11"/>
      <c r="L7" s="193">
        <v>0</v>
      </c>
      <c r="M7" s="193">
        <v>9572.49</v>
      </c>
      <c r="N7" s="193">
        <v>1310.08</v>
      </c>
      <c r="O7" s="193">
        <v>62931.37</v>
      </c>
      <c r="P7" s="193">
        <v>0</v>
      </c>
      <c r="Q7" s="193">
        <v>0</v>
      </c>
      <c r="R7" s="193">
        <v>0</v>
      </c>
      <c r="S7" s="193">
        <v>0</v>
      </c>
      <c r="T7" s="193">
        <v>73813.929999999993</v>
      </c>
    </row>
    <row r="8" spans="1:20">
      <c r="A8" s="13">
        <v>4</v>
      </c>
      <c r="B8" s="204" t="s">
        <v>205</v>
      </c>
      <c r="C8" s="205"/>
      <c r="D8" s="198">
        <v>33.962000000000003</v>
      </c>
      <c r="E8" s="198">
        <v>38.524000000000001</v>
      </c>
      <c r="F8" s="198">
        <v>3491.625</v>
      </c>
      <c r="G8" s="199">
        <v>0</v>
      </c>
      <c r="H8" s="199"/>
      <c r="I8" s="10"/>
      <c r="J8" s="10"/>
      <c r="K8" s="11"/>
      <c r="L8" s="193">
        <v>0</v>
      </c>
      <c r="M8" s="193">
        <v>3905.63</v>
      </c>
      <c r="N8" s="193">
        <v>4430.26</v>
      </c>
      <c r="O8" s="193">
        <v>62849.25</v>
      </c>
      <c r="P8" s="193">
        <v>0</v>
      </c>
      <c r="Q8" s="193">
        <v>0</v>
      </c>
      <c r="R8" s="193">
        <v>0</v>
      </c>
      <c r="S8" s="193">
        <v>0</v>
      </c>
      <c r="T8" s="193">
        <v>71185.14</v>
      </c>
    </row>
    <row r="9" spans="1:20">
      <c r="A9" s="13">
        <v>5</v>
      </c>
      <c r="B9" s="204" t="s">
        <v>206</v>
      </c>
      <c r="C9" s="205"/>
      <c r="D9" s="198">
        <v>0</v>
      </c>
      <c r="E9" s="198">
        <v>26.815000000000001</v>
      </c>
      <c r="F9" s="198">
        <v>3464.81</v>
      </c>
      <c r="G9" s="199">
        <v>0</v>
      </c>
      <c r="H9" s="199"/>
      <c r="I9" s="10"/>
      <c r="J9" s="10"/>
      <c r="K9" s="11"/>
      <c r="L9" s="193">
        <v>0</v>
      </c>
      <c r="M9" s="193">
        <v>0</v>
      </c>
      <c r="N9" s="193">
        <v>3083.73</v>
      </c>
      <c r="O9" s="193">
        <v>62366.58</v>
      </c>
      <c r="P9" s="193">
        <v>0</v>
      </c>
      <c r="Q9" s="193">
        <v>0</v>
      </c>
      <c r="R9" s="193">
        <v>0</v>
      </c>
      <c r="S9" s="193">
        <v>0</v>
      </c>
      <c r="T9" s="193">
        <v>65450.31</v>
      </c>
    </row>
    <row r="10" spans="1:20">
      <c r="A10" s="13">
        <v>6</v>
      </c>
      <c r="B10" s="204" t="s">
        <v>207</v>
      </c>
      <c r="C10" s="205"/>
      <c r="D10" s="198">
        <v>0</v>
      </c>
      <c r="E10" s="198">
        <v>0</v>
      </c>
      <c r="F10" s="198">
        <v>3464.81</v>
      </c>
      <c r="G10" s="199">
        <v>0</v>
      </c>
      <c r="H10" s="199"/>
      <c r="I10" s="10"/>
      <c r="J10" s="10"/>
      <c r="K10" s="11"/>
      <c r="L10" s="193">
        <v>0</v>
      </c>
      <c r="M10" s="193">
        <v>0</v>
      </c>
      <c r="N10" s="193">
        <v>0</v>
      </c>
      <c r="O10" s="193">
        <v>62366.58</v>
      </c>
      <c r="P10" s="193">
        <v>0</v>
      </c>
      <c r="Q10" s="193">
        <v>0</v>
      </c>
      <c r="R10" s="193">
        <v>0</v>
      </c>
      <c r="S10" s="193">
        <v>0</v>
      </c>
      <c r="T10" s="193">
        <v>62366.58</v>
      </c>
    </row>
    <row r="11" spans="1:20">
      <c r="A11" s="13">
        <v>7</v>
      </c>
      <c r="B11" s="204" t="s">
        <v>208</v>
      </c>
      <c r="C11" s="205"/>
      <c r="D11" s="198">
        <v>0</v>
      </c>
      <c r="E11" s="198">
        <v>0</v>
      </c>
      <c r="F11" s="198">
        <v>3464.81</v>
      </c>
      <c r="G11" s="199">
        <v>0</v>
      </c>
      <c r="H11" s="199"/>
      <c r="I11" s="10"/>
      <c r="J11" s="10"/>
      <c r="K11" s="11"/>
      <c r="L11" s="193">
        <v>0</v>
      </c>
      <c r="M11" s="193">
        <v>0</v>
      </c>
      <c r="N11" s="193">
        <v>0</v>
      </c>
      <c r="O11" s="193">
        <v>62366.58</v>
      </c>
      <c r="P11" s="193">
        <v>0</v>
      </c>
      <c r="Q11" s="193">
        <v>0</v>
      </c>
      <c r="R11" s="193">
        <v>0</v>
      </c>
      <c r="S11" s="193">
        <v>0</v>
      </c>
      <c r="T11" s="193">
        <v>62366.58</v>
      </c>
    </row>
    <row r="12" spans="1:20">
      <c r="A12" s="13">
        <v>8</v>
      </c>
      <c r="B12" s="204" t="s">
        <v>209</v>
      </c>
      <c r="C12" s="205"/>
      <c r="D12" s="198">
        <v>0</v>
      </c>
      <c r="E12" s="198">
        <v>37.811</v>
      </c>
      <c r="F12" s="198">
        <v>3426.9989999999998</v>
      </c>
      <c r="G12" s="199">
        <v>0</v>
      </c>
      <c r="H12" s="199"/>
      <c r="I12" s="10"/>
      <c r="J12" s="10"/>
      <c r="K12" s="11"/>
      <c r="L12" s="193">
        <v>0</v>
      </c>
      <c r="M12" s="193">
        <v>0</v>
      </c>
      <c r="N12" s="193">
        <v>4348.2700000000004</v>
      </c>
      <c r="O12" s="193">
        <v>61685.98</v>
      </c>
      <c r="P12" s="193">
        <v>0</v>
      </c>
      <c r="Q12" s="193">
        <v>0</v>
      </c>
      <c r="R12" s="193">
        <v>0</v>
      </c>
      <c r="S12" s="193">
        <v>0</v>
      </c>
      <c r="T12" s="193">
        <v>66034.25</v>
      </c>
    </row>
    <row r="13" spans="1:20">
      <c r="A13" s="13">
        <v>9</v>
      </c>
      <c r="B13" s="204" t="s">
        <v>210</v>
      </c>
      <c r="C13" s="205"/>
      <c r="D13" s="198">
        <v>0</v>
      </c>
      <c r="E13" s="198">
        <v>13.05</v>
      </c>
      <c r="F13" s="198">
        <v>3413.9490000000001</v>
      </c>
      <c r="G13" s="199">
        <v>0</v>
      </c>
      <c r="H13" s="199"/>
      <c r="I13" s="10"/>
      <c r="J13" s="10"/>
      <c r="K13" s="11"/>
      <c r="L13" s="193">
        <v>0</v>
      </c>
      <c r="M13" s="193">
        <v>0</v>
      </c>
      <c r="N13" s="193">
        <v>1500.75</v>
      </c>
      <c r="O13" s="193">
        <v>61451.08</v>
      </c>
      <c r="P13" s="193">
        <v>0</v>
      </c>
      <c r="Q13" s="193">
        <v>0</v>
      </c>
      <c r="R13" s="193">
        <v>0</v>
      </c>
      <c r="S13" s="193">
        <v>0</v>
      </c>
      <c r="T13" s="193">
        <v>62951.83</v>
      </c>
    </row>
    <row r="14" spans="1:20">
      <c r="A14" s="13">
        <v>10</v>
      </c>
      <c r="B14" s="204" t="s">
        <v>211</v>
      </c>
      <c r="C14" s="205"/>
      <c r="D14" s="198">
        <v>0</v>
      </c>
      <c r="E14" s="198">
        <v>19.939</v>
      </c>
      <c r="F14" s="198">
        <v>3394.01</v>
      </c>
      <c r="G14" s="199">
        <v>0</v>
      </c>
      <c r="H14" s="199"/>
      <c r="I14" s="10"/>
      <c r="J14" s="10"/>
      <c r="K14" s="11"/>
      <c r="L14" s="193">
        <v>0</v>
      </c>
      <c r="M14" s="193">
        <v>0</v>
      </c>
      <c r="N14" s="193">
        <v>2292.9899999999998</v>
      </c>
      <c r="O14" s="193">
        <v>61092.18</v>
      </c>
      <c r="P14" s="193">
        <v>0</v>
      </c>
      <c r="Q14" s="193">
        <v>0</v>
      </c>
      <c r="R14" s="193">
        <v>0</v>
      </c>
      <c r="S14" s="193">
        <v>0</v>
      </c>
      <c r="T14" s="193">
        <v>63385.17</v>
      </c>
    </row>
    <row r="15" spans="1:20">
      <c r="A15" s="13">
        <v>11</v>
      </c>
      <c r="B15" s="204" t="s">
        <v>212</v>
      </c>
      <c r="C15" s="205"/>
      <c r="D15" s="198">
        <v>0</v>
      </c>
      <c r="E15" s="198">
        <v>20.16</v>
      </c>
      <c r="F15" s="198">
        <v>3373.85</v>
      </c>
      <c r="G15" s="199">
        <v>0</v>
      </c>
      <c r="H15" s="199"/>
      <c r="I15" s="10"/>
      <c r="J15" s="10"/>
      <c r="K15" s="11"/>
      <c r="L15" s="193">
        <v>0</v>
      </c>
      <c r="M15" s="193">
        <v>0</v>
      </c>
      <c r="N15" s="193">
        <v>2318.4</v>
      </c>
      <c r="O15" s="193">
        <v>60729.3</v>
      </c>
      <c r="P15" s="193">
        <v>0</v>
      </c>
      <c r="Q15" s="193">
        <v>0</v>
      </c>
      <c r="R15" s="193">
        <v>0</v>
      </c>
      <c r="S15" s="193">
        <v>0</v>
      </c>
      <c r="T15" s="193">
        <v>63047.7</v>
      </c>
    </row>
    <row r="16" spans="1:20">
      <c r="A16" s="13">
        <v>12</v>
      </c>
      <c r="B16" s="204" t="s">
        <v>213</v>
      </c>
      <c r="C16" s="205"/>
      <c r="D16" s="198">
        <v>21.6</v>
      </c>
      <c r="E16" s="198">
        <v>0</v>
      </c>
      <c r="F16" s="198">
        <v>3395.45</v>
      </c>
      <c r="G16" s="199">
        <v>0</v>
      </c>
      <c r="H16" s="199"/>
      <c r="I16" s="10"/>
      <c r="J16" s="10"/>
      <c r="K16" s="18"/>
      <c r="L16" s="193">
        <v>0</v>
      </c>
      <c r="M16" s="193">
        <v>2484</v>
      </c>
      <c r="N16" s="193">
        <v>0</v>
      </c>
      <c r="O16" s="193">
        <v>61118.1</v>
      </c>
      <c r="P16" s="193">
        <v>0</v>
      </c>
      <c r="Q16" s="193">
        <v>0</v>
      </c>
      <c r="R16" s="193">
        <v>0</v>
      </c>
      <c r="S16" s="193">
        <v>0</v>
      </c>
      <c r="T16" s="193">
        <v>63602.1</v>
      </c>
    </row>
    <row r="17" spans="1:20">
      <c r="A17" s="13">
        <v>13</v>
      </c>
      <c r="B17" s="204" t="s">
        <v>214</v>
      </c>
      <c r="C17" s="205"/>
      <c r="D17" s="198">
        <v>0</v>
      </c>
      <c r="E17" s="198">
        <v>19.904</v>
      </c>
      <c r="F17" s="198">
        <v>3375.5459999999998</v>
      </c>
      <c r="G17" s="199">
        <v>0</v>
      </c>
      <c r="H17" s="199"/>
      <c r="I17" s="10"/>
      <c r="J17" s="10"/>
      <c r="K17" s="11"/>
      <c r="L17" s="193">
        <v>0</v>
      </c>
      <c r="M17" s="193">
        <v>0</v>
      </c>
      <c r="N17" s="193">
        <v>2288.96</v>
      </c>
      <c r="O17" s="193">
        <v>60759.83</v>
      </c>
      <c r="P17" s="193">
        <v>0</v>
      </c>
      <c r="Q17" s="193">
        <v>0</v>
      </c>
      <c r="R17" s="193">
        <v>0</v>
      </c>
      <c r="S17" s="193">
        <v>0</v>
      </c>
      <c r="T17" s="193">
        <v>63048.79</v>
      </c>
    </row>
    <row r="18" spans="1:20">
      <c r="A18" s="13">
        <v>14</v>
      </c>
      <c r="B18" s="204" t="s">
        <v>215</v>
      </c>
      <c r="C18" s="205"/>
      <c r="D18" s="198">
        <v>0</v>
      </c>
      <c r="E18" s="198">
        <v>0</v>
      </c>
      <c r="F18" s="198">
        <v>3375.5459999999998</v>
      </c>
      <c r="G18" s="199">
        <v>0</v>
      </c>
      <c r="H18" s="199"/>
      <c r="I18" s="10"/>
      <c r="J18" s="10"/>
      <c r="K18" s="11"/>
      <c r="L18" s="193">
        <v>0</v>
      </c>
      <c r="M18" s="193">
        <v>0</v>
      </c>
      <c r="N18" s="193">
        <v>0</v>
      </c>
      <c r="O18" s="193">
        <v>60759.83</v>
      </c>
      <c r="P18" s="193">
        <v>0</v>
      </c>
      <c r="Q18" s="193">
        <v>0</v>
      </c>
      <c r="R18" s="193">
        <v>0</v>
      </c>
      <c r="S18" s="193">
        <v>0</v>
      </c>
      <c r="T18" s="193">
        <v>60759.83</v>
      </c>
    </row>
    <row r="19" spans="1:20">
      <c r="A19" s="13">
        <v>15</v>
      </c>
      <c r="B19" s="204" t="s">
        <v>216</v>
      </c>
      <c r="C19" s="205"/>
      <c r="D19" s="198">
        <v>0</v>
      </c>
      <c r="E19" s="198">
        <v>0</v>
      </c>
      <c r="F19" s="198">
        <v>3375.5459999999998</v>
      </c>
      <c r="G19" s="199">
        <v>0</v>
      </c>
      <c r="H19" s="199"/>
      <c r="I19" s="10"/>
      <c r="J19" s="10"/>
      <c r="K19" s="11"/>
      <c r="L19" s="193">
        <v>0</v>
      </c>
      <c r="M19" s="193">
        <v>0</v>
      </c>
      <c r="N19" s="193">
        <v>0</v>
      </c>
      <c r="O19" s="193">
        <v>60759.83</v>
      </c>
      <c r="P19" s="193">
        <v>0</v>
      </c>
      <c r="Q19" s="193">
        <v>0</v>
      </c>
      <c r="R19" s="193">
        <v>0</v>
      </c>
      <c r="S19" s="193">
        <v>0</v>
      </c>
      <c r="T19" s="193">
        <v>60759.83</v>
      </c>
    </row>
    <row r="20" spans="1:20">
      <c r="A20" s="13">
        <v>16</v>
      </c>
      <c r="B20" s="204" t="s">
        <v>217</v>
      </c>
      <c r="C20" s="205"/>
      <c r="D20" s="198">
        <v>0</v>
      </c>
      <c r="E20" s="198">
        <v>19.989999999999998</v>
      </c>
      <c r="F20" s="198">
        <v>3355.556</v>
      </c>
      <c r="G20" s="199">
        <v>0</v>
      </c>
      <c r="H20" s="199"/>
      <c r="I20" s="10"/>
      <c r="J20" s="10"/>
      <c r="K20" s="11"/>
      <c r="L20" s="193">
        <v>0</v>
      </c>
      <c r="M20" s="193">
        <v>0</v>
      </c>
      <c r="N20" s="193">
        <v>2298.85</v>
      </c>
      <c r="O20" s="193">
        <v>60400.01</v>
      </c>
      <c r="P20" s="193">
        <v>0</v>
      </c>
      <c r="Q20" s="193">
        <v>0</v>
      </c>
      <c r="R20" s="193">
        <v>0</v>
      </c>
      <c r="S20" s="193">
        <v>0</v>
      </c>
      <c r="T20" s="193">
        <v>62698.86</v>
      </c>
    </row>
    <row r="21" spans="1:20">
      <c r="A21" s="13">
        <v>17</v>
      </c>
      <c r="B21" s="204" t="s">
        <v>218</v>
      </c>
      <c r="C21" s="205"/>
      <c r="D21" s="198">
        <v>0</v>
      </c>
      <c r="E21" s="198">
        <v>18.899999999999999</v>
      </c>
      <c r="F21" s="198">
        <v>3336.6559999999999</v>
      </c>
      <c r="G21" s="199">
        <v>0</v>
      </c>
      <c r="H21" s="199"/>
      <c r="I21" s="10"/>
      <c r="J21" s="10"/>
      <c r="K21" s="11"/>
      <c r="L21" s="193">
        <v>0</v>
      </c>
      <c r="M21" s="193">
        <v>0</v>
      </c>
      <c r="N21" s="193">
        <v>2173.5</v>
      </c>
      <c r="O21" s="193">
        <v>60059.81</v>
      </c>
      <c r="P21" s="193">
        <v>0</v>
      </c>
      <c r="Q21" s="193">
        <v>0</v>
      </c>
      <c r="R21" s="193">
        <v>0</v>
      </c>
      <c r="S21" s="193">
        <v>0</v>
      </c>
      <c r="T21" s="193">
        <v>62233.31</v>
      </c>
    </row>
    <row r="22" spans="1:20">
      <c r="A22" s="13">
        <v>18</v>
      </c>
      <c r="B22" s="204" t="s">
        <v>219</v>
      </c>
      <c r="C22" s="205"/>
      <c r="D22" s="198">
        <v>0</v>
      </c>
      <c r="E22" s="198">
        <v>38.863</v>
      </c>
      <c r="F22" s="198">
        <v>3297.7930000000001</v>
      </c>
      <c r="G22" s="199">
        <v>0</v>
      </c>
      <c r="H22" s="199"/>
      <c r="I22" s="10"/>
      <c r="J22" s="10"/>
      <c r="K22" s="11"/>
      <c r="L22" s="193">
        <v>0</v>
      </c>
      <c r="M22" s="193">
        <v>0</v>
      </c>
      <c r="N22" s="193">
        <v>4469.25</v>
      </c>
      <c r="O22" s="193">
        <v>59360.27</v>
      </c>
      <c r="P22" s="193">
        <v>0</v>
      </c>
      <c r="Q22" s="193">
        <v>0</v>
      </c>
      <c r="R22" s="193">
        <v>0</v>
      </c>
      <c r="S22" s="193">
        <v>0</v>
      </c>
      <c r="T22" s="193">
        <v>63829.52</v>
      </c>
    </row>
    <row r="23" spans="1:20">
      <c r="A23" s="13">
        <v>19</v>
      </c>
      <c r="B23" s="204" t="s">
        <v>220</v>
      </c>
      <c r="C23" s="205"/>
      <c r="D23" s="198">
        <v>0</v>
      </c>
      <c r="E23" s="198">
        <v>58.618000000000002</v>
      </c>
      <c r="F23" s="198">
        <v>3239.1750000000002</v>
      </c>
      <c r="G23" s="199">
        <v>10.824999999999818</v>
      </c>
      <c r="H23" s="199"/>
      <c r="I23" s="10"/>
      <c r="J23" s="10"/>
      <c r="K23" s="11"/>
      <c r="L23" s="193">
        <v>0</v>
      </c>
      <c r="M23" s="193">
        <v>0</v>
      </c>
      <c r="N23" s="193">
        <v>6741.07</v>
      </c>
      <c r="O23" s="193">
        <v>58305.15</v>
      </c>
      <c r="P23" s="193">
        <v>194.85</v>
      </c>
      <c r="Q23" s="193">
        <v>0</v>
      </c>
      <c r="R23" s="193">
        <v>0</v>
      </c>
      <c r="S23" s="193">
        <v>0</v>
      </c>
      <c r="T23" s="193">
        <v>65241.07</v>
      </c>
    </row>
    <row r="24" spans="1:20">
      <c r="A24" s="13">
        <v>20</v>
      </c>
      <c r="B24" s="204" t="s">
        <v>221</v>
      </c>
      <c r="C24" s="205"/>
      <c r="D24" s="198">
        <v>137.16</v>
      </c>
      <c r="E24" s="198">
        <v>0</v>
      </c>
      <c r="F24" s="198">
        <v>3376.335</v>
      </c>
      <c r="G24" s="199">
        <v>0</v>
      </c>
      <c r="H24" s="199"/>
      <c r="I24" s="10"/>
      <c r="J24" s="10"/>
      <c r="K24" s="11"/>
      <c r="L24" s="193">
        <v>0</v>
      </c>
      <c r="M24" s="193">
        <v>15773.4</v>
      </c>
      <c r="N24" s="193">
        <v>0</v>
      </c>
      <c r="O24" s="193">
        <v>60774.03</v>
      </c>
      <c r="P24" s="193">
        <v>0</v>
      </c>
      <c r="Q24" s="193">
        <v>0</v>
      </c>
      <c r="R24" s="193">
        <v>0</v>
      </c>
      <c r="S24" s="193">
        <v>0</v>
      </c>
      <c r="T24" s="193">
        <v>76547.429999999993</v>
      </c>
    </row>
    <row r="25" spans="1:20">
      <c r="A25" s="13">
        <v>21</v>
      </c>
      <c r="B25" s="204" t="s">
        <v>222</v>
      </c>
      <c r="C25" s="205"/>
      <c r="D25" s="198">
        <v>172.8</v>
      </c>
      <c r="E25" s="198">
        <v>0</v>
      </c>
      <c r="F25" s="198">
        <v>3549.1350000000002</v>
      </c>
      <c r="G25" s="199">
        <v>0</v>
      </c>
      <c r="H25" s="199"/>
      <c r="I25" s="10"/>
      <c r="J25" s="10"/>
      <c r="K25" s="11"/>
      <c r="L25" s="193">
        <v>0</v>
      </c>
      <c r="M25" s="193">
        <v>19872</v>
      </c>
      <c r="N25" s="193">
        <v>0</v>
      </c>
      <c r="O25" s="193">
        <v>63884.43</v>
      </c>
      <c r="P25" s="193">
        <v>0</v>
      </c>
      <c r="Q25" s="193">
        <v>0</v>
      </c>
      <c r="R25" s="193">
        <v>0</v>
      </c>
      <c r="S25" s="193">
        <v>0</v>
      </c>
      <c r="T25" s="193">
        <v>83756.429999999993</v>
      </c>
    </row>
    <row r="26" spans="1:20">
      <c r="A26" s="13">
        <v>22</v>
      </c>
      <c r="B26" s="204" t="s">
        <v>223</v>
      </c>
      <c r="C26" s="205"/>
      <c r="D26" s="198">
        <v>0</v>
      </c>
      <c r="E26" s="198">
        <v>0</v>
      </c>
      <c r="F26" s="198">
        <v>3549.1350000000002</v>
      </c>
      <c r="G26" s="199">
        <v>0</v>
      </c>
      <c r="H26" s="199"/>
      <c r="I26" s="10"/>
      <c r="J26" s="10"/>
      <c r="K26" s="11"/>
      <c r="L26" s="193">
        <v>0</v>
      </c>
      <c r="M26" s="193">
        <v>0</v>
      </c>
      <c r="N26" s="193">
        <v>0</v>
      </c>
      <c r="O26" s="193">
        <v>63884.43</v>
      </c>
      <c r="P26" s="193">
        <v>0</v>
      </c>
      <c r="Q26" s="193">
        <v>0</v>
      </c>
      <c r="R26" s="193">
        <v>0</v>
      </c>
      <c r="S26" s="193">
        <v>0</v>
      </c>
      <c r="T26" s="193">
        <v>63884.43</v>
      </c>
    </row>
    <row r="27" spans="1:20">
      <c r="A27" s="13">
        <v>23</v>
      </c>
      <c r="B27" s="204" t="s">
        <v>224</v>
      </c>
      <c r="C27" s="205"/>
      <c r="D27" s="198">
        <v>63.593000000000004</v>
      </c>
      <c r="E27" s="198">
        <v>19.587</v>
      </c>
      <c r="F27" s="198">
        <v>3593.1410000000001</v>
      </c>
      <c r="G27" s="199">
        <v>0</v>
      </c>
      <c r="H27" s="199"/>
      <c r="I27" s="10"/>
      <c r="J27" s="10"/>
      <c r="K27" s="11"/>
      <c r="L27" s="193">
        <v>0</v>
      </c>
      <c r="M27" s="193">
        <v>7313.2</v>
      </c>
      <c r="N27" s="193">
        <v>2252.5100000000002</v>
      </c>
      <c r="O27" s="193">
        <v>64676.54</v>
      </c>
      <c r="P27" s="193">
        <v>0</v>
      </c>
      <c r="Q27" s="193">
        <v>0</v>
      </c>
      <c r="R27" s="193">
        <v>0</v>
      </c>
      <c r="S27" s="193">
        <v>0</v>
      </c>
      <c r="T27" s="193">
        <v>74242.240000000005</v>
      </c>
    </row>
    <row r="28" spans="1:20">
      <c r="A28" s="13">
        <v>24</v>
      </c>
      <c r="B28" s="204" t="s">
        <v>225</v>
      </c>
      <c r="C28" s="205"/>
      <c r="D28" s="198">
        <v>20.16</v>
      </c>
      <c r="E28" s="198">
        <v>59.469000000000001</v>
      </c>
      <c r="F28" s="198">
        <v>3553.8319999999999</v>
      </c>
      <c r="G28" s="199">
        <v>0</v>
      </c>
      <c r="H28" s="199"/>
      <c r="I28" s="10"/>
      <c r="J28" s="10"/>
      <c r="K28" s="11"/>
      <c r="L28" s="193">
        <v>0</v>
      </c>
      <c r="M28" s="193">
        <v>2318.4</v>
      </c>
      <c r="N28" s="193">
        <v>6838.94</v>
      </c>
      <c r="O28" s="193">
        <v>63968.98</v>
      </c>
      <c r="P28" s="193">
        <v>0</v>
      </c>
      <c r="Q28" s="193">
        <v>0</v>
      </c>
      <c r="R28" s="193">
        <v>0</v>
      </c>
      <c r="S28" s="193">
        <v>0</v>
      </c>
      <c r="T28" s="193">
        <v>73126.31</v>
      </c>
    </row>
    <row r="29" spans="1:20">
      <c r="A29" s="13">
        <v>25</v>
      </c>
      <c r="B29" s="204" t="s">
        <v>226</v>
      </c>
      <c r="C29" s="205"/>
      <c r="D29" s="198">
        <v>42</v>
      </c>
      <c r="E29" s="198">
        <v>152.88</v>
      </c>
      <c r="F29" s="198">
        <v>3442.9520000000002</v>
      </c>
      <c r="G29" s="199">
        <v>0</v>
      </c>
      <c r="H29" s="199"/>
      <c r="I29" s="10"/>
      <c r="J29" s="10"/>
      <c r="K29" s="11"/>
      <c r="L29" s="193">
        <v>0</v>
      </c>
      <c r="M29" s="193">
        <v>4830</v>
      </c>
      <c r="N29" s="193">
        <v>17581.2</v>
      </c>
      <c r="O29" s="193">
        <v>61973.14</v>
      </c>
      <c r="P29" s="193">
        <v>0</v>
      </c>
      <c r="Q29" s="193">
        <v>0</v>
      </c>
      <c r="R29" s="193">
        <v>0</v>
      </c>
      <c r="S29" s="193">
        <v>0</v>
      </c>
      <c r="T29" s="193">
        <v>84384.34</v>
      </c>
    </row>
    <row r="30" spans="1:20">
      <c r="A30" s="13">
        <v>26</v>
      </c>
      <c r="B30" s="204" t="s">
        <v>227</v>
      </c>
      <c r="C30" s="205"/>
      <c r="D30" s="198">
        <v>86.4</v>
      </c>
      <c r="E30" s="198">
        <v>21.225999999999999</v>
      </c>
      <c r="F30" s="198">
        <v>3508.1260000000002</v>
      </c>
      <c r="G30" s="199">
        <v>0</v>
      </c>
      <c r="H30" s="199"/>
      <c r="I30" s="10"/>
      <c r="J30" s="10"/>
      <c r="K30" s="11"/>
      <c r="L30" s="193">
        <v>0</v>
      </c>
      <c r="M30" s="193">
        <v>9936</v>
      </c>
      <c r="N30" s="193">
        <v>2440.9899999999998</v>
      </c>
      <c r="O30" s="193">
        <v>63146.27</v>
      </c>
      <c r="P30" s="193">
        <v>0</v>
      </c>
      <c r="Q30" s="193">
        <v>0</v>
      </c>
      <c r="R30" s="193">
        <v>0</v>
      </c>
      <c r="S30" s="193">
        <v>0</v>
      </c>
      <c r="T30" s="193">
        <v>75523.259999999995</v>
      </c>
    </row>
    <row r="31" spans="1:20">
      <c r="A31" s="13">
        <v>27</v>
      </c>
      <c r="B31" s="204" t="s">
        <v>228</v>
      </c>
      <c r="C31" s="205"/>
      <c r="D31" s="198">
        <v>86.4</v>
      </c>
      <c r="E31" s="198">
        <v>19.712</v>
      </c>
      <c r="F31" s="198">
        <v>3574.8139999999999</v>
      </c>
      <c r="G31" s="199">
        <v>0</v>
      </c>
      <c r="H31" s="199"/>
      <c r="I31" s="10"/>
      <c r="J31" s="10"/>
      <c r="K31" s="11"/>
      <c r="L31" s="193">
        <v>0</v>
      </c>
      <c r="M31" s="193">
        <v>9936</v>
      </c>
      <c r="N31" s="193">
        <v>2266.88</v>
      </c>
      <c r="O31" s="193">
        <v>64346.65</v>
      </c>
      <c r="P31" s="193">
        <v>0</v>
      </c>
      <c r="Q31" s="193">
        <v>0</v>
      </c>
      <c r="R31" s="193">
        <v>0</v>
      </c>
      <c r="S31" s="193">
        <v>0</v>
      </c>
      <c r="T31" s="193">
        <v>76549.53</v>
      </c>
    </row>
    <row r="32" spans="1:20">
      <c r="A32" s="13">
        <v>28</v>
      </c>
      <c r="B32" s="204" t="s">
        <v>229</v>
      </c>
      <c r="C32" s="205"/>
      <c r="D32" s="198">
        <v>0</v>
      </c>
      <c r="E32" s="198">
        <v>0</v>
      </c>
      <c r="F32" s="198">
        <v>3574.8139999999999</v>
      </c>
      <c r="G32" s="199">
        <v>0</v>
      </c>
      <c r="H32" s="199"/>
      <c r="I32" s="10"/>
      <c r="J32" s="10"/>
      <c r="K32" s="11"/>
      <c r="L32" s="193">
        <v>0</v>
      </c>
      <c r="M32" s="193">
        <v>0</v>
      </c>
      <c r="N32" s="193">
        <v>0</v>
      </c>
      <c r="O32" s="193">
        <v>64346.65</v>
      </c>
      <c r="P32" s="193">
        <v>0</v>
      </c>
      <c r="Q32" s="193">
        <v>0</v>
      </c>
      <c r="R32" s="193">
        <v>0</v>
      </c>
      <c r="S32" s="193">
        <v>0</v>
      </c>
      <c r="T32" s="193">
        <v>64346.65</v>
      </c>
    </row>
    <row r="33" spans="1:20">
      <c r="A33" s="13">
        <v>29</v>
      </c>
      <c r="B33" s="204" t="s">
        <v>230</v>
      </c>
      <c r="C33" s="205"/>
      <c r="D33" s="198">
        <v>64.8</v>
      </c>
      <c r="E33" s="198">
        <v>0</v>
      </c>
      <c r="F33" s="198">
        <v>3639.614</v>
      </c>
      <c r="G33" s="199">
        <v>0</v>
      </c>
      <c r="H33" s="199"/>
      <c r="I33" s="10"/>
      <c r="J33" s="10"/>
      <c r="K33" s="11"/>
      <c r="L33" s="193">
        <v>0</v>
      </c>
      <c r="M33" s="193">
        <v>7452</v>
      </c>
      <c r="N33" s="193">
        <v>0</v>
      </c>
      <c r="O33" s="193">
        <v>65513.05</v>
      </c>
      <c r="P33" s="193">
        <v>0</v>
      </c>
      <c r="Q33" s="193">
        <v>0</v>
      </c>
      <c r="R33" s="193">
        <v>0</v>
      </c>
      <c r="S33" s="193">
        <v>0</v>
      </c>
      <c r="T33" s="193">
        <v>72965.05</v>
      </c>
    </row>
    <row r="34" spans="1:20">
      <c r="A34" s="13">
        <v>30</v>
      </c>
      <c r="B34" s="204" t="s">
        <v>231</v>
      </c>
      <c r="C34" s="205"/>
      <c r="D34" s="198">
        <v>43.2</v>
      </c>
      <c r="E34" s="198">
        <v>0</v>
      </c>
      <c r="F34" s="198">
        <v>3682.8139999999999</v>
      </c>
      <c r="G34" s="199">
        <v>0</v>
      </c>
      <c r="H34" s="199"/>
      <c r="I34" s="10"/>
      <c r="J34" s="10"/>
      <c r="K34" s="11"/>
      <c r="L34" s="193">
        <v>0</v>
      </c>
      <c r="M34" s="193">
        <v>4968</v>
      </c>
      <c r="N34" s="193">
        <v>0</v>
      </c>
      <c r="O34" s="193">
        <v>66290.649999999994</v>
      </c>
      <c r="P34" s="193">
        <v>0</v>
      </c>
      <c r="Q34" s="193">
        <v>0</v>
      </c>
      <c r="R34" s="193">
        <v>0</v>
      </c>
      <c r="S34" s="193">
        <v>0</v>
      </c>
      <c r="T34" s="193">
        <v>71258.649999999994</v>
      </c>
    </row>
    <row r="35" spans="1:20">
      <c r="A35" s="13">
        <v>31</v>
      </c>
      <c r="B35" s="204" t="s">
        <v>232</v>
      </c>
      <c r="C35" s="205"/>
      <c r="D35" s="198">
        <v>43.2</v>
      </c>
      <c r="E35" s="198">
        <v>0</v>
      </c>
      <c r="F35" s="198">
        <v>3726.0140000000001</v>
      </c>
      <c r="G35" s="199">
        <v>0</v>
      </c>
      <c r="H35" s="199"/>
      <c r="I35" s="10"/>
      <c r="J35" s="10"/>
      <c r="K35" s="11"/>
      <c r="L35" s="193">
        <v>0</v>
      </c>
      <c r="M35" s="193">
        <v>4968</v>
      </c>
      <c r="N35" s="193">
        <v>0</v>
      </c>
      <c r="O35" s="193">
        <v>67068.25</v>
      </c>
      <c r="P35" s="193">
        <v>0</v>
      </c>
      <c r="Q35" s="193">
        <v>0</v>
      </c>
      <c r="R35" s="193">
        <v>0</v>
      </c>
      <c r="S35" s="193">
        <v>0</v>
      </c>
      <c r="T35" s="193">
        <v>72036.25</v>
      </c>
    </row>
    <row r="36" spans="1:20">
      <c r="D36" s="19">
        <v>898.51400000000001</v>
      </c>
      <c r="E36" s="19">
        <v>596.84</v>
      </c>
      <c r="F36" s="19">
        <v>107361.724</v>
      </c>
      <c r="G36" s="19">
        <v>10.824999999999818</v>
      </c>
      <c r="H36" s="19">
        <v>0</v>
      </c>
      <c r="I36" s="19">
        <v>0</v>
      </c>
      <c r="J36" s="19">
        <v>0</v>
      </c>
      <c r="K36" s="20">
        <v>0</v>
      </c>
      <c r="L36" s="194">
        <v>0</v>
      </c>
      <c r="M36" s="194">
        <v>103329.11</v>
      </c>
      <c r="N36" s="194">
        <v>68636.600000000006</v>
      </c>
      <c r="O36" s="194">
        <v>1932511.03</v>
      </c>
      <c r="P36" s="194">
        <v>194.85</v>
      </c>
      <c r="Q36" s="194">
        <v>0</v>
      </c>
      <c r="R36" s="194">
        <v>0</v>
      </c>
      <c r="S36" s="194">
        <v>0</v>
      </c>
      <c r="T36" s="194">
        <v>2104671.59</v>
      </c>
    </row>
    <row r="37" spans="1:20">
      <c r="R37" s="22"/>
      <c r="S37" s="22"/>
      <c r="T37" s="195">
        <v>2525605.91</v>
      </c>
    </row>
  </sheetData>
  <mergeCells count="50">
    <mergeCell ref="B8:C8"/>
    <mergeCell ref="B9:C9"/>
    <mergeCell ref="B10:C10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  <mergeCell ref="B7:C7"/>
    <mergeCell ref="L3:L4"/>
    <mergeCell ref="M3:M4"/>
    <mergeCell ref="N3:N4"/>
    <mergeCell ref="O3:O4"/>
    <mergeCell ref="R3:R4"/>
    <mergeCell ref="S3:S4"/>
    <mergeCell ref="T3:T4"/>
    <mergeCell ref="B5:C5"/>
    <mergeCell ref="B6:C6"/>
    <mergeCell ref="P3:P4"/>
    <mergeCell ref="Q3:Q4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13:C13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</mergeCells>
  <pageMargins left="0.7" right="0.7" top="0.75" bottom="0.75" header="0.3" footer="0.3"/>
  <pageSetup paperSize="9" fitToHeight="5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ABAF8-7C81-4C86-9D52-B62472B361DB}">
  <sheetPr codeName="Лист47">
    <pageSetUpPr fitToPage="1"/>
  </sheetPr>
  <dimension ref="A1:T37"/>
  <sheetViews>
    <sheetView workbookViewId="0">
      <selection activeCell="O5" sqref="O5:O35"/>
    </sheetView>
  </sheetViews>
  <sheetFormatPr defaultRowHeight="15"/>
  <cols>
    <col min="1" max="3" width="8.796875" style="2"/>
    <col min="4" max="4" width="8.59765625" style="2" customWidth="1"/>
    <col min="5" max="5" width="8.09765625" style="2" customWidth="1"/>
    <col min="6" max="6" width="9" style="2" customWidth="1"/>
    <col min="7" max="7" width="6.69921875" style="2" bestFit="1" customWidth="1"/>
    <col min="8" max="8" width="6.5" style="2" bestFit="1" customWidth="1"/>
    <col min="9" max="9" width="7.296875" style="2" bestFit="1" customWidth="1"/>
    <col min="10" max="10" width="6.5" style="2" bestFit="1" customWidth="1"/>
    <col min="11" max="12" width="8.796875" style="2"/>
    <col min="13" max="13" width="9.19921875" style="2" customWidth="1"/>
    <col min="14" max="14" width="9.5" style="2" customWidth="1"/>
    <col min="15" max="15" width="10.19921875" style="2" customWidth="1"/>
    <col min="16" max="16" width="10.19921875" style="2" bestFit="1" customWidth="1"/>
    <col min="17" max="17" width="10.5" style="2" customWidth="1"/>
    <col min="18" max="18" width="9.296875" style="2" customWidth="1"/>
    <col min="19" max="19" width="8.19921875" style="2" customWidth="1"/>
    <col min="20" max="20" width="17" style="2" customWidth="1"/>
    <col min="21" max="16384" width="8.796875" style="2"/>
  </cols>
  <sheetData>
    <row r="1" spans="1:20">
      <c r="I1" s="3"/>
    </row>
    <row r="2" spans="1:20" ht="28.9" customHeight="1">
      <c r="A2" s="209" t="s">
        <v>259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</row>
    <row r="3" spans="1:20" ht="28.9" customHeight="1">
      <c r="A3" s="206" t="s">
        <v>0</v>
      </c>
      <c r="B3" s="210" t="s">
        <v>1</v>
      </c>
      <c r="C3" s="211"/>
      <c r="D3" s="206" t="s">
        <v>2</v>
      </c>
      <c r="E3" s="206" t="s">
        <v>3</v>
      </c>
      <c r="F3" s="4" t="s">
        <v>4</v>
      </c>
      <c r="G3" s="206" t="s">
        <v>260</v>
      </c>
      <c r="H3" s="206" t="s">
        <v>261</v>
      </c>
      <c r="I3" s="206" t="s">
        <v>7</v>
      </c>
      <c r="J3" s="206" t="s">
        <v>8</v>
      </c>
      <c r="K3" s="206" t="s">
        <v>9</v>
      </c>
      <c r="L3" s="206" t="s">
        <v>10</v>
      </c>
      <c r="M3" s="206" t="s">
        <v>11</v>
      </c>
      <c r="N3" s="206" t="s">
        <v>12</v>
      </c>
      <c r="O3" s="206" t="s">
        <v>13</v>
      </c>
      <c r="P3" s="206" t="s">
        <v>14</v>
      </c>
      <c r="Q3" s="206" t="s">
        <v>15</v>
      </c>
      <c r="R3" s="206" t="s">
        <v>16</v>
      </c>
      <c r="S3" s="206" t="s">
        <v>17</v>
      </c>
      <c r="T3" s="206" t="s">
        <v>18</v>
      </c>
    </row>
    <row r="4" spans="1:20">
      <c r="A4" s="207"/>
      <c r="B4" s="212"/>
      <c r="C4" s="213"/>
      <c r="D4" s="207"/>
      <c r="E4" s="207"/>
      <c r="F4" s="5"/>
      <c r="G4" s="207"/>
      <c r="H4" s="207"/>
      <c r="I4" s="207"/>
      <c r="J4" s="207"/>
      <c r="K4" s="208"/>
      <c r="L4" s="208"/>
      <c r="M4" s="207"/>
      <c r="N4" s="207"/>
      <c r="O4" s="207"/>
      <c r="P4" s="207"/>
      <c r="Q4" s="207"/>
      <c r="R4" s="207"/>
      <c r="S4" s="207"/>
      <c r="T4" s="207"/>
    </row>
    <row r="5" spans="1:20">
      <c r="A5" s="13">
        <v>1</v>
      </c>
      <c r="B5" s="204" t="s">
        <v>202</v>
      </c>
      <c r="C5" s="205"/>
      <c r="D5" s="198">
        <v>0</v>
      </c>
      <c r="E5" s="198">
        <v>20.25</v>
      </c>
      <c r="F5" s="198">
        <v>143.25</v>
      </c>
      <c r="G5" s="199"/>
      <c r="H5" s="199"/>
      <c r="I5" s="10">
        <v>0</v>
      </c>
      <c r="J5" s="10">
        <v>0</v>
      </c>
      <c r="K5" s="11"/>
      <c r="L5" s="193">
        <v>0</v>
      </c>
      <c r="M5" s="193">
        <v>0</v>
      </c>
      <c r="N5" s="193">
        <v>2328.75</v>
      </c>
      <c r="O5" s="193">
        <v>2077.13</v>
      </c>
      <c r="P5" s="193">
        <v>0</v>
      </c>
      <c r="Q5" s="193">
        <v>0</v>
      </c>
      <c r="R5" s="193">
        <v>0</v>
      </c>
      <c r="S5" s="193">
        <v>0</v>
      </c>
      <c r="T5" s="193">
        <v>4405.88</v>
      </c>
    </row>
    <row r="6" spans="1:20">
      <c r="A6" s="13">
        <v>2</v>
      </c>
      <c r="B6" s="204" t="s">
        <v>203</v>
      </c>
      <c r="C6" s="205"/>
      <c r="D6" s="198">
        <v>0</v>
      </c>
      <c r="E6" s="198">
        <v>0</v>
      </c>
      <c r="F6" s="198">
        <v>143.25</v>
      </c>
      <c r="G6" s="199"/>
      <c r="H6" s="199"/>
      <c r="I6" s="10">
        <v>0</v>
      </c>
      <c r="J6" s="10">
        <v>0</v>
      </c>
      <c r="K6" s="11"/>
      <c r="L6" s="193">
        <v>0</v>
      </c>
      <c r="M6" s="193">
        <v>0</v>
      </c>
      <c r="N6" s="193">
        <v>0</v>
      </c>
      <c r="O6" s="193">
        <v>2077.13</v>
      </c>
      <c r="P6" s="193">
        <v>0</v>
      </c>
      <c r="Q6" s="193">
        <v>0</v>
      </c>
      <c r="R6" s="193">
        <v>0</v>
      </c>
      <c r="S6" s="193">
        <v>0</v>
      </c>
      <c r="T6" s="193">
        <v>2077.13</v>
      </c>
    </row>
    <row r="7" spans="1:20">
      <c r="A7" s="13">
        <v>3</v>
      </c>
      <c r="B7" s="204" t="s">
        <v>204</v>
      </c>
      <c r="C7" s="205"/>
      <c r="D7" s="198">
        <v>0</v>
      </c>
      <c r="E7" s="198">
        <v>0</v>
      </c>
      <c r="F7" s="198">
        <v>143.25</v>
      </c>
      <c r="G7" s="199"/>
      <c r="H7" s="199"/>
      <c r="I7" s="10">
        <v>0</v>
      </c>
      <c r="J7" s="10">
        <v>0</v>
      </c>
      <c r="K7" s="11"/>
      <c r="L7" s="193">
        <v>0</v>
      </c>
      <c r="M7" s="193">
        <v>0</v>
      </c>
      <c r="N7" s="193">
        <v>0</v>
      </c>
      <c r="O7" s="193">
        <v>2077.13</v>
      </c>
      <c r="P7" s="193">
        <v>0</v>
      </c>
      <c r="Q7" s="193">
        <v>0</v>
      </c>
      <c r="R7" s="193">
        <v>0</v>
      </c>
      <c r="S7" s="193">
        <v>0</v>
      </c>
      <c r="T7" s="193">
        <v>2077.13</v>
      </c>
    </row>
    <row r="8" spans="1:20">
      <c r="A8" s="13">
        <v>4</v>
      </c>
      <c r="B8" s="204" t="s">
        <v>205</v>
      </c>
      <c r="C8" s="205"/>
      <c r="D8" s="198">
        <v>0</v>
      </c>
      <c r="E8" s="198">
        <v>0</v>
      </c>
      <c r="F8" s="198">
        <v>143.25</v>
      </c>
      <c r="G8" s="199"/>
      <c r="H8" s="199"/>
      <c r="I8" s="10">
        <v>0</v>
      </c>
      <c r="J8" s="10">
        <v>0</v>
      </c>
      <c r="K8" s="11"/>
      <c r="L8" s="193">
        <v>0</v>
      </c>
      <c r="M8" s="193">
        <v>0</v>
      </c>
      <c r="N8" s="193">
        <v>0</v>
      </c>
      <c r="O8" s="193">
        <v>2077.13</v>
      </c>
      <c r="P8" s="193">
        <v>0</v>
      </c>
      <c r="Q8" s="193">
        <v>0</v>
      </c>
      <c r="R8" s="193">
        <v>0</v>
      </c>
      <c r="S8" s="193">
        <v>0</v>
      </c>
      <c r="T8" s="193">
        <v>2077.13</v>
      </c>
    </row>
    <row r="9" spans="1:20">
      <c r="A9" s="13">
        <v>5</v>
      </c>
      <c r="B9" s="204" t="s">
        <v>206</v>
      </c>
      <c r="C9" s="205"/>
      <c r="D9" s="198">
        <v>0</v>
      </c>
      <c r="E9" s="198">
        <v>20.25</v>
      </c>
      <c r="F9" s="198">
        <v>123</v>
      </c>
      <c r="G9" s="199"/>
      <c r="H9" s="199"/>
      <c r="I9" s="10">
        <v>0</v>
      </c>
      <c r="J9" s="10">
        <v>0</v>
      </c>
      <c r="K9" s="11"/>
      <c r="L9" s="193">
        <v>0</v>
      </c>
      <c r="M9" s="193">
        <v>0</v>
      </c>
      <c r="N9" s="193">
        <v>2328.75</v>
      </c>
      <c r="O9" s="193">
        <v>1783.5</v>
      </c>
      <c r="P9" s="193">
        <v>0</v>
      </c>
      <c r="Q9" s="193">
        <v>0</v>
      </c>
      <c r="R9" s="193">
        <v>0</v>
      </c>
      <c r="S9" s="193">
        <v>0</v>
      </c>
      <c r="T9" s="193">
        <v>4112.25</v>
      </c>
    </row>
    <row r="10" spans="1:20">
      <c r="A10" s="13">
        <v>6</v>
      </c>
      <c r="B10" s="204" t="s">
        <v>207</v>
      </c>
      <c r="C10" s="205"/>
      <c r="D10" s="198">
        <v>0</v>
      </c>
      <c r="E10" s="198">
        <v>20.25</v>
      </c>
      <c r="F10" s="198">
        <v>102.75</v>
      </c>
      <c r="G10" s="199"/>
      <c r="H10" s="199"/>
      <c r="I10" s="10">
        <v>0</v>
      </c>
      <c r="J10" s="10">
        <v>0</v>
      </c>
      <c r="K10" s="11"/>
      <c r="L10" s="193">
        <v>0</v>
      </c>
      <c r="M10" s="193">
        <v>0</v>
      </c>
      <c r="N10" s="193">
        <v>2328.75</v>
      </c>
      <c r="O10" s="193">
        <v>1489.88</v>
      </c>
      <c r="P10" s="193">
        <v>0</v>
      </c>
      <c r="Q10" s="193">
        <v>0</v>
      </c>
      <c r="R10" s="193">
        <v>0</v>
      </c>
      <c r="S10" s="193">
        <v>0</v>
      </c>
      <c r="T10" s="193">
        <v>3818.63</v>
      </c>
    </row>
    <row r="11" spans="1:20">
      <c r="A11" s="13">
        <v>7</v>
      </c>
      <c r="B11" s="204" t="s">
        <v>208</v>
      </c>
      <c r="C11" s="205"/>
      <c r="D11" s="198">
        <v>0</v>
      </c>
      <c r="E11" s="198">
        <v>0</v>
      </c>
      <c r="F11" s="198">
        <v>102.75</v>
      </c>
      <c r="G11" s="199"/>
      <c r="H11" s="199"/>
      <c r="I11" s="10">
        <v>0</v>
      </c>
      <c r="J11" s="10">
        <v>0</v>
      </c>
      <c r="K11" s="11"/>
      <c r="L11" s="193">
        <v>0</v>
      </c>
      <c r="M11" s="193">
        <v>0</v>
      </c>
      <c r="N11" s="193">
        <v>0</v>
      </c>
      <c r="O11" s="193">
        <v>1489.88</v>
      </c>
      <c r="P11" s="193">
        <v>0</v>
      </c>
      <c r="Q11" s="193">
        <v>0</v>
      </c>
      <c r="R11" s="193">
        <v>0</v>
      </c>
      <c r="S11" s="193">
        <v>0</v>
      </c>
      <c r="T11" s="193">
        <v>1489.88</v>
      </c>
    </row>
    <row r="12" spans="1:20">
      <c r="A12" s="13">
        <v>8</v>
      </c>
      <c r="B12" s="204" t="s">
        <v>209</v>
      </c>
      <c r="C12" s="205"/>
      <c r="D12" s="198">
        <v>0</v>
      </c>
      <c r="E12" s="198">
        <v>0</v>
      </c>
      <c r="F12" s="198">
        <v>102.75</v>
      </c>
      <c r="G12" s="199"/>
      <c r="H12" s="199"/>
      <c r="I12" s="10">
        <v>0</v>
      </c>
      <c r="J12" s="10">
        <v>0</v>
      </c>
      <c r="K12" s="11"/>
      <c r="L12" s="193">
        <v>0</v>
      </c>
      <c r="M12" s="193">
        <v>0</v>
      </c>
      <c r="N12" s="193">
        <v>0</v>
      </c>
      <c r="O12" s="193">
        <v>1489.88</v>
      </c>
      <c r="P12" s="193">
        <v>0</v>
      </c>
      <c r="Q12" s="193">
        <v>0</v>
      </c>
      <c r="R12" s="193">
        <v>0</v>
      </c>
      <c r="S12" s="193">
        <v>0</v>
      </c>
      <c r="T12" s="193">
        <v>1489.88</v>
      </c>
    </row>
    <row r="13" spans="1:20">
      <c r="A13" s="13">
        <v>9</v>
      </c>
      <c r="B13" s="204" t="s">
        <v>210</v>
      </c>
      <c r="C13" s="205"/>
      <c r="D13" s="198">
        <v>0</v>
      </c>
      <c r="E13" s="198">
        <v>0</v>
      </c>
      <c r="F13" s="198">
        <v>102.75</v>
      </c>
      <c r="G13" s="199"/>
      <c r="H13" s="199"/>
      <c r="I13" s="10">
        <v>0</v>
      </c>
      <c r="J13" s="10">
        <v>0</v>
      </c>
      <c r="K13" s="11"/>
      <c r="L13" s="193">
        <v>0</v>
      </c>
      <c r="M13" s="193">
        <v>0</v>
      </c>
      <c r="N13" s="193">
        <v>0</v>
      </c>
      <c r="O13" s="193">
        <v>1489.88</v>
      </c>
      <c r="P13" s="193">
        <v>0</v>
      </c>
      <c r="Q13" s="193">
        <v>0</v>
      </c>
      <c r="R13" s="193">
        <v>0</v>
      </c>
      <c r="S13" s="193">
        <v>0</v>
      </c>
      <c r="T13" s="193">
        <v>1489.88</v>
      </c>
    </row>
    <row r="14" spans="1:20">
      <c r="A14" s="13">
        <v>10</v>
      </c>
      <c r="B14" s="204" t="s">
        <v>211</v>
      </c>
      <c r="C14" s="205"/>
      <c r="D14" s="198">
        <v>0</v>
      </c>
      <c r="E14" s="198">
        <v>20.25</v>
      </c>
      <c r="F14" s="198">
        <v>82.5</v>
      </c>
      <c r="G14" s="199"/>
      <c r="H14" s="199"/>
      <c r="I14" s="10">
        <v>0</v>
      </c>
      <c r="J14" s="10">
        <v>0</v>
      </c>
      <c r="K14" s="11"/>
      <c r="L14" s="193">
        <v>0</v>
      </c>
      <c r="M14" s="193">
        <v>0</v>
      </c>
      <c r="N14" s="193">
        <v>2328.75</v>
      </c>
      <c r="O14" s="193">
        <v>1196.25</v>
      </c>
      <c r="P14" s="193">
        <v>0</v>
      </c>
      <c r="Q14" s="193">
        <v>0</v>
      </c>
      <c r="R14" s="193">
        <v>0</v>
      </c>
      <c r="S14" s="193">
        <v>0</v>
      </c>
      <c r="T14" s="193">
        <v>3525</v>
      </c>
    </row>
    <row r="15" spans="1:20">
      <c r="A15" s="13">
        <v>11</v>
      </c>
      <c r="B15" s="204" t="s">
        <v>212</v>
      </c>
      <c r="C15" s="205"/>
      <c r="D15" s="198">
        <v>0</v>
      </c>
      <c r="E15" s="198">
        <v>0</v>
      </c>
      <c r="F15" s="198">
        <v>82.5</v>
      </c>
      <c r="G15" s="199"/>
      <c r="H15" s="199"/>
      <c r="I15" s="10">
        <v>0</v>
      </c>
      <c r="J15" s="10">
        <v>0</v>
      </c>
      <c r="K15" s="11"/>
      <c r="L15" s="193">
        <v>0</v>
      </c>
      <c r="M15" s="193">
        <v>0</v>
      </c>
      <c r="N15" s="193">
        <v>0</v>
      </c>
      <c r="O15" s="193">
        <v>1196.25</v>
      </c>
      <c r="P15" s="193">
        <v>0</v>
      </c>
      <c r="Q15" s="193">
        <v>0</v>
      </c>
      <c r="R15" s="193">
        <v>0</v>
      </c>
      <c r="S15" s="193">
        <v>0</v>
      </c>
      <c r="T15" s="193">
        <v>1196.25</v>
      </c>
    </row>
    <row r="16" spans="1:20">
      <c r="A16" s="13">
        <v>12</v>
      </c>
      <c r="B16" s="204" t="s">
        <v>213</v>
      </c>
      <c r="C16" s="205"/>
      <c r="D16" s="198">
        <v>0</v>
      </c>
      <c r="E16" s="198">
        <v>0</v>
      </c>
      <c r="F16" s="198">
        <v>82.5</v>
      </c>
      <c r="G16" s="199"/>
      <c r="H16" s="199"/>
      <c r="I16" s="10">
        <v>0</v>
      </c>
      <c r="J16" s="10">
        <v>0</v>
      </c>
      <c r="K16" s="18"/>
      <c r="L16" s="193">
        <v>0</v>
      </c>
      <c r="M16" s="193">
        <v>0</v>
      </c>
      <c r="N16" s="193">
        <v>0</v>
      </c>
      <c r="O16" s="193">
        <v>1196.25</v>
      </c>
      <c r="P16" s="193">
        <v>0</v>
      </c>
      <c r="Q16" s="193">
        <v>0</v>
      </c>
      <c r="R16" s="193">
        <v>0</v>
      </c>
      <c r="S16" s="193">
        <v>0</v>
      </c>
      <c r="T16" s="193">
        <v>1196.25</v>
      </c>
    </row>
    <row r="17" spans="1:20">
      <c r="A17" s="13">
        <v>13</v>
      </c>
      <c r="B17" s="204" t="s">
        <v>214</v>
      </c>
      <c r="C17" s="205"/>
      <c r="D17" s="198">
        <v>0</v>
      </c>
      <c r="E17" s="198">
        <v>0</v>
      </c>
      <c r="F17" s="198">
        <v>82.5</v>
      </c>
      <c r="G17" s="199"/>
      <c r="H17" s="199"/>
      <c r="I17" s="10">
        <v>0</v>
      </c>
      <c r="J17" s="10">
        <v>0</v>
      </c>
      <c r="K17" s="11"/>
      <c r="L17" s="193">
        <v>0</v>
      </c>
      <c r="M17" s="193">
        <v>0</v>
      </c>
      <c r="N17" s="193">
        <v>0</v>
      </c>
      <c r="O17" s="193">
        <v>1196.25</v>
      </c>
      <c r="P17" s="193">
        <v>0</v>
      </c>
      <c r="Q17" s="193">
        <v>0</v>
      </c>
      <c r="R17" s="193">
        <v>0</v>
      </c>
      <c r="S17" s="193">
        <v>0</v>
      </c>
      <c r="T17" s="193">
        <v>1196.25</v>
      </c>
    </row>
    <row r="18" spans="1:20">
      <c r="A18" s="13">
        <v>14</v>
      </c>
      <c r="B18" s="204" t="s">
        <v>215</v>
      </c>
      <c r="C18" s="205"/>
      <c r="D18" s="198">
        <v>0</v>
      </c>
      <c r="E18" s="198">
        <v>0</v>
      </c>
      <c r="F18" s="198">
        <v>82.5</v>
      </c>
      <c r="G18" s="199"/>
      <c r="H18" s="199"/>
      <c r="I18" s="10">
        <v>0</v>
      </c>
      <c r="J18" s="10">
        <v>0</v>
      </c>
      <c r="K18" s="11"/>
      <c r="L18" s="193">
        <v>0</v>
      </c>
      <c r="M18" s="193">
        <v>0</v>
      </c>
      <c r="N18" s="193">
        <v>0</v>
      </c>
      <c r="O18" s="193">
        <v>1196.25</v>
      </c>
      <c r="P18" s="193">
        <v>0</v>
      </c>
      <c r="Q18" s="193">
        <v>0</v>
      </c>
      <c r="R18" s="193">
        <v>0</v>
      </c>
      <c r="S18" s="193">
        <v>0</v>
      </c>
      <c r="T18" s="193">
        <v>1196.25</v>
      </c>
    </row>
    <row r="19" spans="1:20">
      <c r="A19" s="13">
        <v>15</v>
      </c>
      <c r="B19" s="204" t="s">
        <v>216</v>
      </c>
      <c r="C19" s="205"/>
      <c r="D19" s="198">
        <v>0</v>
      </c>
      <c r="E19" s="198">
        <v>20.25</v>
      </c>
      <c r="F19" s="198">
        <v>62.25</v>
      </c>
      <c r="G19" s="199"/>
      <c r="H19" s="199"/>
      <c r="I19" s="10">
        <v>0</v>
      </c>
      <c r="J19" s="10">
        <v>0</v>
      </c>
      <c r="K19" s="11"/>
      <c r="L19" s="193">
        <v>0</v>
      </c>
      <c r="M19" s="193">
        <v>0</v>
      </c>
      <c r="N19" s="193">
        <v>2328.75</v>
      </c>
      <c r="O19" s="193">
        <v>902.63</v>
      </c>
      <c r="P19" s="193">
        <v>0</v>
      </c>
      <c r="Q19" s="193">
        <v>0</v>
      </c>
      <c r="R19" s="193">
        <v>0</v>
      </c>
      <c r="S19" s="193">
        <v>0</v>
      </c>
      <c r="T19" s="193">
        <v>3231.38</v>
      </c>
    </row>
    <row r="20" spans="1:20">
      <c r="A20" s="13">
        <v>16</v>
      </c>
      <c r="B20" s="204" t="s">
        <v>217</v>
      </c>
      <c r="C20" s="205"/>
      <c r="D20" s="198">
        <v>0</v>
      </c>
      <c r="E20" s="198">
        <v>0</v>
      </c>
      <c r="F20" s="198">
        <v>62.25</v>
      </c>
      <c r="G20" s="199"/>
      <c r="H20" s="199"/>
      <c r="I20" s="10">
        <v>0</v>
      </c>
      <c r="J20" s="10">
        <v>0</v>
      </c>
      <c r="K20" s="11"/>
      <c r="L20" s="193">
        <v>0</v>
      </c>
      <c r="M20" s="193">
        <v>0</v>
      </c>
      <c r="N20" s="193">
        <v>0</v>
      </c>
      <c r="O20" s="193">
        <v>902.63</v>
      </c>
      <c r="P20" s="193">
        <v>0</v>
      </c>
      <c r="Q20" s="193">
        <v>0</v>
      </c>
      <c r="R20" s="193">
        <v>0</v>
      </c>
      <c r="S20" s="193">
        <v>0</v>
      </c>
      <c r="T20" s="193">
        <v>902.63</v>
      </c>
    </row>
    <row r="21" spans="1:20">
      <c r="A21" s="13">
        <v>17</v>
      </c>
      <c r="B21" s="204" t="s">
        <v>218</v>
      </c>
      <c r="C21" s="205"/>
      <c r="D21" s="198">
        <v>0</v>
      </c>
      <c r="E21" s="198">
        <v>0</v>
      </c>
      <c r="F21" s="198">
        <v>62.25</v>
      </c>
      <c r="G21" s="199"/>
      <c r="H21" s="199"/>
      <c r="I21" s="10">
        <v>0</v>
      </c>
      <c r="J21" s="10">
        <v>0</v>
      </c>
      <c r="K21" s="11"/>
      <c r="L21" s="193">
        <v>0</v>
      </c>
      <c r="M21" s="193">
        <v>0</v>
      </c>
      <c r="N21" s="193">
        <v>0</v>
      </c>
      <c r="O21" s="193">
        <v>902.63</v>
      </c>
      <c r="P21" s="193">
        <v>0</v>
      </c>
      <c r="Q21" s="193">
        <v>0</v>
      </c>
      <c r="R21" s="193">
        <v>0</v>
      </c>
      <c r="S21" s="193">
        <v>0</v>
      </c>
      <c r="T21" s="193">
        <v>902.63</v>
      </c>
    </row>
    <row r="22" spans="1:20">
      <c r="A22" s="13">
        <v>18</v>
      </c>
      <c r="B22" s="204" t="s">
        <v>219</v>
      </c>
      <c r="C22" s="205"/>
      <c r="D22" s="198">
        <v>0</v>
      </c>
      <c r="E22" s="198">
        <v>20.25</v>
      </c>
      <c r="F22" s="198">
        <v>42</v>
      </c>
      <c r="G22" s="199"/>
      <c r="H22" s="199"/>
      <c r="I22" s="10">
        <v>0</v>
      </c>
      <c r="J22" s="10">
        <v>0</v>
      </c>
      <c r="K22" s="11"/>
      <c r="L22" s="193">
        <v>0</v>
      </c>
      <c r="M22" s="193">
        <v>0</v>
      </c>
      <c r="N22" s="193">
        <v>2328.75</v>
      </c>
      <c r="O22" s="193">
        <v>609</v>
      </c>
      <c r="P22" s="193">
        <v>0</v>
      </c>
      <c r="Q22" s="193">
        <v>0</v>
      </c>
      <c r="R22" s="193">
        <v>0</v>
      </c>
      <c r="S22" s="193">
        <v>0</v>
      </c>
      <c r="T22" s="193">
        <v>2937.75</v>
      </c>
    </row>
    <row r="23" spans="1:20">
      <c r="A23" s="13">
        <v>19</v>
      </c>
      <c r="B23" s="204" t="s">
        <v>220</v>
      </c>
      <c r="C23" s="205"/>
      <c r="D23" s="198">
        <v>0</v>
      </c>
      <c r="E23" s="198">
        <v>0</v>
      </c>
      <c r="F23" s="198">
        <v>42</v>
      </c>
      <c r="G23" s="199"/>
      <c r="H23" s="199"/>
      <c r="I23" s="10">
        <v>0</v>
      </c>
      <c r="J23" s="10">
        <v>0</v>
      </c>
      <c r="K23" s="11"/>
      <c r="L23" s="193">
        <v>0</v>
      </c>
      <c r="M23" s="193">
        <v>0</v>
      </c>
      <c r="N23" s="193">
        <v>0</v>
      </c>
      <c r="O23" s="193">
        <v>609</v>
      </c>
      <c r="P23" s="193">
        <v>0</v>
      </c>
      <c r="Q23" s="193">
        <v>0</v>
      </c>
      <c r="R23" s="193">
        <v>0</v>
      </c>
      <c r="S23" s="193">
        <v>0</v>
      </c>
      <c r="T23" s="193">
        <v>609</v>
      </c>
    </row>
    <row r="24" spans="1:20">
      <c r="A24" s="13">
        <v>20</v>
      </c>
      <c r="B24" s="204" t="s">
        <v>221</v>
      </c>
      <c r="C24" s="205"/>
      <c r="D24" s="198">
        <v>0</v>
      </c>
      <c r="E24" s="198">
        <v>0</v>
      </c>
      <c r="F24" s="198">
        <v>42</v>
      </c>
      <c r="G24" s="199"/>
      <c r="H24" s="199"/>
      <c r="I24" s="10">
        <v>0</v>
      </c>
      <c r="J24" s="10">
        <v>0</v>
      </c>
      <c r="K24" s="11"/>
      <c r="L24" s="193">
        <v>0</v>
      </c>
      <c r="M24" s="193">
        <v>0</v>
      </c>
      <c r="N24" s="193">
        <v>0</v>
      </c>
      <c r="O24" s="193">
        <v>609</v>
      </c>
      <c r="P24" s="193">
        <v>0</v>
      </c>
      <c r="Q24" s="193">
        <v>0</v>
      </c>
      <c r="R24" s="193">
        <v>0</v>
      </c>
      <c r="S24" s="193">
        <v>0</v>
      </c>
      <c r="T24" s="193">
        <v>609</v>
      </c>
    </row>
    <row r="25" spans="1:20">
      <c r="A25" s="13">
        <v>21</v>
      </c>
      <c r="B25" s="204" t="s">
        <v>222</v>
      </c>
      <c r="C25" s="205"/>
      <c r="D25" s="198">
        <v>0</v>
      </c>
      <c r="E25" s="198">
        <v>0</v>
      </c>
      <c r="F25" s="198">
        <v>42</v>
      </c>
      <c r="G25" s="199"/>
      <c r="H25" s="199"/>
      <c r="I25" s="10">
        <v>0</v>
      </c>
      <c r="J25" s="10">
        <v>0</v>
      </c>
      <c r="K25" s="11"/>
      <c r="L25" s="193">
        <v>0</v>
      </c>
      <c r="M25" s="193">
        <v>0</v>
      </c>
      <c r="N25" s="193">
        <v>0</v>
      </c>
      <c r="O25" s="193">
        <v>609</v>
      </c>
      <c r="P25" s="193">
        <v>0</v>
      </c>
      <c r="Q25" s="193">
        <v>0</v>
      </c>
      <c r="R25" s="193">
        <v>0</v>
      </c>
      <c r="S25" s="193">
        <v>0</v>
      </c>
      <c r="T25" s="193">
        <v>609</v>
      </c>
    </row>
    <row r="26" spans="1:20">
      <c r="A26" s="13">
        <v>22</v>
      </c>
      <c r="B26" s="204" t="s">
        <v>223</v>
      </c>
      <c r="C26" s="205"/>
      <c r="D26" s="198">
        <v>0</v>
      </c>
      <c r="E26" s="198">
        <v>20.25</v>
      </c>
      <c r="F26" s="198">
        <v>21.75</v>
      </c>
      <c r="G26" s="199"/>
      <c r="H26" s="199"/>
      <c r="I26" s="10">
        <v>0</v>
      </c>
      <c r="J26" s="10">
        <v>0</v>
      </c>
      <c r="K26" s="11"/>
      <c r="L26" s="193">
        <v>0</v>
      </c>
      <c r="M26" s="193">
        <v>0</v>
      </c>
      <c r="N26" s="193">
        <v>2328.75</v>
      </c>
      <c r="O26" s="193">
        <v>315.38</v>
      </c>
      <c r="P26" s="193">
        <v>0</v>
      </c>
      <c r="Q26" s="193">
        <v>0</v>
      </c>
      <c r="R26" s="193">
        <v>0</v>
      </c>
      <c r="S26" s="193">
        <v>0</v>
      </c>
      <c r="T26" s="193">
        <v>2644.13</v>
      </c>
    </row>
    <row r="27" spans="1:20">
      <c r="A27" s="13">
        <v>23</v>
      </c>
      <c r="B27" s="204" t="s">
        <v>224</v>
      </c>
      <c r="C27" s="205"/>
      <c r="D27" s="198">
        <v>0</v>
      </c>
      <c r="E27" s="198">
        <v>0</v>
      </c>
      <c r="F27" s="198">
        <v>21.75</v>
      </c>
      <c r="G27" s="199"/>
      <c r="H27" s="199"/>
      <c r="I27" s="10">
        <v>0</v>
      </c>
      <c r="J27" s="10">
        <v>0</v>
      </c>
      <c r="K27" s="11"/>
      <c r="L27" s="193">
        <v>0</v>
      </c>
      <c r="M27" s="193">
        <v>0</v>
      </c>
      <c r="N27" s="193">
        <v>0</v>
      </c>
      <c r="O27" s="193">
        <v>315.38</v>
      </c>
      <c r="P27" s="193">
        <v>0</v>
      </c>
      <c r="Q27" s="193">
        <v>0</v>
      </c>
      <c r="R27" s="193">
        <v>0</v>
      </c>
      <c r="S27" s="193">
        <v>0</v>
      </c>
      <c r="T27" s="193">
        <v>315.38</v>
      </c>
    </row>
    <row r="28" spans="1:20">
      <c r="A28" s="13">
        <v>24</v>
      </c>
      <c r="B28" s="204" t="s">
        <v>225</v>
      </c>
      <c r="C28" s="205"/>
      <c r="D28" s="198">
        <v>0</v>
      </c>
      <c r="E28" s="198">
        <v>0</v>
      </c>
      <c r="F28" s="198">
        <v>21.75</v>
      </c>
      <c r="G28" s="199"/>
      <c r="H28" s="199"/>
      <c r="I28" s="10">
        <v>0</v>
      </c>
      <c r="J28" s="10">
        <v>0</v>
      </c>
      <c r="K28" s="11"/>
      <c r="L28" s="193">
        <v>0</v>
      </c>
      <c r="M28" s="193">
        <v>0</v>
      </c>
      <c r="N28" s="193">
        <v>0</v>
      </c>
      <c r="O28" s="193">
        <v>315.38</v>
      </c>
      <c r="P28" s="193">
        <v>0</v>
      </c>
      <c r="Q28" s="193">
        <v>0</v>
      </c>
      <c r="R28" s="193">
        <v>0</v>
      </c>
      <c r="S28" s="193">
        <v>0</v>
      </c>
      <c r="T28" s="193">
        <v>315.38</v>
      </c>
    </row>
    <row r="29" spans="1:20">
      <c r="A29" s="13">
        <v>25</v>
      </c>
      <c r="B29" s="204" t="s">
        <v>226</v>
      </c>
      <c r="C29" s="205"/>
      <c r="D29" s="198">
        <v>0</v>
      </c>
      <c r="E29" s="198">
        <v>0</v>
      </c>
      <c r="F29" s="198">
        <v>21.75</v>
      </c>
      <c r="G29" s="199"/>
      <c r="H29" s="199"/>
      <c r="I29" s="10">
        <v>0</v>
      </c>
      <c r="J29" s="10">
        <v>0</v>
      </c>
      <c r="K29" s="11"/>
      <c r="L29" s="193">
        <v>0</v>
      </c>
      <c r="M29" s="193">
        <v>0</v>
      </c>
      <c r="N29" s="193">
        <v>0</v>
      </c>
      <c r="O29" s="193">
        <v>315.38</v>
      </c>
      <c r="P29" s="193">
        <v>0</v>
      </c>
      <c r="Q29" s="193">
        <v>0</v>
      </c>
      <c r="R29" s="193">
        <v>0</v>
      </c>
      <c r="S29" s="193">
        <v>0</v>
      </c>
      <c r="T29" s="193">
        <v>315.38</v>
      </c>
    </row>
    <row r="30" spans="1:20">
      <c r="A30" s="13">
        <v>26</v>
      </c>
      <c r="B30" s="204" t="s">
        <v>227</v>
      </c>
      <c r="C30" s="205"/>
      <c r="D30" s="198">
        <v>0</v>
      </c>
      <c r="E30" s="198">
        <v>0</v>
      </c>
      <c r="F30" s="198">
        <v>21.75</v>
      </c>
      <c r="G30" s="199"/>
      <c r="H30" s="199"/>
      <c r="I30" s="10">
        <v>0</v>
      </c>
      <c r="J30" s="10">
        <v>0</v>
      </c>
      <c r="K30" s="11"/>
      <c r="L30" s="193">
        <v>0</v>
      </c>
      <c r="M30" s="193">
        <v>0</v>
      </c>
      <c r="N30" s="193">
        <v>0</v>
      </c>
      <c r="O30" s="193">
        <v>315.38</v>
      </c>
      <c r="P30" s="193">
        <v>0</v>
      </c>
      <c r="Q30" s="193">
        <v>0</v>
      </c>
      <c r="R30" s="193">
        <v>0</v>
      </c>
      <c r="S30" s="193">
        <v>0</v>
      </c>
      <c r="T30" s="193">
        <v>315.38</v>
      </c>
    </row>
    <row r="31" spans="1:20">
      <c r="A31" s="13">
        <v>27</v>
      </c>
      <c r="B31" s="204" t="s">
        <v>228</v>
      </c>
      <c r="C31" s="205"/>
      <c r="D31" s="198">
        <v>0</v>
      </c>
      <c r="E31" s="198">
        <v>0</v>
      </c>
      <c r="F31" s="198">
        <v>21.75</v>
      </c>
      <c r="G31" s="199"/>
      <c r="H31" s="199"/>
      <c r="I31" s="10">
        <v>0</v>
      </c>
      <c r="J31" s="10">
        <v>0</v>
      </c>
      <c r="K31" s="11"/>
      <c r="L31" s="193">
        <v>0</v>
      </c>
      <c r="M31" s="193">
        <v>0</v>
      </c>
      <c r="N31" s="193">
        <v>0</v>
      </c>
      <c r="O31" s="193">
        <v>315.38</v>
      </c>
      <c r="P31" s="193">
        <v>0</v>
      </c>
      <c r="Q31" s="193">
        <v>0</v>
      </c>
      <c r="R31" s="193">
        <v>0</v>
      </c>
      <c r="S31" s="193">
        <v>0</v>
      </c>
      <c r="T31" s="193">
        <v>315.38</v>
      </c>
    </row>
    <row r="32" spans="1:20">
      <c r="A32" s="13">
        <v>28</v>
      </c>
      <c r="B32" s="204" t="s">
        <v>229</v>
      </c>
      <c r="C32" s="205"/>
      <c r="D32" s="198">
        <v>0</v>
      </c>
      <c r="E32" s="198">
        <v>0</v>
      </c>
      <c r="F32" s="198">
        <v>21.75</v>
      </c>
      <c r="G32" s="199"/>
      <c r="H32" s="199"/>
      <c r="I32" s="10">
        <v>0</v>
      </c>
      <c r="J32" s="10">
        <v>0</v>
      </c>
      <c r="K32" s="11"/>
      <c r="L32" s="193">
        <v>0</v>
      </c>
      <c r="M32" s="193">
        <v>0</v>
      </c>
      <c r="N32" s="193">
        <v>0</v>
      </c>
      <c r="O32" s="193">
        <v>315.38</v>
      </c>
      <c r="P32" s="193">
        <v>0</v>
      </c>
      <c r="Q32" s="193">
        <v>0</v>
      </c>
      <c r="R32" s="193">
        <v>0</v>
      </c>
      <c r="S32" s="193">
        <v>0</v>
      </c>
      <c r="T32" s="193">
        <v>315.38</v>
      </c>
    </row>
    <row r="33" spans="1:20">
      <c r="A33" s="13">
        <v>29</v>
      </c>
      <c r="B33" s="204" t="s">
        <v>230</v>
      </c>
      <c r="C33" s="205"/>
      <c r="D33" s="198">
        <v>0</v>
      </c>
      <c r="E33" s="198">
        <v>20.25</v>
      </c>
      <c r="F33" s="198">
        <v>1.5</v>
      </c>
      <c r="G33" s="199"/>
      <c r="H33" s="199"/>
      <c r="I33" s="10">
        <v>0</v>
      </c>
      <c r="J33" s="10">
        <v>0</v>
      </c>
      <c r="K33" s="11"/>
      <c r="L33" s="193">
        <v>0</v>
      </c>
      <c r="M33" s="193">
        <v>0</v>
      </c>
      <c r="N33" s="193">
        <v>2328.75</v>
      </c>
      <c r="O33" s="193">
        <v>21.75</v>
      </c>
      <c r="P33" s="193">
        <v>0</v>
      </c>
      <c r="Q33" s="193">
        <v>0</v>
      </c>
      <c r="R33" s="193">
        <v>0</v>
      </c>
      <c r="S33" s="193">
        <v>0</v>
      </c>
      <c r="T33" s="193">
        <v>2350.5</v>
      </c>
    </row>
    <row r="34" spans="1:20">
      <c r="A34" s="13">
        <v>30</v>
      </c>
      <c r="B34" s="204" t="s">
        <v>231</v>
      </c>
      <c r="C34" s="205"/>
      <c r="D34" s="198">
        <v>0</v>
      </c>
      <c r="E34" s="198">
        <v>0</v>
      </c>
      <c r="F34" s="198">
        <v>1.5</v>
      </c>
      <c r="G34" s="199"/>
      <c r="H34" s="199"/>
      <c r="I34" s="10">
        <v>0</v>
      </c>
      <c r="J34" s="10">
        <v>0</v>
      </c>
      <c r="K34" s="11"/>
      <c r="L34" s="193">
        <v>0</v>
      </c>
      <c r="M34" s="193">
        <v>0</v>
      </c>
      <c r="N34" s="193">
        <v>0</v>
      </c>
      <c r="O34" s="193">
        <v>21.75</v>
      </c>
      <c r="P34" s="193">
        <v>0</v>
      </c>
      <c r="Q34" s="193">
        <v>0</v>
      </c>
      <c r="R34" s="193">
        <v>0</v>
      </c>
      <c r="S34" s="193">
        <v>0</v>
      </c>
      <c r="T34" s="193">
        <v>21.75</v>
      </c>
    </row>
    <row r="35" spans="1:20">
      <c r="A35" s="13">
        <v>31</v>
      </c>
      <c r="B35" s="204" t="s">
        <v>232</v>
      </c>
      <c r="C35" s="205"/>
      <c r="D35" s="198">
        <v>0</v>
      </c>
      <c r="E35" s="198">
        <v>0</v>
      </c>
      <c r="F35" s="198">
        <v>1.5</v>
      </c>
      <c r="G35" s="199"/>
      <c r="H35" s="199"/>
      <c r="I35" s="10">
        <v>0</v>
      </c>
      <c r="J35" s="10">
        <v>0</v>
      </c>
      <c r="K35" s="11"/>
      <c r="L35" s="193">
        <v>0</v>
      </c>
      <c r="M35" s="193">
        <v>0</v>
      </c>
      <c r="N35" s="193">
        <v>0</v>
      </c>
      <c r="O35" s="193">
        <v>21.75</v>
      </c>
      <c r="P35" s="193">
        <v>0</v>
      </c>
      <c r="Q35" s="193">
        <v>0</v>
      </c>
      <c r="R35" s="193">
        <v>0</v>
      </c>
      <c r="S35" s="193">
        <v>0</v>
      </c>
      <c r="T35" s="193">
        <v>21.75</v>
      </c>
    </row>
    <row r="36" spans="1:20">
      <c r="D36" s="19">
        <v>0</v>
      </c>
      <c r="E36" s="19">
        <v>162</v>
      </c>
      <c r="F36" s="19">
        <v>2031</v>
      </c>
      <c r="G36" s="19">
        <v>0</v>
      </c>
      <c r="H36" s="19">
        <v>0</v>
      </c>
      <c r="I36" s="19">
        <v>0</v>
      </c>
      <c r="J36" s="19">
        <v>0</v>
      </c>
      <c r="K36" s="20">
        <v>0</v>
      </c>
      <c r="L36" s="194">
        <v>0</v>
      </c>
      <c r="M36" s="194">
        <v>0</v>
      </c>
      <c r="N36" s="194">
        <v>18630</v>
      </c>
      <c r="O36" s="194">
        <v>29449.5</v>
      </c>
      <c r="P36" s="194">
        <v>0</v>
      </c>
      <c r="Q36" s="194">
        <v>0</v>
      </c>
      <c r="R36" s="194">
        <v>0</v>
      </c>
      <c r="S36" s="194">
        <v>0</v>
      </c>
      <c r="T36" s="194">
        <v>48079.5</v>
      </c>
    </row>
    <row r="37" spans="1:20">
      <c r="R37" s="22"/>
      <c r="S37" s="22"/>
      <c r="T37" s="195">
        <v>57695.4</v>
      </c>
    </row>
  </sheetData>
  <mergeCells count="50">
    <mergeCell ref="B8:C8"/>
    <mergeCell ref="B9:C9"/>
    <mergeCell ref="B10:C10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  <mergeCell ref="B7:C7"/>
    <mergeCell ref="L3:L4"/>
    <mergeCell ref="M3:M4"/>
    <mergeCell ref="N3:N4"/>
    <mergeCell ref="O3:O4"/>
    <mergeCell ref="R3:R4"/>
    <mergeCell ref="S3:S4"/>
    <mergeCell ref="T3:T4"/>
    <mergeCell ref="B5:C5"/>
    <mergeCell ref="B6:C6"/>
    <mergeCell ref="P3:P4"/>
    <mergeCell ref="Q3:Q4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13:C13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</mergeCells>
  <pageMargins left="0.7" right="0.7" top="0.75" bottom="0.75" header="0.3" footer="0.3"/>
  <pageSetup paperSize="9" fitToHeight="5" orientation="landscape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878B5-29AB-49D1-A4C7-A6EBCCEB181C}">
  <sheetPr codeName="Лист48">
    <pageSetUpPr fitToPage="1"/>
  </sheetPr>
  <dimension ref="A1:T37"/>
  <sheetViews>
    <sheetView topLeftCell="A5" workbookViewId="0">
      <selection activeCell="K5" sqref="K5:K35"/>
    </sheetView>
  </sheetViews>
  <sheetFormatPr defaultRowHeight="15"/>
  <cols>
    <col min="1" max="3" width="8.796875" style="2"/>
    <col min="4" max="4" width="7.5" style="2" customWidth="1"/>
    <col min="5" max="6" width="8.3984375" style="2" customWidth="1"/>
    <col min="7" max="7" width="8.296875" style="2" customWidth="1"/>
    <col min="8" max="8" width="8" style="2" customWidth="1"/>
    <col min="9" max="9" width="7.3984375" style="2" bestFit="1" customWidth="1"/>
    <col min="10" max="10" width="6.59765625" style="2" bestFit="1" customWidth="1"/>
    <col min="11" max="12" width="8.796875" style="2"/>
    <col min="13" max="13" width="9.19921875" style="2" customWidth="1"/>
    <col min="14" max="14" width="9.5" style="2" customWidth="1"/>
    <col min="15" max="15" width="10.19921875" style="2" customWidth="1"/>
    <col min="16" max="16" width="10.19921875" style="2" bestFit="1" customWidth="1"/>
    <col min="17" max="17" width="10.5" style="2" customWidth="1"/>
    <col min="18" max="18" width="9.296875" style="2" customWidth="1"/>
    <col min="19" max="19" width="8.19921875" style="2" customWidth="1"/>
    <col min="20" max="20" width="17" style="2" customWidth="1"/>
    <col min="21" max="16384" width="8.796875" style="2"/>
  </cols>
  <sheetData>
    <row r="1" spans="1:20">
      <c r="I1" s="3"/>
    </row>
    <row r="2" spans="1:20" ht="28.9" customHeight="1">
      <c r="A2" s="209" t="s">
        <v>262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</row>
    <row r="3" spans="1:20" ht="28.9" customHeight="1">
      <c r="A3" s="206" t="s">
        <v>0</v>
      </c>
      <c r="B3" s="210" t="s">
        <v>1</v>
      </c>
      <c r="C3" s="211"/>
      <c r="D3" s="206" t="s">
        <v>2</v>
      </c>
      <c r="E3" s="206" t="s">
        <v>3</v>
      </c>
      <c r="F3" s="4" t="s">
        <v>4</v>
      </c>
      <c r="G3" s="206" t="s">
        <v>236</v>
      </c>
      <c r="H3" s="206" t="s">
        <v>237</v>
      </c>
      <c r="I3" s="206" t="s">
        <v>7</v>
      </c>
      <c r="J3" s="206" t="s">
        <v>8</v>
      </c>
      <c r="K3" s="206" t="s">
        <v>200</v>
      </c>
      <c r="L3" s="206" t="s">
        <v>241</v>
      </c>
      <c r="M3" s="206" t="s">
        <v>11</v>
      </c>
      <c r="N3" s="206" t="s">
        <v>12</v>
      </c>
      <c r="O3" s="206" t="s">
        <v>13</v>
      </c>
      <c r="P3" s="206" t="s">
        <v>14</v>
      </c>
      <c r="Q3" s="206" t="s">
        <v>15</v>
      </c>
      <c r="R3" s="206" t="s">
        <v>16</v>
      </c>
      <c r="S3" s="206" t="s">
        <v>17</v>
      </c>
      <c r="T3" s="206" t="s">
        <v>18</v>
      </c>
    </row>
    <row r="4" spans="1:20">
      <c r="A4" s="207"/>
      <c r="B4" s="212"/>
      <c r="C4" s="213"/>
      <c r="D4" s="207"/>
      <c r="E4" s="207"/>
      <c r="F4" s="5"/>
      <c r="G4" s="207"/>
      <c r="H4" s="207"/>
      <c r="I4" s="207"/>
      <c r="J4" s="207"/>
      <c r="K4" s="208"/>
      <c r="L4" s="208"/>
      <c r="M4" s="207"/>
      <c r="N4" s="207"/>
      <c r="O4" s="207"/>
      <c r="P4" s="207"/>
      <c r="Q4" s="207"/>
      <c r="R4" s="207"/>
      <c r="S4" s="207"/>
      <c r="T4" s="207"/>
    </row>
    <row r="5" spans="1:20">
      <c r="A5" s="13">
        <v>1</v>
      </c>
      <c r="B5" s="204" t="s">
        <v>202</v>
      </c>
      <c r="C5" s="205"/>
      <c r="D5" s="198">
        <v>196.99700000000001</v>
      </c>
      <c r="E5" s="198">
        <v>22</v>
      </c>
      <c r="F5" s="198">
        <v>1819.9870000000001</v>
      </c>
      <c r="G5" s="199"/>
      <c r="H5" s="199"/>
      <c r="I5" s="10">
        <v>1.35</v>
      </c>
      <c r="J5" s="10">
        <v>1.35</v>
      </c>
      <c r="K5" s="11">
        <v>2.5000000000000001E-2</v>
      </c>
      <c r="L5" s="193">
        <v>2.88</v>
      </c>
      <c r="M5" s="193">
        <v>22654.66</v>
      </c>
      <c r="N5" s="193">
        <v>2530</v>
      </c>
      <c r="O5" s="193">
        <v>26025.81</v>
      </c>
      <c r="P5" s="193">
        <v>0</v>
      </c>
      <c r="Q5" s="193">
        <v>0</v>
      </c>
      <c r="R5" s="193">
        <v>1282.5</v>
      </c>
      <c r="S5" s="193">
        <v>162</v>
      </c>
      <c r="T5" s="193">
        <v>52657.84</v>
      </c>
    </row>
    <row r="6" spans="1:20">
      <c r="A6" s="13">
        <v>2</v>
      </c>
      <c r="B6" s="204" t="s">
        <v>203</v>
      </c>
      <c r="C6" s="205"/>
      <c r="D6" s="198">
        <v>88</v>
      </c>
      <c r="E6" s="198">
        <v>22</v>
      </c>
      <c r="F6" s="198">
        <v>1885.9870000000001</v>
      </c>
      <c r="G6" s="199"/>
      <c r="H6" s="199"/>
      <c r="I6" s="10">
        <v>0</v>
      </c>
      <c r="J6" s="10">
        <v>0</v>
      </c>
      <c r="K6" s="11">
        <v>0</v>
      </c>
      <c r="L6" s="193">
        <v>0</v>
      </c>
      <c r="M6" s="193">
        <v>10120</v>
      </c>
      <c r="N6" s="193">
        <v>2530</v>
      </c>
      <c r="O6" s="193">
        <v>26969.61</v>
      </c>
      <c r="P6" s="193">
        <v>0</v>
      </c>
      <c r="Q6" s="193">
        <v>0</v>
      </c>
      <c r="R6" s="193">
        <v>0</v>
      </c>
      <c r="S6" s="193">
        <v>0</v>
      </c>
      <c r="T6" s="193">
        <v>39619.61</v>
      </c>
    </row>
    <row r="7" spans="1:20">
      <c r="A7" s="13">
        <v>3</v>
      </c>
      <c r="B7" s="204" t="s">
        <v>204</v>
      </c>
      <c r="C7" s="205"/>
      <c r="D7" s="198">
        <v>44</v>
      </c>
      <c r="E7" s="198">
        <v>0</v>
      </c>
      <c r="F7" s="198">
        <v>1929.9870000000001</v>
      </c>
      <c r="G7" s="199"/>
      <c r="H7" s="199"/>
      <c r="I7" s="10">
        <v>0</v>
      </c>
      <c r="J7" s="10">
        <v>0</v>
      </c>
      <c r="K7" s="11">
        <v>0</v>
      </c>
      <c r="L7" s="193">
        <v>0</v>
      </c>
      <c r="M7" s="193">
        <v>5060</v>
      </c>
      <c r="N7" s="193">
        <v>0</v>
      </c>
      <c r="O7" s="193">
        <v>27598.81</v>
      </c>
      <c r="P7" s="193">
        <v>0</v>
      </c>
      <c r="Q7" s="193">
        <v>0</v>
      </c>
      <c r="R7" s="193">
        <v>0</v>
      </c>
      <c r="S7" s="193">
        <v>0</v>
      </c>
      <c r="T7" s="193">
        <v>32658.81</v>
      </c>
    </row>
    <row r="8" spans="1:20">
      <c r="A8" s="13">
        <v>4</v>
      </c>
      <c r="B8" s="204" t="s">
        <v>205</v>
      </c>
      <c r="C8" s="205"/>
      <c r="D8" s="198">
        <v>176</v>
      </c>
      <c r="E8" s="198">
        <v>44</v>
      </c>
      <c r="F8" s="198">
        <v>2061.9870000000001</v>
      </c>
      <c r="G8" s="199"/>
      <c r="H8" s="199"/>
      <c r="I8" s="10">
        <v>0</v>
      </c>
      <c r="J8" s="10">
        <v>0</v>
      </c>
      <c r="K8" s="11">
        <v>0</v>
      </c>
      <c r="L8" s="193">
        <v>0</v>
      </c>
      <c r="M8" s="193">
        <v>20240</v>
      </c>
      <c r="N8" s="193">
        <v>5060</v>
      </c>
      <c r="O8" s="193">
        <v>29486.41</v>
      </c>
      <c r="P8" s="193">
        <v>0</v>
      </c>
      <c r="Q8" s="193">
        <v>0</v>
      </c>
      <c r="R8" s="193">
        <v>0</v>
      </c>
      <c r="S8" s="193">
        <v>0</v>
      </c>
      <c r="T8" s="193">
        <v>54786.41</v>
      </c>
    </row>
    <row r="9" spans="1:20">
      <c r="A9" s="13">
        <v>5</v>
      </c>
      <c r="B9" s="204" t="s">
        <v>206</v>
      </c>
      <c r="C9" s="205"/>
      <c r="D9" s="198">
        <v>44</v>
      </c>
      <c r="E9" s="198">
        <v>71.5</v>
      </c>
      <c r="F9" s="198">
        <v>2034.4870000000001</v>
      </c>
      <c r="G9" s="199"/>
      <c r="H9" s="199"/>
      <c r="I9" s="10">
        <v>0</v>
      </c>
      <c r="J9" s="10">
        <v>0</v>
      </c>
      <c r="K9" s="11">
        <v>0</v>
      </c>
      <c r="L9" s="193">
        <v>0</v>
      </c>
      <c r="M9" s="193">
        <v>5060</v>
      </c>
      <c r="N9" s="193">
        <v>8222.5</v>
      </c>
      <c r="O9" s="193">
        <v>29093.16</v>
      </c>
      <c r="P9" s="193">
        <v>0</v>
      </c>
      <c r="Q9" s="193">
        <v>0</v>
      </c>
      <c r="R9" s="193">
        <v>0</v>
      </c>
      <c r="S9" s="193">
        <v>0</v>
      </c>
      <c r="T9" s="193">
        <v>42375.66</v>
      </c>
    </row>
    <row r="10" spans="1:20">
      <c r="A10" s="13">
        <v>6</v>
      </c>
      <c r="B10" s="204" t="s">
        <v>207</v>
      </c>
      <c r="C10" s="205"/>
      <c r="D10" s="198">
        <v>0</v>
      </c>
      <c r="E10" s="198">
        <v>88</v>
      </c>
      <c r="F10" s="198">
        <v>1946.4870000000001</v>
      </c>
      <c r="G10" s="199"/>
      <c r="H10" s="199"/>
      <c r="I10" s="10">
        <v>0</v>
      </c>
      <c r="J10" s="10">
        <v>0</v>
      </c>
      <c r="K10" s="11">
        <v>0</v>
      </c>
      <c r="L10" s="193">
        <v>0</v>
      </c>
      <c r="M10" s="193">
        <v>0</v>
      </c>
      <c r="N10" s="193">
        <v>10120</v>
      </c>
      <c r="O10" s="193">
        <v>27834.76</v>
      </c>
      <c r="P10" s="193">
        <v>0</v>
      </c>
      <c r="Q10" s="193">
        <v>0</v>
      </c>
      <c r="R10" s="193">
        <v>0</v>
      </c>
      <c r="S10" s="193">
        <v>0</v>
      </c>
      <c r="T10" s="193">
        <v>37954.76</v>
      </c>
    </row>
    <row r="11" spans="1:20">
      <c r="A11" s="13">
        <v>7</v>
      </c>
      <c r="B11" s="204" t="s">
        <v>208</v>
      </c>
      <c r="C11" s="205"/>
      <c r="D11" s="198">
        <v>0</v>
      </c>
      <c r="E11" s="198">
        <v>0</v>
      </c>
      <c r="F11" s="198">
        <v>1946.4870000000001</v>
      </c>
      <c r="G11" s="199"/>
      <c r="H11" s="199"/>
      <c r="I11" s="10">
        <v>0</v>
      </c>
      <c r="J11" s="10">
        <v>0</v>
      </c>
      <c r="K11" s="11">
        <v>0</v>
      </c>
      <c r="L11" s="193">
        <v>0</v>
      </c>
      <c r="M11" s="193">
        <v>0</v>
      </c>
      <c r="N11" s="193">
        <v>0</v>
      </c>
      <c r="O11" s="193">
        <v>27834.76</v>
      </c>
      <c r="P11" s="193">
        <v>0</v>
      </c>
      <c r="Q11" s="193">
        <v>0</v>
      </c>
      <c r="R11" s="193">
        <v>0</v>
      </c>
      <c r="S11" s="193">
        <v>0</v>
      </c>
      <c r="T11" s="193">
        <v>27834.76</v>
      </c>
    </row>
    <row r="12" spans="1:20">
      <c r="A12" s="13">
        <v>8</v>
      </c>
      <c r="B12" s="204" t="s">
        <v>209</v>
      </c>
      <c r="C12" s="205"/>
      <c r="D12" s="198">
        <v>0</v>
      </c>
      <c r="E12" s="198">
        <v>23.375</v>
      </c>
      <c r="F12" s="198">
        <v>1923.1120000000001</v>
      </c>
      <c r="G12" s="199"/>
      <c r="H12" s="199"/>
      <c r="I12" s="10">
        <v>0</v>
      </c>
      <c r="J12" s="10">
        <v>0</v>
      </c>
      <c r="K12" s="11">
        <v>0</v>
      </c>
      <c r="L12" s="193">
        <v>0</v>
      </c>
      <c r="M12" s="193">
        <v>0</v>
      </c>
      <c r="N12" s="193">
        <v>2688.13</v>
      </c>
      <c r="O12" s="193">
        <v>27500.5</v>
      </c>
      <c r="P12" s="193">
        <v>0</v>
      </c>
      <c r="Q12" s="193">
        <v>0</v>
      </c>
      <c r="R12" s="193">
        <v>0</v>
      </c>
      <c r="S12" s="193">
        <v>0</v>
      </c>
      <c r="T12" s="193">
        <v>30188.63</v>
      </c>
    </row>
    <row r="13" spans="1:20">
      <c r="A13" s="13">
        <v>9</v>
      </c>
      <c r="B13" s="204" t="s">
        <v>210</v>
      </c>
      <c r="C13" s="205"/>
      <c r="D13" s="198">
        <v>22</v>
      </c>
      <c r="E13" s="198">
        <v>11</v>
      </c>
      <c r="F13" s="198">
        <v>1934.1120000000001</v>
      </c>
      <c r="G13" s="199"/>
      <c r="H13" s="199"/>
      <c r="I13" s="10">
        <v>0</v>
      </c>
      <c r="J13" s="10">
        <v>16</v>
      </c>
      <c r="K13" s="11">
        <v>0</v>
      </c>
      <c r="L13" s="193">
        <v>0</v>
      </c>
      <c r="M13" s="193">
        <v>2530</v>
      </c>
      <c r="N13" s="193">
        <v>1265</v>
      </c>
      <c r="O13" s="193">
        <v>27657.8</v>
      </c>
      <c r="P13" s="193">
        <v>0</v>
      </c>
      <c r="Q13" s="193">
        <v>0</v>
      </c>
      <c r="R13" s="193">
        <v>0</v>
      </c>
      <c r="S13" s="193">
        <v>1920</v>
      </c>
      <c r="T13" s="193">
        <v>33372.800000000003</v>
      </c>
    </row>
    <row r="14" spans="1:20">
      <c r="A14" s="13">
        <v>10</v>
      </c>
      <c r="B14" s="204" t="s">
        <v>211</v>
      </c>
      <c r="C14" s="205"/>
      <c r="D14" s="198">
        <v>110</v>
      </c>
      <c r="E14" s="198">
        <v>64</v>
      </c>
      <c r="F14" s="198">
        <v>1980.1120000000001</v>
      </c>
      <c r="G14" s="199"/>
      <c r="H14" s="199"/>
      <c r="I14" s="10">
        <v>0</v>
      </c>
      <c r="J14" s="10">
        <v>0</v>
      </c>
      <c r="K14" s="11">
        <v>0</v>
      </c>
      <c r="L14" s="193">
        <v>0</v>
      </c>
      <c r="M14" s="193">
        <v>12650</v>
      </c>
      <c r="N14" s="193">
        <v>7360</v>
      </c>
      <c r="O14" s="193">
        <v>28315.599999999999</v>
      </c>
      <c r="P14" s="193">
        <v>0</v>
      </c>
      <c r="Q14" s="193">
        <v>0</v>
      </c>
      <c r="R14" s="193">
        <v>0</v>
      </c>
      <c r="S14" s="193">
        <v>0</v>
      </c>
      <c r="T14" s="193">
        <v>48325.599999999999</v>
      </c>
    </row>
    <row r="15" spans="1:20">
      <c r="A15" s="13">
        <v>11</v>
      </c>
      <c r="B15" s="204" t="s">
        <v>212</v>
      </c>
      <c r="C15" s="205"/>
      <c r="D15" s="198">
        <v>109.998</v>
      </c>
      <c r="E15" s="198">
        <v>22</v>
      </c>
      <c r="F15" s="198">
        <v>2068.11</v>
      </c>
      <c r="G15" s="199"/>
      <c r="H15" s="199"/>
      <c r="I15" s="10">
        <v>1.325</v>
      </c>
      <c r="J15" s="10">
        <v>1.325</v>
      </c>
      <c r="K15" s="11">
        <v>0.05</v>
      </c>
      <c r="L15" s="193">
        <v>5.75</v>
      </c>
      <c r="M15" s="193">
        <v>12649.77</v>
      </c>
      <c r="N15" s="193">
        <v>2530</v>
      </c>
      <c r="O15" s="193">
        <v>29573.97</v>
      </c>
      <c r="P15" s="193">
        <v>0</v>
      </c>
      <c r="Q15" s="193">
        <v>0</v>
      </c>
      <c r="R15" s="193">
        <v>1258.75</v>
      </c>
      <c r="S15" s="193">
        <v>159</v>
      </c>
      <c r="T15" s="193">
        <v>46177.24</v>
      </c>
    </row>
    <row r="16" spans="1:20">
      <c r="A16" s="13">
        <v>12</v>
      </c>
      <c r="B16" s="204" t="s">
        <v>213</v>
      </c>
      <c r="C16" s="205"/>
      <c r="D16" s="198">
        <v>22</v>
      </c>
      <c r="E16" s="198">
        <v>70.5</v>
      </c>
      <c r="F16" s="198">
        <v>2019.61</v>
      </c>
      <c r="G16" s="199"/>
      <c r="H16" s="199"/>
      <c r="I16" s="10">
        <v>0</v>
      </c>
      <c r="J16" s="10">
        <v>0</v>
      </c>
      <c r="K16" s="11">
        <v>0</v>
      </c>
      <c r="L16" s="193">
        <v>0</v>
      </c>
      <c r="M16" s="193">
        <v>2530</v>
      </c>
      <c r="N16" s="193">
        <v>8107.5</v>
      </c>
      <c r="O16" s="193">
        <v>28880.42</v>
      </c>
      <c r="P16" s="193">
        <v>0</v>
      </c>
      <c r="Q16" s="193">
        <v>0</v>
      </c>
      <c r="R16" s="193">
        <v>0</v>
      </c>
      <c r="S16" s="193">
        <v>0</v>
      </c>
      <c r="T16" s="193">
        <v>39517.919999999998</v>
      </c>
    </row>
    <row r="17" spans="1:20">
      <c r="A17" s="13">
        <v>13</v>
      </c>
      <c r="B17" s="204" t="s">
        <v>214</v>
      </c>
      <c r="C17" s="205"/>
      <c r="D17" s="198">
        <v>66</v>
      </c>
      <c r="E17" s="198">
        <v>22</v>
      </c>
      <c r="F17" s="198">
        <v>2063.61</v>
      </c>
      <c r="G17" s="199"/>
      <c r="H17" s="199"/>
      <c r="I17" s="10">
        <v>0</v>
      </c>
      <c r="J17" s="10">
        <v>22</v>
      </c>
      <c r="K17" s="11">
        <v>0</v>
      </c>
      <c r="L17" s="193">
        <v>0</v>
      </c>
      <c r="M17" s="193">
        <v>7590</v>
      </c>
      <c r="N17" s="193">
        <v>2530</v>
      </c>
      <c r="O17" s="193">
        <v>29509.62</v>
      </c>
      <c r="P17" s="193">
        <v>0</v>
      </c>
      <c r="Q17" s="193">
        <v>0</v>
      </c>
      <c r="R17" s="193">
        <v>0</v>
      </c>
      <c r="S17" s="193">
        <v>2640</v>
      </c>
      <c r="T17" s="193">
        <v>42269.62</v>
      </c>
    </row>
    <row r="18" spans="1:20">
      <c r="A18" s="13">
        <v>14</v>
      </c>
      <c r="B18" s="204" t="s">
        <v>215</v>
      </c>
      <c r="C18" s="205"/>
      <c r="D18" s="198">
        <v>22</v>
      </c>
      <c r="E18" s="198">
        <v>44</v>
      </c>
      <c r="F18" s="198">
        <v>2041.61</v>
      </c>
      <c r="G18" s="199"/>
      <c r="H18" s="199"/>
      <c r="I18" s="10">
        <v>0</v>
      </c>
      <c r="J18" s="10">
        <v>0</v>
      </c>
      <c r="K18" s="11">
        <v>0</v>
      </c>
      <c r="L18" s="193">
        <v>0</v>
      </c>
      <c r="M18" s="193">
        <v>2530</v>
      </c>
      <c r="N18" s="193">
        <v>5060</v>
      </c>
      <c r="O18" s="193">
        <v>29195.02</v>
      </c>
      <c r="P18" s="193">
        <v>0</v>
      </c>
      <c r="Q18" s="193">
        <v>0</v>
      </c>
      <c r="R18" s="193">
        <v>0</v>
      </c>
      <c r="S18" s="193">
        <v>0</v>
      </c>
      <c r="T18" s="193">
        <v>36785.019999999997</v>
      </c>
    </row>
    <row r="19" spans="1:20">
      <c r="A19" s="13">
        <v>15</v>
      </c>
      <c r="B19" s="204" t="s">
        <v>216</v>
      </c>
      <c r="C19" s="205"/>
      <c r="D19" s="198">
        <v>22</v>
      </c>
      <c r="E19" s="198">
        <v>22</v>
      </c>
      <c r="F19" s="198">
        <v>2041.61</v>
      </c>
      <c r="G19" s="199"/>
      <c r="H19" s="199"/>
      <c r="I19" s="10">
        <v>2.75</v>
      </c>
      <c r="J19" s="10">
        <v>22</v>
      </c>
      <c r="K19" s="11">
        <v>0</v>
      </c>
      <c r="L19" s="193">
        <v>0</v>
      </c>
      <c r="M19" s="193">
        <v>2530</v>
      </c>
      <c r="N19" s="193">
        <v>2530</v>
      </c>
      <c r="O19" s="193">
        <v>29195.02</v>
      </c>
      <c r="P19" s="193">
        <v>0</v>
      </c>
      <c r="Q19" s="193">
        <v>0</v>
      </c>
      <c r="R19" s="193">
        <v>2612.5</v>
      </c>
      <c r="S19" s="193">
        <v>2640</v>
      </c>
      <c r="T19" s="193">
        <v>39507.519999999997</v>
      </c>
    </row>
    <row r="20" spans="1:20">
      <c r="A20" s="13">
        <v>16</v>
      </c>
      <c r="B20" s="204" t="s">
        <v>217</v>
      </c>
      <c r="C20" s="205"/>
      <c r="D20" s="198">
        <v>0</v>
      </c>
      <c r="E20" s="198">
        <v>22.1</v>
      </c>
      <c r="F20" s="198">
        <v>2019.51</v>
      </c>
      <c r="G20" s="199"/>
      <c r="H20" s="199"/>
      <c r="I20" s="10">
        <v>0</v>
      </c>
      <c r="J20" s="10">
        <v>0</v>
      </c>
      <c r="K20" s="11">
        <v>0</v>
      </c>
      <c r="L20" s="193">
        <v>0</v>
      </c>
      <c r="M20" s="193">
        <v>0</v>
      </c>
      <c r="N20" s="193">
        <v>2541.5</v>
      </c>
      <c r="O20" s="193">
        <v>28878.99</v>
      </c>
      <c r="P20" s="193">
        <v>0</v>
      </c>
      <c r="Q20" s="193">
        <v>0</v>
      </c>
      <c r="R20" s="193">
        <v>0</v>
      </c>
      <c r="S20" s="193">
        <v>0</v>
      </c>
      <c r="T20" s="193">
        <v>31420.49</v>
      </c>
    </row>
    <row r="21" spans="1:20">
      <c r="A21" s="13">
        <v>17</v>
      </c>
      <c r="B21" s="204" t="s">
        <v>218</v>
      </c>
      <c r="C21" s="205"/>
      <c r="D21" s="198">
        <v>0</v>
      </c>
      <c r="E21" s="198">
        <v>22</v>
      </c>
      <c r="F21" s="198">
        <v>1997.51</v>
      </c>
      <c r="G21" s="199"/>
      <c r="H21" s="199"/>
      <c r="I21" s="10">
        <v>0</v>
      </c>
      <c r="J21" s="10">
        <v>0</v>
      </c>
      <c r="K21" s="11">
        <v>0</v>
      </c>
      <c r="L21" s="193">
        <v>0</v>
      </c>
      <c r="M21" s="193">
        <v>0</v>
      </c>
      <c r="N21" s="193">
        <v>2530</v>
      </c>
      <c r="O21" s="193">
        <v>28564.39</v>
      </c>
      <c r="P21" s="193">
        <v>0</v>
      </c>
      <c r="Q21" s="193">
        <v>0</v>
      </c>
      <c r="R21" s="193">
        <v>0</v>
      </c>
      <c r="S21" s="193">
        <v>0</v>
      </c>
      <c r="T21" s="193">
        <v>31094.39</v>
      </c>
    </row>
    <row r="22" spans="1:20">
      <c r="A22" s="13">
        <v>18</v>
      </c>
      <c r="B22" s="204" t="s">
        <v>219</v>
      </c>
      <c r="C22" s="205"/>
      <c r="D22" s="198">
        <v>0</v>
      </c>
      <c r="E22" s="198">
        <v>44</v>
      </c>
      <c r="F22" s="198">
        <v>1953.51</v>
      </c>
      <c r="G22" s="199"/>
      <c r="H22" s="199"/>
      <c r="I22" s="10">
        <v>0</v>
      </c>
      <c r="J22" s="10">
        <v>0</v>
      </c>
      <c r="K22" s="11">
        <v>0</v>
      </c>
      <c r="L22" s="193">
        <v>0</v>
      </c>
      <c r="M22" s="193">
        <v>0</v>
      </c>
      <c r="N22" s="193">
        <v>5060</v>
      </c>
      <c r="O22" s="193">
        <v>27935.19</v>
      </c>
      <c r="P22" s="193">
        <v>0</v>
      </c>
      <c r="Q22" s="193">
        <v>0</v>
      </c>
      <c r="R22" s="193">
        <v>0</v>
      </c>
      <c r="S22" s="193">
        <v>0</v>
      </c>
      <c r="T22" s="193">
        <v>32995.19</v>
      </c>
    </row>
    <row r="23" spans="1:20">
      <c r="A23" s="13">
        <v>19</v>
      </c>
      <c r="B23" s="204" t="s">
        <v>220</v>
      </c>
      <c r="C23" s="205"/>
      <c r="D23" s="198">
        <v>0</v>
      </c>
      <c r="E23" s="198">
        <v>22</v>
      </c>
      <c r="F23" s="198">
        <v>1931.51</v>
      </c>
      <c r="G23" s="199"/>
      <c r="H23" s="199"/>
      <c r="I23" s="10">
        <v>0</v>
      </c>
      <c r="J23" s="10">
        <v>0</v>
      </c>
      <c r="K23" s="11">
        <v>0</v>
      </c>
      <c r="L23" s="193">
        <v>0</v>
      </c>
      <c r="M23" s="193">
        <v>0</v>
      </c>
      <c r="N23" s="193">
        <v>2530</v>
      </c>
      <c r="O23" s="193">
        <v>27620.59</v>
      </c>
      <c r="P23" s="193">
        <v>0</v>
      </c>
      <c r="Q23" s="193">
        <v>0</v>
      </c>
      <c r="R23" s="193">
        <v>0</v>
      </c>
      <c r="S23" s="193">
        <v>0</v>
      </c>
      <c r="T23" s="193">
        <v>30150.59</v>
      </c>
    </row>
    <row r="24" spans="1:20">
      <c r="A24" s="13">
        <v>20</v>
      </c>
      <c r="B24" s="204" t="s">
        <v>221</v>
      </c>
      <c r="C24" s="205"/>
      <c r="D24" s="198">
        <v>0</v>
      </c>
      <c r="E24" s="198">
        <v>66</v>
      </c>
      <c r="F24" s="198">
        <v>1865.51</v>
      </c>
      <c r="G24" s="199"/>
      <c r="H24" s="199"/>
      <c r="I24" s="10">
        <v>0</v>
      </c>
      <c r="J24" s="10">
        <v>0</v>
      </c>
      <c r="K24" s="11">
        <v>0</v>
      </c>
      <c r="L24" s="193">
        <v>0</v>
      </c>
      <c r="M24" s="193">
        <v>0</v>
      </c>
      <c r="N24" s="193">
        <v>7590</v>
      </c>
      <c r="O24" s="193">
        <v>26676.79</v>
      </c>
      <c r="P24" s="193">
        <v>0</v>
      </c>
      <c r="Q24" s="193">
        <v>0</v>
      </c>
      <c r="R24" s="193">
        <v>0</v>
      </c>
      <c r="S24" s="193">
        <v>0</v>
      </c>
      <c r="T24" s="193">
        <v>34266.79</v>
      </c>
    </row>
    <row r="25" spans="1:20">
      <c r="A25" s="13">
        <v>21</v>
      </c>
      <c r="B25" s="204" t="s">
        <v>222</v>
      </c>
      <c r="C25" s="205"/>
      <c r="D25" s="198">
        <v>0</v>
      </c>
      <c r="E25" s="198">
        <v>20.625</v>
      </c>
      <c r="F25" s="198">
        <v>1844.885</v>
      </c>
      <c r="G25" s="199"/>
      <c r="H25" s="199"/>
      <c r="I25" s="10">
        <v>0</v>
      </c>
      <c r="J25" s="10">
        <v>0</v>
      </c>
      <c r="K25" s="11">
        <v>0</v>
      </c>
      <c r="L25" s="193">
        <v>0</v>
      </c>
      <c r="M25" s="193">
        <v>0</v>
      </c>
      <c r="N25" s="193">
        <v>2371.88</v>
      </c>
      <c r="O25" s="193">
        <v>26381.86</v>
      </c>
      <c r="P25" s="193">
        <v>0</v>
      </c>
      <c r="Q25" s="193">
        <v>0</v>
      </c>
      <c r="R25" s="193">
        <v>0</v>
      </c>
      <c r="S25" s="193">
        <v>0</v>
      </c>
      <c r="T25" s="193">
        <v>28753.73</v>
      </c>
    </row>
    <row r="26" spans="1:20">
      <c r="A26" s="13">
        <v>22</v>
      </c>
      <c r="B26" s="204" t="s">
        <v>223</v>
      </c>
      <c r="C26" s="205"/>
      <c r="D26" s="198">
        <v>0</v>
      </c>
      <c r="E26" s="198">
        <v>71.5</v>
      </c>
      <c r="F26" s="198">
        <v>1773.385</v>
      </c>
      <c r="G26" s="199"/>
      <c r="H26" s="199"/>
      <c r="I26" s="10">
        <v>0</v>
      </c>
      <c r="J26" s="10">
        <v>0</v>
      </c>
      <c r="K26" s="11">
        <v>0</v>
      </c>
      <c r="L26" s="193">
        <v>0</v>
      </c>
      <c r="M26" s="193">
        <v>0</v>
      </c>
      <c r="N26" s="193">
        <v>8222.5</v>
      </c>
      <c r="O26" s="193">
        <v>25359.41</v>
      </c>
      <c r="P26" s="193">
        <v>0</v>
      </c>
      <c r="Q26" s="193">
        <v>0</v>
      </c>
      <c r="R26" s="193">
        <v>0</v>
      </c>
      <c r="S26" s="193">
        <v>0</v>
      </c>
      <c r="T26" s="193">
        <v>33581.910000000003</v>
      </c>
    </row>
    <row r="27" spans="1:20">
      <c r="A27" s="13">
        <v>23</v>
      </c>
      <c r="B27" s="204" t="s">
        <v>224</v>
      </c>
      <c r="C27" s="205"/>
      <c r="D27" s="198">
        <v>0</v>
      </c>
      <c r="E27" s="198">
        <v>129.94999999999999</v>
      </c>
      <c r="F27" s="198">
        <v>1643.4349999999999</v>
      </c>
      <c r="G27" s="199"/>
      <c r="H27" s="199"/>
      <c r="I27" s="10">
        <v>0</v>
      </c>
      <c r="J27" s="10">
        <v>0</v>
      </c>
      <c r="K27" s="11">
        <v>0</v>
      </c>
      <c r="L27" s="193">
        <v>0</v>
      </c>
      <c r="M27" s="193">
        <v>0</v>
      </c>
      <c r="N27" s="193">
        <v>14944.25</v>
      </c>
      <c r="O27" s="193">
        <v>23501.119999999999</v>
      </c>
      <c r="P27" s="193">
        <v>0</v>
      </c>
      <c r="Q27" s="193">
        <v>0</v>
      </c>
      <c r="R27" s="193">
        <v>0</v>
      </c>
      <c r="S27" s="193">
        <v>0</v>
      </c>
      <c r="T27" s="193">
        <v>38445.370000000003</v>
      </c>
    </row>
    <row r="28" spans="1:20">
      <c r="A28" s="13">
        <v>24</v>
      </c>
      <c r="B28" s="204" t="s">
        <v>225</v>
      </c>
      <c r="C28" s="205"/>
      <c r="D28" s="198">
        <v>0</v>
      </c>
      <c r="E28" s="198">
        <v>27.6</v>
      </c>
      <c r="F28" s="198">
        <v>1615.835</v>
      </c>
      <c r="G28" s="199"/>
      <c r="H28" s="199"/>
      <c r="I28" s="10">
        <v>0</v>
      </c>
      <c r="J28" s="10">
        <v>0</v>
      </c>
      <c r="K28" s="11">
        <v>0</v>
      </c>
      <c r="L28" s="193">
        <v>0</v>
      </c>
      <c r="M28" s="193">
        <v>0</v>
      </c>
      <c r="N28" s="193">
        <v>3174</v>
      </c>
      <c r="O28" s="193">
        <v>23106.44</v>
      </c>
      <c r="P28" s="193">
        <v>0</v>
      </c>
      <c r="Q28" s="193">
        <v>0</v>
      </c>
      <c r="R28" s="193">
        <v>0</v>
      </c>
      <c r="S28" s="193">
        <v>0</v>
      </c>
      <c r="T28" s="193">
        <v>26280.44</v>
      </c>
    </row>
    <row r="29" spans="1:20">
      <c r="A29" s="13">
        <v>25</v>
      </c>
      <c r="B29" s="204" t="s">
        <v>226</v>
      </c>
      <c r="C29" s="205"/>
      <c r="D29" s="198">
        <v>0</v>
      </c>
      <c r="E29" s="198">
        <v>66</v>
      </c>
      <c r="F29" s="198">
        <v>1549.835</v>
      </c>
      <c r="G29" s="199"/>
      <c r="H29" s="199"/>
      <c r="I29" s="10">
        <v>0</v>
      </c>
      <c r="J29" s="10">
        <v>0</v>
      </c>
      <c r="K29" s="11">
        <v>0</v>
      </c>
      <c r="L29" s="193">
        <v>0</v>
      </c>
      <c r="M29" s="193">
        <v>0</v>
      </c>
      <c r="N29" s="193">
        <v>7590</v>
      </c>
      <c r="O29" s="193">
        <v>22162.639999999999</v>
      </c>
      <c r="P29" s="193">
        <v>0</v>
      </c>
      <c r="Q29" s="193">
        <v>0</v>
      </c>
      <c r="R29" s="193">
        <v>0</v>
      </c>
      <c r="S29" s="193">
        <v>0</v>
      </c>
      <c r="T29" s="193">
        <v>29752.639999999999</v>
      </c>
    </row>
    <row r="30" spans="1:20">
      <c r="A30" s="13">
        <v>26</v>
      </c>
      <c r="B30" s="204" t="s">
        <v>227</v>
      </c>
      <c r="C30" s="205"/>
      <c r="D30" s="198">
        <v>0</v>
      </c>
      <c r="E30" s="198">
        <v>264</v>
      </c>
      <c r="F30" s="198">
        <v>1285.835</v>
      </c>
      <c r="G30" s="199"/>
      <c r="H30" s="199"/>
      <c r="I30" s="10">
        <v>0</v>
      </c>
      <c r="J30" s="10">
        <v>0</v>
      </c>
      <c r="K30" s="11">
        <v>0</v>
      </c>
      <c r="L30" s="193">
        <v>0</v>
      </c>
      <c r="M30" s="193">
        <v>0</v>
      </c>
      <c r="N30" s="193">
        <v>30360</v>
      </c>
      <c r="O30" s="193">
        <v>18387.439999999999</v>
      </c>
      <c r="P30" s="193">
        <v>0</v>
      </c>
      <c r="Q30" s="193">
        <v>0</v>
      </c>
      <c r="R30" s="193">
        <v>0</v>
      </c>
      <c r="S30" s="193">
        <v>0</v>
      </c>
      <c r="T30" s="193">
        <v>48747.44</v>
      </c>
    </row>
    <row r="31" spans="1:20">
      <c r="A31" s="13">
        <v>27</v>
      </c>
      <c r="B31" s="204" t="s">
        <v>228</v>
      </c>
      <c r="C31" s="205"/>
      <c r="D31" s="198">
        <v>22</v>
      </c>
      <c r="E31" s="198">
        <v>66</v>
      </c>
      <c r="F31" s="198">
        <v>1241.835</v>
      </c>
      <c r="G31" s="199"/>
      <c r="H31" s="199"/>
      <c r="I31" s="10">
        <v>0</v>
      </c>
      <c r="J31" s="10">
        <v>0</v>
      </c>
      <c r="K31" s="11">
        <v>0</v>
      </c>
      <c r="L31" s="193">
        <v>0</v>
      </c>
      <c r="M31" s="193">
        <v>2530</v>
      </c>
      <c r="N31" s="193">
        <v>7590</v>
      </c>
      <c r="O31" s="193">
        <v>17758.240000000002</v>
      </c>
      <c r="P31" s="193">
        <v>0</v>
      </c>
      <c r="Q31" s="193">
        <v>0</v>
      </c>
      <c r="R31" s="193">
        <v>0</v>
      </c>
      <c r="S31" s="193">
        <v>0</v>
      </c>
      <c r="T31" s="193">
        <v>27878.240000000002</v>
      </c>
    </row>
    <row r="32" spans="1:20">
      <c r="A32" s="13">
        <v>28</v>
      </c>
      <c r="B32" s="204" t="s">
        <v>229</v>
      </c>
      <c r="C32" s="205"/>
      <c r="D32" s="198">
        <v>22</v>
      </c>
      <c r="E32" s="198">
        <v>0</v>
      </c>
      <c r="F32" s="198">
        <v>1263.835</v>
      </c>
      <c r="G32" s="199"/>
      <c r="H32" s="199"/>
      <c r="I32" s="10">
        <v>0</v>
      </c>
      <c r="J32" s="10">
        <v>0</v>
      </c>
      <c r="K32" s="11">
        <v>0</v>
      </c>
      <c r="L32" s="193">
        <v>0</v>
      </c>
      <c r="M32" s="193">
        <v>2530</v>
      </c>
      <c r="N32" s="193">
        <v>0</v>
      </c>
      <c r="O32" s="193">
        <v>18072.84</v>
      </c>
      <c r="P32" s="193">
        <v>0</v>
      </c>
      <c r="Q32" s="193">
        <v>0</v>
      </c>
      <c r="R32" s="193">
        <v>0</v>
      </c>
      <c r="S32" s="193">
        <v>0</v>
      </c>
      <c r="T32" s="193">
        <v>20602.84</v>
      </c>
    </row>
    <row r="33" spans="1:20">
      <c r="A33" s="13">
        <v>29</v>
      </c>
      <c r="B33" s="204" t="s">
        <v>230</v>
      </c>
      <c r="C33" s="205"/>
      <c r="D33" s="198">
        <v>0</v>
      </c>
      <c r="E33" s="198">
        <v>22</v>
      </c>
      <c r="F33" s="198">
        <v>1241.835</v>
      </c>
      <c r="G33" s="199"/>
      <c r="H33" s="199"/>
      <c r="I33" s="10">
        <v>0</v>
      </c>
      <c r="J33" s="10">
        <v>0</v>
      </c>
      <c r="K33" s="11">
        <v>0</v>
      </c>
      <c r="L33" s="193">
        <v>0</v>
      </c>
      <c r="M33" s="193">
        <v>0</v>
      </c>
      <c r="N33" s="193">
        <v>2530</v>
      </c>
      <c r="O33" s="193">
        <v>17758.240000000002</v>
      </c>
      <c r="P33" s="193">
        <v>0</v>
      </c>
      <c r="Q33" s="193">
        <v>0</v>
      </c>
      <c r="R33" s="193">
        <v>0</v>
      </c>
      <c r="S33" s="193">
        <v>0</v>
      </c>
      <c r="T33" s="193">
        <v>20288.240000000002</v>
      </c>
    </row>
    <row r="34" spans="1:20">
      <c r="A34" s="13">
        <v>30</v>
      </c>
      <c r="B34" s="204" t="s">
        <v>231</v>
      </c>
      <c r="C34" s="205"/>
      <c r="D34" s="198">
        <v>0</v>
      </c>
      <c r="E34" s="198">
        <v>1.05</v>
      </c>
      <c r="F34" s="198">
        <v>1240.7850000000001</v>
      </c>
      <c r="G34" s="199"/>
      <c r="H34" s="199"/>
      <c r="I34" s="10">
        <v>0</v>
      </c>
      <c r="J34" s="10">
        <v>0</v>
      </c>
      <c r="K34" s="11">
        <v>0</v>
      </c>
      <c r="L34" s="193">
        <v>0</v>
      </c>
      <c r="M34" s="193">
        <v>0</v>
      </c>
      <c r="N34" s="193">
        <v>120.75</v>
      </c>
      <c r="O34" s="193">
        <v>17743.23</v>
      </c>
      <c r="P34" s="193">
        <v>0</v>
      </c>
      <c r="Q34" s="193">
        <v>0</v>
      </c>
      <c r="R34" s="193">
        <v>0</v>
      </c>
      <c r="S34" s="193">
        <v>0</v>
      </c>
      <c r="T34" s="193">
        <v>17863.98</v>
      </c>
    </row>
    <row r="35" spans="1:20">
      <c r="A35" s="13">
        <v>31</v>
      </c>
      <c r="B35" s="204" t="s">
        <v>232</v>
      </c>
      <c r="C35" s="205"/>
      <c r="D35" s="198">
        <v>0</v>
      </c>
      <c r="E35" s="198">
        <v>0</v>
      </c>
      <c r="F35" s="198">
        <v>1240.7850000000001</v>
      </c>
      <c r="G35" s="199"/>
      <c r="H35" s="199"/>
      <c r="I35" s="10">
        <v>0</v>
      </c>
      <c r="J35" s="10">
        <v>0</v>
      </c>
      <c r="K35" s="11">
        <v>0</v>
      </c>
      <c r="L35" s="193">
        <v>0</v>
      </c>
      <c r="M35" s="193">
        <v>0</v>
      </c>
      <c r="N35" s="193">
        <v>0</v>
      </c>
      <c r="O35" s="193">
        <v>17743.23</v>
      </c>
      <c r="P35" s="193">
        <v>0</v>
      </c>
      <c r="Q35" s="193">
        <v>0</v>
      </c>
      <c r="R35" s="193">
        <v>0</v>
      </c>
      <c r="S35" s="193">
        <v>0</v>
      </c>
      <c r="T35" s="193">
        <v>17743.23</v>
      </c>
    </row>
    <row r="36" spans="1:20">
      <c r="D36" s="19">
        <v>966.99500000000012</v>
      </c>
      <c r="E36" s="19">
        <v>1371.2</v>
      </c>
      <c r="F36" s="19">
        <v>55407.130000000019</v>
      </c>
      <c r="G36" s="19">
        <v>0</v>
      </c>
      <c r="H36" s="19">
        <v>0</v>
      </c>
      <c r="I36" s="19">
        <v>5.4249999999999998</v>
      </c>
      <c r="J36" s="19">
        <v>62.674999999999997</v>
      </c>
      <c r="K36" s="20">
        <v>7.5000000000000011E-2</v>
      </c>
      <c r="L36" s="194">
        <v>8.6300000000000008</v>
      </c>
      <c r="M36" s="194">
        <v>111204.43</v>
      </c>
      <c r="N36" s="194">
        <v>157688</v>
      </c>
      <c r="O36" s="194">
        <v>792321.96</v>
      </c>
      <c r="P36" s="194">
        <v>0</v>
      </c>
      <c r="Q36" s="194">
        <v>0</v>
      </c>
      <c r="R36" s="194">
        <v>5153.75</v>
      </c>
      <c r="S36" s="194">
        <v>7521</v>
      </c>
      <c r="T36" s="194">
        <v>1073897.76</v>
      </c>
    </row>
    <row r="37" spans="1:20">
      <c r="R37" s="22"/>
      <c r="S37" s="22"/>
      <c r="T37" s="195">
        <v>1288677.31</v>
      </c>
    </row>
  </sheetData>
  <mergeCells count="50">
    <mergeCell ref="B8:C8"/>
    <mergeCell ref="B9:C9"/>
    <mergeCell ref="B10:C10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  <mergeCell ref="B7:C7"/>
    <mergeCell ref="L3:L4"/>
    <mergeCell ref="M3:M4"/>
    <mergeCell ref="N3:N4"/>
    <mergeCell ref="O3:O4"/>
    <mergeCell ref="R3:R4"/>
    <mergeCell ref="S3:S4"/>
    <mergeCell ref="T3:T4"/>
    <mergeCell ref="B5:C5"/>
    <mergeCell ref="B6:C6"/>
    <mergeCell ref="P3:P4"/>
    <mergeCell ref="Q3:Q4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13:C13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</mergeCells>
  <pageMargins left="0.7" right="0.7" top="0.75" bottom="0.75" header="0.3" footer="0.3"/>
  <pageSetup paperSize="9" fitToHeight="5" orientation="landscape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46AE5-0735-43DA-A8AC-97867404C618}">
  <sheetPr codeName="Лист49">
    <pageSetUpPr fitToPage="1"/>
  </sheetPr>
  <dimension ref="A1:T37"/>
  <sheetViews>
    <sheetView workbookViewId="0">
      <selection activeCell="M13" sqref="M13"/>
    </sheetView>
  </sheetViews>
  <sheetFormatPr defaultRowHeight="15"/>
  <cols>
    <col min="1" max="3" width="8.796875" style="2"/>
    <col min="4" max="4" width="8.59765625" style="2" customWidth="1"/>
    <col min="5" max="5" width="8.09765625" style="2" customWidth="1"/>
    <col min="6" max="6" width="9" style="2" customWidth="1"/>
    <col min="7" max="7" width="6.69921875" style="2" bestFit="1" customWidth="1"/>
    <col min="8" max="8" width="6.5" style="2" bestFit="1" customWidth="1"/>
    <col min="9" max="9" width="7.296875" style="2" bestFit="1" customWidth="1"/>
    <col min="10" max="10" width="6.5" style="2" bestFit="1" customWidth="1"/>
    <col min="11" max="12" width="8.796875" style="2"/>
    <col min="13" max="13" width="9.19921875" style="2" customWidth="1"/>
    <col min="14" max="14" width="9.5" style="2" customWidth="1"/>
    <col min="15" max="15" width="10.19921875" style="2" customWidth="1"/>
    <col min="16" max="16" width="10.19921875" style="2" bestFit="1" customWidth="1"/>
    <col min="17" max="17" width="10.5" style="2" customWidth="1"/>
    <col min="18" max="18" width="9.296875" style="2" customWidth="1"/>
    <col min="19" max="19" width="8.19921875" style="2" customWidth="1"/>
    <col min="20" max="20" width="17" style="2" customWidth="1"/>
    <col min="21" max="16384" width="8.796875" style="2"/>
  </cols>
  <sheetData>
    <row r="1" spans="1:20">
      <c r="I1" s="3"/>
    </row>
    <row r="2" spans="1:20" ht="28.9" customHeight="1">
      <c r="A2" s="209" t="s">
        <v>263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</row>
    <row r="3" spans="1:20" ht="28.9" customHeight="1">
      <c r="A3" s="206" t="s">
        <v>0</v>
      </c>
      <c r="B3" s="210" t="s">
        <v>1</v>
      </c>
      <c r="C3" s="211"/>
      <c r="D3" s="206" t="s">
        <v>2</v>
      </c>
      <c r="E3" s="206" t="s">
        <v>3</v>
      </c>
      <c r="F3" s="4" t="s">
        <v>4</v>
      </c>
      <c r="G3" s="206" t="s">
        <v>260</v>
      </c>
      <c r="H3" s="206" t="s">
        <v>261</v>
      </c>
      <c r="I3" s="206" t="s">
        <v>7</v>
      </c>
      <c r="J3" s="206" t="s">
        <v>8</v>
      </c>
      <c r="K3" s="206" t="s">
        <v>9</v>
      </c>
      <c r="L3" s="206" t="s">
        <v>10</v>
      </c>
      <c r="M3" s="206" t="s">
        <v>11</v>
      </c>
      <c r="N3" s="206" t="s">
        <v>12</v>
      </c>
      <c r="O3" s="206" t="s">
        <v>13</v>
      </c>
      <c r="P3" s="206" t="s">
        <v>14</v>
      </c>
      <c r="Q3" s="206" t="s">
        <v>15</v>
      </c>
      <c r="R3" s="206" t="s">
        <v>16</v>
      </c>
      <c r="S3" s="206" t="s">
        <v>17</v>
      </c>
      <c r="T3" s="206" t="s">
        <v>18</v>
      </c>
    </row>
    <row r="4" spans="1:20">
      <c r="A4" s="207"/>
      <c r="B4" s="212"/>
      <c r="C4" s="213"/>
      <c r="D4" s="207"/>
      <c r="E4" s="207"/>
      <c r="F4" s="5"/>
      <c r="G4" s="207"/>
      <c r="H4" s="207"/>
      <c r="I4" s="207"/>
      <c r="J4" s="207"/>
      <c r="K4" s="208"/>
      <c r="L4" s="208"/>
      <c r="M4" s="207"/>
      <c r="N4" s="207"/>
      <c r="O4" s="207"/>
      <c r="P4" s="207"/>
      <c r="Q4" s="207"/>
      <c r="R4" s="207"/>
      <c r="S4" s="207"/>
      <c r="T4" s="207"/>
    </row>
    <row r="5" spans="1:20">
      <c r="A5" s="13">
        <v>1</v>
      </c>
      <c r="B5" s="204" t="s">
        <v>202</v>
      </c>
      <c r="C5" s="205"/>
      <c r="D5" s="198">
        <v>0</v>
      </c>
      <c r="E5" s="198">
        <v>0</v>
      </c>
      <c r="F5" s="198">
        <v>7.4999999999999997E-2</v>
      </c>
      <c r="G5" s="199"/>
      <c r="H5" s="199"/>
      <c r="I5" s="10">
        <v>0</v>
      </c>
      <c r="J5" s="10">
        <v>0</v>
      </c>
      <c r="K5" s="11"/>
      <c r="L5" s="193">
        <v>0</v>
      </c>
      <c r="M5" s="193">
        <v>0</v>
      </c>
      <c r="N5" s="193">
        <v>0</v>
      </c>
      <c r="O5" s="193">
        <v>1.4</v>
      </c>
      <c r="P5" s="193">
        <v>0</v>
      </c>
      <c r="Q5" s="193">
        <v>0</v>
      </c>
      <c r="R5" s="193">
        <v>0</v>
      </c>
      <c r="S5" s="193">
        <v>0</v>
      </c>
      <c r="T5" s="193">
        <v>1.4</v>
      </c>
    </row>
    <row r="6" spans="1:20">
      <c r="A6" s="13">
        <v>2</v>
      </c>
      <c r="B6" s="204" t="s">
        <v>203</v>
      </c>
      <c r="C6" s="205"/>
      <c r="D6" s="198">
        <v>0</v>
      </c>
      <c r="E6" s="198">
        <v>0</v>
      </c>
      <c r="F6" s="198">
        <v>7.4999999999999997E-2</v>
      </c>
      <c r="G6" s="199"/>
      <c r="H6" s="199"/>
      <c r="I6" s="10">
        <v>0</v>
      </c>
      <c r="J6" s="10">
        <v>0</v>
      </c>
      <c r="K6" s="11"/>
      <c r="L6" s="193">
        <v>0</v>
      </c>
      <c r="M6" s="193">
        <v>0</v>
      </c>
      <c r="N6" s="193">
        <v>0</v>
      </c>
      <c r="O6" s="193">
        <v>1.4</v>
      </c>
      <c r="P6" s="193">
        <v>0</v>
      </c>
      <c r="Q6" s="193">
        <v>0</v>
      </c>
      <c r="R6" s="193">
        <v>0</v>
      </c>
      <c r="S6" s="193">
        <v>0</v>
      </c>
      <c r="T6" s="193">
        <v>1.4</v>
      </c>
    </row>
    <row r="7" spans="1:20">
      <c r="A7" s="13">
        <v>3</v>
      </c>
      <c r="B7" s="204" t="s">
        <v>204</v>
      </c>
      <c r="C7" s="205"/>
      <c r="D7" s="198">
        <v>0</v>
      </c>
      <c r="E7" s="198">
        <v>0</v>
      </c>
      <c r="F7" s="198">
        <v>7.4999999999999997E-2</v>
      </c>
      <c r="G7" s="199"/>
      <c r="H7" s="199"/>
      <c r="I7" s="10">
        <v>0</v>
      </c>
      <c r="J7" s="10">
        <v>0</v>
      </c>
      <c r="K7" s="11"/>
      <c r="L7" s="193">
        <v>0</v>
      </c>
      <c r="M7" s="193">
        <v>0</v>
      </c>
      <c r="N7" s="193">
        <v>0</v>
      </c>
      <c r="O7" s="193">
        <v>1.4</v>
      </c>
      <c r="P7" s="193">
        <v>0</v>
      </c>
      <c r="Q7" s="193">
        <v>0</v>
      </c>
      <c r="R7" s="193">
        <v>0</v>
      </c>
      <c r="S7" s="193">
        <v>0</v>
      </c>
      <c r="T7" s="193">
        <v>1.4</v>
      </c>
    </row>
    <row r="8" spans="1:20">
      <c r="A8" s="13">
        <v>4</v>
      </c>
      <c r="B8" s="204" t="s">
        <v>205</v>
      </c>
      <c r="C8" s="205"/>
      <c r="D8" s="198">
        <v>0</v>
      </c>
      <c r="E8" s="198">
        <v>0</v>
      </c>
      <c r="F8" s="198">
        <v>7.4999999999999997E-2</v>
      </c>
      <c r="G8" s="199"/>
      <c r="H8" s="199"/>
      <c r="I8" s="10">
        <v>0</v>
      </c>
      <c r="J8" s="10">
        <v>0</v>
      </c>
      <c r="K8" s="11"/>
      <c r="L8" s="193">
        <v>0</v>
      </c>
      <c r="M8" s="193">
        <v>0</v>
      </c>
      <c r="N8" s="193">
        <v>0</v>
      </c>
      <c r="O8" s="193">
        <v>1.4</v>
      </c>
      <c r="P8" s="193">
        <v>0</v>
      </c>
      <c r="Q8" s="193">
        <v>0</v>
      </c>
      <c r="R8" s="193">
        <v>0</v>
      </c>
      <c r="S8" s="193">
        <v>0</v>
      </c>
      <c r="T8" s="193">
        <v>1.4</v>
      </c>
    </row>
    <row r="9" spans="1:20">
      <c r="A9" s="13">
        <v>5</v>
      </c>
      <c r="B9" s="204" t="s">
        <v>206</v>
      </c>
      <c r="C9" s="205"/>
      <c r="D9" s="198">
        <v>0</v>
      </c>
      <c r="E9" s="198">
        <v>0</v>
      </c>
      <c r="F9" s="198">
        <v>7.4999999999999997E-2</v>
      </c>
      <c r="G9" s="199"/>
      <c r="H9" s="199"/>
      <c r="I9" s="10">
        <v>0</v>
      </c>
      <c r="J9" s="10">
        <v>0</v>
      </c>
      <c r="K9" s="11"/>
      <c r="L9" s="193">
        <v>0</v>
      </c>
      <c r="M9" s="193">
        <v>0</v>
      </c>
      <c r="N9" s="193">
        <v>0</v>
      </c>
      <c r="O9" s="193">
        <v>1.4</v>
      </c>
      <c r="P9" s="193">
        <v>0</v>
      </c>
      <c r="Q9" s="193">
        <v>0</v>
      </c>
      <c r="R9" s="193">
        <v>0</v>
      </c>
      <c r="S9" s="193">
        <v>0</v>
      </c>
      <c r="T9" s="193">
        <v>1.4</v>
      </c>
    </row>
    <row r="10" spans="1:20">
      <c r="A10" s="13">
        <v>6</v>
      </c>
      <c r="B10" s="204" t="s">
        <v>207</v>
      </c>
      <c r="C10" s="205"/>
      <c r="D10" s="198">
        <v>0</v>
      </c>
      <c r="E10" s="198">
        <v>0</v>
      </c>
      <c r="F10" s="198">
        <v>7.4999999999999997E-2</v>
      </c>
      <c r="G10" s="199"/>
      <c r="H10" s="199"/>
      <c r="I10" s="10">
        <v>0</v>
      </c>
      <c r="J10" s="10">
        <v>0</v>
      </c>
      <c r="K10" s="11"/>
      <c r="L10" s="193">
        <v>0</v>
      </c>
      <c r="M10" s="193">
        <v>0</v>
      </c>
      <c r="N10" s="193">
        <v>0</v>
      </c>
      <c r="O10" s="193">
        <v>1.4</v>
      </c>
      <c r="P10" s="193">
        <v>0</v>
      </c>
      <c r="Q10" s="193">
        <v>0</v>
      </c>
      <c r="R10" s="193">
        <v>0</v>
      </c>
      <c r="S10" s="193">
        <v>0</v>
      </c>
      <c r="T10" s="193">
        <v>1.4</v>
      </c>
    </row>
    <row r="11" spans="1:20">
      <c r="A11" s="13">
        <v>7</v>
      </c>
      <c r="B11" s="204" t="s">
        <v>208</v>
      </c>
      <c r="C11" s="205"/>
      <c r="D11" s="198">
        <v>0</v>
      </c>
      <c r="E11" s="198">
        <v>0</v>
      </c>
      <c r="F11" s="198">
        <v>7.4999999999999997E-2</v>
      </c>
      <c r="G11" s="199"/>
      <c r="H11" s="199"/>
      <c r="I11" s="10">
        <v>0</v>
      </c>
      <c r="J11" s="10">
        <v>0</v>
      </c>
      <c r="K11" s="11"/>
      <c r="L11" s="193">
        <v>0</v>
      </c>
      <c r="M11" s="193">
        <v>0</v>
      </c>
      <c r="N11" s="193">
        <v>0</v>
      </c>
      <c r="O11" s="193">
        <v>1.4</v>
      </c>
      <c r="P11" s="193">
        <v>0</v>
      </c>
      <c r="Q11" s="193">
        <v>0</v>
      </c>
      <c r="R11" s="193">
        <v>0</v>
      </c>
      <c r="S11" s="193">
        <v>0</v>
      </c>
      <c r="T11" s="193">
        <v>1.4</v>
      </c>
    </row>
    <row r="12" spans="1:20">
      <c r="A12" s="13">
        <v>8</v>
      </c>
      <c r="B12" s="204" t="s">
        <v>209</v>
      </c>
      <c r="C12" s="205"/>
      <c r="D12" s="198">
        <v>0</v>
      </c>
      <c r="E12" s="198">
        <v>0</v>
      </c>
      <c r="F12" s="198">
        <v>7.4999999999999997E-2</v>
      </c>
      <c r="G12" s="199"/>
      <c r="H12" s="199"/>
      <c r="I12" s="10">
        <v>0</v>
      </c>
      <c r="J12" s="10">
        <v>0</v>
      </c>
      <c r="K12" s="11"/>
      <c r="L12" s="193">
        <v>0</v>
      </c>
      <c r="M12" s="193">
        <v>0</v>
      </c>
      <c r="N12" s="193">
        <v>0</v>
      </c>
      <c r="O12" s="193">
        <v>1.4</v>
      </c>
      <c r="P12" s="193">
        <v>0</v>
      </c>
      <c r="Q12" s="193">
        <v>0</v>
      </c>
      <c r="R12" s="193">
        <v>0</v>
      </c>
      <c r="S12" s="193">
        <v>0</v>
      </c>
      <c r="T12" s="193">
        <v>1.4</v>
      </c>
    </row>
    <row r="13" spans="1:20">
      <c r="A13" s="13">
        <v>9</v>
      </c>
      <c r="B13" s="204" t="s">
        <v>210</v>
      </c>
      <c r="C13" s="205"/>
      <c r="D13" s="198">
        <v>0</v>
      </c>
      <c r="E13" s="198">
        <v>0</v>
      </c>
      <c r="F13" s="198">
        <v>7.4999999999999997E-2</v>
      </c>
      <c r="G13" s="199"/>
      <c r="H13" s="199"/>
      <c r="I13" s="10">
        <v>0</v>
      </c>
      <c r="J13" s="10">
        <v>0</v>
      </c>
      <c r="K13" s="11"/>
      <c r="L13" s="193">
        <v>0</v>
      </c>
      <c r="M13" s="193">
        <v>0</v>
      </c>
      <c r="N13" s="193">
        <v>0</v>
      </c>
      <c r="O13" s="193">
        <v>1.4</v>
      </c>
      <c r="P13" s="193">
        <v>0</v>
      </c>
      <c r="Q13" s="193">
        <v>0</v>
      </c>
      <c r="R13" s="193">
        <v>0</v>
      </c>
      <c r="S13" s="193">
        <v>0</v>
      </c>
      <c r="T13" s="193">
        <v>1.4</v>
      </c>
    </row>
    <row r="14" spans="1:20">
      <c r="A14" s="13">
        <v>10</v>
      </c>
      <c r="B14" s="204" t="s">
        <v>211</v>
      </c>
      <c r="C14" s="205"/>
      <c r="D14" s="198">
        <v>0</v>
      </c>
      <c r="E14" s="198">
        <v>0</v>
      </c>
      <c r="F14" s="198">
        <v>7.4999999999999997E-2</v>
      </c>
      <c r="G14" s="199"/>
      <c r="H14" s="199"/>
      <c r="I14" s="10">
        <v>0</v>
      </c>
      <c r="J14" s="10">
        <v>0</v>
      </c>
      <c r="K14" s="11"/>
      <c r="L14" s="193">
        <v>0</v>
      </c>
      <c r="M14" s="193">
        <v>0</v>
      </c>
      <c r="N14" s="193">
        <v>0</v>
      </c>
      <c r="O14" s="193">
        <v>1.4</v>
      </c>
      <c r="P14" s="193">
        <v>0</v>
      </c>
      <c r="Q14" s="193">
        <v>0</v>
      </c>
      <c r="R14" s="193">
        <v>0</v>
      </c>
      <c r="S14" s="193">
        <v>0</v>
      </c>
      <c r="T14" s="193">
        <v>1.4</v>
      </c>
    </row>
    <row r="15" spans="1:20">
      <c r="A15" s="13">
        <v>11</v>
      </c>
      <c r="B15" s="204" t="s">
        <v>212</v>
      </c>
      <c r="C15" s="205"/>
      <c r="D15" s="198">
        <v>0</v>
      </c>
      <c r="E15" s="198">
        <v>0</v>
      </c>
      <c r="F15" s="198">
        <v>7.4999999999999997E-2</v>
      </c>
      <c r="G15" s="199"/>
      <c r="H15" s="199"/>
      <c r="I15" s="10">
        <v>0</v>
      </c>
      <c r="J15" s="10">
        <v>0</v>
      </c>
      <c r="K15" s="11"/>
      <c r="L15" s="193">
        <v>0</v>
      </c>
      <c r="M15" s="193">
        <v>0</v>
      </c>
      <c r="N15" s="193">
        <v>0</v>
      </c>
      <c r="O15" s="193">
        <v>1.4</v>
      </c>
      <c r="P15" s="193">
        <v>0</v>
      </c>
      <c r="Q15" s="193">
        <v>0</v>
      </c>
      <c r="R15" s="193">
        <v>0</v>
      </c>
      <c r="S15" s="193">
        <v>0</v>
      </c>
      <c r="T15" s="193">
        <v>1.4</v>
      </c>
    </row>
    <row r="16" spans="1:20">
      <c r="A16" s="13">
        <v>12</v>
      </c>
      <c r="B16" s="204" t="s">
        <v>213</v>
      </c>
      <c r="C16" s="205"/>
      <c r="D16" s="198">
        <v>0</v>
      </c>
      <c r="E16" s="198">
        <v>0</v>
      </c>
      <c r="F16" s="198">
        <v>7.4999999999999997E-2</v>
      </c>
      <c r="G16" s="199"/>
      <c r="H16" s="199"/>
      <c r="I16" s="10">
        <v>0</v>
      </c>
      <c r="J16" s="10">
        <v>0</v>
      </c>
      <c r="K16" s="18"/>
      <c r="L16" s="193">
        <v>0</v>
      </c>
      <c r="M16" s="193">
        <v>0</v>
      </c>
      <c r="N16" s="193">
        <v>0</v>
      </c>
      <c r="O16" s="193">
        <v>1.4</v>
      </c>
      <c r="P16" s="193">
        <v>0</v>
      </c>
      <c r="Q16" s="193">
        <v>0</v>
      </c>
      <c r="R16" s="193">
        <v>0</v>
      </c>
      <c r="S16" s="193">
        <v>0</v>
      </c>
      <c r="T16" s="193">
        <v>1.4</v>
      </c>
    </row>
    <row r="17" spans="1:20">
      <c r="A17" s="13">
        <v>13</v>
      </c>
      <c r="B17" s="204" t="s">
        <v>214</v>
      </c>
      <c r="C17" s="205"/>
      <c r="D17" s="198">
        <v>0</v>
      </c>
      <c r="E17" s="198">
        <v>0</v>
      </c>
      <c r="F17" s="198">
        <v>7.4999999999999997E-2</v>
      </c>
      <c r="G17" s="199"/>
      <c r="H17" s="199"/>
      <c r="I17" s="10">
        <v>0</v>
      </c>
      <c r="J17" s="10">
        <v>0</v>
      </c>
      <c r="K17" s="11"/>
      <c r="L17" s="193">
        <v>0</v>
      </c>
      <c r="M17" s="193">
        <v>0</v>
      </c>
      <c r="N17" s="193">
        <v>0</v>
      </c>
      <c r="O17" s="193">
        <v>1.4</v>
      </c>
      <c r="P17" s="193">
        <v>0</v>
      </c>
      <c r="Q17" s="193">
        <v>0</v>
      </c>
      <c r="R17" s="193">
        <v>0</v>
      </c>
      <c r="S17" s="193">
        <v>0</v>
      </c>
      <c r="T17" s="193">
        <v>1.4</v>
      </c>
    </row>
    <row r="18" spans="1:20">
      <c r="A18" s="13">
        <v>14</v>
      </c>
      <c r="B18" s="204" t="s">
        <v>215</v>
      </c>
      <c r="C18" s="205"/>
      <c r="D18" s="198">
        <v>0</v>
      </c>
      <c r="E18" s="198">
        <v>0</v>
      </c>
      <c r="F18" s="198">
        <v>7.4999999999999997E-2</v>
      </c>
      <c r="G18" s="199"/>
      <c r="H18" s="199"/>
      <c r="I18" s="10">
        <v>0</v>
      </c>
      <c r="J18" s="10">
        <v>0</v>
      </c>
      <c r="K18" s="11"/>
      <c r="L18" s="193">
        <v>0</v>
      </c>
      <c r="M18" s="193">
        <v>0</v>
      </c>
      <c r="N18" s="193">
        <v>0</v>
      </c>
      <c r="O18" s="193">
        <v>1.4</v>
      </c>
      <c r="P18" s="193">
        <v>0</v>
      </c>
      <c r="Q18" s="193">
        <v>0</v>
      </c>
      <c r="R18" s="193">
        <v>0</v>
      </c>
      <c r="S18" s="193">
        <v>0</v>
      </c>
      <c r="T18" s="193">
        <v>1.4</v>
      </c>
    </row>
    <row r="19" spans="1:20">
      <c r="A19" s="13">
        <v>15</v>
      </c>
      <c r="B19" s="204" t="s">
        <v>216</v>
      </c>
      <c r="C19" s="205"/>
      <c r="D19" s="198">
        <v>0</v>
      </c>
      <c r="E19" s="198">
        <v>0</v>
      </c>
      <c r="F19" s="198">
        <v>7.4999999999999997E-2</v>
      </c>
      <c r="G19" s="199"/>
      <c r="H19" s="199"/>
      <c r="I19" s="10">
        <v>0</v>
      </c>
      <c r="J19" s="10">
        <v>0</v>
      </c>
      <c r="K19" s="11"/>
      <c r="L19" s="193">
        <v>0</v>
      </c>
      <c r="M19" s="193">
        <v>0</v>
      </c>
      <c r="N19" s="193">
        <v>0</v>
      </c>
      <c r="O19" s="193">
        <v>1.4</v>
      </c>
      <c r="P19" s="193">
        <v>0</v>
      </c>
      <c r="Q19" s="193">
        <v>0</v>
      </c>
      <c r="R19" s="193">
        <v>0</v>
      </c>
      <c r="S19" s="193">
        <v>0</v>
      </c>
      <c r="T19" s="193">
        <v>1.4</v>
      </c>
    </row>
    <row r="20" spans="1:20">
      <c r="A20" s="13">
        <v>16</v>
      </c>
      <c r="B20" s="204" t="s">
        <v>217</v>
      </c>
      <c r="C20" s="205"/>
      <c r="D20" s="198">
        <v>0</v>
      </c>
      <c r="E20" s="198">
        <v>0</v>
      </c>
      <c r="F20" s="198">
        <v>7.4999999999999997E-2</v>
      </c>
      <c r="G20" s="199"/>
      <c r="H20" s="199"/>
      <c r="I20" s="10">
        <v>0</v>
      </c>
      <c r="J20" s="10">
        <v>0</v>
      </c>
      <c r="K20" s="11"/>
      <c r="L20" s="193">
        <v>0</v>
      </c>
      <c r="M20" s="193">
        <v>0</v>
      </c>
      <c r="N20" s="193">
        <v>0</v>
      </c>
      <c r="O20" s="193">
        <v>1.4</v>
      </c>
      <c r="P20" s="193">
        <v>0</v>
      </c>
      <c r="Q20" s="193">
        <v>0</v>
      </c>
      <c r="R20" s="193">
        <v>0</v>
      </c>
      <c r="S20" s="193">
        <v>0</v>
      </c>
      <c r="T20" s="193">
        <v>1.4</v>
      </c>
    </row>
    <row r="21" spans="1:20">
      <c r="A21" s="13">
        <v>17</v>
      </c>
      <c r="B21" s="204" t="s">
        <v>218</v>
      </c>
      <c r="C21" s="205"/>
      <c r="D21" s="198">
        <v>0</v>
      </c>
      <c r="E21" s="198">
        <v>0</v>
      </c>
      <c r="F21" s="198">
        <v>7.4999999999999997E-2</v>
      </c>
      <c r="G21" s="199"/>
      <c r="H21" s="199"/>
      <c r="I21" s="10">
        <v>0</v>
      </c>
      <c r="J21" s="10">
        <v>0</v>
      </c>
      <c r="K21" s="11"/>
      <c r="L21" s="193">
        <v>0</v>
      </c>
      <c r="M21" s="193">
        <v>0</v>
      </c>
      <c r="N21" s="193">
        <v>0</v>
      </c>
      <c r="O21" s="193">
        <v>1.4</v>
      </c>
      <c r="P21" s="193">
        <v>0</v>
      </c>
      <c r="Q21" s="193">
        <v>0</v>
      </c>
      <c r="R21" s="193">
        <v>0</v>
      </c>
      <c r="S21" s="193">
        <v>0</v>
      </c>
      <c r="T21" s="193">
        <v>1.4</v>
      </c>
    </row>
    <row r="22" spans="1:20">
      <c r="A22" s="13">
        <v>18</v>
      </c>
      <c r="B22" s="204" t="s">
        <v>219</v>
      </c>
      <c r="C22" s="205"/>
      <c r="D22" s="198">
        <v>0</v>
      </c>
      <c r="E22" s="198">
        <v>0</v>
      </c>
      <c r="F22" s="198">
        <v>7.4999999999999997E-2</v>
      </c>
      <c r="G22" s="199"/>
      <c r="H22" s="199"/>
      <c r="I22" s="10">
        <v>0</v>
      </c>
      <c r="J22" s="10">
        <v>0</v>
      </c>
      <c r="K22" s="11"/>
      <c r="L22" s="193">
        <v>0</v>
      </c>
      <c r="M22" s="193">
        <v>0</v>
      </c>
      <c r="N22" s="193">
        <v>0</v>
      </c>
      <c r="O22" s="193">
        <v>1.4</v>
      </c>
      <c r="P22" s="193">
        <v>0</v>
      </c>
      <c r="Q22" s="193">
        <v>0</v>
      </c>
      <c r="R22" s="193">
        <v>0</v>
      </c>
      <c r="S22" s="193">
        <v>0</v>
      </c>
      <c r="T22" s="193">
        <v>1.4</v>
      </c>
    </row>
    <row r="23" spans="1:20">
      <c r="A23" s="13">
        <v>19</v>
      </c>
      <c r="B23" s="204" t="s">
        <v>220</v>
      </c>
      <c r="C23" s="205"/>
      <c r="D23" s="198">
        <v>0</v>
      </c>
      <c r="E23" s="198">
        <v>0</v>
      </c>
      <c r="F23" s="198">
        <v>7.4999999999999997E-2</v>
      </c>
      <c r="G23" s="199"/>
      <c r="H23" s="199"/>
      <c r="I23" s="10">
        <v>0</v>
      </c>
      <c r="J23" s="10">
        <v>0</v>
      </c>
      <c r="K23" s="11"/>
      <c r="L23" s="193">
        <v>0</v>
      </c>
      <c r="M23" s="193">
        <v>0</v>
      </c>
      <c r="N23" s="193">
        <v>0</v>
      </c>
      <c r="O23" s="193">
        <v>1.4</v>
      </c>
      <c r="P23" s="193">
        <v>0</v>
      </c>
      <c r="Q23" s="193">
        <v>0</v>
      </c>
      <c r="R23" s="193">
        <v>0</v>
      </c>
      <c r="S23" s="193">
        <v>0</v>
      </c>
      <c r="T23" s="193">
        <v>1.4</v>
      </c>
    </row>
    <row r="24" spans="1:20">
      <c r="A24" s="13">
        <v>20</v>
      </c>
      <c r="B24" s="204" t="s">
        <v>221</v>
      </c>
      <c r="C24" s="205"/>
      <c r="D24" s="198">
        <v>0</v>
      </c>
      <c r="E24" s="198">
        <v>0</v>
      </c>
      <c r="F24" s="198">
        <v>7.4999999999999997E-2</v>
      </c>
      <c r="G24" s="199"/>
      <c r="H24" s="199"/>
      <c r="I24" s="10">
        <v>0</v>
      </c>
      <c r="J24" s="10">
        <v>0</v>
      </c>
      <c r="K24" s="11"/>
      <c r="L24" s="193">
        <v>0</v>
      </c>
      <c r="M24" s="193">
        <v>0</v>
      </c>
      <c r="N24" s="193">
        <v>0</v>
      </c>
      <c r="O24" s="193">
        <v>1.4</v>
      </c>
      <c r="P24" s="193">
        <v>0</v>
      </c>
      <c r="Q24" s="193">
        <v>0</v>
      </c>
      <c r="R24" s="193">
        <v>0</v>
      </c>
      <c r="S24" s="193">
        <v>0</v>
      </c>
      <c r="T24" s="193">
        <v>1.4</v>
      </c>
    </row>
    <row r="25" spans="1:20">
      <c r="A25" s="13">
        <v>21</v>
      </c>
      <c r="B25" s="204" t="s">
        <v>222</v>
      </c>
      <c r="C25" s="205"/>
      <c r="D25" s="198">
        <v>0</v>
      </c>
      <c r="E25" s="198">
        <v>0</v>
      </c>
      <c r="F25" s="198">
        <v>7.4999999999999997E-2</v>
      </c>
      <c r="G25" s="199"/>
      <c r="H25" s="199"/>
      <c r="I25" s="10">
        <v>0</v>
      </c>
      <c r="J25" s="10">
        <v>0</v>
      </c>
      <c r="K25" s="11"/>
      <c r="L25" s="193">
        <v>0</v>
      </c>
      <c r="M25" s="193">
        <v>0</v>
      </c>
      <c r="N25" s="193">
        <v>0</v>
      </c>
      <c r="O25" s="193">
        <v>1.4</v>
      </c>
      <c r="P25" s="193">
        <v>0</v>
      </c>
      <c r="Q25" s="193">
        <v>0</v>
      </c>
      <c r="R25" s="193">
        <v>0</v>
      </c>
      <c r="S25" s="193">
        <v>0</v>
      </c>
      <c r="T25" s="193">
        <v>1.4</v>
      </c>
    </row>
    <row r="26" spans="1:20">
      <c r="A26" s="13">
        <v>22</v>
      </c>
      <c r="B26" s="204" t="s">
        <v>223</v>
      </c>
      <c r="C26" s="205"/>
      <c r="D26" s="198">
        <v>0</v>
      </c>
      <c r="E26" s="198">
        <v>0</v>
      </c>
      <c r="F26" s="198">
        <v>7.4999999999999997E-2</v>
      </c>
      <c r="G26" s="199"/>
      <c r="H26" s="199"/>
      <c r="I26" s="10">
        <v>0</v>
      </c>
      <c r="J26" s="10">
        <v>0</v>
      </c>
      <c r="K26" s="11"/>
      <c r="L26" s="193">
        <v>0</v>
      </c>
      <c r="M26" s="193">
        <v>0</v>
      </c>
      <c r="N26" s="193">
        <v>0</v>
      </c>
      <c r="O26" s="193">
        <v>1.4</v>
      </c>
      <c r="P26" s="193">
        <v>0</v>
      </c>
      <c r="Q26" s="193">
        <v>0</v>
      </c>
      <c r="R26" s="193">
        <v>0</v>
      </c>
      <c r="S26" s="193">
        <v>0</v>
      </c>
      <c r="T26" s="193">
        <v>1.4</v>
      </c>
    </row>
    <row r="27" spans="1:20">
      <c r="A27" s="13">
        <v>23</v>
      </c>
      <c r="B27" s="204" t="s">
        <v>224</v>
      </c>
      <c r="C27" s="205"/>
      <c r="D27" s="198">
        <v>0</v>
      </c>
      <c r="E27" s="198">
        <v>0</v>
      </c>
      <c r="F27" s="198">
        <v>7.4999999999999997E-2</v>
      </c>
      <c r="G27" s="199"/>
      <c r="H27" s="199"/>
      <c r="I27" s="10">
        <v>0</v>
      </c>
      <c r="J27" s="10">
        <v>0</v>
      </c>
      <c r="K27" s="11"/>
      <c r="L27" s="193">
        <v>0</v>
      </c>
      <c r="M27" s="193">
        <v>0</v>
      </c>
      <c r="N27" s="193">
        <v>0</v>
      </c>
      <c r="O27" s="193">
        <v>1.4</v>
      </c>
      <c r="P27" s="193">
        <v>0</v>
      </c>
      <c r="Q27" s="193">
        <v>0</v>
      </c>
      <c r="R27" s="193">
        <v>0</v>
      </c>
      <c r="S27" s="193">
        <v>0</v>
      </c>
      <c r="T27" s="193">
        <v>1.4</v>
      </c>
    </row>
    <row r="28" spans="1:20">
      <c r="A28" s="13">
        <v>24</v>
      </c>
      <c r="B28" s="204" t="s">
        <v>225</v>
      </c>
      <c r="C28" s="205"/>
      <c r="D28" s="198">
        <v>0</v>
      </c>
      <c r="E28" s="198">
        <v>0</v>
      </c>
      <c r="F28" s="198">
        <v>7.4999999999999997E-2</v>
      </c>
      <c r="G28" s="199"/>
      <c r="H28" s="199"/>
      <c r="I28" s="10">
        <v>0</v>
      </c>
      <c r="J28" s="10">
        <v>0</v>
      </c>
      <c r="K28" s="11"/>
      <c r="L28" s="193">
        <v>0</v>
      </c>
      <c r="M28" s="193">
        <v>0</v>
      </c>
      <c r="N28" s="193">
        <v>0</v>
      </c>
      <c r="O28" s="193">
        <v>1.4</v>
      </c>
      <c r="P28" s="193">
        <v>0</v>
      </c>
      <c r="Q28" s="193">
        <v>0</v>
      </c>
      <c r="R28" s="193">
        <v>0</v>
      </c>
      <c r="S28" s="193">
        <v>0</v>
      </c>
      <c r="T28" s="193">
        <v>1.4</v>
      </c>
    </row>
    <row r="29" spans="1:20">
      <c r="A29" s="13">
        <v>25</v>
      </c>
      <c r="B29" s="204" t="s">
        <v>226</v>
      </c>
      <c r="C29" s="205"/>
      <c r="D29" s="198">
        <v>0</v>
      </c>
      <c r="E29" s="198">
        <v>0</v>
      </c>
      <c r="F29" s="198">
        <v>7.4999999999999997E-2</v>
      </c>
      <c r="G29" s="199"/>
      <c r="H29" s="199"/>
      <c r="I29" s="10">
        <v>0</v>
      </c>
      <c r="J29" s="10">
        <v>0</v>
      </c>
      <c r="K29" s="11"/>
      <c r="L29" s="193">
        <v>0</v>
      </c>
      <c r="M29" s="193">
        <v>0</v>
      </c>
      <c r="N29" s="193">
        <v>0</v>
      </c>
      <c r="O29" s="193">
        <v>1.4</v>
      </c>
      <c r="P29" s="193">
        <v>0</v>
      </c>
      <c r="Q29" s="193">
        <v>0</v>
      </c>
      <c r="R29" s="193">
        <v>0</v>
      </c>
      <c r="S29" s="193">
        <v>0</v>
      </c>
      <c r="T29" s="193">
        <v>1.4</v>
      </c>
    </row>
    <row r="30" spans="1:20">
      <c r="A30" s="13">
        <v>26</v>
      </c>
      <c r="B30" s="204" t="s">
        <v>227</v>
      </c>
      <c r="C30" s="205"/>
      <c r="D30" s="198">
        <v>0</v>
      </c>
      <c r="E30" s="198">
        <v>0</v>
      </c>
      <c r="F30" s="198">
        <v>7.4999999999999997E-2</v>
      </c>
      <c r="G30" s="199"/>
      <c r="H30" s="199"/>
      <c r="I30" s="10">
        <v>0</v>
      </c>
      <c r="J30" s="10">
        <v>0</v>
      </c>
      <c r="K30" s="11"/>
      <c r="L30" s="193">
        <v>0</v>
      </c>
      <c r="M30" s="193">
        <v>0</v>
      </c>
      <c r="N30" s="193">
        <v>0</v>
      </c>
      <c r="O30" s="193">
        <v>1.4</v>
      </c>
      <c r="P30" s="193">
        <v>0</v>
      </c>
      <c r="Q30" s="193">
        <v>0</v>
      </c>
      <c r="R30" s="193">
        <v>0</v>
      </c>
      <c r="S30" s="193">
        <v>0</v>
      </c>
      <c r="T30" s="193">
        <v>1.4</v>
      </c>
    </row>
    <row r="31" spans="1:20">
      <c r="A31" s="13">
        <v>27</v>
      </c>
      <c r="B31" s="204" t="s">
        <v>228</v>
      </c>
      <c r="C31" s="205"/>
      <c r="D31" s="198">
        <v>0</v>
      </c>
      <c r="E31" s="198">
        <v>0</v>
      </c>
      <c r="F31" s="198">
        <v>7.4999999999999997E-2</v>
      </c>
      <c r="G31" s="199"/>
      <c r="H31" s="199"/>
      <c r="I31" s="10">
        <v>0</v>
      </c>
      <c r="J31" s="10">
        <v>0</v>
      </c>
      <c r="K31" s="11"/>
      <c r="L31" s="193">
        <v>0</v>
      </c>
      <c r="M31" s="193">
        <v>0</v>
      </c>
      <c r="N31" s="193">
        <v>0</v>
      </c>
      <c r="O31" s="193">
        <v>1.4</v>
      </c>
      <c r="P31" s="193">
        <v>0</v>
      </c>
      <c r="Q31" s="193">
        <v>0</v>
      </c>
      <c r="R31" s="193">
        <v>0</v>
      </c>
      <c r="S31" s="193">
        <v>0</v>
      </c>
      <c r="T31" s="193">
        <v>1.4</v>
      </c>
    </row>
    <row r="32" spans="1:20">
      <c r="A32" s="13">
        <v>28</v>
      </c>
      <c r="B32" s="204" t="s">
        <v>229</v>
      </c>
      <c r="C32" s="205"/>
      <c r="D32" s="198">
        <v>0</v>
      </c>
      <c r="E32" s="198">
        <v>0</v>
      </c>
      <c r="F32" s="198">
        <v>7.4999999999999997E-2</v>
      </c>
      <c r="G32" s="199"/>
      <c r="H32" s="199"/>
      <c r="I32" s="10">
        <v>0</v>
      </c>
      <c r="J32" s="10">
        <v>0</v>
      </c>
      <c r="K32" s="11"/>
      <c r="L32" s="193">
        <v>0</v>
      </c>
      <c r="M32" s="193">
        <v>0</v>
      </c>
      <c r="N32" s="193">
        <v>0</v>
      </c>
      <c r="O32" s="193">
        <v>1.4</v>
      </c>
      <c r="P32" s="193">
        <v>0</v>
      </c>
      <c r="Q32" s="193">
        <v>0</v>
      </c>
      <c r="R32" s="193">
        <v>0</v>
      </c>
      <c r="S32" s="193">
        <v>0</v>
      </c>
      <c r="T32" s="193">
        <v>1.4</v>
      </c>
    </row>
    <row r="33" spans="1:20">
      <c r="A33" s="13">
        <v>29</v>
      </c>
      <c r="B33" s="204" t="s">
        <v>230</v>
      </c>
      <c r="C33" s="205"/>
      <c r="D33" s="198">
        <v>0</v>
      </c>
      <c r="E33" s="198">
        <v>0</v>
      </c>
      <c r="F33" s="198">
        <v>7.4999999999999997E-2</v>
      </c>
      <c r="G33" s="199"/>
      <c r="H33" s="199"/>
      <c r="I33" s="10">
        <v>0</v>
      </c>
      <c r="J33" s="10">
        <v>0</v>
      </c>
      <c r="K33" s="11"/>
      <c r="L33" s="193">
        <v>0</v>
      </c>
      <c r="M33" s="193">
        <v>0</v>
      </c>
      <c r="N33" s="193">
        <v>0</v>
      </c>
      <c r="O33" s="193">
        <v>1.4</v>
      </c>
      <c r="P33" s="193">
        <v>0</v>
      </c>
      <c r="Q33" s="193">
        <v>0</v>
      </c>
      <c r="R33" s="193">
        <v>0</v>
      </c>
      <c r="S33" s="193">
        <v>0</v>
      </c>
      <c r="T33" s="193">
        <v>1.4</v>
      </c>
    </row>
    <row r="34" spans="1:20">
      <c r="A34" s="13">
        <v>30</v>
      </c>
      <c r="B34" s="204" t="s">
        <v>231</v>
      </c>
      <c r="C34" s="205"/>
      <c r="D34" s="198">
        <v>0</v>
      </c>
      <c r="E34" s="198">
        <v>0</v>
      </c>
      <c r="F34" s="198">
        <v>7.4999999999999997E-2</v>
      </c>
      <c r="G34" s="199"/>
      <c r="H34" s="199"/>
      <c r="I34" s="10">
        <v>0</v>
      </c>
      <c r="J34" s="10">
        <v>0</v>
      </c>
      <c r="K34" s="11"/>
      <c r="L34" s="193">
        <v>0</v>
      </c>
      <c r="M34" s="193">
        <v>0</v>
      </c>
      <c r="N34" s="193">
        <v>0</v>
      </c>
      <c r="O34" s="193">
        <v>1.4</v>
      </c>
      <c r="P34" s="193">
        <v>0</v>
      </c>
      <c r="Q34" s="193">
        <v>0</v>
      </c>
      <c r="R34" s="193">
        <v>0</v>
      </c>
      <c r="S34" s="193">
        <v>0</v>
      </c>
      <c r="T34" s="193">
        <v>1.4</v>
      </c>
    </row>
    <row r="35" spans="1:20">
      <c r="A35" s="13">
        <v>31</v>
      </c>
      <c r="B35" s="204" t="s">
        <v>232</v>
      </c>
      <c r="C35" s="205"/>
      <c r="D35" s="198">
        <v>0</v>
      </c>
      <c r="E35" s="198">
        <v>0</v>
      </c>
      <c r="F35" s="198">
        <v>7.4999999999999997E-2</v>
      </c>
      <c r="G35" s="199"/>
      <c r="H35" s="199"/>
      <c r="I35" s="10">
        <v>0</v>
      </c>
      <c r="J35" s="10">
        <v>0</v>
      </c>
      <c r="K35" s="11"/>
      <c r="L35" s="193">
        <v>0</v>
      </c>
      <c r="M35" s="193">
        <v>0</v>
      </c>
      <c r="N35" s="193">
        <v>0</v>
      </c>
      <c r="O35" s="193">
        <v>1.4</v>
      </c>
      <c r="P35" s="193">
        <v>0</v>
      </c>
      <c r="Q35" s="193">
        <v>0</v>
      </c>
      <c r="R35" s="193">
        <v>0</v>
      </c>
      <c r="S35" s="193">
        <v>0</v>
      </c>
      <c r="T35" s="193">
        <v>1.4</v>
      </c>
    </row>
    <row r="36" spans="1:20">
      <c r="D36" s="19">
        <v>0</v>
      </c>
      <c r="E36" s="19">
        <v>0</v>
      </c>
      <c r="F36" s="19">
        <v>2.3250000000000002</v>
      </c>
      <c r="G36" s="19">
        <v>0</v>
      </c>
      <c r="H36" s="19">
        <v>0</v>
      </c>
      <c r="I36" s="19">
        <v>0</v>
      </c>
      <c r="J36" s="19">
        <v>0</v>
      </c>
      <c r="K36" s="20">
        <v>0</v>
      </c>
      <c r="L36" s="194">
        <v>0</v>
      </c>
      <c r="M36" s="194">
        <v>0</v>
      </c>
      <c r="N36" s="194">
        <v>0</v>
      </c>
      <c r="O36" s="194">
        <v>43.48</v>
      </c>
      <c r="P36" s="194">
        <v>0</v>
      </c>
      <c r="Q36" s="194">
        <v>0</v>
      </c>
      <c r="R36" s="194">
        <v>0</v>
      </c>
      <c r="S36" s="194">
        <v>0</v>
      </c>
      <c r="T36" s="194">
        <v>43.48</v>
      </c>
    </row>
    <row r="37" spans="1:20">
      <c r="R37" s="22"/>
      <c r="S37" s="22"/>
      <c r="T37" s="195">
        <v>52.17</v>
      </c>
    </row>
  </sheetData>
  <mergeCells count="50">
    <mergeCell ref="B8:C8"/>
    <mergeCell ref="B9:C9"/>
    <mergeCell ref="B10:C10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  <mergeCell ref="B7:C7"/>
    <mergeCell ref="L3:L4"/>
    <mergeCell ref="M3:M4"/>
    <mergeCell ref="N3:N4"/>
    <mergeCell ref="O3:O4"/>
    <mergeCell ref="R3:R4"/>
    <mergeCell ref="S3:S4"/>
    <mergeCell ref="T3:T4"/>
    <mergeCell ref="B5:C5"/>
    <mergeCell ref="B6:C6"/>
    <mergeCell ref="P3:P4"/>
    <mergeCell ref="Q3:Q4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13:C13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</mergeCells>
  <pageMargins left="0.7" right="0.7" top="0.75" bottom="0.75" header="0.3" footer="0.3"/>
  <pageSetup paperSize="9" fitToHeight="5" orientation="landscape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A9180-ABA4-4993-BA52-F1A80DB25243}">
  <sheetPr codeName="Лист50">
    <pageSetUpPr fitToPage="1"/>
  </sheetPr>
  <dimension ref="A1:T38"/>
  <sheetViews>
    <sheetView topLeftCell="E12" workbookViewId="0">
      <selection activeCell="Q23" sqref="Q23"/>
    </sheetView>
  </sheetViews>
  <sheetFormatPr defaultRowHeight="15"/>
  <cols>
    <col min="1" max="3" width="8.796875" style="2"/>
    <col min="4" max="4" width="8.19921875" style="2" customWidth="1"/>
    <col min="5" max="5" width="13.796875" style="2" customWidth="1"/>
    <col min="6" max="6" width="9.296875" style="2" customWidth="1"/>
    <col min="7" max="7" width="8" style="2" customWidth="1"/>
    <col min="8" max="8" width="7.296875" style="2" customWidth="1"/>
    <col min="9" max="9" width="7.3984375" style="2" bestFit="1" customWidth="1"/>
    <col min="10" max="10" width="6.59765625" style="2" bestFit="1" customWidth="1"/>
    <col min="11" max="12" width="8.796875" style="2"/>
    <col min="13" max="13" width="10.59765625" style="2" customWidth="1"/>
    <col min="14" max="14" width="9.5" style="2" customWidth="1"/>
    <col min="15" max="15" width="10.19921875" style="2" customWidth="1"/>
    <col min="16" max="16" width="10.19921875" style="2" bestFit="1" customWidth="1"/>
    <col min="17" max="17" width="10.5" style="2" customWidth="1"/>
    <col min="18" max="18" width="9.296875" style="2" customWidth="1"/>
    <col min="19" max="19" width="8.19921875" style="2" customWidth="1"/>
    <col min="20" max="20" width="17" style="2" customWidth="1"/>
    <col min="21" max="16384" width="8.796875" style="2"/>
  </cols>
  <sheetData>
    <row r="1" spans="1:20">
      <c r="I1" s="3"/>
    </row>
    <row r="2" spans="1:20" ht="28.9" customHeight="1">
      <c r="A2" s="209" t="s">
        <v>264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</row>
    <row r="3" spans="1:20" ht="28.9" customHeight="1">
      <c r="A3" s="206" t="s">
        <v>0</v>
      </c>
      <c r="B3" s="210" t="s">
        <v>1</v>
      </c>
      <c r="C3" s="211"/>
      <c r="D3" s="206" t="s">
        <v>2</v>
      </c>
      <c r="E3" s="206" t="s">
        <v>3</v>
      </c>
      <c r="F3" s="4" t="s">
        <v>4</v>
      </c>
      <c r="G3" s="206" t="s">
        <v>265</v>
      </c>
      <c r="H3" s="206" t="s">
        <v>266</v>
      </c>
      <c r="I3" s="206" t="s">
        <v>7</v>
      </c>
      <c r="J3" s="206" t="s">
        <v>8</v>
      </c>
      <c r="K3" s="206" t="s">
        <v>200</v>
      </c>
      <c r="L3" s="206" t="s">
        <v>241</v>
      </c>
      <c r="M3" s="206" t="s">
        <v>11</v>
      </c>
      <c r="N3" s="206" t="s">
        <v>12</v>
      </c>
      <c r="O3" s="206" t="s">
        <v>267</v>
      </c>
      <c r="P3" s="206" t="s">
        <v>14</v>
      </c>
      <c r="Q3" s="206" t="s">
        <v>15</v>
      </c>
      <c r="R3" s="206" t="s">
        <v>16</v>
      </c>
      <c r="S3" s="206" t="s">
        <v>17</v>
      </c>
      <c r="T3" s="206" t="s">
        <v>18</v>
      </c>
    </row>
    <row r="4" spans="1:20">
      <c r="A4" s="207"/>
      <c r="B4" s="212"/>
      <c r="C4" s="213"/>
      <c r="D4" s="207"/>
      <c r="E4" s="207"/>
      <c r="F4" s="5"/>
      <c r="G4" s="207"/>
      <c r="H4" s="207"/>
      <c r="I4" s="207"/>
      <c r="J4" s="207"/>
      <c r="K4" s="208"/>
      <c r="L4" s="208"/>
      <c r="M4" s="207"/>
      <c r="N4" s="207"/>
      <c r="O4" s="207"/>
      <c r="P4" s="207"/>
      <c r="Q4" s="207"/>
      <c r="R4" s="207"/>
      <c r="S4" s="207"/>
      <c r="T4" s="207"/>
    </row>
    <row r="5" spans="1:20">
      <c r="A5" s="13">
        <v>1</v>
      </c>
      <c r="B5" s="204" t="s">
        <v>202</v>
      </c>
      <c r="C5" s="205"/>
      <c r="D5" s="198">
        <v>0</v>
      </c>
      <c r="E5" s="198">
        <v>0</v>
      </c>
      <c r="F5" s="198">
        <v>142.86000000000001</v>
      </c>
      <c r="G5" s="199">
        <v>0</v>
      </c>
      <c r="H5" s="199">
        <v>0</v>
      </c>
      <c r="I5" s="10">
        <v>0</v>
      </c>
      <c r="J5" s="10">
        <v>0</v>
      </c>
      <c r="K5" s="11">
        <v>0</v>
      </c>
      <c r="L5" s="193">
        <v>0</v>
      </c>
      <c r="M5" s="193">
        <f>D5*150</f>
        <v>0</v>
      </c>
      <c r="N5" s="193">
        <f>E5*150</f>
        <v>0</v>
      </c>
      <c r="O5" s="193">
        <v>0</v>
      </c>
      <c r="P5" s="193">
        <v>0</v>
      </c>
      <c r="Q5" s="193">
        <v>0</v>
      </c>
      <c r="R5" s="193">
        <v>0</v>
      </c>
      <c r="S5" s="193">
        <v>0</v>
      </c>
      <c r="T5" s="193">
        <f>SUM(L5:S5)</f>
        <v>0</v>
      </c>
    </row>
    <row r="6" spans="1:20">
      <c r="A6" s="13">
        <v>2</v>
      </c>
      <c r="B6" s="204" t="s">
        <v>203</v>
      </c>
      <c r="C6" s="205"/>
      <c r="D6" s="198">
        <v>0</v>
      </c>
      <c r="E6" s="198">
        <v>22</v>
      </c>
      <c r="F6" s="198">
        <v>120.86</v>
      </c>
      <c r="G6" s="199">
        <v>0</v>
      </c>
      <c r="H6" s="199">
        <v>0</v>
      </c>
      <c r="I6" s="10">
        <v>0</v>
      </c>
      <c r="J6" s="10">
        <v>0</v>
      </c>
      <c r="K6" s="11">
        <v>0</v>
      </c>
      <c r="L6" s="193">
        <v>0</v>
      </c>
      <c r="M6" s="193">
        <f t="shared" ref="M6:N35" si="0">D6*150</f>
        <v>0</v>
      </c>
      <c r="N6" s="193">
        <f t="shared" si="0"/>
        <v>3300</v>
      </c>
      <c r="O6" s="193">
        <v>0</v>
      </c>
      <c r="P6" s="193">
        <v>0</v>
      </c>
      <c r="Q6" s="193">
        <v>0</v>
      </c>
      <c r="R6" s="193">
        <v>0</v>
      </c>
      <c r="S6" s="193">
        <v>0</v>
      </c>
      <c r="T6" s="193">
        <f t="shared" ref="T6:T35" si="1">SUM(L6:S6)</f>
        <v>3300</v>
      </c>
    </row>
    <row r="7" spans="1:20">
      <c r="A7" s="13">
        <v>3</v>
      </c>
      <c r="B7" s="204" t="s">
        <v>204</v>
      </c>
      <c r="C7" s="205"/>
      <c r="D7" s="198">
        <v>0</v>
      </c>
      <c r="E7" s="198">
        <v>0</v>
      </c>
      <c r="F7" s="198">
        <v>120.86</v>
      </c>
      <c r="G7" s="199">
        <v>0</v>
      </c>
      <c r="H7" s="199">
        <v>0</v>
      </c>
      <c r="I7" s="10">
        <v>0</v>
      </c>
      <c r="J7" s="10">
        <v>0</v>
      </c>
      <c r="K7" s="11">
        <v>0</v>
      </c>
      <c r="L7" s="193">
        <v>0</v>
      </c>
      <c r="M7" s="193">
        <f t="shared" si="0"/>
        <v>0</v>
      </c>
      <c r="N7" s="193">
        <f t="shared" si="0"/>
        <v>0</v>
      </c>
      <c r="O7" s="193">
        <v>0</v>
      </c>
      <c r="P7" s="193">
        <v>0</v>
      </c>
      <c r="Q7" s="193">
        <v>0</v>
      </c>
      <c r="R7" s="193">
        <v>0</v>
      </c>
      <c r="S7" s="193">
        <v>0</v>
      </c>
      <c r="T7" s="193">
        <f t="shared" si="1"/>
        <v>0</v>
      </c>
    </row>
    <row r="8" spans="1:20">
      <c r="A8" s="13">
        <v>4</v>
      </c>
      <c r="B8" s="204" t="s">
        <v>205</v>
      </c>
      <c r="C8" s="205"/>
      <c r="D8" s="198">
        <v>0</v>
      </c>
      <c r="E8" s="198">
        <v>22</v>
      </c>
      <c r="F8" s="198">
        <v>98.86</v>
      </c>
      <c r="G8" s="199">
        <v>0</v>
      </c>
      <c r="H8" s="199">
        <v>0</v>
      </c>
      <c r="I8" s="10">
        <v>0</v>
      </c>
      <c r="J8" s="10">
        <v>0</v>
      </c>
      <c r="K8" s="11">
        <v>0</v>
      </c>
      <c r="L8" s="193">
        <v>0</v>
      </c>
      <c r="M8" s="193">
        <f t="shared" si="0"/>
        <v>0</v>
      </c>
      <c r="N8" s="193">
        <f t="shared" si="0"/>
        <v>3300</v>
      </c>
      <c r="O8" s="193">
        <v>0</v>
      </c>
      <c r="P8" s="193">
        <v>0</v>
      </c>
      <c r="Q8" s="193">
        <v>0</v>
      </c>
      <c r="R8" s="193">
        <v>0</v>
      </c>
      <c r="S8" s="193">
        <v>0</v>
      </c>
      <c r="T8" s="193">
        <f t="shared" si="1"/>
        <v>3300</v>
      </c>
    </row>
    <row r="9" spans="1:20">
      <c r="A9" s="13">
        <v>5</v>
      </c>
      <c r="B9" s="204" t="s">
        <v>206</v>
      </c>
      <c r="C9" s="205"/>
      <c r="D9" s="198">
        <v>0</v>
      </c>
      <c r="E9" s="198">
        <v>0</v>
      </c>
      <c r="F9" s="198">
        <v>98.86</v>
      </c>
      <c r="G9" s="199">
        <v>0</v>
      </c>
      <c r="H9" s="199">
        <v>0</v>
      </c>
      <c r="I9" s="10">
        <v>0</v>
      </c>
      <c r="J9" s="10">
        <v>0</v>
      </c>
      <c r="K9" s="11">
        <v>0</v>
      </c>
      <c r="L9" s="193">
        <v>0</v>
      </c>
      <c r="M9" s="193">
        <f t="shared" si="0"/>
        <v>0</v>
      </c>
      <c r="N9" s="193">
        <f t="shared" si="0"/>
        <v>0</v>
      </c>
      <c r="O9" s="193">
        <v>0</v>
      </c>
      <c r="P9" s="193">
        <v>0</v>
      </c>
      <c r="Q9" s="193">
        <v>0</v>
      </c>
      <c r="R9" s="193">
        <v>0</v>
      </c>
      <c r="S9" s="193">
        <v>0</v>
      </c>
      <c r="T9" s="193">
        <f t="shared" si="1"/>
        <v>0</v>
      </c>
    </row>
    <row r="10" spans="1:20">
      <c r="A10" s="13">
        <v>6</v>
      </c>
      <c r="B10" s="204" t="s">
        <v>207</v>
      </c>
      <c r="C10" s="205"/>
      <c r="D10" s="198">
        <v>0</v>
      </c>
      <c r="E10" s="198">
        <v>0</v>
      </c>
      <c r="F10" s="198">
        <v>98.86</v>
      </c>
      <c r="G10" s="199">
        <v>0</v>
      </c>
      <c r="H10" s="199">
        <v>0</v>
      </c>
      <c r="I10" s="10">
        <v>0</v>
      </c>
      <c r="J10" s="10">
        <v>0</v>
      </c>
      <c r="K10" s="11">
        <v>0</v>
      </c>
      <c r="L10" s="193">
        <v>0</v>
      </c>
      <c r="M10" s="193">
        <f t="shared" si="0"/>
        <v>0</v>
      </c>
      <c r="N10" s="193">
        <f t="shared" si="0"/>
        <v>0</v>
      </c>
      <c r="O10" s="193">
        <v>0</v>
      </c>
      <c r="P10" s="193">
        <v>0</v>
      </c>
      <c r="Q10" s="193">
        <v>0</v>
      </c>
      <c r="R10" s="193">
        <v>0</v>
      </c>
      <c r="S10" s="193">
        <v>0</v>
      </c>
      <c r="T10" s="193">
        <f t="shared" si="1"/>
        <v>0</v>
      </c>
    </row>
    <row r="11" spans="1:20">
      <c r="A11" s="13">
        <v>7</v>
      </c>
      <c r="B11" s="204" t="s">
        <v>208</v>
      </c>
      <c r="C11" s="205"/>
      <c r="D11" s="198">
        <v>0</v>
      </c>
      <c r="E11" s="198">
        <v>0</v>
      </c>
      <c r="F11" s="198">
        <v>98.86</v>
      </c>
      <c r="G11" s="199">
        <v>0</v>
      </c>
      <c r="H11" s="199">
        <v>0</v>
      </c>
      <c r="I11" s="10">
        <v>0</v>
      </c>
      <c r="J11" s="10">
        <v>0</v>
      </c>
      <c r="K11" s="11">
        <v>0</v>
      </c>
      <c r="L11" s="193">
        <v>0</v>
      </c>
      <c r="M11" s="193">
        <f t="shared" si="0"/>
        <v>0</v>
      </c>
      <c r="N11" s="193">
        <f t="shared" si="0"/>
        <v>0</v>
      </c>
      <c r="O11" s="193">
        <v>0</v>
      </c>
      <c r="P11" s="193">
        <v>0</v>
      </c>
      <c r="Q11" s="193">
        <v>0</v>
      </c>
      <c r="R11" s="193">
        <v>0</v>
      </c>
      <c r="S11" s="193">
        <v>0</v>
      </c>
      <c r="T11" s="193">
        <f t="shared" si="1"/>
        <v>0</v>
      </c>
    </row>
    <row r="12" spans="1:20">
      <c r="A12" s="13">
        <v>8</v>
      </c>
      <c r="B12" s="204" t="s">
        <v>209</v>
      </c>
      <c r="C12" s="205"/>
      <c r="D12" s="198">
        <v>0</v>
      </c>
      <c r="E12" s="198">
        <v>22</v>
      </c>
      <c r="F12" s="198">
        <v>76.86</v>
      </c>
      <c r="G12" s="199">
        <v>0</v>
      </c>
      <c r="H12" s="199">
        <v>0</v>
      </c>
      <c r="I12" s="10">
        <v>0</v>
      </c>
      <c r="J12" s="10">
        <v>0</v>
      </c>
      <c r="K12" s="11">
        <v>0</v>
      </c>
      <c r="L12" s="193">
        <v>0</v>
      </c>
      <c r="M12" s="193">
        <f t="shared" si="0"/>
        <v>0</v>
      </c>
      <c r="N12" s="193">
        <f t="shared" si="0"/>
        <v>3300</v>
      </c>
      <c r="O12" s="193">
        <v>0</v>
      </c>
      <c r="P12" s="193">
        <v>0</v>
      </c>
      <c r="Q12" s="193">
        <v>0</v>
      </c>
      <c r="R12" s="193">
        <v>0</v>
      </c>
      <c r="S12" s="193">
        <v>0</v>
      </c>
      <c r="T12" s="193">
        <f t="shared" si="1"/>
        <v>3300</v>
      </c>
    </row>
    <row r="13" spans="1:20">
      <c r="A13" s="13">
        <v>9</v>
      </c>
      <c r="B13" s="204" t="s">
        <v>210</v>
      </c>
      <c r="C13" s="205"/>
      <c r="D13" s="198">
        <v>0</v>
      </c>
      <c r="E13" s="198">
        <v>0</v>
      </c>
      <c r="F13" s="198">
        <v>76.86</v>
      </c>
      <c r="G13" s="199">
        <v>0</v>
      </c>
      <c r="H13" s="199">
        <v>0</v>
      </c>
      <c r="I13" s="10">
        <v>0</v>
      </c>
      <c r="J13" s="10">
        <v>0</v>
      </c>
      <c r="K13" s="11">
        <v>0</v>
      </c>
      <c r="L13" s="193">
        <v>0</v>
      </c>
      <c r="M13" s="193">
        <f t="shared" si="0"/>
        <v>0</v>
      </c>
      <c r="N13" s="193">
        <f t="shared" si="0"/>
        <v>0</v>
      </c>
      <c r="O13" s="193">
        <v>0</v>
      </c>
      <c r="P13" s="193">
        <v>0</v>
      </c>
      <c r="Q13" s="193">
        <v>0</v>
      </c>
      <c r="R13" s="193">
        <v>0</v>
      </c>
      <c r="S13" s="193">
        <v>0</v>
      </c>
      <c r="T13" s="193">
        <f t="shared" si="1"/>
        <v>0</v>
      </c>
    </row>
    <row r="14" spans="1:20">
      <c r="A14" s="13">
        <v>10</v>
      </c>
      <c r="B14" s="204" t="s">
        <v>211</v>
      </c>
      <c r="C14" s="205"/>
      <c r="D14" s="198">
        <v>0</v>
      </c>
      <c r="E14" s="198">
        <v>0</v>
      </c>
      <c r="F14" s="198">
        <v>76.86</v>
      </c>
      <c r="G14" s="199">
        <v>0</v>
      </c>
      <c r="H14" s="199">
        <v>0</v>
      </c>
      <c r="I14" s="10">
        <v>0</v>
      </c>
      <c r="J14" s="10">
        <v>0</v>
      </c>
      <c r="K14" s="11">
        <v>0</v>
      </c>
      <c r="L14" s="193">
        <v>0</v>
      </c>
      <c r="M14" s="193">
        <f t="shared" si="0"/>
        <v>0</v>
      </c>
      <c r="N14" s="193">
        <f t="shared" si="0"/>
        <v>0</v>
      </c>
      <c r="O14" s="193">
        <v>0</v>
      </c>
      <c r="P14" s="193">
        <v>0</v>
      </c>
      <c r="Q14" s="193">
        <v>0</v>
      </c>
      <c r="R14" s="193">
        <v>0</v>
      </c>
      <c r="S14" s="193">
        <v>0</v>
      </c>
      <c r="T14" s="193">
        <f t="shared" si="1"/>
        <v>0</v>
      </c>
    </row>
    <row r="15" spans="1:20">
      <c r="A15" s="13">
        <v>11</v>
      </c>
      <c r="B15" s="204" t="s">
        <v>212</v>
      </c>
      <c r="C15" s="205"/>
      <c r="D15" s="198">
        <v>0</v>
      </c>
      <c r="E15" s="198">
        <v>0</v>
      </c>
      <c r="F15" s="198">
        <v>76.86</v>
      </c>
      <c r="G15" s="199">
        <v>0</v>
      </c>
      <c r="H15" s="199">
        <v>0</v>
      </c>
      <c r="I15" s="10">
        <v>0</v>
      </c>
      <c r="J15" s="10">
        <v>0</v>
      </c>
      <c r="K15" s="11">
        <v>0</v>
      </c>
      <c r="L15" s="193">
        <v>0</v>
      </c>
      <c r="M15" s="193">
        <f t="shared" si="0"/>
        <v>0</v>
      </c>
      <c r="N15" s="193">
        <f t="shared" si="0"/>
        <v>0</v>
      </c>
      <c r="O15" s="193">
        <v>0</v>
      </c>
      <c r="P15" s="193">
        <v>0</v>
      </c>
      <c r="Q15" s="193">
        <v>0</v>
      </c>
      <c r="R15" s="193">
        <v>0</v>
      </c>
      <c r="S15" s="193">
        <v>0</v>
      </c>
      <c r="T15" s="193">
        <f t="shared" si="1"/>
        <v>0</v>
      </c>
    </row>
    <row r="16" spans="1:20">
      <c r="A16" s="13">
        <v>12</v>
      </c>
      <c r="B16" s="204" t="s">
        <v>213</v>
      </c>
      <c r="C16" s="205"/>
      <c r="D16" s="198">
        <v>0</v>
      </c>
      <c r="E16" s="198">
        <v>0</v>
      </c>
      <c r="F16" s="198">
        <v>76.86</v>
      </c>
      <c r="G16" s="199">
        <v>0</v>
      </c>
      <c r="H16" s="199">
        <v>0</v>
      </c>
      <c r="I16" s="10">
        <v>0</v>
      </c>
      <c r="J16" s="10">
        <v>0</v>
      </c>
      <c r="K16" s="11">
        <v>0</v>
      </c>
      <c r="L16" s="193">
        <v>0</v>
      </c>
      <c r="M16" s="193">
        <f t="shared" si="0"/>
        <v>0</v>
      </c>
      <c r="N16" s="193">
        <f t="shared" si="0"/>
        <v>0</v>
      </c>
      <c r="O16" s="193">
        <v>0</v>
      </c>
      <c r="P16" s="193">
        <v>0</v>
      </c>
      <c r="Q16" s="193">
        <v>0</v>
      </c>
      <c r="R16" s="193">
        <v>0</v>
      </c>
      <c r="S16" s="193">
        <v>0</v>
      </c>
      <c r="T16" s="193">
        <f t="shared" si="1"/>
        <v>0</v>
      </c>
    </row>
    <row r="17" spans="1:20">
      <c r="A17" s="13">
        <v>13</v>
      </c>
      <c r="B17" s="204" t="s">
        <v>214</v>
      </c>
      <c r="C17" s="205"/>
      <c r="D17" s="198">
        <v>0</v>
      </c>
      <c r="E17" s="198">
        <v>0</v>
      </c>
      <c r="F17" s="198">
        <v>76.86</v>
      </c>
      <c r="G17" s="199">
        <v>0</v>
      </c>
      <c r="H17" s="199">
        <v>0</v>
      </c>
      <c r="I17" s="10">
        <v>0</v>
      </c>
      <c r="J17" s="10">
        <v>0</v>
      </c>
      <c r="K17" s="11">
        <v>0</v>
      </c>
      <c r="L17" s="193">
        <v>0</v>
      </c>
      <c r="M17" s="193">
        <f t="shared" si="0"/>
        <v>0</v>
      </c>
      <c r="N17" s="193">
        <f t="shared" si="0"/>
        <v>0</v>
      </c>
      <c r="O17" s="193">
        <v>0</v>
      </c>
      <c r="P17" s="193">
        <v>0</v>
      </c>
      <c r="Q17" s="193">
        <v>0</v>
      </c>
      <c r="R17" s="193">
        <v>0</v>
      </c>
      <c r="S17" s="193">
        <v>0</v>
      </c>
      <c r="T17" s="193">
        <f t="shared" si="1"/>
        <v>0</v>
      </c>
    </row>
    <row r="18" spans="1:20">
      <c r="A18" s="13">
        <v>14</v>
      </c>
      <c r="B18" s="204" t="s">
        <v>215</v>
      </c>
      <c r="C18" s="205"/>
      <c r="D18" s="198">
        <v>0</v>
      </c>
      <c r="E18" s="198">
        <v>0</v>
      </c>
      <c r="F18" s="198">
        <v>76.86</v>
      </c>
      <c r="G18" s="199">
        <v>0</v>
      </c>
      <c r="H18" s="199">
        <v>0</v>
      </c>
      <c r="I18" s="10">
        <v>0</v>
      </c>
      <c r="J18" s="10">
        <v>0</v>
      </c>
      <c r="K18" s="11">
        <v>0</v>
      </c>
      <c r="L18" s="193">
        <v>0</v>
      </c>
      <c r="M18" s="193">
        <f t="shared" si="0"/>
        <v>0</v>
      </c>
      <c r="N18" s="193">
        <f t="shared" si="0"/>
        <v>0</v>
      </c>
      <c r="O18" s="193">
        <v>0</v>
      </c>
      <c r="P18" s="193">
        <v>0</v>
      </c>
      <c r="Q18" s="193">
        <v>0</v>
      </c>
      <c r="R18" s="193">
        <v>0</v>
      </c>
      <c r="S18" s="193">
        <v>0</v>
      </c>
      <c r="T18" s="193">
        <f t="shared" si="1"/>
        <v>0</v>
      </c>
    </row>
    <row r="19" spans="1:20">
      <c r="A19" s="13">
        <v>15</v>
      </c>
      <c r="B19" s="204" t="s">
        <v>216</v>
      </c>
      <c r="C19" s="205"/>
      <c r="D19" s="198">
        <v>0</v>
      </c>
      <c r="E19" s="198">
        <v>22</v>
      </c>
      <c r="F19" s="198">
        <v>54.86</v>
      </c>
      <c r="G19" s="199">
        <v>0</v>
      </c>
      <c r="H19" s="199">
        <v>0</v>
      </c>
      <c r="I19" s="10">
        <v>0</v>
      </c>
      <c r="J19" s="10">
        <v>0</v>
      </c>
      <c r="K19" s="11">
        <v>0</v>
      </c>
      <c r="L19" s="193">
        <v>0</v>
      </c>
      <c r="M19" s="193">
        <f t="shared" si="0"/>
        <v>0</v>
      </c>
      <c r="N19" s="193">
        <f t="shared" si="0"/>
        <v>3300</v>
      </c>
      <c r="O19" s="193">
        <v>0</v>
      </c>
      <c r="P19" s="193">
        <v>0</v>
      </c>
      <c r="Q19" s="193">
        <v>0</v>
      </c>
      <c r="R19" s="193">
        <v>0</v>
      </c>
      <c r="S19" s="193">
        <v>0</v>
      </c>
      <c r="T19" s="193">
        <f t="shared" si="1"/>
        <v>3300</v>
      </c>
    </row>
    <row r="20" spans="1:20">
      <c r="A20" s="13">
        <v>16</v>
      </c>
      <c r="B20" s="204" t="s">
        <v>217</v>
      </c>
      <c r="C20" s="205"/>
      <c r="D20" s="198">
        <v>0</v>
      </c>
      <c r="E20" s="198">
        <v>0</v>
      </c>
      <c r="F20" s="198">
        <v>54.86</v>
      </c>
      <c r="G20" s="199">
        <v>0</v>
      </c>
      <c r="H20" s="199">
        <v>0</v>
      </c>
      <c r="I20" s="10">
        <v>0</v>
      </c>
      <c r="J20" s="10">
        <v>0</v>
      </c>
      <c r="K20" s="11">
        <v>0</v>
      </c>
      <c r="L20" s="193">
        <v>0</v>
      </c>
      <c r="M20" s="193">
        <f t="shared" si="0"/>
        <v>0</v>
      </c>
      <c r="N20" s="193">
        <f t="shared" si="0"/>
        <v>0</v>
      </c>
      <c r="O20" s="193">
        <v>0</v>
      </c>
      <c r="P20" s="193">
        <v>0</v>
      </c>
      <c r="Q20" s="193">
        <v>0</v>
      </c>
      <c r="R20" s="193">
        <v>0</v>
      </c>
      <c r="S20" s="193">
        <v>0</v>
      </c>
      <c r="T20" s="193">
        <f t="shared" si="1"/>
        <v>0</v>
      </c>
    </row>
    <row r="21" spans="1:20">
      <c r="A21" s="13">
        <v>17</v>
      </c>
      <c r="B21" s="204" t="s">
        <v>218</v>
      </c>
      <c r="C21" s="205"/>
      <c r="D21" s="198">
        <v>0</v>
      </c>
      <c r="E21" s="198">
        <v>0</v>
      </c>
      <c r="F21" s="198">
        <v>54.86</v>
      </c>
      <c r="G21" s="199">
        <v>0</v>
      </c>
      <c r="H21" s="199">
        <v>0</v>
      </c>
      <c r="I21" s="10">
        <v>0</v>
      </c>
      <c r="J21" s="10">
        <v>0</v>
      </c>
      <c r="K21" s="11">
        <v>0</v>
      </c>
      <c r="L21" s="193">
        <v>0</v>
      </c>
      <c r="M21" s="193">
        <f t="shared" si="0"/>
        <v>0</v>
      </c>
      <c r="N21" s="193">
        <f t="shared" si="0"/>
        <v>0</v>
      </c>
      <c r="O21" s="193">
        <v>0</v>
      </c>
      <c r="P21" s="193">
        <v>0</v>
      </c>
      <c r="Q21" s="193">
        <v>0</v>
      </c>
      <c r="R21" s="193">
        <v>0</v>
      </c>
      <c r="S21" s="193">
        <v>0</v>
      </c>
      <c r="T21" s="193">
        <f t="shared" si="1"/>
        <v>0</v>
      </c>
    </row>
    <row r="22" spans="1:20">
      <c r="A22" s="13">
        <v>18</v>
      </c>
      <c r="B22" s="204" t="s">
        <v>219</v>
      </c>
      <c r="C22" s="205"/>
      <c r="D22" s="198">
        <v>0</v>
      </c>
      <c r="E22" s="198">
        <v>22</v>
      </c>
      <c r="F22" s="198">
        <v>32.86</v>
      </c>
      <c r="G22" s="199">
        <v>0</v>
      </c>
      <c r="H22" s="199">
        <v>0</v>
      </c>
      <c r="I22" s="10">
        <v>0</v>
      </c>
      <c r="J22" s="10">
        <v>0</v>
      </c>
      <c r="K22" s="11">
        <v>0</v>
      </c>
      <c r="L22" s="193">
        <v>0</v>
      </c>
      <c r="M22" s="193">
        <f t="shared" si="0"/>
        <v>0</v>
      </c>
      <c r="N22" s="193">
        <f t="shared" si="0"/>
        <v>3300</v>
      </c>
      <c r="O22" s="193">
        <v>0</v>
      </c>
      <c r="P22" s="193">
        <v>0</v>
      </c>
      <c r="Q22" s="193">
        <v>0</v>
      </c>
      <c r="R22" s="193">
        <v>0</v>
      </c>
      <c r="S22" s="193">
        <v>0</v>
      </c>
      <c r="T22" s="193">
        <f t="shared" si="1"/>
        <v>3300</v>
      </c>
    </row>
    <row r="23" spans="1:20">
      <c r="A23" s="13">
        <v>19</v>
      </c>
      <c r="B23" s="204" t="s">
        <v>220</v>
      </c>
      <c r="C23" s="205"/>
      <c r="D23" s="198">
        <v>0</v>
      </c>
      <c r="E23" s="198">
        <v>0</v>
      </c>
      <c r="F23" s="198">
        <v>32.86</v>
      </c>
      <c r="G23" s="199">
        <v>0</v>
      </c>
      <c r="H23" s="199">
        <v>0</v>
      </c>
      <c r="I23" s="10">
        <v>0</v>
      </c>
      <c r="J23" s="10">
        <v>0</v>
      </c>
      <c r="K23" s="11">
        <v>0</v>
      </c>
      <c r="L23" s="193">
        <v>0</v>
      </c>
      <c r="M23" s="193">
        <f t="shared" si="0"/>
        <v>0</v>
      </c>
      <c r="N23" s="193">
        <f t="shared" si="0"/>
        <v>0</v>
      </c>
      <c r="O23" s="193">
        <v>0</v>
      </c>
      <c r="P23" s="193">
        <v>0</v>
      </c>
      <c r="Q23" s="193">
        <v>0</v>
      </c>
      <c r="R23" s="193">
        <v>0</v>
      </c>
      <c r="S23" s="193">
        <v>0</v>
      </c>
      <c r="T23" s="193">
        <f t="shared" si="1"/>
        <v>0</v>
      </c>
    </row>
    <row r="24" spans="1:20">
      <c r="A24" s="13">
        <v>20</v>
      </c>
      <c r="B24" s="204" t="s">
        <v>221</v>
      </c>
      <c r="C24" s="205"/>
      <c r="D24" s="198">
        <v>0</v>
      </c>
      <c r="E24" s="198">
        <v>0</v>
      </c>
      <c r="F24" s="198">
        <v>32.86</v>
      </c>
      <c r="G24" s="199">
        <v>0</v>
      </c>
      <c r="H24" s="199">
        <v>0</v>
      </c>
      <c r="I24" s="10">
        <v>0</v>
      </c>
      <c r="J24" s="10">
        <v>0</v>
      </c>
      <c r="K24" s="11">
        <v>0</v>
      </c>
      <c r="L24" s="193">
        <v>0</v>
      </c>
      <c r="M24" s="193">
        <f t="shared" si="0"/>
        <v>0</v>
      </c>
      <c r="N24" s="193">
        <f t="shared" si="0"/>
        <v>0</v>
      </c>
      <c r="O24" s="193">
        <v>0</v>
      </c>
      <c r="P24" s="193">
        <v>0</v>
      </c>
      <c r="Q24" s="193">
        <v>0</v>
      </c>
      <c r="R24" s="193">
        <v>0</v>
      </c>
      <c r="S24" s="193">
        <v>0</v>
      </c>
      <c r="T24" s="193">
        <f t="shared" si="1"/>
        <v>0</v>
      </c>
    </row>
    <row r="25" spans="1:20">
      <c r="A25" s="13">
        <v>21</v>
      </c>
      <c r="B25" s="204" t="s">
        <v>222</v>
      </c>
      <c r="C25" s="205"/>
      <c r="D25" s="198">
        <v>0</v>
      </c>
      <c r="E25" s="198">
        <v>0</v>
      </c>
      <c r="F25" s="198">
        <v>32.86</v>
      </c>
      <c r="G25" s="199">
        <v>0</v>
      </c>
      <c r="H25" s="199">
        <v>0</v>
      </c>
      <c r="I25" s="10">
        <v>0</v>
      </c>
      <c r="J25" s="10">
        <v>0</v>
      </c>
      <c r="K25" s="11">
        <v>0</v>
      </c>
      <c r="L25" s="193">
        <v>0</v>
      </c>
      <c r="M25" s="193">
        <f t="shared" si="0"/>
        <v>0</v>
      </c>
      <c r="N25" s="193">
        <f t="shared" si="0"/>
        <v>0</v>
      </c>
      <c r="O25" s="193">
        <v>0</v>
      </c>
      <c r="P25" s="193">
        <v>0</v>
      </c>
      <c r="Q25" s="193">
        <v>0</v>
      </c>
      <c r="R25" s="193">
        <v>0</v>
      </c>
      <c r="S25" s="193">
        <v>0</v>
      </c>
      <c r="T25" s="193">
        <f t="shared" si="1"/>
        <v>0</v>
      </c>
    </row>
    <row r="26" spans="1:20">
      <c r="A26" s="13">
        <v>22</v>
      </c>
      <c r="B26" s="204" t="s">
        <v>223</v>
      </c>
      <c r="C26" s="205"/>
      <c r="D26" s="198">
        <v>0</v>
      </c>
      <c r="E26" s="198">
        <v>0</v>
      </c>
      <c r="F26" s="198">
        <v>32.86</v>
      </c>
      <c r="G26" s="199">
        <v>0</v>
      </c>
      <c r="H26" s="199">
        <v>0</v>
      </c>
      <c r="I26" s="10">
        <v>0</v>
      </c>
      <c r="J26" s="10">
        <v>0</v>
      </c>
      <c r="K26" s="11">
        <v>0</v>
      </c>
      <c r="L26" s="193">
        <v>0</v>
      </c>
      <c r="M26" s="193">
        <f t="shared" si="0"/>
        <v>0</v>
      </c>
      <c r="N26" s="193">
        <f t="shared" si="0"/>
        <v>0</v>
      </c>
      <c r="O26" s="193">
        <v>0</v>
      </c>
      <c r="P26" s="193">
        <v>0</v>
      </c>
      <c r="Q26" s="193">
        <v>0</v>
      </c>
      <c r="R26" s="193">
        <v>0</v>
      </c>
      <c r="S26" s="193">
        <v>0</v>
      </c>
      <c r="T26" s="193">
        <f t="shared" si="1"/>
        <v>0</v>
      </c>
    </row>
    <row r="27" spans="1:20">
      <c r="A27" s="13">
        <v>23</v>
      </c>
      <c r="B27" s="204" t="s">
        <v>224</v>
      </c>
      <c r="C27" s="205"/>
      <c r="D27" s="198">
        <v>0</v>
      </c>
      <c r="E27" s="198">
        <v>0</v>
      </c>
      <c r="F27" s="198">
        <v>32.86</v>
      </c>
      <c r="G27" s="199">
        <v>0</v>
      </c>
      <c r="H27" s="199">
        <v>0</v>
      </c>
      <c r="I27" s="10">
        <v>0</v>
      </c>
      <c r="J27" s="10">
        <v>0</v>
      </c>
      <c r="K27" s="11">
        <v>0</v>
      </c>
      <c r="L27" s="193">
        <v>0</v>
      </c>
      <c r="M27" s="193">
        <f t="shared" si="0"/>
        <v>0</v>
      </c>
      <c r="N27" s="193">
        <f t="shared" si="0"/>
        <v>0</v>
      </c>
      <c r="O27" s="193">
        <v>0</v>
      </c>
      <c r="P27" s="193">
        <v>0</v>
      </c>
      <c r="Q27" s="193">
        <v>0</v>
      </c>
      <c r="R27" s="193">
        <v>0</v>
      </c>
      <c r="S27" s="193">
        <v>0</v>
      </c>
      <c r="T27" s="193">
        <f t="shared" si="1"/>
        <v>0</v>
      </c>
    </row>
    <row r="28" spans="1:20">
      <c r="A28" s="13">
        <v>24</v>
      </c>
      <c r="B28" s="204" t="s">
        <v>225</v>
      </c>
      <c r="C28" s="205"/>
      <c r="D28" s="198">
        <v>0</v>
      </c>
      <c r="E28" s="198">
        <v>0</v>
      </c>
      <c r="F28" s="198">
        <v>32.86</v>
      </c>
      <c r="G28" s="199">
        <v>0</v>
      </c>
      <c r="H28" s="199">
        <v>0</v>
      </c>
      <c r="I28" s="10">
        <v>0</v>
      </c>
      <c r="J28" s="10">
        <v>0</v>
      </c>
      <c r="K28" s="11">
        <v>0</v>
      </c>
      <c r="L28" s="193">
        <v>0</v>
      </c>
      <c r="M28" s="193">
        <f t="shared" si="0"/>
        <v>0</v>
      </c>
      <c r="N28" s="193">
        <f t="shared" si="0"/>
        <v>0</v>
      </c>
      <c r="O28" s="193">
        <v>0</v>
      </c>
      <c r="P28" s="193">
        <v>0</v>
      </c>
      <c r="Q28" s="193">
        <v>0</v>
      </c>
      <c r="R28" s="193">
        <v>0</v>
      </c>
      <c r="S28" s="193">
        <v>0</v>
      </c>
      <c r="T28" s="193">
        <f t="shared" si="1"/>
        <v>0</v>
      </c>
    </row>
    <row r="29" spans="1:20">
      <c r="A29" s="13">
        <v>25</v>
      </c>
      <c r="B29" s="204" t="s">
        <v>226</v>
      </c>
      <c r="C29" s="205"/>
      <c r="D29" s="198">
        <v>0</v>
      </c>
      <c r="E29" s="198">
        <v>0</v>
      </c>
      <c r="F29" s="198">
        <v>32.86</v>
      </c>
      <c r="G29" s="199">
        <v>0</v>
      </c>
      <c r="H29" s="199">
        <v>0</v>
      </c>
      <c r="I29" s="10">
        <v>0</v>
      </c>
      <c r="J29" s="10">
        <v>0</v>
      </c>
      <c r="K29" s="11">
        <v>0</v>
      </c>
      <c r="L29" s="193">
        <v>0</v>
      </c>
      <c r="M29" s="193">
        <f t="shared" si="0"/>
        <v>0</v>
      </c>
      <c r="N29" s="193">
        <f t="shared" si="0"/>
        <v>0</v>
      </c>
      <c r="O29" s="193">
        <v>0</v>
      </c>
      <c r="P29" s="193">
        <v>0</v>
      </c>
      <c r="Q29" s="193">
        <v>0</v>
      </c>
      <c r="R29" s="193">
        <v>0</v>
      </c>
      <c r="S29" s="193">
        <v>0</v>
      </c>
      <c r="T29" s="193">
        <f t="shared" si="1"/>
        <v>0</v>
      </c>
    </row>
    <row r="30" spans="1:20">
      <c r="A30" s="13">
        <v>26</v>
      </c>
      <c r="B30" s="204" t="s">
        <v>227</v>
      </c>
      <c r="C30" s="205"/>
      <c r="D30" s="198">
        <v>0</v>
      </c>
      <c r="E30" s="198">
        <v>0</v>
      </c>
      <c r="F30" s="198">
        <v>32.86</v>
      </c>
      <c r="G30" s="199">
        <v>0</v>
      </c>
      <c r="H30" s="199">
        <v>0</v>
      </c>
      <c r="I30" s="10">
        <v>0</v>
      </c>
      <c r="J30" s="10">
        <v>0</v>
      </c>
      <c r="K30" s="11">
        <v>0</v>
      </c>
      <c r="L30" s="193">
        <v>0</v>
      </c>
      <c r="M30" s="193">
        <f t="shared" si="0"/>
        <v>0</v>
      </c>
      <c r="N30" s="193">
        <f t="shared" si="0"/>
        <v>0</v>
      </c>
      <c r="O30" s="193">
        <v>0</v>
      </c>
      <c r="P30" s="193">
        <v>0</v>
      </c>
      <c r="Q30" s="193">
        <v>0</v>
      </c>
      <c r="R30" s="193">
        <v>0</v>
      </c>
      <c r="S30" s="193">
        <v>0</v>
      </c>
      <c r="T30" s="193">
        <f t="shared" si="1"/>
        <v>0</v>
      </c>
    </row>
    <row r="31" spans="1:20">
      <c r="A31" s="13">
        <v>27</v>
      </c>
      <c r="B31" s="204" t="s">
        <v>228</v>
      </c>
      <c r="C31" s="205"/>
      <c r="D31" s="198">
        <v>0</v>
      </c>
      <c r="E31" s="198">
        <v>0</v>
      </c>
      <c r="F31" s="198">
        <v>32.86</v>
      </c>
      <c r="G31" s="199">
        <v>0</v>
      </c>
      <c r="H31" s="199">
        <v>0</v>
      </c>
      <c r="I31" s="10">
        <v>0</v>
      </c>
      <c r="J31" s="10">
        <v>0</v>
      </c>
      <c r="K31" s="11">
        <v>0</v>
      </c>
      <c r="L31" s="193">
        <v>0</v>
      </c>
      <c r="M31" s="193">
        <f t="shared" si="0"/>
        <v>0</v>
      </c>
      <c r="N31" s="193">
        <f t="shared" si="0"/>
        <v>0</v>
      </c>
      <c r="O31" s="193">
        <v>0</v>
      </c>
      <c r="P31" s="193">
        <v>0</v>
      </c>
      <c r="Q31" s="193">
        <v>0</v>
      </c>
      <c r="R31" s="193">
        <v>0</v>
      </c>
      <c r="S31" s="193">
        <v>0</v>
      </c>
      <c r="T31" s="193">
        <f t="shared" si="1"/>
        <v>0</v>
      </c>
    </row>
    <row r="32" spans="1:20">
      <c r="A32" s="13">
        <v>28</v>
      </c>
      <c r="B32" s="204" t="s">
        <v>229</v>
      </c>
      <c r="C32" s="205"/>
      <c r="D32" s="198">
        <v>0</v>
      </c>
      <c r="E32" s="198">
        <v>0</v>
      </c>
      <c r="F32" s="198">
        <v>32.86</v>
      </c>
      <c r="G32" s="199">
        <v>0</v>
      </c>
      <c r="H32" s="199">
        <v>0</v>
      </c>
      <c r="I32" s="10">
        <v>0</v>
      </c>
      <c r="J32" s="10">
        <v>0</v>
      </c>
      <c r="K32" s="11">
        <v>0</v>
      </c>
      <c r="L32" s="193">
        <v>0</v>
      </c>
      <c r="M32" s="193">
        <f t="shared" si="0"/>
        <v>0</v>
      </c>
      <c r="N32" s="193">
        <f t="shared" si="0"/>
        <v>0</v>
      </c>
      <c r="O32" s="193">
        <v>0</v>
      </c>
      <c r="P32" s="193">
        <v>0</v>
      </c>
      <c r="Q32" s="193">
        <v>0</v>
      </c>
      <c r="R32" s="193">
        <v>0</v>
      </c>
      <c r="S32" s="193">
        <v>0</v>
      </c>
      <c r="T32" s="193">
        <f t="shared" si="1"/>
        <v>0</v>
      </c>
    </row>
    <row r="33" spans="1:20">
      <c r="A33" s="13">
        <v>29</v>
      </c>
      <c r="B33" s="204" t="s">
        <v>230</v>
      </c>
      <c r="C33" s="205"/>
      <c r="D33" s="198">
        <v>0</v>
      </c>
      <c r="E33" s="198">
        <v>0</v>
      </c>
      <c r="F33" s="198">
        <v>32.86</v>
      </c>
      <c r="G33" s="199">
        <v>0</v>
      </c>
      <c r="H33" s="199">
        <v>0</v>
      </c>
      <c r="I33" s="10">
        <v>0</v>
      </c>
      <c r="J33" s="10">
        <v>0</v>
      </c>
      <c r="K33" s="11">
        <v>0</v>
      </c>
      <c r="L33" s="193">
        <v>0</v>
      </c>
      <c r="M33" s="193">
        <f t="shared" si="0"/>
        <v>0</v>
      </c>
      <c r="N33" s="193">
        <f t="shared" si="0"/>
        <v>0</v>
      </c>
      <c r="O33" s="193">
        <v>0</v>
      </c>
      <c r="P33" s="193">
        <v>0</v>
      </c>
      <c r="Q33" s="193">
        <v>0</v>
      </c>
      <c r="R33" s="193">
        <v>0</v>
      </c>
      <c r="S33" s="193">
        <v>0</v>
      </c>
      <c r="T33" s="193">
        <f t="shared" si="1"/>
        <v>0</v>
      </c>
    </row>
    <row r="34" spans="1:20">
      <c r="A34" s="13">
        <v>30</v>
      </c>
      <c r="B34" s="204" t="s">
        <v>231</v>
      </c>
      <c r="C34" s="205"/>
      <c r="D34" s="198">
        <v>0</v>
      </c>
      <c r="E34" s="198">
        <v>0</v>
      </c>
      <c r="F34" s="198">
        <v>32.86</v>
      </c>
      <c r="G34" s="199">
        <v>0</v>
      </c>
      <c r="H34" s="199">
        <v>0</v>
      </c>
      <c r="I34" s="10">
        <v>0</v>
      </c>
      <c r="J34" s="10">
        <v>0</v>
      </c>
      <c r="K34" s="11">
        <v>0</v>
      </c>
      <c r="L34" s="193">
        <v>0</v>
      </c>
      <c r="M34" s="193">
        <f t="shared" si="0"/>
        <v>0</v>
      </c>
      <c r="N34" s="193">
        <f t="shared" si="0"/>
        <v>0</v>
      </c>
      <c r="O34" s="193">
        <v>0</v>
      </c>
      <c r="P34" s="193">
        <v>0</v>
      </c>
      <c r="Q34" s="193">
        <v>0</v>
      </c>
      <c r="R34" s="193">
        <v>0</v>
      </c>
      <c r="S34" s="193">
        <v>0</v>
      </c>
      <c r="T34" s="193">
        <f t="shared" si="1"/>
        <v>0</v>
      </c>
    </row>
    <row r="35" spans="1:20">
      <c r="A35" s="13">
        <v>31</v>
      </c>
      <c r="B35" s="204" t="s">
        <v>232</v>
      </c>
      <c r="C35" s="205"/>
      <c r="D35" s="198">
        <v>0</v>
      </c>
      <c r="E35" s="198">
        <v>0</v>
      </c>
      <c r="F35" s="198">
        <v>32.86</v>
      </c>
      <c r="G35" s="199">
        <v>0</v>
      </c>
      <c r="H35" s="199">
        <v>0</v>
      </c>
      <c r="I35" s="10">
        <v>0</v>
      </c>
      <c r="J35" s="10">
        <v>0</v>
      </c>
      <c r="K35" s="11">
        <v>0</v>
      </c>
      <c r="L35" s="193">
        <v>0</v>
      </c>
      <c r="M35" s="193">
        <f t="shared" si="0"/>
        <v>0</v>
      </c>
      <c r="N35" s="193">
        <f t="shared" si="0"/>
        <v>0</v>
      </c>
      <c r="O35" s="193">
        <v>0</v>
      </c>
      <c r="P35" s="193">
        <v>0</v>
      </c>
      <c r="Q35" s="193">
        <v>0</v>
      </c>
      <c r="R35" s="193">
        <v>0</v>
      </c>
      <c r="S35" s="193">
        <v>0</v>
      </c>
      <c r="T35" s="193">
        <f t="shared" si="1"/>
        <v>0</v>
      </c>
    </row>
    <row r="36" spans="1:20">
      <c r="D36" s="19">
        <v>0</v>
      </c>
      <c r="E36" s="19">
        <v>110</v>
      </c>
      <c r="F36" s="19">
        <v>1942.659999999998</v>
      </c>
      <c r="G36" s="19">
        <v>0</v>
      </c>
      <c r="H36" s="19">
        <v>0</v>
      </c>
      <c r="I36" s="19">
        <v>0</v>
      </c>
      <c r="J36" s="19">
        <v>0</v>
      </c>
      <c r="K36" s="19">
        <v>0</v>
      </c>
      <c r="L36" s="194">
        <v>0</v>
      </c>
      <c r="M36" s="194">
        <f>SUM(M5:M35)</f>
        <v>0</v>
      </c>
      <c r="N36" s="194">
        <f>SUM(N5:N35)</f>
        <v>16500</v>
      </c>
      <c r="O36" s="194">
        <f>6840000/(F36+O37+O38)*F36</f>
        <v>102384.63262403026</v>
      </c>
      <c r="P36" s="194">
        <v>0</v>
      </c>
      <c r="Q36" s="194">
        <v>0</v>
      </c>
      <c r="R36" s="194">
        <v>0</v>
      </c>
      <c r="S36" s="194">
        <v>0</v>
      </c>
      <c r="T36" s="194">
        <f>SUM(L36:S36)</f>
        <v>118884.63262403026</v>
      </c>
    </row>
    <row r="37" spans="1:20">
      <c r="E37" s="200"/>
      <c r="F37" s="201"/>
      <c r="N37" s="2" t="s">
        <v>268</v>
      </c>
      <c r="O37" s="2">
        <v>127330.484</v>
      </c>
      <c r="R37" s="22"/>
      <c r="S37" s="22"/>
      <c r="T37" s="195">
        <f>T36*1.2</f>
        <v>142661.5591488363</v>
      </c>
    </row>
    <row r="38" spans="1:20">
      <c r="N38" s="2" t="s">
        <v>269</v>
      </c>
      <c r="O38" s="2">
        <v>509.94999999999976</v>
      </c>
    </row>
  </sheetData>
  <mergeCells count="50">
    <mergeCell ref="B8:C8"/>
    <mergeCell ref="B9:C9"/>
    <mergeCell ref="B10:C10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  <mergeCell ref="B7:C7"/>
    <mergeCell ref="L3:L4"/>
    <mergeCell ref="M3:M4"/>
    <mergeCell ref="N3:N4"/>
    <mergeCell ref="O3:O4"/>
    <mergeCell ref="R3:R4"/>
    <mergeCell ref="S3:S4"/>
    <mergeCell ref="T3:T4"/>
    <mergeCell ref="B5:C5"/>
    <mergeCell ref="B6:C6"/>
    <mergeCell ref="P3:P4"/>
    <mergeCell ref="Q3:Q4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13:C13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</mergeCells>
  <pageMargins left="0.7" right="0.7" top="0.75" bottom="0.75" header="0.3" footer="0.3"/>
  <pageSetup paperSize="9" fitToHeight="5" orientation="landscape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9BF0C-FF0D-40AD-88AB-84AED04AE65A}">
  <sheetPr codeName="Лист51">
    <pageSetUpPr fitToPage="1"/>
  </sheetPr>
  <dimension ref="A1:T38"/>
  <sheetViews>
    <sheetView topLeftCell="E12" workbookViewId="0">
      <selection activeCell="O37" sqref="O37"/>
    </sheetView>
  </sheetViews>
  <sheetFormatPr defaultRowHeight="15"/>
  <cols>
    <col min="1" max="3" width="8.796875" style="2"/>
    <col min="4" max="4" width="8.19921875" style="2" customWidth="1"/>
    <col min="5" max="5" width="8.5" style="2" customWidth="1"/>
    <col min="6" max="6" width="9.296875" style="2" customWidth="1"/>
    <col min="7" max="7" width="8" style="2" customWidth="1"/>
    <col min="8" max="8" width="7.296875" style="2" customWidth="1"/>
    <col min="9" max="9" width="7.3984375" style="2" bestFit="1" customWidth="1"/>
    <col min="10" max="10" width="8" style="2" bestFit="1" customWidth="1"/>
    <col min="11" max="12" width="8.796875" style="2"/>
    <col min="13" max="13" width="10.59765625" style="2" customWidth="1"/>
    <col min="14" max="14" width="13.5" style="2" customWidth="1"/>
    <col min="15" max="15" width="10.19921875" style="2" customWidth="1"/>
    <col min="16" max="16" width="10.19921875" style="2" bestFit="1" customWidth="1"/>
    <col min="17" max="17" width="10.5" style="2" customWidth="1"/>
    <col min="18" max="18" width="9.296875" style="2" customWidth="1"/>
    <col min="19" max="19" width="8.19921875" style="2" customWidth="1"/>
    <col min="20" max="20" width="17" style="2" customWidth="1"/>
    <col min="21" max="16384" width="8.796875" style="2"/>
  </cols>
  <sheetData>
    <row r="1" spans="1:20">
      <c r="I1" s="3"/>
    </row>
    <row r="2" spans="1:20" ht="28.9" customHeight="1">
      <c r="A2" s="209" t="s">
        <v>270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</row>
    <row r="3" spans="1:20" ht="28.9" customHeight="1">
      <c r="A3" s="206" t="s">
        <v>0</v>
      </c>
      <c r="B3" s="210" t="s">
        <v>1</v>
      </c>
      <c r="C3" s="211"/>
      <c r="D3" s="206" t="s">
        <v>2</v>
      </c>
      <c r="E3" s="206" t="s">
        <v>3</v>
      </c>
      <c r="F3" s="4" t="s">
        <v>4</v>
      </c>
      <c r="G3" s="206" t="s">
        <v>271</v>
      </c>
      <c r="H3" s="206" t="s">
        <v>272</v>
      </c>
      <c r="I3" s="206" t="s">
        <v>7</v>
      </c>
      <c r="J3" s="206" t="s">
        <v>8</v>
      </c>
      <c r="K3" s="206" t="s">
        <v>200</v>
      </c>
      <c r="L3" s="206" t="s">
        <v>241</v>
      </c>
      <c r="M3" s="206" t="s">
        <v>11</v>
      </c>
      <c r="N3" s="206" t="s">
        <v>12</v>
      </c>
      <c r="O3" s="206" t="s">
        <v>273</v>
      </c>
      <c r="P3" s="206" t="s">
        <v>14</v>
      </c>
      <c r="Q3" s="206" t="s">
        <v>15</v>
      </c>
      <c r="R3" s="206" t="s">
        <v>16</v>
      </c>
      <c r="S3" s="206" t="s">
        <v>17</v>
      </c>
      <c r="T3" s="206" t="s">
        <v>18</v>
      </c>
    </row>
    <row r="4" spans="1:20" ht="27" customHeight="1">
      <c r="A4" s="207"/>
      <c r="B4" s="212"/>
      <c r="C4" s="213"/>
      <c r="D4" s="207"/>
      <c r="E4" s="207"/>
      <c r="F4" s="5"/>
      <c r="G4" s="207"/>
      <c r="H4" s="207"/>
      <c r="I4" s="207"/>
      <c r="J4" s="207"/>
      <c r="K4" s="208"/>
      <c r="L4" s="208"/>
      <c r="M4" s="207"/>
      <c r="N4" s="207"/>
      <c r="O4" s="207"/>
      <c r="P4" s="207"/>
      <c r="Q4" s="207"/>
      <c r="R4" s="207"/>
      <c r="S4" s="207"/>
      <c r="T4" s="207"/>
    </row>
    <row r="5" spans="1:20">
      <c r="A5" s="13">
        <v>1</v>
      </c>
      <c r="B5" s="204" t="s">
        <v>202</v>
      </c>
      <c r="C5" s="205"/>
      <c r="D5" s="198">
        <v>0</v>
      </c>
      <c r="E5" s="198">
        <v>0</v>
      </c>
      <c r="F5" s="198">
        <v>6082.4390000000003</v>
      </c>
      <c r="G5" s="199">
        <v>0</v>
      </c>
      <c r="H5" s="199">
        <v>400</v>
      </c>
      <c r="I5" s="10">
        <v>0</v>
      </c>
      <c r="J5" s="10">
        <v>0</v>
      </c>
      <c r="K5" s="11">
        <v>0</v>
      </c>
      <c r="L5" s="193">
        <v>0</v>
      </c>
      <c r="M5" s="193">
        <v>0</v>
      </c>
      <c r="N5" s="193">
        <v>0</v>
      </c>
      <c r="O5" s="193">
        <v>0</v>
      </c>
      <c r="P5" s="193">
        <v>0</v>
      </c>
      <c r="Q5" s="193">
        <v>60000</v>
      </c>
      <c r="R5" s="193">
        <v>0</v>
      </c>
      <c r="S5" s="193">
        <v>0</v>
      </c>
      <c r="T5" s="193">
        <v>60000</v>
      </c>
    </row>
    <row r="6" spans="1:20">
      <c r="A6" s="13">
        <v>2</v>
      </c>
      <c r="B6" s="204" t="s">
        <v>203</v>
      </c>
      <c r="C6" s="205"/>
      <c r="D6" s="198">
        <v>0</v>
      </c>
      <c r="E6" s="198">
        <v>48.125</v>
      </c>
      <c r="F6" s="198">
        <v>6034.3140000000003</v>
      </c>
      <c r="G6" s="199">
        <v>0</v>
      </c>
      <c r="H6" s="199">
        <v>351.875</v>
      </c>
      <c r="I6" s="10">
        <v>0</v>
      </c>
      <c r="J6" s="10">
        <v>0</v>
      </c>
      <c r="K6" s="11">
        <v>0</v>
      </c>
      <c r="L6" s="193">
        <v>0</v>
      </c>
      <c r="M6" s="193">
        <v>0</v>
      </c>
      <c r="N6" s="193">
        <v>7218.75</v>
      </c>
      <c r="O6" s="193">
        <v>0</v>
      </c>
      <c r="P6" s="193">
        <v>0</v>
      </c>
      <c r="Q6" s="193">
        <v>52781.25</v>
      </c>
      <c r="R6" s="193">
        <v>0</v>
      </c>
      <c r="S6" s="193">
        <v>0</v>
      </c>
      <c r="T6" s="193">
        <v>60000</v>
      </c>
    </row>
    <row r="7" spans="1:20">
      <c r="A7" s="13">
        <v>3</v>
      </c>
      <c r="B7" s="204" t="s">
        <v>204</v>
      </c>
      <c r="C7" s="205"/>
      <c r="D7" s="198">
        <v>0</v>
      </c>
      <c r="E7" s="198">
        <v>0</v>
      </c>
      <c r="F7" s="198">
        <v>6034.3140000000003</v>
      </c>
      <c r="G7" s="199">
        <v>0</v>
      </c>
      <c r="H7" s="199">
        <v>400</v>
      </c>
      <c r="I7" s="10">
        <v>0</v>
      </c>
      <c r="J7" s="10">
        <v>0</v>
      </c>
      <c r="K7" s="11">
        <v>0</v>
      </c>
      <c r="L7" s="193">
        <v>0</v>
      </c>
      <c r="M7" s="193">
        <v>0</v>
      </c>
      <c r="N7" s="193">
        <v>0</v>
      </c>
      <c r="O7" s="193">
        <v>0</v>
      </c>
      <c r="P7" s="193">
        <v>0</v>
      </c>
      <c r="Q7" s="193">
        <v>60000</v>
      </c>
      <c r="R7" s="193">
        <v>0</v>
      </c>
      <c r="S7" s="193">
        <v>0</v>
      </c>
      <c r="T7" s="193">
        <v>60000</v>
      </c>
    </row>
    <row r="8" spans="1:20">
      <c r="A8" s="13">
        <v>4</v>
      </c>
      <c r="B8" s="204" t="s">
        <v>205</v>
      </c>
      <c r="C8" s="205"/>
      <c r="D8" s="198">
        <v>0</v>
      </c>
      <c r="E8" s="198">
        <v>44</v>
      </c>
      <c r="F8" s="198">
        <v>5990.3140000000003</v>
      </c>
      <c r="G8" s="199">
        <v>0</v>
      </c>
      <c r="H8" s="199">
        <v>356</v>
      </c>
      <c r="I8" s="10">
        <v>0</v>
      </c>
      <c r="J8" s="10">
        <v>0</v>
      </c>
      <c r="K8" s="11">
        <v>0</v>
      </c>
      <c r="L8" s="193">
        <v>0</v>
      </c>
      <c r="M8" s="193">
        <v>0</v>
      </c>
      <c r="N8" s="193">
        <v>6600</v>
      </c>
      <c r="O8" s="193">
        <v>0</v>
      </c>
      <c r="P8" s="193">
        <v>0</v>
      </c>
      <c r="Q8" s="193">
        <v>53400</v>
      </c>
      <c r="R8" s="193">
        <v>0</v>
      </c>
      <c r="S8" s="193">
        <v>0</v>
      </c>
      <c r="T8" s="193">
        <v>60000</v>
      </c>
    </row>
    <row r="9" spans="1:20">
      <c r="A9" s="13">
        <v>5</v>
      </c>
      <c r="B9" s="204" t="s">
        <v>206</v>
      </c>
      <c r="C9" s="205"/>
      <c r="D9" s="198">
        <v>0</v>
      </c>
      <c r="E9" s="198">
        <v>156.75</v>
      </c>
      <c r="F9" s="198">
        <v>5833.5640000000003</v>
      </c>
      <c r="G9" s="199">
        <v>0</v>
      </c>
      <c r="H9" s="199">
        <v>243.25</v>
      </c>
      <c r="I9" s="10">
        <v>0</v>
      </c>
      <c r="J9" s="10">
        <v>0</v>
      </c>
      <c r="K9" s="11">
        <v>0</v>
      </c>
      <c r="L9" s="193">
        <v>0</v>
      </c>
      <c r="M9" s="193">
        <v>0</v>
      </c>
      <c r="N9" s="193">
        <v>23512.5</v>
      </c>
      <c r="O9" s="193">
        <v>0</v>
      </c>
      <c r="P9" s="193">
        <v>0</v>
      </c>
      <c r="Q9" s="193">
        <v>36487.5</v>
      </c>
      <c r="R9" s="193">
        <v>0</v>
      </c>
      <c r="S9" s="193">
        <v>0</v>
      </c>
      <c r="T9" s="193">
        <v>60000</v>
      </c>
    </row>
    <row r="10" spans="1:20">
      <c r="A10" s="13">
        <v>6</v>
      </c>
      <c r="B10" s="204" t="s">
        <v>207</v>
      </c>
      <c r="C10" s="205"/>
      <c r="D10" s="198">
        <v>0</v>
      </c>
      <c r="E10" s="198">
        <v>220</v>
      </c>
      <c r="F10" s="198">
        <v>5613.5640000000003</v>
      </c>
      <c r="G10" s="199">
        <v>0</v>
      </c>
      <c r="H10" s="199">
        <v>180</v>
      </c>
      <c r="I10" s="10">
        <v>0</v>
      </c>
      <c r="J10" s="10">
        <v>0</v>
      </c>
      <c r="K10" s="11">
        <v>0</v>
      </c>
      <c r="L10" s="193">
        <v>0</v>
      </c>
      <c r="M10" s="193">
        <v>0</v>
      </c>
      <c r="N10" s="193">
        <v>33000</v>
      </c>
      <c r="O10" s="193">
        <v>0</v>
      </c>
      <c r="P10" s="193">
        <v>0</v>
      </c>
      <c r="Q10" s="193">
        <v>27000</v>
      </c>
      <c r="R10" s="193">
        <v>0</v>
      </c>
      <c r="S10" s="193">
        <v>0</v>
      </c>
      <c r="T10" s="193">
        <v>60000</v>
      </c>
    </row>
    <row r="11" spans="1:20">
      <c r="A11" s="13">
        <v>7</v>
      </c>
      <c r="B11" s="204" t="s">
        <v>208</v>
      </c>
      <c r="C11" s="205"/>
      <c r="D11" s="198">
        <v>0</v>
      </c>
      <c r="E11" s="198">
        <v>66</v>
      </c>
      <c r="F11" s="198">
        <v>5547.5640000000003</v>
      </c>
      <c r="G11" s="199">
        <v>0</v>
      </c>
      <c r="H11" s="199">
        <v>334</v>
      </c>
      <c r="I11" s="10">
        <v>0</v>
      </c>
      <c r="J11" s="10">
        <v>0</v>
      </c>
      <c r="K11" s="11">
        <v>0</v>
      </c>
      <c r="L11" s="193">
        <v>0</v>
      </c>
      <c r="M11" s="193">
        <v>0</v>
      </c>
      <c r="N11" s="193">
        <v>9900</v>
      </c>
      <c r="O11" s="193">
        <v>0</v>
      </c>
      <c r="P11" s="193">
        <v>0</v>
      </c>
      <c r="Q11" s="193">
        <v>50100</v>
      </c>
      <c r="R11" s="193">
        <v>0</v>
      </c>
      <c r="S11" s="193">
        <v>0</v>
      </c>
      <c r="T11" s="193">
        <v>60000</v>
      </c>
    </row>
    <row r="12" spans="1:20">
      <c r="A12" s="13">
        <v>8</v>
      </c>
      <c r="B12" s="204" t="s">
        <v>209</v>
      </c>
      <c r="C12" s="205"/>
      <c r="D12" s="198">
        <v>22</v>
      </c>
      <c r="E12" s="198">
        <v>101.75</v>
      </c>
      <c r="F12" s="198">
        <v>5467.8140000000003</v>
      </c>
      <c r="G12" s="199">
        <v>0</v>
      </c>
      <c r="H12" s="199">
        <v>276.25</v>
      </c>
      <c r="I12" s="10">
        <v>0</v>
      </c>
      <c r="J12" s="10">
        <v>0</v>
      </c>
      <c r="K12" s="11">
        <v>0</v>
      </c>
      <c r="L12" s="193">
        <v>0</v>
      </c>
      <c r="M12" s="193">
        <v>3300</v>
      </c>
      <c r="N12" s="193">
        <v>15262.5</v>
      </c>
      <c r="O12" s="193">
        <v>0</v>
      </c>
      <c r="P12" s="193">
        <v>0</v>
      </c>
      <c r="Q12" s="193">
        <v>41437.5</v>
      </c>
      <c r="R12" s="193">
        <v>0</v>
      </c>
      <c r="S12" s="193">
        <v>0</v>
      </c>
      <c r="T12" s="193">
        <v>60000</v>
      </c>
    </row>
    <row r="13" spans="1:20">
      <c r="A13" s="13">
        <v>9</v>
      </c>
      <c r="B13" s="204" t="s">
        <v>210</v>
      </c>
      <c r="C13" s="205"/>
      <c r="D13" s="198">
        <v>22</v>
      </c>
      <c r="E13" s="198">
        <v>195.5</v>
      </c>
      <c r="F13" s="198">
        <v>5294.3140000000003</v>
      </c>
      <c r="G13" s="199">
        <v>0</v>
      </c>
      <c r="H13" s="199">
        <v>182.5</v>
      </c>
      <c r="I13" s="10">
        <v>0</v>
      </c>
      <c r="J13" s="10">
        <v>0</v>
      </c>
      <c r="K13" s="11">
        <v>0</v>
      </c>
      <c r="L13" s="193">
        <v>0</v>
      </c>
      <c r="M13" s="193">
        <v>3300</v>
      </c>
      <c r="N13" s="193">
        <v>29325</v>
      </c>
      <c r="O13" s="193">
        <v>0</v>
      </c>
      <c r="P13" s="193">
        <v>0</v>
      </c>
      <c r="Q13" s="193">
        <v>27375</v>
      </c>
      <c r="R13" s="193">
        <v>0</v>
      </c>
      <c r="S13" s="193">
        <v>0</v>
      </c>
      <c r="T13" s="193">
        <v>60000</v>
      </c>
    </row>
    <row r="14" spans="1:20">
      <c r="A14" s="13">
        <v>10</v>
      </c>
      <c r="B14" s="204" t="s">
        <v>211</v>
      </c>
      <c r="C14" s="205"/>
      <c r="D14" s="198">
        <v>0</v>
      </c>
      <c r="E14" s="198">
        <v>219</v>
      </c>
      <c r="F14" s="198">
        <v>5075.3140000000003</v>
      </c>
      <c r="G14" s="199">
        <v>0</v>
      </c>
      <c r="H14" s="199">
        <v>181</v>
      </c>
      <c r="I14" s="10">
        <v>0</v>
      </c>
      <c r="J14" s="10">
        <v>0</v>
      </c>
      <c r="K14" s="11">
        <v>0</v>
      </c>
      <c r="L14" s="193">
        <v>0</v>
      </c>
      <c r="M14" s="193">
        <v>0</v>
      </c>
      <c r="N14" s="193">
        <v>32850</v>
      </c>
      <c r="O14" s="193">
        <v>0</v>
      </c>
      <c r="P14" s="193">
        <v>0</v>
      </c>
      <c r="Q14" s="193">
        <v>27150</v>
      </c>
      <c r="R14" s="193">
        <v>0</v>
      </c>
      <c r="S14" s="193">
        <v>0</v>
      </c>
      <c r="T14" s="193">
        <v>60000</v>
      </c>
    </row>
    <row r="15" spans="1:20">
      <c r="A15" s="13">
        <v>11</v>
      </c>
      <c r="B15" s="204" t="s">
        <v>212</v>
      </c>
      <c r="C15" s="205"/>
      <c r="D15" s="198">
        <v>0</v>
      </c>
      <c r="E15" s="198">
        <v>183.875</v>
      </c>
      <c r="F15" s="198">
        <v>4891.4390000000003</v>
      </c>
      <c r="G15" s="199">
        <v>0</v>
      </c>
      <c r="H15" s="199">
        <v>216.125</v>
      </c>
      <c r="I15" s="10">
        <v>0</v>
      </c>
      <c r="J15" s="10">
        <v>0</v>
      </c>
      <c r="K15" s="11">
        <v>0</v>
      </c>
      <c r="L15" s="193">
        <v>0</v>
      </c>
      <c r="M15" s="193">
        <v>0</v>
      </c>
      <c r="N15" s="193">
        <v>27581.25</v>
      </c>
      <c r="O15" s="193">
        <v>0</v>
      </c>
      <c r="P15" s="193">
        <v>0</v>
      </c>
      <c r="Q15" s="193">
        <v>32418.75</v>
      </c>
      <c r="R15" s="193">
        <v>0</v>
      </c>
      <c r="S15" s="193">
        <v>0</v>
      </c>
      <c r="T15" s="193">
        <v>60000</v>
      </c>
    </row>
    <row r="16" spans="1:20">
      <c r="A16" s="13">
        <v>12</v>
      </c>
      <c r="B16" s="204" t="s">
        <v>213</v>
      </c>
      <c r="C16" s="205"/>
      <c r="D16" s="198">
        <v>0</v>
      </c>
      <c r="E16" s="198">
        <v>453.52499999999998</v>
      </c>
      <c r="F16" s="198">
        <v>4437.9139999999998</v>
      </c>
      <c r="G16" s="199">
        <v>0</v>
      </c>
      <c r="H16" s="199">
        <v>0</v>
      </c>
      <c r="I16" s="10">
        <v>0</v>
      </c>
      <c r="J16" s="10">
        <v>0</v>
      </c>
      <c r="K16" s="11">
        <v>0</v>
      </c>
      <c r="L16" s="193">
        <v>0</v>
      </c>
      <c r="M16" s="193">
        <v>0</v>
      </c>
      <c r="N16" s="193">
        <v>68028.75</v>
      </c>
      <c r="O16" s="193">
        <v>0</v>
      </c>
      <c r="P16" s="193">
        <v>0</v>
      </c>
      <c r="Q16" s="193">
        <v>0</v>
      </c>
      <c r="R16" s="193">
        <v>0</v>
      </c>
      <c r="S16" s="193">
        <v>0</v>
      </c>
      <c r="T16" s="193">
        <v>68028.75</v>
      </c>
    </row>
    <row r="17" spans="1:20">
      <c r="A17" s="13">
        <v>13</v>
      </c>
      <c r="B17" s="204" t="s">
        <v>214</v>
      </c>
      <c r="C17" s="205"/>
      <c r="D17" s="198">
        <v>0</v>
      </c>
      <c r="E17" s="198">
        <v>0</v>
      </c>
      <c r="F17" s="198">
        <v>4437.9139999999998</v>
      </c>
      <c r="G17" s="199">
        <v>0</v>
      </c>
      <c r="H17" s="199">
        <v>400</v>
      </c>
      <c r="I17" s="10">
        <v>0</v>
      </c>
      <c r="J17" s="10">
        <v>0</v>
      </c>
      <c r="K17" s="11">
        <v>0</v>
      </c>
      <c r="L17" s="193">
        <v>0</v>
      </c>
      <c r="M17" s="193">
        <v>0</v>
      </c>
      <c r="N17" s="193">
        <v>0</v>
      </c>
      <c r="O17" s="193">
        <v>0</v>
      </c>
      <c r="P17" s="193">
        <v>0</v>
      </c>
      <c r="Q17" s="193">
        <v>60000</v>
      </c>
      <c r="R17" s="193">
        <v>0</v>
      </c>
      <c r="S17" s="193">
        <v>0</v>
      </c>
      <c r="T17" s="193">
        <v>60000</v>
      </c>
    </row>
    <row r="18" spans="1:20">
      <c r="A18" s="13">
        <v>14</v>
      </c>
      <c r="B18" s="204" t="s">
        <v>215</v>
      </c>
      <c r="C18" s="205"/>
      <c r="D18" s="198">
        <v>0</v>
      </c>
      <c r="E18" s="198">
        <v>0</v>
      </c>
      <c r="F18" s="198">
        <v>4437.9139999999998</v>
      </c>
      <c r="G18" s="199">
        <v>0</v>
      </c>
      <c r="H18" s="199">
        <v>400</v>
      </c>
      <c r="I18" s="10">
        <v>0</v>
      </c>
      <c r="J18" s="10">
        <v>0</v>
      </c>
      <c r="K18" s="11">
        <v>0</v>
      </c>
      <c r="L18" s="193">
        <v>0</v>
      </c>
      <c r="M18" s="193">
        <v>0</v>
      </c>
      <c r="N18" s="193">
        <v>0</v>
      </c>
      <c r="O18" s="193">
        <v>0</v>
      </c>
      <c r="P18" s="193">
        <v>0</v>
      </c>
      <c r="Q18" s="193">
        <v>60000</v>
      </c>
      <c r="R18" s="193">
        <v>0</v>
      </c>
      <c r="S18" s="193">
        <v>0</v>
      </c>
      <c r="T18" s="193">
        <v>60000</v>
      </c>
    </row>
    <row r="19" spans="1:20">
      <c r="A19" s="13">
        <v>15</v>
      </c>
      <c r="B19" s="204" t="s">
        <v>216</v>
      </c>
      <c r="C19" s="205"/>
      <c r="D19" s="198">
        <v>0</v>
      </c>
      <c r="E19" s="198">
        <v>247.75</v>
      </c>
      <c r="F19" s="198">
        <v>4190.1639999999998</v>
      </c>
      <c r="G19" s="199">
        <v>0</v>
      </c>
      <c r="H19" s="199">
        <v>152.25</v>
      </c>
      <c r="I19" s="10">
        <v>0</v>
      </c>
      <c r="J19" s="10">
        <v>0</v>
      </c>
      <c r="K19" s="11">
        <v>0</v>
      </c>
      <c r="L19" s="193">
        <v>0</v>
      </c>
      <c r="M19" s="193">
        <v>0</v>
      </c>
      <c r="N19" s="193">
        <v>37162.5</v>
      </c>
      <c r="O19" s="193">
        <v>0</v>
      </c>
      <c r="P19" s="193">
        <v>0</v>
      </c>
      <c r="Q19" s="193">
        <v>22837.5</v>
      </c>
      <c r="R19" s="193">
        <v>0</v>
      </c>
      <c r="S19" s="193">
        <v>0</v>
      </c>
      <c r="T19" s="193">
        <v>60000</v>
      </c>
    </row>
    <row r="20" spans="1:20">
      <c r="A20" s="13">
        <v>16</v>
      </c>
      <c r="B20" s="204" t="s">
        <v>217</v>
      </c>
      <c r="C20" s="205"/>
      <c r="D20" s="198">
        <v>45</v>
      </c>
      <c r="E20" s="198">
        <v>217.5</v>
      </c>
      <c r="F20" s="198">
        <v>4017.6640000000002</v>
      </c>
      <c r="G20" s="199">
        <v>0</v>
      </c>
      <c r="H20" s="199">
        <v>137.5</v>
      </c>
      <c r="I20" s="10">
        <v>0</v>
      </c>
      <c r="J20" s="10">
        <v>0</v>
      </c>
      <c r="K20" s="11">
        <v>0</v>
      </c>
      <c r="L20" s="193">
        <v>0</v>
      </c>
      <c r="M20" s="193">
        <v>6750</v>
      </c>
      <c r="N20" s="193">
        <v>32625</v>
      </c>
      <c r="O20" s="193">
        <v>0</v>
      </c>
      <c r="P20" s="193">
        <v>0</v>
      </c>
      <c r="Q20" s="193">
        <v>20625</v>
      </c>
      <c r="R20" s="193">
        <v>0</v>
      </c>
      <c r="S20" s="193">
        <v>0</v>
      </c>
      <c r="T20" s="193">
        <v>60000</v>
      </c>
    </row>
    <row r="21" spans="1:20">
      <c r="A21" s="13">
        <v>17</v>
      </c>
      <c r="B21" s="204" t="s">
        <v>218</v>
      </c>
      <c r="C21" s="205"/>
      <c r="D21" s="198">
        <v>45</v>
      </c>
      <c r="E21" s="198">
        <v>348.25</v>
      </c>
      <c r="F21" s="198">
        <v>3714.4140000000002</v>
      </c>
      <c r="G21" s="199">
        <v>0</v>
      </c>
      <c r="H21" s="199">
        <v>6.75</v>
      </c>
      <c r="I21" s="10">
        <v>0</v>
      </c>
      <c r="J21" s="10">
        <v>0</v>
      </c>
      <c r="K21" s="11">
        <v>0</v>
      </c>
      <c r="L21" s="193">
        <v>0</v>
      </c>
      <c r="M21" s="193">
        <v>6750</v>
      </c>
      <c r="N21" s="193">
        <v>52237.5</v>
      </c>
      <c r="O21" s="193">
        <v>0</v>
      </c>
      <c r="P21" s="193">
        <v>0</v>
      </c>
      <c r="Q21" s="193">
        <v>1012.5</v>
      </c>
      <c r="R21" s="193">
        <v>0</v>
      </c>
      <c r="S21" s="193">
        <v>0</v>
      </c>
      <c r="T21" s="193">
        <v>60000</v>
      </c>
    </row>
    <row r="22" spans="1:20">
      <c r="A22" s="13">
        <v>18</v>
      </c>
      <c r="B22" s="204" t="s">
        <v>219</v>
      </c>
      <c r="C22" s="205"/>
      <c r="D22" s="198">
        <v>0</v>
      </c>
      <c r="E22" s="198">
        <v>109.375</v>
      </c>
      <c r="F22" s="198">
        <v>3605.0390000000002</v>
      </c>
      <c r="G22" s="199">
        <v>0</v>
      </c>
      <c r="H22" s="199">
        <v>290.625</v>
      </c>
      <c r="I22" s="10">
        <v>0</v>
      </c>
      <c r="J22" s="10">
        <v>0</v>
      </c>
      <c r="K22" s="11">
        <v>0</v>
      </c>
      <c r="L22" s="193">
        <v>0</v>
      </c>
      <c r="M22" s="193">
        <v>0</v>
      </c>
      <c r="N22" s="193">
        <v>16406.25</v>
      </c>
      <c r="O22" s="193">
        <v>0</v>
      </c>
      <c r="P22" s="193">
        <v>0</v>
      </c>
      <c r="Q22" s="193">
        <v>43593.75</v>
      </c>
      <c r="R22" s="193">
        <v>0</v>
      </c>
      <c r="S22" s="193">
        <v>0</v>
      </c>
      <c r="T22" s="193">
        <v>60000</v>
      </c>
    </row>
    <row r="23" spans="1:20">
      <c r="A23" s="13">
        <v>19</v>
      </c>
      <c r="B23" s="204" t="s">
        <v>220</v>
      </c>
      <c r="C23" s="205"/>
      <c r="D23" s="198">
        <v>0</v>
      </c>
      <c r="E23" s="198">
        <v>351.375</v>
      </c>
      <c r="F23" s="198">
        <v>3253.6640000000002</v>
      </c>
      <c r="G23" s="199">
        <v>0</v>
      </c>
      <c r="H23" s="199">
        <v>48.625</v>
      </c>
      <c r="I23" s="10">
        <v>0</v>
      </c>
      <c r="J23" s="10">
        <v>0</v>
      </c>
      <c r="K23" s="11">
        <v>0</v>
      </c>
      <c r="L23" s="193">
        <v>0</v>
      </c>
      <c r="M23" s="193">
        <v>0</v>
      </c>
      <c r="N23" s="193">
        <v>52706.25</v>
      </c>
      <c r="O23" s="193">
        <v>0</v>
      </c>
      <c r="P23" s="193">
        <v>0</v>
      </c>
      <c r="Q23" s="193">
        <v>7293.75</v>
      </c>
      <c r="R23" s="193">
        <v>0</v>
      </c>
      <c r="S23" s="193">
        <v>0</v>
      </c>
      <c r="T23" s="193">
        <v>60000</v>
      </c>
    </row>
    <row r="24" spans="1:20">
      <c r="A24" s="13">
        <v>20</v>
      </c>
      <c r="B24" s="204" t="s">
        <v>221</v>
      </c>
      <c r="C24" s="205"/>
      <c r="D24" s="198">
        <v>0</v>
      </c>
      <c r="E24" s="198">
        <v>71.5</v>
      </c>
      <c r="F24" s="198">
        <v>3182.1640000000002</v>
      </c>
      <c r="G24" s="199">
        <v>0</v>
      </c>
      <c r="H24" s="199">
        <v>328.5</v>
      </c>
      <c r="I24" s="10">
        <v>0</v>
      </c>
      <c r="J24" s="10">
        <v>0</v>
      </c>
      <c r="K24" s="11">
        <v>0</v>
      </c>
      <c r="L24" s="193">
        <v>0</v>
      </c>
      <c r="M24" s="193">
        <v>0</v>
      </c>
      <c r="N24" s="193">
        <v>10725</v>
      </c>
      <c r="O24" s="193">
        <v>0</v>
      </c>
      <c r="P24" s="193">
        <v>0</v>
      </c>
      <c r="Q24" s="193">
        <v>49275</v>
      </c>
      <c r="R24" s="193">
        <v>0</v>
      </c>
      <c r="S24" s="193">
        <v>0</v>
      </c>
      <c r="T24" s="193">
        <v>60000</v>
      </c>
    </row>
    <row r="25" spans="1:20">
      <c r="A25" s="13">
        <v>21</v>
      </c>
      <c r="B25" s="204" t="s">
        <v>222</v>
      </c>
      <c r="C25" s="205"/>
      <c r="D25" s="198">
        <v>0</v>
      </c>
      <c r="E25" s="198">
        <v>110</v>
      </c>
      <c r="F25" s="198">
        <v>3072.1640000000002</v>
      </c>
      <c r="G25" s="199">
        <v>0</v>
      </c>
      <c r="H25" s="199">
        <v>290</v>
      </c>
      <c r="I25" s="10">
        <v>0</v>
      </c>
      <c r="J25" s="10">
        <v>0</v>
      </c>
      <c r="K25" s="11">
        <v>0</v>
      </c>
      <c r="L25" s="193">
        <v>0</v>
      </c>
      <c r="M25" s="193">
        <v>0</v>
      </c>
      <c r="N25" s="193">
        <v>16500</v>
      </c>
      <c r="O25" s="193">
        <v>0</v>
      </c>
      <c r="P25" s="193">
        <v>0</v>
      </c>
      <c r="Q25" s="193">
        <v>43500</v>
      </c>
      <c r="R25" s="193">
        <v>0</v>
      </c>
      <c r="S25" s="193">
        <v>0</v>
      </c>
      <c r="T25" s="193">
        <v>60000</v>
      </c>
    </row>
    <row r="26" spans="1:20">
      <c r="A26" s="13">
        <v>22</v>
      </c>
      <c r="B26" s="204" t="s">
        <v>223</v>
      </c>
      <c r="C26" s="205"/>
      <c r="D26" s="198">
        <v>0</v>
      </c>
      <c r="E26" s="198">
        <v>93.924999999999997</v>
      </c>
      <c r="F26" s="198">
        <v>2978.239</v>
      </c>
      <c r="G26" s="199">
        <v>0</v>
      </c>
      <c r="H26" s="199">
        <v>306.07499999999999</v>
      </c>
      <c r="I26" s="10">
        <v>0</v>
      </c>
      <c r="J26" s="10">
        <v>0</v>
      </c>
      <c r="K26" s="11">
        <v>0</v>
      </c>
      <c r="L26" s="193">
        <v>0</v>
      </c>
      <c r="M26" s="193">
        <v>0</v>
      </c>
      <c r="N26" s="193">
        <v>14088.75</v>
      </c>
      <c r="O26" s="193">
        <v>0</v>
      </c>
      <c r="P26" s="193">
        <v>0</v>
      </c>
      <c r="Q26" s="193">
        <v>45911.25</v>
      </c>
      <c r="R26" s="193">
        <v>0</v>
      </c>
      <c r="S26" s="193">
        <v>0</v>
      </c>
      <c r="T26" s="193">
        <v>60000</v>
      </c>
    </row>
    <row r="27" spans="1:20">
      <c r="A27" s="13">
        <v>23</v>
      </c>
      <c r="B27" s="204" t="s">
        <v>224</v>
      </c>
      <c r="C27" s="205"/>
      <c r="D27" s="198">
        <v>0</v>
      </c>
      <c r="E27" s="198">
        <v>83.6</v>
      </c>
      <c r="F27" s="198">
        <v>2894.6390000000001</v>
      </c>
      <c r="G27" s="199">
        <v>0</v>
      </c>
      <c r="H27" s="199">
        <v>316.39999999999998</v>
      </c>
      <c r="I27" s="10">
        <v>0</v>
      </c>
      <c r="J27" s="10">
        <v>0</v>
      </c>
      <c r="K27" s="11">
        <v>0</v>
      </c>
      <c r="L27" s="193">
        <v>0</v>
      </c>
      <c r="M27" s="193">
        <v>0</v>
      </c>
      <c r="N27" s="193">
        <v>12540</v>
      </c>
      <c r="O27" s="193">
        <v>0</v>
      </c>
      <c r="P27" s="193">
        <v>0</v>
      </c>
      <c r="Q27" s="193">
        <v>47460</v>
      </c>
      <c r="R27" s="193">
        <v>0</v>
      </c>
      <c r="S27" s="193">
        <v>0</v>
      </c>
      <c r="T27" s="193">
        <v>60000</v>
      </c>
    </row>
    <row r="28" spans="1:20">
      <c r="A28" s="13">
        <v>24</v>
      </c>
      <c r="B28" s="204" t="s">
        <v>225</v>
      </c>
      <c r="C28" s="205"/>
      <c r="D28" s="198">
        <v>0</v>
      </c>
      <c r="E28" s="198">
        <v>44.3</v>
      </c>
      <c r="F28" s="198">
        <v>2850.3389999999999</v>
      </c>
      <c r="G28" s="199">
        <v>0</v>
      </c>
      <c r="H28" s="199">
        <v>355.7</v>
      </c>
      <c r="I28" s="10">
        <v>0</v>
      </c>
      <c r="J28" s="10">
        <v>0</v>
      </c>
      <c r="K28" s="11">
        <v>0</v>
      </c>
      <c r="L28" s="193">
        <v>0</v>
      </c>
      <c r="M28" s="193">
        <v>0</v>
      </c>
      <c r="N28" s="193">
        <v>6645</v>
      </c>
      <c r="O28" s="193">
        <v>0</v>
      </c>
      <c r="P28" s="193">
        <v>0</v>
      </c>
      <c r="Q28" s="193">
        <v>53355</v>
      </c>
      <c r="R28" s="193">
        <v>0</v>
      </c>
      <c r="S28" s="193">
        <v>0</v>
      </c>
      <c r="T28" s="193">
        <v>60000</v>
      </c>
    </row>
    <row r="29" spans="1:20">
      <c r="A29" s="13">
        <v>25</v>
      </c>
      <c r="B29" s="204" t="s">
        <v>226</v>
      </c>
      <c r="C29" s="205"/>
      <c r="D29" s="198">
        <v>0</v>
      </c>
      <c r="E29" s="198">
        <v>94.625</v>
      </c>
      <c r="F29" s="198">
        <v>2755.7139999999999</v>
      </c>
      <c r="G29" s="199">
        <v>0</v>
      </c>
      <c r="H29" s="199">
        <v>305.375</v>
      </c>
      <c r="I29" s="10">
        <v>0</v>
      </c>
      <c r="J29" s="10">
        <v>0</v>
      </c>
      <c r="K29" s="11">
        <v>0</v>
      </c>
      <c r="L29" s="193">
        <v>0</v>
      </c>
      <c r="M29" s="193">
        <v>0</v>
      </c>
      <c r="N29" s="193">
        <v>14193.75</v>
      </c>
      <c r="O29" s="193">
        <v>0</v>
      </c>
      <c r="P29" s="193">
        <v>0</v>
      </c>
      <c r="Q29" s="193">
        <v>45806.25</v>
      </c>
      <c r="R29" s="193">
        <v>0</v>
      </c>
      <c r="S29" s="193">
        <v>0</v>
      </c>
      <c r="T29" s="193">
        <v>60000</v>
      </c>
    </row>
    <row r="30" spans="1:20">
      <c r="A30" s="13">
        <v>26</v>
      </c>
      <c r="B30" s="204" t="s">
        <v>227</v>
      </c>
      <c r="C30" s="205"/>
      <c r="D30" s="198">
        <v>22.5</v>
      </c>
      <c r="E30" s="198">
        <v>132.07499999999999</v>
      </c>
      <c r="F30" s="198">
        <v>2646.1390000000001</v>
      </c>
      <c r="G30" s="199">
        <v>0</v>
      </c>
      <c r="H30" s="199">
        <v>245.42500000000001</v>
      </c>
      <c r="I30" s="10">
        <v>0</v>
      </c>
      <c r="J30" s="10">
        <v>0</v>
      </c>
      <c r="K30" s="11">
        <v>0</v>
      </c>
      <c r="L30" s="193">
        <v>0</v>
      </c>
      <c r="M30" s="193">
        <v>3375</v>
      </c>
      <c r="N30" s="193">
        <v>19811.25</v>
      </c>
      <c r="O30" s="193">
        <v>0</v>
      </c>
      <c r="P30" s="193">
        <v>0</v>
      </c>
      <c r="Q30" s="193">
        <v>36813.75</v>
      </c>
      <c r="R30" s="193">
        <v>0</v>
      </c>
      <c r="S30" s="193">
        <v>0</v>
      </c>
      <c r="T30" s="193">
        <v>60000</v>
      </c>
    </row>
    <row r="31" spans="1:20">
      <c r="A31" s="13">
        <v>27</v>
      </c>
      <c r="B31" s="204" t="s">
        <v>228</v>
      </c>
      <c r="C31" s="205"/>
      <c r="D31" s="198">
        <v>0</v>
      </c>
      <c r="E31" s="198">
        <v>0</v>
      </c>
      <c r="F31" s="198">
        <v>2646.1390000000001</v>
      </c>
      <c r="G31" s="199">
        <v>0</v>
      </c>
      <c r="H31" s="199">
        <v>400</v>
      </c>
      <c r="I31" s="10">
        <v>0</v>
      </c>
      <c r="J31" s="10">
        <v>0</v>
      </c>
      <c r="K31" s="11">
        <v>0</v>
      </c>
      <c r="L31" s="193">
        <v>0</v>
      </c>
      <c r="M31" s="193">
        <v>0</v>
      </c>
      <c r="N31" s="193">
        <v>0</v>
      </c>
      <c r="O31" s="193">
        <v>0</v>
      </c>
      <c r="P31" s="193">
        <v>0</v>
      </c>
      <c r="Q31" s="193">
        <v>60000</v>
      </c>
      <c r="R31" s="193">
        <v>0</v>
      </c>
      <c r="S31" s="193">
        <v>0</v>
      </c>
      <c r="T31" s="193">
        <v>60000</v>
      </c>
    </row>
    <row r="32" spans="1:20">
      <c r="A32" s="13">
        <v>28</v>
      </c>
      <c r="B32" s="204" t="s">
        <v>229</v>
      </c>
      <c r="C32" s="205"/>
      <c r="D32" s="198">
        <v>0</v>
      </c>
      <c r="E32" s="198">
        <v>22</v>
      </c>
      <c r="F32" s="198">
        <v>2624.1390000000001</v>
      </c>
      <c r="G32" s="199">
        <v>0</v>
      </c>
      <c r="H32" s="199">
        <v>378</v>
      </c>
      <c r="I32" s="10">
        <v>0</v>
      </c>
      <c r="J32" s="10">
        <v>0</v>
      </c>
      <c r="K32" s="11">
        <v>0</v>
      </c>
      <c r="L32" s="193">
        <v>0</v>
      </c>
      <c r="M32" s="193">
        <v>0</v>
      </c>
      <c r="N32" s="193">
        <v>3300</v>
      </c>
      <c r="O32" s="193">
        <v>0</v>
      </c>
      <c r="P32" s="193">
        <v>0</v>
      </c>
      <c r="Q32" s="193">
        <v>56700</v>
      </c>
      <c r="R32" s="193">
        <v>0</v>
      </c>
      <c r="S32" s="193">
        <v>0</v>
      </c>
      <c r="T32" s="193">
        <v>60000</v>
      </c>
    </row>
    <row r="33" spans="1:20">
      <c r="A33" s="13">
        <v>29</v>
      </c>
      <c r="B33" s="204" t="s">
        <v>230</v>
      </c>
      <c r="C33" s="205"/>
      <c r="D33" s="198">
        <v>0</v>
      </c>
      <c r="E33" s="198">
        <v>44</v>
      </c>
      <c r="F33" s="198">
        <v>2580.1390000000001</v>
      </c>
      <c r="G33" s="199">
        <v>0</v>
      </c>
      <c r="H33" s="199">
        <v>356</v>
      </c>
      <c r="I33" s="10">
        <v>0</v>
      </c>
      <c r="J33" s="10">
        <v>0</v>
      </c>
      <c r="K33" s="11">
        <v>0</v>
      </c>
      <c r="L33" s="193">
        <v>0</v>
      </c>
      <c r="M33" s="193">
        <v>0</v>
      </c>
      <c r="N33" s="193">
        <v>6600</v>
      </c>
      <c r="O33" s="193">
        <v>0</v>
      </c>
      <c r="P33" s="193">
        <v>0</v>
      </c>
      <c r="Q33" s="193">
        <v>53400</v>
      </c>
      <c r="R33" s="193">
        <v>0</v>
      </c>
      <c r="S33" s="193">
        <v>0</v>
      </c>
      <c r="T33" s="193">
        <v>60000</v>
      </c>
    </row>
    <row r="34" spans="1:20">
      <c r="A34" s="13">
        <v>30</v>
      </c>
      <c r="B34" s="204" t="s">
        <v>231</v>
      </c>
      <c r="C34" s="205"/>
      <c r="D34" s="198">
        <v>0</v>
      </c>
      <c r="E34" s="198">
        <v>9.625</v>
      </c>
      <c r="F34" s="198">
        <v>2570.5140000000001</v>
      </c>
      <c r="G34" s="199">
        <v>0</v>
      </c>
      <c r="H34" s="199">
        <v>390.375</v>
      </c>
      <c r="I34" s="10">
        <v>0</v>
      </c>
      <c r="J34" s="10">
        <v>0</v>
      </c>
      <c r="K34" s="11">
        <v>0</v>
      </c>
      <c r="L34" s="193">
        <v>0</v>
      </c>
      <c r="M34" s="193">
        <v>0</v>
      </c>
      <c r="N34" s="193">
        <v>1443.75</v>
      </c>
      <c r="O34" s="193">
        <v>0</v>
      </c>
      <c r="P34" s="193">
        <v>0</v>
      </c>
      <c r="Q34" s="193">
        <v>58556.25</v>
      </c>
      <c r="R34" s="193">
        <v>0</v>
      </c>
      <c r="S34" s="193">
        <v>0</v>
      </c>
      <c r="T34" s="193">
        <v>60000</v>
      </c>
    </row>
    <row r="35" spans="1:20">
      <c r="A35" s="13">
        <v>31</v>
      </c>
      <c r="B35" s="204" t="s">
        <v>232</v>
      </c>
      <c r="C35" s="205"/>
      <c r="D35" s="198">
        <v>0</v>
      </c>
      <c r="E35" s="198">
        <v>0</v>
      </c>
      <c r="F35" s="198">
        <v>2570.5140000000001</v>
      </c>
      <c r="G35" s="199">
        <v>0</v>
      </c>
      <c r="H35" s="199">
        <v>400</v>
      </c>
      <c r="I35" s="10">
        <v>0</v>
      </c>
      <c r="J35" s="10">
        <v>0</v>
      </c>
      <c r="K35" s="11">
        <v>0</v>
      </c>
      <c r="L35" s="193">
        <v>0</v>
      </c>
      <c r="M35" s="193">
        <v>0</v>
      </c>
      <c r="N35" s="193">
        <v>0</v>
      </c>
      <c r="O35" s="193">
        <v>0</v>
      </c>
      <c r="P35" s="193">
        <v>0</v>
      </c>
      <c r="Q35" s="193">
        <v>60000</v>
      </c>
      <c r="R35" s="193">
        <v>0</v>
      </c>
      <c r="S35" s="193">
        <v>0</v>
      </c>
      <c r="T35" s="193">
        <v>60000</v>
      </c>
    </row>
    <row r="36" spans="1:20">
      <c r="D36" s="19">
        <v>156.5</v>
      </c>
      <c r="E36" s="19">
        <v>3668.4250000000002</v>
      </c>
      <c r="F36" s="19">
        <v>127330.484</v>
      </c>
      <c r="G36" s="19">
        <v>0</v>
      </c>
      <c r="H36" s="19">
        <v>8628.5999999999985</v>
      </c>
      <c r="I36" s="19">
        <v>0</v>
      </c>
      <c r="J36" s="19">
        <v>0</v>
      </c>
      <c r="K36" s="19">
        <v>0</v>
      </c>
      <c r="L36" s="194">
        <v>0</v>
      </c>
      <c r="M36" s="194">
        <v>23475</v>
      </c>
      <c r="N36" s="194">
        <v>550263.75</v>
      </c>
      <c r="O36" s="194">
        <f>6840000/(F36+O37+O38)*F36</f>
        <v>6710739.3090813505</v>
      </c>
      <c r="P36" s="194">
        <v>0</v>
      </c>
      <c r="Q36" s="194">
        <v>1294290</v>
      </c>
      <c r="R36" s="194">
        <v>0</v>
      </c>
      <c r="S36" s="194">
        <v>0</v>
      </c>
      <c r="T36" s="194">
        <f>SUM(L36:S36)</f>
        <v>8578768.0590813495</v>
      </c>
    </row>
    <row r="37" spans="1:20">
      <c r="N37" s="2" t="s">
        <v>269</v>
      </c>
      <c r="O37" s="202">
        <v>509.95</v>
      </c>
      <c r="R37" s="22"/>
      <c r="S37" s="22"/>
      <c r="T37" s="195">
        <f>T36*1.2</f>
        <v>10294521.67089762</v>
      </c>
    </row>
    <row r="38" spans="1:20">
      <c r="N38" s="2" t="s">
        <v>274</v>
      </c>
      <c r="O38" s="202">
        <v>1942.66</v>
      </c>
    </row>
  </sheetData>
  <mergeCells count="50">
    <mergeCell ref="B8:C8"/>
    <mergeCell ref="B9:C9"/>
    <mergeCell ref="B10:C10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  <mergeCell ref="B7:C7"/>
    <mergeCell ref="L3:L4"/>
    <mergeCell ref="M3:M4"/>
    <mergeCell ref="N3:N4"/>
    <mergeCell ref="O3:O4"/>
    <mergeCell ref="R3:R4"/>
    <mergeCell ref="S3:S4"/>
    <mergeCell ref="T3:T4"/>
    <mergeCell ref="B5:C5"/>
    <mergeCell ref="B6:C6"/>
    <mergeCell ref="P3:P4"/>
    <mergeCell ref="Q3:Q4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13:C13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</mergeCells>
  <pageMargins left="0.7" right="0.7" top="0.75" bottom="0.75" header="0.3" footer="0.3"/>
  <pageSetup paperSize="9" fitToHeight="5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D7842-423A-4D2C-B3EA-98973608DB86}">
  <sheetPr codeName="Лист52">
    <pageSetUpPr fitToPage="1"/>
  </sheetPr>
  <dimension ref="A1:T38"/>
  <sheetViews>
    <sheetView topLeftCell="A12" workbookViewId="0">
      <selection activeCell="J32" sqref="J32"/>
    </sheetView>
  </sheetViews>
  <sheetFormatPr defaultRowHeight="15"/>
  <cols>
    <col min="1" max="3" width="8.796875" style="2"/>
    <col min="4" max="4" width="8.19921875" style="2" customWidth="1"/>
    <col min="5" max="5" width="13.69921875" style="2" customWidth="1"/>
    <col min="6" max="6" width="9.296875" style="2" customWidth="1"/>
    <col min="7" max="7" width="8" style="2" customWidth="1"/>
    <col min="8" max="8" width="7.296875" style="2" customWidth="1"/>
    <col min="9" max="9" width="7.3984375" style="2" bestFit="1" customWidth="1"/>
    <col min="10" max="10" width="6.59765625" style="2" bestFit="1" customWidth="1"/>
    <col min="11" max="12" width="8.796875" style="2"/>
    <col min="13" max="13" width="10.59765625" style="2" customWidth="1"/>
    <col min="14" max="14" width="9.5" style="2" customWidth="1"/>
    <col min="15" max="15" width="10.19921875" style="2" customWidth="1"/>
    <col min="16" max="16" width="10.19921875" style="2" bestFit="1" customWidth="1"/>
    <col min="17" max="17" width="10.5" style="2" customWidth="1"/>
    <col min="18" max="18" width="9.296875" style="2" customWidth="1"/>
    <col min="19" max="19" width="8.19921875" style="2" customWidth="1"/>
    <col min="20" max="20" width="17" style="2" customWidth="1"/>
    <col min="21" max="16384" width="8.796875" style="2"/>
  </cols>
  <sheetData>
    <row r="1" spans="1:20">
      <c r="I1" s="3"/>
    </row>
    <row r="2" spans="1:20" ht="28.9" customHeight="1">
      <c r="A2" s="209" t="s">
        <v>275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</row>
    <row r="3" spans="1:20" ht="28.9" customHeight="1">
      <c r="A3" s="206" t="s">
        <v>0</v>
      </c>
      <c r="B3" s="210" t="s">
        <v>1</v>
      </c>
      <c r="C3" s="211"/>
      <c r="D3" s="206" t="s">
        <v>2</v>
      </c>
      <c r="E3" s="206" t="s">
        <v>3</v>
      </c>
      <c r="F3" s="4" t="s">
        <v>4</v>
      </c>
      <c r="G3" s="206" t="s">
        <v>265</v>
      </c>
      <c r="H3" s="206" t="s">
        <v>266</v>
      </c>
      <c r="I3" s="206" t="s">
        <v>7</v>
      </c>
      <c r="J3" s="206" t="s">
        <v>8</v>
      </c>
      <c r="K3" s="206" t="s">
        <v>200</v>
      </c>
      <c r="L3" s="206" t="s">
        <v>241</v>
      </c>
      <c r="M3" s="206" t="s">
        <v>11</v>
      </c>
      <c r="N3" s="206" t="s">
        <v>12</v>
      </c>
      <c r="O3" s="206" t="s">
        <v>267</v>
      </c>
      <c r="P3" s="206" t="s">
        <v>14</v>
      </c>
      <c r="Q3" s="206" t="s">
        <v>15</v>
      </c>
      <c r="R3" s="206" t="s">
        <v>16</v>
      </c>
      <c r="S3" s="206" t="s">
        <v>17</v>
      </c>
      <c r="T3" s="206" t="s">
        <v>18</v>
      </c>
    </row>
    <row r="4" spans="1:20">
      <c r="A4" s="207"/>
      <c r="B4" s="212"/>
      <c r="C4" s="213"/>
      <c r="D4" s="207"/>
      <c r="E4" s="207"/>
      <c r="F4" s="5"/>
      <c r="G4" s="207"/>
      <c r="H4" s="207"/>
      <c r="I4" s="207"/>
      <c r="J4" s="207"/>
      <c r="K4" s="208"/>
      <c r="L4" s="208"/>
      <c r="M4" s="207"/>
      <c r="N4" s="207"/>
      <c r="O4" s="207"/>
      <c r="P4" s="207"/>
      <c r="Q4" s="207"/>
      <c r="R4" s="207"/>
      <c r="S4" s="207"/>
      <c r="T4" s="207"/>
    </row>
    <row r="5" spans="1:20">
      <c r="A5" s="13">
        <v>1</v>
      </c>
      <c r="B5" s="204" t="s">
        <v>202</v>
      </c>
      <c r="C5" s="205"/>
      <c r="D5" s="198">
        <v>0</v>
      </c>
      <c r="E5" s="198">
        <v>0</v>
      </c>
      <c r="F5" s="198">
        <v>16.45</v>
      </c>
      <c r="G5" s="199">
        <v>0</v>
      </c>
      <c r="H5" s="199">
        <v>0</v>
      </c>
      <c r="I5" s="10">
        <v>0</v>
      </c>
      <c r="J5" s="10">
        <v>0</v>
      </c>
      <c r="K5" s="11">
        <v>0</v>
      </c>
      <c r="L5" s="193">
        <v>0</v>
      </c>
      <c r="M5" s="193">
        <v>0</v>
      </c>
      <c r="N5" s="193">
        <v>0</v>
      </c>
      <c r="O5" s="193">
        <v>0</v>
      </c>
      <c r="P5" s="193">
        <v>0</v>
      </c>
      <c r="Q5" s="193">
        <v>0</v>
      </c>
      <c r="R5" s="193">
        <v>0</v>
      </c>
      <c r="S5" s="193">
        <v>0</v>
      </c>
      <c r="T5" s="193">
        <v>0</v>
      </c>
    </row>
    <row r="6" spans="1:20">
      <c r="A6" s="13">
        <v>2</v>
      </c>
      <c r="B6" s="204" t="s">
        <v>203</v>
      </c>
      <c r="C6" s="205"/>
      <c r="D6" s="198">
        <v>0</v>
      </c>
      <c r="E6" s="198">
        <v>0</v>
      </c>
      <c r="F6" s="198">
        <v>16.45</v>
      </c>
      <c r="G6" s="199">
        <v>0</v>
      </c>
      <c r="H6" s="199">
        <v>0</v>
      </c>
      <c r="I6" s="10">
        <v>0</v>
      </c>
      <c r="J6" s="10">
        <v>0</v>
      </c>
      <c r="K6" s="11">
        <v>0</v>
      </c>
      <c r="L6" s="193">
        <v>0</v>
      </c>
      <c r="M6" s="193">
        <v>0</v>
      </c>
      <c r="N6" s="193">
        <v>0</v>
      </c>
      <c r="O6" s="193">
        <v>0</v>
      </c>
      <c r="P6" s="193">
        <v>0</v>
      </c>
      <c r="Q6" s="193">
        <v>0</v>
      </c>
      <c r="R6" s="193">
        <v>0</v>
      </c>
      <c r="S6" s="193">
        <v>0</v>
      </c>
      <c r="T6" s="193">
        <v>0</v>
      </c>
    </row>
    <row r="7" spans="1:20">
      <c r="A7" s="13">
        <v>3</v>
      </c>
      <c r="B7" s="204" t="s">
        <v>204</v>
      </c>
      <c r="C7" s="205"/>
      <c r="D7" s="198">
        <v>0</v>
      </c>
      <c r="E7" s="198">
        <v>0</v>
      </c>
      <c r="F7" s="198">
        <v>16.45</v>
      </c>
      <c r="G7" s="199">
        <v>0</v>
      </c>
      <c r="H7" s="199">
        <v>0</v>
      </c>
      <c r="I7" s="10">
        <v>0</v>
      </c>
      <c r="J7" s="10">
        <v>0</v>
      </c>
      <c r="K7" s="11">
        <v>0</v>
      </c>
      <c r="L7" s="193">
        <v>0</v>
      </c>
      <c r="M7" s="193">
        <v>0</v>
      </c>
      <c r="N7" s="193">
        <v>0</v>
      </c>
      <c r="O7" s="193">
        <v>0</v>
      </c>
      <c r="P7" s="193">
        <v>0</v>
      </c>
      <c r="Q7" s="193">
        <v>0</v>
      </c>
      <c r="R7" s="193">
        <v>0</v>
      </c>
      <c r="S7" s="193">
        <v>0</v>
      </c>
      <c r="T7" s="193">
        <v>0</v>
      </c>
    </row>
    <row r="8" spans="1:20">
      <c r="A8" s="13">
        <v>4</v>
      </c>
      <c r="B8" s="204" t="s">
        <v>205</v>
      </c>
      <c r="C8" s="205"/>
      <c r="D8" s="198">
        <v>0</v>
      </c>
      <c r="E8" s="198">
        <v>0</v>
      </c>
      <c r="F8" s="198">
        <v>16.45</v>
      </c>
      <c r="G8" s="199">
        <v>0</v>
      </c>
      <c r="H8" s="199">
        <v>0</v>
      </c>
      <c r="I8" s="10">
        <v>0</v>
      </c>
      <c r="J8" s="10">
        <v>0</v>
      </c>
      <c r="K8" s="11">
        <v>0</v>
      </c>
      <c r="L8" s="193">
        <v>0</v>
      </c>
      <c r="M8" s="193">
        <v>0</v>
      </c>
      <c r="N8" s="193">
        <v>0</v>
      </c>
      <c r="O8" s="193">
        <v>0</v>
      </c>
      <c r="P8" s="193">
        <v>0</v>
      </c>
      <c r="Q8" s="193">
        <v>0</v>
      </c>
      <c r="R8" s="193">
        <v>0</v>
      </c>
      <c r="S8" s="193">
        <v>0</v>
      </c>
      <c r="T8" s="193">
        <v>0</v>
      </c>
    </row>
    <row r="9" spans="1:20">
      <c r="A9" s="13">
        <v>5</v>
      </c>
      <c r="B9" s="204" t="s">
        <v>206</v>
      </c>
      <c r="C9" s="205"/>
      <c r="D9" s="198">
        <v>0</v>
      </c>
      <c r="E9" s="198">
        <v>0</v>
      </c>
      <c r="F9" s="198">
        <v>16.45</v>
      </c>
      <c r="G9" s="199">
        <v>0</v>
      </c>
      <c r="H9" s="199">
        <v>0</v>
      </c>
      <c r="I9" s="10">
        <v>0</v>
      </c>
      <c r="J9" s="10">
        <v>0</v>
      </c>
      <c r="K9" s="11">
        <v>0</v>
      </c>
      <c r="L9" s="193">
        <v>0</v>
      </c>
      <c r="M9" s="193">
        <v>0</v>
      </c>
      <c r="N9" s="193">
        <v>0</v>
      </c>
      <c r="O9" s="193">
        <v>0</v>
      </c>
      <c r="P9" s="193">
        <v>0</v>
      </c>
      <c r="Q9" s="193">
        <v>0</v>
      </c>
      <c r="R9" s="193">
        <v>0</v>
      </c>
      <c r="S9" s="193">
        <v>0</v>
      </c>
      <c r="T9" s="193">
        <v>0</v>
      </c>
    </row>
    <row r="10" spans="1:20">
      <c r="A10" s="13">
        <v>6</v>
      </c>
      <c r="B10" s="204" t="s">
        <v>207</v>
      </c>
      <c r="C10" s="205"/>
      <c r="D10" s="198">
        <v>0</v>
      </c>
      <c r="E10" s="198">
        <v>0</v>
      </c>
      <c r="F10" s="198">
        <v>16.45</v>
      </c>
      <c r="G10" s="199">
        <v>0</v>
      </c>
      <c r="H10" s="199">
        <v>0</v>
      </c>
      <c r="I10" s="10">
        <v>0</v>
      </c>
      <c r="J10" s="10">
        <v>0</v>
      </c>
      <c r="K10" s="11">
        <v>0</v>
      </c>
      <c r="L10" s="193">
        <v>0</v>
      </c>
      <c r="M10" s="193">
        <v>0</v>
      </c>
      <c r="N10" s="193">
        <v>0</v>
      </c>
      <c r="O10" s="193">
        <v>0</v>
      </c>
      <c r="P10" s="193">
        <v>0</v>
      </c>
      <c r="Q10" s="193">
        <v>0</v>
      </c>
      <c r="R10" s="193">
        <v>0</v>
      </c>
      <c r="S10" s="193">
        <v>0</v>
      </c>
      <c r="T10" s="193">
        <v>0</v>
      </c>
    </row>
    <row r="11" spans="1:20">
      <c r="A11" s="13">
        <v>7</v>
      </c>
      <c r="B11" s="204" t="s">
        <v>208</v>
      </c>
      <c r="C11" s="205"/>
      <c r="D11" s="198">
        <v>0</v>
      </c>
      <c r="E11" s="198">
        <v>0</v>
      </c>
      <c r="F11" s="198">
        <v>16.45</v>
      </c>
      <c r="G11" s="199">
        <v>0</v>
      </c>
      <c r="H11" s="199">
        <v>0</v>
      </c>
      <c r="I11" s="10">
        <v>0</v>
      </c>
      <c r="J11" s="10">
        <v>0</v>
      </c>
      <c r="K11" s="11">
        <v>0</v>
      </c>
      <c r="L11" s="193">
        <v>0</v>
      </c>
      <c r="M11" s="193">
        <v>0</v>
      </c>
      <c r="N11" s="193">
        <v>0</v>
      </c>
      <c r="O11" s="193">
        <v>0</v>
      </c>
      <c r="P11" s="193">
        <v>0</v>
      </c>
      <c r="Q11" s="193">
        <v>0</v>
      </c>
      <c r="R11" s="193">
        <v>0</v>
      </c>
      <c r="S11" s="193">
        <v>0</v>
      </c>
      <c r="T11" s="193">
        <v>0</v>
      </c>
    </row>
    <row r="12" spans="1:20">
      <c r="A12" s="13">
        <v>8</v>
      </c>
      <c r="B12" s="204" t="s">
        <v>209</v>
      </c>
      <c r="C12" s="205"/>
      <c r="D12" s="198">
        <v>0</v>
      </c>
      <c r="E12" s="198">
        <v>0</v>
      </c>
      <c r="F12" s="198">
        <v>16.45</v>
      </c>
      <c r="G12" s="199">
        <v>0</v>
      </c>
      <c r="H12" s="199">
        <v>0</v>
      </c>
      <c r="I12" s="10">
        <v>0</v>
      </c>
      <c r="J12" s="10">
        <v>0</v>
      </c>
      <c r="K12" s="11">
        <v>0</v>
      </c>
      <c r="L12" s="193">
        <v>0</v>
      </c>
      <c r="M12" s="193">
        <v>0</v>
      </c>
      <c r="N12" s="193">
        <v>0</v>
      </c>
      <c r="O12" s="193">
        <v>0</v>
      </c>
      <c r="P12" s="193">
        <v>0</v>
      </c>
      <c r="Q12" s="193">
        <v>0</v>
      </c>
      <c r="R12" s="193">
        <v>0</v>
      </c>
      <c r="S12" s="193">
        <v>0</v>
      </c>
      <c r="T12" s="193">
        <v>0</v>
      </c>
    </row>
    <row r="13" spans="1:20">
      <c r="A13" s="13">
        <v>9</v>
      </c>
      <c r="B13" s="204" t="s">
        <v>210</v>
      </c>
      <c r="C13" s="205"/>
      <c r="D13" s="198">
        <v>0</v>
      </c>
      <c r="E13" s="198">
        <v>0</v>
      </c>
      <c r="F13" s="198">
        <v>16.45</v>
      </c>
      <c r="G13" s="199">
        <v>0</v>
      </c>
      <c r="H13" s="199">
        <v>0</v>
      </c>
      <c r="I13" s="10">
        <v>0</v>
      </c>
      <c r="J13" s="10">
        <v>0</v>
      </c>
      <c r="K13" s="11">
        <v>0</v>
      </c>
      <c r="L13" s="193">
        <v>0</v>
      </c>
      <c r="M13" s="193">
        <v>0</v>
      </c>
      <c r="N13" s="193">
        <v>0</v>
      </c>
      <c r="O13" s="193">
        <v>0</v>
      </c>
      <c r="P13" s="193">
        <v>0</v>
      </c>
      <c r="Q13" s="193">
        <v>0</v>
      </c>
      <c r="R13" s="193">
        <v>0</v>
      </c>
      <c r="S13" s="193">
        <v>0</v>
      </c>
      <c r="T13" s="193">
        <v>0</v>
      </c>
    </row>
    <row r="14" spans="1:20">
      <c r="A14" s="13">
        <v>10</v>
      </c>
      <c r="B14" s="204" t="s">
        <v>211</v>
      </c>
      <c r="C14" s="205"/>
      <c r="D14" s="198">
        <v>0</v>
      </c>
      <c r="E14" s="198">
        <v>0</v>
      </c>
      <c r="F14" s="198">
        <v>16.45</v>
      </c>
      <c r="G14" s="199">
        <v>0</v>
      </c>
      <c r="H14" s="199">
        <v>0</v>
      </c>
      <c r="I14" s="10">
        <v>0</v>
      </c>
      <c r="J14" s="10">
        <v>0</v>
      </c>
      <c r="K14" s="11">
        <v>0</v>
      </c>
      <c r="L14" s="193">
        <v>0</v>
      </c>
      <c r="M14" s="193">
        <v>0</v>
      </c>
      <c r="N14" s="193">
        <v>0</v>
      </c>
      <c r="O14" s="193">
        <v>0</v>
      </c>
      <c r="P14" s="193">
        <v>0</v>
      </c>
      <c r="Q14" s="193">
        <v>0</v>
      </c>
      <c r="R14" s="193">
        <v>0</v>
      </c>
      <c r="S14" s="193">
        <v>0</v>
      </c>
      <c r="T14" s="193">
        <v>0</v>
      </c>
    </row>
    <row r="15" spans="1:20">
      <c r="A15" s="13">
        <v>11</v>
      </c>
      <c r="B15" s="204" t="s">
        <v>212</v>
      </c>
      <c r="C15" s="205"/>
      <c r="D15" s="198">
        <v>0</v>
      </c>
      <c r="E15" s="198">
        <v>0</v>
      </c>
      <c r="F15" s="198">
        <v>16.45</v>
      </c>
      <c r="G15" s="199">
        <v>0</v>
      </c>
      <c r="H15" s="199">
        <v>0</v>
      </c>
      <c r="I15" s="10">
        <v>0</v>
      </c>
      <c r="J15" s="10">
        <v>0</v>
      </c>
      <c r="K15" s="11">
        <v>0</v>
      </c>
      <c r="L15" s="193">
        <v>0</v>
      </c>
      <c r="M15" s="193">
        <v>0</v>
      </c>
      <c r="N15" s="193">
        <v>0</v>
      </c>
      <c r="O15" s="193">
        <v>0</v>
      </c>
      <c r="P15" s="193">
        <v>0</v>
      </c>
      <c r="Q15" s="193">
        <v>0</v>
      </c>
      <c r="R15" s="193">
        <v>0</v>
      </c>
      <c r="S15" s="193">
        <v>0</v>
      </c>
      <c r="T15" s="193">
        <v>0</v>
      </c>
    </row>
    <row r="16" spans="1:20">
      <c r="A16" s="13">
        <v>12</v>
      </c>
      <c r="B16" s="204" t="s">
        <v>213</v>
      </c>
      <c r="C16" s="205"/>
      <c r="D16" s="198">
        <v>0</v>
      </c>
      <c r="E16" s="198">
        <v>0</v>
      </c>
      <c r="F16" s="198">
        <v>16.45</v>
      </c>
      <c r="G16" s="199">
        <v>0</v>
      </c>
      <c r="H16" s="199">
        <v>0</v>
      </c>
      <c r="I16" s="10">
        <v>0</v>
      </c>
      <c r="J16" s="10">
        <v>0</v>
      </c>
      <c r="K16" s="11">
        <v>0</v>
      </c>
      <c r="L16" s="193">
        <v>0</v>
      </c>
      <c r="M16" s="193">
        <v>0</v>
      </c>
      <c r="N16" s="193">
        <v>0</v>
      </c>
      <c r="O16" s="193">
        <v>0</v>
      </c>
      <c r="P16" s="193">
        <v>0</v>
      </c>
      <c r="Q16" s="193">
        <v>0</v>
      </c>
      <c r="R16" s="193">
        <v>0</v>
      </c>
      <c r="S16" s="193">
        <v>0</v>
      </c>
      <c r="T16" s="193">
        <v>0</v>
      </c>
    </row>
    <row r="17" spans="1:20">
      <c r="A17" s="13">
        <v>13</v>
      </c>
      <c r="B17" s="204" t="s">
        <v>214</v>
      </c>
      <c r="C17" s="205"/>
      <c r="D17" s="198">
        <v>0</v>
      </c>
      <c r="E17" s="198">
        <v>0</v>
      </c>
      <c r="F17" s="198">
        <v>16.45</v>
      </c>
      <c r="G17" s="199">
        <v>0</v>
      </c>
      <c r="H17" s="199">
        <v>0</v>
      </c>
      <c r="I17" s="10">
        <v>0</v>
      </c>
      <c r="J17" s="10">
        <v>0</v>
      </c>
      <c r="K17" s="11">
        <v>0</v>
      </c>
      <c r="L17" s="193">
        <v>0</v>
      </c>
      <c r="M17" s="193">
        <v>0</v>
      </c>
      <c r="N17" s="193">
        <v>0</v>
      </c>
      <c r="O17" s="193">
        <v>0</v>
      </c>
      <c r="P17" s="193">
        <v>0</v>
      </c>
      <c r="Q17" s="193">
        <v>0</v>
      </c>
      <c r="R17" s="193">
        <v>0</v>
      </c>
      <c r="S17" s="193">
        <v>0</v>
      </c>
      <c r="T17" s="193">
        <v>0</v>
      </c>
    </row>
    <row r="18" spans="1:20">
      <c r="A18" s="13">
        <v>14</v>
      </c>
      <c r="B18" s="204" t="s">
        <v>215</v>
      </c>
      <c r="C18" s="205"/>
      <c r="D18" s="198">
        <v>0</v>
      </c>
      <c r="E18" s="198">
        <v>0</v>
      </c>
      <c r="F18" s="198">
        <v>16.45</v>
      </c>
      <c r="G18" s="199">
        <v>0</v>
      </c>
      <c r="H18" s="199">
        <v>0</v>
      </c>
      <c r="I18" s="10">
        <v>0</v>
      </c>
      <c r="J18" s="10">
        <v>0</v>
      </c>
      <c r="K18" s="11">
        <v>0</v>
      </c>
      <c r="L18" s="193">
        <v>0</v>
      </c>
      <c r="M18" s="193">
        <v>0</v>
      </c>
      <c r="N18" s="193">
        <v>0</v>
      </c>
      <c r="O18" s="193">
        <v>0</v>
      </c>
      <c r="P18" s="193">
        <v>0</v>
      </c>
      <c r="Q18" s="193">
        <v>0</v>
      </c>
      <c r="R18" s="193">
        <v>0</v>
      </c>
      <c r="S18" s="193">
        <v>0</v>
      </c>
      <c r="T18" s="193">
        <v>0</v>
      </c>
    </row>
    <row r="19" spans="1:20">
      <c r="A19" s="13">
        <v>15</v>
      </c>
      <c r="B19" s="204" t="s">
        <v>216</v>
      </c>
      <c r="C19" s="205"/>
      <c r="D19" s="198">
        <v>0</v>
      </c>
      <c r="E19" s="198">
        <v>0</v>
      </c>
      <c r="F19" s="198">
        <v>16.45</v>
      </c>
      <c r="G19" s="199">
        <v>0</v>
      </c>
      <c r="H19" s="199">
        <v>0</v>
      </c>
      <c r="I19" s="10">
        <v>0</v>
      </c>
      <c r="J19" s="10">
        <v>0</v>
      </c>
      <c r="K19" s="11">
        <v>0</v>
      </c>
      <c r="L19" s="193">
        <v>0</v>
      </c>
      <c r="M19" s="193">
        <v>0</v>
      </c>
      <c r="N19" s="193">
        <v>0</v>
      </c>
      <c r="O19" s="193">
        <v>0</v>
      </c>
      <c r="P19" s="193">
        <v>0</v>
      </c>
      <c r="Q19" s="193">
        <v>0</v>
      </c>
      <c r="R19" s="193">
        <v>0</v>
      </c>
      <c r="S19" s="193">
        <v>0</v>
      </c>
      <c r="T19" s="193">
        <v>0</v>
      </c>
    </row>
    <row r="20" spans="1:20">
      <c r="A20" s="13">
        <v>16</v>
      </c>
      <c r="B20" s="204" t="s">
        <v>217</v>
      </c>
      <c r="C20" s="205"/>
      <c r="D20" s="198">
        <v>0</v>
      </c>
      <c r="E20" s="198">
        <v>0</v>
      </c>
      <c r="F20" s="198">
        <v>16.45</v>
      </c>
      <c r="G20" s="199">
        <v>0</v>
      </c>
      <c r="H20" s="199">
        <v>0</v>
      </c>
      <c r="I20" s="10">
        <v>0</v>
      </c>
      <c r="J20" s="10">
        <v>0</v>
      </c>
      <c r="K20" s="11">
        <v>0</v>
      </c>
      <c r="L20" s="193">
        <v>0</v>
      </c>
      <c r="M20" s="193">
        <v>0</v>
      </c>
      <c r="N20" s="193">
        <v>0</v>
      </c>
      <c r="O20" s="193">
        <v>0</v>
      </c>
      <c r="P20" s="193">
        <v>0</v>
      </c>
      <c r="Q20" s="193">
        <v>0</v>
      </c>
      <c r="R20" s="193">
        <v>0</v>
      </c>
      <c r="S20" s="193">
        <v>0</v>
      </c>
      <c r="T20" s="193">
        <v>0</v>
      </c>
    </row>
    <row r="21" spans="1:20">
      <c r="A21" s="13">
        <v>17</v>
      </c>
      <c r="B21" s="204" t="s">
        <v>218</v>
      </c>
      <c r="C21" s="205"/>
      <c r="D21" s="198">
        <v>0</v>
      </c>
      <c r="E21" s="198">
        <v>0</v>
      </c>
      <c r="F21" s="198">
        <v>16.45</v>
      </c>
      <c r="G21" s="199">
        <v>0</v>
      </c>
      <c r="H21" s="199">
        <v>0</v>
      </c>
      <c r="I21" s="10">
        <v>0</v>
      </c>
      <c r="J21" s="10">
        <v>0</v>
      </c>
      <c r="K21" s="11">
        <v>0</v>
      </c>
      <c r="L21" s="193">
        <v>0</v>
      </c>
      <c r="M21" s="193">
        <v>0</v>
      </c>
      <c r="N21" s="193">
        <v>0</v>
      </c>
      <c r="O21" s="193">
        <v>0</v>
      </c>
      <c r="P21" s="193">
        <v>0</v>
      </c>
      <c r="Q21" s="193">
        <v>0</v>
      </c>
      <c r="R21" s="193">
        <v>0</v>
      </c>
      <c r="S21" s="193">
        <v>0</v>
      </c>
      <c r="T21" s="193">
        <v>0</v>
      </c>
    </row>
    <row r="22" spans="1:20">
      <c r="A22" s="13">
        <v>18</v>
      </c>
      <c r="B22" s="204" t="s">
        <v>219</v>
      </c>
      <c r="C22" s="205"/>
      <c r="D22" s="198">
        <v>0</v>
      </c>
      <c r="E22" s="198">
        <v>0</v>
      </c>
      <c r="F22" s="198">
        <v>16.45</v>
      </c>
      <c r="G22" s="199">
        <v>0</v>
      </c>
      <c r="H22" s="199">
        <v>0</v>
      </c>
      <c r="I22" s="10">
        <v>0</v>
      </c>
      <c r="J22" s="10">
        <v>0</v>
      </c>
      <c r="K22" s="11">
        <v>0</v>
      </c>
      <c r="L22" s="193">
        <v>0</v>
      </c>
      <c r="M22" s="193">
        <v>0</v>
      </c>
      <c r="N22" s="193">
        <v>0</v>
      </c>
      <c r="O22" s="193">
        <v>0</v>
      </c>
      <c r="P22" s="193">
        <v>0</v>
      </c>
      <c r="Q22" s="193">
        <v>0</v>
      </c>
      <c r="R22" s="193">
        <v>0</v>
      </c>
      <c r="S22" s="193">
        <v>0</v>
      </c>
      <c r="T22" s="193">
        <v>0</v>
      </c>
    </row>
    <row r="23" spans="1:20">
      <c r="A23" s="13">
        <v>19</v>
      </c>
      <c r="B23" s="204" t="s">
        <v>220</v>
      </c>
      <c r="C23" s="205"/>
      <c r="D23" s="198">
        <v>0</v>
      </c>
      <c r="E23" s="198">
        <v>0</v>
      </c>
      <c r="F23" s="198">
        <v>16.45</v>
      </c>
      <c r="G23" s="199">
        <v>0</v>
      </c>
      <c r="H23" s="199">
        <v>0</v>
      </c>
      <c r="I23" s="10">
        <v>0</v>
      </c>
      <c r="J23" s="10">
        <v>0</v>
      </c>
      <c r="K23" s="11">
        <v>0</v>
      </c>
      <c r="L23" s="193">
        <v>0</v>
      </c>
      <c r="M23" s="193">
        <v>0</v>
      </c>
      <c r="N23" s="193">
        <v>0</v>
      </c>
      <c r="O23" s="193">
        <v>0</v>
      </c>
      <c r="P23" s="193">
        <v>0</v>
      </c>
      <c r="Q23" s="193">
        <v>0</v>
      </c>
      <c r="R23" s="193">
        <v>0</v>
      </c>
      <c r="S23" s="193">
        <v>0</v>
      </c>
      <c r="T23" s="193">
        <v>0</v>
      </c>
    </row>
    <row r="24" spans="1:20">
      <c r="A24" s="13">
        <v>20</v>
      </c>
      <c r="B24" s="204" t="s">
        <v>221</v>
      </c>
      <c r="C24" s="205"/>
      <c r="D24" s="198">
        <v>0</v>
      </c>
      <c r="E24" s="198">
        <v>0</v>
      </c>
      <c r="F24" s="198">
        <v>16.45</v>
      </c>
      <c r="G24" s="199">
        <v>0</v>
      </c>
      <c r="H24" s="199">
        <v>0</v>
      </c>
      <c r="I24" s="10">
        <v>0</v>
      </c>
      <c r="J24" s="10">
        <v>0</v>
      </c>
      <c r="K24" s="11">
        <v>0</v>
      </c>
      <c r="L24" s="193">
        <v>0</v>
      </c>
      <c r="M24" s="193">
        <v>0</v>
      </c>
      <c r="N24" s="193">
        <v>0</v>
      </c>
      <c r="O24" s="193">
        <v>0</v>
      </c>
      <c r="P24" s="193">
        <v>0</v>
      </c>
      <c r="Q24" s="193">
        <v>0</v>
      </c>
      <c r="R24" s="193">
        <v>0</v>
      </c>
      <c r="S24" s="193">
        <v>0</v>
      </c>
      <c r="T24" s="193">
        <v>0</v>
      </c>
    </row>
    <row r="25" spans="1:20">
      <c r="A25" s="13">
        <v>21</v>
      </c>
      <c r="B25" s="204" t="s">
        <v>222</v>
      </c>
      <c r="C25" s="205"/>
      <c r="D25" s="198">
        <v>0</v>
      </c>
      <c r="E25" s="198">
        <v>0</v>
      </c>
      <c r="F25" s="198">
        <v>16.45</v>
      </c>
      <c r="G25" s="199">
        <v>0</v>
      </c>
      <c r="H25" s="199">
        <v>0</v>
      </c>
      <c r="I25" s="10">
        <v>0</v>
      </c>
      <c r="J25" s="10">
        <v>0</v>
      </c>
      <c r="K25" s="11">
        <v>0</v>
      </c>
      <c r="L25" s="193">
        <v>0</v>
      </c>
      <c r="M25" s="193">
        <v>0</v>
      </c>
      <c r="N25" s="193">
        <v>0</v>
      </c>
      <c r="O25" s="193">
        <v>0</v>
      </c>
      <c r="P25" s="193">
        <v>0</v>
      </c>
      <c r="Q25" s="193">
        <v>0</v>
      </c>
      <c r="R25" s="193">
        <v>0</v>
      </c>
      <c r="S25" s="193">
        <v>0</v>
      </c>
      <c r="T25" s="193">
        <v>0</v>
      </c>
    </row>
    <row r="26" spans="1:20">
      <c r="A26" s="13">
        <v>22</v>
      </c>
      <c r="B26" s="204" t="s">
        <v>223</v>
      </c>
      <c r="C26" s="205"/>
      <c r="D26" s="198">
        <v>0</v>
      </c>
      <c r="E26" s="198">
        <v>0</v>
      </c>
      <c r="F26" s="198">
        <v>16.45</v>
      </c>
      <c r="G26" s="199">
        <v>0</v>
      </c>
      <c r="H26" s="199">
        <v>0</v>
      </c>
      <c r="I26" s="10">
        <v>0</v>
      </c>
      <c r="J26" s="10">
        <v>0</v>
      </c>
      <c r="K26" s="11">
        <v>0</v>
      </c>
      <c r="L26" s="193">
        <v>0</v>
      </c>
      <c r="M26" s="193">
        <v>0</v>
      </c>
      <c r="N26" s="193">
        <v>0</v>
      </c>
      <c r="O26" s="193">
        <v>0</v>
      </c>
      <c r="P26" s="193">
        <v>0</v>
      </c>
      <c r="Q26" s="193">
        <v>0</v>
      </c>
      <c r="R26" s="193">
        <v>0</v>
      </c>
      <c r="S26" s="193">
        <v>0</v>
      </c>
      <c r="T26" s="193">
        <v>0</v>
      </c>
    </row>
    <row r="27" spans="1:20">
      <c r="A27" s="13">
        <v>23</v>
      </c>
      <c r="B27" s="204" t="s">
        <v>224</v>
      </c>
      <c r="C27" s="205"/>
      <c r="D27" s="198">
        <v>0</v>
      </c>
      <c r="E27" s="198">
        <v>0</v>
      </c>
      <c r="F27" s="198">
        <v>16.45</v>
      </c>
      <c r="G27" s="199">
        <v>0</v>
      </c>
      <c r="H27" s="199">
        <v>0</v>
      </c>
      <c r="I27" s="10">
        <v>0</v>
      </c>
      <c r="J27" s="10">
        <v>0</v>
      </c>
      <c r="K27" s="11">
        <v>0</v>
      </c>
      <c r="L27" s="193">
        <v>0</v>
      </c>
      <c r="M27" s="193">
        <v>0</v>
      </c>
      <c r="N27" s="193">
        <v>0</v>
      </c>
      <c r="O27" s="193">
        <v>0</v>
      </c>
      <c r="P27" s="193">
        <v>0</v>
      </c>
      <c r="Q27" s="193">
        <v>0</v>
      </c>
      <c r="R27" s="193">
        <v>0</v>
      </c>
      <c r="S27" s="193">
        <v>0</v>
      </c>
      <c r="T27" s="193">
        <v>0</v>
      </c>
    </row>
    <row r="28" spans="1:20">
      <c r="A28" s="13">
        <v>24</v>
      </c>
      <c r="B28" s="204" t="s">
        <v>225</v>
      </c>
      <c r="C28" s="205"/>
      <c r="D28" s="198">
        <v>0</v>
      </c>
      <c r="E28" s="198">
        <v>0</v>
      </c>
      <c r="F28" s="198">
        <v>16.45</v>
      </c>
      <c r="G28" s="199">
        <v>0</v>
      </c>
      <c r="H28" s="199">
        <v>0</v>
      </c>
      <c r="I28" s="10">
        <v>0</v>
      </c>
      <c r="J28" s="10">
        <v>0</v>
      </c>
      <c r="K28" s="11">
        <v>0</v>
      </c>
      <c r="L28" s="193">
        <v>0</v>
      </c>
      <c r="M28" s="193">
        <v>0</v>
      </c>
      <c r="N28" s="193">
        <v>0</v>
      </c>
      <c r="O28" s="193">
        <v>0</v>
      </c>
      <c r="P28" s="193">
        <v>0</v>
      </c>
      <c r="Q28" s="193">
        <v>0</v>
      </c>
      <c r="R28" s="193">
        <v>0</v>
      </c>
      <c r="S28" s="193">
        <v>0</v>
      </c>
      <c r="T28" s="193">
        <v>0</v>
      </c>
    </row>
    <row r="29" spans="1:20">
      <c r="A29" s="13">
        <v>25</v>
      </c>
      <c r="B29" s="204" t="s">
        <v>226</v>
      </c>
      <c r="C29" s="205"/>
      <c r="D29" s="198">
        <v>0</v>
      </c>
      <c r="E29" s="198">
        <v>0</v>
      </c>
      <c r="F29" s="198">
        <v>16.45</v>
      </c>
      <c r="G29" s="199">
        <v>0</v>
      </c>
      <c r="H29" s="199">
        <v>0</v>
      </c>
      <c r="I29" s="10">
        <v>0</v>
      </c>
      <c r="J29" s="10">
        <v>0</v>
      </c>
      <c r="K29" s="11">
        <v>0</v>
      </c>
      <c r="L29" s="193">
        <v>0</v>
      </c>
      <c r="M29" s="193">
        <v>0</v>
      </c>
      <c r="N29" s="193">
        <v>0</v>
      </c>
      <c r="O29" s="193">
        <v>0</v>
      </c>
      <c r="P29" s="193">
        <v>0</v>
      </c>
      <c r="Q29" s="193">
        <v>0</v>
      </c>
      <c r="R29" s="193">
        <v>0</v>
      </c>
      <c r="S29" s="193">
        <v>0</v>
      </c>
      <c r="T29" s="193">
        <v>0</v>
      </c>
    </row>
    <row r="30" spans="1:20">
      <c r="A30" s="13">
        <v>26</v>
      </c>
      <c r="B30" s="204" t="s">
        <v>227</v>
      </c>
      <c r="C30" s="205"/>
      <c r="D30" s="198">
        <v>0</v>
      </c>
      <c r="E30" s="198">
        <v>0</v>
      </c>
      <c r="F30" s="198">
        <v>16.45</v>
      </c>
      <c r="G30" s="199">
        <v>0</v>
      </c>
      <c r="H30" s="199">
        <v>0</v>
      </c>
      <c r="I30" s="10">
        <v>0</v>
      </c>
      <c r="J30" s="10">
        <v>0</v>
      </c>
      <c r="K30" s="11">
        <v>0</v>
      </c>
      <c r="L30" s="193">
        <v>0</v>
      </c>
      <c r="M30" s="193">
        <v>0</v>
      </c>
      <c r="N30" s="193">
        <v>0</v>
      </c>
      <c r="O30" s="193">
        <v>0</v>
      </c>
      <c r="P30" s="193">
        <v>0</v>
      </c>
      <c r="Q30" s="193">
        <v>0</v>
      </c>
      <c r="R30" s="193">
        <v>0</v>
      </c>
      <c r="S30" s="193">
        <v>0</v>
      </c>
      <c r="T30" s="193">
        <v>0</v>
      </c>
    </row>
    <row r="31" spans="1:20">
      <c r="A31" s="13">
        <v>27</v>
      </c>
      <c r="B31" s="204" t="s">
        <v>228</v>
      </c>
      <c r="C31" s="205"/>
      <c r="D31" s="198">
        <v>0</v>
      </c>
      <c r="E31" s="198">
        <v>0</v>
      </c>
      <c r="F31" s="198">
        <v>16.45</v>
      </c>
      <c r="G31" s="199">
        <v>0</v>
      </c>
      <c r="H31" s="199">
        <v>0</v>
      </c>
      <c r="I31" s="10">
        <v>0</v>
      </c>
      <c r="J31" s="10">
        <v>0</v>
      </c>
      <c r="K31" s="11">
        <v>0</v>
      </c>
      <c r="L31" s="193">
        <v>0</v>
      </c>
      <c r="M31" s="193">
        <v>0</v>
      </c>
      <c r="N31" s="193">
        <v>0</v>
      </c>
      <c r="O31" s="193">
        <v>0</v>
      </c>
      <c r="P31" s="193">
        <v>0</v>
      </c>
      <c r="Q31" s="193">
        <v>0</v>
      </c>
      <c r="R31" s="193">
        <v>0</v>
      </c>
      <c r="S31" s="193">
        <v>0</v>
      </c>
      <c r="T31" s="193">
        <v>0</v>
      </c>
    </row>
    <row r="32" spans="1:20">
      <c r="A32" s="13">
        <v>28</v>
      </c>
      <c r="B32" s="204" t="s">
        <v>229</v>
      </c>
      <c r="C32" s="205"/>
      <c r="D32" s="198">
        <v>0</v>
      </c>
      <c r="E32" s="198">
        <v>0</v>
      </c>
      <c r="F32" s="198">
        <v>16.45</v>
      </c>
      <c r="G32" s="199">
        <v>0</v>
      </c>
      <c r="H32" s="199">
        <v>0</v>
      </c>
      <c r="I32" s="10">
        <v>0</v>
      </c>
      <c r="J32" s="10">
        <v>0</v>
      </c>
      <c r="K32" s="11">
        <v>0</v>
      </c>
      <c r="L32" s="193">
        <v>0</v>
      </c>
      <c r="M32" s="193">
        <v>0</v>
      </c>
      <c r="N32" s="193">
        <v>0</v>
      </c>
      <c r="O32" s="193">
        <v>0</v>
      </c>
      <c r="P32" s="193">
        <v>0</v>
      </c>
      <c r="Q32" s="193">
        <v>0</v>
      </c>
      <c r="R32" s="193">
        <v>0</v>
      </c>
      <c r="S32" s="193">
        <v>0</v>
      </c>
      <c r="T32" s="193">
        <v>0</v>
      </c>
    </row>
    <row r="33" spans="1:20">
      <c r="A33" s="13">
        <v>29</v>
      </c>
      <c r="B33" s="204" t="s">
        <v>230</v>
      </c>
      <c r="C33" s="205"/>
      <c r="D33" s="198">
        <v>0</v>
      </c>
      <c r="E33" s="198">
        <v>0</v>
      </c>
      <c r="F33" s="198">
        <v>16.45</v>
      </c>
      <c r="G33" s="199">
        <v>0</v>
      </c>
      <c r="H33" s="199">
        <v>0</v>
      </c>
      <c r="I33" s="10">
        <v>0</v>
      </c>
      <c r="J33" s="10">
        <v>0</v>
      </c>
      <c r="K33" s="11">
        <v>0</v>
      </c>
      <c r="L33" s="193">
        <v>0</v>
      </c>
      <c r="M33" s="193">
        <v>0</v>
      </c>
      <c r="N33" s="193">
        <v>0</v>
      </c>
      <c r="O33" s="193">
        <v>0</v>
      </c>
      <c r="P33" s="193">
        <v>0</v>
      </c>
      <c r="Q33" s="193">
        <v>0</v>
      </c>
      <c r="R33" s="193">
        <v>0</v>
      </c>
      <c r="S33" s="193">
        <v>0</v>
      </c>
      <c r="T33" s="193">
        <v>0</v>
      </c>
    </row>
    <row r="34" spans="1:20">
      <c r="A34" s="13">
        <v>30</v>
      </c>
      <c r="B34" s="204" t="s">
        <v>231</v>
      </c>
      <c r="C34" s="205"/>
      <c r="D34" s="198">
        <v>0</v>
      </c>
      <c r="E34" s="198">
        <v>0</v>
      </c>
      <c r="F34" s="198">
        <v>16.45</v>
      </c>
      <c r="G34" s="199">
        <v>0</v>
      </c>
      <c r="H34" s="199">
        <v>0</v>
      </c>
      <c r="I34" s="10">
        <v>0</v>
      </c>
      <c r="J34" s="10">
        <v>0</v>
      </c>
      <c r="K34" s="11">
        <v>0</v>
      </c>
      <c r="L34" s="193">
        <v>0</v>
      </c>
      <c r="M34" s="193">
        <v>0</v>
      </c>
      <c r="N34" s="193">
        <v>0</v>
      </c>
      <c r="O34" s="193">
        <v>0</v>
      </c>
      <c r="P34" s="193">
        <v>0</v>
      </c>
      <c r="Q34" s="193">
        <v>0</v>
      </c>
      <c r="R34" s="193">
        <v>0</v>
      </c>
      <c r="S34" s="193">
        <v>0</v>
      </c>
      <c r="T34" s="193">
        <v>0</v>
      </c>
    </row>
    <row r="35" spans="1:20">
      <c r="A35" s="13">
        <v>31</v>
      </c>
      <c r="B35" s="204" t="s">
        <v>232</v>
      </c>
      <c r="C35" s="205"/>
      <c r="D35" s="198">
        <v>0</v>
      </c>
      <c r="E35" s="198">
        <v>0</v>
      </c>
      <c r="F35" s="198">
        <v>16.45</v>
      </c>
      <c r="G35" s="199">
        <v>0</v>
      </c>
      <c r="H35" s="199">
        <v>0</v>
      </c>
      <c r="I35" s="10">
        <v>0</v>
      </c>
      <c r="J35" s="10">
        <v>0</v>
      </c>
      <c r="K35" s="11">
        <v>0</v>
      </c>
      <c r="L35" s="193">
        <v>0</v>
      </c>
      <c r="M35" s="193">
        <v>0</v>
      </c>
      <c r="N35" s="193">
        <v>0</v>
      </c>
      <c r="O35" s="193">
        <v>0</v>
      </c>
      <c r="P35" s="193">
        <v>0</v>
      </c>
      <c r="Q35" s="193">
        <v>0</v>
      </c>
      <c r="R35" s="193">
        <v>0</v>
      </c>
      <c r="S35" s="193">
        <v>0</v>
      </c>
      <c r="T35" s="193">
        <v>0</v>
      </c>
    </row>
    <row r="36" spans="1:20">
      <c r="D36" s="19">
        <v>0</v>
      </c>
      <c r="E36" s="19">
        <v>0</v>
      </c>
      <c r="F36" s="19">
        <v>509.94999999999976</v>
      </c>
      <c r="G36" s="19">
        <v>0</v>
      </c>
      <c r="H36" s="19">
        <v>0</v>
      </c>
      <c r="I36" s="19">
        <v>0</v>
      </c>
      <c r="J36" s="19">
        <v>0</v>
      </c>
      <c r="K36" s="19">
        <v>0</v>
      </c>
      <c r="L36" s="194">
        <v>0</v>
      </c>
      <c r="M36" s="194">
        <v>0</v>
      </c>
      <c r="N36" s="194">
        <v>0</v>
      </c>
      <c r="O36" s="194">
        <f>6840000/(F36+O37+O38)*F36</f>
        <v>26876.058294618852</v>
      </c>
      <c r="P36" s="194">
        <v>0</v>
      </c>
      <c r="Q36" s="194">
        <v>0</v>
      </c>
      <c r="R36" s="194">
        <v>0</v>
      </c>
      <c r="S36" s="194">
        <v>0</v>
      </c>
      <c r="T36" s="194">
        <f>SUM(L36:S36)</f>
        <v>26876.058294618852</v>
      </c>
    </row>
    <row r="37" spans="1:20">
      <c r="F37" s="201"/>
      <c r="N37" s="2" t="s">
        <v>268</v>
      </c>
      <c r="O37" s="2">
        <v>127330.484</v>
      </c>
      <c r="R37" s="22"/>
      <c r="S37" s="22"/>
      <c r="T37" s="195">
        <f>T36*1.2</f>
        <v>32251.269953542622</v>
      </c>
    </row>
    <row r="38" spans="1:20">
      <c r="N38" s="2" t="s">
        <v>274</v>
      </c>
      <c r="O38" s="2">
        <v>1942.66</v>
      </c>
    </row>
  </sheetData>
  <mergeCells count="50">
    <mergeCell ref="B8:C8"/>
    <mergeCell ref="B9:C9"/>
    <mergeCell ref="B10:C10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  <mergeCell ref="B7:C7"/>
    <mergeCell ref="L3:L4"/>
    <mergeCell ref="M3:M4"/>
    <mergeCell ref="N3:N4"/>
    <mergeCell ref="O3:O4"/>
    <mergeCell ref="R3:R4"/>
    <mergeCell ref="S3:S4"/>
    <mergeCell ref="T3:T4"/>
    <mergeCell ref="B5:C5"/>
    <mergeCell ref="B6:C6"/>
    <mergeCell ref="P3:P4"/>
    <mergeCell ref="Q3:Q4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13:C13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</mergeCells>
  <pageMargins left="0.7" right="0.7" top="0.75" bottom="0.75" header="0.3" footer="0.3"/>
  <pageSetup paperSize="9" fitToHeight="5" orientation="landscape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F1198-0B4F-49E1-A113-DD42F09FD1D9}">
  <sheetPr codeName="Лист53">
    <pageSetUpPr fitToPage="1"/>
  </sheetPr>
  <dimension ref="A1:T37"/>
  <sheetViews>
    <sheetView topLeftCell="A7" workbookViewId="0">
      <selection activeCell="K5" sqref="K5:K35"/>
    </sheetView>
  </sheetViews>
  <sheetFormatPr defaultRowHeight="15"/>
  <cols>
    <col min="1" max="3" width="8.796875" style="2"/>
    <col min="4" max="4" width="8.296875" style="2" customWidth="1"/>
    <col min="5" max="5" width="8.59765625" style="2" customWidth="1"/>
    <col min="6" max="6" width="9.19921875" style="2" customWidth="1"/>
    <col min="7" max="7" width="8" style="2" customWidth="1"/>
    <col min="8" max="8" width="7.5" style="2" customWidth="1"/>
    <col min="9" max="9" width="7.3984375" style="2" bestFit="1" customWidth="1"/>
    <col min="10" max="12" width="8.796875" style="2"/>
    <col min="13" max="13" width="9.19921875" style="2" customWidth="1"/>
    <col min="14" max="14" width="9.5" style="2" customWidth="1"/>
    <col min="15" max="15" width="10.19921875" style="2" customWidth="1"/>
    <col min="16" max="16" width="10.19921875" style="2" bestFit="1" customWidth="1"/>
    <col min="17" max="17" width="10.5" style="2" customWidth="1"/>
    <col min="18" max="18" width="9.296875" style="2" customWidth="1"/>
    <col min="19" max="19" width="8.19921875" style="2" customWidth="1"/>
    <col min="20" max="20" width="17" style="2" customWidth="1"/>
    <col min="21" max="16384" width="8.796875" style="2"/>
  </cols>
  <sheetData>
    <row r="1" spans="1:20">
      <c r="I1" s="3"/>
    </row>
    <row r="2" spans="1:20" ht="28.9" customHeight="1">
      <c r="A2" s="209" t="s">
        <v>276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</row>
    <row r="3" spans="1:20" ht="28.9" customHeight="1">
      <c r="A3" s="206" t="s">
        <v>0</v>
      </c>
      <c r="B3" s="210" t="s">
        <v>1</v>
      </c>
      <c r="C3" s="211"/>
      <c r="D3" s="206" t="s">
        <v>2</v>
      </c>
      <c r="E3" s="206" t="s">
        <v>3</v>
      </c>
      <c r="F3" s="4" t="s">
        <v>4</v>
      </c>
      <c r="G3" s="206" t="s">
        <v>277</v>
      </c>
      <c r="H3" s="206" t="s">
        <v>278</v>
      </c>
      <c r="I3" s="206" t="s">
        <v>7</v>
      </c>
      <c r="J3" s="206" t="s">
        <v>8</v>
      </c>
      <c r="K3" s="206" t="s">
        <v>200</v>
      </c>
      <c r="L3" s="206" t="s">
        <v>241</v>
      </c>
      <c r="M3" s="206" t="s">
        <v>11</v>
      </c>
      <c r="N3" s="206" t="s">
        <v>12</v>
      </c>
      <c r="O3" s="206" t="s">
        <v>13</v>
      </c>
      <c r="P3" s="206" t="s">
        <v>14</v>
      </c>
      <c r="Q3" s="206" t="s">
        <v>15</v>
      </c>
      <c r="R3" s="206" t="s">
        <v>16</v>
      </c>
      <c r="S3" s="206" t="s">
        <v>17</v>
      </c>
      <c r="T3" s="206" t="s">
        <v>18</v>
      </c>
    </row>
    <row r="4" spans="1:20">
      <c r="A4" s="207"/>
      <c r="B4" s="212"/>
      <c r="C4" s="213"/>
      <c r="D4" s="207"/>
      <c r="E4" s="207"/>
      <c r="F4" s="5"/>
      <c r="G4" s="207"/>
      <c r="H4" s="207"/>
      <c r="I4" s="207"/>
      <c r="J4" s="207"/>
      <c r="K4" s="208"/>
      <c r="L4" s="208"/>
      <c r="M4" s="207"/>
      <c r="N4" s="207"/>
      <c r="O4" s="207"/>
      <c r="P4" s="207"/>
      <c r="Q4" s="207"/>
      <c r="R4" s="207"/>
      <c r="S4" s="207"/>
      <c r="T4" s="207"/>
    </row>
    <row r="5" spans="1:20">
      <c r="A5" s="13">
        <v>1</v>
      </c>
      <c r="B5" s="204" t="s">
        <v>202</v>
      </c>
      <c r="C5" s="205"/>
      <c r="D5" s="198">
        <v>0</v>
      </c>
      <c r="E5" s="198">
        <v>0</v>
      </c>
      <c r="F5" s="198">
        <v>21.91</v>
      </c>
      <c r="G5" s="199">
        <v>0</v>
      </c>
      <c r="H5" s="199">
        <v>0</v>
      </c>
      <c r="I5" s="10">
        <v>0</v>
      </c>
      <c r="J5" s="11">
        <v>0</v>
      </c>
      <c r="K5" s="11">
        <v>0</v>
      </c>
      <c r="L5" s="193">
        <v>0</v>
      </c>
      <c r="M5" s="193">
        <v>0</v>
      </c>
      <c r="N5" s="193">
        <v>0</v>
      </c>
      <c r="O5" s="193">
        <v>468.87</v>
      </c>
      <c r="P5" s="193">
        <v>0</v>
      </c>
      <c r="Q5" s="193">
        <v>0</v>
      </c>
      <c r="R5" s="193">
        <v>0</v>
      </c>
      <c r="S5" s="193">
        <v>0</v>
      </c>
      <c r="T5" s="193">
        <v>468.87</v>
      </c>
    </row>
    <row r="6" spans="1:20">
      <c r="A6" s="13">
        <v>2</v>
      </c>
      <c r="B6" s="204" t="s">
        <v>203</v>
      </c>
      <c r="C6" s="205"/>
      <c r="D6" s="198">
        <v>0</v>
      </c>
      <c r="E6" s="198">
        <v>0</v>
      </c>
      <c r="F6" s="198">
        <v>21.91</v>
      </c>
      <c r="G6" s="199">
        <v>0</v>
      </c>
      <c r="H6" s="199">
        <v>0</v>
      </c>
      <c r="I6" s="10">
        <v>0</v>
      </c>
      <c r="J6" s="11">
        <v>0</v>
      </c>
      <c r="K6" s="11">
        <v>0</v>
      </c>
      <c r="L6" s="193">
        <v>0</v>
      </c>
      <c r="M6" s="193">
        <v>0</v>
      </c>
      <c r="N6" s="193">
        <v>0</v>
      </c>
      <c r="O6" s="193">
        <v>468.87</v>
      </c>
      <c r="P6" s="193">
        <v>0</v>
      </c>
      <c r="Q6" s="193">
        <v>0</v>
      </c>
      <c r="R6" s="193">
        <v>0</v>
      </c>
      <c r="S6" s="193">
        <v>0</v>
      </c>
      <c r="T6" s="193">
        <v>468.87</v>
      </c>
    </row>
    <row r="7" spans="1:20">
      <c r="A7" s="13">
        <v>3</v>
      </c>
      <c r="B7" s="204" t="s">
        <v>204</v>
      </c>
      <c r="C7" s="205"/>
      <c r="D7" s="198">
        <v>0</v>
      </c>
      <c r="E7" s="198">
        <v>0</v>
      </c>
      <c r="F7" s="198">
        <v>21.91</v>
      </c>
      <c r="G7" s="199">
        <v>0</v>
      </c>
      <c r="H7" s="199">
        <v>0</v>
      </c>
      <c r="I7" s="10">
        <v>0</v>
      </c>
      <c r="J7" s="11">
        <v>0</v>
      </c>
      <c r="K7" s="11">
        <v>0</v>
      </c>
      <c r="L7" s="193">
        <v>0</v>
      </c>
      <c r="M7" s="193">
        <v>0</v>
      </c>
      <c r="N7" s="193">
        <v>0</v>
      </c>
      <c r="O7" s="193">
        <v>468.87</v>
      </c>
      <c r="P7" s="193">
        <v>0</v>
      </c>
      <c r="Q7" s="193">
        <v>0</v>
      </c>
      <c r="R7" s="193">
        <v>0</v>
      </c>
      <c r="S7" s="193">
        <v>0</v>
      </c>
      <c r="T7" s="193">
        <v>468.87</v>
      </c>
    </row>
    <row r="8" spans="1:20">
      <c r="A8" s="13">
        <v>4</v>
      </c>
      <c r="B8" s="204" t="s">
        <v>205</v>
      </c>
      <c r="C8" s="205"/>
      <c r="D8" s="198">
        <v>0</v>
      </c>
      <c r="E8" s="198">
        <v>0</v>
      </c>
      <c r="F8" s="198">
        <v>21.91</v>
      </c>
      <c r="G8" s="199">
        <v>0</v>
      </c>
      <c r="H8" s="199">
        <v>0</v>
      </c>
      <c r="I8" s="10">
        <v>0</v>
      </c>
      <c r="J8" s="11">
        <v>0</v>
      </c>
      <c r="K8" s="11">
        <v>0</v>
      </c>
      <c r="L8" s="193">
        <v>0</v>
      </c>
      <c r="M8" s="193">
        <v>0</v>
      </c>
      <c r="N8" s="193">
        <v>0</v>
      </c>
      <c r="O8" s="193">
        <v>468.87</v>
      </c>
      <c r="P8" s="193">
        <v>0</v>
      </c>
      <c r="Q8" s="193">
        <v>0</v>
      </c>
      <c r="R8" s="193">
        <v>0</v>
      </c>
      <c r="S8" s="193">
        <v>0</v>
      </c>
      <c r="T8" s="193">
        <v>468.87</v>
      </c>
    </row>
    <row r="9" spans="1:20">
      <c r="A9" s="13">
        <v>5</v>
      </c>
      <c r="B9" s="204" t="s">
        <v>206</v>
      </c>
      <c r="C9" s="205"/>
      <c r="D9" s="198">
        <v>0</v>
      </c>
      <c r="E9" s="198">
        <v>0</v>
      </c>
      <c r="F9" s="198">
        <v>21.91</v>
      </c>
      <c r="G9" s="199">
        <v>0</v>
      </c>
      <c r="H9" s="199">
        <v>0</v>
      </c>
      <c r="I9" s="10">
        <v>0</v>
      </c>
      <c r="J9" s="11">
        <v>0</v>
      </c>
      <c r="K9" s="11">
        <v>0</v>
      </c>
      <c r="L9" s="193">
        <v>0</v>
      </c>
      <c r="M9" s="193">
        <v>0</v>
      </c>
      <c r="N9" s="193">
        <v>0</v>
      </c>
      <c r="O9" s="193">
        <v>468.87</v>
      </c>
      <c r="P9" s="193">
        <v>0</v>
      </c>
      <c r="Q9" s="193">
        <v>0</v>
      </c>
      <c r="R9" s="193">
        <v>0</v>
      </c>
      <c r="S9" s="193">
        <v>0</v>
      </c>
      <c r="T9" s="193">
        <v>468.87</v>
      </c>
    </row>
    <row r="10" spans="1:20">
      <c r="A10" s="13">
        <v>6</v>
      </c>
      <c r="B10" s="204" t="s">
        <v>207</v>
      </c>
      <c r="C10" s="205"/>
      <c r="D10" s="198">
        <v>0</v>
      </c>
      <c r="E10" s="198">
        <v>0</v>
      </c>
      <c r="F10" s="198">
        <v>21.91</v>
      </c>
      <c r="G10" s="199">
        <v>0</v>
      </c>
      <c r="H10" s="199">
        <v>0</v>
      </c>
      <c r="I10" s="10">
        <v>0</v>
      </c>
      <c r="J10" s="11">
        <v>0</v>
      </c>
      <c r="K10" s="11">
        <v>0</v>
      </c>
      <c r="L10" s="193">
        <v>0</v>
      </c>
      <c r="M10" s="193">
        <v>0</v>
      </c>
      <c r="N10" s="193">
        <v>0</v>
      </c>
      <c r="O10" s="193">
        <v>468.87</v>
      </c>
      <c r="P10" s="193">
        <v>0</v>
      </c>
      <c r="Q10" s="193">
        <v>0</v>
      </c>
      <c r="R10" s="193">
        <v>0</v>
      </c>
      <c r="S10" s="193">
        <v>0</v>
      </c>
      <c r="T10" s="193">
        <v>468.87</v>
      </c>
    </row>
    <row r="11" spans="1:20">
      <c r="A11" s="13">
        <v>7</v>
      </c>
      <c r="B11" s="204" t="s">
        <v>208</v>
      </c>
      <c r="C11" s="205"/>
      <c r="D11" s="198">
        <v>0</v>
      </c>
      <c r="E11" s="198">
        <v>0</v>
      </c>
      <c r="F11" s="198">
        <v>21.91</v>
      </c>
      <c r="G11" s="199">
        <v>0</v>
      </c>
      <c r="H11" s="199">
        <v>0</v>
      </c>
      <c r="I11" s="10">
        <v>0</v>
      </c>
      <c r="J11" s="11">
        <v>0</v>
      </c>
      <c r="K11" s="11">
        <v>0</v>
      </c>
      <c r="L11" s="193">
        <v>0</v>
      </c>
      <c r="M11" s="193">
        <v>0</v>
      </c>
      <c r="N11" s="193">
        <v>0</v>
      </c>
      <c r="O11" s="193">
        <v>468.87</v>
      </c>
      <c r="P11" s="193">
        <v>0</v>
      </c>
      <c r="Q11" s="193">
        <v>0</v>
      </c>
      <c r="R11" s="193">
        <v>0</v>
      </c>
      <c r="S11" s="193">
        <v>0</v>
      </c>
      <c r="T11" s="193">
        <v>468.87</v>
      </c>
    </row>
    <row r="12" spans="1:20">
      <c r="A12" s="13">
        <v>8</v>
      </c>
      <c r="B12" s="204" t="s">
        <v>209</v>
      </c>
      <c r="C12" s="205"/>
      <c r="D12" s="198">
        <v>0</v>
      </c>
      <c r="E12" s="198">
        <v>0</v>
      </c>
      <c r="F12" s="198">
        <v>21.91</v>
      </c>
      <c r="G12" s="199">
        <v>0</v>
      </c>
      <c r="H12" s="199">
        <v>0</v>
      </c>
      <c r="I12" s="10">
        <v>0</v>
      </c>
      <c r="J12" s="11">
        <v>0</v>
      </c>
      <c r="K12" s="11">
        <v>0</v>
      </c>
      <c r="L12" s="193">
        <v>0</v>
      </c>
      <c r="M12" s="193">
        <v>0</v>
      </c>
      <c r="N12" s="193">
        <v>0</v>
      </c>
      <c r="O12" s="193">
        <v>468.87</v>
      </c>
      <c r="P12" s="193">
        <v>0</v>
      </c>
      <c r="Q12" s="193">
        <v>0</v>
      </c>
      <c r="R12" s="193">
        <v>0</v>
      </c>
      <c r="S12" s="193">
        <v>0</v>
      </c>
      <c r="T12" s="193">
        <v>468.87</v>
      </c>
    </row>
    <row r="13" spans="1:20">
      <c r="A13" s="13">
        <v>9</v>
      </c>
      <c r="B13" s="204" t="s">
        <v>210</v>
      </c>
      <c r="C13" s="205"/>
      <c r="D13" s="198">
        <v>0</v>
      </c>
      <c r="E13" s="198">
        <v>0</v>
      </c>
      <c r="F13" s="198">
        <v>21.91</v>
      </c>
      <c r="G13" s="199">
        <v>0</v>
      </c>
      <c r="H13" s="199">
        <v>0</v>
      </c>
      <c r="I13" s="10">
        <v>0</v>
      </c>
      <c r="J13" s="11">
        <v>0</v>
      </c>
      <c r="K13" s="11">
        <v>0</v>
      </c>
      <c r="L13" s="193">
        <v>0</v>
      </c>
      <c r="M13" s="193">
        <v>0</v>
      </c>
      <c r="N13" s="193">
        <v>0</v>
      </c>
      <c r="O13" s="193">
        <v>468.87</v>
      </c>
      <c r="P13" s="193">
        <v>0</v>
      </c>
      <c r="Q13" s="193">
        <v>0</v>
      </c>
      <c r="R13" s="193">
        <v>0</v>
      </c>
      <c r="S13" s="193">
        <v>0</v>
      </c>
      <c r="T13" s="193">
        <v>468.87</v>
      </c>
    </row>
    <row r="14" spans="1:20">
      <c r="A14" s="13">
        <v>10</v>
      </c>
      <c r="B14" s="204" t="s">
        <v>211</v>
      </c>
      <c r="C14" s="205"/>
      <c r="D14" s="198">
        <v>0</v>
      </c>
      <c r="E14" s="198">
        <v>0</v>
      </c>
      <c r="F14" s="198">
        <v>21.91</v>
      </c>
      <c r="G14" s="199">
        <v>0</v>
      </c>
      <c r="H14" s="199">
        <v>0</v>
      </c>
      <c r="I14" s="10">
        <v>0</v>
      </c>
      <c r="J14" s="11">
        <v>0</v>
      </c>
      <c r="K14" s="11">
        <v>0</v>
      </c>
      <c r="L14" s="193">
        <v>0</v>
      </c>
      <c r="M14" s="193">
        <v>0</v>
      </c>
      <c r="N14" s="193">
        <v>0</v>
      </c>
      <c r="O14" s="193">
        <v>468.87</v>
      </c>
      <c r="P14" s="193">
        <v>0</v>
      </c>
      <c r="Q14" s="193">
        <v>0</v>
      </c>
      <c r="R14" s="193">
        <v>0</v>
      </c>
      <c r="S14" s="193">
        <v>0</v>
      </c>
      <c r="T14" s="193">
        <v>468.87</v>
      </c>
    </row>
    <row r="15" spans="1:20">
      <c r="A15" s="13">
        <v>11</v>
      </c>
      <c r="B15" s="204" t="s">
        <v>212</v>
      </c>
      <c r="C15" s="205"/>
      <c r="D15" s="198">
        <v>0</v>
      </c>
      <c r="E15" s="198">
        <v>0</v>
      </c>
      <c r="F15" s="198">
        <v>21.91</v>
      </c>
      <c r="G15" s="199">
        <v>0</v>
      </c>
      <c r="H15" s="199">
        <v>0</v>
      </c>
      <c r="I15" s="10">
        <v>0</v>
      </c>
      <c r="J15" s="11">
        <v>0</v>
      </c>
      <c r="K15" s="11">
        <v>0</v>
      </c>
      <c r="L15" s="193">
        <v>0</v>
      </c>
      <c r="M15" s="193">
        <v>0</v>
      </c>
      <c r="N15" s="193">
        <v>0</v>
      </c>
      <c r="O15" s="193">
        <v>468.87</v>
      </c>
      <c r="P15" s="193">
        <v>0</v>
      </c>
      <c r="Q15" s="193">
        <v>0</v>
      </c>
      <c r="R15" s="193">
        <v>0</v>
      </c>
      <c r="S15" s="193">
        <v>0</v>
      </c>
      <c r="T15" s="193">
        <v>468.87</v>
      </c>
    </row>
    <row r="16" spans="1:20">
      <c r="A16" s="13">
        <v>12</v>
      </c>
      <c r="B16" s="204" t="s">
        <v>213</v>
      </c>
      <c r="C16" s="205"/>
      <c r="D16" s="198">
        <v>0</v>
      </c>
      <c r="E16" s="198">
        <v>0</v>
      </c>
      <c r="F16" s="198">
        <v>21.91</v>
      </c>
      <c r="G16" s="199">
        <v>0</v>
      </c>
      <c r="H16" s="199">
        <v>0</v>
      </c>
      <c r="I16" s="10">
        <v>0</v>
      </c>
      <c r="J16" s="11">
        <v>0</v>
      </c>
      <c r="K16" s="11">
        <v>0</v>
      </c>
      <c r="L16" s="193">
        <v>0</v>
      </c>
      <c r="M16" s="193">
        <v>0</v>
      </c>
      <c r="N16" s="193">
        <v>0</v>
      </c>
      <c r="O16" s="193">
        <v>468.87</v>
      </c>
      <c r="P16" s="193">
        <v>0</v>
      </c>
      <c r="Q16" s="193">
        <v>0</v>
      </c>
      <c r="R16" s="193">
        <v>0</v>
      </c>
      <c r="S16" s="193">
        <v>0</v>
      </c>
      <c r="T16" s="193">
        <v>468.87</v>
      </c>
    </row>
    <row r="17" spans="1:20">
      <c r="A17" s="13">
        <v>13</v>
      </c>
      <c r="B17" s="204" t="s">
        <v>214</v>
      </c>
      <c r="C17" s="205"/>
      <c r="D17" s="198">
        <v>0</v>
      </c>
      <c r="E17" s="198">
        <v>0</v>
      </c>
      <c r="F17" s="198">
        <v>21.91</v>
      </c>
      <c r="G17" s="199">
        <v>0</v>
      </c>
      <c r="H17" s="199">
        <v>0</v>
      </c>
      <c r="I17" s="10">
        <v>0</v>
      </c>
      <c r="J17" s="11">
        <v>0</v>
      </c>
      <c r="K17" s="11">
        <v>0</v>
      </c>
      <c r="L17" s="193">
        <v>0</v>
      </c>
      <c r="M17" s="193">
        <v>0</v>
      </c>
      <c r="N17" s="193">
        <v>0</v>
      </c>
      <c r="O17" s="193">
        <v>468.87</v>
      </c>
      <c r="P17" s="193">
        <v>0</v>
      </c>
      <c r="Q17" s="193">
        <v>0</v>
      </c>
      <c r="R17" s="193">
        <v>0</v>
      </c>
      <c r="S17" s="193">
        <v>0</v>
      </c>
      <c r="T17" s="193">
        <v>468.87</v>
      </c>
    </row>
    <row r="18" spans="1:20">
      <c r="A18" s="13">
        <v>14</v>
      </c>
      <c r="B18" s="204" t="s">
        <v>215</v>
      </c>
      <c r="C18" s="205"/>
      <c r="D18" s="198">
        <v>0</v>
      </c>
      <c r="E18" s="198">
        <v>0</v>
      </c>
      <c r="F18" s="198">
        <v>21.91</v>
      </c>
      <c r="G18" s="199">
        <v>0</v>
      </c>
      <c r="H18" s="199">
        <v>0</v>
      </c>
      <c r="I18" s="10">
        <v>0</v>
      </c>
      <c r="J18" s="11">
        <v>0</v>
      </c>
      <c r="K18" s="11">
        <v>0</v>
      </c>
      <c r="L18" s="193">
        <v>0</v>
      </c>
      <c r="M18" s="193">
        <v>0</v>
      </c>
      <c r="N18" s="193">
        <v>0</v>
      </c>
      <c r="O18" s="193">
        <v>468.87</v>
      </c>
      <c r="P18" s="193">
        <v>0</v>
      </c>
      <c r="Q18" s="193">
        <v>0</v>
      </c>
      <c r="R18" s="193">
        <v>0</v>
      </c>
      <c r="S18" s="193">
        <v>0</v>
      </c>
      <c r="T18" s="193">
        <v>468.87</v>
      </c>
    </row>
    <row r="19" spans="1:20">
      <c r="A19" s="13">
        <v>15</v>
      </c>
      <c r="B19" s="204" t="s">
        <v>216</v>
      </c>
      <c r="C19" s="205"/>
      <c r="D19" s="198">
        <v>0</v>
      </c>
      <c r="E19" s="198">
        <v>0</v>
      </c>
      <c r="F19" s="198">
        <v>21.91</v>
      </c>
      <c r="G19" s="199">
        <v>0</v>
      </c>
      <c r="H19" s="199">
        <v>0</v>
      </c>
      <c r="I19" s="10">
        <v>0</v>
      </c>
      <c r="J19" s="11">
        <v>0</v>
      </c>
      <c r="K19" s="11">
        <v>0</v>
      </c>
      <c r="L19" s="193">
        <v>0</v>
      </c>
      <c r="M19" s="193">
        <v>0</v>
      </c>
      <c r="N19" s="193">
        <v>0</v>
      </c>
      <c r="O19" s="193">
        <v>468.87</v>
      </c>
      <c r="P19" s="193">
        <v>0</v>
      </c>
      <c r="Q19" s="193">
        <v>0</v>
      </c>
      <c r="R19" s="193">
        <v>0</v>
      </c>
      <c r="S19" s="193">
        <v>0</v>
      </c>
      <c r="T19" s="193">
        <v>468.87</v>
      </c>
    </row>
    <row r="20" spans="1:20">
      <c r="A20" s="13">
        <v>16</v>
      </c>
      <c r="B20" s="204" t="s">
        <v>217</v>
      </c>
      <c r="C20" s="205"/>
      <c r="D20" s="198">
        <v>0</v>
      </c>
      <c r="E20" s="198">
        <v>0</v>
      </c>
      <c r="F20" s="198">
        <v>21.91</v>
      </c>
      <c r="G20" s="199">
        <v>0</v>
      </c>
      <c r="H20" s="199">
        <v>0</v>
      </c>
      <c r="I20" s="10">
        <v>0</v>
      </c>
      <c r="J20" s="11">
        <v>0</v>
      </c>
      <c r="K20" s="11">
        <v>0</v>
      </c>
      <c r="L20" s="193">
        <v>0</v>
      </c>
      <c r="M20" s="193">
        <v>0</v>
      </c>
      <c r="N20" s="193">
        <v>0</v>
      </c>
      <c r="O20" s="193">
        <v>468.87</v>
      </c>
      <c r="P20" s="193">
        <v>0</v>
      </c>
      <c r="Q20" s="193">
        <v>0</v>
      </c>
      <c r="R20" s="193">
        <v>0</v>
      </c>
      <c r="S20" s="193">
        <v>0</v>
      </c>
      <c r="T20" s="193">
        <v>468.87</v>
      </c>
    </row>
    <row r="21" spans="1:20">
      <c r="A21" s="13">
        <v>17</v>
      </c>
      <c r="B21" s="204" t="s">
        <v>218</v>
      </c>
      <c r="C21" s="205"/>
      <c r="D21" s="198">
        <v>0</v>
      </c>
      <c r="E21" s="198">
        <v>0</v>
      </c>
      <c r="F21" s="198">
        <v>21.91</v>
      </c>
      <c r="G21" s="199">
        <v>0</v>
      </c>
      <c r="H21" s="199">
        <v>0</v>
      </c>
      <c r="I21" s="10">
        <v>0</v>
      </c>
      <c r="J21" s="11">
        <v>0</v>
      </c>
      <c r="K21" s="11">
        <v>0</v>
      </c>
      <c r="L21" s="193">
        <v>0</v>
      </c>
      <c r="M21" s="193">
        <v>0</v>
      </c>
      <c r="N21" s="193">
        <v>0</v>
      </c>
      <c r="O21" s="193">
        <v>468.87</v>
      </c>
      <c r="P21" s="193">
        <v>0</v>
      </c>
      <c r="Q21" s="193">
        <v>0</v>
      </c>
      <c r="R21" s="193">
        <v>0</v>
      </c>
      <c r="S21" s="193">
        <v>0</v>
      </c>
      <c r="T21" s="193">
        <v>468.87</v>
      </c>
    </row>
    <row r="22" spans="1:20">
      <c r="A22" s="13">
        <v>18</v>
      </c>
      <c r="B22" s="204" t="s">
        <v>219</v>
      </c>
      <c r="C22" s="205"/>
      <c r="D22" s="198">
        <v>0</v>
      </c>
      <c r="E22" s="198">
        <v>0</v>
      </c>
      <c r="F22" s="198">
        <v>21.91</v>
      </c>
      <c r="G22" s="199">
        <v>0</v>
      </c>
      <c r="H22" s="199">
        <v>0</v>
      </c>
      <c r="I22" s="10">
        <v>0</v>
      </c>
      <c r="J22" s="11">
        <v>0</v>
      </c>
      <c r="K22" s="11">
        <v>0</v>
      </c>
      <c r="L22" s="193">
        <v>0</v>
      </c>
      <c r="M22" s="193">
        <v>0</v>
      </c>
      <c r="N22" s="193">
        <v>0</v>
      </c>
      <c r="O22" s="193">
        <v>468.87</v>
      </c>
      <c r="P22" s="193">
        <v>0</v>
      </c>
      <c r="Q22" s="193">
        <v>0</v>
      </c>
      <c r="R22" s="193">
        <v>0</v>
      </c>
      <c r="S22" s="193">
        <v>0</v>
      </c>
      <c r="T22" s="193">
        <v>468.87</v>
      </c>
    </row>
    <row r="23" spans="1:20">
      <c r="A23" s="13">
        <v>19</v>
      </c>
      <c r="B23" s="204" t="s">
        <v>220</v>
      </c>
      <c r="C23" s="205"/>
      <c r="D23" s="198">
        <v>0</v>
      </c>
      <c r="E23" s="198">
        <v>0</v>
      </c>
      <c r="F23" s="198">
        <v>21.91</v>
      </c>
      <c r="G23" s="199">
        <v>0</v>
      </c>
      <c r="H23" s="199">
        <v>0</v>
      </c>
      <c r="I23" s="10">
        <v>0</v>
      </c>
      <c r="J23" s="11">
        <v>0</v>
      </c>
      <c r="K23" s="11">
        <v>0</v>
      </c>
      <c r="L23" s="193">
        <v>0</v>
      </c>
      <c r="M23" s="193">
        <v>0</v>
      </c>
      <c r="N23" s="193">
        <v>0</v>
      </c>
      <c r="O23" s="193">
        <v>468.87</v>
      </c>
      <c r="P23" s="193">
        <v>0</v>
      </c>
      <c r="Q23" s="193">
        <v>0</v>
      </c>
      <c r="R23" s="193">
        <v>0</v>
      </c>
      <c r="S23" s="193">
        <v>0</v>
      </c>
      <c r="T23" s="193">
        <v>468.87</v>
      </c>
    </row>
    <row r="24" spans="1:20">
      <c r="A24" s="13">
        <v>20</v>
      </c>
      <c r="B24" s="204" t="s">
        <v>221</v>
      </c>
      <c r="C24" s="205"/>
      <c r="D24" s="198">
        <v>0</v>
      </c>
      <c r="E24" s="198">
        <v>0</v>
      </c>
      <c r="F24" s="198">
        <v>21.91</v>
      </c>
      <c r="G24" s="199">
        <v>0</v>
      </c>
      <c r="H24" s="199">
        <v>0</v>
      </c>
      <c r="I24" s="10">
        <v>0</v>
      </c>
      <c r="J24" s="11">
        <v>0</v>
      </c>
      <c r="K24" s="11">
        <v>0</v>
      </c>
      <c r="L24" s="193">
        <v>0</v>
      </c>
      <c r="M24" s="193">
        <v>0</v>
      </c>
      <c r="N24" s="193">
        <v>0</v>
      </c>
      <c r="O24" s="193">
        <v>468.87</v>
      </c>
      <c r="P24" s="193">
        <v>0</v>
      </c>
      <c r="Q24" s="193">
        <v>0</v>
      </c>
      <c r="R24" s="193">
        <v>0</v>
      </c>
      <c r="S24" s="193">
        <v>0</v>
      </c>
      <c r="T24" s="193">
        <v>468.87</v>
      </c>
    </row>
    <row r="25" spans="1:20">
      <c r="A25" s="13">
        <v>21</v>
      </c>
      <c r="B25" s="204" t="s">
        <v>222</v>
      </c>
      <c r="C25" s="205"/>
      <c r="D25" s="198">
        <v>0</v>
      </c>
      <c r="E25" s="198">
        <v>0</v>
      </c>
      <c r="F25" s="198">
        <v>21.91</v>
      </c>
      <c r="G25" s="199">
        <v>0</v>
      </c>
      <c r="H25" s="199">
        <v>0</v>
      </c>
      <c r="I25" s="10">
        <v>0</v>
      </c>
      <c r="J25" s="11">
        <v>0</v>
      </c>
      <c r="K25" s="11">
        <v>0</v>
      </c>
      <c r="L25" s="193">
        <v>0</v>
      </c>
      <c r="M25" s="193">
        <v>0</v>
      </c>
      <c r="N25" s="193">
        <v>0</v>
      </c>
      <c r="O25" s="193">
        <v>468.87</v>
      </c>
      <c r="P25" s="193">
        <v>0</v>
      </c>
      <c r="Q25" s="193">
        <v>0</v>
      </c>
      <c r="R25" s="193">
        <v>0</v>
      </c>
      <c r="S25" s="193">
        <v>0</v>
      </c>
      <c r="T25" s="193">
        <v>468.87</v>
      </c>
    </row>
    <row r="26" spans="1:20">
      <c r="A26" s="13">
        <v>22</v>
      </c>
      <c r="B26" s="204" t="s">
        <v>223</v>
      </c>
      <c r="C26" s="205"/>
      <c r="D26" s="198">
        <v>0</v>
      </c>
      <c r="E26" s="198">
        <v>0</v>
      </c>
      <c r="F26" s="198">
        <v>21.91</v>
      </c>
      <c r="G26" s="199">
        <v>0</v>
      </c>
      <c r="H26" s="199">
        <v>0</v>
      </c>
      <c r="I26" s="10">
        <v>0</v>
      </c>
      <c r="J26" s="11">
        <v>0</v>
      </c>
      <c r="K26" s="11">
        <v>0</v>
      </c>
      <c r="L26" s="193">
        <v>0</v>
      </c>
      <c r="M26" s="193">
        <v>0</v>
      </c>
      <c r="N26" s="193">
        <v>0</v>
      </c>
      <c r="O26" s="193">
        <v>468.87</v>
      </c>
      <c r="P26" s="193">
        <v>0</v>
      </c>
      <c r="Q26" s="193">
        <v>0</v>
      </c>
      <c r="R26" s="193">
        <v>0</v>
      </c>
      <c r="S26" s="193">
        <v>0</v>
      </c>
      <c r="T26" s="193">
        <v>468.87</v>
      </c>
    </row>
    <row r="27" spans="1:20">
      <c r="A27" s="13">
        <v>23</v>
      </c>
      <c r="B27" s="204" t="s">
        <v>224</v>
      </c>
      <c r="C27" s="205"/>
      <c r="D27" s="198">
        <v>0</v>
      </c>
      <c r="E27" s="198">
        <v>0</v>
      </c>
      <c r="F27" s="198">
        <v>21.91</v>
      </c>
      <c r="G27" s="199">
        <v>0</v>
      </c>
      <c r="H27" s="199">
        <v>0</v>
      </c>
      <c r="I27" s="10">
        <v>0</v>
      </c>
      <c r="J27" s="11">
        <v>0</v>
      </c>
      <c r="K27" s="11">
        <v>0</v>
      </c>
      <c r="L27" s="193">
        <v>0</v>
      </c>
      <c r="M27" s="193">
        <v>0</v>
      </c>
      <c r="N27" s="193">
        <v>0</v>
      </c>
      <c r="O27" s="193">
        <v>468.87</v>
      </c>
      <c r="P27" s="193">
        <v>0</v>
      </c>
      <c r="Q27" s="193">
        <v>0</v>
      </c>
      <c r="R27" s="193">
        <v>0</v>
      </c>
      <c r="S27" s="193">
        <v>0</v>
      </c>
      <c r="T27" s="193">
        <v>468.87</v>
      </c>
    </row>
    <row r="28" spans="1:20">
      <c r="A28" s="13">
        <v>24</v>
      </c>
      <c r="B28" s="204" t="s">
        <v>225</v>
      </c>
      <c r="C28" s="205"/>
      <c r="D28" s="198">
        <v>0</v>
      </c>
      <c r="E28" s="198">
        <v>0</v>
      </c>
      <c r="F28" s="198">
        <v>21.91</v>
      </c>
      <c r="G28" s="199">
        <v>0</v>
      </c>
      <c r="H28" s="199">
        <v>0</v>
      </c>
      <c r="I28" s="10">
        <v>0</v>
      </c>
      <c r="J28" s="11">
        <v>0</v>
      </c>
      <c r="K28" s="11">
        <v>0</v>
      </c>
      <c r="L28" s="193">
        <v>0</v>
      </c>
      <c r="M28" s="193">
        <v>0</v>
      </c>
      <c r="N28" s="193">
        <v>0</v>
      </c>
      <c r="O28" s="193">
        <v>468.87</v>
      </c>
      <c r="P28" s="193">
        <v>0</v>
      </c>
      <c r="Q28" s="193">
        <v>0</v>
      </c>
      <c r="R28" s="193">
        <v>0</v>
      </c>
      <c r="S28" s="193">
        <v>0</v>
      </c>
      <c r="T28" s="193">
        <v>468.87</v>
      </c>
    </row>
    <row r="29" spans="1:20">
      <c r="A29" s="13">
        <v>25</v>
      </c>
      <c r="B29" s="204" t="s">
        <v>226</v>
      </c>
      <c r="C29" s="205"/>
      <c r="D29" s="198">
        <v>0</v>
      </c>
      <c r="E29" s="198">
        <v>0</v>
      </c>
      <c r="F29" s="198">
        <v>21.91</v>
      </c>
      <c r="G29" s="199">
        <v>0</v>
      </c>
      <c r="H29" s="199">
        <v>0</v>
      </c>
      <c r="I29" s="10">
        <v>0</v>
      </c>
      <c r="J29" s="11">
        <v>0</v>
      </c>
      <c r="K29" s="11">
        <v>0</v>
      </c>
      <c r="L29" s="193">
        <v>0</v>
      </c>
      <c r="M29" s="193">
        <v>0</v>
      </c>
      <c r="N29" s="193">
        <v>0</v>
      </c>
      <c r="O29" s="193">
        <v>468.87</v>
      </c>
      <c r="P29" s="193">
        <v>0</v>
      </c>
      <c r="Q29" s="193">
        <v>0</v>
      </c>
      <c r="R29" s="193">
        <v>0</v>
      </c>
      <c r="S29" s="193">
        <v>0</v>
      </c>
      <c r="T29" s="193">
        <v>468.87</v>
      </c>
    </row>
    <row r="30" spans="1:20">
      <c r="A30" s="13">
        <v>26</v>
      </c>
      <c r="B30" s="204" t="s">
        <v>227</v>
      </c>
      <c r="C30" s="205"/>
      <c r="D30" s="198">
        <v>0</v>
      </c>
      <c r="E30" s="198">
        <v>0</v>
      </c>
      <c r="F30" s="198">
        <v>21.91</v>
      </c>
      <c r="G30" s="199">
        <v>0</v>
      </c>
      <c r="H30" s="199">
        <v>0</v>
      </c>
      <c r="I30" s="10">
        <v>0</v>
      </c>
      <c r="J30" s="11">
        <v>0</v>
      </c>
      <c r="K30" s="11">
        <v>0</v>
      </c>
      <c r="L30" s="193">
        <v>0</v>
      </c>
      <c r="M30" s="193">
        <v>0</v>
      </c>
      <c r="N30" s="193">
        <v>0</v>
      </c>
      <c r="O30" s="193">
        <v>468.87</v>
      </c>
      <c r="P30" s="193">
        <v>0</v>
      </c>
      <c r="Q30" s="193">
        <v>0</v>
      </c>
      <c r="R30" s="193">
        <v>0</v>
      </c>
      <c r="S30" s="193">
        <v>0</v>
      </c>
      <c r="T30" s="193">
        <v>468.87</v>
      </c>
    </row>
    <row r="31" spans="1:20">
      <c r="A31" s="13">
        <v>27</v>
      </c>
      <c r="B31" s="204" t="s">
        <v>228</v>
      </c>
      <c r="C31" s="205"/>
      <c r="D31" s="198">
        <v>0</v>
      </c>
      <c r="E31" s="198">
        <v>0</v>
      </c>
      <c r="F31" s="198">
        <v>21.91</v>
      </c>
      <c r="G31" s="199">
        <v>0</v>
      </c>
      <c r="H31" s="199">
        <v>0</v>
      </c>
      <c r="I31" s="10">
        <v>0</v>
      </c>
      <c r="J31" s="11">
        <v>0</v>
      </c>
      <c r="K31" s="11">
        <v>0</v>
      </c>
      <c r="L31" s="193">
        <v>0</v>
      </c>
      <c r="M31" s="193">
        <v>0</v>
      </c>
      <c r="N31" s="193">
        <v>0</v>
      </c>
      <c r="O31" s="193">
        <v>468.87</v>
      </c>
      <c r="P31" s="193">
        <v>0</v>
      </c>
      <c r="Q31" s="193">
        <v>0</v>
      </c>
      <c r="R31" s="193">
        <v>0</v>
      </c>
      <c r="S31" s="193">
        <v>0</v>
      </c>
      <c r="T31" s="193">
        <v>468.87</v>
      </c>
    </row>
    <row r="32" spans="1:20">
      <c r="A32" s="13">
        <v>28</v>
      </c>
      <c r="B32" s="204" t="s">
        <v>229</v>
      </c>
      <c r="C32" s="205"/>
      <c r="D32" s="198">
        <v>0</v>
      </c>
      <c r="E32" s="198">
        <v>0</v>
      </c>
      <c r="F32" s="198">
        <v>21.91</v>
      </c>
      <c r="G32" s="199">
        <v>0</v>
      </c>
      <c r="H32" s="199">
        <v>0</v>
      </c>
      <c r="I32" s="10">
        <v>0</v>
      </c>
      <c r="J32" s="11">
        <v>0</v>
      </c>
      <c r="K32" s="11">
        <v>0</v>
      </c>
      <c r="L32" s="193">
        <v>0</v>
      </c>
      <c r="M32" s="193">
        <v>0</v>
      </c>
      <c r="N32" s="193">
        <v>0</v>
      </c>
      <c r="O32" s="193">
        <v>468.87</v>
      </c>
      <c r="P32" s="193">
        <v>0</v>
      </c>
      <c r="Q32" s="193">
        <v>0</v>
      </c>
      <c r="R32" s="193">
        <v>0</v>
      </c>
      <c r="S32" s="193">
        <v>0</v>
      </c>
      <c r="T32" s="193">
        <v>468.87</v>
      </c>
    </row>
    <row r="33" spans="1:20">
      <c r="A33" s="13">
        <v>29</v>
      </c>
      <c r="B33" s="204" t="s">
        <v>230</v>
      </c>
      <c r="C33" s="205"/>
      <c r="D33" s="198">
        <v>0</v>
      </c>
      <c r="E33" s="198">
        <v>0</v>
      </c>
      <c r="F33" s="198">
        <v>21.91</v>
      </c>
      <c r="G33" s="199">
        <v>0</v>
      </c>
      <c r="H33" s="199">
        <v>0</v>
      </c>
      <c r="I33" s="10">
        <v>0</v>
      </c>
      <c r="J33" s="11">
        <v>0</v>
      </c>
      <c r="K33" s="11">
        <v>0</v>
      </c>
      <c r="L33" s="193">
        <v>0</v>
      </c>
      <c r="M33" s="193">
        <v>0</v>
      </c>
      <c r="N33" s="193">
        <v>0</v>
      </c>
      <c r="O33" s="193">
        <v>468.87</v>
      </c>
      <c r="P33" s="193">
        <v>0</v>
      </c>
      <c r="Q33" s="193">
        <v>0</v>
      </c>
      <c r="R33" s="193">
        <v>0</v>
      </c>
      <c r="S33" s="193">
        <v>0</v>
      </c>
      <c r="T33" s="193">
        <v>468.87</v>
      </c>
    </row>
    <row r="34" spans="1:20">
      <c r="A34" s="13">
        <v>30</v>
      </c>
      <c r="B34" s="204" t="s">
        <v>231</v>
      </c>
      <c r="C34" s="205"/>
      <c r="D34" s="198">
        <v>0</v>
      </c>
      <c r="E34" s="198">
        <v>0</v>
      </c>
      <c r="F34" s="198">
        <v>21.91</v>
      </c>
      <c r="G34" s="199">
        <v>0</v>
      </c>
      <c r="H34" s="199">
        <v>0</v>
      </c>
      <c r="I34" s="10">
        <v>0</v>
      </c>
      <c r="J34" s="11">
        <v>0</v>
      </c>
      <c r="K34" s="11">
        <v>0</v>
      </c>
      <c r="L34" s="193">
        <v>0</v>
      </c>
      <c r="M34" s="193">
        <v>0</v>
      </c>
      <c r="N34" s="193">
        <v>0</v>
      </c>
      <c r="O34" s="193">
        <v>468.87</v>
      </c>
      <c r="P34" s="193">
        <v>0</v>
      </c>
      <c r="Q34" s="193">
        <v>0</v>
      </c>
      <c r="R34" s="193">
        <v>0</v>
      </c>
      <c r="S34" s="193">
        <v>0</v>
      </c>
      <c r="T34" s="193">
        <v>468.87</v>
      </c>
    </row>
    <row r="35" spans="1:20">
      <c r="A35" s="13">
        <v>31</v>
      </c>
      <c r="B35" s="204" t="s">
        <v>232</v>
      </c>
      <c r="C35" s="205"/>
      <c r="D35" s="198">
        <v>0</v>
      </c>
      <c r="E35" s="198">
        <v>0</v>
      </c>
      <c r="F35" s="198">
        <v>21.91</v>
      </c>
      <c r="G35" s="199">
        <v>0</v>
      </c>
      <c r="H35" s="199">
        <v>0</v>
      </c>
      <c r="I35" s="10">
        <v>0</v>
      </c>
      <c r="J35" s="11">
        <v>0</v>
      </c>
      <c r="K35" s="11">
        <v>0</v>
      </c>
      <c r="L35" s="193">
        <v>0</v>
      </c>
      <c r="M35" s="193">
        <v>0</v>
      </c>
      <c r="N35" s="193">
        <v>0</v>
      </c>
      <c r="O35" s="193">
        <v>468.87</v>
      </c>
      <c r="P35" s="193">
        <v>0</v>
      </c>
      <c r="Q35" s="193">
        <v>0</v>
      </c>
      <c r="R35" s="193">
        <v>0</v>
      </c>
      <c r="S35" s="193">
        <v>0</v>
      </c>
      <c r="T35" s="193">
        <v>468.87</v>
      </c>
    </row>
    <row r="36" spans="1:20">
      <c r="D36" s="19">
        <v>0</v>
      </c>
      <c r="E36" s="19">
        <v>0</v>
      </c>
      <c r="F36" s="19">
        <v>679.21</v>
      </c>
      <c r="G36" s="19">
        <v>0</v>
      </c>
      <c r="H36" s="19">
        <v>0</v>
      </c>
      <c r="I36" s="19">
        <v>0</v>
      </c>
      <c r="J36" s="20">
        <v>0</v>
      </c>
      <c r="K36" s="20">
        <v>0</v>
      </c>
      <c r="L36" s="194">
        <v>0</v>
      </c>
      <c r="M36" s="194">
        <v>0</v>
      </c>
      <c r="N36" s="194">
        <v>0</v>
      </c>
      <c r="O36" s="194">
        <v>14535.09</v>
      </c>
      <c r="P36" s="194">
        <v>0</v>
      </c>
      <c r="Q36" s="194">
        <v>0</v>
      </c>
      <c r="R36" s="194">
        <v>0</v>
      </c>
      <c r="S36" s="194">
        <v>0</v>
      </c>
      <c r="T36" s="194">
        <v>14535.09</v>
      </c>
    </row>
    <row r="37" spans="1:20">
      <c r="R37" s="22"/>
      <c r="S37" s="22"/>
      <c r="T37" s="195">
        <v>17442.11</v>
      </c>
    </row>
  </sheetData>
  <mergeCells count="50">
    <mergeCell ref="B8:C8"/>
    <mergeCell ref="B9:C9"/>
    <mergeCell ref="B10:C10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  <mergeCell ref="B7:C7"/>
    <mergeCell ref="L3:L4"/>
    <mergeCell ref="M3:M4"/>
    <mergeCell ref="N3:N4"/>
    <mergeCell ref="O3:O4"/>
    <mergeCell ref="R3:R4"/>
    <mergeCell ref="S3:S4"/>
    <mergeCell ref="T3:T4"/>
    <mergeCell ref="B5:C5"/>
    <mergeCell ref="B6:C6"/>
    <mergeCell ref="P3:P4"/>
    <mergeCell ref="Q3:Q4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13:C13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</mergeCells>
  <pageMargins left="0.7" right="0.7" top="0.75" bottom="0.75" header="0.3" footer="0.3"/>
  <pageSetup paperSize="9" fitToHeight="5" orientation="landscape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DCA20-867D-47C7-855D-944D7C28D085}">
  <sheetPr codeName="Лист54">
    <pageSetUpPr fitToPage="1"/>
  </sheetPr>
  <dimension ref="A1:T37"/>
  <sheetViews>
    <sheetView topLeftCell="A7" workbookViewId="0">
      <selection activeCell="K5" sqref="K5:K35"/>
    </sheetView>
  </sheetViews>
  <sheetFormatPr defaultRowHeight="15"/>
  <cols>
    <col min="1" max="3" width="8.796875" style="2"/>
    <col min="4" max="4" width="8.296875" style="2" customWidth="1"/>
    <col min="5" max="5" width="8.59765625" style="2" customWidth="1"/>
    <col min="6" max="6" width="9.19921875" style="2" customWidth="1"/>
    <col min="7" max="7" width="8" style="2" customWidth="1"/>
    <col min="8" max="8" width="7.5" style="2" customWidth="1"/>
    <col min="9" max="9" width="7.3984375" style="2" bestFit="1" customWidth="1"/>
    <col min="10" max="12" width="8.796875" style="2"/>
    <col min="13" max="13" width="9.19921875" style="2" customWidth="1"/>
    <col min="14" max="14" width="9.5" style="2" customWidth="1"/>
    <col min="15" max="15" width="10.19921875" style="2" customWidth="1"/>
    <col min="16" max="16" width="10.19921875" style="2" bestFit="1" customWidth="1"/>
    <col min="17" max="17" width="10.5" style="2" customWidth="1"/>
    <col min="18" max="18" width="9.296875" style="2" customWidth="1"/>
    <col min="19" max="19" width="8.19921875" style="2" customWidth="1"/>
    <col min="20" max="20" width="17" style="2" customWidth="1"/>
    <col min="21" max="16384" width="8.796875" style="2"/>
  </cols>
  <sheetData>
    <row r="1" spans="1:20">
      <c r="I1" s="3"/>
    </row>
    <row r="2" spans="1:20" ht="28.9" customHeight="1">
      <c r="A2" s="209" t="s">
        <v>279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</row>
    <row r="3" spans="1:20" ht="28.9" customHeight="1">
      <c r="A3" s="206" t="s">
        <v>0</v>
      </c>
      <c r="B3" s="210" t="s">
        <v>1</v>
      </c>
      <c r="C3" s="211"/>
      <c r="D3" s="206" t="s">
        <v>2</v>
      </c>
      <c r="E3" s="206" t="s">
        <v>3</v>
      </c>
      <c r="F3" s="4" t="s">
        <v>4</v>
      </c>
      <c r="G3" s="206" t="s">
        <v>277</v>
      </c>
      <c r="H3" s="206" t="s">
        <v>278</v>
      </c>
      <c r="I3" s="206" t="s">
        <v>7</v>
      </c>
      <c r="J3" s="206" t="s">
        <v>8</v>
      </c>
      <c r="K3" s="206" t="s">
        <v>200</v>
      </c>
      <c r="L3" s="206" t="s">
        <v>241</v>
      </c>
      <c r="M3" s="206" t="s">
        <v>11</v>
      </c>
      <c r="N3" s="206" t="s">
        <v>12</v>
      </c>
      <c r="O3" s="206" t="s">
        <v>13</v>
      </c>
      <c r="P3" s="206" t="s">
        <v>14</v>
      </c>
      <c r="Q3" s="206" t="s">
        <v>15</v>
      </c>
      <c r="R3" s="206" t="s">
        <v>16</v>
      </c>
      <c r="S3" s="206" t="s">
        <v>17</v>
      </c>
      <c r="T3" s="206" t="s">
        <v>18</v>
      </c>
    </row>
    <row r="4" spans="1:20">
      <c r="A4" s="207"/>
      <c r="B4" s="212"/>
      <c r="C4" s="213"/>
      <c r="D4" s="207"/>
      <c r="E4" s="207"/>
      <c r="F4" s="5"/>
      <c r="G4" s="207"/>
      <c r="H4" s="207"/>
      <c r="I4" s="207"/>
      <c r="J4" s="207"/>
      <c r="K4" s="208"/>
      <c r="L4" s="208"/>
      <c r="M4" s="207"/>
      <c r="N4" s="207"/>
      <c r="O4" s="207"/>
      <c r="P4" s="207"/>
      <c r="Q4" s="207"/>
      <c r="R4" s="207"/>
      <c r="S4" s="207"/>
      <c r="T4" s="207"/>
    </row>
    <row r="5" spans="1:20">
      <c r="A5" s="13">
        <v>1</v>
      </c>
      <c r="B5" s="204" t="s">
        <v>202</v>
      </c>
      <c r="C5" s="205"/>
      <c r="D5" s="198">
        <v>0</v>
      </c>
      <c r="E5" s="198">
        <v>0</v>
      </c>
      <c r="F5" s="198">
        <v>3743.7890000000002</v>
      </c>
      <c r="G5" s="199">
        <v>256.21099999999979</v>
      </c>
      <c r="H5" s="199">
        <v>600</v>
      </c>
      <c r="I5" s="10">
        <v>0</v>
      </c>
      <c r="J5" s="11">
        <v>0</v>
      </c>
      <c r="K5" s="11">
        <v>0</v>
      </c>
      <c r="L5" s="193">
        <v>0</v>
      </c>
      <c r="M5" s="193">
        <v>0</v>
      </c>
      <c r="N5" s="193">
        <v>0</v>
      </c>
      <c r="O5" s="193">
        <v>80117.08</v>
      </c>
      <c r="P5" s="193">
        <v>5482.92</v>
      </c>
      <c r="Q5" s="193">
        <v>68220</v>
      </c>
      <c r="R5" s="193">
        <v>0</v>
      </c>
      <c r="S5" s="193">
        <v>0</v>
      </c>
      <c r="T5" s="193">
        <v>153820</v>
      </c>
    </row>
    <row r="6" spans="1:20">
      <c r="A6" s="13">
        <v>2</v>
      </c>
      <c r="B6" s="204" t="s">
        <v>203</v>
      </c>
      <c r="C6" s="205"/>
      <c r="D6" s="198">
        <v>0</v>
      </c>
      <c r="E6" s="198">
        <v>44</v>
      </c>
      <c r="F6" s="198">
        <v>3699.7890000000002</v>
      </c>
      <c r="G6" s="199">
        <v>300.21099999999979</v>
      </c>
      <c r="H6" s="199">
        <v>556</v>
      </c>
      <c r="I6" s="10">
        <v>0</v>
      </c>
      <c r="J6" s="11">
        <v>0</v>
      </c>
      <c r="K6" s="11">
        <v>0</v>
      </c>
      <c r="L6" s="193">
        <v>0</v>
      </c>
      <c r="M6" s="193">
        <v>0</v>
      </c>
      <c r="N6" s="193">
        <v>5002.8</v>
      </c>
      <c r="O6" s="193">
        <v>79175.48</v>
      </c>
      <c r="P6" s="193">
        <v>6424.52</v>
      </c>
      <c r="Q6" s="193">
        <v>63217.2</v>
      </c>
      <c r="R6" s="193">
        <v>0</v>
      </c>
      <c r="S6" s="193">
        <v>0</v>
      </c>
      <c r="T6" s="193">
        <v>153820</v>
      </c>
    </row>
    <row r="7" spans="1:20">
      <c r="A7" s="13">
        <v>3</v>
      </c>
      <c r="B7" s="204" t="s">
        <v>204</v>
      </c>
      <c r="C7" s="205"/>
      <c r="D7" s="198">
        <v>0</v>
      </c>
      <c r="E7" s="198">
        <v>70.125</v>
      </c>
      <c r="F7" s="198">
        <v>3629.6640000000002</v>
      </c>
      <c r="G7" s="199">
        <v>370.33599999999979</v>
      </c>
      <c r="H7" s="199">
        <v>529.875</v>
      </c>
      <c r="I7" s="10">
        <v>0</v>
      </c>
      <c r="J7" s="11">
        <v>0</v>
      </c>
      <c r="K7" s="11">
        <v>0</v>
      </c>
      <c r="L7" s="193">
        <v>0</v>
      </c>
      <c r="M7" s="193">
        <v>0</v>
      </c>
      <c r="N7" s="193">
        <v>7973.21</v>
      </c>
      <c r="O7" s="193">
        <v>77674.81</v>
      </c>
      <c r="P7" s="193">
        <v>7925.19</v>
      </c>
      <c r="Q7" s="193">
        <v>60246.79</v>
      </c>
      <c r="R7" s="193">
        <v>0</v>
      </c>
      <c r="S7" s="193">
        <v>0</v>
      </c>
      <c r="T7" s="193">
        <v>153820</v>
      </c>
    </row>
    <row r="8" spans="1:20">
      <c r="A8" s="13">
        <v>4</v>
      </c>
      <c r="B8" s="204" t="s">
        <v>205</v>
      </c>
      <c r="C8" s="205"/>
      <c r="D8" s="198">
        <v>0</v>
      </c>
      <c r="E8" s="198">
        <v>0</v>
      </c>
      <c r="F8" s="198">
        <v>3629.6640000000002</v>
      </c>
      <c r="G8" s="199">
        <v>370.33599999999979</v>
      </c>
      <c r="H8" s="199">
        <v>600</v>
      </c>
      <c r="I8" s="10">
        <v>0</v>
      </c>
      <c r="J8" s="11">
        <v>0</v>
      </c>
      <c r="K8" s="11">
        <v>0</v>
      </c>
      <c r="L8" s="193">
        <v>0</v>
      </c>
      <c r="M8" s="193">
        <v>0</v>
      </c>
      <c r="N8" s="193">
        <v>0</v>
      </c>
      <c r="O8" s="193">
        <v>77674.81</v>
      </c>
      <c r="P8" s="193">
        <v>7925.19</v>
      </c>
      <c r="Q8" s="193">
        <v>68220</v>
      </c>
      <c r="R8" s="193">
        <v>0</v>
      </c>
      <c r="S8" s="193">
        <v>0</v>
      </c>
      <c r="T8" s="193">
        <v>153820</v>
      </c>
    </row>
    <row r="9" spans="1:20">
      <c r="A9" s="13">
        <v>5</v>
      </c>
      <c r="B9" s="204" t="s">
        <v>206</v>
      </c>
      <c r="C9" s="205"/>
      <c r="D9" s="198">
        <v>0</v>
      </c>
      <c r="E9" s="198">
        <v>100</v>
      </c>
      <c r="F9" s="198">
        <v>3529.6640000000002</v>
      </c>
      <c r="G9" s="199">
        <v>470.33599999999979</v>
      </c>
      <c r="H9" s="199">
        <v>500</v>
      </c>
      <c r="I9" s="10">
        <v>0</v>
      </c>
      <c r="J9" s="11">
        <v>0</v>
      </c>
      <c r="K9" s="11">
        <v>0</v>
      </c>
      <c r="L9" s="193">
        <v>0</v>
      </c>
      <c r="M9" s="193">
        <v>0</v>
      </c>
      <c r="N9" s="193">
        <v>11370</v>
      </c>
      <c r="O9" s="193">
        <v>75534.81</v>
      </c>
      <c r="P9" s="193">
        <v>10065.19</v>
      </c>
      <c r="Q9" s="193">
        <v>56850</v>
      </c>
      <c r="R9" s="193">
        <v>0</v>
      </c>
      <c r="S9" s="193">
        <v>0</v>
      </c>
      <c r="T9" s="193">
        <v>153820</v>
      </c>
    </row>
    <row r="10" spans="1:20">
      <c r="A10" s="13">
        <v>6</v>
      </c>
      <c r="B10" s="204" t="s">
        <v>207</v>
      </c>
      <c r="C10" s="205"/>
      <c r="D10" s="198">
        <v>0</v>
      </c>
      <c r="E10" s="198">
        <v>0</v>
      </c>
      <c r="F10" s="198">
        <v>3529.6640000000002</v>
      </c>
      <c r="G10" s="199">
        <v>470.33599999999979</v>
      </c>
      <c r="H10" s="199">
        <v>600</v>
      </c>
      <c r="I10" s="10">
        <v>0</v>
      </c>
      <c r="J10" s="11">
        <v>0</v>
      </c>
      <c r="K10" s="11">
        <v>0</v>
      </c>
      <c r="L10" s="193">
        <v>0</v>
      </c>
      <c r="M10" s="193">
        <v>0</v>
      </c>
      <c r="N10" s="193">
        <v>0</v>
      </c>
      <c r="O10" s="193">
        <v>75534.81</v>
      </c>
      <c r="P10" s="193">
        <v>10065.19</v>
      </c>
      <c r="Q10" s="193">
        <v>68220</v>
      </c>
      <c r="R10" s="193">
        <v>0</v>
      </c>
      <c r="S10" s="193">
        <v>0</v>
      </c>
      <c r="T10" s="193">
        <v>153820</v>
      </c>
    </row>
    <row r="11" spans="1:20">
      <c r="A11" s="13">
        <v>7</v>
      </c>
      <c r="B11" s="204" t="s">
        <v>208</v>
      </c>
      <c r="C11" s="205"/>
      <c r="D11" s="198">
        <v>0</v>
      </c>
      <c r="E11" s="198">
        <v>0</v>
      </c>
      <c r="F11" s="198">
        <v>3529.6640000000002</v>
      </c>
      <c r="G11" s="199">
        <v>470.33599999999979</v>
      </c>
      <c r="H11" s="199">
        <v>600</v>
      </c>
      <c r="I11" s="10">
        <v>0</v>
      </c>
      <c r="J11" s="11">
        <v>0</v>
      </c>
      <c r="K11" s="11">
        <v>0</v>
      </c>
      <c r="L11" s="193">
        <v>0</v>
      </c>
      <c r="M11" s="193">
        <v>0</v>
      </c>
      <c r="N11" s="193">
        <v>0</v>
      </c>
      <c r="O11" s="193">
        <v>75534.81</v>
      </c>
      <c r="P11" s="193">
        <v>10065.19</v>
      </c>
      <c r="Q11" s="193">
        <v>68220</v>
      </c>
      <c r="R11" s="193">
        <v>0</v>
      </c>
      <c r="S11" s="193">
        <v>0</v>
      </c>
      <c r="T11" s="193">
        <v>153820</v>
      </c>
    </row>
    <row r="12" spans="1:20">
      <c r="A12" s="13">
        <v>8</v>
      </c>
      <c r="B12" s="204" t="s">
        <v>209</v>
      </c>
      <c r="C12" s="205"/>
      <c r="D12" s="198">
        <v>0</v>
      </c>
      <c r="E12" s="198">
        <v>209.375</v>
      </c>
      <c r="F12" s="198">
        <v>3320.2890000000002</v>
      </c>
      <c r="G12" s="199">
        <v>679.71099999999979</v>
      </c>
      <c r="H12" s="199">
        <v>390.625</v>
      </c>
      <c r="I12" s="10">
        <v>0</v>
      </c>
      <c r="J12" s="11">
        <v>0</v>
      </c>
      <c r="K12" s="11">
        <v>0</v>
      </c>
      <c r="L12" s="193">
        <v>0</v>
      </c>
      <c r="M12" s="193">
        <v>0</v>
      </c>
      <c r="N12" s="193">
        <v>23805.94</v>
      </c>
      <c r="O12" s="193">
        <v>71054.179999999993</v>
      </c>
      <c r="P12" s="193">
        <v>14545.82</v>
      </c>
      <c r="Q12" s="193">
        <v>44414.06</v>
      </c>
      <c r="R12" s="193">
        <v>0</v>
      </c>
      <c r="S12" s="193">
        <v>0</v>
      </c>
      <c r="T12" s="193">
        <v>153820</v>
      </c>
    </row>
    <row r="13" spans="1:20">
      <c r="A13" s="13">
        <v>9</v>
      </c>
      <c r="B13" s="204" t="s">
        <v>210</v>
      </c>
      <c r="C13" s="205"/>
      <c r="D13" s="198">
        <v>0</v>
      </c>
      <c r="E13" s="198">
        <v>194.5</v>
      </c>
      <c r="F13" s="198">
        <v>3125.7890000000002</v>
      </c>
      <c r="G13" s="199">
        <v>874.21099999999979</v>
      </c>
      <c r="H13" s="199">
        <v>405.5</v>
      </c>
      <c r="I13" s="10">
        <v>0</v>
      </c>
      <c r="J13" s="11">
        <v>0</v>
      </c>
      <c r="K13" s="11">
        <v>0</v>
      </c>
      <c r="L13" s="193">
        <v>0</v>
      </c>
      <c r="M13" s="193">
        <v>0</v>
      </c>
      <c r="N13" s="193">
        <v>22114.65</v>
      </c>
      <c r="O13" s="193">
        <v>66891.88</v>
      </c>
      <c r="P13" s="193">
        <v>18708.12</v>
      </c>
      <c r="Q13" s="193">
        <v>46105.35</v>
      </c>
      <c r="R13" s="193">
        <v>0</v>
      </c>
      <c r="S13" s="193">
        <v>0</v>
      </c>
      <c r="T13" s="193">
        <v>153820</v>
      </c>
    </row>
    <row r="14" spans="1:20">
      <c r="A14" s="13">
        <v>10</v>
      </c>
      <c r="B14" s="204" t="s">
        <v>211</v>
      </c>
      <c r="C14" s="205"/>
      <c r="D14" s="198">
        <v>0</v>
      </c>
      <c r="E14" s="198">
        <v>89.5</v>
      </c>
      <c r="F14" s="198">
        <v>3036.2890000000002</v>
      </c>
      <c r="G14" s="199">
        <v>963.71099999999979</v>
      </c>
      <c r="H14" s="199">
        <v>510.5</v>
      </c>
      <c r="I14" s="10">
        <v>0</v>
      </c>
      <c r="J14" s="11">
        <v>0</v>
      </c>
      <c r="K14" s="11">
        <v>0</v>
      </c>
      <c r="L14" s="193">
        <v>0</v>
      </c>
      <c r="M14" s="193">
        <v>0</v>
      </c>
      <c r="N14" s="193">
        <v>10176.15</v>
      </c>
      <c r="O14" s="193">
        <v>64976.58</v>
      </c>
      <c r="P14" s="193">
        <v>20623.419999999998</v>
      </c>
      <c r="Q14" s="193">
        <v>58043.85</v>
      </c>
      <c r="R14" s="193">
        <v>0</v>
      </c>
      <c r="S14" s="193">
        <v>0</v>
      </c>
      <c r="T14" s="193">
        <v>153820</v>
      </c>
    </row>
    <row r="15" spans="1:20">
      <c r="A15" s="13">
        <v>11</v>
      </c>
      <c r="B15" s="204" t="s">
        <v>212</v>
      </c>
      <c r="C15" s="205"/>
      <c r="D15" s="198">
        <v>0</v>
      </c>
      <c r="E15" s="198">
        <v>271.375</v>
      </c>
      <c r="F15" s="198">
        <v>2764.9140000000002</v>
      </c>
      <c r="G15" s="199">
        <v>1235.0859999999998</v>
      </c>
      <c r="H15" s="199">
        <v>328.625</v>
      </c>
      <c r="I15" s="10">
        <v>0</v>
      </c>
      <c r="J15" s="11">
        <v>0</v>
      </c>
      <c r="K15" s="11">
        <v>0</v>
      </c>
      <c r="L15" s="193">
        <v>0</v>
      </c>
      <c r="M15" s="193">
        <v>0</v>
      </c>
      <c r="N15" s="193">
        <v>30855.34</v>
      </c>
      <c r="O15" s="193">
        <v>59169.16</v>
      </c>
      <c r="P15" s="193">
        <v>26430.84</v>
      </c>
      <c r="Q15" s="193">
        <v>37364.660000000003</v>
      </c>
      <c r="R15" s="193">
        <v>0</v>
      </c>
      <c r="S15" s="193">
        <v>0</v>
      </c>
      <c r="T15" s="193">
        <v>153820</v>
      </c>
    </row>
    <row r="16" spans="1:20">
      <c r="A16" s="13">
        <v>12</v>
      </c>
      <c r="B16" s="204" t="s">
        <v>213</v>
      </c>
      <c r="C16" s="205"/>
      <c r="D16" s="198">
        <v>12.375</v>
      </c>
      <c r="E16" s="198">
        <v>202</v>
      </c>
      <c r="F16" s="198">
        <v>2575.2890000000002</v>
      </c>
      <c r="G16" s="199">
        <v>1424.7109999999998</v>
      </c>
      <c r="H16" s="199">
        <v>385.625</v>
      </c>
      <c r="I16" s="10">
        <v>0</v>
      </c>
      <c r="J16" s="11">
        <v>0</v>
      </c>
      <c r="K16" s="11">
        <v>0</v>
      </c>
      <c r="L16" s="193">
        <v>0</v>
      </c>
      <c r="M16" s="193">
        <v>1407.04</v>
      </c>
      <c r="N16" s="193">
        <v>22967.4</v>
      </c>
      <c r="O16" s="193">
        <v>55111.18</v>
      </c>
      <c r="P16" s="193">
        <v>30488.82</v>
      </c>
      <c r="Q16" s="193">
        <v>43845.56</v>
      </c>
      <c r="R16" s="193">
        <v>0</v>
      </c>
      <c r="S16" s="193">
        <v>0</v>
      </c>
      <c r="T16" s="193">
        <v>153820</v>
      </c>
    </row>
    <row r="17" spans="1:20">
      <c r="A17" s="13">
        <v>13</v>
      </c>
      <c r="B17" s="204" t="s">
        <v>214</v>
      </c>
      <c r="C17" s="205"/>
      <c r="D17" s="198">
        <v>0</v>
      </c>
      <c r="E17" s="198">
        <v>0</v>
      </c>
      <c r="F17" s="198">
        <v>2575.2890000000002</v>
      </c>
      <c r="G17" s="199">
        <v>1424.7109999999998</v>
      </c>
      <c r="H17" s="199">
        <v>600</v>
      </c>
      <c r="I17" s="10">
        <v>0</v>
      </c>
      <c r="J17" s="11">
        <v>0</v>
      </c>
      <c r="K17" s="11">
        <v>0</v>
      </c>
      <c r="L17" s="193">
        <v>0</v>
      </c>
      <c r="M17" s="193">
        <v>0</v>
      </c>
      <c r="N17" s="193">
        <v>0</v>
      </c>
      <c r="O17" s="193">
        <v>55111.18</v>
      </c>
      <c r="P17" s="193">
        <v>30488.82</v>
      </c>
      <c r="Q17" s="193">
        <v>68220</v>
      </c>
      <c r="R17" s="193">
        <v>0</v>
      </c>
      <c r="S17" s="193">
        <v>0</v>
      </c>
      <c r="T17" s="193">
        <v>153820</v>
      </c>
    </row>
    <row r="18" spans="1:20">
      <c r="A18" s="13">
        <v>14</v>
      </c>
      <c r="B18" s="204" t="s">
        <v>215</v>
      </c>
      <c r="C18" s="205"/>
      <c r="D18" s="198">
        <v>0</v>
      </c>
      <c r="E18" s="198">
        <v>0</v>
      </c>
      <c r="F18" s="198">
        <v>2575.2890000000002</v>
      </c>
      <c r="G18" s="199">
        <v>1424.7109999999998</v>
      </c>
      <c r="H18" s="199">
        <v>600</v>
      </c>
      <c r="I18" s="10">
        <v>0</v>
      </c>
      <c r="J18" s="11">
        <v>0</v>
      </c>
      <c r="K18" s="11">
        <v>0</v>
      </c>
      <c r="L18" s="193">
        <v>0</v>
      </c>
      <c r="M18" s="193">
        <v>0</v>
      </c>
      <c r="N18" s="193">
        <v>0</v>
      </c>
      <c r="O18" s="193">
        <v>55111.18</v>
      </c>
      <c r="P18" s="193">
        <v>30488.82</v>
      </c>
      <c r="Q18" s="193">
        <v>68220</v>
      </c>
      <c r="R18" s="193">
        <v>0</v>
      </c>
      <c r="S18" s="193">
        <v>0</v>
      </c>
      <c r="T18" s="193">
        <v>153820</v>
      </c>
    </row>
    <row r="19" spans="1:20">
      <c r="A19" s="13">
        <v>15</v>
      </c>
      <c r="B19" s="204" t="s">
        <v>216</v>
      </c>
      <c r="C19" s="205"/>
      <c r="D19" s="198">
        <v>0</v>
      </c>
      <c r="E19" s="198">
        <v>136.75</v>
      </c>
      <c r="F19" s="198">
        <v>2438.5390000000002</v>
      </c>
      <c r="G19" s="199">
        <v>1561.4609999999998</v>
      </c>
      <c r="H19" s="199">
        <v>463.25</v>
      </c>
      <c r="I19" s="10">
        <v>0</v>
      </c>
      <c r="J19" s="11">
        <v>0</v>
      </c>
      <c r="K19" s="11">
        <v>0</v>
      </c>
      <c r="L19" s="193">
        <v>0</v>
      </c>
      <c r="M19" s="193">
        <v>0</v>
      </c>
      <c r="N19" s="193">
        <v>15548.48</v>
      </c>
      <c r="O19" s="193">
        <v>52184.73</v>
      </c>
      <c r="P19" s="193">
        <v>33415.269999999997</v>
      </c>
      <c r="Q19" s="193">
        <v>52671.53</v>
      </c>
      <c r="R19" s="193">
        <v>0</v>
      </c>
      <c r="S19" s="193">
        <v>0</v>
      </c>
      <c r="T19" s="193">
        <v>153820</v>
      </c>
    </row>
    <row r="20" spans="1:20">
      <c r="A20" s="13">
        <v>16</v>
      </c>
      <c r="B20" s="204" t="s">
        <v>217</v>
      </c>
      <c r="C20" s="205"/>
      <c r="D20" s="198">
        <v>21.375</v>
      </c>
      <c r="E20" s="198">
        <v>46.75</v>
      </c>
      <c r="F20" s="198">
        <v>2413.1640000000002</v>
      </c>
      <c r="G20" s="199">
        <v>1586.8359999999998</v>
      </c>
      <c r="H20" s="199">
        <v>531.875</v>
      </c>
      <c r="I20" s="10">
        <v>0</v>
      </c>
      <c r="J20" s="11">
        <v>0</v>
      </c>
      <c r="K20" s="11">
        <v>0</v>
      </c>
      <c r="L20" s="193">
        <v>0</v>
      </c>
      <c r="M20" s="193">
        <v>2430.34</v>
      </c>
      <c r="N20" s="193">
        <v>5315.48</v>
      </c>
      <c r="O20" s="193">
        <v>51641.71</v>
      </c>
      <c r="P20" s="193">
        <v>33958.29</v>
      </c>
      <c r="Q20" s="193">
        <v>60474.19</v>
      </c>
      <c r="R20" s="193">
        <v>0</v>
      </c>
      <c r="S20" s="193">
        <v>0</v>
      </c>
      <c r="T20" s="193">
        <v>153820</v>
      </c>
    </row>
    <row r="21" spans="1:20">
      <c r="A21" s="13">
        <v>17</v>
      </c>
      <c r="B21" s="204" t="s">
        <v>218</v>
      </c>
      <c r="C21" s="205"/>
      <c r="D21" s="198">
        <v>0</v>
      </c>
      <c r="E21" s="198">
        <v>111.5</v>
      </c>
      <c r="F21" s="198">
        <v>2301.6640000000002</v>
      </c>
      <c r="G21" s="199">
        <v>1698.3359999999998</v>
      </c>
      <c r="H21" s="199">
        <v>488.5</v>
      </c>
      <c r="I21" s="10">
        <v>0</v>
      </c>
      <c r="J21" s="11">
        <v>0</v>
      </c>
      <c r="K21" s="11">
        <v>0</v>
      </c>
      <c r="L21" s="193">
        <v>0</v>
      </c>
      <c r="M21" s="193">
        <v>0</v>
      </c>
      <c r="N21" s="193">
        <v>12677.55</v>
      </c>
      <c r="O21" s="193">
        <v>49255.61</v>
      </c>
      <c r="P21" s="193">
        <v>36344.39</v>
      </c>
      <c r="Q21" s="193">
        <v>55542.45</v>
      </c>
      <c r="R21" s="193">
        <v>0</v>
      </c>
      <c r="S21" s="193">
        <v>0</v>
      </c>
      <c r="T21" s="193">
        <v>153820</v>
      </c>
    </row>
    <row r="22" spans="1:20">
      <c r="A22" s="13">
        <v>18</v>
      </c>
      <c r="B22" s="204" t="s">
        <v>219</v>
      </c>
      <c r="C22" s="205"/>
      <c r="D22" s="198">
        <v>0</v>
      </c>
      <c r="E22" s="198">
        <v>112</v>
      </c>
      <c r="F22" s="198">
        <v>2189.6640000000002</v>
      </c>
      <c r="G22" s="199">
        <v>1810.3359999999998</v>
      </c>
      <c r="H22" s="199">
        <v>488</v>
      </c>
      <c r="I22" s="10">
        <v>0</v>
      </c>
      <c r="J22" s="11">
        <v>0</v>
      </c>
      <c r="K22" s="11">
        <v>0</v>
      </c>
      <c r="L22" s="193">
        <v>0</v>
      </c>
      <c r="M22" s="193">
        <v>0</v>
      </c>
      <c r="N22" s="193">
        <v>12734.4</v>
      </c>
      <c r="O22" s="193">
        <v>46858.81</v>
      </c>
      <c r="P22" s="193">
        <v>38741.19</v>
      </c>
      <c r="Q22" s="193">
        <v>55485.599999999999</v>
      </c>
      <c r="R22" s="193">
        <v>0</v>
      </c>
      <c r="S22" s="193">
        <v>0</v>
      </c>
      <c r="T22" s="193">
        <v>153820</v>
      </c>
    </row>
    <row r="23" spans="1:20">
      <c r="A23" s="13">
        <v>19</v>
      </c>
      <c r="B23" s="204" t="s">
        <v>220</v>
      </c>
      <c r="C23" s="205"/>
      <c r="D23" s="198">
        <v>0</v>
      </c>
      <c r="E23" s="198">
        <v>262.8</v>
      </c>
      <c r="F23" s="198">
        <v>1926.864</v>
      </c>
      <c r="G23" s="199">
        <v>2073.136</v>
      </c>
      <c r="H23" s="199">
        <v>337.2</v>
      </c>
      <c r="I23" s="10">
        <v>0</v>
      </c>
      <c r="J23" s="11">
        <v>0</v>
      </c>
      <c r="K23" s="11">
        <v>0</v>
      </c>
      <c r="L23" s="193">
        <v>0</v>
      </c>
      <c r="M23" s="193">
        <v>0</v>
      </c>
      <c r="N23" s="193">
        <v>29880.36</v>
      </c>
      <c r="O23" s="193">
        <v>41234.89</v>
      </c>
      <c r="P23" s="193">
        <v>44365.11</v>
      </c>
      <c r="Q23" s="193">
        <v>38339.64</v>
      </c>
      <c r="R23" s="193">
        <v>0</v>
      </c>
      <c r="S23" s="193">
        <v>0</v>
      </c>
      <c r="T23" s="193">
        <v>153820</v>
      </c>
    </row>
    <row r="24" spans="1:20">
      <c r="A24" s="13">
        <v>20</v>
      </c>
      <c r="B24" s="204" t="s">
        <v>221</v>
      </c>
      <c r="C24" s="205"/>
      <c r="D24" s="198">
        <v>0</v>
      </c>
      <c r="E24" s="198">
        <v>0</v>
      </c>
      <c r="F24" s="198">
        <v>1926.864</v>
      </c>
      <c r="G24" s="199">
        <v>2073.136</v>
      </c>
      <c r="H24" s="199">
        <v>600</v>
      </c>
      <c r="I24" s="10">
        <v>0</v>
      </c>
      <c r="J24" s="11">
        <v>0</v>
      </c>
      <c r="K24" s="11">
        <v>0</v>
      </c>
      <c r="L24" s="193">
        <v>0</v>
      </c>
      <c r="M24" s="193">
        <v>0</v>
      </c>
      <c r="N24" s="193">
        <v>0</v>
      </c>
      <c r="O24" s="193">
        <v>41234.89</v>
      </c>
      <c r="P24" s="193">
        <v>44365.11</v>
      </c>
      <c r="Q24" s="193">
        <v>68220</v>
      </c>
      <c r="R24" s="193">
        <v>0</v>
      </c>
      <c r="S24" s="193">
        <v>0</v>
      </c>
      <c r="T24" s="193">
        <v>153820</v>
      </c>
    </row>
    <row r="25" spans="1:20">
      <c r="A25" s="13">
        <v>21</v>
      </c>
      <c r="B25" s="204" t="s">
        <v>222</v>
      </c>
      <c r="C25" s="205"/>
      <c r="D25" s="198">
        <v>0</v>
      </c>
      <c r="E25" s="198">
        <v>0</v>
      </c>
      <c r="F25" s="198">
        <v>1926.864</v>
      </c>
      <c r="G25" s="199">
        <v>2073.136</v>
      </c>
      <c r="H25" s="199">
        <v>600</v>
      </c>
      <c r="I25" s="10">
        <v>0</v>
      </c>
      <c r="J25" s="11">
        <v>0</v>
      </c>
      <c r="K25" s="11">
        <v>0</v>
      </c>
      <c r="L25" s="193">
        <v>0</v>
      </c>
      <c r="M25" s="193">
        <v>0</v>
      </c>
      <c r="N25" s="193">
        <v>0</v>
      </c>
      <c r="O25" s="193">
        <v>41234.89</v>
      </c>
      <c r="P25" s="193">
        <v>44365.11</v>
      </c>
      <c r="Q25" s="193">
        <v>68220</v>
      </c>
      <c r="R25" s="193">
        <v>0</v>
      </c>
      <c r="S25" s="193">
        <v>0</v>
      </c>
      <c r="T25" s="193">
        <v>153820</v>
      </c>
    </row>
    <row r="26" spans="1:20">
      <c r="A26" s="13">
        <v>22</v>
      </c>
      <c r="B26" s="204" t="s">
        <v>223</v>
      </c>
      <c r="C26" s="205"/>
      <c r="D26" s="198">
        <v>0</v>
      </c>
      <c r="E26" s="198">
        <v>72.875</v>
      </c>
      <c r="F26" s="198">
        <v>1853.989</v>
      </c>
      <c r="G26" s="199">
        <v>2146.011</v>
      </c>
      <c r="H26" s="199">
        <v>527.125</v>
      </c>
      <c r="I26" s="10">
        <v>0</v>
      </c>
      <c r="J26" s="11">
        <v>0</v>
      </c>
      <c r="K26" s="11">
        <v>0</v>
      </c>
      <c r="L26" s="193">
        <v>0</v>
      </c>
      <c r="M26" s="193">
        <v>0</v>
      </c>
      <c r="N26" s="193">
        <v>8285.89</v>
      </c>
      <c r="O26" s="193">
        <v>39675.360000000001</v>
      </c>
      <c r="P26" s="193">
        <v>45924.639999999999</v>
      </c>
      <c r="Q26" s="193">
        <v>59934.11</v>
      </c>
      <c r="R26" s="193">
        <v>0</v>
      </c>
      <c r="S26" s="193">
        <v>0</v>
      </c>
      <c r="T26" s="193">
        <v>153820</v>
      </c>
    </row>
    <row r="27" spans="1:20">
      <c r="A27" s="13">
        <v>23</v>
      </c>
      <c r="B27" s="204" t="s">
        <v>224</v>
      </c>
      <c r="C27" s="205"/>
      <c r="D27" s="198">
        <v>0</v>
      </c>
      <c r="E27" s="198">
        <v>133.5</v>
      </c>
      <c r="F27" s="198">
        <v>1720.489</v>
      </c>
      <c r="G27" s="199">
        <v>2279.511</v>
      </c>
      <c r="H27" s="199">
        <v>466.5</v>
      </c>
      <c r="I27" s="10">
        <v>0</v>
      </c>
      <c r="J27" s="11">
        <v>0</v>
      </c>
      <c r="K27" s="11">
        <v>0</v>
      </c>
      <c r="L27" s="193">
        <v>0</v>
      </c>
      <c r="M27" s="193">
        <v>0</v>
      </c>
      <c r="N27" s="193">
        <v>15178.95</v>
      </c>
      <c r="O27" s="193">
        <v>36818.46</v>
      </c>
      <c r="P27" s="193">
        <v>48781.54</v>
      </c>
      <c r="Q27" s="193">
        <v>53041.05</v>
      </c>
      <c r="R27" s="193">
        <v>0</v>
      </c>
      <c r="S27" s="193">
        <v>0</v>
      </c>
      <c r="T27" s="193">
        <v>153820</v>
      </c>
    </row>
    <row r="28" spans="1:20">
      <c r="A28" s="13">
        <v>24</v>
      </c>
      <c r="B28" s="204" t="s">
        <v>225</v>
      </c>
      <c r="C28" s="205"/>
      <c r="D28" s="198">
        <v>0</v>
      </c>
      <c r="E28" s="198">
        <v>161.25</v>
      </c>
      <c r="F28" s="198">
        <v>1559.239</v>
      </c>
      <c r="G28" s="199">
        <v>2440.761</v>
      </c>
      <c r="H28" s="199">
        <v>438.75</v>
      </c>
      <c r="I28" s="10">
        <v>0</v>
      </c>
      <c r="J28" s="11">
        <v>0</v>
      </c>
      <c r="K28" s="11">
        <v>0</v>
      </c>
      <c r="L28" s="193">
        <v>0</v>
      </c>
      <c r="M28" s="193">
        <v>0</v>
      </c>
      <c r="N28" s="193">
        <v>18334.13</v>
      </c>
      <c r="O28" s="193">
        <v>33367.71</v>
      </c>
      <c r="P28" s="193">
        <v>52232.29</v>
      </c>
      <c r="Q28" s="193">
        <v>49885.88</v>
      </c>
      <c r="R28" s="193">
        <v>0</v>
      </c>
      <c r="S28" s="193">
        <v>0</v>
      </c>
      <c r="T28" s="193">
        <v>153820</v>
      </c>
    </row>
    <row r="29" spans="1:20">
      <c r="A29" s="13">
        <v>25</v>
      </c>
      <c r="B29" s="204" t="s">
        <v>226</v>
      </c>
      <c r="C29" s="205"/>
      <c r="D29" s="198">
        <v>0</v>
      </c>
      <c r="E29" s="198">
        <v>0</v>
      </c>
      <c r="F29" s="198">
        <v>1559.239</v>
      </c>
      <c r="G29" s="199">
        <v>2440.761</v>
      </c>
      <c r="H29" s="199">
        <v>600</v>
      </c>
      <c r="I29" s="10">
        <v>0</v>
      </c>
      <c r="J29" s="11">
        <v>0</v>
      </c>
      <c r="K29" s="11">
        <v>0</v>
      </c>
      <c r="L29" s="193">
        <v>0</v>
      </c>
      <c r="M29" s="193">
        <v>0</v>
      </c>
      <c r="N29" s="193">
        <v>0</v>
      </c>
      <c r="O29" s="193">
        <v>33367.71</v>
      </c>
      <c r="P29" s="193">
        <v>52232.29</v>
      </c>
      <c r="Q29" s="193">
        <v>68220</v>
      </c>
      <c r="R29" s="193">
        <v>0</v>
      </c>
      <c r="S29" s="193">
        <v>0</v>
      </c>
      <c r="T29" s="193">
        <v>153820</v>
      </c>
    </row>
    <row r="30" spans="1:20">
      <c r="A30" s="13">
        <v>26</v>
      </c>
      <c r="B30" s="204" t="s">
        <v>227</v>
      </c>
      <c r="C30" s="205"/>
      <c r="D30" s="198">
        <v>0</v>
      </c>
      <c r="E30" s="198">
        <v>45.5</v>
      </c>
      <c r="F30" s="198">
        <v>1513.739</v>
      </c>
      <c r="G30" s="199">
        <v>2486.261</v>
      </c>
      <c r="H30" s="199">
        <v>554.5</v>
      </c>
      <c r="I30" s="10">
        <v>0</v>
      </c>
      <c r="J30" s="11">
        <v>0</v>
      </c>
      <c r="K30" s="11">
        <v>0</v>
      </c>
      <c r="L30" s="193">
        <v>0</v>
      </c>
      <c r="M30" s="193">
        <v>0</v>
      </c>
      <c r="N30" s="193">
        <v>5173.3500000000004</v>
      </c>
      <c r="O30" s="193">
        <v>32394.01</v>
      </c>
      <c r="P30" s="193">
        <v>53205.99</v>
      </c>
      <c r="Q30" s="193">
        <v>63046.65</v>
      </c>
      <c r="R30" s="193">
        <v>0</v>
      </c>
      <c r="S30" s="193">
        <v>0</v>
      </c>
      <c r="T30" s="193">
        <v>153820</v>
      </c>
    </row>
    <row r="31" spans="1:20">
      <c r="A31" s="13">
        <v>27</v>
      </c>
      <c r="B31" s="204" t="s">
        <v>228</v>
      </c>
      <c r="C31" s="205"/>
      <c r="D31" s="198">
        <v>0</v>
      </c>
      <c r="E31" s="198">
        <v>0</v>
      </c>
      <c r="F31" s="198">
        <v>1513.739</v>
      </c>
      <c r="G31" s="199">
        <v>2486.261</v>
      </c>
      <c r="H31" s="199">
        <v>600</v>
      </c>
      <c r="I31" s="10">
        <v>0</v>
      </c>
      <c r="J31" s="11">
        <v>0</v>
      </c>
      <c r="K31" s="11">
        <v>0</v>
      </c>
      <c r="L31" s="193">
        <v>0</v>
      </c>
      <c r="M31" s="193">
        <v>0</v>
      </c>
      <c r="N31" s="193">
        <v>0</v>
      </c>
      <c r="O31" s="193">
        <v>32394.01</v>
      </c>
      <c r="P31" s="193">
        <v>53205.99</v>
      </c>
      <c r="Q31" s="193">
        <v>68220</v>
      </c>
      <c r="R31" s="193">
        <v>0</v>
      </c>
      <c r="S31" s="193">
        <v>0</v>
      </c>
      <c r="T31" s="193">
        <v>153820</v>
      </c>
    </row>
    <row r="32" spans="1:20">
      <c r="A32" s="13">
        <v>28</v>
      </c>
      <c r="B32" s="204" t="s">
        <v>229</v>
      </c>
      <c r="C32" s="205"/>
      <c r="D32" s="198">
        <v>0</v>
      </c>
      <c r="E32" s="198">
        <v>0</v>
      </c>
      <c r="F32" s="198">
        <v>1513.739</v>
      </c>
      <c r="G32" s="199">
        <v>2486.261</v>
      </c>
      <c r="H32" s="199">
        <v>600</v>
      </c>
      <c r="I32" s="10">
        <v>0</v>
      </c>
      <c r="J32" s="11">
        <v>0</v>
      </c>
      <c r="K32" s="11">
        <v>0</v>
      </c>
      <c r="L32" s="193">
        <v>0</v>
      </c>
      <c r="M32" s="193">
        <v>0</v>
      </c>
      <c r="N32" s="193">
        <v>0</v>
      </c>
      <c r="O32" s="193">
        <v>32394.01</v>
      </c>
      <c r="P32" s="193">
        <v>53205.99</v>
      </c>
      <c r="Q32" s="193">
        <v>68220</v>
      </c>
      <c r="R32" s="193">
        <v>0</v>
      </c>
      <c r="S32" s="193">
        <v>0</v>
      </c>
      <c r="T32" s="193">
        <v>153820</v>
      </c>
    </row>
    <row r="33" spans="1:20">
      <c r="A33" s="13">
        <v>29</v>
      </c>
      <c r="B33" s="204" t="s">
        <v>230</v>
      </c>
      <c r="C33" s="205"/>
      <c r="D33" s="198">
        <v>22</v>
      </c>
      <c r="E33" s="198">
        <v>20.625</v>
      </c>
      <c r="F33" s="198">
        <v>1515.114</v>
      </c>
      <c r="G33" s="199">
        <v>2484.886</v>
      </c>
      <c r="H33" s="199">
        <v>557.375</v>
      </c>
      <c r="I33" s="10">
        <v>0</v>
      </c>
      <c r="J33" s="11">
        <v>0</v>
      </c>
      <c r="K33" s="11">
        <v>0</v>
      </c>
      <c r="L33" s="193">
        <v>0</v>
      </c>
      <c r="M33" s="193">
        <v>2501.4</v>
      </c>
      <c r="N33" s="193">
        <v>2345.06</v>
      </c>
      <c r="O33" s="193">
        <v>32423.439999999999</v>
      </c>
      <c r="P33" s="193">
        <v>53176.56</v>
      </c>
      <c r="Q33" s="193">
        <v>63373.54</v>
      </c>
      <c r="R33" s="193">
        <v>0</v>
      </c>
      <c r="S33" s="193">
        <v>0</v>
      </c>
      <c r="T33" s="193">
        <v>153820</v>
      </c>
    </row>
    <row r="34" spans="1:20">
      <c r="A34" s="13">
        <v>30</v>
      </c>
      <c r="B34" s="204" t="s">
        <v>231</v>
      </c>
      <c r="C34" s="205"/>
      <c r="D34" s="198">
        <v>0</v>
      </c>
      <c r="E34" s="198">
        <v>55</v>
      </c>
      <c r="F34" s="198">
        <v>1460.114</v>
      </c>
      <c r="G34" s="199">
        <v>2539.886</v>
      </c>
      <c r="H34" s="199">
        <v>545</v>
      </c>
      <c r="I34" s="10">
        <v>0</v>
      </c>
      <c r="J34" s="11">
        <v>0</v>
      </c>
      <c r="K34" s="11">
        <v>0</v>
      </c>
      <c r="L34" s="193">
        <v>0</v>
      </c>
      <c r="M34" s="193">
        <v>0</v>
      </c>
      <c r="N34" s="193">
        <v>6253.5</v>
      </c>
      <c r="O34" s="193">
        <v>31246.44</v>
      </c>
      <c r="P34" s="193">
        <v>54353.56</v>
      </c>
      <c r="Q34" s="193">
        <v>61966.5</v>
      </c>
      <c r="R34" s="193">
        <v>0</v>
      </c>
      <c r="S34" s="193">
        <v>0</v>
      </c>
      <c r="T34" s="193">
        <v>153820</v>
      </c>
    </row>
    <row r="35" spans="1:20">
      <c r="A35" s="13">
        <v>31</v>
      </c>
      <c r="B35" s="204" t="s">
        <v>232</v>
      </c>
      <c r="C35" s="205"/>
      <c r="D35" s="198">
        <v>0</v>
      </c>
      <c r="E35" s="198">
        <v>0</v>
      </c>
      <c r="F35" s="198">
        <v>1460.114</v>
      </c>
      <c r="G35" s="199">
        <v>2539.886</v>
      </c>
      <c r="H35" s="199">
        <v>600</v>
      </c>
      <c r="I35" s="10">
        <v>0</v>
      </c>
      <c r="J35" s="11">
        <v>0</v>
      </c>
      <c r="K35" s="11">
        <v>0</v>
      </c>
      <c r="L35" s="193">
        <v>0</v>
      </c>
      <c r="M35" s="193">
        <v>0</v>
      </c>
      <c r="N35" s="193">
        <v>0</v>
      </c>
      <c r="O35" s="193">
        <v>31246.44</v>
      </c>
      <c r="P35" s="193">
        <v>54353.56</v>
      </c>
      <c r="Q35" s="193">
        <v>68220</v>
      </c>
      <c r="R35" s="193">
        <v>0</v>
      </c>
      <c r="S35" s="193">
        <v>0</v>
      </c>
      <c r="T35" s="193">
        <v>153820</v>
      </c>
    </row>
    <row r="36" spans="1:20">
      <c r="D36" s="19">
        <v>55.75</v>
      </c>
      <c r="E36" s="19">
        <v>2339.4250000000002</v>
      </c>
      <c r="F36" s="19">
        <v>76058.183999999994</v>
      </c>
      <c r="G36" s="19">
        <v>47941.815999999977</v>
      </c>
      <c r="H36" s="19">
        <v>16204.825000000001</v>
      </c>
      <c r="I36" s="19">
        <v>0</v>
      </c>
      <c r="J36" s="20">
        <v>0</v>
      </c>
      <c r="K36" s="20">
        <v>0</v>
      </c>
      <c r="L36" s="194">
        <v>0</v>
      </c>
      <c r="M36" s="194">
        <v>6338.78</v>
      </c>
      <c r="N36" s="194">
        <v>265992.62</v>
      </c>
      <c r="O36" s="194">
        <v>1627645.14</v>
      </c>
      <c r="P36" s="194">
        <v>1025954.86</v>
      </c>
      <c r="Q36" s="194">
        <v>1842488.6</v>
      </c>
      <c r="R36" s="194">
        <v>0</v>
      </c>
      <c r="S36" s="194">
        <v>0</v>
      </c>
      <c r="T36" s="194">
        <v>4768420</v>
      </c>
    </row>
    <row r="37" spans="1:20">
      <c r="R37" s="22"/>
      <c r="S37" s="22"/>
      <c r="T37" s="195">
        <v>5722104</v>
      </c>
    </row>
  </sheetData>
  <mergeCells count="50">
    <mergeCell ref="B8:C8"/>
    <mergeCell ref="B9:C9"/>
    <mergeCell ref="B10:C10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  <mergeCell ref="B7:C7"/>
    <mergeCell ref="L3:L4"/>
    <mergeCell ref="M3:M4"/>
    <mergeCell ref="N3:N4"/>
    <mergeCell ref="O3:O4"/>
    <mergeCell ref="R3:R4"/>
    <mergeCell ref="S3:S4"/>
    <mergeCell ref="T3:T4"/>
    <mergeCell ref="B5:C5"/>
    <mergeCell ref="B6:C6"/>
    <mergeCell ref="P3:P4"/>
    <mergeCell ref="Q3:Q4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13:C13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</mergeCells>
  <pageMargins left="0.7" right="0.7" top="0.75" bottom="0.75" header="0.3" footer="0.3"/>
  <pageSetup paperSize="9" fitToHeight="5" orientation="landscape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ED4F3-1C99-450C-B69A-0A1940057D3A}">
  <sheetPr codeName="Лист55">
    <pageSetUpPr fitToPage="1"/>
  </sheetPr>
  <dimension ref="A1:T37"/>
  <sheetViews>
    <sheetView topLeftCell="A7" workbookViewId="0">
      <selection activeCell="K5" sqref="K5:K35"/>
    </sheetView>
  </sheetViews>
  <sheetFormatPr defaultRowHeight="15"/>
  <cols>
    <col min="1" max="3" width="8.796875" style="2"/>
    <col min="4" max="4" width="8.296875" style="2" customWidth="1"/>
    <col min="5" max="5" width="8.59765625" style="2" customWidth="1"/>
    <col min="6" max="6" width="9.19921875" style="2" customWidth="1"/>
    <col min="7" max="7" width="8" style="2" customWidth="1"/>
    <col min="8" max="8" width="7.5" style="2" customWidth="1"/>
    <col min="9" max="9" width="7.3984375" style="2" bestFit="1" customWidth="1"/>
    <col min="10" max="12" width="8.796875" style="2"/>
    <col min="13" max="13" width="9.19921875" style="2" customWidth="1"/>
    <col min="14" max="14" width="9.5" style="2" customWidth="1"/>
    <col min="15" max="15" width="10.19921875" style="2" customWidth="1"/>
    <col min="16" max="16" width="10.19921875" style="2" bestFit="1" customWidth="1"/>
    <col min="17" max="17" width="10.5" style="2" customWidth="1"/>
    <col min="18" max="18" width="9.296875" style="2" customWidth="1"/>
    <col min="19" max="19" width="8.19921875" style="2" customWidth="1"/>
    <col min="20" max="20" width="17" style="2" customWidth="1"/>
    <col min="21" max="16384" width="8.796875" style="2"/>
  </cols>
  <sheetData>
    <row r="1" spans="1:20">
      <c r="I1" s="3"/>
    </row>
    <row r="2" spans="1:20" ht="28.9" customHeight="1">
      <c r="A2" s="209" t="s">
        <v>280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</row>
    <row r="3" spans="1:20" ht="28.9" customHeight="1">
      <c r="A3" s="206" t="s">
        <v>0</v>
      </c>
      <c r="B3" s="210" t="s">
        <v>1</v>
      </c>
      <c r="C3" s="211"/>
      <c r="D3" s="206" t="s">
        <v>2</v>
      </c>
      <c r="E3" s="206" t="s">
        <v>3</v>
      </c>
      <c r="F3" s="4" t="s">
        <v>4</v>
      </c>
      <c r="G3" s="206" t="s">
        <v>277</v>
      </c>
      <c r="H3" s="206" t="s">
        <v>278</v>
      </c>
      <c r="I3" s="206" t="s">
        <v>7</v>
      </c>
      <c r="J3" s="206" t="s">
        <v>8</v>
      </c>
      <c r="K3" s="206" t="s">
        <v>200</v>
      </c>
      <c r="L3" s="206" t="s">
        <v>241</v>
      </c>
      <c r="M3" s="206" t="s">
        <v>11</v>
      </c>
      <c r="N3" s="206" t="s">
        <v>12</v>
      </c>
      <c r="O3" s="206" t="s">
        <v>13</v>
      </c>
      <c r="P3" s="206" t="s">
        <v>14</v>
      </c>
      <c r="Q3" s="206" t="s">
        <v>15</v>
      </c>
      <c r="R3" s="206" t="s">
        <v>16</v>
      </c>
      <c r="S3" s="206" t="s">
        <v>17</v>
      </c>
      <c r="T3" s="206" t="s">
        <v>18</v>
      </c>
    </row>
    <row r="4" spans="1:20">
      <c r="A4" s="207"/>
      <c r="B4" s="212"/>
      <c r="C4" s="213"/>
      <c r="D4" s="207"/>
      <c r="E4" s="207"/>
      <c r="F4" s="5"/>
      <c r="G4" s="207"/>
      <c r="H4" s="207"/>
      <c r="I4" s="207"/>
      <c r="J4" s="207"/>
      <c r="K4" s="208"/>
      <c r="L4" s="208"/>
      <c r="M4" s="207"/>
      <c r="N4" s="207"/>
      <c r="O4" s="207"/>
      <c r="P4" s="207"/>
      <c r="Q4" s="207"/>
      <c r="R4" s="207"/>
      <c r="S4" s="207"/>
      <c r="T4" s="207"/>
    </row>
    <row r="5" spans="1:20">
      <c r="A5" s="13">
        <v>1</v>
      </c>
      <c r="B5" s="204" t="s">
        <v>202</v>
      </c>
      <c r="C5" s="205"/>
      <c r="D5" s="198">
        <v>0</v>
      </c>
      <c r="E5" s="198">
        <v>0</v>
      </c>
      <c r="F5" s="198">
        <v>27.774999999999999</v>
      </c>
      <c r="G5" s="199">
        <v>0</v>
      </c>
      <c r="H5" s="199">
        <v>0</v>
      </c>
      <c r="I5" s="10">
        <v>0</v>
      </c>
      <c r="J5" s="11">
        <v>0</v>
      </c>
      <c r="K5" s="11">
        <v>0</v>
      </c>
      <c r="L5" s="193">
        <v>0</v>
      </c>
      <c r="M5" s="193">
        <v>0</v>
      </c>
      <c r="N5" s="193">
        <v>0</v>
      </c>
      <c r="O5" s="193">
        <v>594.39</v>
      </c>
      <c r="P5" s="193">
        <v>0</v>
      </c>
      <c r="Q5" s="193">
        <v>0</v>
      </c>
      <c r="R5" s="193">
        <v>0</v>
      </c>
      <c r="S5" s="193">
        <v>0</v>
      </c>
      <c r="T5" s="193">
        <v>594.39</v>
      </c>
    </row>
    <row r="6" spans="1:20">
      <c r="A6" s="13">
        <v>2</v>
      </c>
      <c r="B6" s="204" t="s">
        <v>203</v>
      </c>
      <c r="C6" s="205"/>
      <c r="D6" s="198">
        <v>0</v>
      </c>
      <c r="E6" s="198">
        <v>0</v>
      </c>
      <c r="F6" s="198">
        <v>27.774999999999999</v>
      </c>
      <c r="G6" s="199">
        <v>0</v>
      </c>
      <c r="H6" s="199">
        <v>0</v>
      </c>
      <c r="I6" s="10">
        <v>0</v>
      </c>
      <c r="J6" s="11">
        <v>0</v>
      </c>
      <c r="K6" s="11">
        <v>0</v>
      </c>
      <c r="L6" s="193">
        <v>0</v>
      </c>
      <c r="M6" s="193">
        <v>0</v>
      </c>
      <c r="N6" s="193">
        <v>0</v>
      </c>
      <c r="O6" s="193">
        <v>594.39</v>
      </c>
      <c r="P6" s="193">
        <v>0</v>
      </c>
      <c r="Q6" s="193">
        <v>0</v>
      </c>
      <c r="R6" s="193">
        <v>0</v>
      </c>
      <c r="S6" s="193">
        <v>0</v>
      </c>
      <c r="T6" s="193">
        <v>594.39</v>
      </c>
    </row>
    <row r="7" spans="1:20">
      <c r="A7" s="13">
        <v>3</v>
      </c>
      <c r="B7" s="204" t="s">
        <v>204</v>
      </c>
      <c r="C7" s="205"/>
      <c r="D7" s="198">
        <v>0</v>
      </c>
      <c r="E7" s="198">
        <v>0</v>
      </c>
      <c r="F7" s="198">
        <v>27.774999999999999</v>
      </c>
      <c r="G7" s="199">
        <v>0</v>
      </c>
      <c r="H7" s="199">
        <v>0</v>
      </c>
      <c r="I7" s="10">
        <v>0</v>
      </c>
      <c r="J7" s="11">
        <v>0</v>
      </c>
      <c r="K7" s="11">
        <v>0</v>
      </c>
      <c r="L7" s="193">
        <v>0</v>
      </c>
      <c r="M7" s="193">
        <v>0</v>
      </c>
      <c r="N7" s="193">
        <v>0</v>
      </c>
      <c r="O7" s="193">
        <v>594.39</v>
      </c>
      <c r="P7" s="193">
        <v>0</v>
      </c>
      <c r="Q7" s="193">
        <v>0</v>
      </c>
      <c r="R7" s="193">
        <v>0</v>
      </c>
      <c r="S7" s="193">
        <v>0</v>
      </c>
      <c r="T7" s="193">
        <v>594.39</v>
      </c>
    </row>
    <row r="8" spans="1:20">
      <c r="A8" s="13">
        <v>4</v>
      </c>
      <c r="B8" s="204" t="s">
        <v>205</v>
      </c>
      <c r="C8" s="205"/>
      <c r="D8" s="198">
        <v>0</v>
      </c>
      <c r="E8" s="198">
        <v>0</v>
      </c>
      <c r="F8" s="198">
        <v>27.774999999999999</v>
      </c>
      <c r="G8" s="199">
        <v>0</v>
      </c>
      <c r="H8" s="199">
        <v>0</v>
      </c>
      <c r="I8" s="10">
        <v>0</v>
      </c>
      <c r="J8" s="11">
        <v>0</v>
      </c>
      <c r="K8" s="11">
        <v>0</v>
      </c>
      <c r="L8" s="193">
        <v>0</v>
      </c>
      <c r="M8" s="193">
        <v>0</v>
      </c>
      <c r="N8" s="193">
        <v>0</v>
      </c>
      <c r="O8" s="193">
        <v>594.39</v>
      </c>
      <c r="P8" s="193">
        <v>0</v>
      </c>
      <c r="Q8" s="193">
        <v>0</v>
      </c>
      <c r="R8" s="193">
        <v>0</v>
      </c>
      <c r="S8" s="193">
        <v>0</v>
      </c>
      <c r="T8" s="193">
        <v>594.39</v>
      </c>
    </row>
    <row r="9" spans="1:20">
      <c r="A9" s="13">
        <v>5</v>
      </c>
      <c r="B9" s="204" t="s">
        <v>206</v>
      </c>
      <c r="C9" s="205"/>
      <c r="D9" s="198">
        <v>0</v>
      </c>
      <c r="E9" s="198">
        <v>0</v>
      </c>
      <c r="F9" s="198">
        <v>27.774999999999999</v>
      </c>
      <c r="G9" s="199">
        <v>0</v>
      </c>
      <c r="H9" s="199">
        <v>0</v>
      </c>
      <c r="I9" s="10">
        <v>0</v>
      </c>
      <c r="J9" s="11">
        <v>0</v>
      </c>
      <c r="K9" s="11">
        <v>0</v>
      </c>
      <c r="L9" s="193">
        <v>0</v>
      </c>
      <c r="M9" s="193">
        <v>0</v>
      </c>
      <c r="N9" s="193">
        <v>0</v>
      </c>
      <c r="O9" s="193">
        <v>594.39</v>
      </c>
      <c r="P9" s="193">
        <v>0</v>
      </c>
      <c r="Q9" s="193">
        <v>0</v>
      </c>
      <c r="R9" s="193">
        <v>0</v>
      </c>
      <c r="S9" s="193">
        <v>0</v>
      </c>
      <c r="T9" s="193">
        <v>594.39</v>
      </c>
    </row>
    <row r="10" spans="1:20">
      <c r="A10" s="13">
        <v>6</v>
      </c>
      <c r="B10" s="204" t="s">
        <v>207</v>
      </c>
      <c r="C10" s="205"/>
      <c r="D10" s="198">
        <v>0</v>
      </c>
      <c r="E10" s="198">
        <v>0</v>
      </c>
      <c r="F10" s="198">
        <v>27.774999999999999</v>
      </c>
      <c r="G10" s="199">
        <v>0</v>
      </c>
      <c r="H10" s="199">
        <v>0</v>
      </c>
      <c r="I10" s="10">
        <v>0</v>
      </c>
      <c r="J10" s="11">
        <v>0</v>
      </c>
      <c r="K10" s="11">
        <v>0</v>
      </c>
      <c r="L10" s="193">
        <v>0</v>
      </c>
      <c r="M10" s="193">
        <v>0</v>
      </c>
      <c r="N10" s="193">
        <v>0</v>
      </c>
      <c r="O10" s="193">
        <v>594.39</v>
      </c>
      <c r="P10" s="193">
        <v>0</v>
      </c>
      <c r="Q10" s="193">
        <v>0</v>
      </c>
      <c r="R10" s="193">
        <v>0</v>
      </c>
      <c r="S10" s="193">
        <v>0</v>
      </c>
      <c r="T10" s="193">
        <v>594.39</v>
      </c>
    </row>
    <row r="11" spans="1:20">
      <c r="A11" s="13">
        <v>7</v>
      </c>
      <c r="B11" s="204" t="s">
        <v>208</v>
      </c>
      <c r="C11" s="205"/>
      <c r="D11" s="198">
        <v>0</v>
      </c>
      <c r="E11" s="198">
        <v>0</v>
      </c>
      <c r="F11" s="198">
        <v>27.774999999999999</v>
      </c>
      <c r="G11" s="199">
        <v>0</v>
      </c>
      <c r="H11" s="199">
        <v>0</v>
      </c>
      <c r="I11" s="10">
        <v>0</v>
      </c>
      <c r="J11" s="11">
        <v>0</v>
      </c>
      <c r="K11" s="11">
        <v>0</v>
      </c>
      <c r="L11" s="193">
        <v>0</v>
      </c>
      <c r="M11" s="193">
        <v>0</v>
      </c>
      <c r="N11" s="193">
        <v>0</v>
      </c>
      <c r="O11" s="193">
        <v>594.39</v>
      </c>
      <c r="P11" s="193">
        <v>0</v>
      </c>
      <c r="Q11" s="193">
        <v>0</v>
      </c>
      <c r="R11" s="193">
        <v>0</v>
      </c>
      <c r="S11" s="193">
        <v>0</v>
      </c>
      <c r="T11" s="193">
        <v>594.39</v>
      </c>
    </row>
    <row r="12" spans="1:20">
      <c r="A12" s="13">
        <v>8</v>
      </c>
      <c r="B12" s="204" t="s">
        <v>209</v>
      </c>
      <c r="C12" s="205"/>
      <c r="D12" s="198">
        <v>0</v>
      </c>
      <c r="E12" s="198">
        <v>0</v>
      </c>
      <c r="F12" s="198">
        <v>27.774999999999999</v>
      </c>
      <c r="G12" s="199">
        <v>0</v>
      </c>
      <c r="H12" s="199">
        <v>0</v>
      </c>
      <c r="I12" s="10">
        <v>0</v>
      </c>
      <c r="J12" s="11">
        <v>0</v>
      </c>
      <c r="K12" s="11">
        <v>0</v>
      </c>
      <c r="L12" s="193">
        <v>0</v>
      </c>
      <c r="M12" s="193">
        <v>0</v>
      </c>
      <c r="N12" s="193">
        <v>0</v>
      </c>
      <c r="O12" s="193">
        <v>594.39</v>
      </c>
      <c r="P12" s="193">
        <v>0</v>
      </c>
      <c r="Q12" s="193">
        <v>0</v>
      </c>
      <c r="R12" s="193">
        <v>0</v>
      </c>
      <c r="S12" s="193">
        <v>0</v>
      </c>
      <c r="T12" s="193">
        <v>594.39</v>
      </c>
    </row>
    <row r="13" spans="1:20">
      <c r="A13" s="13">
        <v>9</v>
      </c>
      <c r="B13" s="204" t="s">
        <v>210</v>
      </c>
      <c r="C13" s="205"/>
      <c r="D13" s="198">
        <v>0</v>
      </c>
      <c r="E13" s="198">
        <v>0</v>
      </c>
      <c r="F13" s="198">
        <v>27.774999999999999</v>
      </c>
      <c r="G13" s="199">
        <v>0</v>
      </c>
      <c r="H13" s="199">
        <v>0</v>
      </c>
      <c r="I13" s="10">
        <v>0</v>
      </c>
      <c r="J13" s="11">
        <v>0</v>
      </c>
      <c r="K13" s="11">
        <v>0</v>
      </c>
      <c r="L13" s="193">
        <v>0</v>
      </c>
      <c r="M13" s="193">
        <v>0</v>
      </c>
      <c r="N13" s="193">
        <v>0</v>
      </c>
      <c r="O13" s="193">
        <v>594.39</v>
      </c>
      <c r="P13" s="193">
        <v>0</v>
      </c>
      <c r="Q13" s="193">
        <v>0</v>
      </c>
      <c r="R13" s="193">
        <v>0</v>
      </c>
      <c r="S13" s="193">
        <v>0</v>
      </c>
      <c r="T13" s="193">
        <v>594.39</v>
      </c>
    </row>
    <row r="14" spans="1:20">
      <c r="A14" s="13">
        <v>10</v>
      </c>
      <c r="B14" s="204" t="s">
        <v>211</v>
      </c>
      <c r="C14" s="205"/>
      <c r="D14" s="198">
        <v>0</v>
      </c>
      <c r="E14" s="198">
        <v>13.75</v>
      </c>
      <c r="F14" s="198">
        <v>14.025</v>
      </c>
      <c r="G14" s="199">
        <v>0</v>
      </c>
      <c r="H14" s="199">
        <v>0</v>
      </c>
      <c r="I14" s="10">
        <v>0</v>
      </c>
      <c r="J14" s="11">
        <v>0</v>
      </c>
      <c r="K14" s="11">
        <v>0</v>
      </c>
      <c r="L14" s="193">
        <v>0</v>
      </c>
      <c r="M14" s="193">
        <v>0</v>
      </c>
      <c r="N14" s="193">
        <v>1563.38</v>
      </c>
      <c r="O14" s="193">
        <v>300.14</v>
      </c>
      <c r="P14" s="193">
        <v>0</v>
      </c>
      <c r="Q14" s="193">
        <v>0</v>
      </c>
      <c r="R14" s="193">
        <v>0</v>
      </c>
      <c r="S14" s="193">
        <v>0</v>
      </c>
      <c r="T14" s="193">
        <v>1863.51</v>
      </c>
    </row>
    <row r="15" spans="1:20">
      <c r="A15" s="13">
        <v>11</v>
      </c>
      <c r="B15" s="204" t="s">
        <v>212</v>
      </c>
      <c r="C15" s="205"/>
      <c r="D15" s="198">
        <v>22</v>
      </c>
      <c r="E15" s="198">
        <v>0</v>
      </c>
      <c r="F15" s="198">
        <v>36.024999999999999</v>
      </c>
      <c r="G15" s="199">
        <v>0</v>
      </c>
      <c r="H15" s="199">
        <v>0</v>
      </c>
      <c r="I15" s="10">
        <v>0</v>
      </c>
      <c r="J15" s="11">
        <v>0</v>
      </c>
      <c r="K15" s="11">
        <v>0</v>
      </c>
      <c r="L15" s="193">
        <v>0</v>
      </c>
      <c r="M15" s="193">
        <v>2501.4</v>
      </c>
      <c r="N15" s="193">
        <v>0</v>
      </c>
      <c r="O15" s="193">
        <v>770.94</v>
      </c>
      <c r="P15" s="193">
        <v>0</v>
      </c>
      <c r="Q15" s="193">
        <v>0</v>
      </c>
      <c r="R15" s="193">
        <v>0</v>
      </c>
      <c r="S15" s="193">
        <v>0</v>
      </c>
      <c r="T15" s="193">
        <v>3272.34</v>
      </c>
    </row>
    <row r="16" spans="1:20">
      <c r="A16" s="13">
        <v>12</v>
      </c>
      <c r="B16" s="204" t="s">
        <v>213</v>
      </c>
      <c r="C16" s="205"/>
      <c r="D16" s="198">
        <v>22</v>
      </c>
      <c r="E16" s="198">
        <v>0</v>
      </c>
      <c r="F16" s="198">
        <v>58.024999999999999</v>
      </c>
      <c r="G16" s="199">
        <v>0</v>
      </c>
      <c r="H16" s="199">
        <v>0</v>
      </c>
      <c r="I16" s="10">
        <v>0</v>
      </c>
      <c r="J16" s="11">
        <v>0</v>
      </c>
      <c r="K16" s="11">
        <v>0</v>
      </c>
      <c r="L16" s="193">
        <v>0</v>
      </c>
      <c r="M16" s="193">
        <v>2501.4</v>
      </c>
      <c r="N16" s="193">
        <v>0</v>
      </c>
      <c r="O16" s="193">
        <v>1241.74</v>
      </c>
      <c r="P16" s="193">
        <v>0</v>
      </c>
      <c r="Q16" s="193">
        <v>0</v>
      </c>
      <c r="R16" s="193">
        <v>0</v>
      </c>
      <c r="S16" s="193">
        <v>0</v>
      </c>
      <c r="T16" s="193">
        <v>3743.14</v>
      </c>
    </row>
    <row r="17" spans="1:20">
      <c r="A17" s="13">
        <v>13</v>
      </c>
      <c r="B17" s="204" t="s">
        <v>214</v>
      </c>
      <c r="C17" s="205"/>
      <c r="D17" s="198">
        <v>0</v>
      </c>
      <c r="E17" s="198">
        <v>0</v>
      </c>
      <c r="F17" s="198">
        <v>58.024999999999999</v>
      </c>
      <c r="G17" s="199">
        <v>0</v>
      </c>
      <c r="H17" s="199">
        <v>0</v>
      </c>
      <c r="I17" s="10">
        <v>0</v>
      </c>
      <c r="J17" s="11">
        <v>0</v>
      </c>
      <c r="K17" s="11">
        <v>0</v>
      </c>
      <c r="L17" s="193">
        <v>0</v>
      </c>
      <c r="M17" s="193">
        <v>0</v>
      </c>
      <c r="N17" s="193">
        <v>0</v>
      </c>
      <c r="O17" s="193">
        <v>1241.74</v>
      </c>
      <c r="P17" s="193">
        <v>0</v>
      </c>
      <c r="Q17" s="193">
        <v>0</v>
      </c>
      <c r="R17" s="193">
        <v>0</v>
      </c>
      <c r="S17" s="193">
        <v>0</v>
      </c>
      <c r="T17" s="193">
        <v>1241.74</v>
      </c>
    </row>
    <row r="18" spans="1:20">
      <c r="A18" s="13">
        <v>14</v>
      </c>
      <c r="B18" s="204" t="s">
        <v>215</v>
      </c>
      <c r="C18" s="205"/>
      <c r="D18" s="198">
        <v>0</v>
      </c>
      <c r="E18" s="198">
        <v>0</v>
      </c>
      <c r="F18" s="198">
        <v>58.024999999999999</v>
      </c>
      <c r="G18" s="199">
        <v>0</v>
      </c>
      <c r="H18" s="199">
        <v>0</v>
      </c>
      <c r="I18" s="10">
        <v>0</v>
      </c>
      <c r="J18" s="11">
        <v>0</v>
      </c>
      <c r="K18" s="11">
        <v>0</v>
      </c>
      <c r="L18" s="193">
        <v>0</v>
      </c>
      <c r="M18" s="193">
        <v>0</v>
      </c>
      <c r="N18" s="193">
        <v>0</v>
      </c>
      <c r="O18" s="193">
        <v>1241.74</v>
      </c>
      <c r="P18" s="193">
        <v>0</v>
      </c>
      <c r="Q18" s="193">
        <v>0</v>
      </c>
      <c r="R18" s="193">
        <v>0</v>
      </c>
      <c r="S18" s="193">
        <v>0</v>
      </c>
      <c r="T18" s="193">
        <v>1241.74</v>
      </c>
    </row>
    <row r="19" spans="1:20">
      <c r="A19" s="13">
        <v>15</v>
      </c>
      <c r="B19" s="204" t="s">
        <v>216</v>
      </c>
      <c r="C19" s="205"/>
      <c r="D19" s="198">
        <v>0</v>
      </c>
      <c r="E19" s="198">
        <v>22</v>
      </c>
      <c r="F19" s="198">
        <v>36.024999999999999</v>
      </c>
      <c r="G19" s="199">
        <v>0</v>
      </c>
      <c r="H19" s="199">
        <v>0</v>
      </c>
      <c r="I19" s="10">
        <v>0</v>
      </c>
      <c r="J19" s="11">
        <v>0</v>
      </c>
      <c r="K19" s="11">
        <v>0</v>
      </c>
      <c r="L19" s="193">
        <v>0</v>
      </c>
      <c r="M19" s="193">
        <v>0</v>
      </c>
      <c r="N19" s="193">
        <v>2501.4</v>
      </c>
      <c r="O19" s="193">
        <v>770.94</v>
      </c>
      <c r="P19" s="193">
        <v>0</v>
      </c>
      <c r="Q19" s="193">
        <v>0</v>
      </c>
      <c r="R19" s="193">
        <v>0</v>
      </c>
      <c r="S19" s="193">
        <v>0</v>
      </c>
      <c r="T19" s="193">
        <v>3272.34</v>
      </c>
    </row>
    <row r="20" spans="1:20">
      <c r="A20" s="13">
        <v>16</v>
      </c>
      <c r="B20" s="204" t="s">
        <v>217</v>
      </c>
      <c r="C20" s="205"/>
      <c r="D20" s="198">
        <v>0</v>
      </c>
      <c r="E20" s="198">
        <v>0</v>
      </c>
      <c r="F20" s="198">
        <v>36.024999999999999</v>
      </c>
      <c r="G20" s="199">
        <v>0</v>
      </c>
      <c r="H20" s="199">
        <v>0</v>
      </c>
      <c r="I20" s="10">
        <v>0</v>
      </c>
      <c r="J20" s="11">
        <v>0</v>
      </c>
      <c r="K20" s="11">
        <v>0</v>
      </c>
      <c r="L20" s="193">
        <v>0</v>
      </c>
      <c r="M20" s="193">
        <v>0</v>
      </c>
      <c r="N20" s="193">
        <v>0</v>
      </c>
      <c r="O20" s="193">
        <v>770.94</v>
      </c>
      <c r="P20" s="193">
        <v>0</v>
      </c>
      <c r="Q20" s="193">
        <v>0</v>
      </c>
      <c r="R20" s="193">
        <v>0</v>
      </c>
      <c r="S20" s="193">
        <v>0</v>
      </c>
      <c r="T20" s="193">
        <v>770.94</v>
      </c>
    </row>
    <row r="21" spans="1:20">
      <c r="A21" s="13">
        <v>17</v>
      </c>
      <c r="B21" s="204" t="s">
        <v>218</v>
      </c>
      <c r="C21" s="205"/>
      <c r="D21" s="198">
        <v>0</v>
      </c>
      <c r="E21" s="198">
        <v>0</v>
      </c>
      <c r="F21" s="198">
        <v>36.024999999999999</v>
      </c>
      <c r="G21" s="199">
        <v>0</v>
      </c>
      <c r="H21" s="199">
        <v>0</v>
      </c>
      <c r="I21" s="10">
        <v>0</v>
      </c>
      <c r="J21" s="11">
        <v>0</v>
      </c>
      <c r="K21" s="11">
        <v>0</v>
      </c>
      <c r="L21" s="193">
        <v>0</v>
      </c>
      <c r="M21" s="193">
        <v>0</v>
      </c>
      <c r="N21" s="193">
        <v>0</v>
      </c>
      <c r="O21" s="193">
        <v>770.94</v>
      </c>
      <c r="P21" s="193">
        <v>0</v>
      </c>
      <c r="Q21" s="193">
        <v>0</v>
      </c>
      <c r="R21" s="193">
        <v>0</v>
      </c>
      <c r="S21" s="193">
        <v>0</v>
      </c>
      <c r="T21" s="193">
        <v>770.94</v>
      </c>
    </row>
    <row r="22" spans="1:20">
      <c r="A22" s="13">
        <v>18</v>
      </c>
      <c r="B22" s="204" t="s">
        <v>219</v>
      </c>
      <c r="C22" s="205"/>
      <c r="D22" s="198">
        <v>0</v>
      </c>
      <c r="E22" s="198">
        <v>0</v>
      </c>
      <c r="F22" s="198">
        <v>36.024999999999999</v>
      </c>
      <c r="G22" s="199">
        <v>0</v>
      </c>
      <c r="H22" s="199">
        <v>0</v>
      </c>
      <c r="I22" s="10">
        <v>0</v>
      </c>
      <c r="J22" s="11">
        <v>0</v>
      </c>
      <c r="K22" s="11">
        <v>0</v>
      </c>
      <c r="L22" s="193">
        <v>0</v>
      </c>
      <c r="M22" s="193">
        <v>0</v>
      </c>
      <c r="N22" s="193">
        <v>0</v>
      </c>
      <c r="O22" s="193">
        <v>770.94</v>
      </c>
      <c r="P22" s="193">
        <v>0</v>
      </c>
      <c r="Q22" s="193">
        <v>0</v>
      </c>
      <c r="R22" s="193">
        <v>0</v>
      </c>
      <c r="S22" s="193">
        <v>0</v>
      </c>
      <c r="T22" s="193">
        <v>770.94</v>
      </c>
    </row>
    <row r="23" spans="1:20">
      <c r="A23" s="13">
        <v>19</v>
      </c>
      <c r="B23" s="204" t="s">
        <v>220</v>
      </c>
      <c r="C23" s="205"/>
      <c r="D23" s="198">
        <v>0</v>
      </c>
      <c r="E23" s="198">
        <v>0</v>
      </c>
      <c r="F23" s="198">
        <v>36.024999999999999</v>
      </c>
      <c r="G23" s="199">
        <v>0</v>
      </c>
      <c r="H23" s="199">
        <v>0</v>
      </c>
      <c r="I23" s="10">
        <v>0</v>
      </c>
      <c r="J23" s="11">
        <v>0</v>
      </c>
      <c r="K23" s="11">
        <v>0</v>
      </c>
      <c r="L23" s="193">
        <v>0</v>
      </c>
      <c r="M23" s="193">
        <v>0</v>
      </c>
      <c r="N23" s="193">
        <v>0</v>
      </c>
      <c r="O23" s="193">
        <v>770.94</v>
      </c>
      <c r="P23" s="193">
        <v>0</v>
      </c>
      <c r="Q23" s="193">
        <v>0</v>
      </c>
      <c r="R23" s="193">
        <v>0</v>
      </c>
      <c r="S23" s="193">
        <v>0</v>
      </c>
      <c r="T23" s="193">
        <v>770.94</v>
      </c>
    </row>
    <row r="24" spans="1:20">
      <c r="A24" s="13">
        <v>20</v>
      </c>
      <c r="B24" s="204" t="s">
        <v>221</v>
      </c>
      <c r="C24" s="205"/>
      <c r="D24" s="198">
        <v>0</v>
      </c>
      <c r="E24" s="198">
        <v>0</v>
      </c>
      <c r="F24" s="198">
        <v>36.024999999999999</v>
      </c>
      <c r="G24" s="199">
        <v>0</v>
      </c>
      <c r="H24" s="199">
        <v>0</v>
      </c>
      <c r="I24" s="10">
        <v>0</v>
      </c>
      <c r="J24" s="11">
        <v>0</v>
      </c>
      <c r="K24" s="11">
        <v>0</v>
      </c>
      <c r="L24" s="193">
        <v>0</v>
      </c>
      <c r="M24" s="193">
        <v>0</v>
      </c>
      <c r="N24" s="193">
        <v>0</v>
      </c>
      <c r="O24" s="193">
        <v>770.94</v>
      </c>
      <c r="P24" s="193">
        <v>0</v>
      </c>
      <c r="Q24" s="193">
        <v>0</v>
      </c>
      <c r="R24" s="193">
        <v>0</v>
      </c>
      <c r="S24" s="193">
        <v>0</v>
      </c>
      <c r="T24" s="193">
        <v>770.94</v>
      </c>
    </row>
    <row r="25" spans="1:20">
      <c r="A25" s="13">
        <v>21</v>
      </c>
      <c r="B25" s="204" t="s">
        <v>222</v>
      </c>
      <c r="C25" s="205"/>
      <c r="D25" s="198">
        <v>0</v>
      </c>
      <c r="E25" s="198">
        <v>0</v>
      </c>
      <c r="F25" s="198">
        <v>36.024999999999999</v>
      </c>
      <c r="G25" s="199">
        <v>0</v>
      </c>
      <c r="H25" s="199">
        <v>0</v>
      </c>
      <c r="I25" s="10">
        <v>0</v>
      </c>
      <c r="J25" s="11">
        <v>0</v>
      </c>
      <c r="K25" s="11">
        <v>0</v>
      </c>
      <c r="L25" s="193">
        <v>0</v>
      </c>
      <c r="M25" s="193">
        <v>0</v>
      </c>
      <c r="N25" s="193">
        <v>0</v>
      </c>
      <c r="O25" s="193">
        <v>770.94</v>
      </c>
      <c r="P25" s="193">
        <v>0</v>
      </c>
      <c r="Q25" s="193">
        <v>0</v>
      </c>
      <c r="R25" s="193">
        <v>0</v>
      </c>
      <c r="S25" s="193">
        <v>0</v>
      </c>
      <c r="T25" s="193">
        <v>770.94</v>
      </c>
    </row>
    <row r="26" spans="1:20">
      <c r="A26" s="13">
        <v>22</v>
      </c>
      <c r="B26" s="204" t="s">
        <v>223</v>
      </c>
      <c r="C26" s="205"/>
      <c r="D26" s="198">
        <v>0</v>
      </c>
      <c r="E26" s="198">
        <v>0</v>
      </c>
      <c r="F26" s="198">
        <v>36.024999999999999</v>
      </c>
      <c r="G26" s="199">
        <v>0</v>
      </c>
      <c r="H26" s="199">
        <v>0</v>
      </c>
      <c r="I26" s="10">
        <v>0</v>
      </c>
      <c r="J26" s="11">
        <v>0</v>
      </c>
      <c r="K26" s="11">
        <v>0</v>
      </c>
      <c r="L26" s="193">
        <v>0</v>
      </c>
      <c r="M26" s="193">
        <v>0</v>
      </c>
      <c r="N26" s="193">
        <v>0</v>
      </c>
      <c r="O26" s="193">
        <v>770.94</v>
      </c>
      <c r="P26" s="193">
        <v>0</v>
      </c>
      <c r="Q26" s="193">
        <v>0</v>
      </c>
      <c r="R26" s="193">
        <v>0</v>
      </c>
      <c r="S26" s="193">
        <v>0</v>
      </c>
      <c r="T26" s="193">
        <v>770.94</v>
      </c>
    </row>
    <row r="27" spans="1:20">
      <c r="A27" s="13">
        <v>23</v>
      </c>
      <c r="B27" s="204" t="s">
        <v>224</v>
      </c>
      <c r="C27" s="205"/>
      <c r="D27" s="198">
        <v>0</v>
      </c>
      <c r="E27" s="198">
        <v>0</v>
      </c>
      <c r="F27" s="198">
        <v>36.024999999999999</v>
      </c>
      <c r="G27" s="199">
        <v>0</v>
      </c>
      <c r="H27" s="199">
        <v>0</v>
      </c>
      <c r="I27" s="10">
        <v>0</v>
      </c>
      <c r="J27" s="11">
        <v>0</v>
      </c>
      <c r="K27" s="11">
        <v>0</v>
      </c>
      <c r="L27" s="193">
        <v>0</v>
      </c>
      <c r="M27" s="193">
        <v>0</v>
      </c>
      <c r="N27" s="193">
        <v>0</v>
      </c>
      <c r="O27" s="193">
        <v>770.94</v>
      </c>
      <c r="P27" s="193">
        <v>0</v>
      </c>
      <c r="Q27" s="193">
        <v>0</v>
      </c>
      <c r="R27" s="193">
        <v>0</v>
      </c>
      <c r="S27" s="193">
        <v>0</v>
      </c>
      <c r="T27" s="193">
        <v>770.94</v>
      </c>
    </row>
    <row r="28" spans="1:20">
      <c r="A28" s="13">
        <v>24</v>
      </c>
      <c r="B28" s="204" t="s">
        <v>225</v>
      </c>
      <c r="C28" s="205"/>
      <c r="D28" s="198">
        <v>0</v>
      </c>
      <c r="E28" s="198">
        <v>6.875</v>
      </c>
      <c r="F28" s="198">
        <v>29.15</v>
      </c>
      <c r="G28" s="199">
        <v>0</v>
      </c>
      <c r="H28" s="199">
        <v>0</v>
      </c>
      <c r="I28" s="10">
        <v>0</v>
      </c>
      <c r="J28" s="11">
        <v>0</v>
      </c>
      <c r="K28" s="11">
        <v>0</v>
      </c>
      <c r="L28" s="193">
        <v>0</v>
      </c>
      <c r="M28" s="193">
        <v>0</v>
      </c>
      <c r="N28" s="193">
        <v>781.69</v>
      </c>
      <c r="O28" s="193">
        <v>623.80999999999995</v>
      </c>
      <c r="P28" s="193">
        <v>0</v>
      </c>
      <c r="Q28" s="193">
        <v>0</v>
      </c>
      <c r="R28" s="193">
        <v>0</v>
      </c>
      <c r="S28" s="193">
        <v>0</v>
      </c>
      <c r="T28" s="193">
        <v>1405.5</v>
      </c>
    </row>
    <row r="29" spans="1:20">
      <c r="A29" s="13">
        <v>25</v>
      </c>
      <c r="B29" s="204" t="s">
        <v>226</v>
      </c>
      <c r="C29" s="205"/>
      <c r="D29" s="198">
        <v>0</v>
      </c>
      <c r="E29" s="198">
        <v>0</v>
      </c>
      <c r="F29" s="198">
        <v>29.15</v>
      </c>
      <c r="G29" s="199">
        <v>0</v>
      </c>
      <c r="H29" s="199">
        <v>0</v>
      </c>
      <c r="I29" s="10">
        <v>0</v>
      </c>
      <c r="J29" s="11">
        <v>0</v>
      </c>
      <c r="K29" s="11">
        <v>0</v>
      </c>
      <c r="L29" s="193">
        <v>0</v>
      </c>
      <c r="M29" s="193">
        <v>0</v>
      </c>
      <c r="N29" s="193">
        <v>0</v>
      </c>
      <c r="O29" s="193">
        <v>623.80999999999995</v>
      </c>
      <c r="P29" s="193">
        <v>0</v>
      </c>
      <c r="Q29" s="193">
        <v>0</v>
      </c>
      <c r="R29" s="193">
        <v>0</v>
      </c>
      <c r="S29" s="193">
        <v>0</v>
      </c>
      <c r="T29" s="193">
        <v>623.80999999999995</v>
      </c>
    </row>
    <row r="30" spans="1:20">
      <c r="A30" s="13">
        <v>26</v>
      </c>
      <c r="B30" s="204" t="s">
        <v>227</v>
      </c>
      <c r="C30" s="205"/>
      <c r="D30" s="198">
        <v>0</v>
      </c>
      <c r="E30" s="198">
        <v>0</v>
      </c>
      <c r="F30" s="198">
        <v>29.15</v>
      </c>
      <c r="G30" s="199">
        <v>0</v>
      </c>
      <c r="H30" s="199">
        <v>0</v>
      </c>
      <c r="I30" s="10">
        <v>0</v>
      </c>
      <c r="J30" s="11">
        <v>0</v>
      </c>
      <c r="K30" s="11">
        <v>0</v>
      </c>
      <c r="L30" s="193">
        <v>0</v>
      </c>
      <c r="M30" s="193">
        <v>0</v>
      </c>
      <c r="N30" s="193">
        <v>0</v>
      </c>
      <c r="O30" s="193">
        <v>623.80999999999995</v>
      </c>
      <c r="P30" s="193">
        <v>0</v>
      </c>
      <c r="Q30" s="193">
        <v>0</v>
      </c>
      <c r="R30" s="193">
        <v>0</v>
      </c>
      <c r="S30" s="193">
        <v>0</v>
      </c>
      <c r="T30" s="193">
        <v>623.80999999999995</v>
      </c>
    </row>
    <row r="31" spans="1:20">
      <c r="A31" s="13">
        <v>27</v>
      </c>
      <c r="B31" s="204" t="s">
        <v>228</v>
      </c>
      <c r="C31" s="205"/>
      <c r="D31" s="198">
        <v>0</v>
      </c>
      <c r="E31" s="198">
        <v>0</v>
      </c>
      <c r="F31" s="198">
        <v>29.15</v>
      </c>
      <c r="G31" s="199">
        <v>0</v>
      </c>
      <c r="H31" s="199">
        <v>0</v>
      </c>
      <c r="I31" s="10">
        <v>0</v>
      </c>
      <c r="J31" s="11">
        <v>0</v>
      </c>
      <c r="K31" s="11">
        <v>0</v>
      </c>
      <c r="L31" s="193">
        <v>0</v>
      </c>
      <c r="M31" s="193">
        <v>0</v>
      </c>
      <c r="N31" s="193">
        <v>0</v>
      </c>
      <c r="O31" s="193">
        <v>623.80999999999995</v>
      </c>
      <c r="P31" s="193">
        <v>0</v>
      </c>
      <c r="Q31" s="193">
        <v>0</v>
      </c>
      <c r="R31" s="193">
        <v>0</v>
      </c>
      <c r="S31" s="193">
        <v>0</v>
      </c>
      <c r="T31" s="193">
        <v>623.80999999999995</v>
      </c>
    </row>
    <row r="32" spans="1:20">
      <c r="A32" s="13">
        <v>28</v>
      </c>
      <c r="B32" s="204" t="s">
        <v>229</v>
      </c>
      <c r="C32" s="205"/>
      <c r="D32" s="198">
        <v>0</v>
      </c>
      <c r="E32" s="198">
        <v>0</v>
      </c>
      <c r="F32" s="198">
        <v>29.15</v>
      </c>
      <c r="G32" s="199">
        <v>0</v>
      </c>
      <c r="H32" s="199">
        <v>0</v>
      </c>
      <c r="I32" s="10">
        <v>0</v>
      </c>
      <c r="J32" s="11">
        <v>0</v>
      </c>
      <c r="K32" s="11">
        <v>0</v>
      </c>
      <c r="L32" s="193">
        <v>0</v>
      </c>
      <c r="M32" s="193">
        <v>0</v>
      </c>
      <c r="N32" s="193">
        <v>0</v>
      </c>
      <c r="O32" s="193">
        <v>623.80999999999995</v>
      </c>
      <c r="P32" s="193">
        <v>0</v>
      </c>
      <c r="Q32" s="193">
        <v>0</v>
      </c>
      <c r="R32" s="193">
        <v>0</v>
      </c>
      <c r="S32" s="193">
        <v>0</v>
      </c>
      <c r="T32" s="193">
        <v>623.80999999999995</v>
      </c>
    </row>
    <row r="33" spans="1:20">
      <c r="A33" s="13">
        <v>29</v>
      </c>
      <c r="B33" s="204" t="s">
        <v>230</v>
      </c>
      <c r="C33" s="205"/>
      <c r="D33" s="198">
        <v>0</v>
      </c>
      <c r="E33" s="198">
        <v>0</v>
      </c>
      <c r="F33" s="198">
        <v>29.15</v>
      </c>
      <c r="G33" s="199">
        <v>0</v>
      </c>
      <c r="H33" s="199">
        <v>0</v>
      </c>
      <c r="I33" s="10">
        <v>0</v>
      </c>
      <c r="J33" s="11">
        <v>0</v>
      </c>
      <c r="K33" s="11">
        <v>0</v>
      </c>
      <c r="L33" s="193">
        <v>0</v>
      </c>
      <c r="M33" s="193">
        <v>0</v>
      </c>
      <c r="N33" s="193">
        <v>0</v>
      </c>
      <c r="O33" s="193">
        <v>623.80999999999995</v>
      </c>
      <c r="P33" s="193">
        <v>0</v>
      </c>
      <c r="Q33" s="193">
        <v>0</v>
      </c>
      <c r="R33" s="193">
        <v>0</v>
      </c>
      <c r="S33" s="193">
        <v>0</v>
      </c>
      <c r="T33" s="193">
        <v>623.80999999999995</v>
      </c>
    </row>
    <row r="34" spans="1:20">
      <c r="A34" s="13">
        <v>30</v>
      </c>
      <c r="B34" s="204" t="s">
        <v>231</v>
      </c>
      <c r="C34" s="205"/>
      <c r="D34" s="198">
        <v>0</v>
      </c>
      <c r="E34" s="198">
        <v>0</v>
      </c>
      <c r="F34" s="198">
        <v>29.15</v>
      </c>
      <c r="G34" s="199">
        <v>0</v>
      </c>
      <c r="H34" s="199">
        <v>0</v>
      </c>
      <c r="I34" s="10">
        <v>0</v>
      </c>
      <c r="J34" s="11">
        <v>0</v>
      </c>
      <c r="K34" s="11">
        <v>0</v>
      </c>
      <c r="L34" s="193">
        <v>0</v>
      </c>
      <c r="M34" s="193">
        <v>0</v>
      </c>
      <c r="N34" s="193">
        <v>0</v>
      </c>
      <c r="O34" s="193">
        <v>623.80999999999995</v>
      </c>
      <c r="P34" s="193">
        <v>0</v>
      </c>
      <c r="Q34" s="193">
        <v>0</v>
      </c>
      <c r="R34" s="193">
        <v>0</v>
      </c>
      <c r="S34" s="193">
        <v>0</v>
      </c>
      <c r="T34" s="193">
        <v>623.80999999999995</v>
      </c>
    </row>
    <row r="35" spans="1:20">
      <c r="A35" s="13">
        <v>31</v>
      </c>
      <c r="B35" s="204" t="s">
        <v>232</v>
      </c>
      <c r="C35" s="205"/>
      <c r="D35" s="198">
        <v>0</v>
      </c>
      <c r="E35" s="198">
        <v>0</v>
      </c>
      <c r="F35" s="198">
        <v>29.15</v>
      </c>
      <c r="G35" s="199">
        <v>0</v>
      </c>
      <c r="H35" s="199">
        <v>0</v>
      </c>
      <c r="I35" s="10">
        <v>0</v>
      </c>
      <c r="J35" s="11">
        <v>0</v>
      </c>
      <c r="K35" s="11">
        <v>0</v>
      </c>
      <c r="L35" s="193">
        <v>0</v>
      </c>
      <c r="M35" s="193">
        <v>0</v>
      </c>
      <c r="N35" s="193">
        <v>0</v>
      </c>
      <c r="O35" s="193">
        <v>623.80999999999995</v>
      </c>
      <c r="P35" s="193">
        <v>0</v>
      </c>
      <c r="Q35" s="193">
        <v>0</v>
      </c>
      <c r="R35" s="193">
        <v>0</v>
      </c>
      <c r="S35" s="193">
        <v>0</v>
      </c>
      <c r="T35" s="193">
        <v>623.80999999999995</v>
      </c>
    </row>
    <row r="36" spans="1:20">
      <c r="D36" s="19">
        <v>44</v>
      </c>
      <c r="E36" s="19">
        <v>42.625</v>
      </c>
      <c r="F36" s="19">
        <v>1031.5249999999996</v>
      </c>
      <c r="G36" s="19">
        <v>0</v>
      </c>
      <c r="H36" s="19">
        <v>0</v>
      </c>
      <c r="I36" s="19">
        <v>0</v>
      </c>
      <c r="J36" s="20">
        <v>0</v>
      </c>
      <c r="K36" s="20">
        <v>0</v>
      </c>
      <c r="L36" s="194">
        <v>0</v>
      </c>
      <c r="M36" s="194">
        <v>5002.8</v>
      </c>
      <c r="N36" s="194">
        <v>4846.46</v>
      </c>
      <c r="O36" s="194">
        <v>22074.639999999999</v>
      </c>
      <c r="P36" s="194">
        <v>0</v>
      </c>
      <c r="Q36" s="194">
        <v>0</v>
      </c>
      <c r="R36" s="194">
        <v>0</v>
      </c>
      <c r="S36" s="194">
        <v>0</v>
      </c>
      <c r="T36" s="194">
        <v>31923.9</v>
      </c>
    </row>
    <row r="37" spans="1:20">
      <c r="R37" s="22"/>
      <c r="S37" s="22"/>
      <c r="T37" s="195">
        <v>38308.68</v>
      </c>
    </row>
  </sheetData>
  <mergeCells count="50">
    <mergeCell ref="B8:C8"/>
    <mergeCell ref="B9:C9"/>
    <mergeCell ref="B10:C10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  <mergeCell ref="B7:C7"/>
    <mergeCell ref="L3:L4"/>
    <mergeCell ref="M3:M4"/>
    <mergeCell ref="N3:N4"/>
    <mergeCell ref="O3:O4"/>
    <mergeCell ref="R3:R4"/>
    <mergeCell ref="S3:S4"/>
    <mergeCell ref="T3:T4"/>
    <mergeCell ref="B5:C5"/>
    <mergeCell ref="B6:C6"/>
    <mergeCell ref="P3:P4"/>
    <mergeCell ref="Q3:Q4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13:C13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</mergeCells>
  <pageMargins left="0.7" right="0.7" top="0.75" bottom="0.75" header="0.3" footer="0.3"/>
  <pageSetup paperSize="9" fitToHeight="5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AE94E-8246-41BB-A311-CB33B80B6893}">
  <sheetPr codeName="Лист56">
    <pageSetUpPr fitToPage="1"/>
  </sheetPr>
  <dimension ref="A1:T37"/>
  <sheetViews>
    <sheetView workbookViewId="0">
      <selection activeCell="G35" sqref="G35"/>
    </sheetView>
  </sheetViews>
  <sheetFormatPr defaultRowHeight="15"/>
  <cols>
    <col min="1" max="3" width="8.796875" style="2"/>
    <col min="4" max="4" width="8.296875" style="2" customWidth="1"/>
    <col min="5" max="5" width="8.59765625" style="2" customWidth="1"/>
    <col min="6" max="6" width="9.19921875" style="2" customWidth="1"/>
    <col min="7" max="7" width="8" style="2" customWidth="1"/>
    <col min="8" max="8" width="7.5" style="2" customWidth="1"/>
    <col min="9" max="9" width="7.3984375" style="2" bestFit="1" customWidth="1"/>
    <col min="10" max="12" width="8.796875" style="2"/>
    <col min="13" max="13" width="9.19921875" style="2" customWidth="1"/>
    <col min="14" max="14" width="9.5" style="2" customWidth="1"/>
    <col min="15" max="15" width="10.19921875" style="2" customWidth="1"/>
    <col min="16" max="16" width="10.19921875" style="2" bestFit="1" customWidth="1"/>
    <col min="17" max="17" width="10.5" style="2" customWidth="1"/>
    <col min="18" max="18" width="9.296875" style="2" customWidth="1"/>
    <col min="19" max="19" width="8.19921875" style="2" customWidth="1"/>
    <col min="20" max="20" width="17" style="2" customWidth="1"/>
    <col min="21" max="16384" width="8.796875" style="2"/>
  </cols>
  <sheetData>
    <row r="1" spans="1:20">
      <c r="I1" s="3"/>
    </row>
    <row r="2" spans="1:20" ht="28.9" customHeight="1">
      <c r="A2" s="209" t="s">
        <v>281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</row>
    <row r="3" spans="1:20" ht="28.9" customHeight="1">
      <c r="A3" s="206" t="s">
        <v>0</v>
      </c>
      <c r="B3" s="210" t="s">
        <v>1</v>
      </c>
      <c r="C3" s="211"/>
      <c r="D3" s="206" t="s">
        <v>2</v>
      </c>
      <c r="E3" s="206" t="s">
        <v>3</v>
      </c>
      <c r="F3" s="4" t="s">
        <v>4</v>
      </c>
      <c r="G3" s="206" t="s">
        <v>282</v>
      </c>
      <c r="H3" s="206" t="s">
        <v>283</v>
      </c>
      <c r="I3" s="206" t="s">
        <v>7</v>
      </c>
      <c r="J3" s="206" t="s">
        <v>8</v>
      </c>
      <c r="K3" s="206" t="s">
        <v>9</v>
      </c>
      <c r="L3" s="206" t="s">
        <v>10</v>
      </c>
      <c r="M3" s="206" t="s">
        <v>11</v>
      </c>
      <c r="N3" s="206" t="s">
        <v>12</v>
      </c>
      <c r="O3" s="206" t="s">
        <v>13</v>
      </c>
      <c r="P3" s="206" t="s">
        <v>14</v>
      </c>
      <c r="Q3" s="206" t="s">
        <v>15</v>
      </c>
      <c r="R3" s="206" t="s">
        <v>16</v>
      </c>
      <c r="S3" s="206" t="s">
        <v>17</v>
      </c>
      <c r="T3" s="206" t="s">
        <v>18</v>
      </c>
    </row>
    <row r="4" spans="1:20">
      <c r="A4" s="207"/>
      <c r="B4" s="212"/>
      <c r="C4" s="213"/>
      <c r="D4" s="207"/>
      <c r="E4" s="207"/>
      <c r="F4" s="5"/>
      <c r="G4" s="207"/>
      <c r="H4" s="207"/>
      <c r="I4" s="207"/>
      <c r="J4" s="207"/>
      <c r="K4" s="208"/>
      <c r="L4" s="208"/>
      <c r="M4" s="207"/>
      <c r="N4" s="207"/>
      <c r="O4" s="207"/>
      <c r="P4" s="207"/>
      <c r="Q4" s="207"/>
      <c r="R4" s="207"/>
      <c r="S4" s="207"/>
      <c r="T4" s="207"/>
    </row>
    <row r="5" spans="1:20">
      <c r="A5" s="13">
        <v>1</v>
      </c>
      <c r="B5" s="204" t="s">
        <v>202</v>
      </c>
      <c r="C5" s="205"/>
      <c r="D5" s="198">
        <v>0</v>
      </c>
      <c r="E5" s="198">
        <v>0</v>
      </c>
      <c r="F5" s="198">
        <v>927.84299999999996</v>
      </c>
      <c r="G5" s="199">
        <v>0</v>
      </c>
      <c r="H5" s="199">
        <v>0</v>
      </c>
      <c r="I5" s="10">
        <v>0</v>
      </c>
      <c r="J5" s="11">
        <v>0</v>
      </c>
      <c r="K5" s="11"/>
      <c r="L5" s="193">
        <v>0</v>
      </c>
      <c r="M5" s="193">
        <v>0</v>
      </c>
      <c r="N5" s="193">
        <v>0</v>
      </c>
      <c r="O5" s="193">
        <v>60309.8</v>
      </c>
      <c r="P5" s="193">
        <v>0</v>
      </c>
      <c r="Q5" s="193">
        <v>0</v>
      </c>
      <c r="R5" s="193">
        <v>0</v>
      </c>
      <c r="S5" s="193">
        <v>0</v>
      </c>
      <c r="T5" s="193">
        <v>60309.8</v>
      </c>
    </row>
    <row r="6" spans="1:20">
      <c r="A6" s="13">
        <v>2</v>
      </c>
      <c r="B6" s="204" t="s">
        <v>203</v>
      </c>
      <c r="C6" s="205"/>
      <c r="D6" s="198">
        <v>0</v>
      </c>
      <c r="E6" s="198">
        <v>0</v>
      </c>
      <c r="F6" s="198">
        <v>927.84299999999996</v>
      </c>
      <c r="G6" s="199">
        <v>0</v>
      </c>
      <c r="H6" s="199">
        <v>0</v>
      </c>
      <c r="I6" s="10">
        <v>0</v>
      </c>
      <c r="J6" s="11">
        <v>0</v>
      </c>
      <c r="K6" s="11"/>
      <c r="L6" s="193">
        <v>0</v>
      </c>
      <c r="M6" s="193">
        <v>0</v>
      </c>
      <c r="N6" s="193">
        <v>0</v>
      </c>
      <c r="O6" s="193">
        <v>60309.8</v>
      </c>
      <c r="P6" s="193">
        <v>0</v>
      </c>
      <c r="Q6" s="193">
        <v>0</v>
      </c>
      <c r="R6" s="193">
        <v>0</v>
      </c>
      <c r="S6" s="193">
        <v>0</v>
      </c>
      <c r="T6" s="193">
        <v>60309.8</v>
      </c>
    </row>
    <row r="7" spans="1:20">
      <c r="A7" s="13">
        <v>3</v>
      </c>
      <c r="B7" s="204" t="s">
        <v>204</v>
      </c>
      <c r="C7" s="205"/>
      <c r="D7" s="198">
        <v>0</v>
      </c>
      <c r="E7" s="198">
        <v>0</v>
      </c>
      <c r="F7" s="198">
        <v>927.84299999999996</v>
      </c>
      <c r="G7" s="199">
        <v>0</v>
      </c>
      <c r="H7" s="199">
        <v>0</v>
      </c>
      <c r="I7" s="10">
        <v>0</v>
      </c>
      <c r="J7" s="11">
        <v>0</v>
      </c>
      <c r="K7" s="11"/>
      <c r="L7" s="193">
        <v>0</v>
      </c>
      <c r="M7" s="193">
        <v>0</v>
      </c>
      <c r="N7" s="193">
        <v>0</v>
      </c>
      <c r="O7" s="193">
        <v>60309.8</v>
      </c>
      <c r="P7" s="193">
        <v>0</v>
      </c>
      <c r="Q7" s="193">
        <v>0</v>
      </c>
      <c r="R7" s="193">
        <v>0</v>
      </c>
      <c r="S7" s="193">
        <v>0</v>
      </c>
      <c r="T7" s="193">
        <v>60309.8</v>
      </c>
    </row>
    <row r="8" spans="1:20">
      <c r="A8" s="13">
        <v>4</v>
      </c>
      <c r="B8" s="204" t="s">
        <v>205</v>
      </c>
      <c r="C8" s="205"/>
      <c r="D8" s="198">
        <v>0</v>
      </c>
      <c r="E8" s="198">
        <v>0</v>
      </c>
      <c r="F8" s="198">
        <v>927.84299999999996</v>
      </c>
      <c r="G8" s="199">
        <v>0</v>
      </c>
      <c r="H8" s="199">
        <v>0</v>
      </c>
      <c r="I8" s="10">
        <v>0</v>
      </c>
      <c r="J8" s="11">
        <v>0</v>
      </c>
      <c r="K8" s="11"/>
      <c r="L8" s="193">
        <v>0</v>
      </c>
      <c r="M8" s="193">
        <v>0</v>
      </c>
      <c r="N8" s="193">
        <v>0</v>
      </c>
      <c r="O8" s="193">
        <v>60309.8</v>
      </c>
      <c r="P8" s="193">
        <v>0</v>
      </c>
      <c r="Q8" s="193">
        <v>0</v>
      </c>
      <c r="R8" s="193">
        <v>0</v>
      </c>
      <c r="S8" s="193">
        <v>0</v>
      </c>
      <c r="T8" s="193">
        <v>60309.8</v>
      </c>
    </row>
    <row r="9" spans="1:20">
      <c r="A9" s="13">
        <v>5</v>
      </c>
      <c r="B9" s="204" t="s">
        <v>206</v>
      </c>
      <c r="C9" s="205"/>
      <c r="D9" s="198">
        <v>0</v>
      </c>
      <c r="E9" s="198">
        <v>0</v>
      </c>
      <c r="F9" s="198">
        <v>927.84299999999996</v>
      </c>
      <c r="G9" s="199">
        <v>0</v>
      </c>
      <c r="H9" s="199">
        <v>0</v>
      </c>
      <c r="I9" s="10">
        <v>0</v>
      </c>
      <c r="J9" s="11">
        <v>0</v>
      </c>
      <c r="K9" s="11"/>
      <c r="L9" s="193">
        <v>0</v>
      </c>
      <c r="M9" s="193">
        <v>0</v>
      </c>
      <c r="N9" s="193">
        <v>0</v>
      </c>
      <c r="O9" s="193">
        <v>60309.8</v>
      </c>
      <c r="P9" s="193">
        <v>0</v>
      </c>
      <c r="Q9" s="193">
        <v>0</v>
      </c>
      <c r="R9" s="193">
        <v>0</v>
      </c>
      <c r="S9" s="193">
        <v>0</v>
      </c>
      <c r="T9" s="193">
        <v>60309.8</v>
      </c>
    </row>
    <row r="10" spans="1:20">
      <c r="A10" s="13">
        <v>6</v>
      </c>
      <c r="B10" s="204" t="s">
        <v>207</v>
      </c>
      <c r="C10" s="205"/>
      <c r="D10" s="198">
        <v>0</v>
      </c>
      <c r="E10" s="198">
        <v>0</v>
      </c>
      <c r="F10" s="198">
        <v>927.84299999999996</v>
      </c>
      <c r="G10" s="199">
        <v>0</v>
      </c>
      <c r="H10" s="199">
        <v>0</v>
      </c>
      <c r="I10" s="10">
        <v>0</v>
      </c>
      <c r="J10" s="11">
        <v>0</v>
      </c>
      <c r="K10" s="11"/>
      <c r="L10" s="193">
        <v>0</v>
      </c>
      <c r="M10" s="193">
        <v>0</v>
      </c>
      <c r="N10" s="193">
        <v>0</v>
      </c>
      <c r="O10" s="193">
        <v>60309.8</v>
      </c>
      <c r="P10" s="193">
        <v>0</v>
      </c>
      <c r="Q10" s="193">
        <v>0</v>
      </c>
      <c r="R10" s="193">
        <v>0</v>
      </c>
      <c r="S10" s="193">
        <v>0</v>
      </c>
      <c r="T10" s="193">
        <v>60309.8</v>
      </c>
    </row>
    <row r="11" spans="1:20">
      <c r="A11" s="13">
        <v>7</v>
      </c>
      <c r="B11" s="204" t="s">
        <v>208</v>
      </c>
      <c r="C11" s="205"/>
      <c r="D11" s="198">
        <v>0</v>
      </c>
      <c r="E11" s="198">
        <v>0</v>
      </c>
      <c r="F11" s="198">
        <v>927.84299999999996</v>
      </c>
      <c r="G11" s="199">
        <v>0</v>
      </c>
      <c r="H11" s="199">
        <v>0</v>
      </c>
      <c r="I11" s="10">
        <v>0</v>
      </c>
      <c r="J11" s="11">
        <v>0</v>
      </c>
      <c r="K11" s="11"/>
      <c r="L11" s="193">
        <v>0</v>
      </c>
      <c r="M11" s="193">
        <v>0</v>
      </c>
      <c r="N11" s="193">
        <v>0</v>
      </c>
      <c r="O11" s="193">
        <v>60309.8</v>
      </c>
      <c r="P11" s="193">
        <v>0</v>
      </c>
      <c r="Q11" s="193">
        <v>0</v>
      </c>
      <c r="R11" s="193">
        <v>0</v>
      </c>
      <c r="S11" s="193">
        <v>0</v>
      </c>
      <c r="T11" s="193">
        <v>60309.8</v>
      </c>
    </row>
    <row r="12" spans="1:20">
      <c r="A12" s="13">
        <v>8</v>
      </c>
      <c r="B12" s="204" t="s">
        <v>209</v>
      </c>
      <c r="C12" s="205"/>
      <c r="D12" s="198">
        <v>0</v>
      </c>
      <c r="E12" s="198">
        <v>0</v>
      </c>
      <c r="F12" s="198">
        <v>927.84299999999996</v>
      </c>
      <c r="G12" s="199">
        <v>0</v>
      </c>
      <c r="H12" s="199">
        <v>0</v>
      </c>
      <c r="I12" s="10">
        <v>0</v>
      </c>
      <c r="J12" s="11">
        <v>0</v>
      </c>
      <c r="K12" s="11"/>
      <c r="L12" s="193">
        <v>0</v>
      </c>
      <c r="M12" s="193">
        <v>0</v>
      </c>
      <c r="N12" s="193">
        <v>0</v>
      </c>
      <c r="O12" s="193">
        <v>60309.8</v>
      </c>
      <c r="P12" s="193">
        <v>0</v>
      </c>
      <c r="Q12" s="193">
        <v>0</v>
      </c>
      <c r="R12" s="193">
        <v>0</v>
      </c>
      <c r="S12" s="193">
        <v>0</v>
      </c>
      <c r="T12" s="193">
        <v>60309.8</v>
      </c>
    </row>
    <row r="13" spans="1:20">
      <c r="A13" s="13">
        <v>9</v>
      </c>
      <c r="B13" s="204" t="s">
        <v>210</v>
      </c>
      <c r="C13" s="205"/>
      <c r="D13" s="198">
        <v>0</v>
      </c>
      <c r="E13" s="198">
        <v>0</v>
      </c>
      <c r="F13" s="198">
        <v>927.84299999999996</v>
      </c>
      <c r="G13" s="199">
        <v>0</v>
      </c>
      <c r="H13" s="199">
        <v>0</v>
      </c>
      <c r="I13" s="10">
        <v>0</v>
      </c>
      <c r="J13" s="11">
        <v>0</v>
      </c>
      <c r="K13" s="11"/>
      <c r="L13" s="193">
        <v>0</v>
      </c>
      <c r="M13" s="193">
        <v>0</v>
      </c>
      <c r="N13" s="193">
        <v>0</v>
      </c>
      <c r="O13" s="193">
        <v>60309.8</v>
      </c>
      <c r="P13" s="193">
        <v>0</v>
      </c>
      <c r="Q13" s="193">
        <v>0</v>
      </c>
      <c r="R13" s="193">
        <v>0</v>
      </c>
      <c r="S13" s="193">
        <v>0</v>
      </c>
      <c r="T13" s="193">
        <v>60309.8</v>
      </c>
    </row>
    <row r="14" spans="1:20">
      <c r="A14" s="13">
        <v>10</v>
      </c>
      <c r="B14" s="204" t="s">
        <v>211</v>
      </c>
      <c r="C14" s="205"/>
      <c r="D14" s="198">
        <v>0</v>
      </c>
      <c r="E14" s="198">
        <v>0</v>
      </c>
      <c r="F14" s="198">
        <v>927.84299999999996</v>
      </c>
      <c r="G14" s="199">
        <v>0</v>
      </c>
      <c r="H14" s="199">
        <v>0</v>
      </c>
      <c r="I14" s="10">
        <v>0</v>
      </c>
      <c r="J14" s="11">
        <v>0</v>
      </c>
      <c r="K14" s="11"/>
      <c r="L14" s="193">
        <v>0</v>
      </c>
      <c r="M14" s="193">
        <v>0</v>
      </c>
      <c r="N14" s="193">
        <v>0</v>
      </c>
      <c r="O14" s="193">
        <v>60309.8</v>
      </c>
      <c r="P14" s="193">
        <v>0</v>
      </c>
      <c r="Q14" s="193">
        <v>0</v>
      </c>
      <c r="R14" s="193">
        <v>0</v>
      </c>
      <c r="S14" s="193">
        <v>0</v>
      </c>
      <c r="T14" s="193">
        <v>60309.8</v>
      </c>
    </row>
    <row r="15" spans="1:20">
      <c r="A15" s="13">
        <v>11</v>
      </c>
      <c r="B15" s="204" t="s">
        <v>212</v>
      </c>
      <c r="C15" s="205"/>
      <c r="D15" s="198">
        <v>0</v>
      </c>
      <c r="E15" s="198">
        <v>0</v>
      </c>
      <c r="F15" s="198">
        <v>927.84299999999996</v>
      </c>
      <c r="G15" s="199">
        <v>0</v>
      </c>
      <c r="H15" s="199">
        <v>0</v>
      </c>
      <c r="I15" s="10">
        <v>0</v>
      </c>
      <c r="J15" s="11">
        <v>0</v>
      </c>
      <c r="K15" s="11"/>
      <c r="L15" s="193">
        <v>0</v>
      </c>
      <c r="M15" s="193">
        <v>0</v>
      </c>
      <c r="N15" s="193">
        <v>0</v>
      </c>
      <c r="O15" s="193">
        <v>60309.8</v>
      </c>
      <c r="P15" s="193">
        <v>0</v>
      </c>
      <c r="Q15" s="193">
        <v>0</v>
      </c>
      <c r="R15" s="193">
        <v>0</v>
      </c>
      <c r="S15" s="193">
        <v>0</v>
      </c>
      <c r="T15" s="193">
        <v>60309.8</v>
      </c>
    </row>
    <row r="16" spans="1:20">
      <c r="A16" s="13">
        <v>12</v>
      </c>
      <c r="B16" s="204" t="s">
        <v>213</v>
      </c>
      <c r="C16" s="205"/>
      <c r="D16" s="198">
        <v>0</v>
      </c>
      <c r="E16" s="198">
        <v>0</v>
      </c>
      <c r="F16" s="198">
        <v>927.84299999999996</v>
      </c>
      <c r="G16" s="199">
        <v>0</v>
      </c>
      <c r="H16" s="199">
        <v>0</v>
      </c>
      <c r="I16" s="10">
        <v>0</v>
      </c>
      <c r="J16" s="11">
        <v>0</v>
      </c>
      <c r="K16" s="18"/>
      <c r="L16" s="193">
        <v>0</v>
      </c>
      <c r="M16" s="193">
        <v>0</v>
      </c>
      <c r="N16" s="193">
        <v>0</v>
      </c>
      <c r="O16" s="193">
        <v>60309.8</v>
      </c>
      <c r="P16" s="193">
        <v>0</v>
      </c>
      <c r="Q16" s="193">
        <v>0</v>
      </c>
      <c r="R16" s="193">
        <v>0</v>
      </c>
      <c r="S16" s="193">
        <v>0</v>
      </c>
      <c r="T16" s="193">
        <v>60309.8</v>
      </c>
    </row>
    <row r="17" spans="1:20">
      <c r="A17" s="13">
        <v>13</v>
      </c>
      <c r="B17" s="204" t="s">
        <v>214</v>
      </c>
      <c r="C17" s="205"/>
      <c r="D17" s="198">
        <v>0</v>
      </c>
      <c r="E17" s="198">
        <v>0</v>
      </c>
      <c r="F17" s="198">
        <v>927.84299999999996</v>
      </c>
      <c r="G17" s="199">
        <v>0</v>
      </c>
      <c r="H17" s="199">
        <v>0</v>
      </c>
      <c r="I17" s="10">
        <v>0</v>
      </c>
      <c r="J17" s="11">
        <v>0</v>
      </c>
      <c r="K17" s="11"/>
      <c r="L17" s="193">
        <v>0</v>
      </c>
      <c r="M17" s="193">
        <v>0</v>
      </c>
      <c r="N17" s="193">
        <v>0</v>
      </c>
      <c r="O17" s="193">
        <v>60309.8</v>
      </c>
      <c r="P17" s="193">
        <v>0</v>
      </c>
      <c r="Q17" s="193">
        <v>0</v>
      </c>
      <c r="R17" s="193">
        <v>0</v>
      </c>
      <c r="S17" s="193">
        <v>0</v>
      </c>
      <c r="T17" s="193">
        <v>60309.8</v>
      </c>
    </row>
    <row r="18" spans="1:20">
      <c r="A18" s="13">
        <v>14</v>
      </c>
      <c r="B18" s="204" t="s">
        <v>215</v>
      </c>
      <c r="C18" s="205"/>
      <c r="D18" s="198">
        <v>0</v>
      </c>
      <c r="E18" s="198">
        <v>0</v>
      </c>
      <c r="F18" s="198">
        <v>927.84299999999996</v>
      </c>
      <c r="G18" s="199">
        <v>0</v>
      </c>
      <c r="H18" s="199">
        <v>0</v>
      </c>
      <c r="I18" s="10">
        <v>0</v>
      </c>
      <c r="J18" s="11">
        <v>0</v>
      </c>
      <c r="K18" s="11"/>
      <c r="L18" s="193">
        <v>0</v>
      </c>
      <c r="M18" s="193">
        <v>0</v>
      </c>
      <c r="N18" s="193">
        <v>0</v>
      </c>
      <c r="O18" s="193">
        <v>60309.8</v>
      </c>
      <c r="P18" s="193">
        <v>0</v>
      </c>
      <c r="Q18" s="193">
        <v>0</v>
      </c>
      <c r="R18" s="193">
        <v>0</v>
      </c>
      <c r="S18" s="193">
        <v>0</v>
      </c>
      <c r="T18" s="193">
        <v>60309.8</v>
      </c>
    </row>
    <row r="19" spans="1:20">
      <c r="A19" s="13">
        <v>15</v>
      </c>
      <c r="B19" s="204" t="s">
        <v>216</v>
      </c>
      <c r="C19" s="205"/>
      <c r="D19" s="198">
        <v>0</v>
      </c>
      <c r="E19" s="198">
        <v>0</v>
      </c>
      <c r="F19" s="198">
        <v>927.84299999999996</v>
      </c>
      <c r="G19" s="199">
        <v>0</v>
      </c>
      <c r="H19" s="199">
        <v>0</v>
      </c>
      <c r="I19" s="10">
        <v>0</v>
      </c>
      <c r="J19" s="11">
        <v>0</v>
      </c>
      <c r="K19" s="11"/>
      <c r="L19" s="193">
        <v>0</v>
      </c>
      <c r="M19" s="193">
        <v>0</v>
      </c>
      <c r="N19" s="193">
        <v>0</v>
      </c>
      <c r="O19" s="193">
        <v>60309.8</v>
      </c>
      <c r="P19" s="193">
        <v>0</v>
      </c>
      <c r="Q19" s="193">
        <v>0</v>
      </c>
      <c r="R19" s="193">
        <v>0</v>
      </c>
      <c r="S19" s="193">
        <v>0</v>
      </c>
      <c r="T19" s="193">
        <v>60309.8</v>
      </c>
    </row>
    <row r="20" spans="1:20">
      <c r="A20" s="13">
        <v>16</v>
      </c>
      <c r="B20" s="204" t="s">
        <v>217</v>
      </c>
      <c r="C20" s="205"/>
      <c r="D20" s="198">
        <v>0</v>
      </c>
      <c r="E20" s="198">
        <v>0</v>
      </c>
      <c r="F20" s="198">
        <v>927.84299999999996</v>
      </c>
      <c r="G20" s="199">
        <v>0</v>
      </c>
      <c r="H20" s="199">
        <v>0</v>
      </c>
      <c r="I20" s="10">
        <v>0</v>
      </c>
      <c r="J20" s="11">
        <v>0</v>
      </c>
      <c r="K20" s="11"/>
      <c r="L20" s="193">
        <v>0</v>
      </c>
      <c r="M20" s="193">
        <v>0</v>
      </c>
      <c r="N20" s="193">
        <v>0</v>
      </c>
      <c r="O20" s="193">
        <v>60309.8</v>
      </c>
      <c r="P20" s="193">
        <v>0</v>
      </c>
      <c r="Q20" s="193">
        <v>0</v>
      </c>
      <c r="R20" s="193">
        <v>0</v>
      </c>
      <c r="S20" s="193">
        <v>0</v>
      </c>
      <c r="T20" s="193">
        <v>60309.8</v>
      </c>
    </row>
    <row r="21" spans="1:20">
      <c r="A21" s="13">
        <v>17</v>
      </c>
      <c r="B21" s="204" t="s">
        <v>218</v>
      </c>
      <c r="C21" s="205"/>
      <c r="D21" s="198">
        <v>0</v>
      </c>
      <c r="E21" s="198">
        <v>0</v>
      </c>
      <c r="F21" s="198">
        <v>927.84299999999996</v>
      </c>
      <c r="G21" s="199">
        <v>0</v>
      </c>
      <c r="H21" s="199">
        <v>0</v>
      </c>
      <c r="I21" s="10">
        <v>0</v>
      </c>
      <c r="J21" s="11">
        <v>0</v>
      </c>
      <c r="K21" s="11"/>
      <c r="L21" s="193">
        <v>0</v>
      </c>
      <c r="M21" s="193">
        <v>0</v>
      </c>
      <c r="N21" s="193">
        <v>0</v>
      </c>
      <c r="O21" s="193">
        <v>60309.8</v>
      </c>
      <c r="P21" s="193">
        <v>0</v>
      </c>
      <c r="Q21" s="193">
        <v>0</v>
      </c>
      <c r="R21" s="193">
        <v>0</v>
      </c>
      <c r="S21" s="193">
        <v>0</v>
      </c>
      <c r="T21" s="193">
        <v>60309.8</v>
      </c>
    </row>
    <row r="22" spans="1:20">
      <c r="A22" s="13">
        <v>18</v>
      </c>
      <c r="B22" s="204" t="s">
        <v>219</v>
      </c>
      <c r="C22" s="205"/>
      <c r="D22" s="198">
        <v>0</v>
      </c>
      <c r="E22" s="198">
        <v>0</v>
      </c>
      <c r="F22" s="198">
        <v>927.84299999999996</v>
      </c>
      <c r="G22" s="199">
        <v>0</v>
      </c>
      <c r="H22" s="199">
        <v>0</v>
      </c>
      <c r="I22" s="10">
        <v>0</v>
      </c>
      <c r="J22" s="11">
        <v>0</v>
      </c>
      <c r="K22" s="11"/>
      <c r="L22" s="193">
        <v>0</v>
      </c>
      <c r="M22" s="193">
        <v>0</v>
      </c>
      <c r="N22" s="193">
        <v>0</v>
      </c>
      <c r="O22" s="193">
        <v>60309.8</v>
      </c>
      <c r="P22" s="193">
        <v>0</v>
      </c>
      <c r="Q22" s="193">
        <v>0</v>
      </c>
      <c r="R22" s="193">
        <v>0</v>
      </c>
      <c r="S22" s="193">
        <v>0</v>
      </c>
      <c r="T22" s="193">
        <v>60309.8</v>
      </c>
    </row>
    <row r="23" spans="1:20">
      <c r="A23" s="13">
        <v>19</v>
      </c>
      <c r="B23" s="204" t="s">
        <v>220</v>
      </c>
      <c r="C23" s="205"/>
      <c r="D23" s="198">
        <v>0</v>
      </c>
      <c r="E23" s="198">
        <v>0</v>
      </c>
      <c r="F23" s="198">
        <v>927.84299999999996</v>
      </c>
      <c r="G23" s="199">
        <v>0</v>
      </c>
      <c r="H23" s="199">
        <v>0</v>
      </c>
      <c r="I23" s="10">
        <v>0</v>
      </c>
      <c r="J23" s="11">
        <v>0</v>
      </c>
      <c r="K23" s="11"/>
      <c r="L23" s="193">
        <v>0</v>
      </c>
      <c r="M23" s="193">
        <v>0</v>
      </c>
      <c r="N23" s="193">
        <v>0</v>
      </c>
      <c r="O23" s="193">
        <v>60309.8</v>
      </c>
      <c r="P23" s="193">
        <v>0</v>
      </c>
      <c r="Q23" s="193">
        <v>0</v>
      </c>
      <c r="R23" s="193">
        <v>0</v>
      </c>
      <c r="S23" s="193">
        <v>0</v>
      </c>
      <c r="T23" s="193">
        <v>60309.8</v>
      </c>
    </row>
    <row r="24" spans="1:20">
      <c r="A24" s="13">
        <v>20</v>
      </c>
      <c r="B24" s="204" t="s">
        <v>221</v>
      </c>
      <c r="C24" s="205"/>
      <c r="D24" s="198">
        <v>0</v>
      </c>
      <c r="E24" s="198">
        <v>0</v>
      </c>
      <c r="F24" s="198">
        <v>927.84299999999996</v>
      </c>
      <c r="G24" s="199">
        <v>0</v>
      </c>
      <c r="H24" s="199">
        <v>0</v>
      </c>
      <c r="I24" s="10">
        <v>0</v>
      </c>
      <c r="J24" s="11">
        <v>0</v>
      </c>
      <c r="K24" s="11"/>
      <c r="L24" s="193">
        <v>0</v>
      </c>
      <c r="M24" s="193">
        <v>0</v>
      </c>
      <c r="N24" s="193">
        <v>0</v>
      </c>
      <c r="O24" s="193">
        <v>60309.8</v>
      </c>
      <c r="P24" s="193">
        <v>0</v>
      </c>
      <c r="Q24" s="193">
        <v>0</v>
      </c>
      <c r="R24" s="193">
        <v>0</v>
      </c>
      <c r="S24" s="193">
        <v>0</v>
      </c>
      <c r="T24" s="193">
        <v>60309.8</v>
      </c>
    </row>
    <row r="25" spans="1:20">
      <c r="A25" s="13">
        <v>21</v>
      </c>
      <c r="B25" s="204" t="s">
        <v>222</v>
      </c>
      <c r="C25" s="205"/>
      <c r="D25" s="198">
        <v>0</v>
      </c>
      <c r="E25" s="198">
        <v>0</v>
      </c>
      <c r="F25" s="198">
        <v>927.84299999999996</v>
      </c>
      <c r="G25" s="199">
        <v>0</v>
      </c>
      <c r="H25" s="199">
        <v>0</v>
      </c>
      <c r="I25" s="10">
        <v>0</v>
      </c>
      <c r="J25" s="11">
        <v>0</v>
      </c>
      <c r="K25" s="11"/>
      <c r="L25" s="193">
        <v>0</v>
      </c>
      <c r="M25" s="193">
        <v>0</v>
      </c>
      <c r="N25" s="193">
        <v>0</v>
      </c>
      <c r="O25" s="193">
        <v>60309.8</v>
      </c>
      <c r="P25" s="193">
        <v>0</v>
      </c>
      <c r="Q25" s="193">
        <v>0</v>
      </c>
      <c r="R25" s="193">
        <v>0</v>
      </c>
      <c r="S25" s="193">
        <v>0</v>
      </c>
      <c r="T25" s="193">
        <v>60309.8</v>
      </c>
    </row>
    <row r="26" spans="1:20">
      <c r="A26" s="13">
        <v>22</v>
      </c>
      <c r="B26" s="204" t="s">
        <v>223</v>
      </c>
      <c r="C26" s="205"/>
      <c r="D26" s="198">
        <v>0</v>
      </c>
      <c r="E26" s="198">
        <v>0</v>
      </c>
      <c r="F26" s="198">
        <v>927.84299999999996</v>
      </c>
      <c r="G26" s="199">
        <v>0</v>
      </c>
      <c r="H26" s="199">
        <v>0</v>
      </c>
      <c r="I26" s="10">
        <v>0</v>
      </c>
      <c r="J26" s="11">
        <v>0</v>
      </c>
      <c r="K26" s="11"/>
      <c r="L26" s="193">
        <v>0</v>
      </c>
      <c r="M26" s="193">
        <v>0</v>
      </c>
      <c r="N26" s="193">
        <v>0</v>
      </c>
      <c r="O26" s="193">
        <v>60309.8</v>
      </c>
      <c r="P26" s="193">
        <v>0</v>
      </c>
      <c r="Q26" s="193">
        <v>0</v>
      </c>
      <c r="R26" s="193">
        <v>0</v>
      </c>
      <c r="S26" s="193">
        <v>0</v>
      </c>
      <c r="T26" s="193">
        <v>60309.8</v>
      </c>
    </row>
    <row r="27" spans="1:20">
      <c r="A27" s="13">
        <v>23</v>
      </c>
      <c r="B27" s="204" t="s">
        <v>224</v>
      </c>
      <c r="C27" s="205"/>
      <c r="D27" s="198">
        <v>0</v>
      </c>
      <c r="E27" s="198">
        <v>0</v>
      </c>
      <c r="F27" s="198">
        <v>927.84299999999996</v>
      </c>
      <c r="G27" s="199">
        <v>0</v>
      </c>
      <c r="H27" s="199">
        <v>0</v>
      </c>
      <c r="I27" s="10">
        <v>0</v>
      </c>
      <c r="J27" s="11">
        <v>0</v>
      </c>
      <c r="K27" s="11"/>
      <c r="L27" s="193">
        <v>0</v>
      </c>
      <c r="M27" s="193">
        <v>0</v>
      </c>
      <c r="N27" s="193">
        <v>0</v>
      </c>
      <c r="O27" s="193">
        <v>60309.8</v>
      </c>
      <c r="P27" s="193">
        <v>0</v>
      </c>
      <c r="Q27" s="193">
        <v>0</v>
      </c>
      <c r="R27" s="193">
        <v>0</v>
      </c>
      <c r="S27" s="193">
        <v>0</v>
      </c>
      <c r="T27" s="193">
        <v>60309.8</v>
      </c>
    </row>
    <row r="28" spans="1:20">
      <c r="A28" s="13">
        <v>24</v>
      </c>
      <c r="B28" s="204" t="s">
        <v>225</v>
      </c>
      <c r="C28" s="205"/>
      <c r="D28" s="198">
        <v>0</v>
      </c>
      <c r="E28" s="198">
        <v>0</v>
      </c>
      <c r="F28" s="198">
        <v>927.84299999999996</v>
      </c>
      <c r="G28" s="199">
        <v>0</v>
      </c>
      <c r="H28" s="199">
        <v>0</v>
      </c>
      <c r="I28" s="10">
        <v>0</v>
      </c>
      <c r="J28" s="11">
        <v>0</v>
      </c>
      <c r="K28" s="11"/>
      <c r="L28" s="193">
        <v>0</v>
      </c>
      <c r="M28" s="193">
        <v>0</v>
      </c>
      <c r="N28" s="193">
        <v>0</v>
      </c>
      <c r="O28" s="193">
        <v>60309.8</v>
      </c>
      <c r="P28" s="193">
        <v>0</v>
      </c>
      <c r="Q28" s="193">
        <v>0</v>
      </c>
      <c r="R28" s="193">
        <v>0</v>
      </c>
      <c r="S28" s="193">
        <v>0</v>
      </c>
      <c r="T28" s="193">
        <v>60309.8</v>
      </c>
    </row>
    <row r="29" spans="1:20">
      <c r="A29" s="13">
        <v>25</v>
      </c>
      <c r="B29" s="204" t="s">
        <v>226</v>
      </c>
      <c r="C29" s="205"/>
      <c r="D29" s="198">
        <v>0</v>
      </c>
      <c r="E29" s="198">
        <v>0</v>
      </c>
      <c r="F29" s="198">
        <v>927.84299999999996</v>
      </c>
      <c r="G29" s="199">
        <v>0</v>
      </c>
      <c r="H29" s="199">
        <v>0</v>
      </c>
      <c r="I29" s="10">
        <v>0</v>
      </c>
      <c r="J29" s="11">
        <v>0</v>
      </c>
      <c r="K29" s="11"/>
      <c r="L29" s="193">
        <v>0</v>
      </c>
      <c r="M29" s="193">
        <v>0</v>
      </c>
      <c r="N29" s="193">
        <v>0</v>
      </c>
      <c r="O29" s="193">
        <v>60309.8</v>
      </c>
      <c r="P29" s="193">
        <v>0</v>
      </c>
      <c r="Q29" s="193">
        <v>0</v>
      </c>
      <c r="R29" s="193">
        <v>0</v>
      </c>
      <c r="S29" s="193">
        <v>0</v>
      </c>
      <c r="T29" s="193">
        <v>60309.8</v>
      </c>
    </row>
    <row r="30" spans="1:20">
      <c r="A30" s="13">
        <v>26</v>
      </c>
      <c r="B30" s="204" t="s">
        <v>227</v>
      </c>
      <c r="C30" s="205"/>
      <c r="D30" s="198">
        <v>0</v>
      </c>
      <c r="E30" s="198">
        <v>0</v>
      </c>
      <c r="F30" s="198">
        <v>927.84299999999996</v>
      </c>
      <c r="G30" s="199">
        <v>0</v>
      </c>
      <c r="H30" s="199">
        <v>0</v>
      </c>
      <c r="I30" s="10">
        <v>0</v>
      </c>
      <c r="J30" s="11">
        <v>0</v>
      </c>
      <c r="K30" s="11"/>
      <c r="L30" s="193">
        <v>0</v>
      </c>
      <c r="M30" s="193">
        <v>0</v>
      </c>
      <c r="N30" s="193">
        <v>0</v>
      </c>
      <c r="O30" s="193">
        <v>60309.8</v>
      </c>
      <c r="P30" s="193">
        <v>0</v>
      </c>
      <c r="Q30" s="193">
        <v>0</v>
      </c>
      <c r="R30" s="193">
        <v>0</v>
      </c>
      <c r="S30" s="193">
        <v>0</v>
      </c>
      <c r="T30" s="193">
        <v>60309.8</v>
      </c>
    </row>
    <row r="31" spans="1:20">
      <c r="A31" s="13">
        <v>27</v>
      </c>
      <c r="B31" s="204" t="s">
        <v>228</v>
      </c>
      <c r="C31" s="205"/>
      <c r="D31" s="198">
        <v>0</v>
      </c>
      <c r="E31" s="198">
        <v>0</v>
      </c>
      <c r="F31" s="198">
        <v>927.84299999999996</v>
      </c>
      <c r="G31" s="199">
        <v>0</v>
      </c>
      <c r="H31" s="199">
        <v>0</v>
      </c>
      <c r="I31" s="10">
        <v>0</v>
      </c>
      <c r="J31" s="11">
        <v>0</v>
      </c>
      <c r="K31" s="11"/>
      <c r="L31" s="193">
        <v>0</v>
      </c>
      <c r="M31" s="193">
        <v>0</v>
      </c>
      <c r="N31" s="193">
        <v>0</v>
      </c>
      <c r="O31" s="193">
        <v>60309.8</v>
      </c>
      <c r="P31" s="193">
        <v>0</v>
      </c>
      <c r="Q31" s="193">
        <v>0</v>
      </c>
      <c r="R31" s="193">
        <v>0</v>
      </c>
      <c r="S31" s="193">
        <v>0</v>
      </c>
      <c r="T31" s="193">
        <v>60309.8</v>
      </c>
    </row>
    <row r="32" spans="1:20">
      <c r="A32" s="13">
        <v>28</v>
      </c>
      <c r="B32" s="204" t="s">
        <v>229</v>
      </c>
      <c r="C32" s="205"/>
      <c r="D32" s="198">
        <v>0</v>
      </c>
      <c r="E32" s="198">
        <v>0</v>
      </c>
      <c r="F32" s="198">
        <v>927.84299999999996</v>
      </c>
      <c r="G32" s="199">
        <v>0</v>
      </c>
      <c r="H32" s="199">
        <v>0</v>
      </c>
      <c r="I32" s="10">
        <v>0</v>
      </c>
      <c r="J32" s="11">
        <v>0</v>
      </c>
      <c r="K32" s="11"/>
      <c r="L32" s="193">
        <v>0</v>
      </c>
      <c r="M32" s="193">
        <v>0</v>
      </c>
      <c r="N32" s="193">
        <v>0</v>
      </c>
      <c r="O32" s="193">
        <v>60309.8</v>
      </c>
      <c r="P32" s="193">
        <v>0</v>
      </c>
      <c r="Q32" s="193">
        <v>0</v>
      </c>
      <c r="R32" s="193">
        <v>0</v>
      </c>
      <c r="S32" s="193">
        <v>0</v>
      </c>
      <c r="T32" s="193">
        <v>60309.8</v>
      </c>
    </row>
    <row r="33" spans="1:20">
      <c r="A33" s="13">
        <v>29</v>
      </c>
      <c r="B33" s="204" t="s">
        <v>230</v>
      </c>
      <c r="C33" s="205"/>
      <c r="D33" s="198">
        <v>0</v>
      </c>
      <c r="E33" s="198">
        <v>0</v>
      </c>
      <c r="F33" s="198">
        <v>927.84299999999996</v>
      </c>
      <c r="G33" s="199">
        <v>0</v>
      </c>
      <c r="H33" s="199">
        <v>0</v>
      </c>
      <c r="I33" s="10">
        <v>0</v>
      </c>
      <c r="J33" s="11">
        <v>0</v>
      </c>
      <c r="K33" s="11"/>
      <c r="L33" s="193">
        <v>0</v>
      </c>
      <c r="M33" s="193">
        <v>0</v>
      </c>
      <c r="N33" s="193">
        <v>0</v>
      </c>
      <c r="O33" s="193">
        <v>60309.8</v>
      </c>
      <c r="P33" s="193">
        <v>0</v>
      </c>
      <c r="Q33" s="193">
        <v>0</v>
      </c>
      <c r="R33" s="193">
        <v>0</v>
      </c>
      <c r="S33" s="193">
        <v>0</v>
      </c>
      <c r="T33" s="193">
        <v>60309.8</v>
      </c>
    </row>
    <row r="34" spans="1:20">
      <c r="A34" s="13">
        <v>30</v>
      </c>
      <c r="B34" s="204" t="s">
        <v>231</v>
      </c>
      <c r="C34" s="205"/>
      <c r="D34" s="198">
        <v>0</v>
      </c>
      <c r="E34" s="198">
        <v>0</v>
      </c>
      <c r="F34" s="198">
        <v>927.84299999999996</v>
      </c>
      <c r="G34" s="199">
        <v>0</v>
      </c>
      <c r="H34" s="199">
        <v>0</v>
      </c>
      <c r="I34" s="10">
        <v>0</v>
      </c>
      <c r="J34" s="11">
        <v>0</v>
      </c>
      <c r="K34" s="11"/>
      <c r="L34" s="193">
        <v>0</v>
      </c>
      <c r="M34" s="193">
        <v>0</v>
      </c>
      <c r="N34" s="193">
        <v>0</v>
      </c>
      <c r="O34" s="193">
        <v>60309.8</v>
      </c>
      <c r="P34" s="193">
        <v>0</v>
      </c>
      <c r="Q34" s="193">
        <v>0</v>
      </c>
      <c r="R34" s="193">
        <v>0</v>
      </c>
      <c r="S34" s="193">
        <v>0</v>
      </c>
      <c r="T34" s="193">
        <v>60309.8</v>
      </c>
    </row>
    <row r="35" spans="1:20">
      <c r="A35" s="13">
        <v>31</v>
      </c>
      <c r="B35" s="204" t="s">
        <v>232</v>
      </c>
      <c r="C35" s="205"/>
      <c r="D35" s="198">
        <v>0</v>
      </c>
      <c r="E35" s="198">
        <v>0</v>
      </c>
      <c r="F35" s="198">
        <v>927.84299999999996</v>
      </c>
      <c r="G35" s="199">
        <v>0</v>
      </c>
      <c r="H35" s="199">
        <v>0</v>
      </c>
      <c r="I35" s="10">
        <v>0</v>
      </c>
      <c r="J35" s="11">
        <v>0</v>
      </c>
      <c r="K35" s="11"/>
      <c r="L35" s="193">
        <v>0</v>
      </c>
      <c r="M35" s="193">
        <v>0</v>
      </c>
      <c r="N35" s="193">
        <v>0</v>
      </c>
      <c r="O35" s="193">
        <v>60309.8</v>
      </c>
      <c r="P35" s="193">
        <v>0</v>
      </c>
      <c r="Q35" s="193">
        <v>0</v>
      </c>
      <c r="R35" s="193">
        <v>0</v>
      </c>
      <c r="S35" s="193">
        <v>0</v>
      </c>
      <c r="T35" s="193">
        <v>60309.8</v>
      </c>
    </row>
    <row r="36" spans="1:20">
      <c r="D36" s="19">
        <v>0</v>
      </c>
      <c r="E36" s="19">
        <v>0</v>
      </c>
      <c r="F36" s="19">
        <v>28763.133000000016</v>
      </c>
      <c r="G36" s="19">
        <v>0</v>
      </c>
      <c r="H36" s="19">
        <v>0</v>
      </c>
      <c r="I36" s="19">
        <v>0</v>
      </c>
      <c r="J36" s="20">
        <v>0</v>
      </c>
      <c r="K36" s="20">
        <v>0</v>
      </c>
      <c r="L36" s="194">
        <v>0</v>
      </c>
      <c r="M36" s="194">
        <v>0</v>
      </c>
      <c r="N36" s="194">
        <v>0</v>
      </c>
      <c r="O36" s="194">
        <v>1869603.65</v>
      </c>
      <c r="P36" s="194">
        <v>0</v>
      </c>
      <c r="Q36" s="194">
        <v>0</v>
      </c>
      <c r="R36" s="194">
        <v>0</v>
      </c>
      <c r="S36" s="194">
        <v>0</v>
      </c>
      <c r="T36" s="194">
        <v>1869603.65</v>
      </c>
    </row>
    <row r="37" spans="1:20">
      <c r="R37" s="22"/>
      <c r="S37" s="22"/>
      <c r="T37" s="195">
        <v>2243524.37</v>
      </c>
    </row>
  </sheetData>
  <mergeCells count="50">
    <mergeCell ref="B8:C8"/>
    <mergeCell ref="B9:C9"/>
    <mergeCell ref="B10:C10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  <mergeCell ref="B7:C7"/>
    <mergeCell ref="L3:L4"/>
    <mergeCell ref="M3:M4"/>
    <mergeCell ref="N3:N4"/>
    <mergeCell ref="O3:O4"/>
    <mergeCell ref="R3:R4"/>
    <mergeCell ref="S3:S4"/>
    <mergeCell ref="T3:T4"/>
    <mergeCell ref="B5:C5"/>
    <mergeCell ref="B6:C6"/>
    <mergeCell ref="P3:P4"/>
    <mergeCell ref="Q3:Q4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13:C13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</mergeCells>
  <pageMargins left="0.7" right="0.7" top="0.75" bottom="0.75" header="0.3" footer="0.3"/>
  <pageSetup paperSize="9" fitToHeight="5" orientation="landscape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9FDD3-AB8D-44CF-8001-90EA1F263502}">
  <sheetPr codeName="Лист57">
    <pageSetUpPr fitToPage="1"/>
  </sheetPr>
  <dimension ref="A1:T37"/>
  <sheetViews>
    <sheetView workbookViewId="0">
      <selection activeCell="G5" sqref="G5:G18"/>
    </sheetView>
  </sheetViews>
  <sheetFormatPr defaultRowHeight="15"/>
  <cols>
    <col min="1" max="3" width="8.796875" style="2"/>
    <col min="4" max="4" width="8.296875" style="2" customWidth="1"/>
    <col min="5" max="5" width="8.59765625" style="2" customWidth="1"/>
    <col min="6" max="6" width="9.19921875" style="2" customWidth="1"/>
    <col min="7" max="7" width="8" style="2" customWidth="1"/>
    <col min="8" max="8" width="7.5" style="2" customWidth="1"/>
    <col min="9" max="9" width="7.3984375" style="2" bestFit="1" customWidth="1"/>
    <col min="10" max="12" width="8.796875" style="2"/>
    <col min="13" max="13" width="9.19921875" style="2" customWidth="1"/>
    <col min="14" max="14" width="9.5" style="2" customWidth="1"/>
    <col min="15" max="15" width="10.19921875" style="2" customWidth="1"/>
    <col min="16" max="16" width="10.19921875" style="2" bestFit="1" customWidth="1"/>
    <col min="17" max="17" width="10.5" style="2" customWidth="1"/>
    <col min="18" max="18" width="9.296875" style="2" customWidth="1"/>
    <col min="19" max="19" width="8.19921875" style="2" customWidth="1"/>
    <col min="20" max="20" width="17" style="2" customWidth="1"/>
    <col min="21" max="16384" width="8.796875" style="2"/>
  </cols>
  <sheetData>
    <row r="1" spans="1:20">
      <c r="I1" s="3"/>
    </row>
    <row r="2" spans="1:20" ht="28.9" customHeight="1">
      <c r="A2" s="209" t="s">
        <v>284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</row>
    <row r="3" spans="1:20" ht="28.9" customHeight="1">
      <c r="A3" s="206" t="s">
        <v>0</v>
      </c>
      <c r="B3" s="210" t="s">
        <v>1</v>
      </c>
      <c r="C3" s="211"/>
      <c r="D3" s="206" t="s">
        <v>2</v>
      </c>
      <c r="E3" s="206" t="s">
        <v>3</v>
      </c>
      <c r="F3" s="4" t="s">
        <v>4</v>
      </c>
      <c r="G3" s="206" t="s">
        <v>285</v>
      </c>
      <c r="H3" s="206" t="s">
        <v>286</v>
      </c>
      <c r="I3" s="206" t="s">
        <v>7</v>
      </c>
      <c r="J3" s="206" t="s">
        <v>8</v>
      </c>
      <c r="K3" s="206" t="s">
        <v>9</v>
      </c>
      <c r="L3" s="206" t="s">
        <v>10</v>
      </c>
      <c r="M3" s="206" t="s">
        <v>11</v>
      </c>
      <c r="N3" s="206" t="s">
        <v>12</v>
      </c>
      <c r="O3" s="206" t="s">
        <v>13</v>
      </c>
      <c r="P3" s="206" t="s">
        <v>14</v>
      </c>
      <c r="Q3" s="206" t="s">
        <v>15</v>
      </c>
      <c r="R3" s="206" t="s">
        <v>16</v>
      </c>
      <c r="S3" s="206" t="s">
        <v>17</v>
      </c>
      <c r="T3" s="206" t="s">
        <v>18</v>
      </c>
    </row>
    <row r="4" spans="1:20">
      <c r="A4" s="207"/>
      <c r="B4" s="212"/>
      <c r="C4" s="213"/>
      <c r="D4" s="207"/>
      <c r="E4" s="207"/>
      <c r="F4" s="5"/>
      <c r="G4" s="207"/>
      <c r="H4" s="207"/>
      <c r="I4" s="207"/>
      <c r="J4" s="207"/>
      <c r="K4" s="208"/>
      <c r="L4" s="208"/>
      <c r="M4" s="207"/>
      <c r="N4" s="207"/>
      <c r="O4" s="207"/>
      <c r="P4" s="207"/>
      <c r="Q4" s="207"/>
      <c r="R4" s="207"/>
      <c r="S4" s="207"/>
      <c r="T4" s="207"/>
    </row>
    <row r="5" spans="1:20">
      <c r="A5" s="13">
        <v>1</v>
      </c>
      <c r="B5" s="204" t="s">
        <v>202</v>
      </c>
      <c r="C5" s="205"/>
      <c r="D5" s="198">
        <v>0</v>
      </c>
      <c r="E5" s="198">
        <v>0</v>
      </c>
      <c r="F5" s="198">
        <v>1935.761</v>
      </c>
      <c r="G5" s="199">
        <v>0</v>
      </c>
      <c r="H5" s="199">
        <v>75</v>
      </c>
      <c r="I5" s="10">
        <v>0</v>
      </c>
      <c r="J5" s="11">
        <v>0</v>
      </c>
      <c r="K5" s="11"/>
      <c r="L5" s="193">
        <v>0</v>
      </c>
      <c r="M5" s="193">
        <v>0</v>
      </c>
      <c r="N5" s="193">
        <v>0</v>
      </c>
      <c r="O5" s="193">
        <v>125824.47</v>
      </c>
      <c r="P5" s="193">
        <v>0</v>
      </c>
      <c r="Q5" s="193">
        <v>11250</v>
      </c>
      <c r="R5" s="193">
        <v>0</v>
      </c>
      <c r="S5" s="193">
        <v>0</v>
      </c>
      <c r="T5" s="193">
        <v>137074.47</v>
      </c>
    </row>
    <row r="6" spans="1:20">
      <c r="A6" s="13">
        <v>2</v>
      </c>
      <c r="B6" s="204" t="s">
        <v>203</v>
      </c>
      <c r="C6" s="205"/>
      <c r="D6" s="198">
        <v>0</v>
      </c>
      <c r="E6" s="198">
        <v>0</v>
      </c>
      <c r="F6" s="198">
        <v>1935.761</v>
      </c>
      <c r="G6" s="199">
        <v>0</v>
      </c>
      <c r="H6" s="199">
        <v>75</v>
      </c>
      <c r="I6" s="10">
        <v>0</v>
      </c>
      <c r="J6" s="11">
        <v>0</v>
      </c>
      <c r="K6" s="11"/>
      <c r="L6" s="193">
        <v>0</v>
      </c>
      <c r="M6" s="193">
        <v>0</v>
      </c>
      <c r="N6" s="193">
        <v>0</v>
      </c>
      <c r="O6" s="193">
        <v>125824.47</v>
      </c>
      <c r="P6" s="193">
        <v>0</v>
      </c>
      <c r="Q6" s="193">
        <v>11250</v>
      </c>
      <c r="R6" s="193">
        <v>0</v>
      </c>
      <c r="S6" s="193">
        <v>0</v>
      </c>
      <c r="T6" s="193">
        <v>137074.47</v>
      </c>
    </row>
    <row r="7" spans="1:20">
      <c r="A7" s="13">
        <v>3</v>
      </c>
      <c r="B7" s="204" t="s">
        <v>204</v>
      </c>
      <c r="C7" s="205"/>
      <c r="D7" s="198">
        <v>0</v>
      </c>
      <c r="E7" s="198">
        <v>0</v>
      </c>
      <c r="F7" s="198">
        <v>1935.761</v>
      </c>
      <c r="G7" s="199">
        <v>0</v>
      </c>
      <c r="H7" s="199">
        <v>75</v>
      </c>
      <c r="I7" s="10">
        <v>0</v>
      </c>
      <c r="J7" s="11">
        <v>0</v>
      </c>
      <c r="K7" s="11"/>
      <c r="L7" s="193">
        <v>0</v>
      </c>
      <c r="M7" s="193">
        <v>0</v>
      </c>
      <c r="N7" s="193">
        <v>0</v>
      </c>
      <c r="O7" s="193">
        <v>125824.47</v>
      </c>
      <c r="P7" s="193">
        <v>0</v>
      </c>
      <c r="Q7" s="193">
        <v>11250</v>
      </c>
      <c r="R7" s="193">
        <v>0</v>
      </c>
      <c r="S7" s="193">
        <v>0</v>
      </c>
      <c r="T7" s="193">
        <v>137074.47</v>
      </c>
    </row>
    <row r="8" spans="1:20">
      <c r="A8" s="13">
        <v>4</v>
      </c>
      <c r="B8" s="204" t="s">
        <v>205</v>
      </c>
      <c r="C8" s="205"/>
      <c r="D8" s="198">
        <v>0</v>
      </c>
      <c r="E8" s="198">
        <v>0</v>
      </c>
      <c r="F8" s="198">
        <v>1935.761</v>
      </c>
      <c r="G8" s="199">
        <v>0</v>
      </c>
      <c r="H8" s="199">
        <v>75</v>
      </c>
      <c r="I8" s="10">
        <v>0</v>
      </c>
      <c r="J8" s="11">
        <v>0</v>
      </c>
      <c r="K8" s="11"/>
      <c r="L8" s="193">
        <v>0</v>
      </c>
      <c r="M8" s="193">
        <v>0</v>
      </c>
      <c r="N8" s="193">
        <v>0</v>
      </c>
      <c r="O8" s="193">
        <v>125824.47</v>
      </c>
      <c r="P8" s="193">
        <v>0</v>
      </c>
      <c r="Q8" s="193">
        <v>11250</v>
      </c>
      <c r="R8" s="193">
        <v>0</v>
      </c>
      <c r="S8" s="193">
        <v>0</v>
      </c>
      <c r="T8" s="193">
        <v>137074.47</v>
      </c>
    </row>
    <row r="9" spans="1:20">
      <c r="A9" s="13">
        <v>5</v>
      </c>
      <c r="B9" s="204" t="s">
        <v>206</v>
      </c>
      <c r="C9" s="205"/>
      <c r="D9" s="198">
        <v>0</v>
      </c>
      <c r="E9" s="198">
        <v>0</v>
      </c>
      <c r="F9" s="198">
        <v>1935.761</v>
      </c>
      <c r="G9" s="199">
        <v>0</v>
      </c>
      <c r="H9" s="199">
        <v>75</v>
      </c>
      <c r="I9" s="10">
        <v>0</v>
      </c>
      <c r="J9" s="11">
        <v>0</v>
      </c>
      <c r="K9" s="11"/>
      <c r="L9" s="193">
        <v>0</v>
      </c>
      <c r="M9" s="193">
        <v>0</v>
      </c>
      <c r="N9" s="193">
        <v>0</v>
      </c>
      <c r="O9" s="193">
        <v>125824.47</v>
      </c>
      <c r="P9" s="193">
        <v>0</v>
      </c>
      <c r="Q9" s="193">
        <v>11250</v>
      </c>
      <c r="R9" s="193">
        <v>0</v>
      </c>
      <c r="S9" s="193">
        <v>0</v>
      </c>
      <c r="T9" s="193">
        <v>137074.47</v>
      </c>
    </row>
    <row r="10" spans="1:20">
      <c r="A10" s="13">
        <v>6</v>
      </c>
      <c r="B10" s="204" t="s">
        <v>207</v>
      </c>
      <c r="C10" s="205"/>
      <c r="D10" s="198">
        <v>0</v>
      </c>
      <c r="E10" s="198">
        <v>0</v>
      </c>
      <c r="F10" s="198">
        <v>1935.761</v>
      </c>
      <c r="G10" s="199">
        <v>0</v>
      </c>
      <c r="H10" s="199">
        <v>75</v>
      </c>
      <c r="I10" s="10">
        <v>0</v>
      </c>
      <c r="J10" s="11">
        <v>0</v>
      </c>
      <c r="K10" s="11"/>
      <c r="L10" s="193">
        <v>0</v>
      </c>
      <c r="M10" s="193">
        <v>0</v>
      </c>
      <c r="N10" s="193">
        <v>0</v>
      </c>
      <c r="O10" s="193">
        <v>125824.47</v>
      </c>
      <c r="P10" s="193">
        <v>0</v>
      </c>
      <c r="Q10" s="193">
        <v>11250</v>
      </c>
      <c r="R10" s="193">
        <v>0</v>
      </c>
      <c r="S10" s="193">
        <v>0</v>
      </c>
      <c r="T10" s="193">
        <v>137074.47</v>
      </c>
    </row>
    <row r="11" spans="1:20">
      <c r="A11" s="13">
        <v>7</v>
      </c>
      <c r="B11" s="204" t="s">
        <v>208</v>
      </c>
      <c r="C11" s="205"/>
      <c r="D11" s="198">
        <v>0</v>
      </c>
      <c r="E11" s="198">
        <v>0</v>
      </c>
      <c r="F11" s="198">
        <v>1935.761</v>
      </c>
      <c r="G11" s="199">
        <v>0</v>
      </c>
      <c r="H11" s="199">
        <v>75</v>
      </c>
      <c r="I11" s="10">
        <v>0</v>
      </c>
      <c r="J11" s="11">
        <v>0</v>
      </c>
      <c r="K11" s="11"/>
      <c r="L11" s="193">
        <v>0</v>
      </c>
      <c r="M11" s="193">
        <v>0</v>
      </c>
      <c r="N11" s="193">
        <v>0</v>
      </c>
      <c r="O11" s="193">
        <v>125824.47</v>
      </c>
      <c r="P11" s="193">
        <v>0</v>
      </c>
      <c r="Q11" s="193">
        <v>11250</v>
      </c>
      <c r="R11" s="193">
        <v>0</v>
      </c>
      <c r="S11" s="193">
        <v>0</v>
      </c>
      <c r="T11" s="193">
        <v>137074.47</v>
      </c>
    </row>
    <row r="12" spans="1:20">
      <c r="A12" s="13">
        <v>8</v>
      </c>
      <c r="B12" s="204" t="s">
        <v>209</v>
      </c>
      <c r="C12" s="205"/>
      <c r="D12" s="198">
        <v>50.915999999999997</v>
      </c>
      <c r="E12" s="198">
        <v>0</v>
      </c>
      <c r="F12" s="198">
        <v>1986.6769999999999</v>
      </c>
      <c r="G12" s="199">
        <v>0</v>
      </c>
      <c r="H12" s="199">
        <v>24.084000000000003</v>
      </c>
      <c r="I12" s="10">
        <v>0</v>
      </c>
      <c r="J12" s="11">
        <v>0</v>
      </c>
      <c r="K12" s="11"/>
      <c r="L12" s="193">
        <v>0</v>
      </c>
      <c r="M12" s="193">
        <v>7637.4</v>
      </c>
      <c r="N12" s="193">
        <v>0</v>
      </c>
      <c r="O12" s="193">
        <v>129134.01</v>
      </c>
      <c r="P12" s="193">
        <v>0</v>
      </c>
      <c r="Q12" s="193">
        <v>3612.6</v>
      </c>
      <c r="R12" s="193">
        <v>0</v>
      </c>
      <c r="S12" s="193">
        <v>0</v>
      </c>
      <c r="T12" s="193">
        <v>140384.01</v>
      </c>
    </row>
    <row r="13" spans="1:20">
      <c r="A13" s="13">
        <v>9</v>
      </c>
      <c r="B13" s="204" t="s">
        <v>210</v>
      </c>
      <c r="C13" s="205"/>
      <c r="D13" s="198">
        <v>49.654000000000003</v>
      </c>
      <c r="E13" s="198">
        <v>0</v>
      </c>
      <c r="F13" s="198">
        <v>2036.3309999999999</v>
      </c>
      <c r="G13" s="199">
        <v>0</v>
      </c>
      <c r="H13" s="199">
        <v>25.345999999999997</v>
      </c>
      <c r="I13" s="10">
        <v>0</v>
      </c>
      <c r="J13" s="11">
        <v>0</v>
      </c>
      <c r="K13" s="11"/>
      <c r="L13" s="193">
        <v>0</v>
      </c>
      <c r="M13" s="193">
        <v>7448.1</v>
      </c>
      <c r="N13" s="193">
        <v>0</v>
      </c>
      <c r="O13" s="193">
        <v>132361.51999999999</v>
      </c>
      <c r="P13" s="193">
        <v>0</v>
      </c>
      <c r="Q13" s="193">
        <v>3801.9</v>
      </c>
      <c r="R13" s="193">
        <v>0</v>
      </c>
      <c r="S13" s="193">
        <v>0</v>
      </c>
      <c r="T13" s="193">
        <v>143611.51999999999</v>
      </c>
    </row>
    <row r="14" spans="1:20">
      <c r="A14" s="13">
        <v>10</v>
      </c>
      <c r="B14" s="204" t="s">
        <v>211</v>
      </c>
      <c r="C14" s="205"/>
      <c r="D14" s="198">
        <v>33.728999999999999</v>
      </c>
      <c r="E14" s="198">
        <v>0</v>
      </c>
      <c r="F14" s="198">
        <v>2070.06</v>
      </c>
      <c r="G14" s="199">
        <v>0</v>
      </c>
      <c r="H14" s="199">
        <v>41.271000000000001</v>
      </c>
      <c r="I14" s="10">
        <v>0</v>
      </c>
      <c r="J14" s="11">
        <v>0</v>
      </c>
      <c r="K14" s="11"/>
      <c r="L14" s="193">
        <v>0</v>
      </c>
      <c r="M14" s="193">
        <v>5059.3500000000004</v>
      </c>
      <c r="N14" s="193">
        <v>0</v>
      </c>
      <c r="O14" s="193">
        <v>134553.9</v>
      </c>
      <c r="P14" s="193">
        <v>0</v>
      </c>
      <c r="Q14" s="193">
        <v>6190.65</v>
      </c>
      <c r="R14" s="193">
        <v>0</v>
      </c>
      <c r="S14" s="193">
        <v>0</v>
      </c>
      <c r="T14" s="193">
        <v>145803.9</v>
      </c>
    </row>
    <row r="15" spans="1:20">
      <c r="A15" s="13">
        <v>11</v>
      </c>
      <c r="B15" s="204" t="s">
        <v>212</v>
      </c>
      <c r="C15" s="205"/>
      <c r="D15" s="198">
        <v>16.260999999999999</v>
      </c>
      <c r="E15" s="198">
        <v>0</v>
      </c>
      <c r="F15" s="198">
        <v>2086.3209999999999</v>
      </c>
      <c r="G15" s="199">
        <v>0</v>
      </c>
      <c r="H15" s="199">
        <v>58.739000000000004</v>
      </c>
      <c r="I15" s="10">
        <v>0</v>
      </c>
      <c r="J15" s="11">
        <v>0</v>
      </c>
      <c r="K15" s="11"/>
      <c r="L15" s="193">
        <v>0</v>
      </c>
      <c r="M15" s="193">
        <v>2439.15</v>
      </c>
      <c r="N15" s="193">
        <v>0</v>
      </c>
      <c r="O15" s="193">
        <v>135610.87</v>
      </c>
      <c r="P15" s="193">
        <v>0</v>
      </c>
      <c r="Q15" s="193">
        <v>8810.85</v>
      </c>
      <c r="R15" s="193">
        <v>0</v>
      </c>
      <c r="S15" s="193">
        <v>0</v>
      </c>
      <c r="T15" s="193">
        <v>146860.87</v>
      </c>
    </row>
    <row r="16" spans="1:20">
      <c r="A16" s="13">
        <v>12</v>
      </c>
      <c r="B16" s="204" t="s">
        <v>213</v>
      </c>
      <c r="C16" s="205"/>
      <c r="D16" s="198">
        <v>17.904</v>
      </c>
      <c r="E16" s="198">
        <v>0</v>
      </c>
      <c r="F16" s="198">
        <v>2104.2249999999999</v>
      </c>
      <c r="G16" s="199">
        <v>0</v>
      </c>
      <c r="H16" s="199">
        <v>57.096000000000004</v>
      </c>
      <c r="I16" s="10">
        <v>0</v>
      </c>
      <c r="J16" s="11">
        <v>0</v>
      </c>
      <c r="K16" s="18"/>
      <c r="L16" s="193">
        <v>0</v>
      </c>
      <c r="M16" s="193">
        <v>2685.6</v>
      </c>
      <c r="N16" s="193">
        <v>0</v>
      </c>
      <c r="O16" s="193">
        <v>136774.63</v>
      </c>
      <c r="P16" s="193">
        <v>0</v>
      </c>
      <c r="Q16" s="193">
        <v>8564.4</v>
      </c>
      <c r="R16" s="193">
        <v>0</v>
      </c>
      <c r="S16" s="193">
        <v>0</v>
      </c>
      <c r="T16" s="193">
        <v>148024.63</v>
      </c>
    </row>
    <row r="17" spans="1:20">
      <c r="A17" s="13">
        <v>13</v>
      </c>
      <c r="B17" s="204" t="s">
        <v>214</v>
      </c>
      <c r="C17" s="205"/>
      <c r="D17" s="198">
        <v>0</v>
      </c>
      <c r="E17" s="198">
        <v>0</v>
      </c>
      <c r="F17" s="198">
        <v>2104.2249999999999</v>
      </c>
      <c r="G17" s="199">
        <v>0</v>
      </c>
      <c r="H17" s="199">
        <v>75</v>
      </c>
      <c r="I17" s="10">
        <v>0</v>
      </c>
      <c r="J17" s="11">
        <v>0</v>
      </c>
      <c r="K17" s="11"/>
      <c r="L17" s="193">
        <v>0</v>
      </c>
      <c r="M17" s="193">
        <v>0</v>
      </c>
      <c r="N17" s="193">
        <v>0</v>
      </c>
      <c r="O17" s="193">
        <v>136774.63</v>
      </c>
      <c r="P17" s="193">
        <v>0</v>
      </c>
      <c r="Q17" s="193">
        <v>11250</v>
      </c>
      <c r="R17" s="193">
        <v>0</v>
      </c>
      <c r="S17" s="193">
        <v>0</v>
      </c>
      <c r="T17" s="193">
        <v>148024.63</v>
      </c>
    </row>
    <row r="18" spans="1:20">
      <c r="A18" s="13">
        <v>14</v>
      </c>
      <c r="B18" s="204" t="s">
        <v>215</v>
      </c>
      <c r="C18" s="205"/>
      <c r="D18" s="198">
        <v>0</v>
      </c>
      <c r="E18" s="198">
        <v>0</v>
      </c>
      <c r="F18" s="198">
        <v>2104.2249999999999</v>
      </c>
      <c r="G18" s="199">
        <v>0</v>
      </c>
      <c r="H18" s="199">
        <v>75</v>
      </c>
      <c r="I18" s="10">
        <v>0</v>
      </c>
      <c r="J18" s="11">
        <v>0</v>
      </c>
      <c r="K18" s="11"/>
      <c r="L18" s="193">
        <v>0</v>
      </c>
      <c r="M18" s="193">
        <v>0</v>
      </c>
      <c r="N18" s="193">
        <v>0</v>
      </c>
      <c r="O18" s="193">
        <v>136774.63</v>
      </c>
      <c r="P18" s="193">
        <v>0</v>
      </c>
      <c r="Q18" s="193">
        <v>11250</v>
      </c>
      <c r="R18" s="193">
        <v>0</v>
      </c>
      <c r="S18" s="193">
        <v>0</v>
      </c>
      <c r="T18" s="193">
        <v>148024.63</v>
      </c>
    </row>
    <row r="19" spans="1:20">
      <c r="A19" s="13">
        <v>15</v>
      </c>
      <c r="B19" s="204" t="s">
        <v>216</v>
      </c>
      <c r="C19" s="205"/>
      <c r="D19" s="198">
        <v>28.51</v>
      </c>
      <c r="E19" s="198">
        <v>0</v>
      </c>
      <c r="F19" s="198">
        <v>2132.7350000000001</v>
      </c>
      <c r="G19" s="199">
        <v>0</v>
      </c>
      <c r="H19" s="199">
        <v>46.489999999999995</v>
      </c>
      <c r="I19" s="10">
        <v>0</v>
      </c>
      <c r="J19" s="11">
        <v>0</v>
      </c>
      <c r="K19" s="11"/>
      <c r="L19" s="193">
        <v>0</v>
      </c>
      <c r="M19" s="193">
        <v>4276.5</v>
      </c>
      <c r="N19" s="193">
        <v>0</v>
      </c>
      <c r="O19" s="193">
        <v>138627.78</v>
      </c>
      <c r="P19" s="193">
        <v>0</v>
      </c>
      <c r="Q19" s="193">
        <v>6973.5</v>
      </c>
      <c r="R19" s="193">
        <v>0</v>
      </c>
      <c r="S19" s="193">
        <v>0</v>
      </c>
      <c r="T19" s="193">
        <v>149877.78</v>
      </c>
    </row>
    <row r="20" spans="1:20">
      <c r="A20" s="13">
        <v>16</v>
      </c>
      <c r="B20" s="204" t="s">
        <v>217</v>
      </c>
      <c r="C20" s="205"/>
      <c r="D20" s="198">
        <v>30.788</v>
      </c>
      <c r="E20" s="198">
        <v>0</v>
      </c>
      <c r="F20" s="198">
        <v>2163.5230000000001</v>
      </c>
      <c r="G20" s="199">
        <v>0</v>
      </c>
      <c r="H20" s="199">
        <v>44.212000000000003</v>
      </c>
      <c r="I20" s="10">
        <v>0</v>
      </c>
      <c r="J20" s="11">
        <v>0</v>
      </c>
      <c r="K20" s="11"/>
      <c r="L20" s="193">
        <v>0</v>
      </c>
      <c r="M20" s="193">
        <v>4618.2</v>
      </c>
      <c r="N20" s="193">
        <v>0</v>
      </c>
      <c r="O20" s="193">
        <v>140629</v>
      </c>
      <c r="P20" s="193">
        <v>0</v>
      </c>
      <c r="Q20" s="193">
        <v>6631.8</v>
      </c>
      <c r="R20" s="193">
        <v>0</v>
      </c>
      <c r="S20" s="193">
        <v>0</v>
      </c>
      <c r="T20" s="193">
        <v>151879</v>
      </c>
    </row>
    <row r="21" spans="1:20">
      <c r="A21" s="13">
        <v>17</v>
      </c>
      <c r="B21" s="204" t="s">
        <v>218</v>
      </c>
      <c r="C21" s="205"/>
      <c r="D21" s="198">
        <v>0</v>
      </c>
      <c r="E21" s="198">
        <v>0</v>
      </c>
      <c r="F21" s="198">
        <v>2163.5230000000001</v>
      </c>
      <c r="G21" s="199">
        <v>0</v>
      </c>
      <c r="H21" s="199">
        <v>75</v>
      </c>
      <c r="I21" s="10">
        <v>0</v>
      </c>
      <c r="J21" s="11">
        <v>0</v>
      </c>
      <c r="K21" s="11"/>
      <c r="L21" s="193">
        <v>0</v>
      </c>
      <c r="M21" s="193">
        <v>0</v>
      </c>
      <c r="N21" s="193">
        <v>0</v>
      </c>
      <c r="O21" s="193">
        <v>140629</v>
      </c>
      <c r="P21" s="193">
        <v>0</v>
      </c>
      <c r="Q21" s="193">
        <v>11250</v>
      </c>
      <c r="R21" s="193">
        <v>0</v>
      </c>
      <c r="S21" s="193">
        <v>0</v>
      </c>
      <c r="T21" s="193">
        <v>151879</v>
      </c>
    </row>
    <row r="22" spans="1:20">
      <c r="A22" s="13">
        <v>18</v>
      </c>
      <c r="B22" s="204" t="s">
        <v>219</v>
      </c>
      <c r="C22" s="205"/>
      <c r="D22" s="198">
        <v>0</v>
      </c>
      <c r="E22" s="198">
        <v>0</v>
      </c>
      <c r="F22" s="198">
        <v>2163.5230000000001</v>
      </c>
      <c r="G22" s="199">
        <v>0</v>
      </c>
      <c r="H22" s="199">
        <v>75</v>
      </c>
      <c r="I22" s="10">
        <v>0</v>
      </c>
      <c r="J22" s="11">
        <v>0</v>
      </c>
      <c r="K22" s="11"/>
      <c r="L22" s="193">
        <v>0</v>
      </c>
      <c r="M22" s="193">
        <v>0</v>
      </c>
      <c r="N22" s="193">
        <v>0</v>
      </c>
      <c r="O22" s="193">
        <v>140629</v>
      </c>
      <c r="P22" s="193">
        <v>0</v>
      </c>
      <c r="Q22" s="193">
        <v>11250</v>
      </c>
      <c r="R22" s="193">
        <v>0</v>
      </c>
      <c r="S22" s="193">
        <v>0</v>
      </c>
      <c r="T22" s="193">
        <v>151879</v>
      </c>
    </row>
    <row r="23" spans="1:20">
      <c r="A23" s="13">
        <v>19</v>
      </c>
      <c r="B23" s="204" t="s">
        <v>220</v>
      </c>
      <c r="C23" s="205"/>
      <c r="D23" s="198">
        <v>30.791</v>
      </c>
      <c r="E23" s="198">
        <v>0</v>
      </c>
      <c r="F23" s="198">
        <v>2194.3139999999999</v>
      </c>
      <c r="G23" s="199">
        <v>0</v>
      </c>
      <c r="H23" s="199">
        <v>44.209000000000003</v>
      </c>
      <c r="I23" s="10">
        <v>0</v>
      </c>
      <c r="J23" s="11">
        <v>0</v>
      </c>
      <c r="K23" s="11"/>
      <c r="L23" s="193">
        <v>0</v>
      </c>
      <c r="M23" s="193">
        <v>4618.6499999999996</v>
      </c>
      <c r="N23" s="193">
        <v>0</v>
      </c>
      <c r="O23" s="193">
        <v>142630.41</v>
      </c>
      <c r="P23" s="193">
        <v>0</v>
      </c>
      <c r="Q23" s="193">
        <v>6631.35</v>
      </c>
      <c r="R23" s="193">
        <v>0</v>
      </c>
      <c r="S23" s="193">
        <v>0</v>
      </c>
      <c r="T23" s="193">
        <v>153880.41</v>
      </c>
    </row>
    <row r="24" spans="1:20">
      <c r="A24" s="13">
        <v>20</v>
      </c>
      <c r="B24" s="204" t="s">
        <v>221</v>
      </c>
      <c r="C24" s="205"/>
      <c r="D24" s="198">
        <v>0</v>
      </c>
      <c r="E24" s="198">
        <v>0</v>
      </c>
      <c r="F24" s="198">
        <v>2194.3139999999999</v>
      </c>
      <c r="G24" s="199">
        <v>0</v>
      </c>
      <c r="H24" s="199">
        <v>75</v>
      </c>
      <c r="I24" s="10">
        <v>0</v>
      </c>
      <c r="J24" s="11">
        <v>0</v>
      </c>
      <c r="K24" s="11"/>
      <c r="L24" s="193">
        <v>0</v>
      </c>
      <c r="M24" s="193">
        <v>0</v>
      </c>
      <c r="N24" s="193">
        <v>0</v>
      </c>
      <c r="O24" s="193">
        <v>142630.41</v>
      </c>
      <c r="P24" s="193">
        <v>0</v>
      </c>
      <c r="Q24" s="193">
        <v>11250</v>
      </c>
      <c r="R24" s="193">
        <v>0</v>
      </c>
      <c r="S24" s="193">
        <v>0</v>
      </c>
      <c r="T24" s="193">
        <v>153880.41</v>
      </c>
    </row>
    <row r="25" spans="1:20">
      <c r="A25" s="13">
        <v>21</v>
      </c>
      <c r="B25" s="204" t="s">
        <v>222</v>
      </c>
      <c r="C25" s="205"/>
      <c r="D25" s="198">
        <v>0</v>
      </c>
      <c r="E25" s="198">
        <v>0</v>
      </c>
      <c r="F25" s="198">
        <v>2194.3139999999999</v>
      </c>
      <c r="G25" s="199">
        <v>0</v>
      </c>
      <c r="H25" s="199">
        <v>75</v>
      </c>
      <c r="I25" s="10">
        <v>0</v>
      </c>
      <c r="J25" s="11">
        <v>0</v>
      </c>
      <c r="K25" s="11"/>
      <c r="L25" s="193">
        <v>0</v>
      </c>
      <c r="M25" s="193">
        <v>0</v>
      </c>
      <c r="N25" s="193">
        <v>0</v>
      </c>
      <c r="O25" s="193">
        <v>142630.41</v>
      </c>
      <c r="P25" s="193">
        <v>0</v>
      </c>
      <c r="Q25" s="193">
        <v>11250</v>
      </c>
      <c r="R25" s="193">
        <v>0</v>
      </c>
      <c r="S25" s="193">
        <v>0</v>
      </c>
      <c r="T25" s="193">
        <v>153880.41</v>
      </c>
    </row>
    <row r="26" spans="1:20">
      <c r="A26" s="13">
        <v>22</v>
      </c>
      <c r="B26" s="204" t="s">
        <v>223</v>
      </c>
      <c r="C26" s="205"/>
      <c r="D26" s="198">
        <v>46.039000000000001</v>
      </c>
      <c r="E26" s="198">
        <v>0</v>
      </c>
      <c r="F26" s="198">
        <v>2240.3530000000001</v>
      </c>
      <c r="G26" s="199">
        <v>0</v>
      </c>
      <c r="H26" s="199">
        <v>28.960999999999999</v>
      </c>
      <c r="I26" s="10">
        <v>0</v>
      </c>
      <c r="J26" s="11">
        <v>0</v>
      </c>
      <c r="K26" s="11"/>
      <c r="L26" s="193">
        <v>0</v>
      </c>
      <c r="M26" s="193">
        <v>6905.85</v>
      </c>
      <c r="N26" s="193">
        <v>0</v>
      </c>
      <c r="O26" s="193">
        <v>145622.95000000001</v>
      </c>
      <c r="P26" s="193">
        <v>0</v>
      </c>
      <c r="Q26" s="193">
        <v>4344.1499999999996</v>
      </c>
      <c r="R26" s="193">
        <v>0</v>
      </c>
      <c r="S26" s="193">
        <v>0</v>
      </c>
      <c r="T26" s="193">
        <v>156872.95000000001</v>
      </c>
    </row>
    <row r="27" spans="1:20">
      <c r="A27" s="13">
        <v>23</v>
      </c>
      <c r="B27" s="204" t="s">
        <v>224</v>
      </c>
      <c r="C27" s="205"/>
      <c r="D27" s="198">
        <v>53.158999999999999</v>
      </c>
      <c r="E27" s="198">
        <v>0</v>
      </c>
      <c r="F27" s="198">
        <v>2293.5120000000002</v>
      </c>
      <c r="G27" s="199">
        <v>0</v>
      </c>
      <c r="H27" s="199">
        <v>21.841000000000001</v>
      </c>
      <c r="I27" s="10">
        <v>0</v>
      </c>
      <c r="J27" s="11">
        <v>0</v>
      </c>
      <c r="K27" s="11"/>
      <c r="L27" s="193">
        <v>0</v>
      </c>
      <c r="M27" s="193">
        <v>7973.85</v>
      </c>
      <c r="N27" s="193">
        <v>0</v>
      </c>
      <c r="O27" s="193">
        <v>149078.28</v>
      </c>
      <c r="P27" s="193">
        <v>0</v>
      </c>
      <c r="Q27" s="193">
        <v>3276.15</v>
      </c>
      <c r="R27" s="193">
        <v>0</v>
      </c>
      <c r="S27" s="193">
        <v>0</v>
      </c>
      <c r="T27" s="193">
        <v>160328.28</v>
      </c>
    </row>
    <row r="28" spans="1:20">
      <c r="A28" s="13">
        <v>24</v>
      </c>
      <c r="B28" s="204" t="s">
        <v>225</v>
      </c>
      <c r="C28" s="205"/>
      <c r="D28" s="198">
        <v>0</v>
      </c>
      <c r="E28" s="198">
        <v>0</v>
      </c>
      <c r="F28" s="198">
        <v>2293.5120000000002</v>
      </c>
      <c r="G28" s="199">
        <v>0</v>
      </c>
      <c r="H28" s="199">
        <v>75</v>
      </c>
      <c r="I28" s="10">
        <v>0</v>
      </c>
      <c r="J28" s="11">
        <v>0</v>
      </c>
      <c r="K28" s="11"/>
      <c r="L28" s="193">
        <v>0</v>
      </c>
      <c r="M28" s="193">
        <v>0</v>
      </c>
      <c r="N28" s="193">
        <v>0</v>
      </c>
      <c r="O28" s="193">
        <v>149078.28</v>
      </c>
      <c r="P28" s="193">
        <v>0</v>
      </c>
      <c r="Q28" s="193">
        <v>11250</v>
      </c>
      <c r="R28" s="193">
        <v>0</v>
      </c>
      <c r="S28" s="193">
        <v>0</v>
      </c>
      <c r="T28" s="193">
        <v>160328.28</v>
      </c>
    </row>
    <row r="29" spans="1:20">
      <c r="A29" s="13">
        <v>25</v>
      </c>
      <c r="B29" s="204" t="s">
        <v>226</v>
      </c>
      <c r="C29" s="205"/>
      <c r="D29" s="198">
        <v>0</v>
      </c>
      <c r="E29" s="198">
        <v>0</v>
      </c>
      <c r="F29" s="198">
        <v>2293.5120000000002</v>
      </c>
      <c r="G29" s="199">
        <v>0</v>
      </c>
      <c r="H29" s="199">
        <v>75</v>
      </c>
      <c r="I29" s="10">
        <v>0</v>
      </c>
      <c r="J29" s="11">
        <v>0</v>
      </c>
      <c r="K29" s="11"/>
      <c r="L29" s="193">
        <v>0</v>
      </c>
      <c r="M29" s="193">
        <v>0</v>
      </c>
      <c r="N29" s="193">
        <v>0</v>
      </c>
      <c r="O29" s="193">
        <v>149078.28</v>
      </c>
      <c r="P29" s="193">
        <v>0</v>
      </c>
      <c r="Q29" s="193">
        <v>11250</v>
      </c>
      <c r="R29" s="193">
        <v>0</v>
      </c>
      <c r="S29" s="193">
        <v>0</v>
      </c>
      <c r="T29" s="193">
        <v>160328.28</v>
      </c>
    </row>
    <row r="30" spans="1:20">
      <c r="A30" s="13">
        <v>26</v>
      </c>
      <c r="B30" s="204" t="s">
        <v>227</v>
      </c>
      <c r="C30" s="205"/>
      <c r="D30" s="198">
        <v>0</v>
      </c>
      <c r="E30" s="198">
        <v>0</v>
      </c>
      <c r="F30" s="198">
        <v>2293.5120000000002</v>
      </c>
      <c r="G30" s="199">
        <v>0</v>
      </c>
      <c r="H30" s="199">
        <v>75</v>
      </c>
      <c r="I30" s="10">
        <v>0</v>
      </c>
      <c r="J30" s="11">
        <v>0</v>
      </c>
      <c r="K30" s="11"/>
      <c r="L30" s="193">
        <v>0</v>
      </c>
      <c r="M30" s="193">
        <v>0</v>
      </c>
      <c r="N30" s="193">
        <v>0</v>
      </c>
      <c r="O30" s="193">
        <v>149078.28</v>
      </c>
      <c r="P30" s="193">
        <v>0</v>
      </c>
      <c r="Q30" s="193">
        <v>11250</v>
      </c>
      <c r="R30" s="193">
        <v>0</v>
      </c>
      <c r="S30" s="193">
        <v>0</v>
      </c>
      <c r="T30" s="193">
        <v>160328.28</v>
      </c>
    </row>
    <row r="31" spans="1:20">
      <c r="A31" s="13">
        <v>27</v>
      </c>
      <c r="B31" s="204" t="s">
        <v>228</v>
      </c>
      <c r="C31" s="205"/>
      <c r="D31" s="198">
        <v>0</v>
      </c>
      <c r="E31" s="198">
        <v>0</v>
      </c>
      <c r="F31" s="198">
        <v>2293.5120000000002</v>
      </c>
      <c r="G31" s="199">
        <v>0</v>
      </c>
      <c r="H31" s="199">
        <v>75</v>
      </c>
      <c r="I31" s="10">
        <v>0</v>
      </c>
      <c r="J31" s="11">
        <v>0</v>
      </c>
      <c r="K31" s="11"/>
      <c r="L31" s="193">
        <v>0</v>
      </c>
      <c r="M31" s="193">
        <v>0</v>
      </c>
      <c r="N31" s="193">
        <v>0</v>
      </c>
      <c r="O31" s="193">
        <v>149078.28</v>
      </c>
      <c r="P31" s="193">
        <v>0</v>
      </c>
      <c r="Q31" s="193">
        <v>11250</v>
      </c>
      <c r="R31" s="193">
        <v>0</v>
      </c>
      <c r="S31" s="193">
        <v>0</v>
      </c>
      <c r="T31" s="193">
        <v>160328.28</v>
      </c>
    </row>
    <row r="32" spans="1:20">
      <c r="A32" s="13">
        <v>28</v>
      </c>
      <c r="B32" s="204" t="s">
        <v>229</v>
      </c>
      <c r="C32" s="205"/>
      <c r="D32" s="198">
        <v>0</v>
      </c>
      <c r="E32" s="198">
        <v>0</v>
      </c>
      <c r="F32" s="198">
        <v>2293.5120000000002</v>
      </c>
      <c r="G32" s="199">
        <v>0</v>
      </c>
      <c r="H32" s="199">
        <v>75</v>
      </c>
      <c r="I32" s="10">
        <v>0</v>
      </c>
      <c r="J32" s="11">
        <v>0</v>
      </c>
      <c r="K32" s="11"/>
      <c r="L32" s="193">
        <v>0</v>
      </c>
      <c r="M32" s="193">
        <v>0</v>
      </c>
      <c r="N32" s="193">
        <v>0</v>
      </c>
      <c r="O32" s="193">
        <v>149078.28</v>
      </c>
      <c r="P32" s="193">
        <v>0</v>
      </c>
      <c r="Q32" s="193">
        <v>11250</v>
      </c>
      <c r="R32" s="193">
        <v>0</v>
      </c>
      <c r="S32" s="193">
        <v>0</v>
      </c>
      <c r="T32" s="193">
        <v>160328.28</v>
      </c>
    </row>
    <row r="33" spans="1:20">
      <c r="A33" s="13">
        <v>29</v>
      </c>
      <c r="B33" s="204" t="s">
        <v>230</v>
      </c>
      <c r="C33" s="205"/>
      <c r="D33" s="198">
        <v>0</v>
      </c>
      <c r="E33" s="198">
        <v>0</v>
      </c>
      <c r="F33" s="198">
        <v>2293.5120000000002</v>
      </c>
      <c r="G33" s="199">
        <v>0</v>
      </c>
      <c r="H33" s="199">
        <v>75</v>
      </c>
      <c r="I33" s="10">
        <v>0</v>
      </c>
      <c r="J33" s="11">
        <v>0</v>
      </c>
      <c r="K33" s="11"/>
      <c r="L33" s="193">
        <v>0</v>
      </c>
      <c r="M33" s="193">
        <v>0</v>
      </c>
      <c r="N33" s="193">
        <v>0</v>
      </c>
      <c r="O33" s="193">
        <v>149078.28</v>
      </c>
      <c r="P33" s="193">
        <v>0</v>
      </c>
      <c r="Q33" s="193">
        <v>11250</v>
      </c>
      <c r="R33" s="193">
        <v>0</v>
      </c>
      <c r="S33" s="193">
        <v>0</v>
      </c>
      <c r="T33" s="193">
        <v>160328.28</v>
      </c>
    </row>
    <row r="34" spans="1:20">
      <c r="A34" s="13">
        <v>30</v>
      </c>
      <c r="B34" s="204" t="s">
        <v>231</v>
      </c>
      <c r="C34" s="205"/>
      <c r="D34" s="198">
        <v>0</v>
      </c>
      <c r="E34" s="198">
        <v>0</v>
      </c>
      <c r="F34" s="198">
        <v>2293.5120000000002</v>
      </c>
      <c r="G34" s="199">
        <v>0</v>
      </c>
      <c r="H34" s="199">
        <v>75</v>
      </c>
      <c r="I34" s="10">
        <v>0</v>
      </c>
      <c r="J34" s="11">
        <v>0</v>
      </c>
      <c r="K34" s="11"/>
      <c r="L34" s="193">
        <v>0</v>
      </c>
      <c r="M34" s="193">
        <v>0</v>
      </c>
      <c r="N34" s="193">
        <v>0</v>
      </c>
      <c r="O34" s="193">
        <v>149078.28</v>
      </c>
      <c r="P34" s="193">
        <v>0</v>
      </c>
      <c r="Q34" s="193">
        <v>11250</v>
      </c>
      <c r="R34" s="193">
        <v>0</v>
      </c>
      <c r="S34" s="193">
        <v>0</v>
      </c>
      <c r="T34" s="193">
        <v>160328.28</v>
      </c>
    </row>
    <row r="35" spans="1:20">
      <c r="A35" s="13">
        <v>31</v>
      </c>
      <c r="B35" s="204" t="s">
        <v>232</v>
      </c>
      <c r="C35" s="205"/>
      <c r="D35" s="198">
        <v>0</v>
      </c>
      <c r="E35" s="198">
        <v>0</v>
      </c>
      <c r="F35" s="198">
        <v>2293.5120000000002</v>
      </c>
      <c r="G35" s="199">
        <v>0</v>
      </c>
      <c r="H35" s="199">
        <v>75</v>
      </c>
      <c r="I35" s="10">
        <v>0</v>
      </c>
      <c r="J35" s="11">
        <v>0</v>
      </c>
      <c r="K35" s="11"/>
      <c r="L35" s="193">
        <v>0</v>
      </c>
      <c r="M35" s="193">
        <v>0</v>
      </c>
      <c r="N35" s="193">
        <v>0</v>
      </c>
      <c r="O35" s="193">
        <v>149078.28</v>
      </c>
      <c r="P35" s="193">
        <v>0</v>
      </c>
      <c r="Q35" s="193">
        <v>11250</v>
      </c>
      <c r="R35" s="193">
        <v>0</v>
      </c>
      <c r="S35" s="193">
        <v>0</v>
      </c>
      <c r="T35" s="193">
        <v>160328.28</v>
      </c>
    </row>
    <row r="36" spans="1:20">
      <c r="D36" s="19">
        <v>357.75099999999998</v>
      </c>
      <c r="E36" s="19">
        <v>0</v>
      </c>
      <c r="F36" s="19">
        <v>66130.598000000013</v>
      </c>
      <c r="G36" s="19">
        <v>0</v>
      </c>
      <c r="H36" s="19">
        <v>1967.249</v>
      </c>
      <c r="I36" s="19">
        <v>0</v>
      </c>
      <c r="J36" s="20">
        <v>0</v>
      </c>
      <c r="K36" s="20">
        <v>0</v>
      </c>
      <c r="L36" s="194">
        <v>0</v>
      </c>
      <c r="M36" s="194">
        <v>53662.65</v>
      </c>
      <c r="N36" s="194">
        <v>0</v>
      </c>
      <c r="O36" s="194">
        <v>4298488.87</v>
      </c>
      <c r="P36" s="194">
        <v>0</v>
      </c>
      <c r="Q36" s="194">
        <v>295087.34999999998</v>
      </c>
      <c r="R36" s="194">
        <v>0</v>
      </c>
      <c r="S36" s="194">
        <v>0</v>
      </c>
      <c r="T36" s="194">
        <v>4647238.87</v>
      </c>
    </row>
    <row r="37" spans="1:20">
      <c r="R37" s="22"/>
      <c r="S37" s="22"/>
      <c r="T37" s="195">
        <v>5576686.6399999997</v>
      </c>
    </row>
  </sheetData>
  <mergeCells count="50">
    <mergeCell ref="B8:C8"/>
    <mergeCell ref="B9:C9"/>
    <mergeCell ref="B10:C10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  <mergeCell ref="B7:C7"/>
    <mergeCell ref="L3:L4"/>
    <mergeCell ref="M3:M4"/>
    <mergeCell ref="N3:N4"/>
    <mergeCell ref="O3:O4"/>
    <mergeCell ref="R3:R4"/>
    <mergeCell ref="S3:S4"/>
    <mergeCell ref="T3:T4"/>
    <mergeCell ref="B5:C5"/>
    <mergeCell ref="B6:C6"/>
    <mergeCell ref="P3:P4"/>
    <mergeCell ref="Q3:Q4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13:C13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</mergeCells>
  <pageMargins left="0.7" right="0.7" top="0.75" bottom="0.75" header="0.3" footer="0.3"/>
  <pageSetup paperSize="9" fitToHeight="5" orientation="landscape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6C914-8994-4519-9445-09D7340EEB3D}">
  <sheetPr codeName="Лист14"/>
  <dimension ref="A1:A29"/>
  <sheetViews>
    <sheetView workbookViewId="0">
      <selection activeCell="A30" sqref="A30"/>
    </sheetView>
  </sheetViews>
  <sheetFormatPr defaultRowHeight="15"/>
  <cols>
    <col min="1" max="1" width="10.5" style="2" bestFit="1" customWidth="1"/>
    <col min="2" max="16384" width="8.796875" style="2"/>
  </cols>
  <sheetData>
    <row r="1" spans="1:1">
      <c r="A1" s="117">
        <v>45292</v>
      </c>
    </row>
    <row r="2" spans="1:1">
      <c r="A2" s="117">
        <v>45293</v>
      </c>
    </row>
    <row r="3" spans="1:1">
      <c r="A3" s="117">
        <v>45294</v>
      </c>
    </row>
    <row r="4" spans="1:1">
      <c r="A4" s="117">
        <v>45295</v>
      </c>
    </row>
    <row r="5" spans="1:1">
      <c r="A5" s="117">
        <v>45296</v>
      </c>
    </row>
    <row r="6" spans="1:1">
      <c r="A6" s="117">
        <v>45297</v>
      </c>
    </row>
    <row r="7" spans="1:1">
      <c r="A7" s="117">
        <v>45298</v>
      </c>
    </row>
    <row r="8" spans="1:1">
      <c r="A8" s="117">
        <v>45299</v>
      </c>
    </row>
    <row r="9" spans="1:1">
      <c r="A9" s="117">
        <v>45345</v>
      </c>
    </row>
    <row r="10" spans="1:1">
      <c r="A10" s="117">
        <v>45359</v>
      </c>
    </row>
    <row r="11" spans="1:1">
      <c r="A11" s="117">
        <v>45410</v>
      </c>
    </row>
    <row r="12" spans="1:1">
      <c r="A12" s="117">
        <v>45411</v>
      </c>
    </row>
    <row r="13" spans="1:1">
      <c r="A13" s="117">
        <v>45412</v>
      </c>
    </row>
    <row r="14" spans="1:1">
      <c r="A14" s="117">
        <v>45778</v>
      </c>
    </row>
    <row r="15" spans="1:1">
      <c r="A15" s="117">
        <v>45779</v>
      </c>
    </row>
    <row r="16" spans="1:1">
      <c r="A16" s="117">
        <v>45780</v>
      </c>
    </row>
    <row r="17" spans="1:1">
      <c r="A17" s="117">
        <v>45781</v>
      </c>
    </row>
    <row r="18" spans="1:1">
      <c r="A18" s="117">
        <v>45785</v>
      </c>
    </row>
    <row r="19" spans="1:1">
      <c r="A19" s="117">
        <v>45786</v>
      </c>
    </row>
    <row r="20" spans="1:1">
      <c r="A20" s="117">
        <v>45787</v>
      </c>
    </row>
    <row r="21" spans="1:1">
      <c r="A21" s="117">
        <v>45788</v>
      </c>
    </row>
    <row r="22" spans="1:1">
      <c r="A22" s="117">
        <v>45820</v>
      </c>
    </row>
    <row r="23" spans="1:1">
      <c r="A23" s="117">
        <v>45821</v>
      </c>
    </row>
    <row r="24" spans="1:1">
      <c r="A24" s="117">
        <v>45822</v>
      </c>
    </row>
    <row r="25" spans="1:1">
      <c r="A25" s="117">
        <v>45823</v>
      </c>
    </row>
    <row r="26" spans="1:1">
      <c r="A26" s="117">
        <v>45963</v>
      </c>
    </row>
    <row r="27" spans="1:1">
      <c r="A27" s="117">
        <v>45964</v>
      </c>
    </row>
    <row r="28" spans="1:1">
      <c r="A28" s="117">
        <v>45965</v>
      </c>
    </row>
    <row r="29" spans="1:1">
      <c r="A29" s="117">
        <v>46022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067AA-5251-44CB-81D0-2FC71D1F09DD}">
  <sheetPr codeName="Лист13"/>
  <dimension ref="A3:F26"/>
  <sheetViews>
    <sheetView workbookViewId="0">
      <selection activeCell="I17" sqref="I17"/>
    </sheetView>
  </sheetViews>
  <sheetFormatPr defaultRowHeight="15"/>
  <cols>
    <col min="1" max="1" width="8.796875" style="2"/>
    <col min="2" max="2" width="23.296875" style="2" customWidth="1"/>
    <col min="3" max="3" width="8.796875" style="2"/>
    <col min="4" max="4" width="8.296875" style="2" customWidth="1"/>
    <col min="5" max="5" width="7.5" style="2" customWidth="1"/>
    <col min="6" max="6" width="11.3984375" style="2" customWidth="1"/>
    <col min="7" max="16384" width="8.796875" style="2"/>
  </cols>
  <sheetData>
    <row r="3" spans="1:6" ht="21">
      <c r="A3" s="77" t="str">
        <f ca="1">"Акт  №    от  " &amp; TEXT(TODAY()-DAY(TODAY()), "ДД ММММ ГГГГ")</f>
        <v>Акт  №    от  31 Декабрь 2025</v>
      </c>
    </row>
    <row r="4" spans="1:6">
      <c r="A4" s="22" t="str">
        <f ca="1">"выполненных работ (оказанных услуг) за " &amp; TEXT(TODAY()-DAY(TODAY()),"ММММ ГГГГ")</f>
        <v>выполненных работ (оказанных услуг) за Декабрь 2025</v>
      </c>
      <c r="B4" s="22"/>
      <c r="C4" s="22"/>
    </row>
    <row r="5" spans="1:6">
      <c r="A5" s="22" t="s">
        <v>117</v>
      </c>
      <c r="B5" s="22"/>
      <c r="C5" s="22"/>
    </row>
    <row r="6" spans="1:6">
      <c r="A6" s="2" t="s">
        <v>118</v>
      </c>
    </row>
    <row r="7" spans="1:6">
      <c r="A7" s="2" t="str">
        <f ca="1">" Во исполнение Договора в период с " &amp; TEXT(TODAY()-DAY(TODAY())-DAY(TODAY()-DAY(TODAY()))+1,"ДД ММММ ГГГГ") &amp; " г. По " &amp; TEXT(TODAY()-DAY(TODAY()),"ДД ММММ ГГГГ") &amp; "  г. ХРАНИТЕЛЬ оказал ПОКЛАЖЕДАТЕЛЮ следующие услуги (работы):"</f>
        <v xml:space="preserve"> Во исполнение Договора в период с 01 Декабрь 2025 г. По 31 Декабрь 2025  г. ХРАНИТЕЛЬ оказал ПОКЛАЖЕДАТЕЛЮ следующие услуги (работы):</v>
      </c>
    </row>
    <row r="9" spans="1:6">
      <c r="A9" s="79" t="s">
        <v>0</v>
      </c>
      <c r="B9" s="79" t="s">
        <v>78</v>
      </c>
      <c r="C9" s="79" t="s">
        <v>79</v>
      </c>
      <c r="D9" s="79" t="s">
        <v>80</v>
      </c>
      <c r="E9" s="79" t="s">
        <v>81</v>
      </c>
      <c r="F9" s="79" t="s">
        <v>82</v>
      </c>
    </row>
    <row r="10" spans="1:6">
      <c r="A10" s="80">
        <v>1</v>
      </c>
      <c r="B10" s="79" t="s">
        <v>119</v>
      </c>
      <c r="C10" s="80" t="s">
        <v>120</v>
      </c>
      <c r="D10" s="110">
        <f>'[1]РВ Березовая Пойма'!S2</f>
        <v>723</v>
      </c>
      <c r="E10" s="111">
        <v>150</v>
      </c>
      <c r="F10" s="111">
        <f>D10*E10</f>
        <v>108450</v>
      </c>
    </row>
    <row r="11" spans="1:6">
      <c r="A11" s="80">
        <v>2</v>
      </c>
      <c r="B11" s="79" t="s">
        <v>121</v>
      </c>
      <c r="C11" s="6" t="s">
        <v>120</v>
      </c>
      <c r="D11" s="112">
        <f>'[1]РВ Березовая Пойма'!R2</f>
        <v>676.23</v>
      </c>
      <c r="E11" s="111">
        <v>225</v>
      </c>
      <c r="F11" s="111">
        <f t="shared" ref="F11:F15" si="0">D11*E11</f>
        <v>152151.75</v>
      </c>
    </row>
    <row r="12" spans="1:6">
      <c r="A12" s="80">
        <v>3</v>
      </c>
      <c r="B12" s="113" t="s">
        <v>122</v>
      </c>
      <c r="C12" s="6" t="s">
        <v>120</v>
      </c>
      <c r="D12" s="112">
        <v>0</v>
      </c>
      <c r="E12" s="111">
        <v>225</v>
      </c>
      <c r="F12" s="111">
        <f t="shared" si="0"/>
        <v>0</v>
      </c>
    </row>
    <row r="13" spans="1:6">
      <c r="A13" s="80">
        <v>4</v>
      </c>
      <c r="B13" s="113" t="s">
        <v>123</v>
      </c>
      <c r="C13" s="6" t="s">
        <v>120</v>
      </c>
      <c r="D13" s="112">
        <f>'[1]РВ Березовая Пойма'!R3</f>
        <v>22</v>
      </c>
      <c r="E13" s="111">
        <v>225</v>
      </c>
      <c r="F13" s="111">
        <f t="shared" si="0"/>
        <v>4950</v>
      </c>
    </row>
    <row r="14" spans="1:6">
      <c r="A14" s="80">
        <v>5</v>
      </c>
      <c r="B14" s="114" t="s">
        <v>124</v>
      </c>
      <c r="C14" s="6" t="s">
        <v>120</v>
      </c>
      <c r="D14" s="112">
        <f>'[1]РВ Березовая Пойма'!S3</f>
        <v>591</v>
      </c>
      <c r="E14" s="111">
        <v>150</v>
      </c>
      <c r="F14" s="111">
        <f t="shared" si="0"/>
        <v>88650</v>
      </c>
    </row>
    <row r="15" spans="1:6">
      <c r="A15" s="80">
        <v>6</v>
      </c>
      <c r="B15" s="113" t="s">
        <v>125</v>
      </c>
      <c r="C15" s="6" t="s">
        <v>120</v>
      </c>
      <c r="D15" s="112">
        <f>'[1]РВ Березовая Пойма'!G37</f>
        <v>22165.23</v>
      </c>
      <c r="E15" s="115">
        <v>15</v>
      </c>
      <c r="F15" s="111">
        <f t="shared" si="0"/>
        <v>332478.45</v>
      </c>
    </row>
    <row r="16" spans="1:6">
      <c r="A16" s="80"/>
      <c r="B16" s="113"/>
      <c r="C16" s="6"/>
      <c r="D16" s="112"/>
      <c r="E16" s="115"/>
      <c r="F16" s="111"/>
    </row>
    <row r="17" spans="1:6">
      <c r="A17" s="2" t="s">
        <v>83</v>
      </c>
      <c r="F17" s="111">
        <f>SUM(F10:F16)</f>
        <v>686680.2</v>
      </c>
    </row>
    <row r="18" spans="1:6">
      <c r="A18" s="2" t="s">
        <v>84</v>
      </c>
      <c r="F18" s="111">
        <f>SUM(F17)</f>
        <v>686680.2</v>
      </c>
    </row>
    <row r="19" spans="1:6">
      <c r="A19" s="2" t="s">
        <v>85</v>
      </c>
      <c r="F19" s="111">
        <f>SUM(F18)*1.2</f>
        <v>824016.23999999987</v>
      </c>
    </row>
    <row r="20" spans="1:6">
      <c r="A20" s="2" t="s">
        <v>86</v>
      </c>
    </row>
    <row r="21" spans="1:6">
      <c r="A21" s="2" t="s">
        <v>87</v>
      </c>
    </row>
    <row r="24" spans="1:6">
      <c r="A24" s="2" t="s">
        <v>89</v>
      </c>
      <c r="D24" s="2" t="s">
        <v>128</v>
      </c>
    </row>
    <row r="26" spans="1:6">
      <c r="A26" s="2" t="s">
        <v>129</v>
      </c>
      <c r="D26" s="2" t="s">
        <v>93</v>
      </c>
    </row>
  </sheetData>
  <pageMargins left="0.7" right="0.7" top="0.75" bottom="0.75" header="0.3" footer="0.3"/>
  <pageSetup paperSize="9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10CAD-0198-481E-A092-93102BAE15D3}">
  <sheetPr codeName="Лист11"/>
  <dimension ref="A3:F26"/>
  <sheetViews>
    <sheetView workbookViewId="0">
      <selection activeCell="I17" sqref="I17"/>
    </sheetView>
  </sheetViews>
  <sheetFormatPr defaultRowHeight="15"/>
  <cols>
    <col min="1" max="1" width="8.796875" style="2"/>
    <col min="2" max="2" width="23.296875" style="2" customWidth="1"/>
    <col min="3" max="3" width="8.796875" style="2"/>
    <col min="4" max="4" width="8.296875" style="2" customWidth="1"/>
    <col min="5" max="5" width="7.5" style="2" customWidth="1"/>
    <col min="6" max="6" width="11.3984375" style="2" customWidth="1"/>
    <col min="7" max="16384" width="8.796875" style="2"/>
  </cols>
  <sheetData>
    <row r="3" spans="1:6" ht="21">
      <c r="A3" s="77" t="str">
        <f ca="1">"Акт  №    от  " &amp; TEXT(TODAY()-DAY(TODAY()), "ДД ММММ ГГГГ")</f>
        <v>Акт  №    от  31 Декабрь 2025</v>
      </c>
    </row>
    <row r="4" spans="1:6">
      <c r="A4" s="22" t="str">
        <f ca="1">"выполненных работ (оказанных услуг) за " &amp; TEXT(TODAY()-DAY(TODAY()),"ММММ ГГГГ")</f>
        <v>выполненных работ (оказанных услуг) за Декабрь 2025</v>
      </c>
      <c r="B4" s="22"/>
      <c r="C4" s="22"/>
    </row>
    <row r="5" spans="1:6">
      <c r="A5" s="22" t="s">
        <v>117</v>
      </c>
      <c r="B5" s="22"/>
      <c r="C5" s="22"/>
    </row>
    <row r="6" spans="1:6">
      <c r="A6" s="2" t="s">
        <v>118</v>
      </c>
    </row>
    <row r="7" spans="1:6">
      <c r="A7" s="2" t="str">
        <f ca="1">" Во исполнение Договора в период с " &amp; TEXT(TODAY()-DAY(TODAY())-DAY(TODAY()-DAY(TODAY()))+1,"ДД ММММ ГГГГ") &amp; " г. По " &amp; TEXT(TODAY()-DAY(TODAY()),"ДД ММММ ГГГГ") &amp; "  г. ХРАНИТЕЛЬ оказал ПОКЛАЖЕДАТЕЛЮ следующие услуги (работы):"</f>
        <v xml:space="preserve"> Во исполнение Договора в период с 01 Декабрь 2025 г. По 31 Декабрь 2025  г. ХРАНИТЕЛЬ оказал ПОКЛАЖЕДАТЕЛЮ следующие услуги (работы):</v>
      </c>
    </row>
    <row r="9" spans="1:6">
      <c r="A9" s="79" t="s">
        <v>0</v>
      </c>
      <c r="B9" s="79" t="s">
        <v>78</v>
      </c>
      <c r="C9" s="79" t="s">
        <v>79</v>
      </c>
      <c r="D9" s="79" t="s">
        <v>80</v>
      </c>
      <c r="E9" s="79" t="s">
        <v>81</v>
      </c>
      <c r="F9" s="79" t="s">
        <v>82</v>
      </c>
    </row>
    <row r="10" spans="1:6">
      <c r="A10" s="80">
        <v>1</v>
      </c>
      <c r="B10" s="79" t="s">
        <v>119</v>
      </c>
      <c r="C10" s="80" t="s">
        <v>120</v>
      </c>
      <c r="D10" s="110">
        <f>'[1]РВ Новикова-Прибоя'!S2</f>
        <v>0</v>
      </c>
      <c r="E10" s="111">
        <v>150</v>
      </c>
      <c r="F10" s="111">
        <f>D10*E10</f>
        <v>0</v>
      </c>
    </row>
    <row r="11" spans="1:6">
      <c r="A11" s="80">
        <v>2</v>
      </c>
      <c r="B11" s="79" t="s">
        <v>121</v>
      </c>
      <c r="C11" s="6" t="s">
        <v>120</v>
      </c>
      <c r="D11" s="112">
        <f>'[1]РВ Новикова-Прибоя'!R2</f>
        <v>0</v>
      </c>
      <c r="E11" s="111">
        <v>225</v>
      </c>
      <c r="F11" s="111">
        <f t="shared" ref="F11:F15" si="0">D11*E11</f>
        <v>0</v>
      </c>
    </row>
    <row r="12" spans="1:6">
      <c r="A12" s="80">
        <v>3</v>
      </c>
      <c r="B12" s="113" t="s">
        <v>122</v>
      </c>
      <c r="C12" s="6" t="s">
        <v>120</v>
      </c>
      <c r="D12" s="112">
        <v>0</v>
      </c>
      <c r="E12" s="111">
        <v>225</v>
      </c>
      <c r="F12" s="111">
        <f t="shared" si="0"/>
        <v>0</v>
      </c>
    </row>
    <row r="13" spans="1:6">
      <c r="A13" s="80">
        <v>4</v>
      </c>
      <c r="B13" s="113" t="s">
        <v>123</v>
      </c>
      <c r="C13" s="6" t="s">
        <v>120</v>
      </c>
      <c r="D13" s="112">
        <f>'[1]РВ Новикова-Прибоя'!R3</f>
        <v>60.224999999999994</v>
      </c>
      <c r="E13" s="111">
        <v>225</v>
      </c>
      <c r="F13" s="111">
        <f t="shared" si="0"/>
        <v>13550.624999999998</v>
      </c>
    </row>
    <row r="14" spans="1:6">
      <c r="A14" s="80">
        <v>5</v>
      </c>
      <c r="B14" s="114" t="s">
        <v>124</v>
      </c>
      <c r="C14" s="6" t="s">
        <v>120</v>
      </c>
      <c r="D14" s="112">
        <f>'[1]РВ Новикова-Прибоя'!S3</f>
        <v>48.25</v>
      </c>
      <c r="E14" s="111">
        <v>150</v>
      </c>
      <c r="F14" s="111">
        <f t="shared" si="0"/>
        <v>7237.5</v>
      </c>
    </row>
    <row r="15" spans="1:6">
      <c r="A15" s="80">
        <v>6</v>
      </c>
      <c r="B15" s="113" t="s">
        <v>125</v>
      </c>
      <c r="C15" s="6" t="s">
        <v>120</v>
      </c>
      <c r="D15" s="112">
        <f>'[1]РВ Новикова-Прибоя'!G37</f>
        <v>8346.345000000003</v>
      </c>
      <c r="E15" s="115">
        <v>15</v>
      </c>
      <c r="F15" s="111">
        <f t="shared" si="0"/>
        <v>125195.17500000005</v>
      </c>
    </row>
    <row r="16" spans="1:6">
      <c r="A16" s="80"/>
      <c r="B16" s="113"/>
      <c r="C16" s="6"/>
      <c r="D16" s="112"/>
      <c r="E16" s="115"/>
      <c r="F16" s="111"/>
    </row>
    <row r="17" spans="1:6">
      <c r="A17" s="2" t="s">
        <v>83</v>
      </c>
      <c r="F17" s="111">
        <f>SUM(F10:F16)</f>
        <v>145983.30000000005</v>
      </c>
    </row>
    <row r="18" spans="1:6">
      <c r="A18" s="2" t="s">
        <v>84</v>
      </c>
      <c r="F18" s="111">
        <f>SUM(F17)</f>
        <v>145983.30000000005</v>
      </c>
    </row>
    <row r="19" spans="1:6">
      <c r="A19" s="2" t="s">
        <v>85</v>
      </c>
      <c r="F19" s="111">
        <f>SUM(F18)*1.2</f>
        <v>175179.96000000005</v>
      </c>
    </row>
    <row r="20" spans="1:6">
      <c r="A20" s="2" t="s">
        <v>86</v>
      </c>
    </row>
    <row r="21" spans="1:6">
      <c r="A21" s="2" t="s">
        <v>87</v>
      </c>
    </row>
    <row r="24" spans="1:6">
      <c r="A24" s="2" t="s">
        <v>89</v>
      </c>
      <c r="D24" s="2" t="s">
        <v>128</v>
      </c>
    </row>
    <row r="26" spans="1:6">
      <c r="A26" s="2" t="s">
        <v>129</v>
      </c>
      <c r="D26" s="2" t="s">
        <v>93</v>
      </c>
    </row>
  </sheetData>
  <pageMargins left="0.7" right="0.7" top="0.75" bottom="0.75" header="0.3" footer="0.3"/>
  <pageSetup paperSize="9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946A6-C57A-44EB-B1E2-DBD77C9AD4BD}">
  <sheetPr codeName="Лист10"/>
  <dimension ref="A3:I27"/>
  <sheetViews>
    <sheetView workbookViewId="0">
      <selection activeCell="I17" sqref="I17"/>
    </sheetView>
  </sheetViews>
  <sheetFormatPr defaultRowHeight="15"/>
  <cols>
    <col min="1" max="1" width="8.796875" style="2"/>
    <col min="2" max="2" width="23.296875" style="2" customWidth="1"/>
    <col min="3" max="3" width="8.796875" style="2"/>
    <col min="4" max="4" width="8.296875" style="2" customWidth="1"/>
    <col min="5" max="5" width="7.5" style="2" customWidth="1"/>
    <col min="6" max="6" width="11.3984375" style="2" customWidth="1"/>
    <col min="7" max="8" width="8.796875" style="2"/>
    <col min="9" max="9" width="10.19921875" style="2" bestFit="1" customWidth="1"/>
    <col min="10" max="16384" width="8.796875" style="2"/>
  </cols>
  <sheetData>
    <row r="3" spans="1:6" ht="21">
      <c r="A3" s="77" t="str">
        <f ca="1">"Акт  №    от  " &amp; TEXT(TODAY()-DAY(TODAY()), "ДД ММММ ГГГГ")</f>
        <v>Акт  №    от  31 Декабрь 2025</v>
      </c>
    </row>
    <row r="4" spans="1:6">
      <c r="A4" s="22" t="str">
        <f ca="1">"выполненных работ (оказанных услуг) за " &amp; TEXT(TODAY()-DAY(TODAY()),"ММММ ГГГГ")</f>
        <v>выполненных работ (оказанных услуг) за Декабрь 2025</v>
      </c>
      <c r="B4" s="22"/>
      <c r="C4" s="22"/>
    </row>
    <row r="5" spans="1:6">
      <c r="A5" s="22" t="s">
        <v>117</v>
      </c>
      <c r="B5" s="22"/>
      <c r="C5" s="22"/>
    </row>
    <row r="6" spans="1:6">
      <c r="A6" s="2" t="s">
        <v>118</v>
      </c>
    </row>
    <row r="7" spans="1:6">
      <c r="A7" s="2" t="str">
        <f ca="1">" Во исполнение Договора в период с " &amp; TEXT(TODAY()-DAY(TODAY())-DAY(TODAY()-DAY(TODAY()))+1,"ДД ММММ ГГГГ") &amp; " г. По " &amp; TEXT(TODAY()-DAY(TODAY()),"ДД ММММ ГГГГ") &amp; "  г. ХРАНИТЕЛЬ оказал ПОКЛАЖЕДАТЕЛЮ следующие услуги (работы):"</f>
        <v xml:space="preserve"> Во исполнение Договора в период с 01 Декабрь 2025 г. По 31 Декабрь 2025  г. ХРАНИТЕЛЬ оказал ПОКЛАЖЕДАТЕЛЮ следующие услуги (работы):</v>
      </c>
    </row>
    <row r="9" spans="1:6">
      <c r="A9" s="79" t="s">
        <v>0</v>
      </c>
      <c r="B9" s="79" t="s">
        <v>78</v>
      </c>
      <c r="C9" s="79" t="s">
        <v>79</v>
      </c>
      <c r="D9" s="79" t="s">
        <v>80</v>
      </c>
      <c r="E9" s="79" t="s">
        <v>81</v>
      </c>
      <c r="F9" s="79" t="s">
        <v>82</v>
      </c>
    </row>
    <row r="10" spans="1:6">
      <c r="A10" s="80">
        <v>1</v>
      </c>
      <c r="B10" s="79" t="s">
        <v>119</v>
      </c>
      <c r="C10" s="80" t="s">
        <v>120</v>
      </c>
      <c r="D10" s="110">
        <f>'[1]РВ Баумана'!S2</f>
        <v>0</v>
      </c>
      <c r="E10" s="111">
        <v>150</v>
      </c>
      <c r="F10" s="111">
        <f>D10*E10</f>
        <v>0</v>
      </c>
    </row>
    <row r="11" spans="1:6">
      <c r="A11" s="80">
        <v>2</v>
      </c>
      <c r="B11" s="79" t="s">
        <v>121</v>
      </c>
      <c r="C11" s="6" t="s">
        <v>120</v>
      </c>
      <c r="D11" s="112">
        <f>'[1]РВ Баумана'!R2</f>
        <v>0</v>
      </c>
      <c r="E11" s="111">
        <v>225</v>
      </c>
      <c r="F11" s="111">
        <f t="shared" ref="F11:F17" si="0">D11*E11</f>
        <v>0</v>
      </c>
    </row>
    <row r="12" spans="1:6">
      <c r="A12" s="80">
        <v>3</v>
      </c>
      <c r="B12" s="113" t="s">
        <v>122</v>
      </c>
      <c r="C12" s="6" t="s">
        <v>120</v>
      </c>
      <c r="D12" s="112">
        <v>0</v>
      </c>
      <c r="E12" s="111">
        <v>225</v>
      </c>
      <c r="F12" s="111">
        <f t="shared" si="0"/>
        <v>0</v>
      </c>
    </row>
    <row r="13" spans="1:6">
      <c r="A13" s="80">
        <v>4</v>
      </c>
      <c r="B13" s="113" t="s">
        <v>123</v>
      </c>
      <c r="C13" s="6" t="s">
        <v>120</v>
      </c>
      <c r="D13" s="112">
        <f>'[1]РВ Баумана'!R3</f>
        <v>90.625</v>
      </c>
      <c r="E13" s="111">
        <v>225</v>
      </c>
      <c r="F13" s="111">
        <f t="shared" si="0"/>
        <v>20390.625</v>
      </c>
    </row>
    <row r="14" spans="1:6">
      <c r="A14" s="80">
        <v>5</v>
      </c>
      <c r="B14" s="114" t="s">
        <v>124</v>
      </c>
      <c r="C14" s="6" t="s">
        <v>120</v>
      </c>
      <c r="D14" s="112">
        <f>'[1]РВ Баумана'!S3</f>
        <v>420.44500000000005</v>
      </c>
      <c r="E14" s="111">
        <v>150</v>
      </c>
      <c r="F14" s="111">
        <f t="shared" si="0"/>
        <v>63066.750000000007</v>
      </c>
    </row>
    <row r="15" spans="1:6">
      <c r="A15" s="80">
        <v>6</v>
      </c>
      <c r="B15" s="113" t="s">
        <v>125</v>
      </c>
      <c r="C15" s="6" t="s">
        <v>120</v>
      </c>
      <c r="D15" s="112">
        <f>'[1]РВ Баумана'!G37</f>
        <v>39341.71</v>
      </c>
      <c r="E15" s="115">
        <v>15</v>
      </c>
      <c r="F15" s="111">
        <f t="shared" si="0"/>
        <v>590125.65</v>
      </c>
    </row>
    <row r="16" spans="1:6">
      <c r="A16" s="80">
        <v>8</v>
      </c>
      <c r="B16" s="113" t="s">
        <v>126</v>
      </c>
      <c r="C16" s="6" t="s">
        <v>120</v>
      </c>
      <c r="D16" s="112">
        <f>[1]Резерв!G37</f>
        <v>178146.71499999997</v>
      </c>
      <c r="E16" s="115">
        <v>15</v>
      </c>
      <c r="F16" s="111">
        <f t="shared" si="0"/>
        <v>2672200.7249999996</v>
      </c>
    </row>
    <row r="17" spans="1:9">
      <c r="A17" s="80">
        <v>9</v>
      </c>
      <c r="B17" s="113" t="s">
        <v>127</v>
      </c>
      <c r="C17" s="6" t="s">
        <v>120</v>
      </c>
      <c r="D17" s="112">
        <v>0</v>
      </c>
      <c r="E17" s="115">
        <v>150</v>
      </c>
      <c r="F17" s="111">
        <f t="shared" si="0"/>
        <v>0</v>
      </c>
      <c r="I17" s="116"/>
    </row>
    <row r="18" spans="1:9">
      <c r="A18" s="2" t="s">
        <v>83</v>
      </c>
      <c r="F18" s="111">
        <f>SUM(F10:F17)</f>
        <v>3345783.7499999995</v>
      </c>
    </row>
    <row r="19" spans="1:9">
      <c r="A19" s="2" t="s">
        <v>84</v>
      </c>
      <c r="F19" s="111">
        <f>F18</f>
        <v>3345783.7499999995</v>
      </c>
    </row>
    <row r="20" spans="1:9">
      <c r="A20" s="2" t="s">
        <v>85</v>
      </c>
      <c r="F20" s="111">
        <f>F19*1.2</f>
        <v>4014940.4999999991</v>
      </c>
    </row>
    <row r="21" spans="1:9">
      <c r="A21" s="2" t="s">
        <v>86</v>
      </c>
    </row>
    <row r="22" spans="1:9">
      <c r="A22" s="2" t="s">
        <v>87</v>
      </c>
    </row>
    <row r="25" spans="1:9">
      <c r="A25" s="2" t="s">
        <v>89</v>
      </c>
      <c r="D25" s="2" t="s">
        <v>128</v>
      </c>
    </row>
    <row r="27" spans="1:9">
      <c r="A27" s="2" t="s">
        <v>129</v>
      </c>
      <c r="D27" s="2" t="s">
        <v>93</v>
      </c>
    </row>
  </sheetData>
  <pageMargins left="0.7" right="0.7" top="0.75" bottom="0.75" header="0.3" footer="0.3"/>
  <pageSetup paperSize="9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AA526-46F7-4095-85DB-B7FFF7BA0622}">
  <sheetPr codeName="Лист7"/>
  <dimension ref="A1:S40"/>
  <sheetViews>
    <sheetView workbookViewId="0">
      <selection activeCell="M6" sqref="M6"/>
    </sheetView>
  </sheetViews>
  <sheetFormatPr defaultRowHeight="15"/>
  <cols>
    <col min="1" max="2" width="8.796875" style="2"/>
    <col min="3" max="3" width="6.8984375" style="2" bestFit="1" customWidth="1"/>
    <col min="4" max="6" width="8.796875" style="2"/>
    <col min="7" max="7" width="7.3984375" style="2" bestFit="1" customWidth="1"/>
    <col min="8" max="8" width="8.796875" style="2"/>
    <col min="9" max="9" width="8.8984375" style="2" customWidth="1"/>
    <col min="10" max="10" width="9.19921875" style="2" bestFit="1" customWidth="1"/>
    <col min="11" max="12" width="6.5" style="2" bestFit="1" customWidth="1"/>
    <col min="13" max="13" width="9.69921875" style="2" customWidth="1"/>
    <col min="14" max="14" width="6.5" style="2" bestFit="1" customWidth="1"/>
    <col min="15" max="15" width="11.19921875" style="2" customWidth="1"/>
    <col min="16" max="16" width="8.796875" style="2"/>
    <col min="17" max="17" width="12.796875" style="2" customWidth="1"/>
    <col min="18" max="16384" width="8.796875" style="2"/>
  </cols>
  <sheetData>
    <row r="1" spans="1:19">
      <c r="M1" s="89"/>
      <c r="Q1" s="79"/>
      <c r="R1" s="79" t="s">
        <v>106</v>
      </c>
      <c r="S1" s="79" t="s">
        <v>107</v>
      </c>
    </row>
    <row r="2" spans="1:19">
      <c r="M2" s="89"/>
      <c r="Q2" s="79" t="s">
        <v>108</v>
      </c>
      <c r="R2" s="79">
        <f>SUMIF($P$6:$P$36,R$1,$C6:$C36)</f>
        <v>0</v>
      </c>
      <c r="S2" s="79">
        <f>SUMIF($P$6:$P$36,S$1,$C6:$C36)</f>
        <v>0</v>
      </c>
    </row>
    <row r="3" spans="1:19" ht="21">
      <c r="A3" s="77" t="str">
        <f>"Отчет по хранению  товара  РВ " &amp; TEXT(A6,"ММММ ") &amp; YEAR(A6) &amp; " Окская Мешки"</f>
        <v>Отчет по хранению  товара  РВ Ноябрь 2024 Окская Мешки</v>
      </c>
      <c r="G3" s="89"/>
      <c r="M3" s="89"/>
      <c r="Q3" s="79" t="s">
        <v>96</v>
      </c>
      <c r="R3" s="79">
        <f>SUMIF($P$6:$P$36,R$1,$D6:$D36)</f>
        <v>0</v>
      </c>
      <c r="S3" s="79">
        <f>SUMIF($P$6:$P$36,S$1,$D6:$D36)</f>
        <v>0</v>
      </c>
    </row>
    <row r="4" spans="1:19">
      <c r="A4" s="210" t="s">
        <v>1</v>
      </c>
      <c r="B4" s="211"/>
      <c r="C4" s="206" t="s">
        <v>109</v>
      </c>
      <c r="D4" s="206" t="s">
        <v>110</v>
      </c>
      <c r="E4" s="206" t="s">
        <v>111</v>
      </c>
      <c r="F4" s="206" t="s">
        <v>112</v>
      </c>
      <c r="G4" s="101" t="s">
        <v>4</v>
      </c>
      <c r="H4" s="206" t="s">
        <v>7</v>
      </c>
      <c r="I4" s="206" t="s">
        <v>11</v>
      </c>
      <c r="J4" s="206" t="s">
        <v>12</v>
      </c>
      <c r="K4" s="206" t="s">
        <v>113</v>
      </c>
      <c r="L4" s="206" t="s">
        <v>114</v>
      </c>
      <c r="M4" s="231" t="s">
        <v>13</v>
      </c>
      <c r="N4" s="206" t="s">
        <v>16</v>
      </c>
      <c r="O4" s="206" t="s">
        <v>18</v>
      </c>
    </row>
    <row r="5" spans="1:19" ht="30">
      <c r="A5" s="212"/>
      <c r="B5" s="213"/>
      <c r="C5" s="207"/>
      <c r="D5" s="207"/>
      <c r="E5" s="207"/>
      <c r="F5" s="207"/>
      <c r="G5" s="102" t="s">
        <v>115</v>
      </c>
      <c r="H5" s="207"/>
      <c r="I5" s="207"/>
      <c r="J5" s="207"/>
      <c r="K5" s="207"/>
      <c r="L5" s="207"/>
      <c r="M5" s="232"/>
      <c r="N5" s="207"/>
      <c r="O5" s="207"/>
    </row>
    <row r="6" spans="1:19">
      <c r="A6" s="229">
        <v>45597</v>
      </c>
      <c r="B6" s="230"/>
      <c r="C6" s="98">
        <f>IF(A6="",0,[3]TDSheet!D7)</f>
        <v>0</v>
      </c>
      <c r="D6" s="99">
        <f>IF(A6="",0,[3]TDSheet!F7)</f>
        <v>0</v>
      </c>
      <c r="E6" s="99"/>
      <c r="F6" s="100"/>
      <c r="G6" s="90">
        <f>[3]TDSheet!$I$7</f>
        <v>0</v>
      </c>
      <c r="H6" s="91"/>
      <c r="I6" s="92">
        <f t="shared" ref="I6" si="0">IF(P6="Выходной",SUM(C6*129.94)*1.5,SUM(C6*129.94))</f>
        <v>0</v>
      </c>
      <c r="J6" s="92">
        <f t="shared" ref="J6:J36" si="1">IF(P6="Выходной",SUM(D6*129.94)*1.5,SUM(D6*129.94))</f>
        <v>0</v>
      </c>
      <c r="K6" s="92">
        <f>IF(OR(WEEKDAY(A6)=1,WEEKDAY(A6)=7,NOT(ISERROR(MATCH(A6,[1]Праздники!A:A,0)))),SUM(E6*162.5)*1.5,SUM(E6*162.5))</f>
        <v>0</v>
      </c>
      <c r="L6" s="92">
        <f>IF(OR(WEEKDAY(A6)=1,WEEKDAY(A6)=7,NOT(ISERROR(MATCH(A6,[1]Праздники!A:A,0)))),SUM(F6*162.5)*1.5,SUM(F6*162.5))</f>
        <v>0</v>
      </c>
      <c r="M6" s="92">
        <f>SUM(G6*13.32)</f>
        <v>0</v>
      </c>
      <c r="N6" s="92">
        <f>SUM(H6)*750</f>
        <v>0</v>
      </c>
      <c r="O6" s="92">
        <f>SUM(I6:N6)</f>
        <v>0</v>
      </c>
      <c r="P6" s="2" t="str">
        <f>IF(OR(WEEKDAY(A6)=1,WEEKDAY(A6)=7,NOT(ISERROR(MATCH(A6,[1]Праздники!A:A,0)))),"Выходной","Рабочий")</f>
        <v>Рабочий</v>
      </c>
    </row>
    <row r="7" spans="1:19">
      <c r="A7" s="229">
        <v>45598</v>
      </c>
      <c r="B7" s="230"/>
      <c r="C7" s="98">
        <f>IF(A7="",0,[3]TDSheet!D8)</f>
        <v>0</v>
      </c>
      <c r="D7" s="99">
        <f>IF(A7="",0,[3]TDSheet!F8)</f>
        <v>0</v>
      </c>
      <c r="E7" s="99"/>
      <c r="F7" s="100"/>
      <c r="G7" s="90">
        <f>IF(A7 ="",0,G6+C7+E7-D6-F6)</f>
        <v>0</v>
      </c>
      <c r="H7" s="91"/>
      <c r="I7" s="92">
        <f t="shared" ref="I7:I36" si="2">IF(P7="Выходной",SUM(C7*129.94)*1.5,SUM(C7*129.94))</f>
        <v>0</v>
      </c>
      <c r="J7" s="92">
        <f t="shared" si="1"/>
        <v>0</v>
      </c>
      <c r="K7" s="92">
        <f>IF(OR(WEEKDAY(A7)=1,WEEKDAY(A7)=7,NOT(ISERROR(MATCH(A7,[1]Праздники!A:A,0)))),SUM(E7*162.5)*1.5,SUM(E7*162.5))</f>
        <v>0</v>
      </c>
      <c r="L7" s="92">
        <f>IF(OR(WEEKDAY(A7)=1,WEEKDAY(A7)=7,NOT(ISERROR(MATCH(A7,[1]Праздники!A:A,0)))),SUM(F7*162.5)*1.5,SUM(F7*162.5))</f>
        <v>0</v>
      </c>
      <c r="M7" s="92">
        <f t="shared" ref="M7:M36" si="3">SUM(G7*13.32)</f>
        <v>0</v>
      </c>
      <c r="N7" s="92">
        <f t="shared" ref="N7:N36" si="4">SUM(H7)*750</f>
        <v>0</v>
      </c>
      <c r="O7" s="92">
        <f t="shared" ref="O7:O36" si="5">SUM(I7:N7)</f>
        <v>0</v>
      </c>
      <c r="P7" s="2" t="str">
        <f>IF(OR(WEEKDAY(A7)=1,WEEKDAY(A7)=7,NOT(ISERROR(MATCH(A7,[1]Праздники!A:A,0)))),"Выходной","Рабочий")</f>
        <v>Выходной</v>
      </c>
    </row>
    <row r="8" spans="1:19">
      <c r="A8" s="229">
        <v>45599</v>
      </c>
      <c r="B8" s="230"/>
      <c r="C8" s="98">
        <f>IF(A8="",0,[3]TDSheet!D9)</f>
        <v>0</v>
      </c>
      <c r="D8" s="99">
        <f>IF(A8="",0,[3]TDSheet!F9)</f>
        <v>0</v>
      </c>
      <c r="E8" s="99"/>
      <c r="F8" s="100"/>
      <c r="G8" s="90">
        <f t="shared" ref="G8:G35" si="6">IF(A8 ="",0,G7+C8+E8-D7-F7)</f>
        <v>0</v>
      </c>
      <c r="H8" s="91"/>
      <c r="I8" s="92">
        <f t="shared" si="2"/>
        <v>0</v>
      </c>
      <c r="J8" s="92">
        <f t="shared" si="1"/>
        <v>0</v>
      </c>
      <c r="K8" s="92">
        <f>IF(OR(WEEKDAY(A8)=1,WEEKDAY(A8)=7,NOT(ISERROR(MATCH(A8,[1]Праздники!A:A,0)))),SUM(E8*162.5)*1.5,SUM(E8*162.5))</f>
        <v>0</v>
      </c>
      <c r="L8" s="92">
        <f>IF(OR(WEEKDAY(A8)=1,WEEKDAY(A8)=7,NOT(ISERROR(MATCH(A8,[1]Праздники!A:A,0)))),SUM(F8*162.5)*1.5,SUM(F8*162.5))</f>
        <v>0</v>
      </c>
      <c r="M8" s="92">
        <f t="shared" si="3"/>
        <v>0</v>
      </c>
      <c r="N8" s="92">
        <f t="shared" si="4"/>
        <v>0</v>
      </c>
      <c r="O8" s="92">
        <f t="shared" si="5"/>
        <v>0</v>
      </c>
      <c r="P8" s="2" t="str">
        <f>IF(OR(WEEKDAY(A8)=1,WEEKDAY(A8)=7,NOT(ISERROR(MATCH(A8,[1]Праздники!A:A,0)))),"Выходной","Рабочий")</f>
        <v>Выходной</v>
      </c>
    </row>
    <row r="9" spans="1:19">
      <c r="A9" s="229">
        <v>45600</v>
      </c>
      <c r="B9" s="230"/>
      <c r="C9" s="98">
        <f>IF(A9="",0,[3]TDSheet!D10)</f>
        <v>0</v>
      </c>
      <c r="D9" s="99">
        <f>IF(A9="",0,[3]TDSheet!F10)</f>
        <v>0</v>
      </c>
      <c r="E9" s="99"/>
      <c r="F9" s="100"/>
      <c r="G9" s="90">
        <f t="shared" si="6"/>
        <v>0</v>
      </c>
      <c r="H9" s="91"/>
      <c r="I9" s="92">
        <f t="shared" si="2"/>
        <v>0</v>
      </c>
      <c r="J9" s="92">
        <f t="shared" si="1"/>
        <v>0</v>
      </c>
      <c r="K9" s="92">
        <f>IF(OR(WEEKDAY(A9)=1,WEEKDAY(A9)=7,NOT(ISERROR(MATCH(A9,[1]Праздники!A:A,0)))),SUM(E9*162.5)*1.5,SUM(E9*162.5))</f>
        <v>0</v>
      </c>
      <c r="L9" s="92">
        <f>IF(OR(WEEKDAY(A9)=1,WEEKDAY(A9)=7,NOT(ISERROR(MATCH(A9,[1]Праздники!A:A,0)))),SUM(F9*162.5)*1.5,SUM(F9*162.5))</f>
        <v>0</v>
      </c>
      <c r="M9" s="92">
        <f t="shared" si="3"/>
        <v>0</v>
      </c>
      <c r="N9" s="92">
        <f t="shared" si="4"/>
        <v>0</v>
      </c>
      <c r="O9" s="92">
        <f t="shared" si="5"/>
        <v>0</v>
      </c>
      <c r="P9" s="2" t="str">
        <f>IF(OR(WEEKDAY(A9)=1,WEEKDAY(A9)=7,NOT(ISERROR(MATCH(A9,[1]Праздники!A:A,0)))),"Выходной","Рабочий")</f>
        <v>Рабочий</v>
      </c>
    </row>
    <row r="10" spans="1:19">
      <c r="A10" s="229">
        <v>45601</v>
      </c>
      <c r="B10" s="230"/>
      <c r="C10" s="98">
        <f>IF(A10="",0,[3]TDSheet!D11)</f>
        <v>0</v>
      </c>
      <c r="D10" s="99">
        <f>IF(A10="",0,[3]TDSheet!F11)</f>
        <v>0</v>
      </c>
      <c r="E10" s="99"/>
      <c r="F10" s="100"/>
      <c r="G10" s="90">
        <f t="shared" si="6"/>
        <v>0</v>
      </c>
      <c r="H10" s="91"/>
      <c r="I10" s="92">
        <f t="shared" si="2"/>
        <v>0</v>
      </c>
      <c r="J10" s="92">
        <f t="shared" si="1"/>
        <v>0</v>
      </c>
      <c r="K10" s="92">
        <f>IF(OR(WEEKDAY(A10)=1,WEEKDAY(A10)=7,NOT(ISERROR(MATCH(A10,[1]Праздники!A:A,0)))),SUM(E10*162.5)*1.5,SUM(E10*162.5))</f>
        <v>0</v>
      </c>
      <c r="L10" s="92">
        <f>IF(OR(WEEKDAY(A10)=1,WEEKDAY(A10)=7,NOT(ISERROR(MATCH(A10,[1]Праздники!A:A,0)))),SUM(F10*162.5)*1.5,SUM(F10*162.5))</f>
        <v>0</v>
      </c>
      <c r="M10" s="92">
        <f t="shared" si="3"/>
        <v>0</v>
      </c>
      <c r="N10" s="92">
        <f t="shared" si="4"/>
        <v>0</v>
      </c>
      <c r="O10" s="92">
        <f t="shared" si="5"/>
        <v>0</v>
      </c>
      <c r="P10" s="2" t="str">
        <f>IF(OR(WEEKDAY(A10)=1,WEEKDAY(A10)=7,NOT(ISERROR(MATCH(A10,[1]Праздники!A:A,0)))),"Выходной","Рабочий")</f>
        <v>Рабочий</v>
      </c>
    </row>
    <row r="11" spans="1:19">
      <c r="A11" s="229">
        <v>45602</v>
      </c>
      <c r="B11" s="230"/>
      <c r="C11" s="98">
        <f>IF(A11="",0,[3]TDSheet!D12)</f>
        <v>0</v>
      </c>
      <c r="D11" s="99">
        <f>IF(A11="",0,[3]TDSheet!F12)</f>
        <v>0</v>
      </c>
      <c r="E11" s="99"/>
      <c r="F11" s="100"/>
      <c r="G11" s="90">
        <f t="shared" si="6"/>
        <v>0</v>
      </c>
      <c r="H11" s="91"/>
      <c r="I11" s="92">
        <f t="shared" si="2"/>
        <v>0</v>
      </c>
      <c r="J11" s="92">
        <f t="shared" si="1"/>
        <v>0</v>
      </c>
      <c r="K11" s="92">
        <f>IF(OR(WEEKDAY(A11)=1,WEEKDAY(A11)=7,NOT(ISERROR(MATCH(A11,[1]Праздники!A:A,0)))),SUM(E11*162.5)*1.5,SUM(E11*162.5))</f>
        <v>0</v>
      </c>
      <c r="L11" s="92">
        <f>IF(OR(WEEKDAY(A11)=1,WEEKDAY(A11)=7,NOT(ISERROR(MATCH(A11,[1]Праздники!A:A,0)))),SUM(F11*162.5)*1.5,SUM(F11*162.5))</f>
        <v>0</v>
      </c>
      <c r="M11" s="92">
        <f t="shared" si="3"/>
        <v>0</v>
      </c>
      <c r="N11" s="92">
        <f t="shared" si="4"/>
        <v>0</v>
      </c>
      <c r="O11" s="92">
        <f t="shared" si="5"/>
        <v>0</v>
      </c>
      <c r="P11" s="2" t="str">
        <f>IF(OR(WEEKDAY(A11)=1,WEEKDAY(A11)=7,NOT(ISERROR(MATCH(A11,[1]Праздники!A:A,0)))),"Выходной","Рабочий")</f>
        <v>Рабочий</v>
      </c>
    </row>
    <row r="12" spans="1:19">
      <c r="A12" s="229">
        <v>45603</v>
      </c>
      <c r="B12" s="230"/>
      <c r="C12" s="98">
        <f>IF(A12="",0,[3]TDSheet!D13)</f>
        <v>0</v>
      </c>
      <c r="D12" s="99">
        <f>IF(A12="",0,[3]TDSheet!F13)</f>
        <v>0</v>
      </c>
      <c r="E12" s="99"/>
      <c r="F12" s="100"/>
      <c r="G12" s="90">
        <f t="shared" si="6"/>
        <v>0</v>
      </c>
      <c r="H12" s="91"/>
      <c r="I12" s="92">
        <f t="shared" si="2"/>
        <v>0</v>
      </c>
      <c r="J12" s="92">
        <f t="shared" si="1"/>
        <v>0</v>
      </c>
      <c r="K12" s="92">
        <f>IF(OR(WEEKDAY(A12)=1,WEEKDAY(A12)=7,NOT(ISERROR(MATCH(A12,[1]Праздники!A:A,0)))),SUM(E12*162.5)*1.5,SUM(E12*162.5))</f>
        <v>0</v>
      </c>
      <c r="L12" s="92">
        <f>IF(OR(WEEKDAY(A12)=1,WEEKDAY(A12)=7,NOT(ISERROR(MATCH(A12,[1]Праздники!A:A,0)))),SUM(F12*162.5)*1.5,SUM(F12*162.5))</f>
        <v>0</v>
      </c>
      <c r="M12" s="92">
        <f t="shared" si="3"/>
        <v>0</v>
      </c>
      <c r="N12" s="92">
        <f t="shared" si="4"/>
        <v>0</v>
      </c>
      <c r="O12" s="92">
        <f t="shared" si="5"/>
        <v>0</v>
      </c>
      <c r="P12" s="2" t="str">
        <f>IF(OR(WEEKDAY(A12)=1,WEEKDAY(A12)=7,NOT(ISERROR(MATCH(A12,[1]Праздники!A:A,0)))),"Выходной","Рабочий")</f>
        <v>Рабочий</v>
      </c>
    </row>
    <row r="13" spans="1:19">
      <c r="A13" s="229">
        <v>45604</v>
      </c>
      <c r="B13" s="230"/>
      <c r="C13" s="98">
        <f>IF(A13="",0,[3]TDSheet!D14)</f>
        <v>0</v>
      </c>
      <c r="D13" s="99">
        <f>IF(A13="",0,[3]TDSheet!F14)</f>
        <v>0</v>
      </c>
      <c r="E13" s="99"/>
      <c r="F13" s="103"/>
      <c r="G13" s="90">
        <f t="shared" si="6"/>
        <v>0</v>
      </c>
      <c r="H13" s="91"/>
      <c r="I13" s="92">
        <f t="shared" si="2"/>
        <v>0</v>
      </c>
      <c r="J13" s="92">
        <f t="shared" si="1"/>
        <v>0</v>
      </c>
      <c r="K13" s="92">
        <f>IF(OR(WEEKDAY(A13)=1,WEEKDAY(A13)=7,NOT(ISERROR(MATCH(A13,[1]Праздники!A:A,0)))),SUM(E13*162.5)*1.5,SUM(E13*162.5))</f>
        <v>0</v>
      </c>
      <c r="L13" s="92">
        <f>IF(OR(WEEKDAY(A13)=1,WEEKDAY(A13)=7,NOT(ISERROR(MATCH(A13,[1]Праздники!A:A,0)))),SUM(F13*162.5)*1.5,SUM(F13*162.5))</f>
        <v>0</v>
      </c>
      <c r="M13" s="92">
        <f t="shared" si="3"/>
        <v>0</v>
      </c>
      <c r="N13" s="92">
        <f t="shared" si="4"/>
        <v>0</v>
      </c>
      <c r="O13" s="92">
        <f t="shared" si="5"/>
        <v>0</v>
      </c>
      <c r="P13" s="2" t="str">
        <f>IF(OR(WEEKDAY(A13)=1,WEEKDAY(A13)=7,NOT(ISERROR(MATCH(A13,[1]Праздники!A:A,0)))),"Выходной","Рабочий")</f>
        <v>Рабочий</v>
      </c>
    </row>
    <row r="14" spans="1:19">
      <c r="A14" s="229">
        <v>45605</v>
      </c>
      <c r="B14" s="230"/>
      <c r="C14" s="98">
        <f>IF(A14="",0,[3]TDSheet!D15)</f>
        <v>0</v>
      </c>
      <c r="D14" s="99">
        <f>IF(A14="",0,[3]TDSheet!F15)</f>
        <v>0</v>
      </c>
      <c r="E14" s="99"/>
      <c r="F14" s="103"/>
      <c r="G14" s="90">
        <f t="shared" si="6"/>
        <v>0</v>
      </c>
      <c r="H14" s="91"/>
      <c r="I14" s="92">
        <f t="shared" si="2"/>
        <v>0</v>
      </c>
      <c r="J14" s="92">
        <f t="shared" si="1"/>
        <v>0</v>
      </c>
      <c r="K14" s="92">
        <f>IF(OR(WEEKDAY(A14)=1,WEEKDAY(A14)=7,NOT(ISERROR(MATCH(A14,[1]Праздники!A:A,0)))),SUM(E14*162.5)*1.5,SUM(E14*162.5))</f>
        <v>0</v>
      </c>
      <c r="L14" s="92">
        <f>IF(OR(WEEKDAY(A14)=1,WEEKDAY(A14)=7,NOT(ISERROR(MATCH(A14,[1]Праздники!A:A,0)))),SUM(F14*162.5)*1.5,SUM(F14*162.5))</f>
        <v>0</v>
      </c>
      <c r="M14" s="92">
        <f t="shared" si="3"/>
        <v>0</v>
      </c>
      <c r="N14" s="92">
        <f t="shared" si="4"/>
        <v>0</v>
      </c>
      <c r="O14" s="92">
        <f t="shared" si="5"/>
        <v>0</v>
      </c>
      <c r="P14" s="2" t="str">
        <f>IF(OR(WEEKDAY(A14)=1,WEEKDAY(A14)=7,NOT(ISERROR(MATCH(A14,[1]Праздники!A:A,0)))),"Выходной","Рабочий")</f>
        <v>Выходной</v>
      </c>
    </row>
    <row r="15" spans="1:19">
      <c r="A15" s="229">
        <v>45606</v>
      </c>
      <c r="B15" s="230"/>
      <c r="C15" s="98">
        <f>IF(A15="",0,[3]TDSheet!D16)</f>
        <v>0</v>
      </c>
      <c r="D15" s="99">
        <f>IF(A15="",0,[3]TDSheet!F16)</f>
        <v>0</v>
      </c>
      <c r="E15" s="99"/>
      <c r="F15" s="100"/>
      <c r="G15" s="90">
        <f t="shared" si="6"/>
        <v>0</v>
      </c>
      <c r="H15" s="91"/>
      <c r="I15" s="92">
        <f t="shared" si="2"/>
        <v>0</v>
      </c>
      <c r="J15" s="92">
        <f t="shared" si="1"/>
        <v>0</v>
      </c>
      <c r="K15" s="92">
        <f>IF(OR(WEEKDAY(A15)=1,WEEKDAY(A15)=7,NOT(ISERROR(MATCH(A15,[1]Праздники!A:A,0)))),SUM(E15*162.5)*1.5,SUM(E15*162.5))</f>
        <v>0</v>
      </c>
      <c r="L15" s="92">
        <f>IF(OR(WEEKDAY(A15)=1,WEEKDAY(A15)=7,NOT(ISERROR(MATCH(A15,[1]Праздники!A:A,0)))),SUM(F15*162.5)*1.5,SUM(F15*162.5))</f>
        <v>0</v>
      </c>
      <c r="M15" s="92">
        <f t="shared" si="3"/>
        <v>0</v>
      </c>
      <c r="N15" s="92">
        <f t="shared" si="4"/>
        <v>0</v>
      </c>
      <c r="O15" s="92">
        <f t="shared" si="5"/>
        <v>0</v>
      </c>
      <c r="P15" s="2" t="str">
        <f>IF(OR(WEEKDAY(A15)=1,WEEKDAY(A15)=7,NOT(ISERROR(MATCH(A15,[1]Праздники!A:A,0)))),"Выходной","Рабочий")</f>
        <v>Выходной</v>
      </c>
    </row>
    <row r="16" spans="1:19">
      <c r="A16" s="229">
        <v>45607</v>
      </c>
      <c r="B16" s="230"/>
      <c r="C16" s="98">
        <f>IF(A16="",0,[3]TDSheet!D17)</f>
        <v>0</v>
      </c>
      <c r="D16" s="99">
        <f>IF(A16="",0,[3]TDSheet!F17)</f>
        <v>0</v>
      </c>
      <c r="E16" s="99"/>
      <c r="F16" s="100"/>
      <c r="G16" s="90">
        <f t="shared" si="6"/>
        <v>0</v>
      </c>
      <c r="H16" s="91"/>
      <c r="I16" s="92">
        <f t="shared" si="2"/>
        <v>0</v>
      </c>
      <c r="J16" s="92">
        <f t="shared" si="1"/>
        <v>0</v>
      </c>
      <c r="K16" s="92">
        <f>IF(OR(WEEKDAY(A16)=1,WEEKDAY(A16)=7,NOT(ISERROR(MATCH(A16,[1]Праздники!A:A,0)))),SUM(E16*162.5)*1.5,SUM(E16*162.5))</f>
        <v>0</v>
      </c>
      <c r="L16" s="92">
        <f>IF(OR(WEEKDAY(A16)=1,WEEKDAY(A16)=7,NOT(ISERROR(MATCH(A16,[1]Праздники!A:A,0)))),SUM(F16*162.5)*1.5,SUM(F16*162.5))</f>
        <v>0</v>
      </c>
      <c r="M16" s="92">
        <f t="shared" si="3"/>
        <v>0</v>
      </c>
      <c r="N16" s="92">
        <f t="shared" si="4"/>
        <v>0</v>
      </c>
      <c r="O16" s="92">
        <f t="shared" si="5"/>
        <v>0</v>
      </c>
      <c r="P16" s="2" t="str">
        <f>IF(OR(WEEKDAY(A16)=1,WEEKDAY(A16)=7,NOT(ISERROR(MATCH(A16,[1]Праздники!A:A,0)))),"Выходной","Рабочий")</f>
        <v>Рабочий</v>
      </c>
    </row>
    <row r="17" spans="1:16">
      <c r="A17" s="229">
        <v>45608</v>
      </c>
      <c r="B17" s="230"/>
      <c r="C17" s="98">
        <f>IF(A17="",0,[3]TDSheet!D18)</f>
        <v>0</v>
      </c>
      <c r="D17" s="99">
        <f>IF(A17="",0,[3]TDSheet!F18)</f>
        <v>0</v>
      </c>
      <c r="E17" s="99"/>
      <c r="F17" s="100"/>
      <c r="G17" s="90">
        <f t="shared" si="6"/>
        <v>0</v>
      </c>
      <c r="H17" s="91"/>
      <c r="I17" s="92">
        <f t="shared" si="2"/>
        <v>0</v>
      </c>
      <c r="J17" s="92">
        <f t="shared" si="1"/>
        <v>0</v>
      </c>
      <c r="K17" s="92">
        <f>IF(OR(WEEKDAY(A17)=1,WEEKDAY(A17)=7,NOT(ISERROR(MATCH(A17,[1]Праздники!A:A,0)))),SUM(E17*162.5)*1.5,SUM(E17*162.5))</f>
        <v>0</v>
      </c>
      <c r="L17" s="92">
        <f>IF(OR(WEEKDAY(A17)=1,WEEKDAY(A17)=7,NOT(ISERROR(MATCH(A17,[1]Праздники!A:A,0)))),SUM(F17*162.5)*1.5,SUM(F17*162.5))</f>
        <v>0</v>
      </c>
      <c r="M17" s="92">
        <f t="shared" si="3"/>
        <v>0</v>
      </c>
      <c r="N17" s="92">
        <f t="shared" si="4"/>
        <v>0</v>
      </c>
      <c r="O17" s="92">
        <f t="shared" si="5"/>
        <v>0</v>
      </c>
      <c r="P17" s="2" t="str">
        <f>IF(OR(WEEKDAY(A17)=1,WEEKDAY(A17)=7,NOT(ISERROR(MATCH(A17,[1]Праздники!A:A,0)))),"Выходной","Рабочий")</f>
        <v>Рабочий</v>
      </c>
    </row>
    <row r="18" spans="1:16">
      <c r="A18" s="229">
        <v>45609</v>
      </c>
      <c r="B18" s="230"/>
      <c r="C18" s="98">
        <f>IF(A18="",0,[3]TDSheet!D19)</f>
        <v>0</v>
      </c>
      <c r="D18" s="99">
        <f>IF(A18="",0,[3]TDSheet!F19)</f>
        <v>0</v>
      </c>
      <c r="E18" s="99"/>
      <c r="F18" s="100"/>
      <c r="G18" s="90">
        <f t="shared" si="6"/>
        <v>0</v>
      </c>
      <c r="H18" s="91"/>
      <c r="I18" s="92">
        <f t="shared" si="2"/>
        <v>0</v>
      </c>
      <c r="J18" s="92">
        <f t="shared" si="1"/>
        <v>0</v>
      </c>
      <c r="K18" s="92">
        <f>IF(OR(WEEKDAY(A18)=1,WEEKDAY(A18)=7,NOT(ISERROR(MATCH(A18,[1]Праздники!A:A,0)))),SUM(E18*162.5)*1.5,SUM(E18*162.5))</f>
        <v>0</v>
      </c>
      <c r="L18" s="92">
        <f>IF(OR(WEEKDAY(A18)=1,WEEKDAY(A18)=7,NOT(ISERROR(MATCH(A18,[1]Праздники!A:A,0)))),SUM(F18*162.5)*1.5,SUM(F18*162.5))</f>
        <v>0</v>
      </c>
      <c r="M18" s="92">
        <f t="shared" si="3"/>
        <v>0</v>
      </c>
      <c r="N18" s="92">
        <f t="shared" si="4"/>
        <v>0</v>
      </c>
      <c r="O18" s="92">
        <f t="shared" si="5"/>
        <v>0</v>
      </c>
      <c r="P18" s="2" t="str">
        <f>IF(OR(WEEKDAY(A18)=1,WEEKDAY(A18)=7,NOT(ISERROR(MATCH(A18,[1]Праздники!A:A,0)))),"Выходной","Рабочий")</f>
        <v>Рабочий</v>
      </c>
    </row>
    <row r="19" spans="1:16">
      <c r="A19" s="229">
        <v>45610</v>
      </c>
      <c r="B19" s="230"/>
      <c r="C19" s="98">
        <f>IF(A19="",0,[3]TDSheet!D20)</f>
        <v>0</v>
      </c>
      <c r="D19" s="99">
        <f>IF(A19="",0,[3]TDSheet!F20)</f>
        <v>0</v>
      </c>
      <c r="E19" s="99"/>
      <c r="F19" s="100"/>
      <c r="G19" s="90">
        <f t="shared" si="6"/>
        <v>0</v>
      </c>
      <c r="H19" s="91"/>
      <c r="I19" s="92">
        <f t="shared" si="2"/>
        <v>0</v>
      </c>
      <c r="J19" s="92">
        <f t="shared" si="1"/>
        <v>0</v>
      </c>
      <c r="K19" s="92">
        <f>IF(OR(WEEKDAY(A19)=1,WEEKDAY(A19)=7,NOT(ISERROR(MATCH(A19,[1]Праздники!A:A,0)))),SUM(E19*162.5)*1.5,SUM(E19*162.5))</f>
        <v>0</v>
      </c>
      <c r="L19" s="92">
        <f>IF(OR(WEEKDAY(A19)=1,WEEKDAY(A19)=7,NOT(ISERROR(MATCH(A19,[1]Праздники!A:A,0)))),SUM(F19*162.5)*1.5,SUM(F19*162.5))</f>
        <v>0</v>
      </c>
      <c r="M19" s="92">
        <f t="shared" si="3"/>
        <v>0</v>
      </c>
      <c r="N19" s="92">
        <f t="shared" si="4"/>
        <v>0</v>
      </c>
      <c r="O19" s="92">
        <f t="shared" si="5"/>
        <v>0</v>
      </c>
      <c r="P19" s="2" t="str">
        <f>IF(OR(WEEKDAY(A19)=1,WEEKDAY(A19)=7,NOT(ISERROR(MATCH(A19,[1]Праздники!A:A,0)))),"Выходной","Рабочий")</f>
        <v>Рабочий</v>
      </c>
    </row>
    <row r="20" spans="1:16">
      <c r="A20" s="229">
        <v>45611</v>
      </c>
      <c r="B20" s="230"/>
      <c r="C20" s="98">
        <f>IF(A20="",0,[3]TDSheet!D21)</f>
        <v>0</v>
      </c>
      <c r="D20" s="99">
        <f>IF(A20="",0,[3]TDSheet!F21)</f>
        <v>0</v>
      </c>
      <c r="E20" s="99"/>
      <c r="F20" s="100"/>
      <c r="G20" s="90">
        <f t="shared" si="6"/>
        <v>0</v>
      </c>
      <c r="H20" s="91"/>
      <c r="I20" s="92">
        <f t="shared" si="2"/>
        <v>0</v>
      </c>
      <c r="J20" s="92">
        <f t="shared" si="1"/>
        <v>0</v>
      </c>
      <c r="K20" s="92">
        <f>IF(OR(WEEKDAY(A20)=1,WEEKDAY(A20)=7,NOT(ISERROR(MATCH(A20,[1]Праздники!A:A,0)))),SUM(E20*162.5)*1.5,SUM(E20*162.5))</f>
        <v>0</v>
      </c>
      <c r="L20" s="92">
        <f>IF(OR(WEEKDAY(A20)=1,WEEKDAY(A20)=7,NOT(ISERROR(MATCH(A20,[1]Праздники!A:A,0)))),SUM(F20*162.5)*1.5,SUM(F20*162.5))</f>
        <v>0</v>
      </c>
      <c r="M20" s="92">
        <f t="shared" si="3"/>
        <v>0</v>
      </c>
      <c r="N20" s="92">
        <f t="shared" si="4"/>
        <v>0</v>
      </c>
      <c r="O20" s="92">
        <f t="shared" si="5"/>
        <v>0</v>
      </c>
      <c r="P20" s="2" t="str">
        <f>IF(OR(WEEKDAY(A20)=1,WEEKDAY(A20)=7,NOT(ISERROR(MATCH(A20,[1]Праздники!A:A,0)))),"Выходной","Рабочий")</f>
        <v>Рабочий</v>
      </c>
    </row>
    <row r="21" spans="1:16">
      <c r="A21" s="229">
        <v>45612</v>
      </c>
      <c r="B21" s="230"/>
      <c r="C21" s="98">
        <f>IF(A21="",0,[3]TDSheet!D22)</f>
        <v>0</v>
      </c>
      <c r="D21" s="99">
        <f>IF(A21="",0,[3]TDSheet!F22)</f>
        <v>0</v>
      </c>
      <c r="E21" s="99"/>
      <c r="F21" s="100"/>
      <c r="G21" s="90">
        <f t="shared" si="6"/>
        <v>0</v>
      </c>
      <c r="H21" s="91"/>
      <c r="I21" s="92">
        <f t="shared" si="2"/>
        <v>0</v>
      </c>
      <c r="J21" s="92">
        <f t="shared" si="1"/>
        <v>0</v>
      </c>
      <c r="K21" s="92">
        <f>IF(OR(WEEKDAY(A21)=1,WEEKDAY(A21)=7,NOT(ISERROR(MATCH(A21,[1]Праздники!A:A,0)))),SUM(E21*162.5)*1.5,SUM(E21*162.5))</f>
        <v>0</v>
      </c>
      <c r="L21" s="92">
        <f>IF(OR(WEEKDAY(A21)=1,WEEKDAY(A21)=7,NOT(ISERROR(MATCH(A21,[1]Праздники!A:A,0)))),SUM(F21*162.5)*1.5,SUM(F21*162.5))</f>
        <v>0</v>
      </c>
      <c r="M21" s="92">
        <f t="shared" si="3"/>
        <v>0</v>
      </c>
      <c r="N21" s="92">
        <f>SUM(H21)*750</f>
        <v>0</v>
      </c>
      <c r="O21" s="92">
        <f t="shared" si="5"/>
        <v>0</v>
      </c>
      <c r="P21" s="2" t="str">
        <f>IF(OR(WEEKDAY(A21)=1,WEEKDAY(A21)=7,NOT(ISERROR(MATCH(A21,[1]Праздники!A:A,0)))),"Выходной","Рабочий")</f>
        <v>Выходной</v>
      </c>
    </row>
    <row r="22" spans="1:16">
      <c r="A22" s="229">
        <v>45613</v>
      </c>
      <c r="B22" s="230"/>
      <c r="C22" s="98">
        <f>IF(A22="",0,[3]TDSheet!D23)</f>
        <v>0</v>
      </c>
      <c r="D22" s="99">
        <f>IF(A22="",0,[3]TDSheet!F23)</f>
        <v>0</v>
      </c>
      <c r="E22" s="99"/>
      <c r="F22" s="100"/>
      <c r="G22" s="90">
        <f t="shared" si="6"/>
        <v>0</v>
      </c>
      <c r="H22" s="91"/>
      <c r="I22" s="92">
        <f t="shared" si="2"/>
        <v>0</v>
      </c>
      <c r="J22" s="92">
        <f t="shared" si="1"/>
        <v>0</v>
      </c>
      <c r="K22" s="92">
        <f>IF(OR(WEEKDAY(A22)=1,WEEKDAY(A22)=7,NOT(ISERROR(MATCH(A22,[1]Праздники!A:A,0)))),SUM(E22*162.5)*1.5,SUM(E22*162.5))</f>
        <v>0</v>
      </c>
      <c r="L22" s="92">
        <f>IF(OR(WEEKDAY(A22)=1,WEEKDAY(A22)=7,NOT(ISERROR(MATCH(A22,[1]Праздники!A:A,0)))),SUM(F22*162.5)*1.5,SUM(F22*162.5))</f>
        <v>0</v>
      </c>
      <c r="M22" s="92">
        <f t="shared" si="3"/>
        <v>0</v>
      </c>
      <c r="N22" s="92">
        <f t="shared" si="4"/>
        <v>0</v>
      </c>
      <c r="O22" s="92">
        <f t="shared" si="5"/>
        <v>0</v>
      </c>
      <c r="P22" s="2" t="str">
        <f>IF(OR(WEEKDAY(A22)=1,WEEKDAY(A22)=7,NOT(ISERROR(MATCH(A22,[1]Праздники!A:A,0)))),"Выходной","Рабочий")</f>
        <v>Выходной</v>
      </c>
    </row>
    <row r="23" spans="1:16">
      <c r="A23" s="229">
        <v>45614</v>
      </c>
      <c r="B23" s="230"/>
      <c r="C23" s="98">
        <f>IF(A23="",0,[3]TDSheet!D24)</f>
        <v>0</v>
      </c>
      <c r="D23" s="99">
        <f>IF(A23="",0,[3]TDSheet!F24)</f>
        <v>0</v>
      </c>
      <c r="E23" s="99"/>
      <c r="F23" s="100"/>
      <c r="G23" s="90">
        <f t="shared" si="6"/>
        <v>0</v>
      </c>
      <c r="H23" s="91"/>
      <c r="I23" s="92">
        <f t="shared" si="2"/>
        <v>0</v>
      </c>
      <c r="J23" s="92">
        <f t="shared" si="1"/>
        <v>0</v>
      </c>
      <c r="K23" s="92">
        <f>IF(OR(WEEKDAY(A23)=1,WEEKDAY(A23)=7,NOT(ISERROR(MATCH(A23,[1]Праздники!A:A,0)))),SUM(E23*162.5)*1.5,SUM(E23*162.5))</f>
        <v>0</v>
      </c>
      <c r="L23" s="92">
        <f>IF(OR(WEEKDAY(A23)=1,WEEKDAY(A23)=7,NOT(ISERROR(MATCH(A23,[1]Праздники!A:A,0)))),SUM(F23*162.5)*1.5,SUM(F23*162.5))</f>
        <v>0</v>
      </c>
      <c r="M23" s="92">
        <f t="shared" si="3"/>
        <v>0</v>
      </c>
      <c r="N23" s="92">
        <f t="shared" si="4"/>
        <v>0</v>
      </c>
      <c r="O23" s="92">
        <f t="shared" si="5"/>
        <v>0</v>
      </c>
      <c r="P23" s="2" t="str">
        <f>IF(OR(WEEKDAY(A23)=1,WEEKDAY(A23)=7,NOT(ISERROR(MATCH(A23,[1]Праздники!A:A,0)))),"Выходной","Рабочий")</f>
        <v>Рабочий</v>
      </c>
    </row>
    <row r="24" spans="1:16">
      <c r="A24" s="229">
        <v>45615</v>
      </c>
      <c r="B24" s="230"/>
      <c r="C24" s="98">
        <f>IF(A24="",0,[3]TDSheet!D25)</f>
        <v>0</v>
      </c>
      <c r="D24" s="99">
        <f>IF(A24="",0,[3]TDSheet!F25)</f>
        <v>0</v>
      </c>
      <c r="E24" s="99"/>
      <c r="F24" s="100"/>
      <c r="G24" s="90">
        <f t="shared" si="6"/>
        <v>0</v>
      </c>
      <c r="H24" s="91"/>
      <c r="I24" s="92">
        <f t="shared" si="2"/>
        <v>0</v>
      </c>
      <c r="J24" s="92">
        <f t="shared" si="1"/>
        <v>0</v>
      </c>
      <c r="K24" s="92">
        <f>IF(OR(WEEKDAY(A24)=1,WEEKDAY(A24)=7,NOT(ISERROR(MATCH(A24,[1]Праздники!A:A,0)))),SUM(E24*162.5)*1.5,SUM(E24*162.5))</f>
        <v>0</v>
      </c>
      <c r="L24" s="92">
        <f>IF(OR(WEEKDAY(A24)=1,WEEKDAY(A24)=7,NOT(ISERROR(MATCH(A24,[1]Праздники!A:A,0)))),SUM(F24*162.5)*1.5,SUM(F24*162.5))</f>
        <v>0</v>
      </c>
      <c r="M24" s="92">
        <f t="shared" si="3"/>
        <v>0</v>
      </c>
      <c r="N24" s="92">
        <f t="shared" si="4"/>
        <v>0</v>
      </c>
      <c r="O24" s="92">
        <f t="shared" si="5"/>
        <v>0</v>
      </c>
      <c r="P24" s="2" t="str">
        <f>IF(OR(WEEKDAY(A24)=1,WEEKDAY(A24)=7,NOT(ISERROR(MATCH(A24,[1]Праздники!A:A,0)))),"Выходной","Рабочий")</f>
        <v>Рабочий</v>
      </c>
    </row>
    <row r="25" spans="1:16">
      <c r="A25" s="229">
        <v>45616</v>
      </c>
      <c r="B25" s="230"/>
      <c r="C25" s="98">
        <f>IF(A25="",0,[3]TDSheet!D26)</f>
        <v>0</v>
      </c>
      <c r="D25" s="99">
        <f>IF(A25="",0,[3]TDSheet!F26)</f>
        <v>0</v>
      </c>
      <c r="E25" s="99"/>
      <c r="F25" s="100"/>
      <c r="G25" s="90">
        <f t="shared" si="6"/>
        <v>0</v>
      </c>
      <c r="H25" s="91"/>
      <c r="I25" s="92">
        <f t="shared" si="2"/>
        <v>0</v>
      </c>
      <c r="J25" s="92">
        <f t="shared" si="1"/>
        <v>0</v>
      </c>
      <c r="K25" s="92">
        <f>IF(OR(WEEKDAY(A25)=1,WEEKDAY(A25)=7,NOT(ISERROR(MATCH(A25,[1]Праздники!A:A,0)))),SUM(E25*162.5)*1.5,SUM(E25*162.5))</f>
        <v>0</v>
      </c>
      <c r="L25" s="92">
        <f>IF(OR(WEEKDAY(A25)=1,WEEKDAY(A25)=7,NOT(ISERROR(MATCH(A25,[1]Праздники!A:A,0)))),SUM(F25*162.5)*1.5,SUM(F25*162.5))</f>
        <v>0</v>
      </c>
      <c r="M25" s="92">
        <f t="shared" si="3"/>
        <v>0</v>
      </c>
      <c r="N25" s="92">
        <f t="shared" si="4"/>
        <v>0</v>
      </c>
      <c r="O25" s="92">
        <f t="shared" si="5"/>
        <v>0</v>
      </c>
      <c r="P25" s="2" t="str">
        <f>IF(OR(WEEKDAY(A25)=1,WEEKDAY(A25)=7,NOT(ISERROR(MATCH(A25,[1]Праздники!A:A,0)))),"Выходной","Рабочий")</f>
        <v>Рабочий</v>
      </c>
    </row>
    <row r="26" spans="1:16">
      <c r="A26" s="229">
        <v>45617</v>
      </c>
      <c r="B26" s="230"/>
      <c r="C26" s="98">
        <f>IF(A26="",0,[3]TDSheet!D27)</f>
        <v>0</v>
      </c>
      <c r="D26" s="99">
        <f>IF(A26="",0,[3]TDSheet!F27)</f>
        <v>0</v>
      </c>
      <c r="E26" s="104"/>
      <c r="F26" s="100"/>
      <c r="G26" s="90">
        <f t="shared" si="6"/>
        <v>0</v>
      </c>
      <c r="H26" s="91"/>
      <c r="I26" s="92">
        <f t="shared" si="2"/>
        <v>0</v>
      </c>
      <c r="J26" s="92">
        <f t="shared" si="1"/>
        <v>0</v>
      </c>
      <c r="K26" s="92">
        <f>IF(OR(WEEKDAY(A26)=1,WEEKDAY(A26)=7,NOT(ISERROR(MATCH(A26,[1]Праздники!A:A,0)))),SUM(E26*162.5)*1.5,SUM(E26*162.5))</f>
        <v>0</v>
      </c>
      <c r="L26" s="92">
        <f>IF(OR(WEEKDAY(A26)=1,WEEKDAY(A26)=7,NOT(ISERROR(MATCH(A26,[1]Праздники!A:A,0)))),SUM(F26*162.5)*1.5,SUM(F26*162.5))</f>
        <v>0</v>
      </c>
      <c r="M26" s="92">
        <f t="shared" si="3"/>
        <v>0</v>
      </c>
      <c r="N26" s="92">
        <f t="shared" si="4"/>
        <v>0</v>
      </c>
      <c r="O26" s="92">
        <f t="shared" si="5"/>
        <v>0</v>
      </c>
      <c r="P26" s="2" t="str">
        <f>IF(OR(WEEKDAY(A26)=1,WEEKDAY(A26)=7,NOT(ISERROR(MATCH(A26,[1]Праздники!A:A,0)))),"Выходной","Рабочий")</f>
        <v>Рабочий</v>
      </c>
    </row>
    <row r="27" spans="1:16" ht="15" customHeight="1">
      <c r="A27" s="229">
        <v>45618</v>
      </c>
      <c r="B27" s="230"/>
      <c r="C27" s="98">
        <f>IF(A27="",0,[3]TDSheet!D28)</f>
        <v>0</v>
      </c>
      <c r="D27" s="99">
        <f>IF(A27="",0,[3]TDSheet!F28)</f>
        <v>0</v>
      </c>
      <c r="E27" s="99"/>
      <c r="F27" s="103"/>
      <c r="G27" s="90">
        <f t="shared" si="6"/>
        <v>0</v>
      </c>
      <c r="H27" s="91"/>
      <c r="I27" s="92">
        <f t="shared" si="2"/>
        <v>0</v>
      </c>
      <c r="J27" s="92">
        <f t="shared" si="1"/>
        <v>0</v>
      </c>
      <c r="K27" s="92">
        <f>IF(OR(WEEKDAY(A27)=1,WEEKDAY(A27)=7,NOT(ISERROR(MATCH(A27,[1]Праздники!A:A,0)))),SUM(E27*162.5)*1.5,SUM(E27*162.5))</f>
        <v>0</v>
      </c>
      <c r="L27" s="92">
        <f>IF(OR(WEEKDAY(A27)=1,WEEKDAY(A27)=7,NOT(ISERROR(MATCH(A27,[1]Праздники!A:A,0)))),SUM(F27*162.5)*1.5,SUM(F27*162.5))</f>
        <v>0</v>
      </c>
      <c r="M27" s="92">
        <f t="shared" si="3"/>
        <v>0</v>
      </c>
      <c r="N27" s="92">
        <f t="shared" si="4"/>
        <v>0</v>
      </c>
      <c r="O27" s="92">
        <f t="shared" si="5"/>
        <v>0</v>
      </c>
      <c r="P27" s="2" t="str">
        <f>IF(OR(WEEKDAY(A27)=1,WEEKDAY(A27)=7,NOT(ISERROR(MATCH(A27,[1]Праздники!A:A,0)))),"Выходной","Рабочий")</f>
        <v>Рабочий</v>
      </c>
    </row>
    <row r="28" spans="1:16">
      <c r="A28" s="229">
        <v>45619</v>
      </c>
      <c r="B28" s="230"/>
      <c r="C28" s="98">
        <f>IF(A28="",0,[3]TDSheet!D29)</f>
        <v>0</v>
      </c>
      <c r="D28" s="99">
        <f>IF(A28="",0,[3]TDSheet!F29)</f>
        <v>0</v>
      </c>
      <c r="E28" s="99"/>
      <c r="F28" s="100"/>
      <c r="G28" s="90">
        <f t="shared" si="6"/>
        <v>0</v>
      </c>
      <c r="H28" s="91"/>
      <c r="I28" s="92">
        <f t="shared" si="2"/>
        <v>0</v>
      </c>
      <c r="J28" s="92">
        <f t="shared" si="1"/>
        <v>0</v>
      </c>
      <c r="K28" s="92">
        <f>IF(OR(WEEKDAY(A28)=1,WEEKDAY(A28)=7,NOT(ISERROR(MATCH(A28,[1]Праздники!A:A,0)))),SUM(E28*162.5)*1.5,SUM(E28*162.5))</f>
        <v>0</v>
      </c>
      <c r="L28" s="92">
        <f>IF(OR(WEEKDAY(A28)=1,WEEKDAY(A28)=7,NOT(ISERROR(MATCH(A28,[1]Праздники!A:A,0)))),SUM(F28*162.5)*1.5,SUM(F28*162.5))</f>
        <v>0</v>
      </c>
      <c r="M28" s="92">
        <f t="shared" si="3"/>
        <v>0</v>
      </c>
      <c r="N28" s="92">
        <f t="shared" si="4"/>
        <v>0</v>
      </c>
      <c r="O28" s="92">
        <f t="shared" si="5"/>
        <v>0</v>
      </c>
      <c r="P28" s="2" t="str">
        <f>IF(OR(WEEKDAY(A28)=1,WEEKDAY(A28)=7,NOT(ISERROR(MATCH(A28,[1]Праздники!A:A,0)))),"Выходной","Рабочий")</f>
        <v>Выходной</v>
      </c>
    </row>
    <row r="29" spans="1:16">
      <c r="A29" s="229">
        <v>45620</v>
      </c>
      <c r="B29" s="230"/>
      <c r="C29" s="98">
        <f>IF(A29="",0,[3]TDSheet!D30)</f>
        <v>0</v>
      </c>
      <c r="D29" s="99">
        <f>IF(A29="",0,[3]TDSheet!F30)</f>
        <v>0</v>
      </c>
      <c r="E29" s="99"/>
      <c r="F29" s="100"/>
      <c r="G29" s="90">
        <f t="shared" si="6"/>
        <v>0</v>
      </c>
      <c r="H29" s="91"/>
      <c r="I29" s="92">
        <f t="shared" si="2"/>
        <v>0</v>
      </c>
      <c r="J29" s="92">
        <f t="shared" si="1"/>
        <v>0</v>
      </c>
      <c r="K29" s="92">
        <f>IF(OR(WEEKDAY(A29)=1,WEEKDAY(A29)=7,NOT(ISERROR(MATCH(A29,[1]Праздники!A:A,0)))),SUM(E29*162.5)*1.5,SUM(E29*162.5))</f>
        <v>0</v>
      </c>
      <c r="L29" s="92">
        <f>IF(OR(WEEKDAY(A29)=1,WEEKDAY(A29)=7,NOT(ISERROR(MATCH(A29,[1]Праздники!A:A,0)))),SUM(F29*162.5)*1.5,SUM(F29*162.5))</f>
        <v>0</v>
      </c>
      <c r="M29" s="92">
        <f t="shared" si="3"/>
        <v>0</v>
      </c>
      <c r="N29" s="92">
        <f t="shared" si="4"/>
        <v>0</v>
      </c>
      <c r="O29" s="92">
        <f t="shared" si="5"/>
        <v>0</v>
      </c>
      <c r="P29" s="2" t="str">
        <f>IF(OR(WEEKDAY(A29)=1,WEEKDAY(A29)=7,NOT(ISERROR(MATCH(A29,[1]Праздники!A:A,0)))),"Выходной","Рабочий")</f>
        <v>Выходной</v>
      </c>
    </row>
    <row r="30" spans="1:16">
      <c r="A30" s="229">
        <v>45621</v>
      </c>
      <c r="B30" s="230"/>
      <c r="C30" s="98">
        <f>IF(A30="",0,[3]TDSheet!D31)</f>
        <v>0</v>
      </c>
      <c r="D30" s="99">
        <f>IF(A30="",0,[3]TDSheet!F31)</f>
        <v>0</v>
      </c>
      <c r="E30" s="99"/>
      <c r="F30" s="100"/>
      <c r="G30" s="90">
        <f t="shared" si="6"/>
        <v>0</v>
      </c>
      <c r="H30" s="91"/>
      <c r="I30" s="92">
        <f t="shared" si="2"/>
        <v>0</v>
      </c>
      <c r="J30" s="92">
        <f t="shared" si="1"/>
        <v>0</v>
      </c>
      <c r="K30" s="92">
        <f>IF(OR(WEEKDAY(A30)=1,WEEKDAY(A30)=7,NOT(ISERROR(MATCH(A30,[1]Праздники!A:A,0)))),SUM(E30*162.5)*1.5,SUM(E30*162.5))</f>
        <v>0</v>
      </c>
      <c r="L30" s="92">
        <f>IF(OR(WEEKDAY(A30)=1,WEEKDAY(A30)=7,NOT(ISERROR(MATCH(A30,[1]Праздники!A:A,0)))),SUM(F30*162.5)*1.5,SUM(F30*162.5))</f>
        <v>0</v>
      </c>
      <c r="M30" s="92">
        <f t="shared" si="3"/>
        <v>0</v>
      </c>
      <c r="N30" s="92">
        <f t="shared" si="4"/>
        <v>0</v>
      </c>
      <c r="O30" s="92">
        <f t="shared" si="5"/>
        <v>0</v>
      </c>
      <c r="P30" s="2" t="str">
        <f>IF(OR(WEEKDAY(A30)=1,WEEKDAY(A30)=7,NOT(ISERROR(MATCH(A30,[1]Праздники!A:A,0)))),"Выходной","Рабочий")</f>
        <v>Рабочий</v>
      </c>
    </row>
    <row r="31" spans="1:16">
      <c r="A31" s="229">
        <v>45622</v>
      </c>
      <c r="B31" s="230"/>
      <c r="C31" s="98">
        <f>IF(A31="",0,[3]TDSheet!D32)</f>
        <v>0</v>
      </c>
      <c r="D31" s="99">
        <f>IF(A31="",0,[3]TDSheet!F32)</f>
        <v>0</v>
      </c>
      <c r="E31" s="99"/>
      <c r="F31" s="100"/>
      <c r="G31" s="90">
        <f t="shared" si="6"/>
        <v>0</v>
      </c>
      <c r="H31" s="91"/>
      <c r="I31" s="92">
        <f t="shared" si="2"/>
        <v>0</v>
      </c>
      <c r="J31" s="92">
        <f t="shared" si="1"/>
        <v>0</v>
      </c>
      <c r="K31" s="92">
        <f>IF(OR(WEEKDAY(A31)=1,WEEKDAY(A31)=7,NOT(ISERROR(MATCH(A31,[1]Праздники!A:A,0)))),SUM(E31*162.5)*1.5,SUM(E31*162.5))</f>
        <v>0</v>
      </c>
      <c r="L31" s="92">
        <f>IF(OR(WEEKDAY(A31)=1,WEEKDAY(A31)=7,NOT(ISERROR(MATCH(A31,[1]Праздники!A:A,0)))),SUM(F31*162.5)*1.5,SUM(F31*162.5))</f>
        <v>0</v>
      </c>
      <c r="M31" s="92">
        <f t="shared" si="3"/>
        <v>0</v>
      </c>
      <c r="N31" s="92">
        <f t="shared" si="4"/>
        <v>0</v>
      </c>
      <c r="O31" s="92">
        <f t="shared" si="5"/>
        <v>0</v>
      </c>
      <c r="P31" s="2" t="str">
        <f>IF(OR(WEEKDAY(A31)=1,WEEKDAY(A31)=7,NOT(ISERROR(MATCH(A31,[1]Праздники!A:A,0)))),"Выходной","Рабочий")</f>
        <v>Рабочий</v>
      </c>
    </row>
    <row r="32" spans="1:16">
      <c r="A32" s="229">
        <v>45623</v>
      </c>
      <c r="B32" s="230"/>
      <c r="C32" s="98">
        <f>IF(A32="",0,[3]TDSheet!D33)</f>
        <v>0</v>
      </c>
      <c r="D32" s="99">
        <f>IF(A32="",0,[3]TDSheet!F33)</f>
        <v>0</v>
      </c>
      <c r="E32" s="99"/>
      <c r="F32" s="100"/>
      <c r="G32" s="90">
        <f t="shared" si="6"/>
        <v>0</v>
      </c>
      <c r="H32" s="91"/>
      <c r="I32" s="92">
        <f t="shared" si="2"/>
        <v>0</v>
      </c>
      <c r="J32" s="92">
        <f t="shared" si="1"/>
        <v>0</v>
      </c>
      <c r="K32" s="92">
        <f>IF(OR(WEEKDAY(A32)=1,WEEKDAY(A32)=7,NOT(ISERROR(MATCH(A32,[1]Праздники!A:A,0)))),SUM(E32*162.5)*1.5,SUM(E32*162.5))</f>
        <v>0</v>
      </c>
      <c r="L32" s="92">
        <f>IF(OR(WEEKDAY(A32)=1,WEEKDAY(A32)=7,NOT(ISERROR(MATCH(A32,[1]Праздники!A:A,0)))),SUM(F32*162.5)*1.5,SUM(F32*162.5))</f>
        <v>0</v>
      </c>
      <c r="M32" s="92">
        <f t="shared" si="3"/>
        <v>0</v>
      </c>
      <c r="N32" s="92">
        <f t="shared" si="4"/>
        <v>0</v>
      </c>
      <c r="O32" s="92">
        <f t="shared" si="5"/>
        <v>0</v>
      </c>
      <c r="P32" s="2" t="str">
        <f>IF(OR(WEEKDAY(A32)=1,WEEKDAY(A32)=7,NOT(ISERROR(MATCH(A32,[1]Праздники!A:A,0)))),"Выходной","Рабочий")</f>
        <v>Рабочий</v>
      </c>
    </row>
    <row r="33" spans="1:17">
      <c r="A33" s="229">
        <v>45624</v>
      </c>
      <c r="B33" s="230"/>
      <c r="C33" s="98">
        <f>IF(A33="",0,[3]TDSheet!D34)</f>
        <v>0</v>
      </c>
      <c r="D33" s="99">
        <f>IF(A33="",0,[3]TDSheet!F34)</f>
        <v>0</v>
      </c>
      <c r="E33" s="99"/>
      <c r="F33" s="100"/>
      <c r="G33" s="90">
        <f t="shared" si="6"/>
        <v>0</v>
      </c>
      <c r="H33" s="91"/>
      <c r="I33" s="92">
        <f t="shared" si="2"/>
        <v>0</v>
      </c>
      <c r="J33" s="92">
        <f t="shared" si="1"/>
        <v>0</v>
      </c>
      <c r="K33" s="92">
        <f>IF(OR(WEEKDAY(A33)=1,WEEKDAY(A33)=7,NOT(ISERROR(MATCH(A33,[1]Праздники!A:A,0)))),SUM(E33*162.5)*1.5,SUM(E33*162.5))</f>
        <v>0</v>
      </c>
      <c r="L33" s="92">
        <f>IF(OR(WEEKDAY(A33)=1,WEEKDAY(A33)=7,NOT(ISERROR(MATCH(A33,[1]Праздники!A:A,0)))),SUM(F33*162.5)*1.5,SUM(F33*162.5))</f>
        <v>0</v>
      </c>
      <c r="M33" s="92">
        <f t="shared" si="3"/>
        <v>0</v>
      </c>
      <c r="N33" s="92">
        <f t="shared" si="4"/>
        <v>0</v>
      </c>
      <c r="O33" s="92">
        <f t="shared" si="5"/>
        <v>0</v>
      </c>
      <c r="P33" s="2" t="str">
        <f>IF(OR(WEEKDAY(A33)=1,WEEKDAY(A33)=7,NOT(ISERROR(MATCH(A33,[1]Праздники!A:A,0)))),"Выходной","Рабочий")</f>
        <v>Рабочий</v>
      </c>
    </row>
    <row r="34" spans="1:17">
      <c r="A34" s="229">
        <v>45625</v>
      </c>
      <c r="B34" s="230"/>
      <c r="C34" s="98">
        <f>IF(A34="",0,[3]TDSheet!D35)</f>
        <v>0</v>
      </c>
      <c r="D34" s="99">
        <f>IF(A34="",0,[3]TDSheet!F35)</f>
        <v>0</v>
      </c>
      <c r="E34" s="99"/>
      <c r="F34" s="100"/>
      <c r="G34" s="90">
        <f t="shared" si="6"/>
        <v>0</v>
      </c>
      <c r="H34" s="91"/>
      <c r="I34" s="92">
        <f t="shared" si="2"/>
        <v>0</v>
      </c>
      <c r="J34" s="92">
        <f t="shared" si="1"/>
        <v>0</v>
      </c>
      <c r="K34" s="92">
        <f>IF(OR(WEEKDAY(A34)=1,WEEKDAY(A34)=7,NOT(ISERROR(MATCH(A34,[1]Праздники!A:A,0)))),SUM(E34*162.5)*1.5,SUM(E34*162.5))</f>
        <v>0</v>
      </c>
      <c r="L34" s="92">
        <f>IF(OR(WEEKDAY(A34)=1,WEEKDAY(A34)=7,NOT(ISERROR(MATCH(A34,[1]Праздники!A:A,0)))),SUM(F34*162.5)*1.5,SUM(F34*162.5))</f>
        <v>0</v>
      </c>
      <c r="M34" s="92">
        <f t="shared" si="3"/>
        <v>0</v>
      </c>
      <c r="N34" s="92">
        <f t="shared" si="4"/>
        <v>0</v>
      </c>
      <c r="O34" s="92">
        <f t="shared" si="5"/>
        <v>0</v>
      </c>
      <c r="P34" s="2" t="str">
        <f>IF(OR(WEEKDAY(A34)=1,WEEKDAY(A34)=7,NOT(ISERROR(MATCH(A34,[1]Праздники!A:A,0)))),"Выходной","Рабочий")</f>
        <v>Рабочий</v>
      </c>
    </row>
    <row r="35" spans="1:17">
      <c r="A35" s="229">
        <v>45626</v>
      </c>
      <c r="B35" s="230"/>
      <c r="C35" s="98">
        <f>IF(A35="",0,[3]TDSheet!D36)</f>
        <v>0</v>
      </c>
      <c r="D35" s="99">
        <f>IF(A35="",0,[3]TDSheet!F36)</f>
        <v>0</v>
      </c>
      <c r="E35" s="90"/>
      <c r="F35" s="100"/>
      <c r="G35" s="90">
        <f t="shared" si="6"/>
        <v>0</v>
      </c>
      <c r="H35" s="91"/>
      <c r="I35" s="92">
        <f t="shared" si="2"/>
        <v>0</v>
      </c>
      <c r="J35" s="92">
        <f t="shared" si="1"/>
        <v>0</v>
      </c>
      <c r="K35" s="92">
        <f>IF(OR(WEEKDAY(A35)=1,WEEKDAY(A35)=7,NOT(ISERROR(MATCH(A35,[1]Праздники!A:A,0)))),SUM(E35*162.5)*1.5,SUM(E35*162.5))</f>
        <v>0</v>
      </c>
      <c r="L35" s="92">
        <f>IF(OR(WEEKDAY(A35)=1,WEEKDAY(A35)=7,NOT(ISERROR(MATCH(A35,[1]Праздники!A:A,0)))),SUM(F35*162.5)*1.5,SUM(F35*162.5))</f>
        <v>0</v>
      </c>
      <c r="M35" s="92">
        <f t="shared" si="3"/>
        <v>0</v>
      </c>
      <c r="N35" s="92">
        <f t="shared" si="4"/>
        <v>0</v>
      </c>
      <c r="O35" s="92">
        <f t="shared" si="5"/>
        <v>0</v>
      </c>
      <c r="P35" s="2" t="str">
        <f>IF(OR(WEEKDAY(A35)=1,WEEKDAY(A35)=7,NOT(ISERROR(MATCH(A35,[1]Праздники!A:A,0)))),"Выходной","Рабочий")</f>
        <v>Выходной</v>
      </c>
    </row>
    <row r="36" spans="1:17" ht="15.75" thickBot="1">
      <c r="A36" s="229"/>
      <c r="B36" s="230"/>
      <c r="C36" s="98"/>
      <c r="D36" s="99"/>
      <c r="E36" s="106"/>
      <c r="F36" s="107"/>
      <c r="G36" s="90"/>
      <c r="H36" s="108"/>
      <c r="I36" s="92">
        <f t="shared" si="2"/>
        <v>0</v>
      </c>
      <c r="J36" s="92">
        <f t="shared" si="1"/>
        <v>0</v>
      </c>
      <c r="K36" s="92">
        <f>IF(OR(WEEKDAY(A36)=1,WEEKDAY(A36)=7,NOT(ISERROR(MATCH(A36,[1]Праздники!A:A,0)))),SUM(E36*162.5)*1.5,SUM(E36*162.5))</f>
        <v>0</v>
      </c>
      <c r="L36" s="92">
        <f>IF(OR(WEEKDAY(A36)=1,WEEKDAY(A36)=7,NOT(ISERROR(MATCH(A36,[1]Праздники!A:A,0)))),SUM(F36*162.5)*1.5,SUM(F36*162.5))</f>
        <v>0</v>
      </c>
      <c r="M36" s="92">
        <f t="shared" si="3"/>
        <v>0</v>
      </c>
      <c r="N36" s="92">
        <f t="shared" si="4"/>
        <v>0</v>
      </c>
      <c r="O36" s="92">
        <f t="shared" si="5"/>
        <v>0</v>
      </c>
      <c r="P36" s="2" t="str">
        <f>IF(OR(WEEKDAY(A36)=1,WEEKDAY(A36)=7,NOT(ISERROR(MATCH(A36,[1]Праздники!A:A,0)))),"Выходной","Рабочий")</f>
        <v>Выходной</v>
      </c>
    </row>
    <row r="37" spans="1:17" ht="15.75" thickBot="1">
      <c r="C37" s="93">
        <f>SUM(C6:C36)</f>
        <v>0</v>
      </c>
      <c r="D37" s="93">
        <f t="shared" ref="D37:O37" si="7">SUM(D6:D36)</f>
        <v>0</v>
      </c>
      <c r="E37" s="93">
        <f t="shared" si="7"/>
        <v>0</v>
      </c>
      <c r="F37" s="93">
        <f t="shared" si="7"/>
        <v>0</v>
      </c>
      <c r="G37" s="93">
        <f t="shared" si="7"/>
        <v>0</v>
      </c>
      <c r="H37" s="105">
        <f t="shared" si="7"/>
        <v>0</v>
      </c>
      <c r="I37" s="94">
        <f t="shared" si="7"/>
        <v>0</v>
      </c>
      <c r="J37" s="94">
        <f t="shared" si="7"/>
        <v>0</v>
      </c>
      <c r="K37" s="94">
        <f t="shared" si="7"/>
        <v>0</v>
      </c>
      <c r="L37" s="94">
        <f t="shared" si="7"/>
        <v>0</v>
      </c>
      <c r="M37" s="94">
        <f t="shared" si="7"/>
        <v>0</v>
      </c>
      <c r="N37" s="94">
        <f t="shared" si="7"/>
        <v>0</v>
      </c>
      <c r="O37" s="95">
        <f t="shared" si="7"/>
        <v>0</v>
      </c>
    </row>
    <row r="38" spans="1:17" ht="15.75" thickBot="1">
      <c r="G38" s="89"/>
      <c r="L38" s="18"/>
      <c r="M38" s="89"/>
      <c r="N38" s="105" t="s">
        <v>116</v>
      </c>
      <c r="O38" s="96">
        <f>O37*1.2</f>
        <v>0</v>
      </c>
      <c r="Q38" s="97"/>
    </row>
    <row r="39" spans="1:17">
      <c r="G39" s="89"/>
      <c r="M39" s="89"/>
    </row>
    <row r="40" spans="1:17">
      <c r="G40" s="89"/>
      <c r="M40" s="89"/>
    </row>
  </sheetData>
  <mergeCells count="44">
    <mergeCell ref="E4:E5"/>
    <mergeCell ref="F4:F5"/>
    <mergeCell ref="H4:H5"/>
    <mergeCell ref="A16:B16"/>
    <mergeCell ref="O4:O5"/>
    <mergeCell ref="A6:B6"/>
    <mergeCell ref="A7:B7"/>
    <mergeCell ref="A8:B8"/>
    <mergeCell ref="A9:B9"/>
    <mergeCell ref="A10:B10"/>
    <mergeCell ref="I4:I5"/>
    <mergeCell ref="J4:J5"/>
    <mergeCell ref="K4:K5"/>
    <mergeCell ref="L4:L5"/>
    <mergeCell ref="M4:M5"/>
    <mergeCell ref="N4:N5"/>
    <mergeCell ref="A4:B5"/>
    <mergeCell ref="C4:C5"/>
    <mergeCell ref="D4:D5"/>
    <mergeCell ref="A11:B11"/>
    <mergeCell ref="A12:B12"/>
    <mergeCell ref="A13:B13"/>
    <mergeCell ref="A14:B14"/>
    <mergeCell ref="A15:B15"/>
    <mergeCell ref="A28:B28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35:B35"/>
    <mergeCell ref="A36:B36"/>
    <mergeCell ref="A29:B29"/>
    <mergeCell ref="A30:B30"/>
    <mergeCell ref="A31:B31"/>
    <mergeCell ref="A32:B32"/>
    <mergeCell ref="A33:B33"/>
    <mergeCell ref="A34:B34"/>
  </mergeCells>
  <pageMargins left="0.7" right="0.7" top="0.75" bottom="0.75" header="0.3" footer="0.3"/>
  <pageSetup paperSize="9" orientation="portrait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A2F82-6972-4611-82A2-042C3CE2C1D7}">
  <sheetPr codeName="Лист12"/>
  <dimension ref="A1:P40"/>
  <sheetViews>
    <sheetView workbookViewId="0">
      <selection activeCell="G37" sqref="G37"/>
    </sheetView>
  </sheetViews>
  <sheetFormatPr defaultRowHeight="15"/>
  <cols>
    <col min="1" max="2" width="8.796875" style="2"/>
    <col min="3" max="3" width="7.796875" style="2" customWidth="1"/>
    <col min="4" max="4" width="7.296875" style="2" customWidth="1"/>
    <col min="5" max="5" width="7.796875" style="2" customWidth="1"/>
    <col min="6" max="6" width="7.8984375" style="2" customWidth="1"/>
    <col min="7" max="7" width="6.796875" style="2" customWidth="1"/>
    <col min="8" max="8" width="11.5" style="2" customWidth="1"/>
    <col min="9" max="9" width="12.59765625" style="2" customWidth="1"/>
    <col min="10" max="11" width="11.5" style="2" customWidth="1"/>
    <col min="12" max="12" width="11.19921875" style="2" customWidth="1"/>
    <col min="13" max="13" width="8.796875" style="2"/>
    <col min="14" max="14" width="12.796875" style="2" customWidth="1"/>
    <col min="15" max="16384" width="8.796875" style="2"/>
  </cols>
  <sheetData>
    <row r="1" spans="1:16">
      <c r="H1" s="89"/>
      <c r="I1" s="89"/>
      <c r="J1" s="89"/>
      <c r="K1" s="89"/>
      <c r="N1" s="79"/>
      <c r="O1" s="79"/>
      <c r="P1" s="79"/>
    </row>
    <row r="2" spans="1:16">
      <c r="H2" s="89"/>
      <c r="I2" s="89"/>
      <c r="J2" s="89"/>
      <c r="K2" s="89"/>
      <c r="N2" s="79"/>
      <c r="O2" s="79"/>
      <c r="P2" s="79"/>
    </row>
    <row r="3" spans="1:16" ht="21">
      <c r="A3" s="77" t="str">
        <f>"Отчет по хранению  товара  РВ " &amp; TEXT(A6,"ММММ ") &amp; YEAR(A6)</f>
        <v>Отчет по хранению  товара  РВ Май 2025</v>
      </c>
      <c r="C3" s="89"/>
      <c r="H3" s="89"/>
      <c r="I3" s="89"/>
      <c r="J3" s="89"/>
      <c r="K3" s="89"/>
      <c r="N3" s="79"/>
      <c r="O3" s="79"/>
      <c r="P3" s="79"/>
    </row>
    <row r="4" spans="1:16">
      <c r="A4" s="210" t="s">
        <v>1</v>
      </c>
      <c r="B4" s="211"/>
      <c r="C4" s="231" t="s">
        <v>4</v>
      </c>
      <c r="D4" s="206" t="s">
        <v>94</v>
      </c>
      <c r="E4" s="206" t="s">
        <v>95</v>
      </c>
      <c r="F4" s="206" t="s">
        <v>96</v>
      </c>
      <c r="G4" s="206" t="s">
        <v>97</v>
      </c>
      <c r="H4" s="231" t="s">
        <v>13</v>
      </c>
      <c r="I4" s="231" t="s">
        <v>98</v>
      </c>
      <c r="J4" s="231" t="s">
        <v>99</v>
      </c>
      <c r="K4" s="231" t="s">
        <v>100</v>
      </c>
      <c r="L4" s="206" t="s">
        <v>18</v>
      </c>
    </row>
    <row r="5" spans="1:16">
      <c r="A5" s="212"/>
      <c r="B5" s="213"/>
      <c r="C5" s="232"/>
      <c r="D5" s="207"/>
      <c r="E5" s="207"/>
      <c r="F5" s="207"/>
      <c r="G5" s="207"/>
      <c r="H5" s="232"/>
      <c r="I5" s="232"/>
      <c r="J5" s="232"/>
      <c r="K5" s="232"/>
      <c r="L5" s="207"/>
    </row>
    <row r="6" spans="1:16">
      <c r="A6" s="229">
        <v>45778</v>
      </c>
      <c r="B6" s="230"/>
      <c r="C6" s="90" t="e">
        <f>'[1]РВ Баумана'!G6+#REF!+'[1]РВ Березовая Пойма'!G6+#REF!+'[1]РВ Новикова-Прибоя'!G6+#REF!</f>
        <v>#REF!</v>
      </c>
      <c r="D6" s="91" t="e">
        <f>IF(C6 &lt; 8000,8000-C6,0)</f>
        <v>#REF!</v>
      </c>
      <c r="E6" s="91" t="e">
        <f>'[1]РВ Баумана'!C6+#REF!+'[1]РВ Березовая Пойма'!C6+#REF!+'[1]РВ Новикова-Прибоя'!C6+#REF!</f>
        <v>#REF!</v>
      </c>
      <c r="F6" s="91" t="e">
        <f>'[1]РВ Баумана'!D6+#REF!+'[1]РВ Березовая Пойма'!D6+#REF!+'[1]РВ Новикова-Прибоя'!D6+#REF!</f>
        <v>#REF!</v>
      </c>
      <c r="G6" s="91" t="e">
        <f>IF(E6+F6 &lt; 300,300-E6-F6,0)</f>
        <v>#REF!</v>
      </c>
      <c r="H6" s="92" t="e">
        <f>C6*15</f>
        <v>#REF!</v>
      </c>
      <c r="I6" s="92" t="e">
        <f>D6*15</f>
        <v>#REF!</v>
      </c>
      <c r="J6" s="92" t="e">
        <f>IF(M6="Выходной",(E6+G6)*150*1.5,(E6+G6)*150)</f>
        <v>#REF!</v>
      </c>
      <c r="K6" s="92" t="e">
        <f>IF(M6="Выходной",F6*150,F6*150)</f>
        <v>#REF!</v>
      </c>
      <c r="L6" s="92" t="e">
        <f>SUM(H6:K6)</f>
        <v>#REF!</v>
      </c>
      <c r="M6" s="2" t="str">
        <f>IF(OR(WEEKDAY(A6)=1,WEEKDAY(A6)=7,NOT(ISERROR(MATCH(A6,[1]Праздники!A:A,0)))),"Выходной","Рабочий")</f>
        <v>Выходной</v>
      </c>
    </row>
    <row r="7" spans="1:16">
      <c r="A7" s="229">
        <v>45779</v>
      </c>
      <c r="B7" s="230"/>
      <c r="C7" s="90" t="e">
        <f>'[1]РВ Баумана'!G7+#REF!+'[1]РВ Березовая Пойма'!G7+#REF!+'[1]РВ Новикова-Прибоя'!G7+#REF!</f>
        <v>#REF!</v>
      </c>
      <c r="D7" s="91" t="e">
        <f t="shared" ref="D7:D36" si="0">IF(C7 &lt; 8000,8000-C7,0)</f>
        <v>#REF!</v>
      </c>
      <c r="E7" s="91" t="e">
        <f>'[1]РВ Баумана'!C7+#REF!+'[1]РВ Березовая Пойма'!C7+#REF!+'[1]РВ Новикова-Прибоя'!C7+#REF!</f>
        <v>#REF!</v>
      </c>
      <c r="F7" s="91" t="e">
        <f>'[1]РВ Баумана'!D7+#REF!+'[1]РВ Березовая Пойма'!D7+#REF!+'[1]РВ Новикова-Прибоя'!D7+#REF!</f>
        <v>#REF!</v>
      </c>
      <c r="G7" s="91" t="e">
        <f t="shared" ref="G7:G36" si="1">IF(E7+F7 &lt; 300,300-E7-F7,0)</f>
        <v>#REF!</v>
      </c>
      <c r="H7" s="92" t="e">
        <f t="shared" ref="H7:I36" si="2">C7*15</f>
        <v>#REF!</v>
      </c>
      <c r="I7" s="92" t="e">
        <f t="shared" si="2"/>
        <v>#REF!</v>
      </c>
      <c r="J7" s="92" t="e">
        <f t="shared" ref="J7:J36" si="3">IF(M7="Выходной",(E7+G7+F7)*150*1.5,(E7+G7+F7)*150)</f>
        <v>#REF!</v>
      </c>
      <c r="K7" s="92" t="e">
        <f t="shared" ref="K7:K36" si="4">IF(M7="Выходной",F7*150,F7*150)</f>
        <v>#REF!</v>
      </c>
      <c r="L7" s="92" t="e">
        <f t="shared" ref="L7:L36" si="5">SUM(H7:K7)</f>
        <v>#REF!</v>
      </c>
      <c r="M7" s="2" t="str">
        <f>IF(OR(WEEKDAY(A7)=1,WEEKDAY(A7)=7,NOT(ISERROR(MATCH(A7,[1]Праздники!A:A,0)))),"Выходной","Рабочий")</f>
        <v>Выходной</v>
      </c>
    </row>
    <row r="8" spans="1:16">
      <c r="A8" s="229">
        <v>45780</v>
      </c>
      <c r="B8" s="230"/>
      <c r="C8" s="90" t="e">
        <f>'[1]РВ Баумана'!G8+#REF!+'[1]РВ Березовая Пойма'!G8+#REF!+'[1]РВ Новикова-Прибоя'!G8+#REF!</f>
        <v>#REF!</v>
      </c>
      <c r="D8" s="91" t="e">
        <f t="shared" si="0"/>
        <v>#REF!</v>
      </c>
      <c r="E8" s="91" t="e">
        <f>'[1]РВ Баумана'!C8+#REF!+'[1]РВ Березовая Пойма'!C8+#REF!+'[1]РВ Новикова-Прибоя'!C8+#REF!</f>
        <v>#REF!</v>
      </c>
      <c r="F8" s="91" t="e">
        <f>'[1]РВ Баумана'!D8+#REF!+'[1]РВ Березовая Пойма'!D8+#REF!+'[1]РВ Новикова-Прибоя'!D8+#REF!</f>
        <v>#REF!</v>
      </c>
      <c r="G8" s="91" t="e">
        <f t="shared" si="1"/>
        <v>#REF!</v>
      </c>
      <c r="H8" s="92" t="e">
        <f t="shared" si="2"/>
        <v>#REF!</v>
      </c>
      <c r="I8" s="92" t="e">
        <f t="shared" si="2"/>
        <v>#REF!</v>
      </c>
      <c r="J8" s="92" t="e">
        <f t="shared" si="3"/>
        <v>#REF!</v>
      </c>
      <c r="K8" s="92" t="e">
        <f t="shared" si="4"/>
        <v>#REF!</v>
      </c>
      <c r="L8" s="92" t="e">
        <f t="shared" si="5"/>
        <v>#REF!</v>
      </c>
      <c r="M8" s="2" t="str">
        <f>IF(OR(WEEKDAY(A8)=1,WEEKDAY(A8)=7,NOT(ISERROR(MATCH(A8,[1]Праздники!A:A,0)))),"Выходной","Рабочий")</f>
        <v>Выходной</v>
      </c>
    </row>
    <row r="9" spans="1:16">
      <c r="A9" s="229">
        <v>45781</v>
      </c>
      <c r="B9" s="230"/>
      <c r="C9" s="90" t="e">
        <f>'[1]РВ Баумана'!G9+#REF!+'[1]РВ Березовая Пойма'!G9+#REF!+'[1]РВ Новикова-Прибоя'!G9+#REF!</f>
        <v>#REF!</v>
      </c>
      <c r="D9" s="91" t="e">
        <f t="shared" si="0"/>
        <v>#REF!</v>
      </c>
      <c r="E9" s="91" t="e">
        <f>'[1]РВ Баумана'!C9+#REF!+'[1]РВ Березовая Пойма'!C9+#REF!+'[1]РВ Новикова-Прибоя'!C9+#REF!</f>
        <v>#REF!</v>
      </c>
      <c r="F9" s="91" t="e">
        <f>'[1]РВ Баумана'!D9+#REF!+'[1]РВ Березовая Пойма'!D9+#REF!+'[1]РВ Новикова-Прибоя'!D9+#REF!</f>
        <v>#REF!</v>
      </c>
      <c r="G9" s="91" t="e">
        <f t="shared" si="1"/>
        <v>#REF!</v>
      </c>
      <c r="H9" s="92" t="e">
        <f t="shared" si="2"/>
        <v>#REF!</v>
      </c>
      <c r="I9" s="92" t="e">
        <f t="shared" si="2"/>
        <v>#REF!</v>
      </c>
      <c r="J9" s="92" t="e">
        <f t="shared" si="3"/>
        <v>#REF!</v>
      </c>
      <c r="K9" s="92" t="e">
        <f t="shared" si="4"/>
        <v>#REF!</v>
      </c>
      <c r="L9" s="92" t="e">
        <f t="shared" si="5"/>
        <v>#REF!</v>
      </c>
      <c r="M9" s="2" t="str">
        <f>IF(OR(WEEKDAY(A9)=1,WEEKDAY(A9)=7,NOT(ISERROR(MATCH(A9,[1]Праздники!A:A,0)))),"Выходной","Рабочий")</f>
        <v>Выходной</v>
      </c>
    </row>
    <row r="10" spans="1:16">
      <c r="A10" s="229">
        <v>45782</v>
      </c>
      <c r="B10" s="230"/>
      <c r="C10" s="90" t="e">
        <f>'[1]РВ Баумана'!G10+#REF!+'[1]РВ Березовая Пойма'!G10+#REF!+'[1]РВ Новикова-Прибоя'!G10+#REF!</f>
        <v>#REF!</v>
      </c>
      <c r="D10" s="91" t="e">
        <f t="shared" si="0"/>
        <v>#REF!</v>
      </c>
      <c r="E10" s="91" t="e">
        <f>'[1]РВ Баумана'!C10+#REF!+'[1]РВ Березовая Пойма'!C10+#REF!+'[1]РВ Новикова-Прибоя'!C10+#REF!</f>
        <v>#REF!</v>
      </c>
      <c r="F10" s="91" t="e">
        <f>'[1]РВ Баумана'!D10+#REF!+'[1]РВ Березовая Пойма'!D10+#REF!+'[1]РВ Новикова-Прибоя'!D10+#REF!</f>
        <v>#REF!</v>
      </c>
      <c r="G10" s="91" t="e">
        <f t="shared" si="1"/>
        <v>#REF!</v>
      </c>
      <c r="H10" s="92" t="e">
        <f t="shared" si="2"/>
        <v>#REF!</v>
      </c>
      <c r="I10" s="92" t="e">
        <f t="shared" si="2"/>
        <v>#REF!</v>
      </c>
      <c r="J10" s="92" t="e">
        <f t="shared" si="3"/>
        <v>#REF!</v>
      </c>
      <c r="K10" s="92" t="e">
        <f t="shared" si="4"/>
        <v>#REF!</v>
      </c>
      <c r="L10" s="92" t="e">
        <f t="shared" si="5"/>
        <v>#REF!</v>
      </c>
      <c r="M10" s="2" t="str">
        <f>IF(OR(WEEKDAY(A10)=1,WEEKDAY(A10)=7,NOT(ISERROR(MATCH(A10,[1]Праздники!A:A,0)))),"Выходной","Рабочий")</f>
        <v>Рабочий</v>
      </c>
    </row>
    <row r="11" spans="1:16">
      <c r="A11" s="229">
        <v>45783</v>
      </c>
      <c r="B11" s="230"/>
      <c r="C11" s="90" t="e">
        <f>'[1]РВ Баумана'!G11+#REF!+'[1]РВ Березовая Пойма'!G11+#REF!+'[1]РВ Новикова-Прибоя'!G11+#REF!</f>
        <v>#REF!</v>
      </c>
      <c r="D11" s="91" t="e">
        <f t="shared" si="0"/>
        <v>#REF!</v>
      </c>
      <c r="E11" s="91" t="e">
        <f>'[1]РВ Баумана'!C11+#REF!+'[1]РВ Березовая Пойма'!C11+#REF!+'[1]РВ Новикова-Прибоя'!C11+#REF!</f>
        <v>#REF!</v>
      </c>
      <c r="F11" s="91" t="e">
        <f>'[1]РВ Баумана'!D11+#REF!+'[1]РВ Березовая Пойма'!D11+#REF!+'[1]РВ Новикова-Прибоя'!D11+#REF!</f>
        <v>#REF!</v>
      </c>
      <c r="G11" s="91" t="e">
        <f t="shared" si="1"/>
        <v>#REF!</v>
      </c>
      <c r="H11" s="92" t="e">
        <f t="shared" si="2"/>
        <v>#REF!</v>
      </c>
      <c r="I11" s="92" t="e">
        <f t="shared" si="2"/>
        <v>#REF!</v>
      </c>
      <c r="J11" s="92" t="e">
        <f t="shared" si="3"/>
        <v>#REF!</v>
      </c>
      <c r="K11" s="92" t="e">
        <f t="shared" si="4"/>
        <v>#REF!</v>
      </c>
      <c r="L11" s="92" t="e">
        <f t="shared" si="5"/>
        <v>#REF!</v>
      </c>
      <c r="M11" s="2" t="str">
        <f>IF(OR(WEEKDAY(A11)=1,WEEKDAY(A11)=7,NOT(ISERROR(MATCH(A11,[1]Праздники!A:A,0)))),"Выходной","Рабочий")</f>
        <v>Рабочий</v>
      </c>
    </row>
    <row r="12" spans="1:16">
      <c r="A12" s="229">
        <v>45784</v>
      </c>
      <c r="B12" s="230"/>
      <c r="C12" s="90" t="e">
        <f>'[1]РВ Баумана'!G12+#REF!+'[1]РВ Березовая Пойма'!G12+#REF!+'[1]РВ Новикова-Прибоя'!G12+#REF!</f>
        <v>#REF!</v>
      </c>
      <c r="D12" s="91" t="e">
        <f t="shared" si="0"/>
        <v>#REF!</v>
      </c>
      <c r="E12" s="91" t="e">
        <f>'[1]РВ Баумана'!C12+#REF!+'[1]РВ Березовая Пойма'!C12+#REF!+'[1]РВ Новикова-Прибоя'!C12+#REF!</f>
        <v>#REF!</v>
      </c>
      <c r="F12" s="91" t="e">
        <f>'[1]РВ Баумана'!D12+#REF!+'[1]РВ Березовая Пойма'!D12+#REF!+'[1]РВ Новикова-Прибоя'!D12+#REF!</f>
        <v>#REF!</v>
      </c>
      <c r="G12" s="91" t="e">
        <f t="shared" si="1"/>
        <v>#REF!</v>
      </c>
      <c r="H12" s="92" t="e">
        <f t="shared" si="2"/>
        <v>#REF!</v>
      </c>
      <c r="I12" s="92" t="e">
        <f t="shared" si="2"/>
        <v>#REF!</v>
      </c>
      <c r="J12" s="92" t="e">
        <f t="shared" si="3"/>
        <v>#REF!</v>
      </c>
      <c r="K12" s="92" t="e">
        <f t="shared" si="4"/>
        <v>#REF!</v>
      </c>
      <c r="L12" s="92" t="e">
        <f t="shared" si="5"/>
        <v>#REF!</v>
      </c>
      <c r="M12" s="2" t="str">
        <f>IF(OR(WEEKDAY(A12)=1,WEEKDAY(A12)=7,NOT(ISERROR(MATCH(A12,[1]Праздники!A:A,0)))),"Выходной","Рабочий")</f>
        <v>Рабочий</v>
      </c>
    </row>
    <row r="13" spans="1:16">
      <c r="A13" s="229">
        <v>45785</v>
      </c>
      <c r="B13" s="230"/>
      <c r="C13" s="90" t="e">
        <f>'[1]РВ Баумана'!G13+#REF!+'[1]РВ Березовая Пойма'!G13+#REF!+'[1]РВ Новикова-Прибоя'!G13+#REF!</f>
        <v>#REF!</v>
      </c>
      <c r="D13" s="91" t="e">
        <f t="shared" si="0"/>
        <v>#REF!</v>
      </c>
      <c r="E13" s="91" t="e">
        <f>'[1]РВ Баумана'!C13+#REF!+'[1]РВ Березовая Пойма'!C13+#REF!+'[1]РВ Новикова-Прибоя'!C13+#REF!</f>
        <v>#REF!</v>
      </c>
      <c r="F13" s="91" t="e">
        <f>'[1]РВ Баумана'!D13+#REF!+'[1]РВ Березовая Пойма'!D13+#REF!+'[1]РВ Новикова-Прибоя'!D13+#REF!</f>
        <v>#REF!</v>
      </c>
      <c r="G13" s="91" t="e">
        <f t="shared" si="1"/>
        <v>#REF!</v>
      </c>
      <c r="H13" s="92" t="e">
        <f t="shared" si="2"/>
        <v>#REF!</v>
      </c>
      <c r="I13" s="92" t="e">
        <f t="shared" si="2"/>
        <v>#REF!</v>
      </c>
      <c r="J13" s="92" t="e">
        <f t="shared" si="3"/>
        <v>#REF!</v>
      </c>
      <c r="K13" s="92" t="e">
        <f t="shared" si="4"/>
        <v>#REF!</v>
      </c>
      <c r="L13" s="92" t="e">
        <f t="shared" si="5"/>
        <v>#REF!</v>
      </c>
      <c r="M13" s="2" t="str">
        <f>IF(OR(WEEKDAY(A13)=1,WEEKDAY(A13)=7,NOT(ISERROR(MATCH(A13,[1]Праздники!A:A,0)))),"Выходной","Рабочий")</f>
        <v>Выходной</v>
      </c>
    </row>
    <row r="14" spans="1:16">
      <c r="A14" s="229">
        <v>45786</v>
      </c>
      <c r="B14" s="230"/>
      <c r="C14" s="90" t="e">
        <f>'[1]РВ Баумана'!G14+#REF!+'[1]РВ Березовая Пойма'!G14+#REF!+'[1]РВ Новикова-Прибоя'!G14+#REF!</f>
        <v>#REF!</v>
      </c>
      <c r="D14" s="91" t="e">
        <f t="shared" si="0"/>
        <v>#REF!</v>
      </c>
      <c r="E14" s="91" t="e">
        <f>'[1]РВ Баумана'!C14+#REF!+'[1]РВ Березовая Пойма'!C14+#REF!+'[1]РВ Новикова-Прибоя'!C14+#REF!</f>
        <v>#REF!</v>
      </c>
      <c r="F14" s="91" t="e">
        <f>'[1]РВ Баумана'!D14+#REF!+'[1]РВ Березовая Пойма'!D14+#REF!+'[1]РВ Новикова-Прибоя'!D14+#REF!</f>
        <v>#REF!</v>
      </c>
      <c r="G14" s="91" t="e">
        <f t="shared" si="1"/>
        <v>#REF!</v>
      </c>
      <c r="H14" s="92" t="e">
        <f t="shared" si="2"/>
        <v>#REF!</v>
      </c>
      <c r="I14" s="92" t="e">
        <f t="shared" si="2"/>
        <v>#REF!</v>
      </c>
      <c r="J14" s="92" t="e">
        <f t="shared" si="3"/>
        <v>#REF!</v>
      </c>
      <c r="K14" s="92" t="e">
        <f t="shared" si="4"/>
        <v>#REF!</v>
      </c>
      <c r="L14" s="92" t="e">
        <f t="shared" si="5"/>
        <v>#REF!</v>
      </c>
      <c r="M14" s="2" t="str">
        <f>IF(OR(WEEKDAY(A14)=1,WEEKDAY(A14)=7,NOT(ISERROR(MATCH(A14,[1]Праздники!A:A,0)))),"Выходной","Рабочий")</f>
        <v>Выходной</v>
      </c>
    </row>
    <row r="15" spans="1:16">
      <c r="A15" s="229">
        <v>45787</v>
      </c>
      <c r="B15" s="230"/>
      <c r="C15" s="90" t="e">
        <f>'[1]РВ Баумана'!G15+#REF!+'[1]РВ Березовая Пойма'!G15+#REF!+'[1]РВ Новикова-Прибоя'!G15+#REF!</f>
        <v>#REF!</v>
      </c>
      <c r="D15" s="91" t="e">
        <f t="shared" si="0"/>
        <v>#REF!</v>
      </c>
      <c r="E15" s="91" t="e">
        <f>'[1]РВ Баумана'!C15+#REF!+'[1]РВ Березовая Пойма'!C15+#REF!+'[1]РВ Новикова-Прибоя'!C15+#REF!</f>
        <v>#REF!</v>
      </c>
      <c r="F15" s="91" t="e">
        <f>'[1]РВ Баумана'!D15+#REF!+'[1]РВ Березовая Пойма'!D15+#REF!+'[1]РВ Новикова-Прибоя'!D15+#REF!</f>
        <v>#REF!</v>
      </c>
      <c r="G15" s="91" t="e">
        <f t="shared" si="1"/>
        <v>#REF!</v>
      </c>
      <c r="H15" s="92" t="e">
        <f t="shared" si="2"/>
        <v>#REF!</v>
      </c>
      <c r="I15" s="92" t="e">
        <f t="shared" si="2"/>
        <v>#REF!</v>
      </c>
      <c r="J15" s="92" t="e">
        <f t="shared" si="3"/>
        <v>#REF!</v>
      </c>
      <c r="K15" s="92" t="e">
        <f t="shared" si="4"/>
        <v>#REF!</v>
      </c>
      <c r="L15" s="92" t="e">
        <f t="shared" si="5"/>
        <v>#REF!</v>
      </c>
      <c r="M15" s="2" t="str">
        <f>IF(OR(WEEKDAY(A15)=1,WEEKDAY(A15)=7,NOT(ISERROR(MATCH(A15,[1]Праздники!A:A,0)))),"Выходной","Рабочий")</f>
        <v>Выходной</v>
      </c>
    </row>
    <row r="16" spans="1:16">
      <c r="A16" s="229">
        <v>45788</v>
      </c>
      <c r="B16" s="230"/>
      <c r="C16" s="90" t="e">
        <f>'[1]РВ Баумана'!G16+#REF!+'[1]РВ Березовая Пойма'!G16+#REF!+'[1]РВ Новикова-Прибоя'!G16+#REF!</f>
        <v>#REF!</v>
      </c>
      <c r="D16" s="91" t="e">
        <f t="shared" si="0"/>
        <v>#REF!</v>
      </c>
      <c r="E16" s="91" t="e">
        <f>'[1]РВ Баумана'!C16+#REF!+'[1]РВ Березовая Пойма'!C16+#REF!+'[1]РВ Новикова-Прибоя'!C16+#REF!</f>
        <v>#REF!</v>
      </c>
      <c r="F16" s="91" t="e">
        <f>'[1]РВ Баумана'!D16+#REF!+'[1]РВ Березовая Пойма'!D16+#REF!+'[1]РВ Новикова-Прибоя'!D16+#REF!</f>
        <v>#REF!</v>
      </c>
      <c r="G16" s="91" t="e">
        <f t="shared" si="1"/>
        <v>#REF!</v>
      </c>
      <c r="H16" s="92" t="e">
        <f t="shared" si="2"/>
        <v>#REF!</v>
      </c>
      <c r="I16" s="92" t="e">
        <f t="shared" si="2"/>
        <v>#REF!</v>
      </c>
      <c r="J16" s="92" t="e">
        <f t="shared" si="3"/>
        <v>#REF!</v>
      </c>
      <c r="K16" s="92" t="e">
        <f t="shared" si="4"/>
        <v>#REF!</v>
      </c>
      <c r="L16" s="92" t="e">
        <f t="shared" si="5"/>
        <v>#REF!</v>
      </c>
      <c r="M16" s="2" t="str">
        <f>IF(OR(WEEKDAY(A16)=1,WEEKDAY(A16)=7,NOT(ISERROR(MATCH(A16,[1]Праздники!A:A,0)))),"Выходной","Рабочий")</f>
        <v>Выходной</v>
      </c>
    </row>
    <row r="17" spans="1:13">
      <c r="A17" s="229">
        <v>45789</v>
      </c>
      <c r="B17" s="230"/>
      <c r="C17" s="90" t="e">
        <f>'[1]РВ Баумана'!G17+#REF!+'[1]РВ Березовая Пойма'!G17+#REF!+'[1]РВ Новикова-Прибоя'!G17+#REF!</f>
        <v>#REF!</v>
      </c>
      <c r="D17" s="91" t="e">
        <f t="shared" si="0"/>
        <v>#REF!</v>
      </c>
      <c r="E17" s="91" t="e">
        <f>'[1]РВ Баумана'!C17+#REF!+'[1]РВ Березовая Пойма'!C17+#REF!+'[1]РВ Новикова-Прибоя'!C17+#REF!</f>
        <v>#REF!</v>
      </c>
      <c r="F17" s="91" t="e">
        <f>'[1]РВ Баумана'!D17+#REF!+'[1]РВ Березовая Пойма'!D17+#REF!+'[1]РВ Новикова-Прибоя'!D17+#REF!</f>
        <v>#REF!</v>
      </c>
      <c r="G17" s="91" t="e">
        <f t="shared" si="1"/>
        <v>#REF!</v>
      </c>
      <c r="H17" s="92" t="e">
        <f t="shared" si="2"/>
        <v>#REF!</v>
      </c>
      <c r="I17" s="92" t="e">
        <f t="shared" si="2"/>
        <v>#REF!</v>
      </c>
      <c r="J17" s="92" t="e">
        <f t="shared" si="3"/>
        <v>#REF!</v>
      </c>
      <c r="K17" s="92" t="e">
        <f t="shared" si="4"/>
        <v>#REF!</v>
      </c>
      <c r="L17" s="92" t="e">
        <f t="shared" si="5"/>
        <v>#REF!</v>
      </c>
      <c r="M17" s="2" t="str">
        <f>IF(OR(WEEKDAY(A17)=1,WEEKDAY(A17)=7,NOT(ISERROR(MATCH(A17,[1]Праздники!A:A,0)))),"Выходной","Рабочий")</f>
        <v>Рабочий</v>
      </c>
    </row>
    <row r="18" spans="1:13">
      <c r="A18" s="229">
        <v>45790</v>
      </c>
      <c r="B18" s="230"/>
      <c r="C18" s="90" t="e">
        <f>'[1]РВ Баумана'!G18+#REF!+'[1]РВ Березовая Пойма'!G18+#REF!+'[1]РВ Новикова-Прибоя'!G18+#REF!</f>
        <v>#REF!</v>
      </c>
      <c r="D18" s="91" t="e">
        <f t="shared" si="0"/>
        <v>#REF!</v>
      </c>
      <c r="E18" s="91" t="e">
        <f>'[1]РВ Баумана'!C18+#REF!+'[1]РВ Березовая Пойма'!C18+#REF!+'[1]РВ Новикова-Прибоя'!C18+#REF!</f>
        <v>#REF!</v>
      </c>
      <c r="F18" s="91" t="e">
        <f>'[1]РВ Баумана'!D18+#REF!+'[1]РВ Березовая Пойма'!D18+#REF!+'[1]РВ Новикова-Прибоя'!D18+#REF!</f>
        <v>#REF!</v>
      </c>
      <c r="G18" s="91" t="e">
        <f t="shared" si="1"/>
        <v>#REF!</v>
      </c>
      <c r="H18" s="92" t="e">
        <f t="shared" si="2"/>
        <v>#REF!</v>
      </c>
      <c r="I18" s="92" t="e">
        <f t="shared" si="2"/>
        <v>#REF!</v>
      </c>
      <c r="J18" s="92" t="e">
        <f t="shared" si="3"/>
        <v>#REF!</v>
      </c>
      <c r="K18" s="92" t="e">
        <f t="shared" si="4"/>
        <v>#REF!</v>
      </c>
      <c r="L18" s="92" t="e">
        <f t="shared" si="5"/>
        <v>#REF!</v>
      </c>
      <c r="M18" s="2" t="str">
        <f>IF(OR(WEEKDAY(A18)=1,WEEKDAY(A18)=7,NOT(ISERROR(MATCH(A18,[1]Праздники!A:A,0)))),"Выходной","Рабочий")</f>
        <v>Рабочий</v>
      </c>
    </row>
    <row r="19" spans="1:13">
      <c r="A19" s="229">
        <v>45791</v>
      </c>
      <c r="B19" s="230"/>
      <c r="C19" s="90" t="e">
        <f>'[1]РВ Баумана'!G19+#REF!+'[1]РВ Березовая Пойма'!G19+#REF!+'[1]РВ Новикова-Прибоя'!G19+#REF!</f>
        <v>#REF!</v>
      </c>
      <c r="D19" s="91" t="e">
        <f t="shared" si="0"/>
        <v>#REF!</v>
      </c>
      <c r="E19" s="91" t="e">
        <f>'[1]РВ Баумана'!C19+#REF!+'[1]РВ Березовая Пойма'!C19+#REF!+'[1]РВ Новикова-Прибоя'!C19+#REF!</f>
        <v>#REF!</v>
      </c>
      <c r="F19" s="91" t="e">
        <f>'[1]РВ Баумана'!D19+#REF!+'[1]РВ Березовая Пойма'!D19+#REF!+'[1]РВ Новикова-Прибоя'!D19+#REF!</f>
        <v>#REF!</v>
      </c>
      <c r="G19" s="91" t="e">
        <f t="shared" si="1"/>
        <v>#REF!</v>
      </c>
      <c r="H19" s="92" t="e">
        <f t="shared" si="2"/>
        <v>#REF!</v>
      </c>
      <c r="I19" s="92" t="e">
        <f t="shared" si="2"/>
        <v>#REF!</v>
      </c>
      <c r="J19" s="92" t="e">
        <f t="shared" si="3"/>
        <v>#REF!</v>
      </c>
      <c r="K19" s="92" t="e">
        <f t="shared" si="4"/>
        <v>#REF!</v>
      </c>
      <c r="L19" s="92" t="e">
        <f t="shared" si="5"/>
        <v>#REF!</v>
      </c>
      <c r="M19" s="2" t="str">
        <f>IF(OR(WEEKDAY(A19)=1,WEEKDAY(A19)=7,NOT(ISERROR(MATCH(A19,[1]Праздники!A:A,0)))),"Выходной","Рабочий")</f>
        <v>Рабочий</v>
      </c>
    </row>
    <row r="20" spans="1:13">
      <c r="A20" s="229">
        <v>45792</v>
      </c>
      <c r="B20" s="230"/>
      <c r="C20" s="90" t="e">
        <f>'[1]РВ Баумана'!G20+#REF!+'[1]РВ Березовая Пойма'!G20+#REF!+'[1]РВ Новикова-Прибоя'!G20+#REF!</f>
        <v>#REF!</v>
      </c>
      <c r="D20" s="91" t="e">
        <f t="shared" si="0"/>
        <v>#REF!</v>
      </c>
      <c r="E20" s="91" t="e">
        <f>'[1]РВ Баумана'!C20+#REF!+'[1]РВ Березовая Пойма'!C20+#REF!+'[1]РВ Новикова-Прибоя'!C20+#REF!</f>
        <v>#REF!</v>
      </c>
      <c r="F20" s="91" t="e">
        <f>'[1]РВ Баумана'!D20+#REF!+'[1]РВ Березовая Пойма'!D20+#REF!+'[1]РВ Новикова-Прибоя'!D20+#REF!</f>
        <v>#REF!</v>
      </c>
      <c r="G20" s="91" t="e">
        <f t="shared" si="1"/>
        <v>#REF!</v>
      </c>
      <c r="H20" s="92" t="e">
        <f t="shared" si="2"/>
        <v>#REF!</v>
      </c>
      <c r="I20" s="92" t="e">
        <f t="shared" si="2"/>
        <v>#REF!</v>
      </c>
      <c r="J20" s="92" t="e">
        <f t="shared" si="3"/>
        <v>#REF!</v>
      </c>
      <c r="K20" s="92" t="e">
        <f t="shared" si="4"/>
        <v>#REF!</v>
      </c>
      <c r="L20" s="92" t="e">
        <f t="shared" si="5"/>
        <v>#REF!</v>
      </c>
      <c r="M20" s="2" t="str">
        <f>IF(OR(WEEKDAY(A20)=1,WEEKDAY(A20)=7,NOT(ISERROR(MATCH(A20,[1]Праздники!A:A,0)))),"Выходной","Рабочий")</f>
        <v>Рабочий</v>
      </c>
    </row>
    <row r="21" spans="1:13">
      <c r="A21" s="229">
        <v>45793</v>
      </c>
      <c r="B21" s="230"/>
      <c r="C21" s="90" t="e">
        <f>'[1]РВ Баумана'!G21+#REF!+'[1]РВ Березовая Пойма'!G21+#REF!+'[1]РВ Новикова-Прибоя'!G21+#REF!</f>
        <v>#REF!</v>
      </c>
      <c r="D21" s="91" t="e">
        <f t="shared" si="0"/>
        <v>#REF!</v>
      </c>
      <c r="E21" s="91" t="e">
        <f>'[1]РВ Баумана'!C21+#REF!+'[1]РВ Березовая Пойма'!C21+#REF!+'[1]РВ Новикова-Прибоя'!C21+#REF!</f>
        <v>#REF!</v>
      </c>
      <c r="F21" s="91" t="e">
        <f>'[1]РВ Баумана'!D21+#REF!+'[1]РВ Березовая Пойма'!D21+#REF!+'[1]РВ Новикова-Прибоя'!D21+#REF!</f>
        <v>#REF!</v>
      </c>
      <c r="G21" s="91" t="e">
        <f t="shared" si="1"/>
        <v>#REF!</v>
      </c>
      <c r="H21" s="92" t="e">
        <f t="shared" si="2"/>
        <v>#REF!</v>
      </c>
      <c r="I21" s="92" t="e">
        <f t="shared" si="2"/>
        <v>#REF!</v>
      </c>
      <c r="J21" s="92" t="e">
        <f t="shared" si="3"/>
        <v>#REF!</v>
      </c>
      <c r="K21" s="92" t="e">
        <f t="shared" si="4"/>
        <v>#REF!</v>
      </c>
      <c r="L21" s="92" t="e">
        <f t="shared" si="5"/>
        <v>#REF!</v>
      </c>
      <c r="M21" s="2" t="str">
        <f>IF(OR(WEEKDAY(A21)=1,WEEKDAY(A21)=7,NOT(ISERROR(MATCH(A21,[1]Праздники!A:A,0)))),"Выходной","Рабочий")</f>
        <v>Рабочий</v>
      </c>
    </row>
    <row r="22" spans="1:13">
      <c r="A22" s="229">
        <v>45794</v>
      </c>
      <c r="B22" s="230"/>
      <c r="C22" s="90" t="e">
        <f>'[1]РВ Баумана'!G22+#REF!+'[1]РВ Березовая Пойма'!G22+#REF!+'[1]РВ Новикова-Прибоя'!G22+#REF!</f>
        <v>#REF!</v>
      </c>
      <c r="D22" s="91" t="e">
        <f t="shared" si="0"/>
        <v>#REF!</v>
      </c>
      <c r="E22" s="91" t="e">
        <f>'[1]РВ Баумана'!C22+#REF!+'[1]РВ Березовая Пойма'!C22+#REF!+'[1]РВ Новикова-Прибоя'!C22+#REF!</f>
        <v>#REF!</v>
      </c>
      <c r="F22" s="91" t="e">
        <f>'[1]РВ Баумана'!D22+#REF!+'[1]РВ Березовая Пойма'!D22+#REF!+'[1]РВ Новикова-Прибоя'!D22+#REF!</f>
        <v>#REF!</v>
      </c>
      <c r="G22" s="91" t="e">
        <f t="shared" si="1"/>
        <v>#REF!</v>
      </c>
      <c r="H22" s="92" t="e">
        <f t="shared" si="2"/>
        <v>#REF!</v>
      </c>
      <c r="I22" s="92" t="e">
        <f t="shared" si="2"/>
        <v>#REF!</v>
      </c>
      <c r="J22" s="92" t="e">
        <f t="shared" si="3"/>
        <v>#REF!</v>
      </c>
      <c r="K22" s="92" t="e">
        <f t="shared" si="4"/>
        <v>#REF!</v>
      </c>
      <c r="L22" s="92" t="e">
        <f t="shared" si="5"/>
        <v>#REF!</v>
      </c>
      <c r="M22" s="2" t="str">
        <f>IF(OR(WEEKDAY(A22)=1,WEEKDAY(A22)=7,NOT(ISERROR(MATCH(A22,[1]Праздники!A:A,0)))),"Выходной","Рабочий")</f>
        <v>Выходной</v>
      </c>
    </row>
    <row r="23" spans="1:13">
      <c r="A23" s="229">
        <v>45795</v>
      </c>
      <c r="B23" s="230"/>
      <c r="C23" s="90" t="e">
        <f>'[1]РВ Баумана'!G23+#REF!+'[1]РВ Березовая Пойма'!G23+#REF!+'[1]РВ Новикова-Прибоя'!G23+#REF!</f>
        <v>#REF!</v>
      </c>
      <c r="D23" s="91" t="e">
        <f t="shared" si="0"/>
        <v>#REF!</v>
      </c>
      <c r="E23" s="91" t="e">
        <f>'[1]РВ Баумана'!C23+#REF!+'[1]РВ Березовая Пойма'!C23+#REF!+'[1]РВ Новикова-Прибоя'!C23+#REF!</f>
        <v>#REF!</v>
      </c>
      <c r="F23" s="91" t="e">
        <f>'[1]РВ Баумана'!D23+#REF!+'[1]РВ Березовая Пойма'!D23+#REF!+'[1]РВ Новикова-Прибоя'!D23+#REF!</f>
        <v>#REF!</v>
      </c>
      <c r="G23" s="91" t="e">
        <f t="shared" si="1"/>
        <v>#REF!</v>
      </c>
      <c r="H23" s="92" t="e">
        <f t="shared" si="2"/>
        <v>#REF!</v>
      </c>
      <c r="I23" s="92" t="e">
        <f t="shared" si="2"/>
        <v>#REF!</v>
      </c>
      <c r="J23" s="92" t="e">
        <f t="shared" si="3"/>
        <v>#REF!</v>
      </c>
      <c r="K23" s="92" t="e">
        <f t="shared" si="4"/>
        <v>#REF!</v>
      </c>
      <c r="L23" s="92" t="e">
        <f t="shared" si="5"/>
        <v>#REF!</v>
      </c>
      <c r="M23" s="2" t="str">
        <f>IF(OR(WEEKDAY(A23)=1,WEEKDAY(A23)=7,NOT(ISERROR(MATCH(A23,[1]Праздники!A:A,0)))),"Выходной","Рабочий")</f>
        <v>Выходной</v>
      </c>
    </row>
    <row r="24" spans="1:13">
      <c r="A24" s="229">
        <v>45796</v>
      </c>
      <c r="B24" s="230"/>
      <c r="C24" s="90" t="e">
        <f>'[1]РВ Баумана'!G24+#REF!+'[1]РВ Березовая Пойма'!G24+#REF!+'[1]РВ Новикова-Прибоя'!G24+#REF!</f>
        <v>#REF!</v>
      </c>
      <c r="D24" s="91" t="e">
        <f t="shared" si="0"/>
        <v>#REF!</v>
      </c>
      <c r="E24" s="91" t="e">
        <f>'[1]РВ Баумана'!C24+#REF!+'[1]РВ Березовая Пойма'!C24+#REF!+'[1]РВ Новикова-Прибоя'!C24+#REF!</f>
        <v>#REF!</v>
      </c>
      <c r="F24" s="91" t="e">
        <f>'[1]РВ Баумана'!D24+#REF!+'[1]РВ Березовая Пойма'!D24+#REF!+'[1]РВ Новикова-Прибоя'!D24+#REF!</f>
        <v>#REF!</v>
      </c>
      <c r="G24" s="91" t="e">
        <f t="shared" si="1"/>
        <v>#REF!</v>
      </c>
      <c r="H24" s="92" t="e">
        <f t="shared" si="2"/>
        <v>#REF!</v>
      </c>
      <c r="I24" s="92" t="e">
        <f t="shared" si="2"/>
        <v>#REF!</v>
      </c>
      <c r="J24" s="92" t="e">
        <f t="shared" si="3"/>
        <v>#REF!</v>
      </c>
      <c r="K24" s="92" t="e">
        <f t="shared" si="4"/>
        <v>#REF!</v>
      </c>
      <c r="L24" s="92" t="e">
        <f t="shared" si="5"/>
        <v>#REF!</v>
      </c>
      <c r="M24" s="2" t="str">
        <f>IF(OR(WEEKDAY(A24)=1,WEEKDAY(A24)=7,NOT(ISERROR(MATCH(A24,[1]Праздники!A:A,0)))),"Выходной","Рабочий")</f>
        <v>Рабочий</v>
      </c>
    </row>
    <row r="25" spans="1:13">
      <c r="A25" s="229">
        <v>45797</v>
      </c>
      <c r="B25" s="230"/>
      <c r="C25" s="90" t="e">
        <f>'[1]РВ Баумана'!G25+#REF!+'[1]РВ Березовая Пойма'!G25+#REF!+'[1]РВ Новикова-Прибоя'!G25+#REF!</f>
        <v>#REF!</v>
      </c>
      <c r="D25" s="91" t="e">
        <f t="shared" si="0"/>
        <v>#REF!</v>
      </c>
      <c r="E25" s="91" t="e">
        <f>'[1]РВ Баумана'!C25+#REF!+'[1]РВ Березовая Пойма'!C25+#REF!+'[1]РВ Новикова-Прибоя'!C25+#REF!</f>
        <v>#REF!</v>
      </c>
      <c r="F25" s="91" t="e">
        <f>'[1]РВ Баумана'!D25+#REF!+'[1]РВ Березовая Пойма'!D25+#REF!+'[1]РВ Новикова-Прибоя'!D25+#REF!</f>
        <v>#REF!</v>
      </c>
      <c r="G25" s="91" t="e">
        <f t="shared" si="1"/>
        <v>#REF!</v>
      </c>
      <c r="H25" s="92" t="e">
        <f t="shared" si="2"/>
        <v>#REF!</v>
      </c>
      <c r="I25" s="92" t="e">
        <f t="shared" si="2"/>
        <v>#REF!</v>
      </c>
      <c r="J25" s="92" t="e">
        <f t="shared" si="3"/>
        <v>#REF!</v>
      </c>
      <c r="K25" s="92" t="e">
        <f t="shared" si="4"/>
        <v>#REF!</v>
      </c>
      <c r="L25" s="92" t="e">
        <f t="shared" si="5"/>
        <v>#REF!</v>
      </c>
      <c r="M25" s="2" t="str">
        <f>IF(OR(WEEKDAY(A25)=1,WEEKDAY(A25)=7,NOT(ISERROR(MATCH(A25,[1]Праздники!A:A,0)))),"Выходной","Рабочий")</f>
        <v>Рабочий</v>
      </c>
    </row>
    <row r="26" spans="1:13">
      <c r="A26" s="229">
        <v>45798</v>
      </c>
      <c r="B26" s="230"/>
      <c r="C26" s="90" t="e">
        <f>'[1]РВ Баумана'!G26+#REF!+'[1]РВ Березовая Пойма'!G26+#REF!+'[1]РВ Новикова-Прибоя'!G26+#REF!</f>
        <v>#REF!</v>
      </c>
      <c r="D26" s="91" t="e">
        <f t="shared" si="0"/>
        <v>#REF!</v>
      </c>
      <c r="E26" s="91" t="e">
        <f>'[1]РВ Баумана'!C26+#REF!+'[1]РВ Березовая Пойма'!C26+#REF!+'[1]РВ Новикова-Прибоя'!C26+#REF!</f>
        <v>#REF!</v>
      </c>
      <c r="F26" s="91" t="e">
        <f>'[1]РВ Баумана'!D26+#REF!+'[1]РВ Березовая Пойма'!D26+#REF!+'[1]РВ Новикова-Прибоя'!D26+#REF!</f>
        <v>#REF!</v>
      </c>
      <c r="G26" s="91" t="e">
        <f t="shared" si="1"/>
        <v>#REF!</v>
      </c>
      <c r="H26" s="92" t="e">
        <f t="shared" si="2"/>
        <v>#REF!</v>
      </c>
      <c r="I26" s="92" t="e">
        <f t="shared" si="2"/>
        <v>#REF!</v>
      </c>
      <c r="J26" s="92" t="e">
        <f t="shared" si="3"/>
        <v>#REF!</v>
      </c>
      <c r="K26" s="92" t="e">
        <f t="shared" si="4"/>
        <v>#REF!</v>
      </c>
      <c r="L26" s="92" t="e">
        <f t="shared" si="5"/>
        <v>#REF!</v>
      </c>
      <c r="M26" s="2" t="str">
        <f>IF(OR(WEEKDAY(A26)=1,WEEKDAY(A26)=7,NOT(ISERROR(MATCH(A26,[1]Праздники!A:A,0)))),"Выходной","Рабочий")</f>
        <v>Рабочий</v>
      </c>
    </row>
    <row r="27" spans="1:13" ht="15" customHeight="1">
      <c r="A27" s="229">
        <v>45799</v>
      </c>
      <c r="B27" s="230"/>
      <c r="C27" s="90" t="e">
        <f>'[1]РВ Баумана'!G27+#REF!+'[1]РВ Березовая Пойма'!G27+#REF!+'[1]РВ Новикова-Прибоя'!G27+#REF!</f>
        <v>#REF!</v>
      </c>
      <c r="D27" s="91" t="e">
        <f t="shared" si="0"/>
        <v>#REF!</v>
      </c>
      <c r="E27" s="91" t="e">
        <f>'[1]РВ Баумана'!C27+#REF!+'[1]РВ Березовая Пойма'!C27+#REF!+'[1]РВ Новикова-Прибоя'!C27+#REF!</f>
        <v>#REF!</v>
      </c>
      <c r="F27" s="91" t="e">
        <f>'[1]РВ Баумана'!D27+#REF!+'[1]РВ Березовая Пойма'!D27+#REF!+'[1]РВ Новикова-Прибоя'!D27+#REF!</f>
        <v>#REF!</v>
      </c>
      <c r="G27" s="91" t="e">
        <f t="shared" si="1"/>
        <v>#REF!</v>
      </c>
      <c r="H27" s="92" t="e">
        <f t="shared" si="2"/>
        <v>#REF!</v>
      </c>
      <c r="I27" s="92" t="e">
        <f t="shared" si="2"/>
        <v>#REF!</v>
      </c>
      <c r="J27" s="92" t="e">
        <f t="shared" si="3"/>
        <v>#REF!</v>
      </c>
      <c r="K27" s="92" t="e">
        <f t="shared" si="4"/>
        <v>#REF!</v>
      </c>
      <c r="L27" s="92" t="e">
        <f t="shared" si="5"/>
        <v>#REF!</v>
      </c>
      <c r="M27" s="2" t="str">
        <f>IF(OR(WEEKDAY(A27)=1,WEEKDAY(A27)=7,NOT(ISERROR(MATCH(A27,[1]Праздники!A:A,0)))),"Выходной","Рабочий")</f>
        <v>Рабочий</v>
      </c>
    </row>
    <row r="28" spans="1:13">
      <c r="A28" s="229">
        <v>45800</v>
      </c>
      <c r="B28" s="230"/>
      <c r="C28" s="90" t="e">
        <f>'[1]РВ Баумана'!G28+#REF!+'[1]РВ Березовая Пойма'!G28+#REF!+'[1]РВ Новикова-Прибоя'!G28+#REF!</f>
        <v>#REF!</v>
      </c>
      <c r="D28" s="91" t="e">
        <f t="shared" si="0"/>
        <v>#REF!</v>
      </c>
      <c r="E28" s="91" t="e">
        <f>'[1]РВ Баумана'!C28+#REF!+'[1]РВ Березовая Пойма'!C28+#REF!+'[1]РВ Новикова-Прибоя'!C28+#REF!</f>
        <v>#REF!</v>
      </c>
      <c r="F28" s="91" t="e">
        <f>'[1]РВ Баумана'!D28+#REF!+'[1]РВ Березовая Пойма'!D28+#REF!+'[1]РВ Новикова-Прибоя'!D28+#REF!</f>
        <v>#REF!</v>
      </c>
      <c r="G28" s="91" t="e">
        <f t="shared" si="1"/>
        <v>#REF!</v>
      </c>
      <c r="H28" s="92" t="e">
        <f t="shared" si="2"/>
        <v>#REF!</v>
      </c>
      <c r="I28" s="92" t="e">
        <f t="shared" si="2"/>
        <v>#REF!</v>
      </c>
      <c r="J28" s="92" t="e">
        <f t="shared" si="3"/>
        <v>#REF!</v>
      </c>
      <c r="K28" s="92" t="e">
        <f t="shared" si="4"/>
        <v>#REF!</v>
      </c>
      <c r="L28" s="92" t="e">
        <f t="shared" si="5"/>
        <v>#REF!</v>
      </c>
      <c r="M28" s="2" t="str">
        <f>IF(OR(WEEKDAY(A28)=1,WEEKDAY(A28)=7,NOT(ISERROR(MATCH(A28,[1]Праздники!A:A,0)))),"Выходной","Рабочий")</f>
        <v>Рабочий</v>
      </c>
    </row>
    <row r="29" spans="1:13">
      <c r="A29" s="229">
        <v>45801</v>
      </c>
      <c r="B29" s="230"/>
      <c r="C29" s="90" t="e">
        <f>'[1]РВ Баумана'!G29+#REF!+'[1]РВ Березовая Пойма'!G29+#REF!+'[1]РВ Новикова-Прибоя'!G29+#REF!</f>
        <v>#REF!</v>
      </c>
      <c r="D29" s="91" t="e">
        <f t="shared" si="0"/>
        <v>#REF!</v>
      </c>
      <c r="E29" s="91" t="e">
        <f>'[1]РВ Баумана'!C29+#REF!+'[1]РВ Березовая Пойма'!C29+#REF!+'[1]РВ Новикова-Прибоя'!C29+#REF!</f>
        <v>#REF!</v>
      </c>
      <c r="F29" s="91" t="e">
        <f>'[1]РВ Баумана'!D29+#REF!+'[1]РВ Березовая Пойма'!D29+#REF!+'[1]РВ Новикова-Прибоя'!D29+#REF!</f>
        <v>#REF!</v>
      </c>
      <c r="G29" s="91" t="e">
        <f t="shared" si="1"/>
        <v>#REF!</v>
      </c>
      <c r="H29" s="92" t="e">
        <f t="shared" si="2"/>
        <v>#REF!</v>
      </c>
      <c r="I29" s="92" t="e">
        <f t="shared" si="2"/>
        <v>#REF!</v>
      </c>
      <c r="J29" s="92" t="e">
        <f t="shared" si="3"/>
        <v>#REF!</v>
      </c>
      <c r="K29" s="92" t="e">
        <f t="shared" si="4"/>
        <v>#REF!</v>
      </c>
      <c r="L29" s="92" t="e">
        <f t="shared" si="5"/>
        <v>#REF!</v>
      </c>
      <c r="M29" s="2" t="str">
        <f>IF(OR(WEEKDAY(A29)=1,WEEKDAY(A29)=7,NOT(ISERROR(MATCH(A29,[1]Праздники!A:A,0)))),"Выходной","Рабочий")</f>
        <v>Выходной</v>
      </c>
    </row>
    <row r="30" spans="1:13">
      <c r="A30" s="229">
        <v>45802</v>
      </c>
      <c r="B30" s="230"/>
      <c r="C30" s="90" t="e">
        <f>'[1]РВ Баумана'!G30+#REF!+'[1]РВ Березовая Пойма'!G30+#REF!+'[1]РВ Новикова-Прибоя'!G30+#REF!</f>
        <v>#REF!</v>
      </c>
      <c r="D30" s="91" t="e">
        <f t="shared" si="0"/>
        <v>#REF!</v>
      </c>
      <c r="E30" s="91" t="e">
        <f>'[1]РВ Баумана'!C30+#REF!+'[1]РВ Березовая Пойма'!C30+#REF!+'[1]РВ Новикова-Прибоя'!C30+#REF!</f>
        <v>#REF!</v>
      </c>
      <c r="F30" s="91" t="e">
        <f>'[1]РВ Баумана'!D30+#REF!+'[1]РВ Березовая Пойма'!D30+#REF!+'[1]РВ Новикова-Прибоя'!D30+#REF!</f>
        <v>#REF!</v>
      </c>
      <c r="G30" s="91" t="e">
        <f t="shared" si="1"/>
        <v>#REF!</v>
      </c>
      <c r="H30" s="92" t="e">
        <f t="shared" si="2"/>
        <v>#REF!</v>
      </c>
      <c r="I30" s="92" t="e">
        <f t="shared" si="2"/>
        <v>#REF!</v>
      </c>
      <c r="J30" s="92" t="e">
        <f t="shared" si="3"/>
        <v>#REF!</v>
      </c>
      <c r="K30" s="92" t="e">
        <f t="shared" si="4"/>
        <v>#REF!</v>
      </c>
      <c r="L30" s="92" t="e">
        <f t="shared" si="5"/>
        <v>#REF!</v>
      </c>
      <c r="M30" s="2" t="str">
        <f>IF(OR(WEEKDAY(A30)=1,WEEKDAY(A30)=7,NOT(ISERROR(MATCH(A30,[1]Праздники!A:A,0)))),"Выходной","Рабочий")</f>
        <v>Выходной</v>
      </c>
    </row>
    <row r="31" spans="1:13">
      <c r="A31" s="229">
        <v>45803</v>
      </c>
      <c r="B31" s="230"/>
      <c r="C31" s="90" t="e">
        <f>'[1]РВ Баумана'!G31+#REF!+'[1]РВ Березовая Пойма'!G31+#REF!+'[1]РВ Новикова-Прибоя'!G31+#REF!</f>
        <v>#REF!</v>
      </c>
      <c r="D31" s="91" t="e">
        <f t="shared" si="0"/>
        <v>#REF!</v>
      </c>
      <c r="E31" s="91" t="e">
        <f>'[1]РВ Баумана'!C31+#REF!+'[1]РВ Березовая Пойма'!C31+#REF!+'[1]РВ Новикова-Прибоя'!C31+#REF!</f>
        <v>#REF!</v>
      </c>
      <c r="F31" s="91" t="e">
        <f>'[1]РВ Баумана'!D31+#REF!+'[1]РВ Березовая Пойма'!D31+#REF!+'[1]РВ Новикова-Прибоя'!D31+#REF!</f>
        <v>#REF!</v>
      </c>
      <c r="G31" s="91" t="e">
        <f t="shared" si="1"/>
        <v>#REF!</v>
      </c>
      <c r="H31" s="92" t="e">
        <f t="shared" si="2"/>
        <v>#REF!</v>
      </c>
      <c r="I31" s="92" t="e">
        <f t="shared" si="2"/>
        <v>#REF!</v>
      </c>
      <c r="J31" s="92" t="e">
        <f t="shared" si="3"/>
        <v>#REF!</v>
      </c>
      <c r="K31" s="92" t="e">
        <f t="shared" si="4"/>
        <v>#REF!</v>
      </c>
      <c r="L31" s="92" t="e">
        <f t="shared" si="5"/>
        <v>#REF!</v>
      </c>
      <c r="M31" s="2" t="str">
        <f>IF(OR(WEEKDAY(A31)=1,WEEKDAY(A31)=7,NOT(ISERROR(MATCH(A31,[1]Праздники!A:A,0)))),"Выходной","Рабочий")</f>
        <v>Рабочий</v>
      </c>
    </row>
    <row r="32" spans="1:13">
      <c r="A32" s="229">
        <v>45804</v>
      </c>
      <c r="B32" s="230"/>
      <c r="C32" s="90" t="e">
        <f>'[1]РВ Баумана'!G32+#REF!+'[1]РВ Березовая Пойма'!G32+#REF!+'[1]РВ Новикова-Прибоя'!G32+#REF!</f>
        <v>#REF!</v>
      </c>
      <c r="D32" s="91" t="e">
        <f t="shared" si="0"/>
        <v>#REF!</v>
      </c>
      <c r="E32" s="91" t="e">
        <f>'[1]РВ Баумана'!C32+#REF!+'[1]РВ Березовая Пойма'!C32+#REF!+'[1]РВ Новикова-Прибоя'!C32+#REF!</f>
        <v>#REF!</v>
      </c>
      <c r="F32" s="91" t="e">
        <f>'[1]РВ Баумана'!D32+#REF!+'[1]РВ Березовая Пойма'!D32+#REF!+'[1]РВ Новикова-Прибоя'!D32+#REF!</f>
        <v>#REF!</v>
      </c>
      <c r="G32" s="91" t="e">
        <f t="shared" si="1"/>
        <v>#REF!</v>
      </c>
      <c r="H32" s="92" t="e">
        <f t="shared" si="2"/>
        <v>#REF!</v>
      </c>
      <c r="I32" s="92" t="e">
        <f t="shared" si="2"/>
        <v>#REF!</v>
      </c>
      <c r="J32" s="92" t="e">
        <f t="shared" si="3"/>
        <v>#REF!</v>
      </c>
      <c r="K32" s="92" t="e">
        <f t="shared" si="4"/>
        <v>#REF!</v>
      </c>
      <c r="L32" s="92" t="e">
        <f t="shared" si="5"/>
        <v>#REF!</v>
      </c>
      <c r="M32" s="2" t="str">
        <f>IF(OR(WEEKDAY(A32)=1,WEEKDAY(A32)=7,NOT(ISERROR(MATCH(A32,[1]Праздники!A:A,0)))),"Выходной","Рабочий")</f>
        <v>Рабочий</v>
      </c>
    </row>
    <row r="33" spans="1:14">
      <c r="A33" s="229">
        <v>45805</v>
      </c>
      <c r="B33" s="230"/>
      <c r="C33" s="90" t="e">
        <f>'[1]РВ Баумана'!G33+#REF!+'[1]РВ Березовая Пойма'!G33+#REF!+'[1]РВ Новикова-Прибоя'!G33+#REF!</f>
        <v>#REF!</v>
      </c>
      <c r="D33" s="91" t="e">
        <f t="shared" si="0"/>
        <v>#REF!</v>
      </c>
      <c r="E33" s="91" t="e">
        <f>'[1]РВ Баумана'!C33+#REF!+'[1]РВ Березовая Пойма'!C33+#REF!+'[1]РВ Новикова-Прибоя'!C33+#REF!</f>
        <v>#REF!</v>
      </c>
      <c r="F33" s="91" t="e">
        <f>'[1]РВ Баумана'!D33+#REF!+'[1]РВ Березовая Пойма'!D33+#REF!+'[1]РВ Новикова-Прибоя'!D33+#REF!</f>
        <v>#REF!</v>
      </c>
      <c r="G33" s="91" t="e">
        <f t="shared" si="1"/>
        <v>#REF!</v>
      </c>
      <c r="H33" s="92" t="e">
        <f t="shared" si="2"/>
        <v>#REF!</v>
      </c>
      <c r="I33" s="92" t="e">
        <f t="shared" si="2"/>
        <v>#REF!</v>
      </c>
      <c r="J33" s="92" t="e">
        <f t="shared" si="3"/>
        <v>#REF!</v>
      </c>
      <c r="K33" s="92" t="e">
        <f t="shared" si="4"/>
        <v>#REF!</v>
      </c>
      <c r="L33" s="92" t="e">
        <f t="shared" si="5"/>
        <v>#REF!</v>
      </c>
      <c r="M33" s="2" t="str">
        <f>IF(OR(WEEKDAY(A33)=1,WEEKDAY(A33)=7,NOT(ISERROR(MATCH(A33,[1]Праздники!A:A,0)))),"Выходной","Рабочий")</f>
        <v>Рабочий</v>
      </c>
    </row>
    <row r="34" spans="1:14">
      <c r="A34" s="229">
        <v>45806</v>
      </c>
      <c r="B34" s="230"/>
      <c r="C34" s="90" t="e">
        <f>'[1]РВ Баумана'!G34+#REF!+'[1]РВ Березовая Пойма'!G34+#REF!+'[1]РВ Новикова-Прибоя'!G34+#REF!</f>
        <v>#REF!</v>
      </c>
      <c r="D34" s="91" t="e">
        <f t="shared" si="0"/>
        <v>#REF!</v>
      </c>
      <c r="E34" s="91" t="e">
        <f>'[1]РВ Баумана'!C34+#REF!+'[1]РВ Березовая Пойма'!C34+#REF!+'[1]РВ Новикова-Прибоя'!C34+#REF!</f>
        <v>#REF!</v>
      </c>
      <c r="F34" s="91" t="e">
        <f>'[1]РВ Баумана'!D34+#REF!+'[1]РВ Березовая Пойма'!D34+#REF!+'[1]РВ Новикова-Прибоя'!D34+#REF!</f>
        <v>#REF!</v>
      </c>
      <c r="G34" s="91" t="e">
        <f t="shared" si="1"/>
        <v>#REF!</v>
      </c>
      <c r="H34" s="92" t="e">
        <f t="shared" si="2"/>
        <v>#REF!</v>
      </c>
      <c r="I34" s="92" t="e">
        <f t="shared" si="2"/>
        <v>#REF!</v>
      </c>
      <c r="J34" s="92" t="e">
        <f t="shared" si="3"/>
        <v>#REF!</v>
      </c>
      <c r="K34" s="92" t="e">
        <f t="shared" si="4"/>
        <v>#REF!</v>
      </c>
      <c r="L34" s="92" t="e">
        <f t="shared" si="5"/>
        <v>#REF!</v>
      </c>
      <c r="M34" s="2" t="str">
        <f>IF(OR(WEEKDAY(A34)=1,WEEKDAY(A34)=7,NOT(ISERROR(MATCH(A34,[1]Праздники!A:A,0)))),"Выходной","Рабочий")</f>
        <v>Рабочий</v>
      </c>
    </row>
    <row r="35" spans="1:14">
      <c r="A35" s="229">
        <v>45807</v>
      </c>
      <c r="B35" s="230"/>
      <c r="C35" s="90" t="e">
        <f>'[1]РВ Баумана'!G35+#REF!+'[1]РВ Березовая Пойма'!G35+#REF!+'[1]РВ Новикова-Прибоя'!G35+#REF!</f>
        <v>#REF!</v>
      </c>
      <c r="D35" s="91" t="e">
        <f t="shared" si="0"/>
        <v>#REF!</v>
      </c>
      <c r="E35" s="91" t="e">
        <f>'[1]РВ Баумана'!C35+#REF!+'[1]РВ Березовая Пойма'!C35+#REF!+'[1]РВ Новикова-Прибоя'!C35+#REF!</f>
        <v>#REF!</v>
      </c>
      <c r="F35" s="91" t="e">
        <f>'[1]РВ Баумана'!D35+#REF!+'[1]РВ Березовая Пойма'!D35+#REF!+'[1]РВ Новикова-Прибоя'!D35+#REF!</f>
        <v>#REF!</v>
      </c>
      <c r="G35" s="91" t="e">
        <f t="shared" si="1"/>
        <v>#REF!</v>
      </c>
      <c r="H35" s="92" t="e">
        <f t="shared" si="2"/>
        <v>#REF!</v>
      </c>
      <c r="I35" s="92" t="e">
        <f t="shared" si="2"/>
        <v>#REF!</v>
      </c>
      <c r="J35" s="92" t="e">
        <f t="shared" si="3"/>
        <v>#REF!</v>
      </c>
      <c r="K35" s="92" t="e">
        <f t="shared" si="4"/>
        <v>#REF!</v>
      </c>
      <c r="L35" s="92" t="e">
        <f t="shared" si="5"/>
        <v>#REF!</v>
      </c>
      <c r="M35" s="2" t="str">
        <f>IF(OR(WEEKDAY(A35)=1,WEEKDAY(A35)=7,NOT(ISERROR(MATCH(A35,[1]Праздники!A:A,0)))),"Выходной","Рабочий")</f>
        <v>Рабочий</v>
      </c>
    </row>
    <row r="36" spans="1:14" ht="15.75" thickBot="1">
      <c r="A36" s="229">
        <v>45808</v>
      </c>
      <c r="B36" s="230"/>
      <c r="C36" s="90" t="e">
        <f>'[1]РВ Баумана'!G36+#REF!+'[1]РВ Березовая Пойма'!G36+#REF!+'[1]РВ Новикова-Прибоя'!G36+#REF!</f>
        <v>#REF!</v>
      </c>
      <c r="D36" s="91" t="e">
        <f t="shared" si="0"/>
        <v>#REF!</v>
      </c>
      <c r="E36" s="91" t="e">
        <f>'[1]РВ Баумана'!C36+#REF!+'[1]РВ Березовая Пойма'!C36+#REF!+'[1]РВ Новикова-Прибоя'!C36+#REF!</f>
        <v>#REF!</v>
      </c>
      <c r="F36" s="91" t="e">
        <f>'[1]РВ Баумана'!D36+#REF!+'[1]РВ Березовая Пойма'!D36+#REF!+'[1]РВ Новикова-Прибоя'!D36+#REF!</f>
        <v>#REF!</v>
      </c>
      <c r="G36" s="91" t="e">
        <f t="shared" si="1"/>
        <v>#REF!</v>
      </c>
      <c r="H36" s="92" t="e">
        <f t="shared" si="2"/>
        <v>#REF!</v>
      </c>
      <c r="I36" s="92" t="e">
        <f t="shared" si="2"/>
        <v>#REF!</v>
      </c>
      <c r="J36" s="92" t="e">
        <f t="shared" si="3"/>
        <v>#REF!</v>
      </c>
      <c r="K36" s="92" t="e">
        <f t="shared" si="4"/>
        <v>#REF!</v>
      </c>
      <c r="L36" s="92" t="e">
        <f t="shared" si="5"/>
        <v>#REF!</v>
      </c>
      <c r="M36" s="2" t="str">
        <f>IF(OR(WEEKDAY(A36)=1,WEEKDAY(A36)=7,NOT(ISERROR(MATCH(A36,[1]Праздники!A:A,0)))),"Выходной","Рабочий")</f>
        <v>Выходной</v>
      </c>
    </row>
    <row r="37" spans="1:14" ht="15.75" thickBot="1">
      <c r="C37" s="93" t="e">
        <f t="shared" ref="C37:L37" si="6">SUM(C6:C36)</f>
        <v>#REF!</v>
      </c>
      <c r="D37" s="93" t="e">
        <f t="shared" si="6"/>
        <v>#REF!</v>
      </c>
      <c r="E37" s="93" t="e">
        <f t="shared" si="6"/>
        <v>#REF!</v>
      </c>
      <c r="F37" s="93" t="e">
        <f t="shared" si="6"/>
        <v>#REF!</v>
      </c>
      <c r="G37" s="93" t="e">
        <f t="shared" si="6"/>
        <v>#REF!</v>
      </c>
      <c r="H37" s="94" t="e">
        <f t="shared" si="6"/>
        <v>#REF!</v>
      </c>
      <c r="I37" s="94" t="e">
        <f t="shared" si="6"/>
        <v>#REF!</v>
      </c>
      <c r="J37" s="94" t="e">
        <f t="shared" si="6"/>
        <v>#REF!</v>
      </c>
      <c r="K37" s="94" t="e">
        <f t="shared" si="6"/>
        <v>#REF!</v>
      </c>
      <c r="L37" s="95" t="e">
        <f t="shared" si="6"/>
        <v>#REF!</v>
      </c>
    </row>
    <row r="38" spans="1:14" ht="15.75" thickBot="1">
      <c r="C38" s="89"/>
      <c r="H38" s="89"/>
      <c r="I38" s="89"/>
      <c r="J38" s="89"/>
      <c r="K38" s="89"/>
      <c r="L38" s="96" t="e">
        <f>L37*1.2</f>
        <v>#REF!</v>
      </c>
      <c r="N38" s="97"/>
    </row>
    <row r="39" spans="1:14">
      <c r="C39" s="89"/>
      <c r="H39" s="89"/>
      <c r="I39" s="89"/>
      <c r="J39" s="89"/>
      <c r="K39" s="89"/>
    </row>
    <row r="40" spans="1:14">
      <c r="C40" s="89"/>
      <c r="H40" s="89"/>
      <c r="I40" s="89"/>
      <c r="J40" s="89"/>
      <c r="K40" s="89"/>
    </row>
  </sheetData>
  <mergeCells count="42">
    <mergeCell ref="L4:L5"/>
    <mergeCell ref="A6:B6"/>
    <mergeCell ref="A4:B5"/>
    <mergeCell ref="C4:C5"/>
    <mergeCell ref="D4:D5"/>
    <mergeCell ref="E4:E5"/>
    <mergeCell ref="F4:F5"/>
    <mergeCell ref="G4:G5"/>
    <mergeCell ref="A12:B12"/>
    <mergeCell ref="H4:H5"/>
    <mergeCell ref="I4:I5"/>
    <mergeCell ref="J4:J5"/>
    <mergeCell ref="K4:K5"/>
    <mergeCell ref="A7:B7"/>
    <mergeCell ref="A8:B8"/>
    <mergeCell ref="A9:B9"/>
    <mergeCell ref="A10:B10"/>
    <mergeCell ref="A11:B11"/>
    <mergeCell ref="A24:B24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36:B36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57</vt:i4>
      </vt:variant>
    </vt:vector>
  </HeadingPairs>
  <TitlesOfParts>
    <vt:vector size="57" baseType="lpstr">
      <vt:lpstr>Лист1</vt:lpstr>
      <vt:lpstr>Биаксплен Новосибирск</vt:lpstr>
      <vt:lpstr>ИТОГО</vt:lpstr>
      <vt:lpstr>Другое</vt:lpstr>
      <vt:lpstr>Нижнекамск завод</vt:lpstr>
      <vt:lpstr>Резерв</vt:lpstr>
      <vt:lpstr>РВ Баумана</vt:lpstr>
      <vt:lpstr>РВ Березовая Пойма</vt:lpstr>
      <vt:lpstr>РВ Новикова-Прибоя</vt:lpstr>
      <vt:lpstr>Нижнекамск экспорт</vt:lpstr>
      <vt:lpstr>Баумана экспорт</vt:lpstr>
      <vt:lpstr>Зеленодольск экспорт</vt:lpstr>
      <vt:lpstr>Литейные решения</vt:lpstr>
      <vt:lpstr>ЛС-Техномет</vt:lpstr>
      <vt:lpstr>Сандекс</vt:lpstr>
      <vt:lpstr>СтройТех</vt:lpstr>
      <vt:lpstr>Доктор Франк</vt:lpstr>
      <vt:lpstr>Ергарда</vt:lpstr>
      <vt:lpstr>Зеленодольск Доп услуги</vt:lpstr>
      <vt:lpstr>Казань_Приволжская экспорт</vt:lpstr>
      <vt:lpstr>Казань_Автосервисная экспорт</vt:lpstr>
      <vt:lpstr>Казань_Автосервисная Доп услуги</vt:lpstr>
      <vt:lpstr>Казань_Приволжская Доп услуги</vt:lpstr>
      <vt:lpstr>Новикова-Прибоя Доп услуги</vt:lpstr>
      <vt:lpstr>Екатеринбург экспорт</vt:lpstr>
      <vt:lpstr>ИП Ксендз Нижнекамск</vt:lpstr>
      <vt:lpstr>Баумана KPI</vt:lpstr>
      <vt:lpstr>Баумана Полимеры</vt:lpstr>
      <vt:lpstr>Баумана Полиом</vt:lpstr>
      <vt:lpstr>Баумана Каучук</vt:lpstr>
      <vt:lpstr>Екатеринбург KPI</vt:lpstr>
      <vt:lpstr>Екатеринбург Полимеры</vt:lpstr>
      <vt:lpstr>Екатеринбург Полиом</vt:lpstr>
      <vt:lpstr>Екатеринбург НПЭГ</vt:lpstr>
      <vt:lpstr>Зеленодольск Полимеры</vt:lpstr>
      <vt:lpstr>Данафлекс Зеленодольск</vt:lpstr>
      <vt:lpstr>Казань_Автосервисная Полимеры</vt:lpstr>
      <vt:lpstr>Казань_Автосервисная Полиом</vt:lpstr>
      <vt:lpstr>Казань_Приволжская Полимеры</vt:lpstr>
      <vt:lpstr>Нижнекамск Каучук</vt:lpstr>
      <vt:lpstr>Нижнекамск НПЭГ</vt:lpstr>
      <vt:lpstr>Нижнекамск ПСОН</vt:lpstr>
      <vt:lpstr>Нижнекамск СБС</vt:lpstr>
      <vt:lpstr>Новикова-Прибоя KPI</vt:lpstr>
      <vt:lpstr>Новикова-Прибоя Полимеры</vt:lpstr>
      <vt:lpstr>Новикова-Прибоя Полиом</vt:lpstr>
      <vt:lpstr>Новосибирск KPI</vt:lpstr>
      <vt:lpstr>Новосибирск Полимеры</vt:lpstr>
      <vt:lpstr>Новосибирск Полиом</vt:lpstr>
      <vt:lpstr>Новосибирск Порошок</vt:lpstr>
      <vt:lpstr>Новосибирск_Пасечная Порошок</vt:lpstr>
      <vt:lpstr>Праздники</vt:lpstr>
      <vt:lpstr>АВР Березовая Пойма</vt:lpstr>
      <vt:lpstr>АВР Новикова</vt:lpstr>
      <vt:lpstr>АВР Баумана</vt:lpstr>
      <vt:lpstr>Окская Мешки</vt:lpstr>
      <vt:lpstr>Общее и резерв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2026-01-14T17:02:12Z</dcterms:created>
  <dcterms:modified xsi:type="dcterms:W3CDTF">2026-01-14T18:11:47Z</dcterms:modified>
</cp:coreProperties>
</file>
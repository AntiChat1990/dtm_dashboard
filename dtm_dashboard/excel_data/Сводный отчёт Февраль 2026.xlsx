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WebstormProjects\dtm\dtm_dashboard\excel_data\"/>
    </mc:Choice>
  </mc:AlternateContent>
  <xr:revisionPtr revIDLastSave="0" documentId="13_ncr:1_{948CC014-D0C9-4122-A849-C29E7D859E84}" xr6:coauthVersionLast="47" xr6:coauthVersionMax="47" xr10:uidLastSave="{00000000-0000-0000-0000-000000000000}"/>
  <bookViews>
    <workbookView xWindow="-120" yWindow="-120" windowWidth="29040" windowHeight="15840" firstSheet="1" activeTab="3" xr2:uid="{DB2311CB-FD16-4CF6-8115-99FCCD5A7754}"/>
  </bookViews>
  <sheets>
    <sheet name="Лист1" sheetId="1" r:id="rId1"/>
    <sheet name="Биаксплен Новосибирск" sheetId="2" r:id="rId2"/>
    <sheet name="ИТОГО" sheetId="3" r:id="rId3"/>
    <sheet name="Сводка" sheetId="56" r:id="rId4"/>
    <sheet name="Другое" sheetId="4" r:id="rId5"/>
    <sheet name="Нижнекамск завод" sheetId="5" r:id="rId6"/>
    <sheet name="Резерв" sheetId="7" r:id="rId7"/>
    <sheet name="РВ Баумана" sheetId="8" r:id="rId8"/>
    <sheet name="РВ Березовая Пойма" sheetId="10" r:id="rId9"/>
    <sheet name="РВ Новикова-Прибоя" sheetId="11" r:id="rId10"/>
    <sheet name="Нижнекамск экспорт" sheetId="16" r:id="rId11"/>
    <sheet name="Баумана экспорт" sheetId="17" r:id="rId12"/>
    <sheet name="Зеленодольск экспорт" sheetId="18" r:id="rId13"/>
    <sheet name="Литейные решения" sheetId="19" r:id="rId14"/>
    <sheet name="ЛС-Техномет" sheetId="20" r:id="rId15"/>
    <sheet name="Сандекс" sheetId="21" r:id="rId16"/>
    <sheet name="СтройТех" sheetId="22" r:id="rId17"/>
    <sheet name="Доктор Франк" sheetId="23" r:id="rId18"/>
    <sheet name="Ергарда" sheetId="24" r:id="rId19"/>
    <sheet name="Зеленодольск Доп услуги" sheetId="25" r:id="rId20"/>
    <sheet name="Казань_Приволжская экспорт" sheetId="26" r:id="rId21"/>
    <sheet name="Казань_Автосервисная экспорт" sheetId="27" r:id="rId22"/>
    <sheet name="Екатеринбург экспорт" sheetId="28" r:id="rId23"/>
    <sheet name="Баумана KPI" sheetId="29" r:id="rId24"/>
    <sheet name="Баумана Полимеры" sheetId="30" r:id="rId25"/>
    <sheet name="Баумана Полиом" sheetId="31" r:id="rId26"/>
    <sheet name="Лист1 (2)" sheetId="32" r:id="rId27"/>
    <sheet name="Лист1 (3)" sheetId="33" r:id="rId28"/>
    <sheet name="Лист1 (4)" sheetId="34" r:id="rId29"/>
    <sheet name="Екатеринбург KPI" sheetId="35" r:id="rId30"/>
    <sheet name="Екатеринбург Полимеры" sheetId="36" r:id="rId31"/>
    <sheet name="Екатеринбург Полиом" sheetId="37" r:id="rId32"/>
    <sheet name="Екатеринбург НПЭГ" sheetId="38" r:id="rId33"/>
    <sheet name="Зеленодольск Полимеры" sheetId="39" r:id="rId34"/>
    <sheet name="Данафлекс Зеленодольск" sheetId="40" r:id="rId35"/>
    <sheet name="Казань_Автосервисная Полимеры" sheetId="41" r:id="rId36"/>
    <sheet name="Казань_Автосервисная Полиом" sheetId="42" r:id="rId37"/>
    <sheet name="Казань_Приволжская Полимеры" sheetId="43" r:id="rId38"/>
    <sheet name="Нижнекамск НПЭГ" sheetId="44" r:id="rId39"/>
    <sheet name="Нижнекамск ПСОН" sheetId="45" r:id="rId40"/>
    <sheet name="Новикова-Прибоя KPI" sheetId="46" r:id="rId41"/>
    <sheet name="Новикова-Прибоя Полимеры" sheetId="47" r:id="rId42"/>
    <sheet name="Новикова-Прибоя Полиом" sheetId="48" r:id="rId43"/>
    <sheet name="Новосибирск KPI" sheetId="49" r:id="rId44"/>
    <sheet name="Новосибирск Полимеры" sheetId="50" r:id="rId45"/>
    <sheet name="Новосибирск Полиом" sheetId="52" r:id="rId46"/>
    <sheet name="Новосибирск Порошок" sheetId="53" r:id="rId47"/>
    <sheet name="Новосибирск_Пасечная Порошок" sheetId="54" r:id="rId48"/>
    <sheet name="Праздники (3)" sheetId="55" r:id="rId49"/>
    <sheet name="Праздники (2)" sheetId="51" state="hidden" r:id="rId50"/>
    <sheet name="Праздники" sheetId="15" state="hidden" r:id="rId51"/>
    <sheet name="АВР Березовая Пойма" sheetId="14" state="hidden" r:id="rId52"/>
    <sheet name="АВР Новикова" sheetId="13" state="hidden" r:id="rId53"/>
    <sheet name="АВР Баумана" sheetId="12" state="hidden" r:id="rId54"/>
    <sheet name="Окская Мешки" sheetId="9" state="hidden" r:id="rId55"/>
    <sheet name="Общее и резерв" sheetId="6" state="hidden" r:id="rId56"/>
  </sheets>
  <externalReferences>
    <externalReference r:id="rId57"/>
    <externalReference r:id="rId58"/>
    <externalReference r:id="rId59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0" i="56" l="1"/>
  <c r="C109" i="56"/>
  <c r="B14" i="28"/>
  <c r="F11" i="28"/>
  <c r="G11" i="28" s="1"/>
  <c r="F10" i="28"/>
  <c r="G10" i="28" s="1"/>
  <c r="G12" i="28" s="1"/>
  <c r="A7" i="28"/>
  <c r="A4" i="28"/>
  <c r="A3" i="28"/>
  <c r="B67" i="3" a="1"/>
  <c r="B67" i="3" l="1"/>
  <c r="C102" i="56" s="1"/>
  <c r="F12" i="28"/>
  <c r="B14" i="27" l="1"/>
  <c r="F11" i="27"/>
  <c r="G11" i="27" s="1"/>
  <c r="F10" i="27"/>
  <c r="F12" i="27" s="1"/>
  <c r="A7" i="27"/>
  <c r="A4" i="27"/>
  <c r="A3" i="27"/>
  <c r="G10" i="27" l="1"/>
  <c r="G12" i="27" s="1"/>
  <c r="B14" i="26"/>
  <c r="F11" i="26"/>
  <c r="G11" i="26" s="1"/>
  <c r="F10" i="26"/>
  <c r="F12" i="26" s="1"/>
  <c r="A7" i="26"/>
  <c r="A4" i="26"/>
  <c r="A3" i="26"/>
  <c r="G10" i="26" l="1"/>
  <c r="G12" i="26" s="1"/>
  <c r="F11" i="25" l="1"/>
  <c r="D10" i="25"/>
  <c r="F10" i="25" s="1"/>
  <c r="F9" i="25"/>
  <c r="A6" i="25"/>
  <c r="A3" i="25"/>
  <c r="A2" i="25"/>
  <c r="F12" i="25" l="1"/>
  <c r="F13" i="25" s="1"/>
  <c r="F14" i="25" s="1"/>
  <c r="I34" i="24"/>
  <c r="H34" i="24"/>
  <c r="G34" i="24"/>
  <c r="J34" i="24" s="1"/>
  <c r="I33" i="24"/>
  <c r="H33" i="24"/>
  <c r="G33" i="24"/>
  <c r="J33" i="24" s="1"/>
  <c r="I32" i="24"/>
  <c r="H32" i="24"/>
  <c r="G32" i="24"/>
  <c r="J32" i="24" s="1"/>
  <c r="I31" i="24"/>
  <c r="H31" i="24"/>
  <c r="G31" i="24"/>
  <c r="J31" i="24" s="1"/>
  <c r="I30" i="24"/>
  <c r="H30" i="24"/>
  <c r="G30" i="24"/>
  <c r="J30" i="24" s="1"/>
  <c r="I29" i="24"/>
  <c r="H29" i="24"/>
  <c r="G29" i="24"/>
  <c r="J29" i="24" s="1"/>
  <c r="I28" i="24"/>
  <c r="H28" i="24"/>
  <c r="G28" i="24"/>
  <c r="J28" i="24" s="1"/>
  <c r="I27" i="24"/>
  <c r="H27" i="24"/>
  <c r="G27" i="24"/>
  <c r="J27" i="24" s="1"/>
  <c r="I26" i="24"/>
  <c r="H26" i="24"/>
  <c r="G26" i="24"/>
  <c r="J26" i="24" s="1"/>
  <c r="I25" i="24"/>
  <c r="H25" i="24"/>
  <c r="G25" i="24"/>
  <c r="J25" i="24" s="1"/>
  <c r="I24" i="24"/>
  <c r="H24" i="24"/>
  <c r="G24" i="24"/>
  <c r="J24" i="24" s="1"/>
  <c r="I23" i="24"/>
  <c r="H23" i="24"/>
  <c r="G23" i="24"/>
  <c r="J23" i="24" s="1"/>
  <c r="I22" i="24"/>
  <c r="H22" i="24"/>
  <c r="G22" i="24"/>
  <c r="J22" i="24" s="1"/>
  <c r="I21" i="24"/>
  <c r="H21" i="24"/>
  <c r="G21" i="24"/>
  <c r="J21" i="24" s="1"/>
  <c r="I20" i="24"/>
  <c r="H20" i="24"/>
  <c r="G20" i="24"/>
  <c r="J20" i="24" s="1"/>
  <c r="I19" i="24"/>
  <c r="H19" i="24"/>
  <c r="G19" i="24"/>
  <c r="J19" i="24" s="1"/>
  <c r="I18" i="24"/>
  <c r="H18" i="24"/>
  <c r="G18" i="24"/>
  <c r="J18" i="24" s="1"/>
  <c r="I17" i="24"/>
  <c r="H17" i="24"/>
  <c r="G17" i="24"/>
  <c r="J17" i="24" s="1"/>
  <c r="I16" i="24"/>
  <c r="H16" i="24"/>
  <c r="G16" i="24"/>
  <c r="J16" i="24" s="1"/>
  <c r="I15" i="24"/>
  <c r="H15" i="24"/>
  <c r="G15" i="24"/>
  <c r="J15" i="24" s="1"/>
  <c r="I14" i="24"/>
  <c r="H14" i="24"/>
  <c r="G14" i="24"/>
  <c r="J14" i="24" s="1"/>
  <c r="I13" i="24"/>
  <c r="H13" i="24"/>
  <c r="G13" i="24"/>
  <c r="J13" i="24" s="1"/>
  <c r="I12" i="24"/>
  <c r="H12" i="24"/>
  <c r="G12" i="24"/>
  <c r="J12" i="24" s="1"/>
  <c r="I11" i="24"/>
  <c r="H11" i="24"/>
  <c r="G11" i="24"/>
  <c r="J11" i="24" s="1"/>
  <c r="I10" i="24"/>
  <c r="H10" i="24"/>
  <c r="G10" i="24"/>
  <c r="J10" i="24" s="1"/>
  <c r="I9" i="24"/>
  <c r="H9" i="24"/>
  <c r="G9" i="24"/>
  <c r="J9" i="24" s="1"/>
  <c r="I8" i="24"/>
  <c r="H8" i="24"/>
  <c r="G8" i="24"/>
  <c r="J8" i="24" s="1"/>
  <c r="I7" i="24"/>
  <c r="H7" i="24"/>
  <c r="G7" i="24"/>
  <c r="J7" i="24" s="1"/>
  <c r="I6" i="24"/>
  <c r="H6" i="24"/>
  <c r="G6" i="24"/>
  <c r="J6" i="24" s="1"/>
  <c r="I5" i="24"/>
  <c r="H5" i="24"/>
  <c r="G5" i="24"/>
  <c r="J5" i="24" s="1"/>
  <c r="I4" i="24"/>
  <c r="I35" i="24" s="1"/>
  <c r="H4" i="24"/>
  <c r="H35" i="24" s="1"/>
  <c r="G4" i="24"/>
  <c r="G35" i="24" s="1"/>
  <c r="AE40" i="23"/>
  <c r="N38" i="23"/>
  <c r="M38" i="23"/>
  <c r="L38" i="23"/>
  <c r="J38" i="23"/>
  <c r="I38" i="23"/>
  <c r="H38" i="23"/>
  <c r="G38" i="23"/>
  <c r="F38" i="23"/>
  <c r="E38" i="23"/>
  <c r="D38" i="23"/>
  <c r="C38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O37" i="23"/>
  <c r="AC37" i="23" s="1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O36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O35" i="23"/>
  <c r="AC35" i="23" s="1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O34" i="23"/>
  <c r="K34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O33" i="23"/>
  <c r="K33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O32" i="23"/>
  <c r="K32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O31" i="23"/>
  <c r="K31" i="23"/>
  <c r="AC30" i="23"/>
  <c r="AB30" i="23"/>
  <c r="AA30" i="23"/>
  <c r="Z30" i="23"/>
  <c r="X30" i="23"/>
  <c r="W30" i="23"/>
  <c r="V30" i="23"/>
  <c r="U30" i="23"/>
  <c r="T30" i="23"/>
  <c r="S30" i="23"/>
  <c r="R30" i="23"/>
  <c r="Q30" i="23"/>
  <c r="O30" i="23"/>
  <c r="K30" i="23"/>
  <c r="Y30" i="23" s="1"/>
  <c r="AC29" i="23"/>
  <c r="AB29" i="23"/>
  <c r="AA29" i="23"/>
  <c r="Z29" i="23"/>
  <c r="X29" i="23"/>
  <c r="W29" i="23"/>
  <c r="V29" i="23"/>
  <c r="U29" i="23"/>
  <c r="T29" i="23"/>
  <c r="S29" i="23"/>
  <c r="R29" i="23"/>
  <c r="Q29" i="23"/>
  <c r="O29" i="23"/>
  <c r="K29" i="23"/>
  <c r="Y29" i="23" s="1"/>
  <c r="AB28" i="23"/>
  <c r="AA28" i="23"/>
  <c r="Z28" i="23"/>
  <c r="X28" i="23"/>
  <c r="W28" i="23"/>
  <c r="V28" i="23"/>
  <c r="U28" i="23"/>
  <c r="T28" i="23"/>
  <c r="S28" i="23"/>
  <c r="R28" i="23"/>
  <c r="Q28" i="23"/>
  <c r="O28" i="23"/>
  <c r="AC28" i="23" s="1"/>
  <c r="K28" i="23"/>
  <c r="Y28" i="23" s="1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O27" i="23"/>
  <c r="K27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O26" i="23"/>
  <c r="AC26" i="23" s="1"/>
  <c r="K26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O25" i="23"/>
  <c r="K25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O24" i="23"/>
  <c r="K24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O23" i="23"/>
  <c r="K23" i="23"/>
  <c r="AC22" i="23"/>
  <c r="AB22" i="23"/>
  <c r="AA22" i="23"/>
  <c r="Z22" i="23"/>
  <c r="X22" i="23"/>
  <c r="W22" i="23"/>
  <c r="V22" i="23"/>
  <c r="U22" i="23"/>
  <c r="T22" i="23"/>
  <c r="S22" i="23"/>
  <c r="R22" i="23"/>
  <c r="Q22" i="23"/>
  <c r="O22" i="23"/>
  <c r="K22" i="23"/>
  <c r="Y22" i="23" s="1"/>
  <c r="AC21" i="23"/>
  <c r="AB21" i="23"/>
  <c r="AA21" i="23"/>
  <c r="Z21" i="23"/>
  <c r="X21" i="23"/>
  <c r="W21" i="23"/>
  <c r="V21" i="23"/>
  <c r="U21" i="23"/>
  <c r="T21" i="23"/>
  <c r="S21" i="23"/>
  <c r="R21" i="23"/>
  <c r="Q21" i="23"/>
  <c r="O21" i="23"/>
  <c r="K21" i="23"/>
  <c r="Y21" i="23" s="1"/>
  <c r="AB20" i="23"/>
  <c r="AA20" i="23"/>
  <c r="Z20" i="23"/>
  <c r="X20" i="23"/>
  <c r="W20" i="23"/>
  <c r="V20" i="23"/>
  <c r="U20" i="23"/>
  <c r="T20" i="23"/>
  <c r="S20" i="23"/>
  <c r="R20" i="23"/>
  <c r="Q20" i="23"/>
  <c r="O20" i="23"/>
  <c r="AC20" i="23" s="1"/>
  <c r="K20" i="23"/>
  <c r="Y20" i="23" s="1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O19" i="23"/>
  <c r="K19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O18" i="23"/>
  <c r="AC18" i="23" s="1"/>
  <c r="K18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O17" i="23"/>
  <c r="K17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O16" i="23"/>
  <c r="K16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O15" i="23"/>
  <c r="K15" i="23"/>
  <c r="AC14" i="23"/>
  <c r="AB14" i="23"/>
  <c r="AA14" i="23"/>
  <c r="Z14" i="23"/>
  <c r="X14" i="23"/>
  <c r="W14" i="23"/>
  <c r="V14" i="23"/>
  <c r="U14" i="23"/>
  <c r="T14" i="23"/>
  <c r="S14" i="23"/>
  <c r="R14" i="23"/>
  <c r="Q14" i="23"/>
  <c r="O14" i="23"/>
  <c r="K14" i="23"/>
  <c r="Y14" i="23" s="1"/>
  <c r="AC13" i="23"/>
  <c r="AB13" i="23"/>
  <c r="AA13" i="23"/>
  <c r="Z13" i="23"/>
  <c r="X13" i="23"/>
  <c r="W13" i="23"/>
  <c r="V13" i="23"/>
  <c r="U13" i="23"/>
  <c r="T13" i="23"/>
  <c r="S13" i="23"/>
  <c r="R13" i="23"/>
  <c r="Q13" i="23"/>
  <c r="O13" i="23"/>
  <c r="K13" i="23"/>
  <c r="Y13" i="23" s="1"/>
  <c r="AB12" i="23"/>
  <c r="AA12" i="23"/>
  <c r="Z12" i="23"/>
  <c r="X12" i="23"/>
  <c r="W12" i="23"/>
  <c r="V12" i="23"/>
  <c r="U12" i="23"/>
  <c r="T12" i="23"/>
  <c r="S12" i="23"/>
  <c r="R12" i="23"/>
  <c r="Q12" i="23"/>
  <c r="O12" i="23"/>
  <c r="AC12" i="23" s="1"/>
  <c r="K12" i="23"/>
  <c r="Y12" i="23" s="1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O11" i="23"/>
  <c r="K11" i="23"/>
  <c r="AB10" i="23"/>
  <c r="AA10" i="23"/>
  <c r="Z10" i="23"/>
  <c r="Y10" i="23"/>
  <c r="X10" i="23"/>
  <c r="W10" i="23"/>
  <c r="V10" i="23"/>
  <c r="U10" i="23"/>
  <c r="T10" i="23"/>
  <c r="S10" i="23"/>
  <c r="S38" i="23" s="1"/>
  <c r="R10" i="23"/>
  <c r="Q10" i="23"/>
  <c r="O10" i="23"/>
  <c r="AC10" i="23" s="1"/>
  <c r="K10" i="23"/>
  <c r="AC9" i="23"/>
  <c r="AB9" i="23"/>
  <c r="AA9" i="23"/>
  <c r="Z9" i="23"/>
  <c r="Y9" i="23"/>
  <c r="X9" i="23"/>
  <c r="W9" i="23"/>
  <c r="V9" i="23"/>
  <c r="U9" i="23"/>
  <c r="T9" i="23"/>
  <c r="T38" i="23" s="1"/>
  <c r="S9" i="23"/>
  <c r="R9" i="23"/>
  <c r="Q9" i="23"/>
  <c r="O9" i="23"/>
  <c r="K9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O8" i="23"/>
  <c r="K8" i="23"/>
  <c r="AC7" i="23"/>
  <c r="AB7" i="23"/>
  <c r="AB38" i="23" s="1"/>
  <c r="AA7" i="23"/>
  <c r="AA38" i="23" s="1"/>
  <c r="Z7" i="23"/>
  <c r="Z38" i="23" s="1"/>
  <c r="Y7" i="23"/>
  <c r="Y38" i="23" s="1"/>
  <c r="X7" i="23"/>
  <c r="W7" i="23"/>
  <c r="W38" i="23" s="1"/>
  <c r="V7" i="23"/>
  <c r="V38" i="23" s="1"/>
  <c r="U7" i="23"/>
  <c r="U38" i="23" s="1"/>
  <c r="T7" i="23"/>
  <c r="S7" i="23"/>
  <c r="R7" i="23"/>
  <c r="Q7" i="23"/>
  <c r="Q38" i="23" s="1"/>
  <c r="P7" i="23"/>
  <c r="O7" i="23"/>
  <c r="O38" i="23" s="1"/>
  <c r="K7" i="23"/>
  <c r="K38" i="23" s="1"/>
  <c r="G36" i="22"/>
  <c r="J35" i="22"/>
  <c r="I35" i="22"/>
  <c r="H35" i="22"/>
  <c r="K35" i="22" s="1"/>
  <c r="J34" i="22"/>
  <c r="I34" i="22"/>
  <c r="H34" i="22"/>
  <c r="K34" i="22" s="1"/>
  <c r="J33" i="22"/>
  <c r="I33" i="22"/>
  <c r="K33" i="22" s="1"/>
  <c r="H33" i="22"/>
  <c r="J32" i="22"/>
  <c r="I32" i="22"/>
  <c r="H32" i="22"/>
  <c r="K32" i="22" s="1"/>
  <c r="J31" i="22"/>
  <c r="I31" i="22"/>
  <c r="H31" i="22"/>
  <c r="K31" i="22" s="1"/>
  <c r="J30" i="22"/>
  <c r="I30" i="22"/>
  <c r="H30" i="22"/>
  <c r="K30" i="22" s="1"/>
  <c r="J29" i="22"/>
  <c r="I29" i="22"/>
  <c r="K29" i="22" s="1"/>
  <c r="H29" i="22"/>
  <c r="J28" i="22"/>
  <c r="I28" i="22"/>
  <c r="H28" i="22"/>
  <c r="K28" i="22" s="1"/>
  <c r="J27" i="22"/>
  <c r="I27" i="22"/>
  <c r="H27" i="22"/>
  <c r="K27" i="22" s="1"/>
  <c r="J26" i="22"/>
  <c r="I26" i="22"/>
  <c r="H26" i="22"/>
  <c r="K26" i="22" s="1"/>
  <c r="J25" i="22"/>
  <c r="I25" i="22"/>
  <c r="K25" i="22" s="1"/>
  <c r="H25" i="22"/>
  <c r="J24" i="22"/>
  <c r="I24" i="22"/>
  <c r="H24" i="22"/>
  <c r="K24" i="22" s="1"/>
  <c r="J23" i="22"/>
  <c r="I23" i="22"/>
  <c r="H23" i="22"/>
  <c r="K23" i="22" s="1"/>
  <c r="J22" i="22"/>
  <c r="I22" i="22"/>
  <c r="H22" i="22"/>
  <c r="K22" i="22" s="1"/>
  <c r="J21" i="22"/>
  <c r="I21" i="22"/>
  <c r="K21" i="22" s="1"/>
  <c r="H21" i="22"/>
  <c r="J20" i="22"/>
  <c r="I20" i="22"/>
  <c r="H20" i="22"/>
  <c r="K20" i="22" s="1"/>
  <c r="J19" i="22"/>
  <c r="I19" i="22"/>
  <c r="H19" i="22"/>
  <c r="K19" i="22" s="1"/>
  <c r="J18" i="22"/>
  <c r="I18" i="22"/>
  <c r="H18" i="22"/>
  <c r="K18" i="22" s="1"/>
  <c r="J17" i="22"/>
  <c r="I17" i="22"/>
  <c r="K17" i="22" s="1"/>
  <c r="H17" i="22"/>
  <c r="J16" i="22"/>
  <c r="I16" i="22"/>
  <c r="H16" i="22"/>
  <c r="K16" i="22" s="1"/>
  <c r="J15" i="22"/>
  <c r="I15" i="22"/>
  <c r="H15" i="22"/>
  <c r="K15" i="22" s="1"/>
  <c r="J14" i="22"/>
  <c r="I14" i="22"/>
  <c r="H14" i="22"/>
  <c r="K14" i="22" s="1"/>
  <c r="J13" i="22"/>
  <c r="I13" i="22"/>
  <c r="K13" i="22" s="1"/>
  <c r="H13" i="22"/>
  <c r="J12" i="22"/>
  <c r="I12" i="22"/>
  <c r="H12" i="22"/>
  <c r="K12" i="22" s="1"/>
  <c r="J11" i="22"/>
  <c r="I11" i="22"/>
  <c r="H11" i="22"/>
  <c r="K11" i="22" s="1"/>
  <c r="J10" i="22"/>
  <c r="I10" i="22"/>
  <c r="H10" i="22"/>
  <c r="K10" i="22" s="1"/>
  <c r="J9" i="22"/>
  <c r="I9" i="22"/>
  <c r="K9" i="22" s="1"/>
  <c r="H9" i="22"/>
  <c r="J8" i="22"/>
  <c r="I8" i="22"/>
  <c r="H8" i="22"/>
  <c r="K8" i="22" s="1"/>
  <c r="J7" i="22"/>
  <c r="I7" i="22"/>
  <c r="H7" i="22"/>
  <c r="K7" i="22" s="1"/>
  <c r="J6" i="22"/>
  <c r="I6" i="22"/>
  <c r="H6" i="22"/>
  <c r="K6" i="22" s="1"/>
  <c r="J5" i="22"/>
  <c r="J36" i="22" s="1"/>
  <c r="I5" i="22"/>
  <c r="I36" i="22" s="1"/>
  <c r="H5" i="22"/>
  <c r="H36" i="22" s="1"/>
  <c r="K38" i="21"/>
  <c r="J38" i="21"/>
  <c r="I38" i="21"/>
  <c r="H38" i="21"/>
  <c r="G38" i="21"/>
  <c r="F38" i="21"/>
  <c r="E38" i="21"/>
  <c r="D38" i="21"/>
  <c r="C38" i="21"/>
  <c r="R37" i="21"/>
  <c r="Q37" i="21"/>
  <c r="P37" i="21"/>
  <c r="O37" i="21"/>
  <c r="N37" i="21"/>
  <c r="M37" i="21"/>
  <c r="L37" i="21"/>
  <c r="S37" i="21" s="1"/>
  <c r="R36" i="21"/>
  <c r="Q36" i="21"/>
  <c r="P36" i="21"/>
  <c r="O36" i="21"/>
  <c r="N36" i="21"/>
  <c r="S36" i="21" s="1"/>
  <c r="M36" i="21"/>
  <c r="L36" i="21"/>
  <c r="R35" i="21"/>
  <c r="Q35" i="21"/>
  <c r="P35" i="21"/>
  <c r="O35" i="21"/>
  <c r="N35" i="21"/>
  <c r="M35" i="21"/>
  <c r="L35" i="21"/>
  <c r="S35" i="21" s="1"/>
  <c r="R34" i="21"/>
  <c r="Q34" i="21"/>
  <c r="P34" i="21"/>
  <c r="O34" i="21"/>
  <c r="N34" i="21"/>
  <c r="S34" i="21" s="1"/>
  <c r="M34" i="21"/>
  <c r="L34" i="21"/>
  <c r="R33" i="21"/>
  <c r="Q33" i="21"/>
  <c r="P33" i="21"/>
  <c r="O33" i="21"/>
  <c r="N33" i="21"/>
  <c r="M33" i="21"/>
  <c r="L33" i="21"/>
  <c r="S33" i="21" s="1"/>
  <c r="R32" i="21"/>
  <c r="Q32" i="21"/>
  <c r="P32" i="21"/>
  <c r="O32" i="21"/>
  <c r="N32" i="21"/>
  <c r="S32" i="21" s="1"/>
  <c r="M32" i="21"/>
  <c r="L32" i="21"/>
  <c r="R31" i="21"/>
  <c r="Q31" i="21"/>
  <c r="P31" i="21"/>
  <c r="O31" i="21"/>
  <c r="N31" i="21"/>
  <c r="M31" i="21"/>
  <c r="L31" i="21"/>
  <c r="S31" i="21" s="1"/>
  <c r="R30" i="21"/>
  <c r="Q30" i="21"/>
  <c r="P30" i="21"/>
  <c r="O30" i="21"/>
  <c r="N30" i="21"/>
  <c r="S30" i="21" s="1"/>
  <c r="M30" i="21"/>
  <c r="L30" i="21"/>
  <c r="R29" i="21"/>
  <c r="Q29" i="21"/>
  <c r="P29" i="21"/>
  <c r="O29" i="21"/>
  <c r="N29" i="21"/>
  <c r="M29" i="21"/>
  <c r="L29" i="21"/>
  <c r="S29" i="21" s="1"/>
  <c r="R28" i="21"/>
  <c r="Q28" i="21"/>
  <c r="P28" i="21"/>
  <c r="O28" i="21"/>
  <c r="N28" i="21"/>
  <c r="S28" i="21" s="1"/>
  <c r="M28" i="21"/>
  <c r="L28" i="21"/>
  <c r="R27" i="21"/>
  <c r="Q27" i="21"/>
  <c r="P27" i="21"/>
  <c r="O27" i="21"/>
  <c r="N27" i="21"/>
  <c r="M27" i="21"/>
  <c r="L27" i="21"/>
  <c r="S27" i="21" s="1"/>
  <c r="R26" i="21"/>
  <c r="Q26" i="21"/>
  <c r="P26" i="21"/>
  <c r="O26" i="21"/>
  <c r="N26" i="21"/>
  <c r="S26" i="21" s="1"/>
  <c r="M26" i="21"/>
  <c r="L26" i="21"/>
  <c r="R25" i="21"/>
  <c r="Q25" i="21"/>
  <c r="P25" i="21"/>
  <c r="O25" i="21"/>
  <c r="N25" i="21"/>
  <c r="M25" i="21"/>
  <c r="L25" i="21"/>
  <c r="S25" i="21" s="1"/>
  <c r="R24" i="21"/>
  <c r="Q24" i="21"/>
  <c r="P24" i="21"/>
  <c r="O24" i="21"/>
  <c r="N24" i="21"/>
  <c r="S24" i="21" s="1"/>
  <c r="M24" i="21"/>
  <c r="L24" i="21"/>
  <c r="R23" i="21"/>
  <c r="Q23" i="21"/>
  <c r="P23" i="21"/>
  <c r="O23" i="21"/>
  <c r="N23" i="21"/>
  <c r="M23" i="21"/>
  <c r="L23" i="21"/>
  <c r="S23" i="21" s="1"/>
  <c r="R22" i="21"/>
  <c r="Q22" i="21"/>
  <c r="P22" i="21"/>
  <c r="O22" i="21"/>
  <c r="N22" i="21"/>
  <c r="S22" i="21" s="1"/>
  <c r="M22" i="21"/>
  <c r="L22" i="21"/>
  <c r="R21" i="21"/>
  <c r="Q21" i="21"/>
  <c r="P21" i="21"/>
  <c r="O21" i="21"/>
  <c r="N21" i="21"/>
  <c r="M21" i="21"/>
  <c r="L21" i="21"/>
  <c r="S21" i="21" s="1"/>
  <c r="R20" i="21"/>
  <c r="Q20" i="21"/>
  <c r="P20" i="21"/>
  <c r="O20" i="21"/>
  <c r="N20" i="21"/>
  <c r="S20" i="21" s="1"/>
  <c r="M20" i="21"/>
  <c r="L20" i="21"/>
  <c r="R19" i="21"/>
  <c r="Q19" i="21"/>
  <c r="P19" i="21"/>
  <c r="O19" i="21"/>
  <c r="N19" i="21"/>
  <c r="M19" i="21"/>
  <c r="L19" i="21"/>
  <c r="S19" i="21" s="1"/>
  <c r="R18" i="21"/>
  <c r="Q18" i="21"/>
  <c r="P18" i="21"/>
  <c r="O18" i="21"/>
  <c r="N18" i="21"/>
  <c r="S18" i="21" s="1"/>
  <c r="M18" i="21"/>
  <c r="L18" i="21"/>
  <c r="R17" i="21"/>
  <c r="Q17" i="21"/>
  <c r="P17" i="21"/>
  <c r="O17" i="21"/>
  <c r="N17" i="21"/>
  <c r="M17" i="21"/>
  <c r="L17" i="21"/>
  <c r="S17" i="21" s="1"/>
  <c r="R16" i="21"/>
  <c r="Q16" i="21"/>
  <c r="P16" i="21"/>
  <c r="O16" i="21"/>
  <c r="N16" i="21"/>
  <c r="S16" i="21" s="1"/>
  <c r="M16" i="21"/>
  <c r="L16" i="21"/>
  <c r="R15" i="21"/>
  <c r="Q15" i="21"/>
  <c r="P15" i="21"/>
  <c r="O15" i="21"/>
  <c r="N15" i="21"/>
  <c r="M15" i="21"/>
  <c r="L15" i="21"/>
  <c r="S15" i="21" s="1"/>
  <c r="R14" i="21"/>
  <c r="Q14" i="21"/>
  <c r="P14" i="21"/>
  <c r="O14" i="21"/>
  <c r="N14" i="21"/>
  <c r="S14" i="21" s="1"/>
  <c r="M14" i="21"/>
  <c r="L14" i="21"/>
  <c r="R13" i="21"/>
  <c r="Q13" i="21"/>
  <c r="P13" i="21"/>
  <c r="O13" i="21"/>
  <c r="N13" i="21"/>
  <c r="M13" i="21"/>
  <c r="L13" i="21"/>
  <c r="S13" i="21" s="1"/>
  <c r="R12" i="21"/>
  <c r="Q12" i="21"/>
  <c r="P12" i="21"/>
  <c r="O12" i="21"/>
  <c r="N12" i="21"/>
  <c r="S12" i="21" s="1"/>
  <c r="M12" i="21"/>
  <c r="L12" i="21"/>
  <c r="R11" i="21"/>
  <c r="Q11" i="21"/>
  <c r="P11" i="21"/>
  <c r="O11" i="21"/>
  <c r="N11" i="21"/>
  <c r="M11" i="21"/>
  <c r="L11" i="21"/>
  <c r="S11" i="21" s="1"/>
  <c r="R10" i="21"/>
  <c r="Q10" i="21"/>
  <c r="P10" i="21"/>
  <c r="O10" i="21"/>
  <c r="N10" i="21"/>
  <c r="S10" i="21" s="1"/>
  <c r="M10" i="21"/>
  <c r="L10" i="21"/>
  <c r="R9" i="21"/>
  <c r="Q9" i="21"/>
  <c r="P9" i="21"/>
  <c r="O9" i="21"/>
  <c r="N9" i="21"/>
  <c r="M9" i="21"/>
  <c r="L9" i="21"/>
  <c r="S9" i="21" s="1"/>
  <c r="R8" i="21"/>
  <c r="Q8" i="21"/>
  <c r="P8" i="21"/>
  <c r="O8" i="21"/>
  <c r="N8" i="21"/>
  <c r="S8" i="21" s="1"/>
  <c r="M8" i="21"/>
  <c r="L8" i="21"/>
  <c r="R7" i="21"/>
  <c r="R38" i="21" s="1"/>
  <c r="Q7" i="21"/>
  <c r="Q38" i="21" s="1"/>
  <c r="P7" i="21"/>
  <c r="P38" i="21" s="1"/>
  <c r="O7" i="21"/>
  <c r="O38" i="21" s="1"/>
  <c r="N7" i="21"/>
  <c r="N38" i="21" s="1"/>
  <c r="M7" i="21"/>
  <c r="M38" i="21" s="1"/>
  <c r="L7" i="21"/>
  <c r="S7" i="21" s="1"/>
  <c r="H36" i="20"/>
  <c r="F36" i="20"/>
  <c r="E36" i="20"/>
  <c r="D36" i="20"/>
  <c r="Q35" i="20"/>
  <c r="P35" i="20"/>
  <c r="O35" i="20"/>
  <c r="R35" i="20" s="1"/>
  <c r="N35" i="20"/>
  <c r="M35" i="20"/>
  <c r="L35" i="20"/>
  <c r="K35" i="20"/>
  <c r="Q34" i="20"/>
  <c r="P34" i="20"/>
  <c r="O34" i="20"/>
  <c r="N34" i="20"/>
  <c r="M34" i="20"/>
  <c r="L34" i="20"/>
  <c r="K34" i="20"/>
  <c r="R34" i="20" s="1"/>
  <c r="Q33" i="20"/>
  <c r="P33" i="20"/>
  <c r="O33" i="20"/>
  <c r="R33" i="20" s="1"/>
  <c r="N33" i="20"/>
  <c r="M33" i="20"/>
  <c r="L33" i="20"/>
  <c r="K33" i="20"/>
  <c r="Q32" i="20"/>
  <c r="P32" i="20"/>
  <c r="O32" i="20"/>
  <c r="N32" i="20"/>
  <c r="M32" i="20"/>
  <c r="L32" i="20"/>
  <c r="K32" i="20"/>
  <c r="R32" i="20" s="1"/>
  <c r="Q31" i="20"/>
  <c r="P31" i="20"/>
  <c r="O31" i="20"/>
  <c r="R31" i="20" s="1"/>
  <c r="N31" i="20"/>
  <c r="M31" i="20"/>
  <c r="L31" i="20"/>
  <c r="K31" i="20"/>
  <c r="Q30" i="20"/>
  <c r="P30" i="20"/>
  <c r="O30" i="20"/>
  <c r="N30" i="20"/>
  <c r="M30" i="20"/>
  <c r="L30" i="20"/>
  <c r="K30" i="20"/>
  <c r="R30" i="20" s="1"/>
  <c r="Q29" i="20"/>
  <c r="P29" i="20"/>
  <c r="O29" i="20"/>
  <c r="R29" i="20" s="1"/>
  <c r="N29" i="20"/>
  <c r="M29" i="20"/>
  <c r="L29" i="20"/>
  <c r="K29" i="20"/>
  <c r="Q28" i="20"/>
  <c r="P28" i="20"/>
  <c r="O28" i="20"/>
  <c r="N28" i="20"/>
  <c r="M28" i="20"/>
  <c r="L28" i="20"/>
  <c r="K28" i="20"/>
  <c r="R28" i="20" s="1"/>
  <c r="Q27" i="20"/>
  <c r="P27" i="20"/>
  <c r="O27" i="20"/>
  <c r="R27" i="20" s="1"/>
  <c r="N27" i="20"/>
  <c r="M27" i="20"/>
  <c r="L27" i="20"/>
  <c r="K27" i="20"/>
  <c r="Q26" i="20"/>
  <c r="P26" i="20"/>
  <c r="O26" i="20"/>
  <c r="N26" i="20"/>
  <c r="M26" i="20"/>
  <c r="L26" i="20"/>
  <c r="K26" i="20"/>
  <c r="R26" i="20" s="1"/>
  <c r="Q25" i="20"/>
  <c r="P25" i="20"/>
  <c r="O25" i="20"/>
  <c r="R25" i="20" s="1"/>
  <c r="N25" i="20"/>
  <c r="M25" i="20"/>
  <c r="L25" i="20"/>
  <c r="K25" i="20"/>
  <c r="Q24" i="20"/>
  <c r="P24" i="20"/>
  <c r="O24" i="20"/>
  <c r="N24" i="20"/>
  <c r="M24" i="20"/>
  <c r="L24" i="20"/>
  <c r="K24" i="20"/>
  <c r="R24" i="20" s="1"/>
  <c r="Q23" i="20"/>
  <c r="P23" i="20"/>
  <c r="O23" i="20"/>
  <c r="R23" i="20" s="1"/>
  <c r="N23" i="20"/>
  <c r="M23" i="20"/>
  <c r="L23" i="20"/>
  <c r="K23" i="20"/>
  <c r="Q22" i="20"/>
  <c r="P22" i="20"/>
  <c r="O22" i="20"/>
  <c r="N22" i="20"/>
  <c r="M22" i="20"/>
  <c r="L22" i="20"/>
  <c r="K22" i="20"/>
  <c r="R22" i="20" s="1"/>
  <c r="Q21" i="20"/>
  <c r="P21" i="20"/>
  <c r="O21" i="20"/>
  <c r="R21" i="20" s="1"/>
  <c r="N21" i="20"/>
  <c r="M21" i="20"/>
  <c r="L21" i="20"/>
  <c r="K21" i="20"/>
  <c r="Q20" i="20"/>
  <c r="P20" i="20"/>
  <c r="O20" i="20"/>
  <c r="N20" i="20"/>
  <c r="M20" i="20"/>
  <c r="L20" i="20"/>
  <c r="K20" i="20"/>
  <c r="R20" i="20" s="1"/>
  <c r="Q19" i="20"/>
  <c r="P19" i="20"/>
  <c r="O19" i="20"/>
  <c r="R19" i="20" s="1"/>
  <c r="N19" i="20"/>
  <c r="M19" i="20"/>
  <c r="L19" i="20"/>
  <c r="K19" i="20"/>
  <c r="Q18" i="20"/>
  <c r="P18" i="20"/>
  <c r="O18" i="20"/>
  <c r="N18" i="20"/>
  <c r="M18" i="20"/>
  <c r="L18" i="20"/>
  <c r="K18" i="20"/>
  <c r="R18" i="20" s="1"/>
  <c r="Q17" i="20"/>
  <c r="P17" i="20"/>
  <c r="O17" i="20"/>
  <c r="R17" i="20" s="1"/>
  <c r="N17" i="20"/>
  <c r="M17" i="20"/>
  <c r="L17" i="20"/>
  <c r="K17" i="20"/>
  <c r="Q16" i="20"/>
  <c r="P16" i="20"/>
  <c r="O16" i="20"/>
  <c r="N16" i="20"/>
  <c r="M16" i="20"/>
  <c r="L16" i="20"/>
  <c r="K16" i="20"/>
  <c r="R16" i="20" s="1"/>
  <c r="Q15" i="20"/>
  <c r="P15" i="20"/>
  <c r="O15" i="20"/>
  <c r="R15" i="20" s="1"/>
  <c r="N15" i="20"/>
  <c r="M15" i="20"/>
  <c r="L15" i="20"/>
  <c r="K15" i="20"/>
  <c r="Q14" i="20"/>
  <c r="P14" i="20"/>
  <c r="O14" i="20"/>
  <c r="N14" i="20"/>
  <c r="M14" i="20"/>
  <c r="L14" i="20"/>
  <c r="K14" i="20"/>
  <c r="R14" i="20" s="1"/>
  <c r="Q13" i="20"/>
  <c r="P13" i="20"/>
  <c r="O13" i="20"/>
  <c r="R13" i="20" s="1"/>
  <c r="N13" i="20"/>
  <c r="M13" i="20"/>
  <c r="L13" i="20"/>
  <c r="K13" i="20"/>
  <c r="Q12" i="20"/>
  <c r="P12" i="20"/>
  <c r="O12" i="20"/>
  <c r="N12" i="20"/>
  <c r="M12" i="20"/>
  <c r="L12" i="20"/>
  <c r="K12" i="20"/>
  <c r="R12" i="20" s="1"/>
  <c r="Q11" i="20"/>
  <c r="P11" i="20"/>
  <c r="O11" i="20"/>
  <c r="R11" i="20" s="1"/>
  <c r="N11" i="20"/>
  <c r="M11" i="20"/>
  <c r="L11" i="20"/>
  <c r="K11" i="20"/>
  <c r="Q10" i="20"/>
  <c r="P10" i="20"/>
  <c r="O10" i="20"/>
  <c r="N10" i="20"/>
  <c r="M10" i="20"/>
  <c r="L10" i="20"/>
  <c r="K10" i="20"/>
  <c r="R10" i="20" s="1"/>
  <c r="Q9" i="20"/>
  <c r="P9" i="20"/>
  <c r="O9" i="20"/>
  <c r="R9" i="20" s="1"/>
  <c r="N9" i="20"/>
  <c r="M9" i="20"/>
  <c r="L9" i="20"/>
  <c r="K9" i="20"/>
  <c r="Q8" i="20"/>
  <c r="P8" i="20"/>
  <c r="O8" i="20"/>
  <c r="N8" i="20"/>
  <c r="M8" i="20"/>
  <c r="L8" i="20"/>
  <c r="K8" i="20"/>
  <c r="R8" i="20" s="1"/>
  <c r="Q7" i="20"/>
  <c r="P7" i="20"/>
  <c r="O7" i="20"/>
  <c r="R7" i="20" s="1"/>
  <c r="N7" i="20"/>
  <c r="M7" i="20"/>
  <c r="L7" i="20"/>
  <c r="K7" i="20"/>
  <c r="Q6" i="20"/>
  <c r="P6" i="20"/>
  <c r="O6" i="20"/>
  <c r="N6" i="20"/>
  <c r="M6" i="20"/>
  <c r="M36" i="20" s="1"/>
  <c r="L6" i="20"/>
  <c r="K6" i="20"/>
  <c r="R6" i="20" s="1"/>
  <c r="Q5" i="20"/>
  <c r="Q36" i="20" s="1"/>
  <c r="P5" i="20"/>
  <c r="P36" i="20" s="1"/>
  <c r="O5" i="20"/>
  <c r="O36" i="20" s="1"/>
  <c r="N5" i="20"/>
  <c r="N36" i="20" s="1"/>
  <c r="M5" i="20"/>
  <c r="L5" i="20"/>
  <c r="L36" i="20" s="1"/>
  <c r="K5" i="20"/>
  <c r="F36" i="19"/>
  <c r="E36" i="19"/>
  <c r="D36" i="19"/>
  <c r="Q35" i="19"/>
  <c r="P35" i="19"/>
  <c r="O35" i="19"/>
  <c r="R35" i="19" s="1"/>
  <c r="N35" i="19"/>
  <c r="M35" i="19"/>
  <c r="L35" i="19"/>
  <c r="K35" i="19"/>
  <c r="Q34" i="19"/>
  <c r="P34" i="19"/>
  <c r="O34" i="19"/>
  <c r="N34" i="19"/>
  <c r="M34" i="19"/>
  <c r="L34" i="19"/>
  <c r="K34" i="19"/>
  <c r="R34" i="19" s="1"/>
  <c r="Q33" i="19"/>
  <c r="P33" i="19"/>
  <c r="O33" i="19"/>
  <c r="R33" i="19" s="1"/>
  <c r="N33" i="19"/>
  <c r="M33" i="19"/>
  <c r="L33" i="19"/>
  <c r="K33" i="19"/>
  <c r="Q32" i="19"/>
  <c r="P32" i="19"/>
  <c r="N32" i="19"/>
  <c r="M32" i="19"/>
  <c r="L32" i="19"/>
  <c r="K32" i="19"/>
  <c r="Q31" i="19"/>
  <c r="P31" i="19"/>
  <c r="N31" i="19"/>
  <c r="M31" i="19"/>
  <c r="L31" i="19"/>
  <c r="K31" i="19"/>
  <c r="Q30" i="19"/>
  <c r="P30" i="19"/>
  <c r="N30" i="19"/>
  <c r="M30" i="19"/>
  <c r="L30" i="19"/>
  <c r="K30" i="19"/>
  <c r="Q29" i="19"/>
  <c r="P29" i="19"/>
  <c r="N29" i="19"/>
  <c r="M29" i="19"/>
  <c r="L29" i="19"/>
  <c r="K29" i="19"/>
  <c r="Q28" i="19"/>
  <c r="P28" i="19"/>
  <c r="N28" i="19"/>
  <c r="M28" i="19"/>
  <c r="L28" i="19"/>
  <c r="K28" i="19"/>
  <c r="Q27" i="19"/>
  <c r="P27" i="19"/>
  <c r="N27" i="19"/>
  <c r="M27" i="19"/>
  <c r="L27" i="19"/>
  <c r="K27" i="19"/>
  <c r="Q26" i="19"/>
  <c r="P26" i="19"/>
  <c r="N26" i="19"/>
  <c r="M26" i="19"/>
  <c r="L26" i="19"/>
  <c r="K26" i="19"/>
  <c r="Q25" i="19"/>
  <c r="P25" i="19"/>
  <c r="N25" i="19"/>
  <c r="M25" i="19"/>
  <c r="L25" i="19"/>
  <c r="K25" i="19"/>
  <c r="Q24" i="19"/>
  <c r="P24" i="19"/>
  <c r="N24" i="19"/>
  <c r="M24" i="19"/>
  <c r="L24" i="19"/>
  <c r="K24" i="19"/>
  <c r="Q23" i="19"/>
  <c r="P23" i="19"/>
  <c r="N23" i="19"/>
  <c r="M23" i="19"/>
  <c r="L23" i="19"/>
  <c r="K23" i="19"/>
  <c r="Q22" i="19"/>
  <c r="P22" i="19"/>
  <c r="N22" i="19"/>
  <c r="M22" i="19"/>
  <c r="L22" i="19"/>
  <c r="K22" i="19"/>
  <c r="Q21" i="19"/>
  <c r="P21" i="19"/>
  <c r="N21" i="19"/>
  <c r="M21" i="19"/>
  <c r="L21" i="19"/>
  <c r="K21" i="19"/>
  <c r="Q20" i="19"/>
  <c r="P20" i="19"/>
  <c r="N20" i="19"/>
  <c r="M20" i="19"/>
  <c r="L20" i="19"/>
  <c r="K20" i="19"/>
  <c r="Q19" i="19"/>
  <c r="P19" i="19"/>
  <c r="N19" i="19"/>
  <c r="M19" i="19"/>
  <c r="L19" i="19"/>
  <c r="K19" i="19"/>
  <c r="Q18" i="19"/>
  <c r="P18" i="19"/>
  <c r="N18" i="19"/>
  <c r="M18" i="19"/>
  <c r="L18" i="19"/>
  <c r="K18" i="19"/>
  <c r="Q17" i="19"/>
  <c r="P17" i="19"/>
  <c r="N17" i="19"/>
  <c r="M17" i="19"/>
  <c r="L17" i="19"/>
  <c r="K17" i="19"/>
  <c r="Q16" i="19"/>
  <c r="P16" i="19"/>
  <c r="N16" i="19"/>
  <c r="M16" i="19"/>
  <c r="L16" i="19"/>
  <c r="K16" i="19"/>
  <c r="Q15" i="19"/>
  <c r="P15" i="19"/>
  <c r="N15" i="19"/>
  <c r="M15" i="19"/>
  <c r="L15" i="19"/>
  <c r="K15" i="19"/>
  <c r="Q14" i="19"/>
  <c r="P14" i="19"/>
  <c r="N14" i="19"/>
  <c r="M14" i="19"/>
  <c r="L14" i="19"/>
  <c r="K14" i="19"/>
  <c r="Q13" i="19"/>
  <c r="P13" i="19"/>
  <c r="N13" i="19"/>
  <c r="M13" i="19"/>
  <c r="L13" i="19"/>
  <c r="K13" i="19"/>
  <c r="Q12" i="19"/>
  <c r="P12" i="19"/>
  <c r="N12" i="19"/>
  <c r="M12" i="19"/>
  <c r="L12" i="19"/>
  <c r="K12" i="19"/>
  <c r="Q11" i="19"/>
  <c r="P11" i="19"/>
  <c r="N11" i="19"/>
  <c r="M11" i="19"/>
  <c r="L11" i="19"/>
  <c r="K11" i="19"/>
  <c r="Q10" i="19"/>
  <c r="P10" i="19"/>
  <c r="N10" i="19"/>
  <c r="M10" i="19"/>
  <c r="L10" i="19"/>
  <c r="K10" i="19"/>
  <c r="Q9" i="19"/>
  <c r="P9" i="19"/>
  <c r="N9" i="19"/>
  <c r="M9" i="19"/>
  <c r="L9" i="19"/>
  <c r="K9" i="19"/>
  <c r="Q8" i="19"/>
  <c r="P8" i="19"/>
  <c r="N8" i="19"/>
  <c r="M8" i="19"/>
  <c r="L8" i="19"/>
  <c r="K8" i="19"/>
  <c r="Q7" i="19"/>
  <c r="P7" i="19"/>
  <c r="N7" i="19"/>
  <c r="M7" i="19"/>
  <c r="L7" i="19"/>
  <c r="K7" i="19"/>
  <c r="H7" i="19"/>
  <c r="O7" i="19" s="1"/>
  <c r="Q6" i="19"/>
  <c r="P6" i="19"/>
  <c r="N6" i="19"/>
  <c r="M6" i="19"/>
  <c r="L6" i="19"/>
  <c r="K6" i="19"/>
  <c r="H6" i="19"/>
  <c r="O6" i="19" s="1"/>
  <c r="R6" i="19" s="1"/>
  <c r="Q5" i="19"/>
  <c r="Q36" i="19" s="1"/>
  <c r="P5" i="19"/>
  <c r="P36" i="19" s="1"/>
  <c r="O5" i="19"/>
  <c r="N5" i="19"/>
  <c r="N36" i="19" s="1"/>
  <c r="M5" i="19"/>
  <c r="M36" i="19" s="1"/>
  <c r="L5" i="19"/>
  <c r="L36" i="19" s="1"/>
  <c r="K5" i="19"/>
  <c r="R5" i="19" s="1"/>
  <c r="J4" i="24" l="1"/>
  <c r="J35" i="24" s="1"/>
  <c r="A1" i="24" s="1"/>
  <c r="AC38" i="23"/>
  <c r="R38" i="23"/>
  <c r="AD7" i="23"/>
  <c r="X38" i="23"/>
  <c r="P8" i="23"/>
  <c r="K5" i="22"/>
  <c r="K36" i="22" s="1"/>
  <c r="A1" i="22" s="1"/>
  <c r="S38" i="21"/>
  <c r="S39" i="21" s="1"/>
  <c r="A1" i="21" s="1"/>
  <c r="L38" i="21"/>
  <c r="R5" i="20"/>
  <c r="R36" i="20" s="1"/>
  <c r="A1" i="20" s="1"/>
  <c r="K36" i="20"/>
  <c r="R7" i="19"/>
  <c r="K36" i="19"/>
  <c r="H8" i="19"/>
  <c r="P9" i="23" l="1"/>
  <c r="AD8" i="23"/>
  <c r="AE8" i="23" s="1"/>
  <c r="AE7" i="23"/>
  <c r="H9" i="19"/>
  <c r="O8" i="19"/>
  <c r="P10" i="23" l="1"/>
  <c r="AD9" i="23"/>
  <c r="H10" i="19"/>
  <c r="O9" i="19"/>
  <c r="R9" i="19" s="1"/>
  <c r="R8" i="19"/>
  <c r="AE9" i="23" l="1"/>
  <c r="AD10" i="23"/>
  <c r="AE10" i="23" s="1"/>
  <c r="P11" i="23"/>
  <c r="O10" i="19"/>
  <c r="H11" i="19"/>
  <c r="AD11" i="23" l="1"/>
  <c r="AE11" i="23" s="1"/>
  <c r="P12" i="23"/>
  <c r="H12" i="19"/>
  <c r="O11" i="19"/>
  <c r="R11" i="19" s="1"/>
  <c r="R10" i="19"/>
  <c r="P13" i="23" l="1"/>
  <c r="AD12" i="23"/>
  <c r="AE12" i="23" s="1"/>
  <c r="O12" i="19"/>
  <c r="H13" i="19"/>
  <c r="P14" i="23" l="1"/>
  <c r="AD13" i="23"/>
  <c r="AE13" i="23" s="1"/>
  <c r="O13" i="19"/>
  <c r="R13" i="19" s="1"/>
  <c r="H14" i="19"/>
  <c r="R12" i="19"/>
  <c r="P15" i="23" l="1"/>
  <c r="AD14" i="23"/>
  <c r="AE14" i="23" s="1"/>
  <c r="H15" i="19"/>
  <c r="O14" i="19"/>
  <c r="R14" i="19" s="1"/>
  <c r="P16" i="23" l="1"/>
  <c r="AD15" i="23"/>
  <c r="AE15" i="23" s="1"/>
  <c r="O15" i="19"/>
  <c r="R15" i="19" s="1"/>
  <c r="H16" i="19"/>
  <c r="P17" i="23" l="1"/>
  <c r="AD16" i="23"/>
  <c r="AE16" i="23" s="1"/>
  <c r="H17" i="19"/>
  <c r="O16" i="19"/>
  <c r="R16" i="19" s="1"/>
  <c r="P18" i="23" l="1"/>
  <c r="AD17" i="23"/>
  <c r="AE17" i="23" s="1"/>
  <c r="H18" i="19"/>
  <c r="O17" i="19"/>
  <c r="R17" i="19" s="1"/>
  <c r="AD18" i="23" l="1"/>
  <c r="AE18" i="23" s="1"/>
  <c r="P19" i="23"/>
  <c r="H19" i="19"/>
  <c r="O18" i="19"/>
  <c r="R18" i="19" s="1"/>
  <c r="AD19" i="23" l="1"/>
  <c r="AE19" i="23" s="1"/>
  <c r="P20" i="23"/>
  <c r="H20" i="19"/>
  <c r="O19" i="19"/>
  <c r="R19" i="19" s="1"/>
  <c r="P21" i="23" l="1"/>
  <c r="AD20" i="23"/>
  <c r="AE20" i="23" s="1"/>
  <c r="O20" i="19"/>
  <c r="R20" i="19" s="1"/>
  <c r="H21" i="19"/>
  <c r="P22" i="23" l="1"/>
  <c r="AD21" i="23"/>
  <c r="AE21" i="23" s="1"/>
  <c r="H22" i="19"/>
  <c r="O21" i="19"/>
  <c r="R21" i="19" s="1"/>
  <c r="P23" i="23" l="1"/>
  <c r="AD22" i="23"/>
  <c r="AE22" i="23" s="1"/>
  <c r="O22" i="19"/>
  <c r="R22" i="19" s="1"/>
  <c r="H23" i="19"/>
  <c r="P24" i="23" l="1"/>
  <c r="AD23" i="23"/>
  <c r="AE23" i="23" s="1"/>
  <c r="H24" i="19"/>
  <c r="O23" i="19"/>
  <c r="R23" i="19" s="1"/>
  <c r="P25" i="23" l="1"/>
  <c r="AD24" i="23"/>
  <c r="AE24" i="23" s="1"/>
  <c r="H25" i="19"/>
  <c r="O24" i="19"/>
  <c r="R24" i="19" s="1"/>
  <c r="P26" i="23" l="1"/>
  <c r="AD25" i="23"/>
  <c r="AE25" i="23" s="1"/>
  <c r="H26" i="19"/>
  <c r="O25" i="19"/>
  <c r="R25" i="19" s="1"/>
  <c r="AD26" i="23" l="1"/>
  <c r="AE26" i="23" s="1"/>
  <c r="P27" i="23"/>
  <c r="H27" i="19"/>
  <c r="O26" i="19"/>
  <c r="R26" i="19" s="1"/>
  <c r="AD27" i="23" l="1"/>
  <c r="AE27" i="23" s="1"/>
  <c r="P28" i="23"/>
  <c r="H28" i="19"/>
  <c r="O27" i="19"/>
  <c r="R27" i="19" s="1"/>
  <c r="P29" i="23" l="1"/>
  <c r="AD28" i="23"/>
  <c r="AE28" i="23" s="1"/>
  <c r="H29" i="19"/>
  <c r="O28" i="19"/>
  <c r="R28" i="19" s="1"/>
  <c r="P30" i="23" l="1"/>
  <c r="AD29" i="23"/>
  <c r="AE29" i="23" s="1"/>
  <c r="O29" i="19"/>
  <c r="R29" i="19" s="1"/>
  <c r="H30" i="19"/>
  <c r="P31" i="23" l="1"/>
  <c r="AD30" i="23"/>
  <c r="AE30" i="23" s="1"/>
  <c r="H31" i="19"/>
  <c r="O30" i="19"/>
  <c r="R30" i="19" s="1"/>
  <c r="P32" i="23" l="1"/>
  <c r="AD31" i="23"/>
  <c r="AE31" i="23" s="1"/>
  <c r="O31" i="19"/>
  <c r="R31" i="19" s="1"/>
  <c r="H32" i="19"/>
  <c r="P33" i="23" l="1"/>
  <c r="AD32" i="23"/>
  <c r="AE32" i="23" s="1"/>
  <c r="O32" i="19"/>
  <c r="H36" i="19"/>
  <c r="P34" i="23" l="1"/>
  <c r="AD33" i="23"/>
  <c r="AE33" i="23" s="1"/>
  <c r="R32" i="19"/>
  <c r="R36" i="19" s="1"/>
  <c r="A1" i="19" s="1"/>
  <c r="O36" i="19"/>
  <c r="P35" i="23" l="1"/>
  <c r="AD34" i="23"/>
  <c r="AE34" i="23" s="1"/>
  <c r="AD35" i="23" l="1"/>
  <c r="AE35" i="23" s="1"/>
  <c r="P36" i="23"/>
  <c r="AD36" i="23" l="1"/>
  <c r="AE36" i="23" s="1"/>
  <c r="P37" i="23"/>
  <c r="AD37" i="23" l="1"/>
  <c r="P38" i="23"/>
  <c r="AE37" i="23" l="1"/>
  <c r="AE38" i="23" s="1"/>
  <c r="AE41" i="23" s="1"/>
  <c r="A1" i="23" s="1"/>
  <c r="AD38" i="23"/>
  <c r="B14" i="18" l="1"/>
  <c r="F11" i="18"/>
  <c r="G11" i="18" s="1"/>
  <c r="F10" i="18"/>
  <c r="G10" i="18" s="1"/>
  <c r="G12" i="18" s="1"/>
  <c r="A7" i="18"/>
  <c r="A4" i="18"/>
  <c r="A3" i="18"/>
  <c r="F12" i="18" l="1"/>
  <c r="B14" i="17" l="1"/>
  <c r="F11" i="17"/>
  <c r="G11" i="17" s="1"/>
  <c r="F10" i="17"/>
  <c r="G10" i="17" s="1"/>
  <c r="G12" i="17" s="1"/>
  <c r="A7" i="17"/>
  <c r="A4" i="17"/>
  <c r="A3" i="17"/>
  <c r="F12" i="17" l="1"/>
  <c r="B14" i="16" l="1"/>
  <c r="F11" i="16"/>
  <c r="G11" i="16" s="1"/>
  <c r="F10" i="16"/>
  <c r="G10" i="16" s="1"/>
  <c r="G12" i="16" s="1"/>
  <c r="A7" i="16"/>
  <c r="A4" i="16"/>
  <c r="A3" i="16"/>
  <c r="F12" i="16" l="1"/>
  <c r="D15" i="14" l="1"/>
  <c r="F15" i="14" s="1"/>
  <c r="D14" i="14"/>
  <c r="F14" i="14" s="1"/>
  <c r="D13" i="14"/>
  <c r="F13" i="14" s="1"/>
  <c r="F12" i="14"/>
  <c r="D11" i="14"/>
  <c r="F11" i="14" s="1"/>
  <c r="D10" i="14"/>
  <c r="F10" i="14" s="1"/>
  <c r="F17" i="14" s="1"/>
  <c r="F18" i="14" s="1"/>
  <c r="F19" i="14" s="1"/>
  <c r="A7" i="14"/>
  <c r="A4" i="14"/>
  <c r="A3" i="14"/>
  <c r="D15" i="13"/>
  <c r="F15" i="13" s="1"/>
  <c r="D14" i="13"/>
  <c r="F14" i="13" s="1"/>
  <c r="D13" i="13"/>
  <c r="F13" i="13" s="1"/>
  <c r="F12" i="13"/>
  <c r="D11" i="13"/>
  <c r="F11" i="13" s="1"/>
  <c r="D10" i="13"/>
  <c r="F10" i="13" s="1"/>
  <c r="A7" i="13"/>
  <c r="A4" i="13"/>
  <c r="A3" i="13"/>
  <c r="F17" i="12"/>
  <c r="D16" i="12"/>
  <c r="F16" i="12" s="1"/>
  <c r="D15" i="12"/>
  <c r="F15" i="12" s="1"/>
  <c r="D14" i="12"/>
  <c r="F14" i="12" s="1"/>
  <c r="F13" i="12"/>
  <c r="D13" i="12"/>
  <c r="F12" i="12"/>
  <c r="F11" i="12"/>
  <c r="D11" i="12"/>
  <c r="D10" i="12"/>
  <c r="F10" i="12" s="1"/>
  <c r="F18" i="12" s="1"/>
  <c r="F19" i="12" s="1"/>
  <c r="F20" i="12" s="1"/>
  <c r="A7" i="12"/>
  <c r="A4" i="12"/>
  <c r="A3" i="12"/>
  <c r="H37" i="11"/>
  <c r="F37" i="11"/>
  <c r="E37" i="11"/>
  <c r="D37" i="11"/>
  <c r="C37" i="11"/>
  <c r="P36" i="11"/>
  <c r="J36" i="11" s="1"/>
  <c r="N36" i="11"/>
  <c r="L36" i="11"/>
  <c r="K36" i="11"/>
  <c r="G36" i="11"/>
  <c r="M36" i="11" s="1"/>
  <c r="P35" i="11"/>
  <c r="J35" i="11" s="1"/>
  <c r="N35" i="11"/>
  <c r="L35" i="11"/>
  <c r="K35" i="11"/>
  <c r="G35" i="11"/>
  <c r="M35" i="11" s="1"/>
  <c r="P34" i="11"/>
  <c r="J34" i="11" s="1"/>
  <c r="N34" i="11"/>
  <c r="M34" i="11"/>
  <c r="L34" i="11"/>
  <c r="K34" i="11"/>
  <c r="G34" i="11"/>
  <c r="P33" i="11"/>
  <c r="I33" i="11" s="1"/>
  <c r="N33" i="11"/>
  <c r="L33" i="11"/>
  <c r="K33" i="11"/>
  <c r="P32" i="11"/>
  <c r="J32" i="11" s="1"/>
  <c r="N32" i="11"/>
  <c r="L32" i="11"/>
  <c r="K32" i="11"/>
  <c r="P31" i="11"/>
  <c r="J31" i="11" s="1"/>
  <c r="N31" i="11"/>
  <c r="L31" i="11"/>
  <c r="K31" i="11"/>
  <c r="P30" i="11"/>
  <c r="J30" i="11" s="1"/>
  <c r="N30" i="11"/>
  <c r="L30" i="11"/>
  <c r="K30" i="11"/>
  <c r="I30" i="11"/>
  <c r="P29" i="11"/>
  <c r="J29" i="11" s="1"/>
  <c r="N29" i="11"/>
  <c r="L29" i="11"/>
  <c r="K29" i="11"/>
  <c r="P28" i="11"/>
  <c r="J28" i="11" s="1"/>
  <c r="N28" i="11"/>
  <c r="L28" i="11"/>
  <c r="K28" i="11"/>
  <c r="P27" i="11"/>
  <c r="J27" i="11" s="1"/>
  <c r="N27" i="11"/>
  <c r="L27" i="11"/>
  <c r="K27" i="11"/>
  <c r="P26" i="11"/>
  <c r="J26" i="11" s="1"/>
  <c r="N26" i="11"/>
  <c r="L26" i="11"/>
  <c r="K26" i="11"/>
  <c r="P25" i="11"/>
  <c r="J25" i="11" s="1"/>
  <c r="N25" i="11"/>
  <c r="L25" i="11"/>
  <c r="K25" i="11"/>
  <c r="P24" i="11"/>
  <c r="J24" i="11" s="1"/>
  <c r="N24" i="11"/>
  <c r="L24" i="11"/>
  <c r="K24" i="11"/>
  <c r="P23" i="11"/>
  <c r="J23" i="11" s="1"/>
  <c r="N23" i="11"/>
  <c r="L23" i="11"/>
  <c r="K23" i="11"/>
  <c r="P22" i="11"/>
  <c r="J22" i="11" s="1"/>
  <c r="N22" i="11"/>
  <c r="L22" i="11"/>
  <c r="K22" i="11"/>
  <c r="P21" i="11"/>
  <c r="N21" i="11"/>
  <c r="L21" i="11"/>
  <c r="K21" i="11"/>
  <c r="J21" i="11"/>
  <c r="I21" i="11"/>
  <c r="P20" i="11"/>
  <c r="J20" i="11" s="1"/>
  <c r="N20" i="11"/>
  <c r="L20" i="11"/>
  <c r="K20" i="11"/>
  <c r="P19" i="11"/>
  <c r="N19" i="11"/>
  <c r="L19" i="11"/>
  <c r="K19" i="11"/>
  <c r="J19" i="11"/>
  <c r="I19" i="11"/>
  <c r="P18" i="11"/>
  <c r="J18" i="11" s="1"/>
  <c r="N18" i="11"/>
  <c r="L18" i="11"/>
  <c r="K18" i="11"/>
  <c r="P17" i="11"/>
  <c r="I17" i="11" s="1"/>
  <c r="N17" i="11"/>
  <c r="L17" i="11"/>
  <c r="K17" i="11"/>
  <c r="P16" i="11"/>
  <c r="J16" i="11" s="1"/>
  <c r="N16" i="11"/>
  <c r="L16" i="11"/>
  <c r="K16" i="11"/>
  <c r="P15" i="11"/>
  <c r="J15" i="11" s="1"/>
  <c r="N15" i="11"/>
  <c r="L15" i="11"/>
  <c r="K15" i="11"/>
  <c r="P14" i="11"/>
  <c r="I14" i="11" s="1"/>
  <c r="N14" i="11"/>
  <c r="L14" i="11"/>
  <c r="K14" i="11"/>
  <c r="J14" i="11"/>
  <c r="P13" i="11"/>
  <c r="J13" i="11" s="1"/>
  <c r="N13" i="11"/>
  <c r="L13" i="11"/>
  <c r="K13" i="11"/>
  <c r="P12" i="11"/>
  <c r="J12" i="11" s="1"/>
  <c r="N12" i="11"/>
  <c r="L12" i="11"/>
  <c r="K12" i="11"/>
  <c r="I12" i="11"/>
  <c r="P11" i="11"/>
  <c r="J11" i="11" s="1"/>
  <c r="N11" i="11"/>
  <c r="L11" i="11"/>
  <c r="K11" i="11"/>
  <c r="P10" i="11"/>
  <c r="J10" i="11" s="1"/>
  <c r="N10" i="11"/>
  <c r="L10" i="11"/>
  <c r="K10" i="11"/>
  <c r="P9" i="11"/>
  <c r="N9" i="11"/>
  <c r="L9" i="11"/>
  <c r="K9" i="11"/>
  <c r="J9" i="11"/>
  <c r="I9" i="11"/>
  <c r="P8" i="11"/>
  <c r="J8" i="11" s="1"/>
  <c r="N8" i="11"/>
  <c r="L8" i="11"/>
  <c r="K8" i="11"/>
  <c r="P7" i="11"/>
  <c r="J7" i="11" s="1"/>
  <c r="N7" i="11"/>
  <c r="L7" i="11"/>
  <c r="K7" i="11"/>
  <c r="G7" i="11"/>
  <c r="G8" i="11" s="1"/>
  <c r="P6" i="11"/>
  <c r="J6" i="11" s="1"/>
  <c r="N6" i="11"/>
  <c r="N37" i="11" s="1"/>
  <c r="M6" i="11"/>
  <c r="L6" i="11"/>
  <c r="K6" i="11"/>
  <c r="K37" i="11" s="1"/>
  <c r="A3" i="11"/>
  <c r="H37" i="10"/>
  <c r="F37" i="10"/>
  <c r="E37" i="10"/>
  <c r="D37" i="10"/>
  <c r="C37" i="10"/>
  <c r="P36" i="10"/>
  <c r="J36" i="10" s="1"/>
  <c r="N36" i="10"/>
  <c r="L36" i="10"/>
  <c r="K36" i="10"/>
  <c r="G36" i="10"/>
  <c r="M36" i="10" s="1"/>
  <c r="P35" i="10"/>
  <c r="J35" i="10" s="1"/>
  <c r="N35" i="10"/>
  <c r="L35" i="10"/>
  <c r="K35" i="10"/>
  <c r="I35" i="10"/>
  <c r="G35" i="10"/>
  <c r="M35" i="10" s="1"/>
  <c r="P34" i="10"/>
  <c r="J34" i="10" s="1"/>
  <c r="N34" i="10"/>
  <c r="M34" i="10"/>
  <c r="L34" i="10"/>
  <c r="K34" i="10"/>
  <c r="I34" i="10"/>
  <c r="G34" i="10"/>
  <c r="P33" i="10"/>
  <c r="I33" i="10" s="1"/>
  <c r="N33" i="10"/>
  <c r="L33" i="10"/>
  <c r="K33" i="10"/>
  <c r="P32" i="10"/>
  <c r="J32" i="10" s="1"/>
  <c r="N32" i="10"/>
  <c r="L32" i="10"/>
  <c r="K32" i="10"/>
  <c r="P31" i="10"/>
  <c r="J31" i="10" s="1"/>
  <c r="N31" i="10"/>
  <c r="L31" i="10"/>
  <c r="K31" i="10"/>
  <c r="P30" i="10"/>
  <c r="J30" i="10" s="1"/>
  <c r="N30" i="10"/>
  <c r="L30" i="10"/>
  <c r="K30" i="10"/>
  <c r="I30" i="10"/>
  <c r="P29" i="10"/>
  <c r="J29" i="10" s="1"/>
  <c r="N29" i="10"/>
  <c r="L29" i="10"/>
  <c r="K29" i="10"/>
  <c r="P28" i="10"/>
  <c r="J28" i="10" s="1"/>
  <c r="N28" i="10"/>
  <c r="L28" i="10"/>
  <c r="K28" i="10"/>
  <c r="I28" i="10"/>
  <c r="P27" i="10"/>
  <c r="J27" i="10" s="1"/>
  <c r="N27" i="10"/>
  <c r="L27" i="10"/>
  <c r="K27" i="10"/>
  <c r="P26" i="10"/>
  <c r="J26" i="10" s="1"/>
  <c r="N26" i="10"/>
  <c r="L26" i="10"/>
  <c r="K26" i="10"/>
  <c r="I26" i="10"/>
  <c r="P25" i="10"/>
  <c r="J25" i="10" s="1"/>
  <c r="N25" i="10"/>
  <c r="L25" i="10"/>
  <c r="K25" i="10"/>
  <c r="I25" i="10"/>
  <c r="P24" i="10"/>
  <c r="J24" i="10" s="1"/>
  <c r="N24" i="10"/>
  <c r="L24" i="10"/>
  <c r="K24" i="10"/>
  <c r="P23" i="10"/>
  <c r="J23" i="10" s="1"/>
  <c r="N23" i="10"/>
  <c r="L23" i="10"/>
  <c r="K23" i="10"/>
  <c r="I23" i="10"/>
  <c r="P22" i="10"/>
  <c r="J22" i="10" s="1"/>
  <c r="N22" i="10"/>
  <c r="L22" i="10"/>
  <c r="K22" i="10"/>
  <c r="P21" i="10"/>
  <c r="N21" i="10"/>
  <c r="L21" i="10"/>
  <c r="K21" i="10"/>
  <c r="J21" i="10"/>
  <c r="I21" i="10"/>
  <c r="P20" i="10"/>
  <c r="J20" i="10" s="1"/>
  <c r="N20" i="10"/>
  <c r="L20" i="10"/>
  <c r="K20" i="10"/>
  <c r="P19" i="10"/>
  <c r="J19" i="10" s="1"/>
  <c r="N19" i="10"/>
  <c r="L19" i="10"/>
  <c r="K19" i="10"/>
  <c r="I19" i="10"/>
  <c r="P18" i="10"/>
  <c r="J18" i="10" s="1"/>
  <c r="N18" i="10"/>
  <c r="L18" i="10"/>
  <c r="K18" i="10"/>
  <c r="I18" i="10"/>
  <c r="P17" i="10"/>
  <c r="I17" i="10" s="1"/>
  <c r="N17" i="10"/>
  <c r="L17" i="10"/>
  <c r="K17" i="10"/>
  <c r="P16" i="10"/>
  <c r="J16" i="10" s="1"/>
  <c r="N16" i="10"/>
  <c r="L16" i="10"/>
  <c r="K16" i="10"/>
  <c r="I16" i="10"/>
  <c r="P15" i="10"/>
  <c r="J15" i="10" s="1"/>
  <c r="N15" i="10"/>
  <c r="L15" i="10"/>
  <c r="K15" i="10"/>
  <c r="P14" i="10"/>
  <c r="I14" i="10" s="1"/>
  <c r="N14" i="10"/>
  <c r="L14" i="10"/>
  <c r="K14" i="10"/>
  <c r="J14" i="10"/>
  <c r="P13" i="10"/>
  <c r="J13" i="10" s="1"/>
  <c r="N13" i="10"/>
  <c r="L13" i="10"/>
  <c r="K13" i="10"/>
  <c r="P12" i="10"/>
  <c r="N12" i="10"/>
  <c r="L12" i="10"/>
  <c r="K12" i="10"/>
  <c r="J12" i="10"/>
  <c r="I12" i="10"/>
  <c r="P11" i="10"/>
  <c r="J11" i="10" s="1"/>
  <c r="N11" i="10"/>
  <c r="L11" i="10"/>
  <c r="K11" i="10"/>
  <c r="P10" i="10"/>
  <c r="I10" i="10" s="1"/>
  <c r="N10" i="10"/>
  <c r="L10" i="10"/>
  <c r="K10" i="10"/>
  <c r="J10" i="10"/>
  <c r="P9" i="10"/>
  <c r="N9" i="10"/>
  <c r="L9" i="10"/>
  <c r="K9" i="10"/>
  <c r="J9" i="10"/>
  <c r="I9" i="10"/>
  <c r="P8" i="10"/>
  <c r="J8" i="10" s="1"/>
  <c r="N8" i="10"/>
  <c r="L8" i="10"/>
  <c r="K8" i="10"/>
  <c r="P7" i="10"/>
  <c r="J7" i="10" s="1"/>
  <c r="N7" i="10"/>
  <c r="L7" i="10"/>
  <c r="K7" i="10"/>
  <c r="G7" i="10"/>
  <c r="G8" i="10" s="1"/>
  <c r="P6" i="10"/>
  <c r="J6" i="10" s="1"/>
  <c r="N6" i="10"/>
  <c r="N37" i="10" s="1"/>
  <c r="M6" i="10"/>
  <c r="L6" i="10"/>
  <c r="L37" i="10" s="1"/>
  <c r="K6" i="10"/>
  <c r="A3" i="10"/>
  <c r="H37" i="9"/>
  <c r="F37" i="9"/>
  <c r="E37" i="9"/>
  <c r="P36" i="9"/>
  <c r="J36" i="9" s="1"/>
  <c r="N36" i="9"/>
  <c r="M36" i="9"/>
  <c r="L36" i="9"/>
  <c r="K36" i="9"/>
  <c r="P35" i="9"/>
  <c r="J35" i="9" s="1"/>
  <c r="N35" i="9"/>
  <c r="L35" i="9"/>
  <c r="K35" i="9"/>
  <c r="D35" i="9"/>
  <c r="C35" i="9"/>
  <c r="P34" i="9"/>
  <c r="J34" i="9" s="1"/>
  <c r="N34" i="9"/>
  <c r="L34" i="9"/>
  <c r="K34" i="9"/>
  <c r="D34" i="9"/>
  <c r="C34" i="9"/>
  <c r="I34" i="9" s="1"/>
  <c r="P33" i="9"/>
  <c r="J33" i="9" s="1"/>
  <c r="N33" i="9"/>
  <c r="L33" i="9"/>
  <c r="K33" i="9"/>
  <c r="D33" i="9"/>
  <c r="C33" i="9"/>
  <c r="P32" i="9"/>
  <c r="J32" i="9" s="1"/>
  <c r="N32" i="9"/>
  <c r="L32" i="9"/>
  <c r="K32" i="9"/>
  <c r="D32" i="9"/>
  <c r="C32" i="9"/>
  <c r="P31" i="9"/>
  <c r="J31" i="9" s="1"/>
  <c r="N31" i="9"/>
  <c r="L31" i="9"/>
  <c r="K31" i="9"/>
  <c r="D31" i="9"/>
  <c r="C31" i="9"/>
  <c r="P30" i="9"/>
  <c r="J30" i="9" s="1"/>
  <c r="N30" i="9"/>
  <c r="L30" i="9"/>
  <c r="K30" i="9"/>
  <c r="D30" i="9"/>
  <c r="C30" i="9"/>
  <c r="P29" i="9"/>
  <c r="J29" i="9" s="1"/>
  <c r="N29" i="9"/>
  <c r="L29" i="9"/>
  <c r="K29" i="9"/>
  <c r="D29" i="9"/>
  <c r="C29" i="9"/>
  <c r="P28" i="9"/>
  <c r="J28" i="9" s="1"/>
  <c r="N28" i="9"/>
  <c r="L28" i="9"/>
  <c r="K28" i="9"/>
  <c r="D28" i="9"/>
  <c r="C28" i="9"/>
  <c r="I28" i="9" s="1"/>
  <c r="P27" i="9"/>
  <c r="J27" i="9" s="1"/>
  <c r="N27" i="9"/>
  <c r="L27" i="9"/>
  <c r="K27" i="9"/>
  <c r="D27" i="9"/>
  <c r="C27" i="9"/>
  <c r="P26" i="9"/>
  <c r="I26" i="9" s="1"/>
  <c r="N26" i="9"/>
  <c r="L26" i="9"/>
  <c r="K26" i="9"/>
  <c r="D26" i="9"/>
  <c r="C26" i="9"/>
  <c r="P25" i="9"/>
  <c r="N25" i="9"/>
  <c r="L25" i="9"/>
  <c r="K25" i="9"/>
  <c r="D25" i="9"/>
  <c r="J25" i="9" s="1"/>
  <c r="C25" i="9"/>
  <c r="I25" i="9" s="1"/>
  <c r="P24" i="9"/>
  <c r="J24" i="9" s="1"/>
  <c r="N24" i="9"/>
  <c r="L24" i="9"/>
  <c r="K24" i="9"/>
  <c r="D24" i="9"/>
  <c r="C24" i="9"/>
  <c r="P23" i="9"/>
  <c r="J23" i="9" s="1"/>
  <c r="N23" i="9"/>
  <c r="L23" i="9"/>
  <c r="K23" i="9"/>
  <c r="D23" i="9"/>
  <c r="C23" i="9"/>
  <c r="P22" i="9"/>
  <c r="N22" i="9"/>
  <c r="L22" i="9"/>
  <c r="K22" i="9"/>
  <c r="D22" i="9"/>
  <c r="C22" i="9"/>
  <c r="P21" i="9"/>
  <c r="J21" i="9" s="1"/>
  <c r="N21" i="9"/>
  <c r="L21" i="9"/>
  <c r="K21" i="9"/>
  <c r="D21" i="9"/>
  <c r="C21" i="9"/>
  <c r="I21" i="9" s="1"/>
  <c r="P20" i="9"/>
  <c r="J20" i="9" s="1"/>
  <c r="N20" i="9"/>
  <c r="L20" i="9"/>
  <c r="K20" i="9"/>
  <c r="D20" i="9"/>
  <c r="C20" i="9"/>
  <c r="P19" i="9"/>
  <c r="J19" i="9" s="1"/>
  <c r="N19" i="9"/>
  <c r="L19" i="9"/>
  <c r="K19" i="9"/>
  <c r="D19" i="9"/>
  <c r="C19" i="9"/>
  <c r="P18" i="9"/>
  <c r="N18" i="9"/>
  <c r="L18" i="9"/>
  <c r="K18" i="9"/>
  <c r="I18" i="9"/>
  <c r="D18" i="9"/>
  <c r="C18" i="9"/>
  <c r="P17" i="9"/>
  <c r="J17" i="9" s="1"/>
  <c r="N17" i="9"/>
  <c r="L17" i="9"/>
  <c r="K17" i="9"/>
  <c r="D17" i="9"/>
  <c r="C17" i="9"/>
  <c r="P16" i="9"/>
  <c r="J16" i="9" s="1"/>
  <c r="N16" i="9"/>
  <c r="L16" i="9"/>
  <c r="K16" i="9"/>
  <c r="D16" i="9"/>
  <c r="C16" i="9"/>
  <c r="P15" i="9"/>
  <c r="I15" i="9" s="1"/>
  <c r="N15" i="9"/>
  <c r="L15" i="9"/>
  <c r="K15" i="9"/>
  <c r="J15" i="9"/>
  <c r="D15" i="9"/>
  <c r="C15" i="9"/>
  <c r="P14" i="9"/>
  <c r="J14" i="9" s="1"/>
  <c r="N14" i="9"/>
  <c r="L14" i="9"/>
  <c r="K14" i="9"/>
  <c r="D14" i="9"/>
  <c r="C14" i="9"/>
  <c r="P13" i="9"/>
  <c r="J13" i="9" s="1"/>
  <c r="N13" i="9"/>
  <c r="L13" i="9"/>
  <c r="K13" i="9"/>
  <c r="D13" i="9"/>
  <c r="C13" i="9"/>
  <c r="P12" i="9"/>
  <c r="N12" i="9"/>
  <c r="L12" i="9"/>
  <c r="K12" i="9"/>
  <c r="D12" i="9"/>
  <c r="J12" i="9" s="1"/>
  <c r="C12" i="9"/>
  <c r="I12" i="9" s="1"/>
  <c r="P11" i="9"/>
  <c r="J11" i="9" s="1"/>
  <c r="N11" i="9"/>
  <c r="L11" i="9"/>
  <c r="K11" i="9"/>
  <c r="D11" i="9"/>
  <c r="C11" i="9"/>
  <c r="P10" i="9"/>
  <c r="I10" i="9" s="1"/>
  <c r="N10" i="9"/>
  <c r="L10" i="9"/>
  <c r="K10" i="9"/>
  <c r="D10" i="9"/>
  <c r="C10" i="9"/>
  <c r="P9" i="9"/>
  <c r="N9" i="9"/>
  <c r="L9" i="9"/>
  <c r="K9" i="9"/>
  <c r="D9" i="9"/>
  <c r="C9" i="9"/>
  <c r="P8" i="9"/>
  <c r="N8" i="9"/>
  <c r="L8" i="9"/>
  <c r="K8" i="9"/>
  <c r="D8" i="9"/>
  <c r="C8" i="9"/>
  <c r="P7" i="9"/>
  <c r="J7" i="9" s="1"/>
  <c r="N7" i="9"/>
  <c r="L7" i="9"/>
  <c r="K7" i="9"/>
  <c r="D7" i="9"/>
  <c r="C7" i="9"/>
  <c r="P6" i="9"/>
  <c r="N6" i="9"/>
  <c r="N37" i="9" s="1"/>
  <c r="M6" i="9"/>
  <c r="L6" i="9"/>
  <c r="K6" i="9"/>
  <c r="G6" i="9"/>
  <c r="G7" i="9" s="1"/>
  <c r="D6" i="9"/>
  <c r="J6" i="9" s="1"/>
  <c r="C6" i="9"/>
  <c r="A3" i="9"/>
  <c r="H37" i="8"/>
  <c r="F37" i="8"/>
  <c r="E37" i="8"/>
  <c r="D37" i="8"/>
  <c r="C37" i="8"/>
  <c r="P36" i="8"/>
  <c r="J36" i="8" s="1"/>
  <c r="N36" i="8"/>
  <c r="L36" i="8"/>
  <c r="K36" i="8"/>
  <c r="G36" i="8"/>
  <c r="M36" i="8" s="1"/>
  <c r="P35" i="8"/>
  <c r="J35" i="8" s="1"/>
  <c r="N35" i="8"/>
  <c r="L35" i="8"/>
  <c r="K35" i="8"/>
  <c r="I35" i="8"/>
  <c r="G35" i="8"/>
  <c r="M35" i="8" s="1"/>
  <c r="P34" i="8"/>
  <c r="J34" i="8" s="1"/>
  <c r="N34" i="8"/>
  <c r="L34" i="8"/>
  <c r="K34" i="8"/>
  <c r="I34" i="8"/>
  <c r="G34" i="8"/>
  <c r="M34" i="8" s="1"/>
  <c r="P33" i="8"/>
  <c r="I33" i="8" s="1"/>
  <c r="N33" i="8"/>
  <c r="L33" i="8"/>
  <c r="K33" i="8"/>
  <c r="P32" i="8"/>
  <c r="J32" i="8" s="1"/>
  <c r="N32" i="8"/>
  <c r="L32" i="8"/>
  <c r="K32" i="8"/>
  <c r="P31" i="8"/>
  <c r="J31" i="8" s="1"/>
  <c r="N31" i="8"/>
  <c r="L31" i="8"/>
  <c r="K31" i="8"/>
  <c r="P30" i="8"/>
  <c r="N30" i="8"/>
  <c r="L30" i="8"/>
  <c r="K30" i="8"/>
  <c r="J30" i="8"/>
  <c r="I30" i="8"/>
  <c r="P29" i="8"/>
  <c r="J29" i="8" s="1"/>
  <c r="N29" i="8"/>
  <c r="L29" i="8"/>
  <c r="K29" i="8"/>
  <c r="P28" i="8"/>
  <c r="J28" i="8" s="1"/>
  <c r="N28" i="8"/>
  <c r="L28" i="8"/>
  <c r="K28" i="8"/>
  <c r="P27" i="8"/>
  <c r="J27" i="8" s="1"/>
  <c r="N27" i="8"/>
  <c r="L27" i="8"/>
  <c r="K27" i="8"/>
  <c r="P26" i="8"/>
  <c r="N26" i="8"/>
  <c r="L26" i="8"/>
  <c r="K26" i="8"/>
  <c r="J26" i="8"/>
  <c r="I26" i="8"/>
  <c r="P25" i="8"/>
  <c r="J25" i="8" s="1"/>
  <c r="N25" i="8"/>
  <c r="L25" i="8"/>
  <c r="K25" i="8"/>
  <c r="P24" i="8"/>
  <c r="J24" i="8" s="1"/>
  <c r="N24" i="8"/>
  <c r="L24" i="8"/>
  <c r="K24" i="8"/>
  <c r="P23" i="8"/>
  <c r="N23" i="8"/>
  <c r="L23" i="8"/>
  <c r="K23" i="8"/>
  <c r="J23" i="8"/>
  <c r="I23" i="8"/>
  <c r="P22" i="8"/>
  <c r="J22" i="8" s="1"/>
  <c r="N22" i="8"/>
  <c r="L22" i="8"/>
  <c r="K22" i="8"/>
  <c r="P21" i="8"/>
  <c r="N21" i="8"/>
  <c r="L21" i="8"/>
  <c r="K21" i="8"/>
  <c r="J21" i="8"/>
  <c r="I21" i="8"/>
  <c r="P20" i="8"/>
  <c r="J20" i="8" s="1"/>
  <c r="N20" i="8"/>
  <c r="L20" i="8"/>
  <c r="K20" i="8"/>
  <c r="P19" i="8"/>
  <c r="J19" i="8" s="1"/>
  <c r="N19" i="8"/>
  <c r="L19" i="8"/>
  <c r="K19" i="8"/>
  <c r="I19" i="8"/>
  <c r="P18" i="8"/>
  <c r="J18" i="8" s="1"/>
  <c r="N18" i="8"/>
  <c r="L18" i="8"/>
  <c r="K18" i="8"/>
  <c r="P17" i="8"/>
  <c r="I17" i="8" s="1"/>
  <c r="N17" i="8"/>
  <c r="L17" i="8"/>
  <c r="K17" i="8"/>
  <c r="P16" i="8"/>
  <c r="J16" i="8" s="1"/>
  <c r="N16" i="8"/>
  <c r="L16" i="8"/>
  <c r="K16" i="8"/>
  <c r="I16" i="8"/>
  <c r="P15" i="8"/>
  <c r="J15" i="8" s="1"/>
  <c r="N15" i="8"/>
  <c r="L15" i="8"/>
  <c r="K15" i="8"/>
  <c r="P14" i="8"/>
  <c r="N14" i="8"/>
  <c r="L14" i="8"/>
  <c r="K14" i="8"/>
  <c r="J14" i="8"/>
  <c r="I14" i="8"/>
  <c r="P13" i="8"/>
  <c r="J13" i="8" s="1"/>
  <c r="N13" i="8"/>
  <c r="L13" i="8"/>
  <c r="K13" i="8"/>
  <c r="P12" i="8"/>
  <c r="J12" i="8" s="1"/>
  <c r="N12" i="8"/>
  <c r="L12" i="8"/>
  <c r="K12" i="8"/>
  <c r="P11" i="8"/>
  <c r="J11" i="8" s="1"/>
  <c r="N11" i="8"/>
  <c r="L11" i="8"/>
  <c r="K11" i="8"/>
  <c r="P10" i="8"/>
  <c r="N10" i="8"/>
  <c r="L10" i="8"/>
  <c r="K10" i="8"/>
  <c r="J10" i="8"/>
  <c r="I10" i="8"/>
  <c r="P9" i="8"/>
  <c r="N9" i="8"/>
  <c r="L9" i="8"/>
  <c r="K9" i="8"/>
  <c r="J9" i="8"/>
  <c r="I9" i="8"/>
  <c r="P8" i="8"/>
  <c r="J8" i="8" s="1"/>
  <c r="N8" i="8"/>
  <c r="L8" i="8"/>
  <c r="K8" i="8"/>
  <c r="P7" i="8"/>
  <c r="N7" i="8"/>
  <c r="L7" i="8"/>
  <c r="K7" i="8"/>
  <c r="J7" i="8"/>
  <c r="I7" i="8"/>
  <c r="G7" i="8"/>
  <c r="G8" i="8" s="1"/>
  <c r="P6" i="8"/>
  <c r="J6" i="8" s="1"/>
  <c r="N6" i="8"/>
  <c r="N37" i="8" s="1"/>
  <c r="M6" i="8"/>
  <c r="L6" i="8"/>
  <c r="L37" i="8" s="1"/>
  <c r="K6" i="8"/>
  <c r="K37" i="8" s="1"/>
  <c r="A3" i="8"/>
  <c r="J36" i="7"/>
  <c r="G36" i="7"/>
  <c r="H36" i="7" s="1"/>
  <c r="I36" i="7" s="1"/>
  <c r="E36" i="7"/>
  <c r="D36" i="7"/>
  <c r="C36" i="7"/>
  <c r="F36" i="7" s="1"/>
  <c r="J35" i="7"/>
  <c r="G35" i="7"/>
  <c r="H35" i="7" s="1"/>
  <c r="I35" i="7" s="1"/>
  <c r="E35" i="7"/>
  <c r="D35" i="7"/>
  <c r="C35" i="7"/>
  <c r="F35" i="7" s="1"/>
  <c r="J34" i="7"/>
  <c r="G34" i="7"/>
  <c r="H34" i="7" s="1"/>
  <c r="I34" i="7" s="1"/>
  <c r="E34" i="7"/>
  <c r="D34" i="7"/>
  <c r="C34" i="7"/>
  <c r="F34" i="7" s="1"/>
  <c r="J33" i="7"/>
  <c r="E33" i="7"/>
  <c r="D33" i="7"/>
  <c r="C33" i="7"/>
  <c r="F33" i="7" s="1"/>
  <c r="G33" i="7" s="1"/>
  <c r="H33" i="7" s="1"/>
  <c r="I33" i="7" s="1"/>
  <c r="J32" i="7"/>
  <c r="E32" i="7"/>
  <c r="D32" i="7"/>
  <c r="C32" i="7"/>
  <c r="F32" i="7" s="1"/>
  <c r="G32" i="7" s="1"/>
  <c r="H32" i="7" s="1"/>
  <c r="I32" i="7" s="1"/>
  <c r="J31" i="7"/>
  <c r="E31" i="7"/>
  <c r="D31" i="7"/>
  <c r="C31" i="7"/>
  <c r="F31" i="7" s="1"/>
  <c r="G31" i="7" s="1"/>
  <c r="H31" i="7" s="1"/>
  <c r="I31" i="7" s="1"/>
  <c r="J30" i="7"/>
  <c r="E30" i="7"/>
  <c r="D30" i="7"/>
  <c r="C30" i="7"/>
  <c r="F30" i="7" s="1"/>
  <c r="G30" i="7" s="1"/>
  <c r="H30" i="7" s="1"/>
  <c r="I30" i="7" s="1"/>
  <c r="J29" i="7"/>
  <c r="E29" i="7"/>
  <c r="D29" i="7"/>
  <c r="C29" i="7"/>
  <c r="F29" i="7" s="1"/>
  <c r="G29" i="7" s="1"/>
  <c r="H29" i="7" s="1"/>
  <c r="I29" i="7" s="1"/>
  <c r="J28" i="7"/>
  <c r="E28" i="7"/>
  <c r="D28" i="7"/>
  <c r="C28" i="7"/>
  <c r="F28" i="7" s="1"/>
  <c r="G28" i="7" s="1"/>
  <c r="H28" i="7" s="1"/>
  <c r="I28" i="7" s="1"/>
  <c r="J27" i="7"/>
  <c r="E27" i="7"/>
  <c r="D27" i="7"/>
  <c r="C27" i="7"/>
  <c r="F27" i="7" s="1"/>
  <c r="G27" i="7" s="1"/>
  <c r="H27" i="7" s="1"/>
  <c r="I27" i="7" s="1"/>
  <c r="J26" i="7"/>
  <c r="E26" i="7"/>
  <c r="D26" i="7"/>
  <c r="C26" i="7"/>
  <c r="F26" i="7" s="1"/>
  <c r="G26" i="7" s="1"/>
  <c r="H26" i="7" s="1"/>
  <c r="I26" i="7" s="1"/>
  <c r="J25" i="7"/>
  <c r="E25" i="7"/>
  <c r="D25" i="7"/>
  <c r="C25" i="7"/>
  <c r="F25" i="7" s="1"/>
  <c r="G25" i="7" s="1"/>
  <c r="H25" i="7" s="1"/>
  <c r="I25" i="7" s="1"/>
  <c r="J24" i="7"/>
  <c r="E24" i="7"/>
  <c r="D24" i="7"/>
  <c r="C24" i="7"/>
  <c r="F24" i="7" s="1"/>
  <c r="G24" i="7" s="1"/>
  <c r="H24" i="7" s="1"/>
  <c r="I24" i="7" s="1"/>
  <c r="J23" i="7"/>
  <c r="E23" i="7"/>
  <c r="D23" i="7"/>
  <c r="C23" i="7"/>
  <c r="F23" i="7" s="1"/>
  <c r="G23" i="7" s="1"/>
  <c r="H23" i="7" s="1"/>
  <c r="I23" i="7" s="1"/>
  <c r="J22" i="7"/>
  <c r="E22" i="7"/>
  <c r="D22" i="7"/>
  <c r="C22" i="7"/>
  <c r="F22" i="7" s="1"/>
  <c r="G22" i="7" s="1"/>
  <c r="H22" i="7" s="1"/>
  <c r="I22" i="7" s="1"/>
  <c r="J21" i="7"/>
  <c r="E21" i="7"/>
  <c r="D21" i="7"/>
  <c r="C21" i="7"/>
  <c r="F21" i="7" s="1"/>
  <c r="G21" i="7" s="1"/>
  <c r="H21" i="7" s="1"/>
  <c r="I21" i="7" s="1"/>
  <c r="J20" i="7"/>
  <c r="E20" i="7"/>
  <c r="D20" i="7"/>
  <c r="C20" i="7"/>
  <c r="F20" i="7" s="1"/>
  <c r="G20" i="7" s="1"/>
  <c r="H20" i="7" s="1"/>
  <c r="I20" i="7" s="1"/>
  <c r="J19" i="7"/>
  <c r="E19" i="7"/>
  <c r="D19" i="7"/>
  <c r="C19" i="7"/>
  <c r="F19" i="7" s="1"/>
  <c r="G19" i="7" s="1"/>
  <c r="H19" i="7" s="1"/>
  <c r="I19" i="7" s="1"/>
  <c r="J18" i="7"/>
  <c r="E18" i="7"/>
  <c r="D18" i="7"/>
  <c r="C18" i="7"/>
  <c r="F18" i="7" s="1"/>
  <c r="G18" i="7" s="1"/>
  <c r="H18" i="7" s="1"/>
  <c r="I18" i="7" s="1"/>
  <c r="J17" i="7"/>
  <c r="E17" i="7"/>
  <c r="D17" i="7"/>
  <c r="C17" i="7"/>
  <c r="F17" i="7" s="1"/>
  <c r="G17" i="7" s="1"/>
  <c r="H17" i="7" s="1"/>
  <c r="I17" i="7" s="1"/>
  <c r="J16" i="7"/>
  <c r="E16" i="7"/>
  <c r="D16" i="7"/>
  <c r="C16" i="7"/>
  <c r="F16" i="7" s="1"/>
  <c r="G16" i="7" s="1"/>
  <c r="H16" i="7" s="1"/>
  <c r="I16" i="7" s="1"/>
  <c r="J15" i="7"/>
  <c r="E15" i="7"/>
  <c r="D15" i="7"/>
  <c r="C15" i="7"/>
  <c r="F15" i="7" s="1"/>
  <c r="G15" i="7" s="1"/>
  <c r="H15" i="7" s="1"/>
  <c r="I15" i="7" s="1"/>
  <c r="J14" i="7"/>
  <c r="E14" i="7"/>
  <c r="D14" i="7"/>
  <c r="C14" i="7"/>
  <c r="F14" i="7" s="1"/>
  <c r="G14" i="7" s="1"/>
  <c r="H14" i="7" s="1"/>
  <c r="I14" i="7" s="1"/>
  <c r="J13" i="7"/>
  <c r="E13" i="7"/>
  <c r="D13" i="7"/>
  <c r="C13" i="7"/>
  <c r="F13" i="7" s="1"/>
  <c r="G13" i="7" s="1"/>
  <c r="H13" i="7" s="1"/>
  <c r="I13" i="7" s="1"/>
  <c r="J12" i="7"/>
  <c r="E12" i="7"/>
  <c r="D12" i="7"/>
  <c r="C12" i="7"/>
  <c r="F12" i="7" s="1"/>
  <c r="G12" i="7" s="1"/>
  <c r="H12" i="7" s="1"/>
  <c r="I12" i="7" s="1"/>
  <c r="J11" i="7"/>
  <c r="E11" i="7"/>
  <c r="D11" i="7"/>
  <c r="C11" i="7"/>
  <c r="F11" i="7" s="1"/>
  <c r="G11" i="7" s="1"/>
  <c r="H11" i="7" s="1"/>
  <c r="I11" i="7" s="1"/>
  <c r="J10" i="7"/>
  <c r="E10" i="7"/>
  <c r="D10" i="7"/>
  <c r="C10" i="7"/>
  <c r="F10" i="7" s="1"/>
  <c r="G10" i="7" s="1"/>
  <c r="H10" i="7" s="1"/>
  <c r="I10" i="7" s="1"/>
  <c r="J9" i="7"/>
  <c r="E9" i="7"/>
  <c r="D9" i="7"/>
  <c r="C9" i="7"/>
  <c r="F9" i="7" s="1"/>
  <c r="G9" i="7" s="1"/>
  <c r="H9" i="7" s="1"/>
  <c r="I9" i="7" s="1"/>
  <c r="J8" i="7"/>
  <c r="E8" i="7"/>
  <c r="D8" i="7"/>
  <c r="C8" i="7"/>
  <c r="F8" i="7" s="1"/>
  <c r="G8" i="7" s="1"/>
  <c r="H8" i="7" s="1"/>
  <c r="I8" i="7" s="1"/>
  <c r="J7" i="7"/>
  <c r="E7" i="7"/>
  <c r="D7" i="7"/>
  <c r="C7" i="7"/>
  <c r="F7" i="7" s="1"/>
  <c r="G7" i="7" s="1"/>
  <c r="H7" i="7" s="1"/>
  <c r="I7" i="7" s="1"/>
  <c r="J6" i="7"/>
  <c r="E6" i="7"/>
  <c r="E37" i="7" s="1"/>
  <c r="D6" i="7"/>
  <c r="D37" i="7" s="1"/>
  <c r="C6" i="7"/>
  <c r="C37" i="7" s="1"/>
  <c r="A3" i="7"/>
  <c r="M36" i="6"/>
  <c r="F36" i="6"/>
  <c r="E36" i="6"/>
  <c r="G36" i="6" s="1"/>
  <c r="C36" i="6"/>
  <c r="H36" i="6" s="1"/>
  <c r="L36" i="6" s="1"/>
  <c r="M35" i="6"/>
  <c r="F35" i="6"/>
  <c r="E35" i="6"/>
  <c r="G35" i="6" s="1"/>
  <c r="C35" i="6"/>
  <c r="H35" i="6" s="1"/>
  <c r="L35" i="6" s="1"/>
  <c r="M34" i="6"/>
  <c r="F34" i="6"/>
  <c r="E34" i="6"/>
  <c r="G34" i="6" s="1"/>
  <c r="C34" i="6"/>
  <c r="H34" i="6" s="1"/>
  <c r="L34" i="6" s="1"/>
  <c r="M33" i="6"/>
  <c r="K33" i="6" s="1"/>
  <c r="F33" i="6"/>
  <c r="E33" i="6"/>
  <c r="G33" i="6" s="1"/>
  <c r="C33" i="6"/>
  <c r="D33" i="6" s="1"/>
  <c r="I33" i="6" s="1"/>
  <c r="M32" i="6"/>
  <c r="F32" i="6"/>
  <c r="E32" i="6"/>
  <c r="G32" i="6" s="1"/>
  <c r="C32" i="6"/>
  <c r="D32" i="6" s="1"/>
  <c r="I32" i="6" s="1"/>
  <c r="M31" i="6"/>
  <c r="F31" i="6"/>
  <c r="E31" i="6"/>
  <c r="G31" i="6" s="1"/>
  <c r="C31" i="6"/>
  <c r="H31" i="6" s="1"/>
  <c r="L31" i="6" s="1"/>
  <c r="M30" i="6"/>
  <c r="H30" i="6"/>
  <c r="L30" i="6" s="1"/>
  <c r="F30" i="6"/>
  <c r="E30" i="6"/>
  <c r="G30" i="6" s="1"/>
  <c r="C30" i="6"/>
  <c r="D30" i="6" s="1"/>
  <c r="I30" i="6" s="1"/>
  <c r="M29" i="6"/>
  <c r="F29" i="6"/>
  <c r="E29" i="6"/>
  <c r="G29" i="6" s="1"/>
  <c r="C29" i="6"/>
  <c r="H29" i="6" s="1"/>
  <c r="L29" i="6" s="1"/>
  <c r="M28" i="6"/>
  <c r="F28" i="6"/>
  <c r="E28" i="6"/>
  <c r="G28" i="6" s="1"/>
  <c r="C28" i="6"/>
  <c r="H28" i="6" s="1"/>
  <c r="L28" i="6" s="1"/>
  <c r="M27" i="6"/>
  <c r="F27" i="6"/>
  <c r="E27" i="6"/>
  <c r="G27" i="6" s="1"/>
  <c r="C27" i="6"/>
  <c r="H27" i="6" s="1"/>
  <c r="L27" i="6" s="1"/>
  <c r="M26" i="6"/>
  <c r="F26" i="6"/>
  <c r="E26" i="6"/>
  <c r="G26" i="6" s="1"/>
  <c r="C26" i="6"/>
  <c r="H26" i="6" s="1"/>
  <c r="L26" i="6" s="1"/>
  <c r="M25" i="6"/>
  <c r="F25" i="6"/>
  <c r="K25" i="6" s="1"/>
  <c r="E25" i="6"/>
  <c r="C25" i="6"/>
  <c r="D25" i="6" s="1"/>
  <c r="I25" i="6" s="1"/>
  <c r="M24" i="6"/>
  <c r="F24" i="6"/>
  <c r="E24" i="6"/>
  <c r="G24" i="6" s="1"/>
  <c r="C24" i="6"/>
  <c r="H24" i="6" s="1"/>
  <c r="L24" i="6" s="1"/>
  <c r="M23" i="6"/>
  <c r="K23" i="6" s="1"/>
  <c r="F23" i="6"/>
  <c r="E23" i="6"/>
  <c r="G23" i="6" s="1"/>
  <c r="C23" i="6"/>
  <c r="H23" i="6" s="1"/>
  <c r="L23" i="6" s="1"/>
  <c r="M22" i="6"/>
  <c r="F22" i="6"/>
  <c r="K22" i="6" s="1"/>
  <c r="E22" i="6"/>
  <c r="G22" i="6" s="1"/>
  <c r="C22" i="6"/>
  <c r="D22" i="6" s="1"/>
  <c r="I22" i="6" s="1"/>
  <c r="M21" i="6"/>
  <c r="F21" i="6"/>
  <c r="E21" i="6"/>
  <c r="G21" i="6" s="1"/>
  <c r="C21" i="6"/>
  <c r="H21" i="6" s="1"/>
  <c r="L21" i="6" s="1"/>
  <c r="M20" i="6"/>
  <c r="K20" i="6"/>
  <c r="F20" i="6"/>
  <c r="E20" i="6"/>
  <c r="G20" i="6" s="1"/>
  <c r="J20" i="6" s="1"/>
  <c r="C20" i="6"/>
  <c r="D20" i="6" s="1"/>
  <c r="I20" i="6" s="1"/>
  <c r="M19" i="6"/>
  <c r="F19" i="6"/>
  <c r="K19" i="6" s="1"/>
  <c r="E19" i="6"/>
  <c r="G19" i="6" s="1"/>
  <c r="C19" i="6"/>
  <c r="D19" i="6" s="1"/>
  <c r="I19" i="6" s="1"/>
  <c r="M18" i="6"/>
  <c r="F18" i="6"/>
  <c r="E18" i="6"/>
  <c r="G18" i="6" s="1"/>
  <c r="C18" i="6"/>
  <c r="D18" i="6" s="1"/>
  <c r="I18" i="6" s="1"/>
  <c r="M17" i="6"/>
  <c r="K17" i="6"/>
  <c r="F17" i="6"/>
  <c r="E17" i="6"/>
  <c r="G17" i="6" s="1"/>
  <c r="J17" i="6" s="1"/>
  <c r="C17" i="6"/>
  <c r="D17" i="6" s="1"/>
  <c r="I17" i="6" s="1"/>
  <c r="M16" i="6"/>
  <c r="F16" i="6"/>
  <c r="K16" i="6" s="1"/>
  <c r="E16" i="6"/>
  <c r="C16" i="6"/>
  <c r="H16" i="6" s="1"/>
  <c r="L16" i="6" s="1"/>
  <c r="M15" i="6"/>
  <c r="F15" i="6"/>
  <c r="E15" i="6"/>
  <c r="G15" i="6" s="1"/>
  <c r="C15" i="6"/>
  <c r="H15" i="6" s="1"/>
  <c r="L15" i="6" s="1"/>
  <c r="M14" i="6"/>
  <c r="K14" i="6"/>
  <c r="F14" i="6"/>
  <c r="E14" i="6"/>
  <c r="G14" i="6" s="1"/>
  <c r="C14" i="6"/>
  <c r="D14" i="6" s="1"/>
  <c r="I14" i="6" s="1"/>
  <c r="M13" i="6"/>
  <c r="F13" i="6"/>
  <c r="K13" i="6" s="1"/>
  <c r="E13" i="6"/>
  <c r="G13" i="6" s="1"/>
  <c r="C13" i="6"/>
  <c r="H13" i="6" s="1"/>
  <c r="L13" i="6" s="1"/>
  <c r="M12" i="6"/>
  <c r="F12" i="6"/>
  <c r="E12" i="6"/>
  <c r="G12" i="6" s="1"/>
  <c r="C12" i="6"/>
  <c r="H12" i="6" s="1"/>
  <c r="L12" i="6" s="1"/>
  <c r="M11" i="6"/>
  <c r="F11" i="6"/>
  <c r="K11" i="6" s="1"/>
  <c r="E11" i="6"/>
  <c r="G11" i="6" s="1"/>
  <c r="J11" i="6" s="1"/>
  <c r="C11" i="6"/>
  <c r="D11" i="6" s="1"/>
  <c r="I11" i="6" s="1"/>
  <c r="M10" i="6"/>
  <c r="F10" i="6"/>
  <c r="K10" i="6" s="1"/>
  <c r="E10" i="6"/>
  <c r="C10" i="6"/>
  <c r="H10" i="6" s="1"/>
  <c r="L10" i="6" s="1"/>
  <c r="M9" i="6"/>
  <c r="F9" i="6"/>
  <c r="K9" i="6" s="1"/>
  <c r="E9" i="6"/>
  <c r="C9" i="6"/>
  <c r="D9" i="6" s="1"/>
  <c r="I9" i="6" s="1"/>
  <c r="M8" i="6"/>
  <c r="F8" i="6"/>
  <c r="K8" i="6" s="1"/>
  <c r="E8" i="6"/>
  <c r="G8" i="6" s="1"/>
  <c r="C8" i="6"/>
  <c r="H8" i="6" s="1"/>
  <c r="L8" i="6" s="1"/>
  <c r="M7" i="6"/>
  <c r="F7" i="6"/>
  <c r="K7" i="6" s="1"/>
  <c r="E7" i="6"/>
  <c r="C7" i="6"/>
  <c r="H7" i="6" s="1"/>
  <c r="L7" i="6" s="1"/>
  <c r="M6" i="6"/>
  <c r="F6" i="6"/>
  <c r="K6" i="6" s="1"/>
  <c r="K37" i="6" s="1"/>
  <c r="E6" i="6"/>
  <c r="C6" i="6"/>
  <c r="H6" i="6" s="1"/>
  <c r="A3" i="6"/>
  <c r="J14" i="6" l="1"/>
  <c r="I22" i="9"/>
  <c r="I32" i="9"/>
  <c r="I23" i="11"/>
  <c r="I26" i="11"/>
  <c r="F17" i="13"/>
  <c r="F18" i="13" s="1"/>
  <c r="F19" i="13" s="1"/>
  <c r="J22" i="9"/>
  <c r="K37" i="10"/>
  <c r="O34" i="10"/>
  <c r="J17" i="11"/>
  <c r="J37" i="11" s="1"/>
  <c r="J33" i="11"/>
  <c r="I32" i="8"/>
  <c r="S2" i="9"/>
  <c r="D7" i="6"/>
  <c r="I7" i="6" s="1"/>
  <c r="D10" i="6"/>
  <c r="I10" i="6" s="1"/>
  <c r="K12" i="6"/>
  <c r="K27" i="6"/>
  <c r="K37" i="9"/>
  <c r="R3" i="9"/>
  <c r="K24" i="6"/>
  <c r="K34" i="6"/>
  <c r="D13" i="6"/>
  <c r="I13" i="6" s="1"/>
  <c r="K21" i="6"/>
  <c r="J9" i="9"/>
  <c r="K15" i="6"/>
  <c r="K18" i="6"/>
  <c r="D35" i="6"/>
  <c r="I35" i="6" s="1"/>
  <c r="K28" i="6"/>
  <c r="K31" i="6"/>
  <c r="S3" i="9"/>
  <c r="D29" i="6"/>
  <c r="I29" i="6" s="1"/>
  <c r="D26" i="6"/>
  <c r="I26" i="6" s="1"/>
  <c r="K35" i="6"/>
  <c r="D23" i="6"/>
  <c r="I23" i="6" s="1"/>
  <c r="K32" i="6"/>
  <c r="I18" i="8"/>
  <c r="H11" i="6"/>
  <c r="L11" i="6" s="1"/>
  <c r="J10" i="9"/>
  <c r="H14" i="6"/>
  <c r="L14" i="6" s="1"/>
  <c r="J29" i="6"/>
  <c r="K36" i="6"/>
  <c r="I25" i="8"/>
  <c r="H17" i="6"/>
  <c r="L17" i="6" s="1"/>
  <c r="H20" i="6"/>
  <c r="L20" i="6" s="1"/>
  <c r="K26" i="6"/>
  <c r="H33" i="6"/>
  <c r="L33" i="6" s="1"/>
  <c r="I13" i="9"/>
  <c r="I32" i="10"/>
  <c r="I18" i="11"/>
  <c r="J18" i="9"/>
  <c r="I7" i="10"/>
  <c r="O7" i="10" s="1"/>
  <c r="I34" i="11"/>
  <c r="O34" i="11" s="1"/>
  <c r="L37" i="11"/>
  <c r="I16" i="9"/>
  <c r="J26" i="9"/>
  <c r="I25" i="11"/>
  <c r="I28" i="11"/>
  <c r="L37" i="9"/>
  <c r="I9" i="9"/>
  <c r="J17" i="10"/>
  <c r="J37" i="10" s="1"/>
  <c r="J33" i="10"/>
  <c r="I16" i="11"/>
  <c r="I32" i="11"/>
  <c r="I29" i="9"/>
  <c r="I7" i="11"/>
  <c r="I10" i="11"/>
  <c r="I35" i="11"/>
  <c r="O35" i="11" s="1"/>
  <c r="M8" i="11"/>
  <c r="G9" i="11"/>
  <c r="R2" i="11"/>
  <c r="S2" i="11"/>
  <c r="M7" i="11"/>
  <c r="O7" i="11" s="1"/>
  <c r="I11" i="11"/>
  <c r="I27" i="11"/>
  <c r="R3" i="11"/>
  <c r="I20" i="11"/>
  <c r="I36" i="11"/>
  <c r="O36" i="11" s="1"/>
  <c r="S3" i="11"/>
  <c r="I13" i="11"/>
  <c r="I29" i="11"/>
  <c r="I6" i="11"/>
  <c r="I22" i="11"/>
  <c r="I15" i="11"/>
  <c r="I31" i="11"/>
  <c r="I8" i="11"/>
  <c r="O8" i="11" s="1"/>
  <c r="I24" i="11"/>
  <c r="O35" i="10"/>
  <c r="G9" i="10"/>
  <c r="M8" i="10"/>
  <c r="R2" i="10"/>
  <c r="S2" i="10"/>
  <c r="M7" i="10"/>
  <c r="I11" i="10"/>
  <c r="I27" i="10"/>
  <c r="R3" i="10"/>
  <c r="I20" i="10"/>
  <c r="I36" i="10"/>
  <c r="O36" i="10" s="1"/>
  <c r="S3" i="10"/>
  <c r="I13" i="10"/>
  <c r="I29" i="10"/>
  <c r="I6" i="10"/>
  <c r="I22" i="10"/>
  <c r="I15" i="10"/>
  <c r="I31" i="10"/>
  <c r="I8" i="10"/>
  <c r="O8" i="10" s="1"/>
  <c r="I24" i="10"/>
  <c r="G8" i="9"/>
  <c r="M7" i="9"/>
  <c r="I19" i="9"/>
  <c r="I35" i="9"/>
  <c r="C37" i="9"/>
  <c r="I6" i="9"/>
  <c r="D37" i="9"/>
  <c r="I31" i="9"/>
  <c r="I8" i="9"/>
  <c r="I24" i="9"/>
  <c r="J8" i="9"/>
  <c r="J37" i="9" s="1"/>
  <c r="I11" i="9"/>
  <c r="I27" i="9"/>
  <c r="I36" i="9"/>
  <c r="O36" i="9" s="1"/>
  <c r="R2" i="9"/>
  <c r="I14" i="9"/>
  <c r="I30" i="9"/>
  <c r="I17" i="9"/>
  <c r="I33" i="9"/>
  <c r="I20" i="9"/>
  <c r="I7" i="9"/>
  <c r="I23" i="9"/>
  <c r="O35" i="8"/>
  <c r="G9" i="8"/>
  <c r="M8" i="8"/>
  <c r="O34" i="8"/>
  <c r="J17" i="8"/>
  <c r="J37" i="8" s="1"/>
  <c r="J33" i="8"/>
  <c r="I12" i="8"/>
  <c r="I28" i="8"/>
  <c r="R2" i="8"/>
  <c r="I11" i="8"/>
  <c r="I27" i="8"/>
  <c r="R3" i="8"/>
  <c r="I20" i="8"/>
  <c r="I36" i="8"/>
  <c r="O36" i="8" s="1"/>
  <c r="S3" i="8"/>
  <c r="I13" i="8"/>
  <c r="I29" i="8"/>
  <c r="I6" i="8"/>
  <c r="I22" i="8"/>
  <c r="M7" i="8"/>
  <c r="O7" i="8" s="1"/>
  <c r="I15" i="8"/>
  <c r="I31" i="8"/>
  <c r="S2" i="8"/>
  <c r="I8" i="8"/>
  <c r="I24" i="8"/>
  <c r="F6" i="7"/>
  <c r="G6" i="7" s="1"/>
  <c r="J30" i="6"/>
  <c r="J8" i="6"/>
  <c r="H37" i="6"/>
  <c r="L6" i="6"/>
  <c r="L37" i="6" s="1"/>
  <c r="L38" i="6" s="1"/>
  <c r="K30" i="6"/>
  <c r="J33" i="6"/>
  <c r="J36" i="6"/>
  <c r="J27" i="6"/>
  <c r="D16" i="6"/>
  <c r="I16" i="6" s="1"/>
  <c r="D6" i="6"/>
  <c r="G25" i="6"/>
  <c r="J25" i="6" s="1"/>
  <c r="K29" i="6"/>
  <c r="J32" i="6"/>
  <c r="D34" i="6"/>
  <c r="I34" i="6" s="1"/>
  <c r="C37" i="6"/>
  <c r="J35" i="6"/>
  <c r="E37" i="6"/>
  <c r="F37" i="6"/>
  <c r="J23" i="6"/>
  <c r="G6" i="6"/>
  <c r="G37" i="6" s="1"/>
  <c r="J13" i="6"/>
  <c r="D15" i="6"/>
  <c r="I15" i="6" s="1"/>
  <c r="H19" i="6"/>
  <c r="L19" i="6" s="1"/>
  <c r="D31" i="6"/>
  <c r="I31" i="6" s="1"/>
  <c r="G9" i="6"/>
  <c r="J9" i="6" s="1"/>
  <c r="H9" i="6"/>
  <c r="L9" i="6" s="1"/>
  <c r="D27" i="6"/>
  <c r="I27" i="6" s="1"/>
  <c r="J12" i="6"/>
  <c r="H18" i="6"/>
  <c r="L18" i="6" s="1"/>
  <c r="J28" i="6"/>
  <c r="G7" i="6"/>
  <c r="J7" i="6" s="1"/>
  <c r="D12" i="6"/>
  <c r="I12" i="6" s="1"/>
  <c r="D28" i="6"/>
  <c r="I28" i="6" s="1"/>
  <c r="J19" i="6"/>
  <c r="D21" i="6"/>
  <c r="I21" i="6" s="1"/>
  <c r="H25" i="6"/>
  <c r="L25" i="6" s="1"/>
  <c r="D8" i="6"/>
  <c r="I8" i="6" s="1"/>
  <c r="J15" i="6"/>
  <c r="J31" i="6"/>
  <c r="G10" i="6"/>
  <c r="J10" i="6" s="1"/>
  <c r="G16" i="6"/>
  <c r="J16" i="6" s="1"/>
  <c r="J22" i="6"/>
  <c r="D24" i="6"/>
  <c r="I24" i="6" s="1"/>
  <c r="J18" i="6"/>
  <c r="J34" i="6"/>
  <c r="D36" i="6"/>
  <c r="I36" i="6" s="1"/>
  <c r="J26" i="6"/>
  <c r="H32" i="6"/>
  <c r="L32" i="6" s="1"/>
  <c r="H22" i="6"/>
  <c r="L22" i="6" s="1"/>
  <c r="J21" i="6"/>
  <c r="J24" i="6"/>
  <c r="G10" i="11" l="1"/>
  <c r="M9" i="11"/>
  <c r="I37" i="11"/>
  <c r="O6" i="11"/>
  <c r="G10" i="10"/>
  <c r="M9" i="10"/>
  <c r="I37" i="10"/>
  <c r="O6" i="10"/>
  <c r="M8" i="9"/>
  <c r="O8" i="9" s="1"/>
  <c r="G9" i="9"/>
  <c r="O7" i="9"/>
  <c r="O6" i="9"/>
  <c r="I37" i="9"/>
  <c r="G10" i="8"/>
  <c r="M9" i="8"/>
  <c r="O9" i="8" s="1"/>
  <c r="I37" i="8"/>
  <c r="O6" i="8"/>
  <c r="O8" i="8"/>
  <c r="G37" i="7"/>
  <c r="H6" i="7"/>
  <c r="I6" i="6"/>
  <c r="I37" i="6" s="1"/>
  <c r="D37" i="6"/>
  <c r="J6" i="6"/>
  <c r="J37" i="6" s="1"/>
  <c r="G11" i="11" l="1"/>
  <c r="M10" i="11"/>
  <c r="O10" i="11" s="1"/>
  <c r="O9" i="11"/>
  <c r="G11" i="10"/>
  <c r="M10" i="10"/>
  <c r="O10" i="10" s="1"/>
  <c r="O9" i="10"/>
  <c r="G10" i="9"/>
  <c r="M9" i="9"/>
  <c r="O9" i="9" s="1"/>
  <c r="G11" i="8"/>
  <c r="M10" i="8"/>
  <c r="H37" i="7"/>
  <c r="I6" i="7"/>
  <c r="I37" i="7" s="1"/>
  <c r="I38" i="7" s="1"/>
  <c r="M11" i="11" l="1"/>
  <c r="O11" i="11" s="1"/>
  <c r="G12" i="11"/>
  <c r="M11" i="10"/>
  <c r="O11" i="10" s="1"/>
  <c r="G12" i="10"/>
  <c r="G11" i="9"/>
  <c r="M10" i="9"/>
  <c r="M11" i="8"/>
  <c r="O11" i="8" s="1"/>
  <c r="G12" i="8"/>
  <c r="O10" i="8"/>
  <c r="G13" i="11" l="1"/>
  <c r="M12" i="11"/>
  <c r="O12" i="11" s="1"/>
  <c r="G13" i="10"/>
  <c r="M12" i="10"/>
  <c r="O12" i="10" s="1"/>
  <c r="O10" i="9"/>
  <c r="M11" i="9"/>
  <c r="O11" i="9" s="1"/>
  <c r="G12" i="9"/>
  <c r="M12" i="8"/>
  <c r="G13" i="8"/>
  <c r="M13" i="11" l="1"/>
  <c r="O13" i="11" s="1"/>
  <c r="G14" i="11"/>
  <c r="M13" i="10"/>
  <c r="O13" i="10" s="1"/>
  <c r="G14" i="10"/>
  <c r="G13" i="9"/>
  <c r="M12" i="9"/>
  <c r="O12" i="9" s="1"/>
  <c r="M13" i="8"/>
  <c r="O13" i="8" s="1"/>
  <c r="G14" i="8"/>
  <c r="O12" i="8"/>
  <c r="G15" i="11" l="1"/>
  <c r="M14" i="11"/>
  <c r="O14" i="11" s="1"/>
  <c r="G15" i="10"/>
  <c r="M14" i="10"/>
  <c r="O14" i="10" s="1"/>
  <c r="G14" i="9"/>
  <c r="M13" i="9"/>
  <c r="O13" i="9" s="1"/>
  <c r="G15" i="8"/>
  <c r="M14" i="8"/>
  <c r="O14" i="8" s="1"/>
  <c r="G16" i="11" l="1"/>
  <c r="M15" i="11"/>
  <c r="O15" i="11" s="1"/>
  <c r="G16" i="10"/>
  <c r="M15" i="10"/>
  <c r="O15" i="10" s="1"/>
  <c r="M14" i="9"/>
  <c r="O14" i="9" s="1"/>
  <c r="G15" i="9"/>
  <c r="G16" i="8"/>
  <c r="M15" i="8"/>
  <c r="O15" i="8" s="1"/>
  <c r="G17" i="11" l="1"/>
  <c r="M16" i="11"/>
  <c r="O16" i="11" s="1"/>
  <c r="G17" i="10"/>
  <c r="M16" i="10"/>
  <c r="O16" i="10" s="1"/>
  <c r="G16" i="9"/>
  <c r="M15" i="9"/>
  <c r="O15" i="9" s="1"/>
  <c r="G17" i="8"/>
  <c r="M16" i="8"/>
  <c r="O16" i="8" s="1"/>
  <c r="G18" i="11" l="1"/>
  <c r="M17" i="11"/>
  <c r="O17" i="11" s="1"/>
  <c r="G18" i="10"/>
  <c r="M17" i="10"/>
  <c r="O17" i="10" s="1"/>
  <c r="G17" i="9"/>
  <c r="M16" i="9"/>
  <c r="O16" i="9" s="1"/>
  <c r="G18" i="8"/>
  <c r="M17" i="8"/>
  <c r="O17" i="8" s="1"/>
  <c r="M18" i="11" l="1"/>
  <c r="O18" i="11" s="1"/>
  <c r="G19" i="11"/>
  <c r="M18" i="10"/>
  <c r="O18" i="10" s="1"/>
  <c r="G19" i="10"/>
  <c r="M17" i="9"/>
  <c r="O17" i="9" s="1"/>
  <c r="G18" i="9"/>
  <c r="M18" i="8"/>
  <c r="O18" i="8" s="1"/>
  <c r="G19" i="8"/>
  <c r="G20" i="11" l="1"/>
  <c r="M19" i="11"/>
  <c r="O19" i="11" s="1"/>
  <c r="G20" i="10"/>
  <c r="M19" i="10"/>
  <c r="O19" i="10" s="1"/>
  <c r="M18" i="9"/>
  <c r="O18" i="9" s="1"/>
  <c r="G19" i="9"/>
  <c r="G20" i="8"/>
  <c r="M19" i="8"/>
  <c r="O19" i="8" s="1"/>
  <c r="M20" i="11" l="1"/>
  <c r="O20" i="11" s="1"/>
  <c r="G21" i="11"/>
  <c r="M20" i="10"/>
  <c r="O20" i="10" s="1"/>
  <c r="G21" i="10"/>
  <c r="G20" i="9"/>
  <c r="M19" i="9"/>
  <c r="O19" i="9" s="1"/>
  <c r="M20" i="8"/>
  <c r="O20" i="8" s="1"/>
  <c r="G21" i="8"/>
  <c r="G22" i="11" l="1"/>
  <c r="M21" i="11"/>
  <c r="O21" i="11" s="1"/>
  <c r="G22" i="10"/>
  <c r="M21" i="10"/>
  <c r="O21" i="10" s="1"/>
  <c r="G21" i="9"/>
  <c r="M20" i="9"/>
  <c r="O20" i="9" s="1"/>
  <c r="G22" i="8"/>
  <c r="M21" i="8"/>
  <c r="O21" i="8" s="1"/>
  <c r="G23" i="11" l="1"/>
  <c r="M22" i="11"/>
  <c r="O22" i="11" s="1"/>
  <c r="M22" i="10"/>
  <c r="O22" i="10" s="1"/>
  <c r="G23" i="10"/>
  <c r="M21" i="9"/>
  <c r="O21" i="9" s="1"/>
  <c r="G22" i="9"/>
  <c r="G23" i="8"/>
  <c r="M22" i="8"/>
  <c r="O22" i="8" s="1"/>
  <c r="G24" i="11" l="1"/>
  <c r="M23" i="11"/>
  <c r="O23" i="11" s="1"/>
  <c r="G24" i="10"/>
  <c r="M23" i="10"/>
  <c r="O23" i="10" s="1"/>
  <c r="G23" i="9"/>
  <c r="M22" i="9"/>
  <c r="O22" i="9" s="1"/>
  <c r="G24" i="8"/>
  <c r="M23" i="8"/>
  <c r="O23" i="8" s="1"/>
  <c r="G25" i="11" l="1"/>
  <c r="M24" i="11"/>
  <c r="O24" i="11" s="1"/>
  <c r="G25" i="10"/>
  <c r="M24" i="10"/>
  <c r="O24" i="10" s="1"/>
  <c r="G24" i="9"/>
  <c r="M23" i="9"/>
  <c r="O23" i="9" s="1"/>
  <c r="G25" i="8"/>
  <c r="M24" i="8"/>
  <c r="O24" i="8" s="1"/>
  <c r="G26" i="11" l="1"/>
  <c r="M25" i="11"/>
  <c r="O25" i="11" s="1"/>
  <c r="G26" i="10"/>
  <c r="M25" i="10"/>
  <c r="O25" i="10" s="1"/>
  <c r="M24" i="9"/>
  <c r="O24" i="9" s="1"/>
  <c r="G25" i="9"/>
  <c r="G26" i="8"/>
  <c r="M25" i="8"/>
  <c r="O25" i="8" s="1"/>
  <c r="G27" i="11" l="1"/>
  <c r="M26" i="11"/>
  <c r="O26" i="11" s="1"/>
  <c r="G27" i="10"/>
  <c r="M26" i="10"/>
  <c r="O26" i="10" s="1"/>
  <c r="G26" i="9"/>
  <c r="M25" i="9"/>
  <c r="O25" i="9" s="1"/>
  <c r="G27" i="8"/>
  <c r="M26" i="8"/>
  <c r="O26" i="8" s="1"/>
  <c r="M27" i="11" l="1"/>
  <c r="O27" i="11" s="1"/>
  <c r="G28" i="11"/>
  <c r="M27" i="10"/>
  <c r="O27" i="10" s="1"/>
  <c r="G28" i="10"/>
  <c r="G27" i="9"/>
  <c r="M26" i="9"/>
  <c r="O26" i="9" s="1"/>
  <c r="M27" i="8"/>
  <c r="O27" i="8" s="1"/>
  <c r="G28" i="8"/>
  <c r="G29" i="11" l="1"/>
  <c r="M28" i="11"/>
  <c r="O28" i="11" s="1"/>
  <c r="G29" i="10"/>
  <c r="M28" i="10"/>
  <c r="O28" i="10" s="1"/>
  <c r="M27" i="9"/>
  <c r="O27" i="9" s="1"/>
  <c r="G28" i="9"/>
  <c r="G29" i="8"/>
  <c r="M28" i="8"/>
  <c r="O28" i="8" s="1"/>
  <c r="M29" i="11" l="1"/>
  <c r="O29" i="11" s="1"/>
  <c r="G30" i="11"/>
  <c r="M29" i="10"/>
  <c r="O29" i="10" s="1"/>
  <c r="G30" i="10"/>
  <c r="G29" i="9"/>
  <c r="M28" i="9"/>
  <c r="O28" i="9" s="1"/>
  <c r="M29" i="8"/>
  <c r="O29" i="8" s="1"/>
  <c r="G30" i="8"/>
  <c r="G31" i="11" l="1"/>
  <c r="M30" i="11"/>
  <c r="O30" i="11" s="1"/>
  <c r="G31" i="10"/>
  <c r="M30" i="10"/>
  <c r="O30" i="10" s="1"/>
  <c r="G30" i="9"/>
  <c r="M29" i="9"/>
  <c r="O29" i="9" s="1"/>
  <c r="G31" i="8"/>
  <c r="M30" i="8"/>
  <c r="O30" i="8" s="1"/>
  <c r="G32" i="11" l="1"/>
  <c r="M31" i="11"/>
  <c r="O31" i="11" s="1"/>
  <c r="G32" i="10"/>
  <c r="M31" i="10"/>
  <c r="O31" i="10" s="1"/>
  <c r="M30" i="9"/>
  <c r="O30" i="9" s="1"/>
  <c r="G31" i="9"/>
  <c r="G32" i="8"/>
  <c r="M31" i="8"/>
  <c r="O31" i="8" s="1"/>
  <c r="G33" i="11" l="1"/>
  <c r="M32" i="11"/>
  <c r="O32" i="11" s="1"/>
  <c r="G33" i="10"/>
  <c r="M32" i="10"/>
  <c r="O32" i="10" s="1"/>
  <c r="G32" i="9"/>
  <c r="M31" i="9"/>
  <c r="O31" i="9" s="1"/>
  <c r="G33" i="8"/>
  <c r="M32" i="8"/>
  <c r="O32" i="8" s="1"/>
  <c r="M33" i="11" l="1"/>
  <c r="G37" i="11"/>
  <c r="M33" i="10"/>
  <c r="G37" i="10"/>
  <c r="G33" i="9"/>
  <c r="M32" i="9"/>
  <c r="O32" i="9" s="1"/>
  <c r="M33" i="8"/>
  <c r="G37" i="8"/>
  <c r="O33" i="11" l="1"/>
  <c r="O37" i="11" s="1"/>
  <c r="O38" i="11" s="1"/>
  <c r="M37" i="11"/>
  <c r="O33" i="10"/>
  <c r="O37" i="10" s="1"/>
  <c r="O38" i="10" s="1"/>
  <c r="M37" i="10"/>
  <c r="G34" i="9"/>
  <c r="M33" i="9"/>
  <c r="O33" i="9" s="1"/>
  <c r="O33" i="8"/>
  <c r="O37" i="8" s="1"/>
  <c r="O38" i="8" s="1"/>
  <c r="M37" i="8"/>
  <c r="M34" i="9" l="1"/>
  <c r="O34" i="9" s="1"/>
  <c r="G35" i="9"/>
  <c r="M35" i="9" l="1"/>
  <c r="G37" i="9"/>
  <c r="O35" i="9" l="1"/>
  <c r="O37" i="9" s="1"/>
  <c r="O38" i="9" s="1"/>
  <c r="M37" i="9"/>
  <c r="F14" i="5" l="1"/>
  <c r="F15" i="5" s="1"/>
  <c r="F16" i="5" s="1"/>
  <c r="C38" i="3"/>
  <c r="C37" i="3"/>
  <c r="F15" i="3"/>
  <c r="E15" i="3"/>
  <c r="F14" i="3"/>
  <c r="E14" i="3"/>
  <c r="F13" i="3"/>
  <c r="E13" i="3"/>
  <c r="F12" i="3"/>
  <c r="F11" i="3"/>
  <c r="F10" i="3"/>
  <c r="F9" i="3"/>
  <c r="F8" i="3"/>
  <c r="E8" i="3"/>
  <c r="F7" i="3"/>
  <c r="F6" i="3"/>
  <c r="K45" i="3" a="1"/>
  <c r="B48" i="3" a="1"/>
  <c r="C46" i="3" a="1"/>
  <c r="E46" i="3" a="1"/>
  <c r="B66" i="3" a="1"/>
  <c r="G50" i="3" a="1"/>
  <c r="I54" i="3" a="1"/>
  <c r="F54" i="3" a="1"/>
  <c r="E49" i="3" a="1"/>
  <c r="I51" i="3" a="1"/>
  <c r="B54" i="3" a="1"/>
  <c r="F46" i="3" a="1"/>
  <c r="G28" i="3" a="1"/>
  <c r="B46" i="3" a="1"/>
  <c r="G33" i="3" a="1"/>
  <c r="I45" i="3" a="1"/>
  <c r="K48" i="3" a="1"/>
  <c r="J46" i="3" a="1"/>
  <c r="C26" i="3" a="1"/>
  <c r="K49" i="3" a="1"/>
  <c r="C52" i="3" a="1"/>
  <c r="G54" i="3" a="1"/>
  <c r="H45" i="3" a="1"/>
  <c r="L53" i="3" a="1"/>
  <c r="K53" i="3" a="1"/>
  <c r="G34" i="3" a="1"/>
  <c r="E53" i="3" a="1"/>
  <c r="I47" i="3" a="1"/>
  <c r="G37" i="3" a="1"/>
  <c r="B52" i="3" a="1"/>
  <c r="H50" i="3" a="1"/>
  <c r="D46" i="3" a="1"/>
  <c r="L52" i="3" a="1"/>
  <c r="C23" i="3" a="1"/>
  <c r="B68" i="3" a="1"/>
  <c r="J52" i="3" a="1"/>
  <c r="E45" i="3" a="1"/>
  <c r="K54" i="3" a="1"/>
  <c r="G45" i="3" a="1"/>
  <c r="G27" i="3" a="1"/>
  <c r="K46" i="3" a="1"/>
  <c r="B51" i="3" a="1"/>
  <c r="G23" i="3" a="1"/>
  <c r="G22" i="3" a="1"/>
  <c r="G39" i="3" a="1"/>
  <c r="K50" i="3" a="1"/>
  <c r="B64" i="3" a="1"/>
  <c r="B63" i="3" a="1"/>
  <c r="C19" i="3" a="1"/>
  <c r="G19" i="3" a="1"/>
  <c r="C32" i="3" a="1"/>
  <c r="G36" i="3" a="1"/>
  <c r="D45" i="3" a="1"/>
  <c r="C25" i="3" a="1"/>
  <c r="C24" i="3" a="1"/>
  <c r="G21" i="3" a="1"/>
  <c r="F49" i="3" a="1"/>
  <c r="K51" i="3" a="1"/>
  <c r="D51" i="3" a="1"/>
  <c r="J50" i="3" a="1"/>
  <c r="F53" i="3" a="1"/>
  <c r="J54" i="3" a="1"/>
  <c r="G48" i="3" a="1"/>
  <c r="C20" i="3" a="1"/>
  <c r="L51" i="3" a="1"/>
  <c r="H51" i="3" a="1"/>
  <c r="C48" i="3" a="1"/>
  <c r="H52" i="3" a="1"/>
  <c r="G30" i="3" a="1"/>
  <c r="G38" i="3" a="1"/>
  <c r="C27" i="3" a="1"/>
  <c r="D53" i="3" a="1"/>
  <c r="B47" i="3" a="1"/>
  <c r="B53" i="3" a="1"/>
  <c r="L46" i="3" a="1"/>
  <c r="J47" i="3" a="1"/>
  <c r="G24" i="3" a="1"/>
  <c r="I52" i="3" a="1"/>
  <c r="G31" i="3" a="1"/>
  <c r="D50" i="3" a="1"/>
  <c r="B45" i="3" a="1"/>
  <c r="K52" i="3" a="1"/>
  <c r="G51" i="3" a="1"/>
  <c r="B49" i="3" a="1"/>
  <c r="L45" i="3" a="1"/>
  <c r="E52" i="3" a="1"/>
  <c r="H47" i="3" a="1"/>
  <c r="F52" i="3" a="1"/>
  <c r="L48" i="3" a="1"/>
  <c r="E48" i="3" a="1"/>
  <c r="C34" i="3" a="1"/>
  <c r="G49" i="3" a="1"/>
  <c r="J48" i="3" a="1"/>
  <c r="G29" i="3" a="1"/>
  <c r="G20" i="3" a="1"/>
  <c r="C47" i="3" a="1"/>
  <c r="E50" i="3" a="1"/>
  <c r="C50" i="3" a="1"/>
  <c r="J49" i="3" a="1"/>
  <c r="C33" i="3" a="1"/>
  <c r="L47" i="3" a="1"/>
  <c r="D52" i="3" a="1"/>
  <c r="H54" i="3" a="1"/>
  <c r="G52" i="3" a="1"/>
  <c r="F50" i="3" a="1"/>
  <c r="B62" i="3" a="1"/>
  <c r="G41" i="3" a="1"/>
  <c r="I53" i="3" a="1"/>
  <c r="L54" i="3" a="1"/>
  <c r="D47" i="3" a="1"/>
  <c r="H53" i="3" a="1"/>
  <c r="F47" i="3" a="1"/>
  <c r="J53" i="3" a="1"/>
  <c r="D54" i="3" a="1"/>
  <c r="B60" i="3" a="1"/>
  <c r="B65" i="3" a="1"/>
  <c r="H46" i="3" a="1"/>
  <c r="H49" i="3" a="1"/>
  <c r="G47" i="3" a="1"/>
  <c r="C22" i="3" a="1"/>
  <c r="C30" i="3" a="1"/>
  <c r="G40" i="3" a="1"/>
  <c r="B59" i="3" a="1"/>
  <c r="C45" i="3" a="1"/>
  <c r="F48" i="3" a="1"/>
  <c r="I48" i="3" a="1"/>
  <c r="I46" i="3" a="1"/>
  <c r="G25" i="3" a="1"/>
  <c r="C31" i="3" a="1"/>
  <c r="B57" i="3" a="1"/>
  <c r="I49" i="3" a="1"/>
  <c r="F45" i="3" a="1"/>
  <c r="G26" i="3" a="1"/>
  <c r="E54" i="3" a="1"/>
  <c r="H48" i="3" a="1"/>
  <c r="E47" i="3" a="1"/>
  <c r="D48" i="3" a="1"/>
  <c r="I50" i="3" a="1"/>
  <c r="F51" i="3" a="1"/>
  <c r="G32" i="3" a="1"/>
  <c r="C35" i="3" a="1"/>
  <c r="D49" i="3" a="1"/>
  <c r="E51" i="3" a="1"/>
  <c r="G46" i="3" a="1"/>
  <c r="B58" i="3" a="1"/>
  <c r="B50" i="3" a="1"/>
  <c r="C54" i="3" a="1"/>
  <c r="J45" i="3" a="1"/>
  <c r="B61" i="3" a="1"/>
  <c r="C49" i="3" a="1"/>
  <c r="L49" i="3" a="1"/>
  <c r="G53" i="3" a="1"/>
  <c r="J51" i="3" a="1"/>
  <c r="C21" i="3" a="1"/>
  <c r="C53" i="3" a="1"/>
  <c r="K47" i="3" a="1"/>
  <c r="C51" i="3" a="1"/>
  <c r="L50" i="3" a="1"/>
  <c r="G22" i="3" l="1"/>
  <c r="C119" i="56" s="1"/>
  <c r="G26" i="3"/>
  <c r="C123" i="56" s="1"/>
  <c r="B45" i="3"/>
  <c r="C1" i="56" s="1"/>
  <c r="J45" i="3"/>
  <c r="C9" i="56" s="1"/>
  <c r="C47" i="3"/>
  <c r="C35" i="56" s="1"/>
  <c r="K47" i="3"/>
  <c r="C43" i="56" s="1"/>
  <c r="D49" i="3"/>
  <c r="C69" i="56" s="1"/>
  <c r="L49" i="3"/>
  <c r="C77" i="56" s="1"/>
  <c r="E51" i="3"/>
  <c r="C92" i="56" s="1"/>
  <c r="F53" i="3"/>
  <c r="C27" i="56" s="1"/>
  <c r="H50" i="3"/>
  <c r="C84" i="56" s="1"/>
  <c r="G31" i="3"/>
  <c r="C128" i="56" s="1"/>
  <c r="G36" i="3"/>
  <c r="C132" i="56" s="1"/>
  <c r="G46" i="3"/>
  <c r="C17" i="56" s="1"/>
  <c r="H48" i="3"/>
  <c r="C62" i="56" s="1"/>
  <c r="I50" i="3"/>
  <c r="C85" i="56" s="1"/>
  <c r="B52" i="3"/>
  <c r="C45" i="56" s="1"/>
  <c r="J52" i="3"/>
  <c r="C53" i="56" s="1"/>
  <c r="C54" i="3"/>
  <c r="K54" i="3"/>
  <c r="B62" i="3"/>
  <c r="D10" i="3" s="1"/>
  <c r="C19" i="3"/>
  <c r="C111" i="56" s="1"/>
  <c r="C23" i="3"/>
  <c r="C115" i="56" s="1"/>
  <c r="C27" i="3"/>
  <c r="C45" i="3"/>
  <c r="C2" i="56" s="1"/>
  <c r="K45" i="3"/>
  <c r="C10" i="56" s="1"/>
  <c r="D47" i="3"/>
  <c r="C36" i="56" s="1"/>
  <c r="L47" i="3"/>
  <c r="C44" i="56" s="1"/>
  <c r="E49" i="3"/>
  <c r="C70" i="56" s="1"/>
  <c r="F51" i="3"/>
  <c r="C93" i="56" s="1"/>
  <c r="G53" i="3"/>
  <c r="C28" i="56" s="1"/>
  <c r="G48" i="3"/>
  <c r="C61" i="56" s="1"/>
  <c r="C32" i="3"/>
  <c r="C105" i="56" s="1"/>
  <c r="H46" i="3"/>
  <c r="C18" i="56" s="1"/>
  <c r="I48" i="3"/>
  <c r="C63" i="56" s="1"/>
  <c r="B50" i="3"/>
  <c r="C78" i="56" s="1"/>
  <c r="J50" i="3"/>
  <c r="C86" i="56" s="1"/>
  <c r="C52" i="3"/>
  <c r="C46" i="56" s="1"/>
  <c r="K52" i="3"/>
  <c r="C54" i="56" s="1"/>
  <c r="D54" i="3"/>
  <c r="L54" i="3"/>
  <c r="B63" i="3"/>
  <c r="D9" i="3" s="1"/>
  <c r="G19" i="3"/>
  <c r="C116" i="56" s="1"/>
  <c r="G23" i="3"/>
  <c r="C120" i="56" s="1"/>
  <c r="G27" i="3"/>
  <c r="G37" i="3"/>
  <c r="D45" i="3"/>
  <c r="C3" i="56" s="1"/>
  <c r="L45" i="3"/>
  <c r="C11" i="56" s="1"/>
  <c r="E47" i="3"/>
  <c r="C37" i="56" s="1"/>
  <c r="F49" i="3"/>
  <c r="C71" i="56" s="1"/>
  <c r="G51" i="3"/>
  <c r="C94" i="56" s="1"/>
  <c r="H53" i="3"/>
  <c r="C29" i="56" s="1"/>
  <c r="G32" i="3"/>
  <c r="C129" i="56" s="1"/>
  <c r="I46" i="3"/>
  <c r="C19" i="56" s="1"/>
  <c r="B48" i="3"/>
  <c r="C56" i="56" s="1"/>
  <c r="J48" i="3"/>
  <c r="C64" i="56" s="1"/>
  <c r="C50" i="3"/>
  <c r="C79" i="56" s="1"/>
  <c r="K50" i="3"/>
  <c r="C87" i="56" s="1"/>
  <c r="D52" i="3"/>
  <c r="C47" i="56" s="1"/>
  <c r="L52" i="3"/>
  <c r="C55" i="56" s="1"/>
  <c r="E54" i="3"/>
  <c r="B64" i="3"/>
  <c r="D11" i="3" s="1"/>
  <c r="C31" i="3"/>
  <c r="C104" i="56" s="1"/>
  <c r="C20" i="3"/>
  <c r="C112" i="56" s="1"/>
  <c r="C24" i="3"/>
  <c r="G28" i="3"/>
  <c r="C125" i="56" s="1"/>
  <c r="E45" i="3"/>
  <c r="C4" i="56" s="1"/>
  <c r="F47" i="3"/>
  <c r="C38" i="56" s="1"/>
  <c r="G49" i="3"/>
  <c r="C72" i="56" s="1"/>
  <c r="H51" i="3"/>
  <c r="C95" i="56" s="1"/>
  <c r="I53" i="3"/>
  <c r="C30" i="56" s="1"/>
  <c r="F46" i="3"/>
  <c r="C16" i="56" s="1"/>
  <c r="C33" i="3"/>
  <c r="C106" i="56" s="1"/>
  <c r="G38" i="3"/>
  <c r="B46" i="3"/>
  <c r="C12" i="56" s="1"/>
  <c r="J46" i="3"/>
  <c r="C20" i="56" s="1"/>
  <c r="C48" i="3"/>
  <c r="C57" i="56" s="1"/>
  <c r="K48" i="3"/>
  <c r="C65" i="56" s="1"/>
  <c r="D50" i="3"/>
  <c r="C80" i="56" s="1"/>
  <c r="L50" i="3"/>
  <c r="C88" i="56" s="1"/>
  <c r="E52" i="3"/>
  <c r="C48" i="56" s="1"/>
  <c r="F54" i="3"/>
  <c r="B57" i="3"/>
  <c r="C100" i="56" s="1"/>
  <c r="B65" i="3"/>
  <c r="D12" i="3" s="1"/>
  <c r="B61" i="3"/>
  <c r="D7" i="3" s="1"/>
  <c r="G20" i="3"/>
  <c r="C117" i="56" s="1"/>
  <c r="G24" i="3"/>
  <c r="C121" i="56" s="1"/>
  <c r="F45" i="3"/>
  <c r="C5" i="56" s="1"/>
  <c r="G47" i="3"/>
  <c r="C39" i="56" s="1"/>
  <c r="H49" i="3"/>
  <c r="C73" i="56" s="1"/>
  <c r="I51" i="3"/>
  <c r="C96" i="56" s="1"/>
  <c r="B53" i="3"/>
  <c r="C23" i="56" s="1"/>
  <c r="J53" i="3"/>
  <c r="C31" i="56" s="1"/>
  <c r="J54" i="3"/>
  <c r="G29" i="3"/>
  <c r="C126" i="56" s="1"/>
  <c r="G33" i="3"/>
  <c r="C130" i="56" s="1"/>
  <c r="G39" i="3"/>
  <c r="C135" i="56" s="1"/>
  <c r="C46" i="3"/>
  <c r="C13" i="56" s="1"/>
  <c r="K46" i="3"/>
  <c r="C21" i="56" s="1"/>
  <c r="D48" i="3"/>
  <c r="C58" i="56" s="1"/>
  <c r="L48" i="3"/>
  <c r="C66" i="56" s="1"/>
  <c r="E50" i="3"/>
  <c r="C81" i="56" s="1"/>
  <c r="F52" i="3"/>
  <c r="C49" i="56" s="1"/>
  <c r="G54" i="3"/>
  <c r="B58" i="3"/>
  <c r="B66" i="3"/>
  <c r="D13" i="3" s="1"/>
  <c r="C35" i="3"/>
  <c r="C108" i="56" s="1"/>
  <c r="I52" i="3"/>
  <c r="C52" i="56" s="1"/>
  <c r="C21" i="3"/>
  <c r="C113" i="56" s="1"/>
  <c r="C25" i="3"/>
  <c r="F5" i="3" s="1"/>
  <c r="G45" i="3"/>
  <c r="C6" i="56" s="1"/>
  <c r="H47" i="3"/>
  <c r="C40" i="56" s="1"/>
  <c r="I49" i="3"/>
  <c r="C74" i="56" s="1"/>
  <c r="B51" i="3"/>
  <c r="C89" i="56" s="1"/>
  <c r="J51" i="3"/>
  <c r="C97" i="56" s="1"/>
  <c r="C53" i="3"/>
  <c r="C24" i="56" s="1"/>
  <c r="K53" i="3"/>
  <c r="C32" i="56" s="1"/>
  <c r="B54" i="3"/>
  <c r="C30" i="3"/>
  <c r="C103" i="56" s="1"/>
  <c r="C34" i="3"/>
  <c r="C107" i="56" s="1"/>
  <c r="G40" i="3"/>
  <c r="C136" i="56" s="1"/>
  <c r="D46" i="3"/>
  <c r="C14" i="56" s="1"/>
  <c r="L46" i="3"/>
  <c r="C22" i="56" s="1"/>
  <c r="E48" i="3"/>
  <c r="C59" i="56" s="1"/>
  <c r="F50" i="3"/>
  <c r="C82" i="56" s="1"/>
  <c r="G52" i="3"/>
  <c r="C50" i="56" s="1"/>
  <c r="H54" i="3"/>
  <c r="B59" i="3"/>
  <c r="D14" i="3" s="1"/>
  <c r="G14" i="3" s="1"/>
  <c r="D15" i="3"/>
  <c r="G21" i="3"/>
  <c r="C118" i="56" s="1"/>
  <c r="G25" i="3"/>
  <c r="C122" i="56" s="1"/>
  <c r="H45" i="3"/>
  <c r="C7" i="56" s="1"/>
  <c r="I47" i="3"/>
  <c r="C41" i="56" s="1"/>
  <c r="B49" i="3"/>
  <c r="C67" i="56" s="1"/>
  <c r="J49" i="3"/>
  <c r="C75" i="56" s="1"/>
  <c r="C51" i="3"/>
  <c r="C90" i="56" s="1"/>
  <c r="K51" i="3"/>
  <c r="C98" i="56" s="1"/>
  <c r="D53" i="3"/>
  <c r="C25" i="56" s="1"/>
  <c r="L53" i="3"/>
  <c r="C33" i="56" s="1"/>
  <c r="G30" i="3"/>
  <c r="C127" i="56" s="1"/>
  <c r="G34" i="3"/>
  <c r="C131" i="56" s="1"/>
  <c r="G41" i="3"/>
  <c r="C137" i="56" s="1"/>
  <c r="E46" i="3"/>
  <c r="C15" i="56" s="1"/>
  <c r="F48" i="3"/>
  <c r="C60" i="56" s="1"/>
  <c r="G50" i="3"/>
  <c r="C83" i="56" s="1"/>
  <c r="H52" i="3"/>
  <c r="C51" i="56" s="1"/>
  <c r="I54" i="3"/>
  <c r="B60" i="3"/>
  <c r="D6" i="3" s="1"/>
  <c r="B68" i="3"/>
  <c r="D8" i="3" s="1"/>
  <c r="C22" i="3"/>
  <c r="C114" i="56" s="1"/>
  <c r="C26" i="3"/>
  <c r="I45" i="3"/>
  <c r="C8" i="56" s="1"/>
  <c r="B47" i="3"/>
  <c r="C34" i="56" s="1"/>
  <c r="J47" i="3"/>
  <c r="C42" i="56" s="1"/>
  <c r="C49" i="3"/>
  <c r="C68" i="56" s="1"/>
  <c r="K49" i="3"/>
  <c r="C76" i="56" s="1"/>
  <c r="D51" i="3"/>
  <c r="C91" i="56" s="1"/>
  <c r="L51" i="3"/>
  <c r="C99" i="56" s="1"/>
  <c r="E53" i="3"/>
  <c r="C26" i="56" s="1"/>
  <c r="E12" i="3" l="1"/>
  <c r="C124" i="56"/>
  <c r="E10" i="3"/>
  <c r="C134" i="56"/>
  <c r="E9" i="3"/>
  <c r="C133" i="56"/>
  <c r="D5" i="3"/>
  <c r="C101" i="56"/>
  <c r="C29" i="3"/>
  <c r="C13" i="3" s="1"/>
  <c r="C16" i="3" s="1"/>
  <c r="M53" i="3"/>
  <c r="B12" i="3" s="1"/>
  <c r="G12" i="3" s="1"/>
  <c r="E4" i="3"/>
  <c r="G18" i="3"/>
  <c r="M47" i="3"/>
  <c r="B6" i="3" s="1"/>
  <c r="M48" i="3"/>
  <c r="B7" i="3" s="1"/>
  <c r="M49" i="3"/>
  <c r="B8" i="3" s="1"/>
  <c r="G8" i="3" s="1"/>
  <c r="M54" i="3"/>
  <c r="B15" i="3" s="1"/>
  <c r="G15" i="3" s="1"/>
  <c r="F4" i="3"/>
  <c r="F16" i="3" s="1"/>
  <c r="C18" i="3"/>
  <c r="E7" i="3"/>
  <c r="M50" i="3"/>
  <c r="B9" i="3" s="1"/>
  <c r="E11" i="3"/>
  <c r="D4" i="3"/>
  <c r="D16" i="3" s="1"/>
  <c r="B56" i="3"/>
  <c r="M45" i="3"/>
  <c r="M46" i="3"/>
  <c r="B5" i="3" s="1"/>
  <c r="E5" i="3"/>
  <c r="M51" i="3"/>
  <c r="B10" i="3" s="1"/>
  <c r="G10" i="3" s="1"/>
  <c r="M52" i="3"/>
  <c r="B11" i="3" s="1"/>
  <c r="E6" i="3"/>
  <c r="G9" i="3" l="1"/>
  <c r="K43" i="3"/>
  <c r="G13" i="3"/>
  <c r="G11" i="3"/>
  <c r="G7" i="3"/>
  <c r="G6" i="3"/>
  <c r="E16" i="3"/>
  <c r="G5" i="3"/>
  <c r="B4" i="3"/>
  <c r="G4" i="3" l="1"/>
  <c r="G16" i="3" s="1"/>
  <c r="A1" i="3" s="1"/>
  <c r="B16" i="3"/>
  <c r="R36" i="2" l="1"/>
  <c r="K36" i="2"/>
  <c r="J36" i="2"/>
  <c r="I36" i="2"/>
  <c r="H36" i="2"/>
  <c r="F36" i="2"/>
  <c r="S35" i="2"/>
  <c r="R35" i="2"/>
  <c r="Q35" i="2"/>
  <c r="O35" i="2"/>
  <c r="N35" i="2"/>
  <c r="M35" i="2"/>
  <c r="L35" i="2"/>
  <c r="S34" i="2"/>
  <c r="R34" i="2"/>
  <c r="Q34" i="2"/>
  <c r="O34" i="2"/>
  <c r="N34" i="2"/>
  <c r="M34" i="2"/>
  <c r="L34" i="2"/>
  <c r="S33" i="2"/>
  <c r="R33" i="2"/>
  <c r="Q33" i="2"/>
  <c r="O33" i="2"/>
  <c r="N33" i="2"/>
  <c r="M33" i="2"/>
  <c r="L33" i="2"/>
  <c r="S32" i="2"/>
  <c r="R32" i="2"/>
  <c r="Q32" i="2"/>
  <c r="O32" i="2"/>
  <c r="N32" i="2"/>
  <c r="M32" i="2"/>
  <c r="L32" i="2"/>
  <c r="S31" i="2"/>
  <c r="R31" i="2"/>
  <c r="Q31" i="2"/>
  <c r="O31" i="2"/>
  <c r="N31" i="2"/>
  <c r="M31" i="2"/>
  <c r="L31" i="2"/>
  <c r="S30" i="2"/>
  <c r="R30" i="2"/>
  <c r="Q30" i="2"/>
  <c r="O30" i="2"/>
  <c r="N30" i="2"/>
  <c r="M30" i="2"/>
  <c r="L30" i="2"/>
  <c r="S29" i="2"/>
  <c r="R29" i="2"/>
  <c r="Q29" i="2"/>
  <c r="O29" i="2"/>
  <c r="N29" i="2"/>
  <c r="M29" i="2"/>
  <c r="L29" i="2"/>
  <c r="S28" i="2"/>
  <c r="R28" i="2"/>
  <c r="Q28" i="2"/>
  <c r="O28" i="2"/>
  <c r="N28" i="2"/>
  <c r="M28" i="2"/>
  <c r="L28" i="2"/>
  <c r="S27" i="2"/>
  <c r="R27" i="2"/>
  <c r="Q27" i="2"/>
  <c r="O27" i="2"/>
  <c r="N27" i="2"/>
  <c r="M27" i="2"/>
  <c r="L27" i="2"/>
  <c r="S26" i="2"/>
  <c r="R26" i="2"/>
  <c r="Q26" i="2"/>
  <c r="O26" i="2"/>
  <c r="N26" i="2"/>
  <c r="M26" i="2"/>
  <c r="L26" i="2"/>
  <c r="S25" i="2"/>
  <c r="R25" i="2"/>
  <c r="Q25" i="2"/>
  <c r="O25" i="2"/>
  <c r="N25" i="2"/>
  <c r="M25" i="2"/>
  <c r="L25" i="2"/>
  <c r="S24" i="2"/>
  <c r="R24" i="2"/>
  <c r="Q24" i="2"/>
  <c r="O24" i="2"/>
  <c r="N24" i="2"/>
  <c r="M24" i="2"/>
  <c r="L24" i="2"/>
  <c r="S23" i="2"/>
  <c r="R23" i="2"/>
  <c r="Q23" i="2"/>
  <c r="O23" i="2"/>
  <c r="N23" i="2"/>
  <c r="M23" i="2"/>
  <c r="L23" i="2"/>
  <c r="S22" i="2"/>
  <c r="R22" i="2"/>
  <c r="Q22" i="2"/>
  <c r="O22" i="2"/>
  <c r="N22" i="2"/>
  <c r="M22" i="2"/>
  <c r="L22" i="2"/>
  <c r="S21" i="2"/>
  <c r="R21" i="2"/>
  <c r="Q21" i="2"/>
  <c r="O21" i="2"/>
  <c r="N21" i="2"/>
  <c r="M21" i="2"/>
  <c r="L21" i="2"/>
  <c r="S20" i="2"/>
  <c r="R20" i="2"/>
  <c r="Q20" i="2"/>
  <c r="O20" i="2"/>
  <c r="N20" i="2"/>
  <c r="M20" i="2"/>
  <c r="L20" i="2"/>
  <c r="S19" i="2"/>
  <c r="R19" i="2"/>
  <c r="Q19" i="2"/>
  <c r="O19" i="2"/>
  <c r="N19" i="2"/>
  <c r="M19" i="2"/>
  <c r="L19" i="2"/>
  <c r="S18" i="2"/>
  <c r="R18" i="2"/>
  <c r="Q18" i="2"/>
  <c r="O18" i="2"/>
  <c r="N18" i="2"/>
  <c r="M18" i="2"/>
  <c r="L18" i="2"/>
  <c r="S17" i="2"/>
  <c r="R17" i="2"/>
  <c r="Q17" i="2"/>
  <c r="O17" i="2"/>
  <c r="N17" i="2"/>
  <c r="M17" i="2"/>
  <c r="L17" i="2"/>
  <c r="S16" i="2"/>
  <c r="R16" i="2"/>
  <c r="Q16" i="2"/>
  <c r="O16" i="2"/>
  <c r="N16" i="2"/>
  <c r="M16" i="2"/>
  <c r="L16" i="2"/>
  <c r="S15" i="2"/>
  <c r="R15" i="2"/>
  <c r="Q15" i="2"/>
  <c r="O15" i="2"/>
  <c r="N15" i="2"/>
  <c r="M15" i="2"/>
  <c r="L15" i="2"/>
  <c r="S14" i="2"/>
  <c r="R14" i="2"/>
  <c r="Q14" i="2"/>
  <c r="O14" i="2"/>
  <c r="N14" i="2"/>
  <c r="M14" i="2"/>
  <c r="L14" i="2"/>
  <c r="S13" i="2"/>
  <c r="R13" i="2"/>
  <c r="Q13" i="2"/>
  <c r="O13" i="2"/>
  <c r="N13" i="2"/>
  <c r="M13" i="2"/>
  <c r="L13" i="2"/>
  <c r="S12" i="2"/>
  <c r="R12" i="2"/>
  <c r="Q12" i="2"/>
  <c r="O12" i="2"/>
  <c r="N12" i="2"/>
  <c r="M12" i="2"/>
  <c r="L12" i="2"/>
  <c r="S11" i="2"/>
  <c r="R11" i="2"/>
  <c r="Q11" i="2"/>
  <c r="O11" i="2"/>
  <c r="N11" i="2"/>
  <c r="M11" i="2"/>
  <c r="L11" i="2"/>
  <c r="S10" i="2"/>
  <c r="R10" i="2"/>
  <c r="Q10" i="2"/>
  <c r="O10" i="2"/>
  <c r="N10" i="2"/>
  <c r="M10" i="2"/>
  <c r="L10" i="2"/>
  <c r="S9" i="2"/>
  <c r="R9" i="2"/>
  <c r="Q9" i="2"/>
  <c r="O9" i="2"/>
  <c r="N9" i="2"/>
  <c r="M9" i="2"/>
  <c r="L9" i="2"/>
  <c r="S8" i="2"/>
  <c r="R8" i="2"/>
  <c r="Q8" i="2"/>
  <c r="O8" i="2"/>
  <c r="N8" i="2"/>
  <c r="M8" i="2"/>
  <c r="L8" i="2"/>
  <c r="S7" i="2"/>
  <c r="R7" i="2"/>
  <c r="Q7" i="2"/>
  <c r="O7" i="2"/>
  <c r="N7" i="2"/>
  <c r="M7" i="2"/>
  <c r="L7" i="2"/>
  <c r="S6" i="2"/>
  <c r="S36" i="2" s="1"/>
  <c r="R6" i="2"/>
  <c r="Q6" i="2"/>
  <c r="O6" i="2"/>
  <c r="N6" i="2"/>
  <c r="M6" i="2"/>
  <c r="L6" i="2"/>
  <c r="L36" i="2" s="1"/>
  <c r="S5" i="2"/>
  <c r="R5" i="2"/>
  <c r="Q5" i="2"/>
  <c r="Q36" i="2" s="1"/>
  <c r="O5" i="2"/>
  <c r="O36" i="2" s="1"/>
  <c r="N5" i="2"/>
  <c r="N36" i="2" s="1"/>
  <c r="M5" i="2"/>
  <c r="M36" i="2" s="1"/>
  <c r="L5" i="2"/>
  <c r="A2" i="2"/>
  <c r="G23" i="2" s="1"/>
  <c r="P23" i="2" s="1"/>
  <c r="T25" i="2" l="1"/>
  <c r="T7" i="2"/>
  <c r="T11" i="2"/>
  <c r="T13" i="2"/>
  <c r="T23" i="2"/>
  <c r="T31" i="2"/>
  <c r="G10" i="2"/>
  <c r="P10" i="2" s="1"/>
  <c r="T10" i="2" s="1"/>
  <c r="G34" i="2"/>
  <c r="P34" i="2" s="1"/>
  <c r="T34" i="2" s="1"/>
  <c r="G7" i="2"/>
  <c r="P7" i="2" s="1"/>
  <c r="G15" i="2"/>
  <c r="P15" i="2" s="1"/>
  <c r="T15" i="2" s="1"/>
  <c r="G31" i="2"/>
  <c r="P31" i="2" s="1"/>
  <c r="G12" i="2"/>
  <c r="P12" i="2" s="1"/>
  <c r="T12" i="2" s="1"/>
  <c r="G20" i="2"/>
  <c r="P20" i="2" s="1"/>
  <c r="T20" i="2" s="1"/>
  <c r="G28" i="2"/>
  <c r="P28" i="2" s="1"/>
  <c r="T28" i="2" s="1"/>
  <c r="G18" i="2"/>
  <c r="P18" i="2" s="1"/>
  <c r="T18" i="2" s="1"/>
  <c r="G9" i="2"/>
  <c r="P9" i="2" s="1"/>
  <c r="T9" i="2" s="1"/>
  <c r="G17" i="2"/>
  <c r="P17" i="2" s="1"/>
  <c r="T17" i="2" s="1"/>
  <c r="G25" i="2"/>
  <c r="P25" i="2" s="1"/>
  <c r="G33" i="2"/>
  <c r="P33" i="2" s="1"/>
  <c r="T33" i="2" s="1"/>
  <c r="G26" i="2"/>
  <c r="P26" i="2" s="1"/>
  <c r="T26" i="2" s="1"/>
  <c r="G6" i="2"/>
  <c r="P6" i="2" s="1"/>
  <c r="T6" i="2" s="1"/>
  <c r="G14" i="2"/>
  <c r="P14" i="2" s="1"/>
  <c r="T14" i="2" s="1"/>
  <c r="G27" i="2"/>
  <c r="P27" i="2" s="1"/>
  <c r="T27" i="2" s="1"/>
  <c r="G35" i="2"/>
  <c r="P35" i="2" s="1"/>
  <c r="T35" i="2" s="1"/>
  <c r="G30" i="2"/>
  <c r="P30" i="2" s="1"/>
  <c r="T30" i="2" s="1"/>
  <c r="G11" i="2"/>
  <c r="P11" i="2" s="1"/>
  <c r="G19" i="2"/>
  <c r="P19" i="2" s="1"/>
  <c r="T19" i="2" s="1"/>
  <c r="G8" i="2"/>
  <c r="P8" i="2" s="1"/>
  <c r="T8" i="2" s="1"/>
  <c r="G16" i="2"/>
  <c r="P16" i="2" s="1"/>
  <c r="T16" i="2" s="1"/>
  <c r="G24" i="2"/>
  <c r="P24" i="2" s="1"/>
  <c r="T24" i="2" s="1"/>
  <c r="G32" i="2"/>
  <c r="P32" i="2" s="1"/>
  <c r="T32" i="2" s="1"/>
  <c r="G22" i="2"/>
  <c r="P22" i="2" s="1"/>
  <c r="T22" i="2" s="1"/>
  <c r="G5" i="2"/>
  <c r="G13" i="2"/>
  <c r="P13" i="2" s="1"/>
  <c r="G21" i="2"/>
  <c r="P21" i="2" s="1"/>
  <c r="T21" i="2" s="1"/>
  <c r="G29" i="2"/>
  <c r="P29" i="2" s="1"/>
  <c r="T29" i="2" s="1"/>
  <c r="P5" i="2" l="1"/>
  <c r="G36" i="2"/>
  <c r="P36" i="2" l="1"/>
  <c r="T5" i="2"/>
  <c r="T36" i="2" s="1"/>
  <c r="T37" i="2" s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<sst xmlns="http://schemas.openxmlformats.org/spreadsheetml/2006/main" count="2137" uniqueCount="339">
  <si>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</si>
  <si>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</si>
  <si>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</si>
  <si>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</si>
  <si>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</si>
  <si>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</si>
  <si>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</si>
  <si>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</si>
  <si>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</si>
  <si>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</si>
  <si>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</si>
  <si>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</si>
  <si>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</si>
  <si>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</si>
  <si>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</si>
  <si>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</si>
  <si>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</si>
  <si>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</si>
  <si>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</si>
  <si>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</si>
  <si>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</si>
  <si>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</si>
  <si>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</si>
  <si>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</si>
  <si>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</si>
  <si>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</si>
  <si>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</si>
  <si>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</si>
  <si>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</si>
  <si>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</si>
  <si>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</si>
  <si>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</si>
  <si>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</si>
  <si>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</si>
  <si>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</si>
  <si>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</si>
  <si>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</si>
  <si>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</si>
  <si>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Монастырка</t>
  </si>
  <si>
    <t>Березовая Пойма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</si>
  <si>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</si>
  <si>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</si>
  <si>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</si>
  <si>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</si>
  <si>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</si>
  <si>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</si>
  <si>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</si>
  <si>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</si>
  <si>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</si>
  <si>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</si>
  <si>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</si>
  <si>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</si>
  <si>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</si>
  <si>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</si>
  <si>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</si>
  <si>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</si>
  <si>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</si>
  <si>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</si>
  <si>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</si>
  <si>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</si>
  <si>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</si>
  <si>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МТО</t>
  </si>
  <si>
    <t>МТО 2520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</si>
  <si>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</si>
  <si>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</si>
  <si>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</si>
  <si>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</si>
  <si>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</si>
  <si>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</si>
  <si>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</si>
  <si>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</si>
  <si>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</si>
  <si>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Полиэфир</t>
  </si>
  <si>
    <t>СБС</t>
  </si>
  <si>
    <t>Порошок</t>
  </si>
  <si>
    <t>НПЭГ</t>
  </si>
  <si>
    <t>Экспорт</t>
  </si>
  <si>
    <t>Доп услуги</t>
  </si>
  <si>
    <t>ИТОГО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</si>
  <si>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</si>
  <si>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</si>
  <si>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</si>
  <si>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</si>
  <si>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</si>
  <si>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</si>
  <si>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</si>
  <si>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</si>
  <si>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</si>
  <si>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</si>
  <si>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</si>
  <si>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</si>
  <si>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</si>
  <si>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</si>
  <si>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</si>
  <si>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</si>
  <si>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Резерв 8000 т</t>
  </si>
  <si>
    <t>Приемка</t>
  </si>
  <si>
    <t>Отгрузка</t>
  </si>
  <si>
    <t>Резерв ПРР 300 т</t>
  </si>
  <si>
    <t>Стоимость резерва хранения</t>
  </si>
  <si>
    <t>Стоимость ПРР</t>
  </si>
  <si>
    <t>Стоимость резерва ПРР</t>
  </si>
  <si>
    <t>Хранение Баумана</t>
  </si>
  <si>
    <t>Хранение Новикова</t>
  </si>
  <si>
    <t>Хранение Березовая Пойма</t>
  </si>
  <si>
    <t>Общее хранение</t>
  </si>
  <si>
    <t>стоимость резерва</t>
  </si>
  <si>
    <t>Выходной</t>
  </si>
  <si>
    <t>Рабочий</t>
  </si>
  <si>
    <t>Выгрузка</t>
  </si>
  <si>
    <t>Выгрузка кол-во тонн</t>
  </si>
  <si>
    <t>Загрузка кол-во тонн</t>
  </si>
  <si>
    <t>Выгрузка после 20:00</t>
  </si>
  <si>
    <t>Загрузка после 20:00</t>
  </si>
  <si>
    <t>Стоимость выгрузки после 20:00</t>
  </si>
  <si>
    <t>Стоимость загрузки после 20:00</t>
  </si>
  <si>
    <t>(кол-во тонн)</t>
  </si>
  <si>
    <t>С НДС;</t>
  </si>
  <si>
    <t xml:space="preserve">по Договору хранения № РУС 4102 от «20» февраля 2023 г.      </t>
  </si>
  <si>
    <t xml:space="preserve">     </t>
  </si>
  <si>
    <t>Приемка товара</t>
  </si>
  <si>
    <t>тонн</t>
  </si>
  <si>
    <t>Приемка товара в выходные дни</t>
  </si>
  <si>
    <t>Приемка после 20:00</t>
  </si>
  <si>
    <t>Загрузка товара в выходные дни</t>
  </si>
  <si>
    <t>Загрузка товара</t>
  </si>
  <si>
    <t>Хранение товара</t>
  </si>
  <si>
    <t>Резерв хранения</t>
  </si>
  <si>
    <t>Резерв ПРР</t>
  </si>
  <si>
    <t>ООО "РусВинил"</t>
  </si>
  <si>
    <t>____________________Расстегаев Д.О.</t>
  </si>
  <si>
    <t xml:space="preserve">по Договору хранения № СХ.47103 от «10» апреля 2025 г.      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</si>
  <si>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</si>
  <si>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</si>
  <si>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</si>
  <si>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</si>
  <si>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</si>
  <si>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</si>
  <si>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шестьдесят тысячь рублей ноль копеек</t>
  </si>
  <si>
    <t xml:space="preserve">Без налога (НДС): </t>
  </si>
  <si>
    <t>семьдесят три тысячи двести рублей ноль копеек</t>
  </si>
  <si>
    <t>ПАО "СИБУР Холдинг"</t>
  </si>
  <si>
    <t xml:space="preserve">по Договору хранения № СХ.45411 от «01» января 2025 г.      </t>
  </si>
  <si>
    <t>двадцать две тысячи рублей ноль копеек</t>
  </si>
  <si>
    <t>двадцать шесть тысяч восемьсот сорок рублей ноль копеек</t>
  </si>
  <si>
    <t>две тысячи рублей ноль копеек</t>
  </si>
  <si>
    <t>две тысячи четыреста сорок рублей ноль копеек</t>
  </si>
  <si>
    <t>Отчет по хранению  товара  за Февраль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</si>
  <si>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</si>
  <si>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</si>
  <si>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</si>
  <si>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</si>
  <si>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</si>
  <si>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</si>
  <si>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</si>
  <si>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</si>
  <si>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</si>
  <si>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</si>
  <si>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</si>
  <si>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Февраль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</si>
  <si>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</si>
  <si>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</si>
  <si>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</si>
  <si>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</si>
  <si>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</si>
  <si>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</si>
  <si>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</si>
  <si>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</si>
  <si>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</si>
  <si>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Февраль</t>
  </si>
  <si>
    <t>ручная загрузка</t>
  </si>
  <si>
    <t>стоимость загр.. Работ</t>
  </si>
  <si>
    <t>мультипак</t>
  </si>
  <si>
    <t>шт,.</t>
  </si>
  <si>
    <t>Отчет "Доктор Франк" Февраль 2025</t>
  </si>
  <si>
    <t>Предоставление паддона</t>
  </si>
  <si>
    <t>оформление и выдача ТТН</t>
  </si>
  <si>
    <t>Печать этикеток</t>
  </si>
  <si>
    <t>Маркировка</t>
  </si>
  <si>
    <t xml:space="preserve">Перекладка Товара  </t>
  </si>
  <si>
    <t>Упаковка в стрейч</t>
  </si>
  <si>
    <t>Упаковка в пупырку</t>
  </si>
  <si>
    <t>Паллеты</t>
  </si>
  <si>
    <t>Документы</t>
  </si>
  <si>
    <t xml:space="preserve">Перекладка товара </t>
  </si>
  <si>
    <t>Отчет по хранению  товара  Ергарда за Февраль</t>
  </si>
  <si>
    <t>Переконсолидация Товара</t>
  </si>
  <si>
    <t>тонна</t>
  </si>
  <si>
    <t>Предоставление фито поддона</t>
  </si>
  <si>
    <t>штука</t>
  </si>
  <si>
    <t>двадцать четыре тысячи рублей ноль копеек</t>
  </si>
  <si>
    <t>двадцать девять тысяч двести восемьдесят рублей ноль копеек</t>
  </si>
  <si>
    <t>шестьдесят четыре рублей ноль копеек</t>
  </si>
  <si>
    <t>семьдесят восемь тысяч восемьдесят рублей ноль копеек</t>
  </si>
  <si>
    <t>сто пятьдесят две тысячи рублей ноль копеек</t>
  </si>
  <si>
    <t>сто восемьдесят пять тысяч четыреста сорок рублей ноль копеек</t>
  </si>
  <si>
    <t>Отчет по хранению товара за Февраль 2026 Баумана KPI</t>
  </si>
  <si>
    <t>Резервирование 5032 ГЕ</t>
  </si>
  <si>
    <t>Мин. Суточный резерв 625</t>
  </si>
  <si>
    <t>Взвешивание</t>
  </si>
  <si>
    <t>Стоимость взвешивания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</si>
  <si>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</si>
  <si>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</si>
  <si>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</si>
  <si>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</si>
  <si>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</si>
  <si>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</si>
  <si>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</si>
  <si>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</si>
  <si>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</si>
  <si>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</si>
  <si>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</si>
  <si>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</si>
  <si>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</si>
  <si>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</si>
  <si>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</si>
  <si>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</si>
  <si>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</si>
  <si>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</si>
  <si>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</si>
  <si>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</si>
  <si>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</si>
  <si>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</si>
  <si>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</si>
  <si>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</si>
  <si>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</si>
  <si>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</si>
  <si>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</si>
  <si>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</si>
  <si>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Отчет по хранению товара за Февраль 2026 Баумана Полимеры</t>
  </si>
  <si>
    <t>Отчет по хранению товара за Февраль 2026 Баумана Полиом</t>
  </si>
  <si>
    <t>Отчет по хранению товара за Февраль 2025 Баумана KPI</t>
  </si>
  <si>
    <t>Резервирование 6920 ГЕ</t>
  </si>
  <si>
    <t>Мин. Суточный резерв 600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</si>
  <si>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</si>
  <si>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</si>
  <si>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</si>
  <si>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</si>
  <si>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</si>
  <si>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</si>
  <si>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</si>
  <si>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</si>
  <si>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</si>
  <si>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</si>
  <si>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</si>
  <si>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</si>
  <si>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</si>
  <si>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</si>
  <si>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</si>
  <si>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</si>
  <si>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</si>
  <si>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</si>
  <si>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</si>
  <si>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</si>
  <si>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</si>
  <si>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</si>
  <si>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</si>
  <si>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</si>
  <si>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</si>
  <si>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</si>
  <si>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</si>
  <si>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</si>
  <si>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Отчет по хранению товара за Февраль 2025 Баумана Полимеры</t>
  </si>
  <si>
    <t>Отчет по хранению товара за Февраль 2025 Баумана Полиом</t>
  </si>
  <si>
    <t>Отчет по хранению товара за Февраль 2026 Екатеринбург KPI</t>
  </si>
  <si>
    <t>Резервирование 10500 ГЕ</t>
  </si>
  <si>
    <t>Мин. Суточный резерв 1000</t>
  </si>
  <si>
    <t>стоимость взвешивания</t>
  </si>
  <si>
    <t>Отчет по хранению товара за Февраль 2026 Екатеринбург Полимеры</t>
  </si>
  <si>
    <t>Отчет по хранению товара за Февраль 2026 Екатеринбург Полиом</t>
  </si>
  <si>
    <t>Отчет по хранению товара за Январь 2026 Екатеринбург НПЭГ НПЭГ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</si>
  <si>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</si>
  <si>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</si>
  <si>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</si>
  <si>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</si>
  <si>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</si>
  <si>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</si>
  <si>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</si>
  <si>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</si>
  <si>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</si>
  <si>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</si>
  <si>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</si>
  <si>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</si>
  <si>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</si>
  <si>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</si>
  <si>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</si>
  <si>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</si>
  <si>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</si>
  <si>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</si>
  <si>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</si>
  <si>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</si>
  <si>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</si>
  <si>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</si>
  <si>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</si>
  <si>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</si>
  <si>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</si>
  <si>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</si>
  <si>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</si>
  <si>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</si>
  <si>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</si>
  <si>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</si>
  <si>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</si>
  <si>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Отчет по хранению товара за Февраль 2026 Зеленодольск Полимеры</t>
  </si>
  <si>
    <t>Резервирование 9500 ГЕ</t>
  </si>
  <si>
    <t>Мин. Суточный резерв 700</t>
  </si>
  <si>
    <t>Отчет по хранению товара за Февраль 2026 Зеленодольск Данафлекс Данафлекс</t>
  </si>
  <si>
    <t>Мин. Суточный резерв 800</t>
  </si>
  <si>
    <t>Отчет по хранению товара за Февраль 2026 Казань_Автосервисная Полимеры</t>
  </si>
  <si>
    <t>Резервирование 0 т</t>
  </si>
  <si>
    <t>стоимость выгрузки за 1 месяц</t>
  </si>
  <si>
    <t>стоимость загрузки за 1 месяц</t>
  </si>
  <si>
    <t>стоимость хранения за 1 месяц</t>
  </si>
  <si>
    <t>Отчет по хранению товара за Февраль 2026 Казань_Автосервисная Полиом</t>
  </si>
  <si>
    <t>Отчет по хранению товара за Февраль 2026 Казань_Приволжская Полимеры</t>
  </si>
  <si>
    <t>Резервирование 6000 т</t>
  </si>
  <si>
    <t>Мин. Суточный резерв 500 т</t>
  </si>
  <si>
    <t>Отчет по хранению товара за Февраль 2026 Нижнекамск НПЭГ НПЭГ</t>
  </si>
  <si>
    <t>Резервирование 1000 ГЕ</t>
  </si>
  <si>
    <t>Мин. Суточный резерв 100</t>
  </si>
  <si>
    <t>Отчет по хранению товара за Февраль 2026 Нижнекамск ПСОН ПСОН</t>
  </si>
  <si>
    <t>Резервирование 5200 т</t>
  </si>
  <si>
    <t>Мин. Суточный резерв 0</t>
  </si>
  <si>
    <t>Отчет по хранению товара за Февраль 2026 Новикова-Прибоя KPI</t>
  </si>
  <si>
    <t>Резервирование 0</t>
  </si>
  <si>
    <t>Мин. Суточный резерв 400</t>
  </si>
  <si>
    <t>стоимость хранения 
в месяц</t>
  </si>
  <si>
    <t>Отчет по хранению товара за Февраль 2026 Новикова-Прибоя Полимеры</t>
  </si>
  <si>
    <t>Отчет по хранению товара за Февраль 2026 Новикова-Прибоя Полиом</t>
  </si>
  <si>
    <t>Отчет по хранению товара за Февраль 2026 Новосибирск KPI</t>
  </si>
  <si>
    <t>Резервирование 4000 ГЕ</t>
  </si>
  <si>
    <t>Отчет по хранению товара за Февраль 2026 Новосибирск Полимеры</t>
  </si>
  <si>
    <t>Отчет по хранению товара за Февраль 2026 Новосибирск Полиом</t>
  </si>
  <si>
    <t>Отчет по хранению товара за Февраль 2026 Новосибирск Порошок Порошок</t>
  </si>
  <si>
    <t>Резервирование 510 т</t>
  </si>
  <si>
    <t>Отчет по хранению товара за Февраль 2026 Новосибирск_Пасечная Порошок</t>
  </si>
  <si>
    <t>Резервирование 1870 т</t>
  </si>
  <si>
    <t>Мин. Суточный резерв 75</t>
  </si>
  <si>
    <t>КП КОС</t>
  </si>
  <si>
    <t>КП Нижнекамск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</si>
</sst>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164" formatCode="&quot;₽&quot;#,##0.00_);\(&quot;₽&quot;#,##0.00\)"/>
    <numFmt numFmtId="165" formatCode="_(&quot;₽&quot;* #,##0.00_);_(&quot;₽&quot;* \(#,##0.00\);_(&quot;₽&quot;* &quot;-&quot;??_);_(@_)"/>
    <numFmt numFmtId="166" formatCode="0.000000"/>
    <numFmt numFmtId="167" formatCode="0.000"/>
    <numFmt numFmtId="168" formatCode="0.0000"/>
    <numFmt numFmtId="169" formatCode="#,##0.00\ &quot;₽&quot;"/>
    <numFmt numFmtId="170" formatCode="#,##0.000"/>
    <numFmt numFmtId="171" formatCode="_-* #,##0.00\ [$₽-419]_-;\-* #,##0.00\ [$₽-419]_-;_-* &quot;-&quot;??\ [$₽-419]_-;_-@_-"/>
    <numFmt numFmtId="172" formatCode="_-* #,##0.00\ &quot;₽&quot;_-;\-* #,##0.00\ &quot;₽&quot;_-;_-* &quot;-&quot;??\ &quot;₽&quot;_-;_-@"/>
  </numFmts>
  <fonts count="30">
    <font>
      <sz val="12"/>
      <color theme="1"/>
      <name val="0xProto"/>
      <family val="2"/>
      <charset val="204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name val="Times New Roman"/>
      <family val="1"/>
      <charset val="204"/>
    </font>
    <font>
      <sz val="11"/>
      <name val="Arial"/>
      <family val="2"/>
    </font>
    <font>
      <sz val="1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4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color rgb="FF00B050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theme="1"/>
      <name val="Calibri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2"/>
      <color rgb="FF00B050"/>
      <name val="Calibri"/>
      <family val="2"/>
      <charset val="204"/>
    </font>
    <font>
      <b/>
      <sz val="11"/>
      <color rgb="FFFF0000"/>
      <name val="Arial"/>
      <family val="2"/>
      <charset val="204"/>
    </font>
    <font>
      <sz val="12"/>
      <color theme="1"/>
      <name val="0xProto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165" fontId="1" fillId="0" borderId="0" applyFon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44" fontId="29" fillId="0" borderId="0" applyFont="0" applyFill="0" applyBorder="0" applyAlignment="0" applyProtection="0"/>
  </cellStyleXfs>
  <cellXfs count="272">
    <xf numFmtId="0" fontId="0" fillId="0" borderId="0" xfId="0"/>
    <xf numFmtId="165" fontId="1" fillId="0" borderId="0" xfId="1" applyNumberFormat="1"/>
    <xf numFmtId="0" fontId="1" fillId="0" borderId="0" xfId="1"/>
    <xf numFmtId="0" fontId="1" fillId="0" borderId="0" xfId="1" quotePrefix="1"/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1" fillId="0" borderId="8" xfId="1" applyBorder="1" applyAlignment="1">
      <alignment horizontal="center"/>
    </xf>
    <xf numFmtId="166" fontId="6" fillId="0" borderId="10" xfId="3" applyNumberFormat="1" applyFont="1" applyBorder="1" applyAlignment="1">
      <alignment vertical="top"/>
    </xf>
    <xf numFmtId="166" fontId="6" fillId="0" borderId="10" xfId="3" applyNumberFormat="1" applyFont="1" applyBorder="1" applyAlignment="1">
      <alignment horizontal="right" vertical="top"/>
    </xf>
    <xf numFmtId="166" fontId="7" fillId="0" borderId="11" xfId="2" applyNumberFormat="1" applyFont="1" applyBorder="1" applyAlignment="1">
      <alignment horizontal="right" vertical="top"/>
    </xf>
    <xf numFmtId="167" fontId="1" fillId="0" borderId="11" xfId="1" applyNumberFormat="1" applyBorder="1"/>
    <xf numFmtId="0" fontId="1" fillId="0" borderId="11" xfId="1" applyBorder="1"/>
    <xf numFmtId="165" fontId="1" fillId="0" borderId="11" xfId="1" applyNumberFormat="1" applyBorder="1"/>
    <xf numFmtId="0" fontId="1" fillId="0" borderId="11" xfId="1" applyBorder="1" applyAlignment="1">
      <alignment horizontal="center"/>
    </xf>
    <xf numFmtId="0" fontId="1" fillId="0" borderId="12" xfId="1" applyBorder="1"/>
    <xf numFmtId="0" fontId="6" fillId="0" borderId="10" xfId="3" applyFont="1" applyBorder="1" applyAlignment="1">
      <alignment horizontal="right" vertical="top"/>
    </xf>
    <xf numFmtId="168" fontId="6" fillId="0" borderId="10" xfId="3" applyNumberFormat="1" applyFont="1" applyBorder="1" applyAlignment="1">
      <alignment horizontal="right" vertical="top"/>
    </xf>
    <xf numFmtId="166" fontId="6" fillId="0" borderId="10" xfId="4" applyNumberFormat="1" applyFont="1" applyBorder="1" applyAlignment="1">
      <alignment horizontal="right" vertical="top"/>
    </xf>
    <xf numFmtId="0" fontId="6" fillId="0" borderId="10" xfId="3" applyFont="1" applyBorder="1" applyAlignment="1">
      <alignment vertical="top"/>
    </xf>
    <xf numFmtId="167" fontId="3" fillId="0" borderId="11" xfId="1" applyNumberFormat="1" applyFont="1" applyBorder="1"/>
    <xf numFmtId="1" fontId="3" fillId="0" borderId="11" xfId="1" applyNumberFormat="1" applyFont="1" applyBorder="1"/>
    <xf numFmtId="165" fontId="3" fillId="0" borderId="11" xfId="1" applyNumberFormat="1" applyFont="1" applyBorder="1"/>
    <xf numFmtId="0" fontId="3" fillId="0" borderId="0" xfId="1" applyFont="1"/>
    <xf numFmtId="165" fontId="8" fillId="0" borderId="11" xfId="1" applyNumberFormat="1" applyFont="1" applyBorder="1"/>
    <xf numFmtId="166" fontId="1" fillId="0" borderId="0" xfId="1" applyNumberFormat="1"/>
    <xf numFmtId="0" fontId="7" fillId="0" borderId="0" xfId="6"/>
    <xf numFmtId="165" fontId="9" fillId="0" borderId="13" xfId="6" applyNumberFormat="1" applyFont="1" applyBorder="1" applyAlignment="1">
      <alignment vertical="center"/>
    </xf>
    <xf numFmtId="0" fontId="9" fillId="0" borderId="13" xfId="6" applyFont="1" applyBorder="1" applyAlignment="1">
      <alignment vertical="center"/>
    </xf>
    <xf numFmtId="0" fontId="10" fillId="0" borderId="16" xfId="6" applyFont="1" applyBorder="1" applyAlignment="1">
      <alignment horizontal="center"/>
    </xf>
    <xf numFmtId="0" fontId="10" fillId="0" borderId="17" xfId="6" applyFont="1" applyBorder="1" applyAlignment="1">
      <alignment horizontal="center"/>
    </xf>
    <xf numFmtId="0" fontId="10" fillId="0" borderId="18" xfId="6" applyFont="1" applyBorder="1" applyAlignment="1">
      <alignment horizontal="center"/>
    </xf>
    <xf numFmtId="165" fontId="7" fillId="0" borderId="19" xfId="5" applyFont="1" applyBorder="1"/>
    <xf numFmtId="169" fontId="7" fillId="0" borderId="20" xfId="5" applyNumberFormat="1" applyFont="1" applyBorder="1"/>
    <xf numFmtId="0" fontId="7" fillId="0" borderId="21" xfId="6" applyBorder="1" applyAlignment="1">
      <alignment horizontal="center"/>
    </xf>
    <xf numFmtId="169" fontId="7" fillId="0" borderId="5" xfId="5" applyNumberFormat="1" applyFont="1" applyBorder="1" applyAlignment="1">
      <alignment horizontal="right"/>
    </xf>
    <xf numFmtId="169" fontId="8" fillId="0" borderId="22" xfId="5" applyNumberFormat="1" applyFont="1" applyBorder="1" applyAlignment="1">
      <alignment horizontal="right"/>
    </xf>
    <xf numFmtId="165" fontId="7" fillId="0" borderId="9" xfId="5" applyFont="1" applyBorder="1"/>
    <xf numFmtId="169" fontId="7" fillId="0" borderId="23" xfId="5" applyNumberFormat="1" applyFont="1" applyBorder="1"/>
    <xf numFmtId="0" fontId="7" fillId="0" borderId="9" xfId="6" applyBorder="1" applyAlignment="1">
      <alignment horizontal="center"/>
    </xf>
    <xf numFmtId="0" fontId="11" fillId="0" borderId="9" xfId="6" applyFont="1" applyBorder="1" applyAlignment="1">
      <alignment horizontal="center"/>
    </xf>
    <xf numFmtId="0" fontId="11" fillId="0" borderId="24" xfId="6" applyFont="1" applyBorder="1" applyAlignment="1">
      <alignment horizontal="center"/>
    </xf>
    <xf numFmtId="165" fontId="7" fillId="0" borderId="25" xfId="5" applyFont="1" applyBorder="1"/>
    <xf numFmtId="169" fontId="7" fillId="0" borderId="26" xfId="5" applyNumberFormat="1" applyFont="1" applyBorder="1"/>
    <xf numFmtId="0" fontId="10" fillId="0" borderId="8" xfId="6" applyFont="1" applyBorder="1" applyAlignment="1">
      <alignment horizontal="center"/>
    </xf>
    <xf numFmtId="0" fontId="11" fillId="0" borderId="16" xfId="6" applyFont="1" applyBorder="1"/>
    <xf numFmtId="169" fontId="3" fillId="0" borderId="27" xfId="5" applyNumberFormat="1" applyFont="1" applyBorder="1" applyAlignment="1">
      <alignment horizontal="right" vertical="center"/>
    </xf>
    <xf numFmtId="169" fontId="12" fillId="0" borderId="27" xfId="5" applyNumberFormat="1" applyFont="1" applyBorder="1" applyAlignment="1">
      <alignment horizontal="right" vertical="center"/>
    </xf>
    <xf numFmtId="0" fontId="11" fillId="0" borderId="0" xfId="6" applyFont="1"/>
    <xf numFmtId="165" fontId="3" fillId="0" borderId="0" xfId="5" applyFont="1" applyBorder="1" applyAlignment="1"/>
    <xf numFmtId="165" fontId="12" fillId="0" borderId="0" xfId="5" applyFont="1" applyBorder="1" applyAlignment="1"/>
    <xf numFmtId="169" fontId="8" fillId="0" borderId="30" xfId="6" applyNumberFormat="1" applyFont="1" applyBorder="1" applyAlignment="1">
      <alignment horizontal="right"/>
    </xf>
    <xf numFmtId="169" fontId="8" fillId="0" borderId="18" xfId="6" applyNumberFormat="1" applyFont="1" applyBorder="1" applyAlignment="1">
      <alignment horizontal="right"/>
    </xf>
    <xf numFmtId="165" fontId="8" fillId="0" borderId="0" xfId="6" applyNumberFormat="1" applyFont="1"/>
    <xf numFmtId="0" fontId="10" fillId="0" borderId="0" xfId="6" applyFont="1" applyAlignment="1">
      <alignment horizontal="center"/>
    </xf>
    <xf numFmtId="0" fontId="11" fillId="0" borderId="5" xfId="6" applyFont="1" applyBorder="1"/>
    <xf numFmtId="169" fontId="11" fillId="0" borderId="5" xfId="6" applyNumberFormat="1" applyFont="1" applyBorder="1"/>
    <xf numFmtId="169" fontId="13" fillId="0" borderId="5" xfId="5" applyNumberFormat="1" applyFont="1" applyBorder="1" applyAlignment="1">
      <alignment horizontal="right" vertical="center" wrapText="1"/>
    </xf>
    <xf numFmtId="169" fontId="13" fillId="0" borderId="8" xfId="5" applyNumberFormat="1" applyFont="1" applyBorder="1" applyAlignment="1">
      <alignment horizontal="right" vertical="center" wrapText="1"/>
    </xf>
    <xf numFmtId="165" fontId="13" fillId="0" borderId="0" xfId="5" applyFont="1" applyBorder="1" applyAlignment="1">
      <alignment horizontal="center" vertical="center" wrapText="1"/>
    </xf>
    <xf numFmtId="0" fontId="11" fillId="0" borderId="8" xfId="6" applyFont="1" applyBorder="1"/>
    <xf numFmtId="169" fontId="11" fillId="0" borderId="8" xfId="6" applyNumberFormat="1" applyFont="1" applyBorder="1"/>
    <xf numFmtId="169" fontId="11" fillId="0" borderId="0" xfId="6" applyNumberFormat="1" applyFont="1"/>
    <xf numFmtId="0" fontId="11" fillId="0" borderId="0" xfId="6" applyFont="1" applyAlignment="1">
      <alignment horizontal="center"/>
    </xf>
    <xf numFmtId="169" fontId="13" fillId="0" borderId="0" xfId="5" applyNumberFormat="1" applyFont="1" applyBorder="1" applyAlignment="1">
      <alignment horizontal="right" vertical="center" wrapText="1"/>
    </xf>
    <xf numFmtId="169" fontId="13" fillId="0" borderId="0" xfId="5" applyNumberFormat="1" applyFont="1" applyBorder="1" applyAlignment="1">
      <alignment horizontal="center" vertical="center" wrapText="1"/>
    </xf>
    <xf numFmtId="0" fontId="7" fillId="0" borderId="16" xfId="6" applyBorder="1"/>
    <xf numFmtId="0" fontId="10" fillId="0" borderId="35" xfId="6" applyFont="1" applyBorder="1" applyAlignment="1">
      <alignment horizontal="center"/>
    </xf>
    <xf numFmtId="0" fontId="10" fillId="0" borderId="29" xfId="6" applyFont="1" applyBorder="1" applyAlignment="1">
      <alignment horizontal="center"/>
    </xf>
    <xf numFmtId="0" fontId="10" fillId="0" borderId="27" xfId="6" applyFont="1" applyBorder="1" applyAlignment="1">
      <alignment horizontal="center"/>
    </xf>
    <xf numFmtId="0" fontId="10" fillId="0" borderId="5" xfId="6" applyFont="1" applyBorder="1" applyAlignment="1">
      <alignment horizontal="center"/>
    </xf>
    <xf numFmtId="169" fontId="7" fillId="0" borderId="5" xfId="5" applyNumberFormat="1" applyFont="1" applyBorder="1"/>
    <xf numFmtId="169" fontId="10" fillId="0" borderId="5" xfId="6" applyNumberFormat="1" applyFont="1" applyBorder="1"/>
    <xf numFmtId="0" fontId="13" fillId="0" borderId="8" xfId="6" applyFont="1" applyBorder="1" applyAlignment="1">
      <alignment horizontal="center"/>
    </xf>
    <xf numFmtId="165" fontId="7" fillId="0" borderId="0" xfId="5" applyFont="1" applyBorder="1"/>
    <xf numFmtId="165" fontId="10" fillId="0" borderId="0" xfId="6" applyNumberFormat="1" applyFont="1"/>
    <xf numFmtId="0" fontId="10" fillId="0" borderId="28" xfId="6" applyFont="1" applyBorder="1" applyAlignment="1">
      <alignment horizontal="center"/>
    </xf>
    <xf numFmtId="165" fontId="0" fillId="0" borderId="0" xfId="5" applyFont="1"/>
    <xf numFmtId="0" fontId="2" fillId="0" borderId="0" xfId="1" applyFont="1"/>
    <xf numFmtId="0" fontId="14" fillId="0" borderId="0" xfId="1" applyFont="1"/>
    <xf numFmtId="0" fontId="1" fillId="0" borderId="8" xfId="1" applyBorder="1"/>
    <xf numFmtId="0" fontId="1" fillId="0" borderId="8" xfId="1" applyBorder="1" applyAlignment="1">
      <alignment horizontal="center" vertical="center"/>
    </xf>
    <xf numFmtId="0" fontId="15" fillId="0" borderId="0" xfId="1" applyFont="1" applyAlignment="1">
      <alignment wrapText="1"/>
    </xf>
    <xf numFmtId="1" fontId="15" fillId="0" borderId="8" xfId="1" applyNumberFormat="1" applyFont="1" applyBorder="1" applyAlignment="1">
      <alignment horizontal="center" vertical="center"/>
    </xf>
    <xf numFmtId="165" fontId="0" fillId="0" borderId="8" xfId="5" applyFont="1" applyBorder="1" applyAlignment="1">
      <alignment vertical="center"/>
    </xf>
    <xf numFmtId="0" fontId="15" fillId="0" borderId="36" xfId="1" applyFont="1" applyBorder="1" applyAlignment="1">
      <alignment vertical="center" wrapText="1"/>
    </xf>
    <xf numFmtId="0" fontId="15" fillId="0" borderId="8" xfId="1" applyFont="1" applyBorder="1" applyAlignment="1">
      <alignment horizontal="left" vertical="top" wrapText="1"/>
    </xf>
    <xf numFmtId="165" fontId="0" fillId="0" borderId="8" xfId="5" applyFont="1" applyBorder="1"/>
    <xf numFmtId="165" fontId="3" fillId="0" borderId="0" xfId="5" applyFont="1"/>
    <xf numFmtId="165" fontId="3" fillId="0" borderId="0" xfId="5" applyFont="1" applyFill="1" applyBorder="1"/>
    <xf numFmtId="0" fontId="1" fillId="3" borderId="0" xfId="1" applyFill="1"/>
    <xf numFmtId="167" fontId="1" fillId="3" borderId="8" xfId="1" applyNumberFormat="1" applyFill="1" applyBorder="1"/>
    <xf numFmtId="0" fontId="1" fillId="3" borderId="8" xfId="1" applyFill="1" applyBorder="1"/>
    <xf numFmtId="165" fontId="1" fillId="3" borderId="8" xfId="1" applyNumberFormat="1" applyFill="1" applyBorder="1"/>
    <xf numFmtId="167" fontId="3" fillId="0" borderId="16" xfId="1" applyNumberFormat="1" applyFont="1" applyBorder="1"/>
    <xf numFmtId="165" fontId="3" fillId="0" borderId="16" xfId="1" applyNumberFormat="1" applyFont="1" applyBorder="1"/>
    <xf numFmtId="165" fontId="8" fillId="0" borderId="16" xfId="1" applyNumberFormat="1" applyFont="1" applyBorder="1"/>
    <xf numFmtId="165" fontId="8" fillId="0" borderId="18" xfId="1" applyNumberFormat="1" applyFont="1" applyBorder="1"/>
    <xf numFmtId="165" fontId="16" fillId="0" borderId="0" xfId="1" applyNumberFormat="1" applyFont="1"/>
    <xf numFmtId="167" fontId="17" fillId="3" borderId="8" xfId="8" applyNumberFormat="1" applyFont="1" applyFill="1" applyBorder="1" applyAlignment="1">
      <alignment horizontal="center" vertical="top"/>
    </xf>
    <xf numFmtId="167" fontId="1" fillId="3" borderId="8" xfId="1" applyNumberFormat="1" applyFill="1" applyBorder="1" applyAlignment="1">
      <alignment horizontal="center" vertical="center"/>
    </xf>
    <xf numFmtId="167" fontId="3" fillId="3" borderId="8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 wrapText="1"/>
    </xf>
    <xf numFmtId="167" fontId="15" fillId="3" borderId="8" xfId="1" applyNumberFormat="1" applyFont="1" applyFill="1" applyBorder="1" applyAlignment="1">
      <alignment horizontal="center" vertical="center"/>
    </xf>
    <xf numFmtId="167" fontId="18" fillId="3" borderId="8" xfId="1" applyNumberFormat="1" applyFont="1" applyFill="1" applyBorder="1" applyAlignment="1">
      <alignment horizontal="center" vertical="center"/>
    </xf>
    <xf numFmtId="0" fontId="3" fillId="0" borderId="16" xfId="1" applyFont="1" applyBorder="1"/>
    <xf numFmtId="167" fontId="1" fillId="3" borderId="12" xfId="1" applyNumberFormat="1" applyFill="1" applyBorder="1"/>
    <xf numFmtId="167" fontId="3" fillId="3" borderId="12" xfId="1" applyNumberFormat="1" applyFont="1" applyFill="1" applyBorder="1" applyAlignment="1">
      <alignment horizontal="center" vertical="center"/>
    </xf>
    <xf numFmtId="0" fontId="1" fillId="3" borderId="12" xfId="1" applyFill="1" applyBorder="1"/>
    <xf numFmtId="167" fontId="1" fillId="3" borderId="0" xfId="1" applyNumberFormat="1" applyFill="1"/>
    <xf numFmtId="170" fontId="15" fillId="0" borderId="8" xfId="1" applyNumberFormat="1" applyFont="1" applyBorder="1" applyAlignment="1">
      <alignment horizontal="center"/>
    </xf>
    <xf numFmtId="171" fontId="1" fillId="0" borderId="8" xfId="1" applyNumberFormat="1" applyBorder="1"/>
    <xf numFmtId="170" fontId="1" fillId="0" borderId="8" xfId="1" applyNumberFormat="1" applyBorder="1" applyAlignment="1">
      <alignment horizontal="center"/>
    </xf>
    <xf numFmtId="0" fontId="19" fillId="0" borderId="8" xfId="1" applyFont="1" applyBorder="1"/>
    <xf numFmtId="0" fontId="19" fillId="0" borderId="0" xfId="1" applyFont="1"/>
    <xf numFmtId="165" fontId="1" fillId="0" borderId="8" xfId="1" applyNumberFormat="1" applyBorder="1"/>
    <xf numFmtId="14" fontId="1" fillId="0" borderId="0" xfId="1" applyNumberFormat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1" fontId="1" fillId="0" borderId="0" xfId="1" applyNumberFormat="1"/>
    <xf numFmtId="169" fontId="1" fillId="0" borderId="8" xfId="1" applyNumberFormat="1" applyBorder="1" applyAlignment="1">
      <alignment horizontal="center"/>
    </xf>
    <xf numFmtId="0" fontId="17" fillId="0" borderId="8" xfId="8" applyFont="1" applyBorder="1" applyAlignment="1">
      <alignment horizontal="center" vertical="top"/>
    </xf>
    <xf numFmtId="0" fontId="1" fillId="3" borderId="8" xfId="1" applyFill="1" applyBorder="1" applyAlignment="1">
      <alignment horizontal="center"/>
    </xf>
    <xf numFmtId="0" fontId="17" fillId="3" borderId="8" xfId="8" applyFont="1" applyFill="1" applyBorder="1" applyAlignment="1">
      <alignment horizontal="center" vertical="top"/>
    </xf>
    <xf numFmtId="0" fontId="1" fillId="3" borderId="8" xfId="1" applyFill="1" applyBorder="1" applyAlignment="1">
      <alignment horizontal="center" vertical="center"/>
    </xf>
    <xf numFmtId="0" fontId="3" fillId="0" borderId="17" xfId="1" applyFont="1" applyBorder="1"/>
    <xf numFmtId="1" fontId="3" fillId="0" borderId="17" xfId="1" applyNumberFormat="1" applyFont="1" applyBorder="1"/>
    <xf numFmtId="167" fontId="3" fillId="0" borderId="17" xfId="1" applyNumberFormat="1" applyFont="1" applyBorder="1"/>
    <xf numFmtId="169" fontId="8" fillId="0" borderId="18" xfId="1" applyNumberFormat="1" applyFont="1" applyBorder="1"/>
    <xf numFmtId="172" fontId="1" fillId="0" borderId="0" xfId="1" applyNumberFormat="1"/>
    <xf numFmtId="0" fontId="20" fillId="0" borderId="0" xfId="1" applyFont="1" applyAlignment="1">
      <alignment horizontal="center"/>
    </xf>
    <xf numFmtId="172" fontId="20" fillId="0" borderId="0" xfId="1" applyNumberFormat="1" applyFont="1"/>
    <xf numFmtId="0" fontId="24" fillId="0" borderId="41" xfId="1" applyFont="1" applyBorder="1" applyAlignment="1">
      <alignment horizontal="center" vertical="center" wrapText="1"/>
    </xf>
    <xf numFmtId="0" fontId="24" fillId="0" borderId="47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top"/>
    </xf>
    <xf numFmtId="0" fontId="15" fillId="0" borderId="5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wrapText="1"/>
    </xf>
    <xf numFmtId="0" fontId="15" fillId="0" borderId="8" xfId="1" applyFont="1" applyBorder="1" applyAlignment="1">
      <alignment horizontal="center" vertical="top"/>
    </xf>
    <xf numFmtId="169" fontId="26" fillId="0" borderId="5" xfId="1" applyNumberFormat="1" applyFont="1" applyBorder="1" applyAlignment="1">
      <alignment horizontal="right"/>
    </xf>
    <xf numFmtId="172" fontId="24" fillId="0" borderId="5" xfId="1" applyNumberFormat="1" applyFont="1" applyBorder="1" applyAlignment="1">
      <alignment horizontal="right"/>
    </xf>
    <xf numFmtId="0" fontId="15" fillId="0" borderId="8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wrapText="1"/>
    </xf>
    <xf numFmtId="172" fontId="24" fillId="0" borderId="8" xfId="1" applyNumberFormat="1" applyFont="1" applyBorder="1" applyAlignment="1">
      <alignment horizontal="right"/>
    </xf>
    <xf numFmtId="0" fontId="15" fillId="5" borderId="8" xfId="1" applyFont="1" applyFill="1" applyBorder="1" applyAlignment="1">
      <alignment horizontal="center" vertical="top"/>
    </xf>
    <xf numFmtId="0" fontId="15" fillId="5" borderId="8" xfId="1" applyFont="1" applyFill="1" applyBorder="1" applyAlignment="1">
      <alignment horizontal="center" vertical="center"/>
    </xf>
    <xf numFmtId="0" fontId="15" fillId="5" borderId="8" xfId="1" applyFont="1" applyFill="1" applyBorder="1" applyAlignment="1">
      <alignment horizontal="center" wrapText="1"/>
    </xf>
    <xf numFmtId="0" fontId="15" fillId="0" borderId="8" xfId="1" applyFont="1" applyBorder="1" applyAlignment="1">
      <alignment horizontal="center"/>
    </xf>
    <xf numFmtId="0" fontId="24" fillId="0" borderId="16" xfId="1" applyFont="1" applyBorder="1" applyAlignment="1">
      <alignment horizontal="center"/>
    </xf>
    <xf numFmtId="169" fontId="24" fillId="0" borderId="17" xfId="1" applyNumberFormat="1" applyFont="1" applyBorder="1" applyAlignment="1">
      <alignment horizontal="right"/>
    </xf>
    <xf numFmtId="169" fontId="24" fillId="0" borderId="54" xfId="1" applyNumberFormat="1" applyFont="1" applyBorder="1" applyAlignment="1">
      <alignment horizontal="right"/>
    </xf>
    <xf numFmtId="172" fontId="24" fillId="0" borderId="55" xfId="1" applyNumberFormat="1" applyFont="1" applyBorder="1" applyAlignment="1">
      <alignment horizontal="right"/>
    </xf>
    <xf numFmtId="0" fontId="3" fillId="0" borderId="19" xfId="1" applyFont="1" applyBorder="1" applyAlignment="1">
      <alignment horizontal="center"/>
    </xf>
    <xf numFmtId="172" fontId="27" fillId="0" borderId="20" xfId="1" applyNumberFormat="1" applyFont="1" applyBorder="1" applyAlignment="1">
      <alignment horizontal="center"/>
    </xf>
    <xf numFmtId="4" fontId="1" fillId="0" borderId="0" xfId="1" applyNumberFormat="1"/>
    <xf numFmtId="0" fontId="3" fillId="0" borderId="8" xfId="1" applyFont="1" applyBorder="1" applyAlignment="1">
      <alignment horizontal="center"/>
    </xf>
    <xf numFmtId="0" fontId="17" fillId="0" borderId="8" xfId="9" applyFont="1" applyBorder="1" applyAlignment="1">
      <alignment horizontal="center" vertical="top"/>
    </xf>
    <xf numFmtId="4" fontId="1" fillId="0" borderId="8" xfId="1" applyNumberFormat="1" applyBorder="1"/>
    <xf numFmtId="172" fontId="15" fillId="0" borderId="0" xfId="10" applyNumberFormat="1"/>
    <xf numFmtId="0" fontId="15" fillId="0" borderId="0" xfId="10"/>
    <xf numFmtId="0" fontId="20" fillId="0" borderId="0" xfId="10" applyFont="1" applyAlignment="1">
      <alignment horizontal="center"/>
    </xf>
    <xf numFmtId="172" fontId="20" fillId="0" borderId="0" xfId="10" applyNumberFormat="1" applyFont="1"/>
    <xf numFmtId="0" fontId="24" fillId="0" borderId="41" xfId="10" applyFont="1" applyBorder="1" applyAlignment="1">
      <alignment horizontal="center" vertical="center" wrapText="1"/>
    </xf>
    <xf numFmtId="0" fontId="24" fillId="0" borderId="47" xfId="10" applyFont="1" applyBorder="1" applyAlignment="1">
      <alignment horizontal="center" vertical="center" wrapText="1"/>
    </xf>
    <xf numFmtId="0" fontId="15" fillId="0" borderId="5" xfId="10" applyBorder="1" applyAlignment="1">
      <alignment horizontal="center" vertical="top"/>
    </xf>
    <xf numFmtId="0" fontId="15" fillId="0" borderId="5" xfId="10" applyBorder="1" applyAlignment="1">
      <alignment horizontal="center" vertical="center"/>
    </xf>
    <xf numFmtId="0" fontId="15" fillId="0" borderId="5" xfId="10" applyBorder="1" applyAlignment="1">
      <alignment horizontal="center" wrapText="1"/>
    </xf>
    <xf numFmtId="169" fontId="26" fillId="0" borderId="5" xfId="10" applyNumberFormat="1" applyFont="1" applyBorder="1" applyAlignment="1">
      <alignment horizontal="right"/>
    </xf>
    <xf numFmtId="172" fontId="24" fillId="0" borderId="5" xfId="10" applyNumberFormat="1" applyFont="1" applyBorder="1" applyAlignment="1">
      <alignment horizontal="right"/>
    </xf>
    <xf numFmtId="0" fontId="15" fillId="0" borderId="8" xfId="10" applyBorder="1" applyAlignment="1">
      <alignment horizontal="center" vertical="top"/>
    </xf>
    <xf numFmtId="0" fontId="15" fillId="0" borderId="8" xfId="10" applyBorder="1" applyAlignment="1">
      <alignment horizontal="center" vertical="center"/>
    </xf>
    <xf numFmtId="0" fontId="15" fillId="0" borderId="8" xfId="10" applyBorder="1" applyAlignment="1">
      <alignment horizontal="center" wrapText="1"/>
    </xf>
    <xf numFmtId="172" fontId="24" fillId="0" borderId="8" xfId="10" applyNumberFormat="1" applyFont="1" applyBorder="1" applyAlignment="1">
      <alignment horizontal="right"/>
    </xf>
    <xf numFmtId="0" fontId="15" fillId="5" borderId="8" xfId="10" applyFill="1" applyBorder="1" applyAlignment="1">
      <alignment horizontal="center" vertical="top"/>
    </xf>
    <xf numFmtId="0" fontId="15" fillId="5" borderId="8" xfId="10" applyFill="1" applyBorder="1" applyAlignment="1">
      <alignment horizontal="center" vertical="center"/>
    </xf>
    <xf numFmtId="0" fontId="15" fillId="5" borderId="8" xfId="10" applyFill="1" applyBorder="1" applyAlignment="1">
      <alignment horizontal="center" wrapText="1"/>
    </xf>
    <xf numFmtId="0" fontId="15" fillId="0" borderId="8" xfId="10" applyBorder="1" applyAlignment="1">
      <alignment horizontal="center"/>
    </xf>
    <xf numFmtId="0" fontId="24" fillId="0" borderId="16" xfId="10" applyFont="1" applyBorder="1" applyAlignment="1">
      <alignment horizontal="center"/>
    </xf>
    <xf numFmtId="169" fontId="24" fillId="0" borderId="17" xfId="10" applyNumberFormat="1" applyFont="1" applyBorder="1" applyAlignment="1">
      <alignment horizontal="right"/>
    </xf>
    <xf numFmtId="172" fontId="24" fillId="0" borderId="18" xfId="10" applyNumberFormat="1" applyFont="1" applyBorder="1" applyAlignment="1">
      <alignment horizontal="right"/>
    </xf>
    <xf numFmtId="172" fontId="28" fillId="0" borderId="56" xfId="10" applyNumberFormat="1" applyFont="1" applyBorder="1" applyAlignment="1">
      <alignment horizontal="center"/>
    </xf>
    <xf numFmtId="0" fontId="28" fillId="0" borderId="57" xfId="10" applyFont="1" applyBorder="1" applyAlignment="1">
      <alignment horizontal="center"/>
    </xf>
    <xf numFmtId="172" fontId="28" fillId="0" borderId="57" xfId="10" applyNumberFormat="1" applyFont="1" applyBorder="1" applyAlignment="1">
      <alignment horizontal="center"/>
    </xf>
    <xf numFmtId="172" fontId="27" fillId="0" borderId="58" xfId="10" applyNumberFormat="1" applyFont="1" applyBorder="1" applyAlignment="1">
      <alignment horizontal="center"/>
    </xf>
    <xf numFmtId="0" fontId="17" fillId="0" borderId="8" xfId="11" applyFont="1" applyBorder="1" applyAlignment="1">
      <alignment horizontal="center" vertical="top"/>
    </xf>
    <xf numFmtId="167" fontId="1" fillId="0" borderId="8" xfId="1" applyNumberFormat="1" applyBorder="1" applyAlignment="1">
      <alignment horizontal="center"/>
    </xf>
    <xf numFmtId="169" fontId="0" fillId="0" borderId="8" xfId="5" applyNumberFormat="1" applyFont="1" applyBorder="1"/>
    <xf numFmtId="1" fontId="6" fillId="0" borderId="10" xfId="4" applyNumberFormat="1" applyFont="1" applyBorder="1" applyAlignment="1">
      <alignment horizontal="right" vertical="top"/>
    </xf>
    <xf numFmtId="3" fontId="6" fillId="0" borderId="10" xfId="4" applyNumberFormat="1" applyFont="1" applyBorder="1" applyAlignment="1">
      <alignment horizontal="right" vertical="top"/>
    </xf>
    <xf numFmtId="3" fontId="7" fillId="0" borderId="11" xfId="2" applyNumberFormat="1" applyFont="1" applyBorder="1" applyAlignment="1">
      <alignment horizontal="right" vertical="top"/>
    </xf>
    <xf numFmtId="164" fontId="1" fillId="0" borderId="11" xfId="1" applyNumberFormat="1" applyBorder="1"/>
    <xf numFmtId="164" fontId="3" fillId="0" borderId="11" xfId="1" applyNumberFormat="1" applyFont="1" applyBorder="1"/>
    <xf numFmtId="164" fontId="8" fillId="0" borderId="11" xfId="1" applyNumberFormat="1" applyFont="1" applyBorder="1"/>
    <xf numFmtId="1" fontId="6" fillId="0" borderId="59" xfId="4" applyNumberFormat="1" applyFont="1" applyBorder="1" applyAlignment="1">
      <alignment horizontal="right" vertical="top"/>
    </xf>
    <xf numFmtId="3" fontId="6" fillId="0" borderId="59" xfId="4" applyNumberFormat="1" applyFont="1" applyBorder="1" applyAlignment="1">
      <alignment horizontal="right" vertical="top"/>
    </xf>
    <xf numFmtId="167" fontId="6" fillId="0" borderId="59" xfId="4" applyNumberFormat="1" applyFont="1" applyBorder="1" applyAlignment="1">
      <alignment horizontal="right" vertical="top"/>
    </xf>
    <xf numFmtId="167" fontId="7" fillId="0" borderId="11" xfId="2" applyNumberFormat="1" applyFont="1" applyBorder="1" applyAlignment="1">
      <alignment horizontal="right" vertical="top"/>
    </xf>
    <xf numFmtId="169" fontId="7" fillId="6" borderId="5" xfId="5" applyNumberFormat="1" applyFont="1" applyFill="1" applyBorder="1"/>
    <xf numFmtId="169" fontId="13" fillId="6" borderId="8" xfId="5" applyNumberFormat="1" applyFont="1" applyFill="1" applyBorder="1" applyAlignment="1">
      <alignment horizontal="right" vertical="center" wrapText="1"/>
    </xf>
    <xf numFmtId="44" fontId="0" fillId="0" borderId="0" xfId="12" applyFont="1"/>
    <xf numFmtId="14" fontId="5" fillId="2" borderId="9" xfId="2" applyNumberFormat="1" applyFont="1" applyFill="1" applyBorder="1" applyAlignment="1">
      <alignment horizontal="center" vertical="top"/>
    </xf>
    <xf numFmtId="0" fontId="5" fillId="2" borderId="9" xfId="2" applyFont="1" applyFill="1" applyBorder="1" applyAlignment="1">
      <alignment horizontal="center" vertical="top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1" fillId="0" borderId="5" xfId="1" applyBorder="1" applyAlignment="1">
      <alignment horizontal="center" wrapText="1"/>
    </xf>
    <xf numFmtId="0" fontId="10" fillId="0" borderId="28" xfId="6" applyFont="1" applyBorder="1" applyAlignment="1">
      <alignment horizontal="center"/>
    </xf>
    <xf numFmtId="0" fontId="10" fillId="0" borderId="29" xfId="6" applyFont="1" applyBorder="1" applyAlignment="1">
      <alignment horizontal="center"/>
    </xf>
    <xf numFmtId="169" fontId="9" fillId="0" borderId="0" xfId="5" applyNumberFormat="1" applyFont="1" applyBorder="1" applyAlignment="1">
      <alignment horizontal="center" vertical="center"/>
    </xf>
    <xf numFmtId="0" fontId="10" fillId="0" borderId="14" xfId="6" applyFont="1" applyBorder="1" applyAlignment="1">
      <alignment horizontal="center"/>
    </xf>
    <xf numFmtId="0" fontId="10" fillId="0" borderId="15" xfId="6" applyFont="1" applyBorder="1" applyAlignment="1">
      <alignment horizontal="center"/>
    </xf>
    <xf numFmtId="0" fontId="10" fillId="0" borderId="16" xfId="6" applyFont="1" applyBorder="1" applyAlignment="1">
      <alignment horizontal="center"/>
    </xf>
    <xf numFmtId="0" fontId="10" fillId="0" borderId="17" xfId="6" applyFont="1" applyBorder="1" applyAlignment="1">
      <alignment horizontal="center"/>
    </xf>
    <xf numFmtId="0" fontId="11" fillId="0" borderId="31" xfId="6" applyFont="1" applyBorder="1" applyAlignment="1">
      <alignment horizontal="center"/>
    </xf>
    <xf numFmtId="0" fontId="11" fillId="0" borderId="32" xfId="6" applyFont="1" applyBorder="1" applyAlignment="1">
      <alignment horizontal="center"/>
    </xf>
    <xf numFmtId="0" fontId="11" fillId="0" borderId="33" xfId="6" applyFont="1" applyBorder="1" applyAlignment="1">
      <alignment horizontal="center"/>
    </xf>
    <xf numFmtId="0" fontId="11" fillId="0" borderId="34" xfId="6" applyFont="1" applyBorder="1" applyAlignment="1">
      <alignment horizontal="center"/>
    </xf>
    <xf numFmtId="169" fontId="8" fillId="0" borderId="28" xfId="6" applyNumberFormat="1" applyFont="1" applyBorder="1" applyAlignment="1">
      <alignment horizontal="center"/>
    </xf>
    <xf numFmtId="169" fontId="8" fillId="0" borderId="29" xfId="6" applyNumberFormat="1" applyFont="1" applyBorder="1" applyAlignment="1">
      <alignment horizontal="center"/>
    </xf>
    <xf numFmtId="169" fontId="8" fillId="0" borderId="30" xfId="6" applyNumberFormat="1" applyFont="1" applyBorder="1" applyAlignment="1">
      <alignment horizontal="center"/>
    </xf>
    <xf numFmtId="0" fontId="10" fillId="0" borderId="30" xfId="6" applyFont="1" applyBorder="1" applyAlignment="1">
      <alignment horizontal="center"/>
    </xf>
    <xf numFmtId="14" fontId="5" fillId="3" borderId="9" xfId="7" applyNumberFormat="1" applyFont="1" applyFill="1" applyBorder="1" applyAlignment="1">
      <alignment horizontal="center" vertical="top"/>
    </xf>
    <xf numFmtId="0" fontId="5" fillId="3" borderId="9" xfId="7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 wrapText="1"/>
    </xf>
    <xf numFmtId="0" fontId="23" fillId="0" borderId="37" xfId="1" applyFont="1" applyBorder="1" applyAlignment="1">
      <alignment horizontal="center"/>
    </xf>
    <xf numFmtId="0" fontId="11" fillId="0" borderId="38" xfId="1" applyFont="1" applyBorder="1"/>
    <xf numFmtId="0" fontId="11" fillId="0" borderId="36" xfId="1" applyFont="1" applyBorder="1"/>
    <xf numFmtId="0" fontId="21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1" fillId="0" borderId="0" xfId="1"/>
    <xf numFmtId="0" fontId="21" fillId="0" borderId="13" xfId="1" applyFont="1" applyBorder="1" applyAlignment="1">
      <alignment horizontal="center"/>
    </xf>
    <xf numFmtId="0" fontId="24" fillId="0" borderId="40" xfId="1" applyFont="1" applyBorder="1" applyAlignment="1">
      <alignment horizontal="center" vertical="center" wrapText="1"/>
    </xf>
    <xf numFmtId="0" fontId="11" fillId="0" borderId="46" xfId="1" applyFont="1" applyBorder="1"/>
    <xf numFmtId="0" fontId="24" fillId="0" borderId="14" xfId="1" applyFont="1" applyBorder="1" applyAlignment="1">
      <alignment horizontal="center" vertical="center" wrapText="1"/>
    </xf>
    <xf numFmtId="0" fontId="11" fillId="0" borderId="39" xfId="1" applyFont="1" applyBorder="1"/>
    <xf numFmtId="0" fontId="11" fillId="0" borderId="44" xfId="1" applyFont="1" applyBorder="1"/>
    <xf numFmtId="0" fontId="11" fillId="0" borderId="45" xfId="1" applyFont="1" applyBorder="1"/>
    <xf numFmtId="14" fontId="25" fillId="4" borderId="50" xfId="1" applyNumberFormat="1" applyFont="1" applyFill="1" applyBorder="1" applyAlignment="1">
      <alignment horizontal="center" vertical="top"/>
    </xf>
    <xf numFmtId="0" fontId="11" fillId="0" borderId="51" xfId="1" applyFont="1" applyBorder="1"/>
    <xf numFmtId="0" fontId="24" fillId="0" borderId="46" xfId="1" applyFont="1" applyBorder="1" applyAlignment="1">
      <alignment horizontal="center" vertical="center" wrapText="1"/>
    </xf>
    <xf numFmtId="0" fontId="24" fillId="0" borderId="42" xfId="1" applyFont="1" applyBorder="1" applyAlignment="1">
      <alignment horizontal="center" vertical="center" wrapText="1"/>
    </xf>
    <xf numFmtId="0" fontId="11" fillId="0" borderId="48" xfId="1" applyFont="1" applyBorder="1"/>
    <xf numFmtId="172" fontId="24" fillId="0" borderId="43" xfId="1" applyNumberFormat="1" applyFont="1" applyBorder="1" applyAlignment="1">
      <alignment horizontal="center" vertical="center" wrapText="1"/>
    </xf>
    <xf numFmtId="0" fontId="11" fillId="0" borderId="49" xfId="1" applyFont="1" applyBorder="1"/>
    <xf numFmtId="14" fontId="25" fillId="4" borderId="52" xfId="1" applyNumberFormat="1" applyFont="1" applyFill="1" applyBorder="1" applyAlignment="1">
      <alignment horizontal="center" vertical="top"/>
    </xf>
    <xf numFmtId="0" fontId="11" fillId="0" borderId="53" xfId="1" applyFont="1" applyBorder="1"/>
    <xf numFmtId="0" fontId="3" fillId="0" borderId="33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0" fontId="21" fillId="0" borderId="0" xfId="10" applyFont="1" applyAlignment="1">
      <alignment horizontal="center"/>
    </xf>
    <xf numFmtId="14" fontId="25" fillId="4" borderId="50" xfId="10" applyNumberFormat="1" applyFont="1" applyFill="1" applyBorder="1" applyAlignment="1">
      <alignment horizontal="center" vertical="top"/>
    </xf>
    <xf numFmtId="0" fontId="11" fillId="0" borderId="51" xfId="10" applyFont="1" applyBorder="1"/>
    <xf numFmtId="0" fontId="24" fillId="0" borderId="40" xfId="10" applyFont="1" applyBorder="1" applyAlignment="1">
      <alignment horizontal="center" vertical="center" wrapText="1"/>
    </xf>
    <xf numFmtId="0" fontId="11" fillId="0" borderId="46" xfId="10" applyFont="1" applyBorder="1"/>
    <xf numFmtId="0" fontId="22" fillId="0" borderId="0" xfId="10" applyFont="1" applyAlignment="1">
      <alignment horizontal="center"/>
    </xf>
    <xf numFmtId="0" fontId="15" fillId="0" borderId="0" xfId="10"/>
    <xf numFmtId="0" fontId="23" fillId="0" borderId="37" xfId="10" applyFont="1" applyBorder="1" applyAlignment="1">
      <alignment horizontal="center"/>
    </xf>
    <xf numFmtId="0" fontId="11" fillId="0" borderId="38" xfId="10" applyFont="1" applyBorder="1"/>
    <xf numFmtId="0" fontId="11" fillId="0" borderId="36" xfId="10" applyFont="1" applyBorder="1"/>
    <xf numFmtId="0" fontId="24" fillId="0" borderId="14" xfId="10" applyFont="1" applyBorder="1" applyAlignment="1">
      <alignment horizontal="center" vertical="center" wrapText="1"/>
    </xf>
    <xf numFmtId="0" fontId="11" fillId="0" borderId="39" xfId="10" applyFont="1" applyBorder="1"/>
    <xf numFmtId="0" fontId="11" fillId="0" borderId="44" xfId="10" applyFont="1" applyBorder="1"/>
    <xf numFmtId="0" fontId="11" fillId="0" borderId="45" xfId="10" applyFont="1" applyBorder="1"/>
    <xf numFmtId="0" fontId="24" fillId="0" borderId="42" xfId="10" applyFont="1" applyBorder="1" applyAlignment="1">
      <alignment horizontal="center" vertical="center" wrapText="1"/>
    </xf>
    <xf numFmtId="0" fontId="11" fillId="0" borderId="48" xfId="10" applyFont="1" applyBorder="1"/>
    <xf numFmtId="172" fontId="24" fillId="0" borderId="43" xfId="10" applyNumberFormat="1" applyFont="1" applyBorder="1" applyAlignment="1">
      <alignment horizontal="center" vertical="center" wrapText="1"/>
    </xf>
    <xf numFmtId="0" fontId="11" fillId="0" borderId="49" xfId="10" applyFont="1" applyBorder="1"/>
    <xf numFmtId="14" fontId="25" fillId="4" borderId="52" xfId="10" applyNumberFormat="1" applyFont="1" applyFill="1" applyBorder="1" applyAlignment="1">
      <alignment horizontal="center" vertical="top"/>
    </xf>
    <xf numFmtId="0" fontId="11" fillId="0" borderId="53" xfId="10" applyFont="1" applyBorder="1"/>
  </cellXfs>
  <cellStyles count="13">
    <cellStyle name="Денежный" xfId="12" builtinId="4"/>
    <cellStyle name="Денежный 2" xfId="5" xr:uid="{3626593D-30B8-4659-82C0-FCA9CF5D7A88}"/>
    <cellStyle name="Обычный" xfId="0" builtinId="0"/>
    <cellStyle name="Обычный 2" xfId="1" xr:uid="{2BDC6DEF-C8F9-4704-A53B-73D99CD60543}"/>
    <cellStyle name="Обычный 4" xfId="10" xr:uid="{875D111A-9B12-488B-B3D8-E4AFDD0C8E06}"/>
    <cellStyle name="Обычный 5" xfId="6" xr:uid="{D537E3AD-A4BB-4174-B779-BC3D02FCCC85}"/>
    <cellStyle name="Обычный_Биаксплен Новосибирск" xfId="3" xr:uid="{5256D093-4985-48A7-AB99-6B048308ADE3}"/>
    <cellStyle name="Обычный_Ергарда" xfId="11" xr:uid="{027AD197-A627-40B5-BDB8-59C394BD4355}"/>
    <cellStyle name="Обычный_Лист1" xfId="8" xr:uid="{E14B943E-EF22-4B4B-AA55-E0E89DFE1EBA}"/>
    <cellStyle name="Обычный_РусВинил ББ" xfId="7" xr:uid="{29F98717-C4A6-42AD-AF8A-B8B5075744A5}"/>
    <cellStyle name="Обычный_Сибур" xfId="2" xr:uid="{FF08DF4E-9233-44B1-BA75-06292C78A249}"/>
    <cellStyle name="Обычный_Сибур 1" xfId="4" xr:uid="{17AE3BB5-B19A-445B-931F-567A9BA71319}"/>
    <cellStyle name="Обычный_СтройТех" xfId="9" xr:uid="{1B8B0F32-A579-46DF-BC52-6804FC5E59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1819C24B-8BD1-479A-81F9-105A28F1B459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F31DFA96-2C15-4272-B474-03F88D001053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6;&#1091;&#1089;&#1074;&#1080;&#1085;&#1080;&#1083;/&#1056;&#1042;%20&#1054;&#1090;&#1095;&#1077;&#1090;/&#1056;&#1042;%20&#1060;&#1077;&#1074;&#1088;&#1072;&#1083;&#1100;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EXCELTools.xlam" TargetMode="External"/><Relationship Id="rId1" Type="http://schemas.openxmlformats.org/officeDocument/2006/relationships/externalLinkPath" Target="/Users/user/AppData/Roaming/Microsoft/AddIns/EXCELTools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56;&#1091;&#1089;&#1074;&#1080;&#1085;&#1080;&#1083;/&#1056;&#1042;%20&#1054;&#1090;&#1095;&#1077;&#1090;/Temp/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ее и резерв"/>
      <sheetName val="Резерв"/>
      <sheetName val="РВ Баумана"/>
      <sheetName val="Окская Мешки"/>
      <sheetName val="РВ Березовая Пойма"/>
      <sheetName val="РВ Новикова-Прибоя"/>
      <sheetName val="АВР Баумана"/>
      <sheetName val="АВР Новикова"/>
      <sheetName val="АВР Березовая Пойма"/>
      <sheetName val="Праздники"/>
    </sheetNames>
    <sheetDataSet>
      <sheetData sheetId="0"/>
      <sheetData sheetId="1">
        <row r="37">
          <cell r="G37">
            <v>19821.129999999997</v>
          </cell>
        </row>
      </sheetData>
      <sheetData sheetId="2">
        <row r="2">
          <cell r="R2">
            <v>0</v>
          </cell>
          <cell r="S2">
            <v>0</v>
          </cell>
        </row>
        <row r="3">
          <cell r="R3">
            <v>41.25</v>
          </cell>
          <cell r="S3">
            <v>159.82499999999999</v>
          </cell>
        </row>
        <row r="6">
          <cell r="C6">
            <v>0</v>
          </cell>
          <cell r="D6">
            <v>0</v>
          </cell>
          <cell r="G6">
            <v>801.35</v>
          </cell>
        </row>
        <row r="7">
          <cell r="C7">
            <v>0</v>
          </cell>
          <cell r="D7">
            <v>0</v>
          </cell>
          <cell r="G7">
            <v>801.35</v>
          </cell>
        </row>
        <row r="8">
          <cell r="C8">
            <v>0</v>
          </cell>
          <cell r="D8">
            <v>0</v>
          </cell>
          <cell r="G8">
            <v>801.35</v>
          </cell>
        </row>
        <row r="9">
          <cell r="C9">
            <v>0</v>
          </cell>
          <cell r="D9">
            <v>0</v>
          </cell>
          <cell r="G9">
            <v>801.35</v>
          </cell>
        </row>
        <row r="10">
          <cell r="C10">
            <v>0</v>
          </cell>
          <cell r="D10">
            <v>0</v>
          </cell>
          <cell r="G10">
            <v>801.35</v>
          </cell>
        </row>
        <row r="11">
          <cell r="C11">
            <v>0</v>
          </cell>
          <cell r="D11">
            <v>0</v>
          </cell>
          <cell r="G11">
            <v>801.35</v>
          </cell>
        </row>
        <row r="12">
          <cell r="C12">
            <v>0</v>
          </cell>
          <cell r="D12">
            <v>0</v>
          </cell>
          <cell r="G12">
            <v>801.35</v>
          </cell>
        </row>
        <row r="13">
          <cell r="C13">
            <v>0</v>
          </cell>
          <cell r="D13">
            <v>0</v>
          </cell>
          <cell r="G13">
            <v>801.35</v>
          </cell>
        </row>
        <row r="14">
          <cell r="C14">
            <v>0</v>
          </cell>
          <cell r="D14">
            <v>44</v>
          </cell>
          <cell r="G14">
            <v>801.35</v>
          </cell>
        </row>
        <row r="15">
          <cell r="C15">
            <v>0</v>
          </cell>
          <cell r="D15">
            <v>11</v>
          </cell>
          <cell r="G15">
            <v>757.35</v>
          </cell>
        </row>
        <row r="16">
          <cell r="C16">
            <v>0</v>
          </cell>
          <cell r="D16">
            <v>4.0999999999999996</v>
          </cell>
          <cell r="G16">
            <v>746.35</v>
          </cell>
        </row>
        <row r="17">
          <cell r="C17">
            <v>0</v>
          </cell>
          <cell r="D17">
            <v>0</v>
          </cell>
          <cell r="G17">
            <v>742.25</v>
          </cell>
        </row>
        <row r="18">
          <cell r="C18">
            <v>0</v>
          </cell>
          <cell r="D18">
            <v>0</v>
          </cell>
          <cell r="G18">
            <v>742.25</v>
          </cell>
        </row>
        <row r="19">
          <cell r="C19">
            <v>0</v>
          </cell>
          <cell r="D19">
            <v>0</v>
          </cell>
          <cell r="G19">
            <v>742.25</v>
          </cell>
        </row>
        <row r="20">
          <cell r="C20">
            <v>0</v>
          </cell>
          <cell r="D20">
            <v>0</v>
          </cell>
          <cell r="G20">
            <v>742.25</v>
          </cell>
        </row>
        <row r="21">
          <cell r="C21">
            <v>0</v>
          </cell>
          <cell r="D21">
            <v>0</v>
          </cell>
          <cell r="G21">
            <v>742.25</v>
          </cell>
        </row>
        <row r="22">
          <cell r="C22">
            <v>0</v>
          </cell>
          <cell r="D22">
            <v>0</v>
          </cell>
          <cell r="G22">
            <v>742.25</v>
          </cell>
        </row>
        <row r="23">
          <cell r="C23">
            <v>0</v>
          </cell>
          <cell r="D23">
            <v>0</v>
          </cell>
          <cell r="G23">
            <v>742.25</v>
          </cell>
        </row>
        <row r="24">
          <cell r="C24">
            <v>0</v>
          </cell>
          <cell r="D24">
            <v>0</v>
          </cell>
          <cell r="G24">
            <v>742.25</v>
          </cell>
        </row>
        <row r="25">
          <cell r="C25">
            <v>0</v>
          </cell>
          <cell r="D25">
            <v>0</v>
          </cell>
          <cell r="G25">
            <v>742.25</v>
          </cell>
        </row>
        <row r="26">
          <cell r="C26">
            <v>0</v>
          </cell>
          <cell r="D26">
            <v>0</v>
          </cell>
          <cell r="G26">
            <v>742.25</v>
          </cell>
        </row>
        <row r="27">
          <cell r="C27">
            <v>0</v>
          </cell>
          <cell r="D27">
            <v>0</v>
          </cell>
          <cell r="G27">
            <v>742.25</v>
          </cell>
        </row>
        <row r="28">
          <cell r="C28">
            <v>0</v>
          </cell>
          <cell r="D28">
            <v>0</v>
          </cell>
          <cell r="G28">
            <v>742.25</v>
          </cell>
        </row>
        <row r="29">
          <cell r="C29">
            <v>0</v>
          </cell>
          <cell r="D29">
            <v>0</v>
          </cell>
          <cell r="G29">
            <v>742.25</v>
          </cell>
        </row>
        <row r="30">
          <cell r="C30">
            <v>0</v>
          </cell>
          <cell r="D30">
            <v>5.85</v>
          </cell>
          <cell r="G30">
            <v>742.25</v>
          </cell>
        </row>
        <row r="31">
          <cell r="C31">
            <v>0</v>
          </cell>
          <cell r="D31">
            <v>66</v>
          </cell>
          <cell r="G31">
            <v>736.4</v>
          </cell>
        </row>
        <row r="32">
          <cell r="C32">
            <v>0</v>
          </cell>
          <cell r="D32">
            <v>28.875</v>
          </cell>
          <cell r="G32">
            <v>670.4</v>
          </cell>
        </row>
        <row r="33">
          <cell r="C33">
            <v>0</v>
          </cell>
          <cell r="D33">
            <v>41.25</v>
          </cell>
          <cell r="G33">
            <v>641.52499999999998</v>
          </cell>
        </row>
        <row r="34">
          <cell r="C34">
            <v>0</v>
          </cell>
          <cell r="D34">
            <v>0</v>
          </cell>
          <cell r="G34">
            <v>0</v>
          </cell>
        </row>
        <row r="35">
          <cell r="C35">
            <v>0</v>
          </cell>
          <cell r="D35">
            <v>0</v>
          </cell>
          <cell r="G35">
            <v>0</v>
          </cell>
        </row>
        <row r="36">
          <cell r="C36">
            <v>0</v>
          </cell>
          <cell r="D36">
            <v>0</v>
          </cell>
          <cell r="G36">
            <v>0</v>
          </cell>
        </row>
        <row r="37">
          <cell r="G37">
            <v>21155.675000000007</v>
          </cell>
        </row>
      </sheetData>
      <sheetData sheetId="3"/>
      <sheetData sheetId="4">
        <row r="2">
          <cell r="R2">
            <v>731.29</v>
          </cell>
          <cell r="S2">
            <v>1702.7099999999998</v>
          </cell>
        </row>
        <row r="3">
          <cell r="R3">
            <v>877.59</v>
          </cell>
          <cell r="S3">
            <v>2121.4</v>
          </cell>
        </row>
        <row r="6">
          <cell r="C6">
            <v>288.99</v>
          </cell>
          <cell r="D6">
            <v>0</v>
          </cell>
          <cell r="G6">
            <v>4865.2049999999999</v>
          </cell>
        </row>
        <row r="7">
          <cell r="C7">
            <v>333.45</v>
          </cell>
          <cell r="D7">
            <v>22</v>
          </cell>
          <cell r="G7">
            <v>5198.6549999999997</v>
          </cell>
        </row>
        <row r="8">
          <cell r="C8">
            <v>486.96</v>
          </cell>
          <cell r="D8">
            <v>44</v>
          </cell>
          <cell r="G8">
            <v>5663.6149999999998</v>
          </cell>
        </row>
        <row r="9">
          <cell r="C9">
            <v>220</v>
          </cell>
          <cell r="D9">
            <v>66.23</v>
          </cell>
          <cell r="G9">
            <v>5839.6149999999998</v>
          </cell>
        </row>
        <row r="10">
          <cell r="C10">
            <v>0</v>
          </cell>
          <cell r="D10">
            <v>412.55</v>
          </cell>
          <cell r="G10">
            <v>5773.3850000000002</v>
          </cell>
        </row>
        <row r="11">
          <cell r="C11">
            <v>0</v>
          </cell>
          <cell r="D11">
            <v>247.05</v>
          </cell>
          <cell r="G11">
            <v>5360.835</v>
          </cell>
        </row>
        <row r="12">
          <cell r="C12">
            <v>222.3</v>
          </cell>
          <cell r="D12">
            <v>132.91999999999999</v>
          </cell>
          <cell r="G12">
            <v>5336.085</v>
          </cell>
        </row>
        <row r="13">
          <cell r="C13">
            <v>220</v>
          </cell>
          <cell r="D13">
            <v>177.84</v>
          </cell>
          <cell r="G13">
            <v>5423.165</v>
          </cell>
        </row>
        <row r="14">
          <cell r="C14">
            <v>220</v>
          </cell>
          <cell r="D14">
            <v>133.15</v>
          </cell>
          <cell r="G14">
            <v>5465.3249999999998</v>
          </cell>
        </row>
        <row r="15">
          <cell r="C15">
            <v>222.3</v>
          </cell>
          <cell r="D15">
            <v>99.5</v>
          </cell>
          <cell r="G15">
            <v>5554.4750000000004</v>
          </cell>
        </row>
        <row r="16">
          <cell r="C16">
            <v>220</v>
          </cell>
          <cell r="D16">
            <v>22</v>
          </cell>
          <cell r="G16">
            <v>5674.9750000000004</v>
          </cell>
        </row>
        <row r="17">
          <cell r="C17">
            <v>0</v>
          </cell>
          <cell r="D17">
            <v>88.5</v>
          </cell>
          <cell r="G17">
            <v>5652.9750000000004</v>
          </cell>
        </row>
        <row r="18">
          <cell r="C18">
            <v>0</v>
          </cell>
          <cell r="D18">
            <v>44</v>
          </cell>
          <cell r="G18">
            <v>5564.4750000000004</v>
          </cell>
        </row>
        <row r="19">
          <cell r="C19">
            <v>0</v>
          </cell>
          <cell r="D19">
            <v>44</v>
          </cell>
          <cell r="G19">
            <v>5520.4750000000004</v>
          </cell>
        </row>
        <row r="20">
          <cell r="C20">
            <v>0</v>
          </cell>
          <cell r="D20">
            <v>22</v>
          </cell>
          <cell r="G20">
            <v>5476.4750000000004</v>
          </cell>
        </row>
        <row r="21">
          <cell r="C21">
            <v>0</v>
          </cell>
          <cell r="D21">
            <v>44.5</v>
          </cell>
          <cell r="G21">
            <v>5454.4750000000004</v>
          </cell>
        </row>
        <row r="22">
          <cell r="C22">
            <v>0</v>
          </cell>
          <cell r="D22">
            <v>87.125</v>
          </cell>
          <cell r="G22">
            <v>5409.9750000000004</v>
          </cell>
        </row>
        <row r="23">
          <cell r="C23">
            <v>0</v>
          </cell>
          <cell r="D23">
            <v>22</v>
          </cell>
          <cell r="G23">
            <v>5322.85</v>
          </cell>
        </row>
        <row r="24">
          <cell r="C24">
            <v>0</v>
          </cell>
          <cell r="D24">
            <v>88.5</v>
          </cell>
          <cell r="G24">
            <v>5300.85</v>
          </cell>
        </row>
        <row r="25">
          <cell r="C25">
            <v>0</v>
          </cell>
          <cell r="D25">
            <v>66</v>
          </cell>
          <cell r="G25">
            <v>5212.3500000000004</v>
          </cell>
        </row>
        <row r="26">
          <cell r="C26">
            <v>0</v>
          </cell>
          <cell r="D26">
            <v>0</v>
          </cell>
          <cell r="G26">
            <v>5146.3500000000004</v>
          </cell>
        </row>
        <row r="27">
          <cell r="C27">
            <v>0</v>
          </cell>
          <cell r="D27">
            <v>151.25</v>
          </cell>
          <cell r="G27">
            <v>5146.3500000000004</v>
          </cell>
        </row>
        <row r="28">
          <cell r="C28">
            <v>0</v>
          </cell>
          <cell r="D28">
            <v>107.80500000000001</v>
          </cell>
          <cell r="G28">
            <v>4995.1000000000004</v>
          </cell>
        </row>
        <row r="29">
          <cell r="C29">
            <v>0</v>
          </cell>
          <cell r="D29">
            <v>149.72499999999999</v>
          </cell>
          <cell r="G29">
            <v>4887.2950000000001</v>
          </cell>
        </row>
        <row r="30">
          <cell r="C30">
            <v>0</v>
          </cell>
          <cell r="D30">
            <v>159.38</v>
          </cell>
          <cell r="G30">
            <v>4737.57</v>
          </cell>
        </row>
        <row r="31">
          <cell r="C31">
            <v>0</v>
          </cell>
          <cell r="D31">
            <v>195.25</v>
          </cell>
          <cell r="G31">
            <v>4578.1899999999996</v>
          </cell>
        </row>
        <row r="32">
          <cell r="C32">
            <v>0</v>
          </cell>
          <cell r="D32">
            <v>129.94</v>
          </cell>
          <cell r="G32">
            <v>4382.9399999999996</v>
          </cell>
        </row>
        <row r="33">
          <cell r="C33">
            <v>0</v>
          </cell>
          <cell r="D33">
            <v>241.77500000000001</v>
          </cell>
          <cell r="G33">
            <v>4253</v>
          </cell>
        </row>
        <row r="34">
          <cell r="C34">
            <v>0</v>
          </cell>
          <cell r="D34">
            <v>0</v>
          </cell>
          <cell r="G34">
            <v>0</v>
          </cell>
        </row>
        <row r="35">
          <cell r="C35">
            <v>0</v>
          </cell>
          <cell r="D35">
            <v>0</v>
          </cell>
          <cell r="G35">
            <v>0</v>
          </cell>
        </row>
        <row r="36">
          <cell r="C36">
            <v>0</v>
          </cell>
          <cell r="D36">
            <v>0</v>
          </cell>
          <cell r="G36">
            <v>0</v>
          </cell>
        </row>
        <row r="37">
          <cell r="G37">
            <v>147197.03000000006</v>
          </cell>
        </row>
      </sheetData>
      <sheetData sheetId="5">
        <row r="2">
          <cell r="R2">
            <v>22</v>
          </cell>
          <cell r="S2">
            <v>420.3</v>
          </cell>
        </row>
        <row r="3">
          <cell r="R3">
            <v>396.23</v>
          </cell>
          <cell r="S3">
            <v>970.71</v>
          </cell>
        </row>
        <row r="6">
          <cell r="C6">
            <v>0</v>
          </cell>
          <cell r="D6">
            <v>0</v>
          </cell>
          <cell r="G6">
            <v>1345.04</v>
          </cell>
        </row>
        <row r="7">
          <cell r="C7">
            <v>0</v>
          </cell>
          <cell r="D7">
            <v>0</v>
          </cell>
          <cell r="G7">
            <v>1345.04</v>
          </cell>
        </row>
        <row r="8">
          <cell r="C8">
            <v>0</v>
          </cell>
          <cell r="D8">
            <v>0</v>
          </cell>
          <cell r="G8">
            <v>1345.04</v>
          </cell>
        </row>
        <row r="9">
          <cell r="C9">
            <v>0</v>
          </cell>
          <cell r="D9">
            <v>88.92</v>
          </cell>
          <cell r="G9">
            <v>1345.04</v>
          </cell>
        </row>
        <row r="10">
          <cell r="C10">
            <v>222.3</v>
          </cell>
          <cell r="D10">
            <v>131.04</v>
          </cell>
          <cell r="G10">
            <v>1478.4199999999998</v>
          </cell>
        </row>
        <row r="11">
          <cell r="C11">
            <v>198</v>
          </cell>
          <cell r="D11">
            <v>0</v>
          </cell>
          <cell r="G11">
            <v>1545.3799999999999</v>
          </cell>
        </row>
        <row r="12">
          <cell r="C12">
            <v>22</v>
          </cell>
          <cell r="D12">
            <v>0</v>
          </cell>
          <cell r="G12">
            <v>1567.3799999999999</v>
          </cell>
        </row>
        <row r="13">
          <cell r="C13">
            <v>0</v>
          </cell>
          <cell r="D13">
            <v>22</v>
          </cell>
          <cell r="G13">
            <v>1567.3799999999999</v>
          </cell>
        </row>
        <row r="14">
          <cell r="C14">
            <v>0</v>
          </cell>
          <cell r="D14">
            <v>22</v>
          </cell>
          <cell r="G14">
            <v>1545.3799999999999</v>
          </cell>
        </row>
        <row r="15">
          <cell r="C15">
            <v>0</v>
          </cell>
          <cell r="D15">
            <v>0</v>
          </cell>
          <cell r="G15">
            <v>1523.3799999999999</v>
          </cell>
        </row>
        <row r="16">
          <cell r="C16">
            <v>0</v>
          </cell>
          <cell r="D16">
            <v>0</v>
          </cell>
          <cell r="G16">
            <v>1523.3799999999999</v>
          </cell>
        </row>
        <row r="17">
          <cell r="C17">
            <v>0</v>
          </cell>
          <cell r="D17">
            <v>0</v>
          </cell>
          <cell r="G17">
            <v>1523.3799999999999</v>
          </cell>
        </row>
        <row r="18">
          <cell r="C18">
            <v>0</v>
          </cell>
          <cell r="D18">
            <v>0</v>
          </cell>
          <cell r="G18">
            <v>1523.3799999999999</v>
          </cell>
        </row>
        <row r="19">
          <cell r="C19">
            <v>0</v>
          </cell>
          <cell r="D19">
            <v>0</v>
          </cell>
          <cell r="G19">
            <v>1523.3799999999999</v>
          </cell>
        </row>
        <row r="20">
          <cell r="C20">
            <v>0</v>
          </cell>
          <cell r="D20">
            <v>22</v>
          </cell>
          <cell r="G20">
            <v>1523.3799999999999</v>
          </cell>
        </row>
        <row r="21">
          <cell r="C21">
            <v>0</v>
          </cell>
          <cell r="D21">
            <v>66</v>
          </cell>
          <cell r="G21">
            <v>1501.3799999999999</v>
          </cell>
        </row>
        <row r="22">
          <cell r="C22">
            <v>0</v>
          </cell>
          <cell r="D22">
            <v>0</v>
          </cell>
          <cell r="G22">
            <v>1435.3799999999999</v>
          </cell>
        </row>
        <row r="23">
          <cell r="C23">
            <v>0</v>
          </cell>
          <cell r="D23">
            <v>66</v>
          </cell>
          <cell r="G23">
            <v>1435.3799999999999</v>
          </cell>
        </row>
        <row r="24">
          <cell r="C24">
            <v>0</v>
          </cell>
          <cell r="D24">
            <v>110</v>
          </cell>
          <cell r="G24">
            <v>1369.3799999999999</v>
          </cell>
        </row>
        <row r="25">
          <cell r="C25">
            <v>0</v>
          </cell>
          <cell r="D25">
            <v>22</v>
          </cell>
          <cell r="G25">
            <v>1259.3799999999999</v>
          </cell>
        </row>
        <row r="26">
          <cell r="C26">
            <v>0</v>
          </cell>
          <cell r="D26">
            <v>0</v>
          </cell>
          <cell r="G26">
            <v>1237.3799999999999</v>
          </cell>
        </row>
        <row r="27">
          <cell r="C27">
            <v>0</v>
          </cell>
          <cell r="D27">
            <v>154</v>
          </cell>
          <cell r="G27">
            <v>1237.3799999999999</v>
          </cell>
        </row>
        <row r="28">
          <cell r="C28">
            <v>0</v>
          </cell>
          <cell r="D28">
            <v>154</v>
          </cell>
          <cell r="G28">
            <v>1083.3799999999999</v>
          </cell>
        </row>
        <row r="29">
          <cell r="C29">
            <v>0</v>
          </cell>
          <cell r="D29">
            <v>266.75</v>
          </cell>
          <cell r="G29">
            <v>929.37999999999988</v>
          </cell>
        </row>
        <row r="30">
          <cell r="C30">
            <v>0</v>
          </cell>
          <cell r="D30">
            <v>132</v>
          </cell>
          <cell r="G30">
            <v>662.62999999999988</v>
          </cell>
        </row>
        <row r="31">
          <cell r="C31">
            <v>0</v>
          </cell>
          <cell r="D31">
            <v>22</v>
          </cell>
          <cell r="G31">
            <v>530.62999999999988</v>
          </cell>
        </row>
        <row r="32">
          <cell r="C32">
            <v>0</v>
          </cell>
          <cell r="D32">
            <v>44</v>
          </cell>
          <cell r="G32">
            <v>508.62999999999988</v>
          </cell>
        </row>
        <row r="33">
          <cell r="C33">
            <v>0</v>
          </cell>
          <cell r="D33">
            <v>44.23</v>
          </cell>
          <cell r="G33">
            <v>464.62999999999988</v>
          </cell>
        </row>
        <row r="34">
          <cell r="C34">
            <v>0</v>
          </cell>
          <cell r="D34">
            <v>0</v>
          </cell>
          <cell r="G34">
            <v>0</v>
          </cell>
        </row>
        <row r="35">
          <cell r="C35">
            <v>0</v>
          </cell>
          <cell r="D35">
            <v>0</v>
          </cell>
          <cell r="G35">
            <v>0</v>
          </cell>
        </row>
        <row r="36">
          <cell r="C36">
            <v>0</v>
          </cell>
          <cell r="D36">
            <v>0</v>
          </cell>
          <cell r="G36">
            <v>0</v>
          </cell>
        </row>
        <row r="37">
          <cell r="G37">
            <v>35879.319999999992</v>
          </cell>
        </row>
      </sheetData>
      <sheetData sheetId="6"/>
      <sheetData sheetId="7"/>
      <sheetData sheetId="8"/>
      <sheetData sheetId="9">
        <row r="1">
          <cell r="A1">
            <v>46023</v>
          </cell>
        </row>
        <row r="2">
          <cell r="A2">
            <v>46024</v>
          </cell>
        </row>
        <row r="3">
          <cell r="A3">
            <v>46025</v>
          </cell>
        </row>
        <row r="4">
          <cell r="A4">
            <v>46026</v>
          </cell>
        </row>
        <row r="5">
          <cell r="A5">
            <v>46027</v>
          </cell>
        </row>
        <row r="6">
          <cell r="A6">
            <v>46028</v>
          </cell>
        </row>
        <row r="7">
          <cell r="A7">
            <v>46029</v>
          </cell>
        </row>
        <row r="8">
          <cell r="A8">
            <v>46030</v>
          </cell>
        </row>
        <row r="9">
          <cell r="A9">
            <v>46031</v>
          </cell>
        </row>
        <row r="10">
          <cell r="A10">
            <v>46032</v>
          </cell>
        </row>
        <row r="11">
          <cell r="A11">
            <v>46033</v>
          </cell>
        </row>
        <row r="12">
          <cell r="A12">
            <v>46076</v>
          </cell>
        </row>
        <row r="13">
          <cell r="A13">
            <v>46090</v>
          </cell>
        </row>
        <row r="14">
          <cell r="A14">
            <v>46143</v>
          </cell>
        </row>
        <row r="15">
          <cell r="A15">
            <v>46153</v>
          </cell>
        </row>
        <row r="16">
          <cell r="A16">
            <v>46185</v>
          </cell>
        </row>
        <row r="17">
          <cell r="A17">
            <v>46330</v>
          </cell>
        </row>
        <row r="18">
          <cell r="A18">
            <v>46387</v>
          </cell>
        </row>
        <row r="19">
          <cell r="A19"/>
        </row>
        <row r="20">
          <cell r="A20"/>
        </row>
        <row r="21">
          <cell r="A21"/>
        </row>
        <row r="22">
          <cell r="A22"/>
        </row>
        <row r="23">
          <cell r="A23"/>
        </row>
        <row r="24">
          <cell r="A24"/>
        </row>
        <row r="25">
          <cell r="A25"/>
        </row>
        <row r="26">
          <cell r="A26"/>
        </row>
        <row r="27">
          <cell r="A27"/>
        </row>
        <row r="28">
          <cell r="A28"/>
        </row>
        <row r="29">
          <cell r="A29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Установка"/>
      <sheetName val="Set"/>
    </sheetNames>
    <definedNames>
      <definedName name="o1110010110100111011.o0100000011011010000"/>
    </defined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7">
          <cell r="D7"/>
          <cell r="F7"/>
          <cell r="I7"/>
        </row>
        <row r="8">
          <cell r="D8"/>
          <cell r="F8"/>
        </row>
        <row r="9">
          <cell r="D9"/>
          <cell r="F9"/>
        </row>
        <row r="10">
          <cell r="D10"/>
          <cell r="F10"/>
        </row>
        <row r="11">
          <cell r="D11"/>
          <cell r="F11"/>
        </row>
        <row r="12">
          <cell r="D12"/>
          <cell r="F12"/>
        </row>
        <row r="13">
          <cell r="D13"/>
          <cell r="F13"/>
        </row>
        <row r="14">
          <cell r="D14"/>
          <cell r="F14"/>
        </row>
        <row r="15">
          <cell r="D15"/>
          <cell r="F15"/>
        </row>
        <row r="16">
          <cell r="D16"/>
          <cell r="F16"/>
        </row>
        <row r="17">
          <cell r="D17"/>
          <cell r="F17"/>
        </row>
        <row r="18">
          <cell r="D18"/>
          <cell r="F18"/>
        </row>
        <row r="19">
          <cell r="D19"/>
          <cell r="F19"/>
        </row>
        <row r="20">
          <cell r="D20"/>
          <cell r="F20"/>
        </row>
        <row r="21">
          <cell r="D21"/>
          <cell r="F21"/>
        </row>
        <row r="22">
          <cell r="D22"/>
          <cell r="F22"/>
        </row>
        <row r="23">
          <cell r="D23"/>
          <cell r="F23"/>
        </row>
        <row r="24">
          <cell r="D24"/>
          <cell r="F24"/>
        </row>
        <row r="25">
          <cell r="D25"/>
          <cell r="F25"/>
        </row>
        <row r="26">
          <cell r="D26"/>
          <cell r="F26"/>
        </row>
        <row r="27">
          <cell r="D27"/>
          <cell r="F27"/>
        </row>
        <row r="28">
          <cell r="D28"/>
          <cell r="F28"/>
        </row>
        <row r="29">
          <cell r="D29"/>
          <cell r="F29"/>
        </row>
        <row r="30">
          <cell r="D30"/>
          <cell r="F30"/>
        </row>
        <row r="31">
          <cell r="D31"/>
          <cell r="F31"/>
        </row>
        <row r="32">
          <cell r="D32"/>
          <cell r="F32"/>
        </row>
        <row r="33">
          <cell r="D33"/>
          <cell r="F33"/>
        </row>
        <row r="34">
          <cell r="D34"/>
          <cell r="F34"/>
        </row>
        <row r="35">
          <cell r="D35"/>
          <cell r="F35"/>
        </row>
      </sheetData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682C-1437-43A4-ADE1-529B7774A1AE}">
  <sheetPr codeName="Лист1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DB96-578D-4129-89E5-4161031DF0E5}">
  <sheetPr codeName="Лист2"/>
  <dimension ref="A1:T40"/>
  <sheetViews>
    <sheetView topLeftCell="A3" workbookViewId="0">
      <selection activeCell="J11" sqref="J11"/>
    </sheetView>
  </sheetViews>
  <sheetFormatPr defaultRowHeight="15"/>
  <cols>
    <col min="1" max="1" width="9.19921875" style="2" bestFit="1" customWidth="1"/>
    <col min="2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A1" s="1">
        <f>T37</f>
        <v>210273.99499200005</v>
      </c>
      <c r="I1" s="3"/>
    </row>
    <row r="2" spans="1:20" ht="28.9" customHeight="1">
      <c r="A2" s="201" t="str">
        <f>"Отчет по хранению товара за " &amp; TEXT(B5,"ММММ ГГГГ")</f>
        <v>Отчет по хранению товара за Февраль 2026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5</v>
      </c>
      <c r="H3" s="202" t="s">
        <v>6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6">
        <v>1</v>
      </c>
      <c r="B5" s="199">
        <v>46054</v>
      </c>
      <c r="C5" s="200"/>
      <c r="D5" s="7"/>
      <c r="E5" s="7"/>
      <c r="F5" s="8">
        <v>121.3417</v>
      </c>
      <c r="G5" s="9">
        <f>IF(OR(B5="",NOT(ISERROR(SEARCH("KPI",$A$2))),NOT(ISERROR(SEARCH("Полиом",$A$2)))),0,IF(70-F5&lt;=0,0,70-F5))</f>
        <v>0</v>
      </c>
      <c r="H5" s="9"/>
      <c r="I5" s="10"/>
      <c r="J5" s="10"/>
      <c r="K5" s="11"/>
      <c r="L5" s="12">
        <f>SUM(K5*240)</f>
        <v>0</v>
      </c>
      <c r="M5" s="12">
        <f>SUM(D5*120)</f>
        <v>0</v>
      </c>
      <c r="N5" s="12">
        <f>SUM(E5*120)</f>
        <v>0</v>
      </c>
      <c r="O5" s="12">
        <f>SUM(F5*54)</f>
        <v>6552.4517999999998</v>
      </c>
      <c r="P5" s="12">
        <f>SUM(G5*54)</f>
        <v>0</v>
      </c>
      <c r="Q5" s="12">
        <f>SUM(H5*120)</f>
        <v>0</v>
      </c>
      <c r="R5" s="12">
        <f>SUM(I5*1000)</f>
        <v>0</v>
      </c>
      <c r="S5" s="12">
        <f>SUM(J5*140)</f>
        <v>0</v>
      </c>
      <c r="T5" s="12">
        <f>SUM(L5:S5)</f>
        <v>6552.4517999999998</v>
      </c>
    </row>
    <row r="6" spans="1:20">
      <c r="A6" s="13">
        <v>2</v>
      </c>
      <c r="B6" s="199">
        <v>46055</v>
      </c>
      <c r="C6" s="200"/>
      <c r="D6" s="7"/>
      <c r="E6" s="7"/>
      <c r="F6" s="8">
        <v>121.3417</v>
      </c>
      <c r="G6" s="9">
        <f t="shared" ref="G6:G33" si="0">IF(OR(B6="",NOT(ISERROR(SEARCH("KPI",$A$2))),NOT(ISERROR(SEARCH("Полиом",$A$2)))),0,IF(70-F6&lt;=0,0,70-F6))</f>
        <v>0</v>
      </c>
      <c r="H6" s="9"/>
      <c r="I6" s="10"/>
      <c r="J6" s="10"/>
      <c r="K6" s="11"/>
      <c r="L6" s="12">
        <f t="shared" ref="L6:L35" si="1">SUM(K6*240)</f>
        <v>0</v>
      </c>
      <c r="M6" s="12">
        <f t="shared" ref="M6:N35" si="2">SUM(D6*120)</f>
        <v>0</v>
      </c>
      <c r="N6" s="12">
        <f t="shared" si="2"/>
        <v>0</v>
      </c>
      <c r="O6" s="12">
        <f t="shared" ref="O6:P35" si="3">SUM(F6*54)</f>
        <v>6552.4517999999998</v>
      </c>
      <c r="P6" s="12">
        <f t="shared" si="3"/>
        <v>0</v>
      </c>
      <c r="Q6" s="12">
        <f t="shared" ref="Q6:Q35" si="4">SUM(H6*120)</f>
        <v>0</v>
      </c>
      <c r="R6" s="12">
        <f t="shared" ref="R6:R35" si="5">SUM(I6*1000)</f>
        <v>0</v>
      </c>
      <c r="S6" s="12">
        <f t="shared" ref="S6:S35" si="6">SUM(J6*140)</f>
        <v>0</v>
      </c>
      <c r="T6" s="12">
        <f t="shared" ref="T6:T35" si="7">SUM(L6:S6)</f>
        <v>6552.4517999999998</v>
      </c>
    </row>
    <row r="7" spans="1:20">
      <c r="A7" s="13">
        <v>3</v>
      </c>
      <c r="B7" s="199">
        <v>46056</v>
      </c>
      <c r="C7" s="200"/>
      <c r="D7" s="7"/>
      <c r="E7" s="7"/>
      <c r="F7" s="8">
        <v>121.3417</v>
      </c>
      <c r="G7" s="9">
        <f t="shared" si="0"/>
        <v>0</v>
      </c>
      <c r="H7" s="9"/>
      <c r="I7" s="10"/>
      <c r="J7" s="10"/>
      <c r="K7" s="11"/>
      <c r="L7" s="12">
        <f t="shared" si="1"/>
        <v>0</v>
      </c>
      <c r="M7" s="12">
        <f t="shared" si="2"/>
        <v>0</v>
      </c>
      <c r="N7" s="12">
        <f t="shared" si="2"/>
        <v>0</v>
      </c>
      <c r="O7" s="12">
        <f t="shared" si="3"/>
        <v>6552.4517999999998</v>
      </c>
      <c r="P7" s="12">
        <f t="shared" si="3"/>
        <v>0</v>
      </c>
      <c r="Q7" s="12">
        <f t="shared" si="4"/>
        <v>0</v>
      </c>
      <c r="R7" s="12">
        <f t="shared" si="5"/>
        <v>0</v>
      </c>
      <c r="S7" s="12">
        <f t="shared" si="6"/>
        <v>0</v>
      </c>
      <c r="T7" s="12">
        <f t="shared" si="7"/>
        <v>6552.4517999999998</v>
      </c>
    </row>
    <row r="8" spans="1:20">
      <c r="A8" s="13">
        <v>4</v>
      </c>
      <c r="B8" s="199">
        <v>46057</v>
      </c>
      <c r="C8" s="200"/>
      <c r="D8" s="8"/>
      <c r="E8" s="8">
        <v>3.2090999999999998</v>
      </c>
      <c r="F8" s="8">
        <v>118.1326</v>
      </c>
      <c r="G8" s="9">
        <f t="shared" si="0"/>
        <v>0</v>
      </c>
      <c r="H8" s="9"/>
      <c r="I8" s="10"/>
      <c r="J8" s="10"/>
      <c r="K8" s="11"/>
      <c r="L8" s="12">
        <f t="shared" si="1"/>
        <v>0</v>
      </c>
      <c r="M8" s="12">
        <f t="shared" si="2"/>
        <v>0</v>
      </c>
      <c r="N8" s="12">
        <f t="shared" si="2"/>
        <v>385.09199999999998</v>
      </c>
      <c r="O8" s="12">
        <f t="shared" si="3"/>
        <v>6379.1603999999998</v>
      </c>
      <c r="P8" s="12">
        <f t="shared" si="3"/>
        <v>0</v>
      </c>
      <c r="Q8" s="12">
        <f t="shared" si="4"/>
        <v>0</v>
      </c>
      <c r="R8" s="12">
        <f t="shared" si="5"/>
        <v>0</v>
      </c>
      <c r="S8" s="12">
        <f t="shared" si="6"/>
        <v>0</v>
      </c>
      <c r="T8" s="12">
        <f t="shared" si="7"/>
        <v>6764.2523999999994</v>
      </c>
    </row>
    <row r="9" spans="1:20">
      <c r="A9" s="13">
        <v>5</v>
      </c>
      <c r="B9" s="199">
        <v>46058</v>
      </c>
      <c r="C9" s="200"/>
      <c r="D9" s="8"/>
      <c r="E9" s="8">
        <v>17.5303</v>
      </c>
      <c r="F9" s="8">
        <v>100.6023</v>
      </c>
      <c r="G9" s="9">
        <f t="shared" si="0"/>
        <v>0</v>
      </c>
      <c r="H9" s="9"/>
      <c r="I9" s="10"/>
      <c r="J9" s="10"/>
      <c r="K9" s="11"/>
      <c r="L9" s="12">
        <f t="shared" si="1"/>
        <v>0</v>
      </c>
      <c r="M9" s="12">
        <f t="shared" si="2"/>
        <v>0</v>
      </c>
      <c r="N9" s="12">
        <f t="shared" si="2"/>
        <v>2103.636</v>
      </c>
      <c r="O9" s="12">
        <f t="shared" si="3"/>
        <v>5432.5241999999998</v>
      </c>
      <c r="P9" s="12">
        <f t="shared" si="3"/>
        <v>0</v>
      </c>
      <c r="Q9" s="12">
        <f t="shared" si="4"/>
        <v>0</v>
      </c>
      <c r="R9" s="12">
        <f t="shared" si="5"/>
        <v>0</v>
      </c>
      <c r="S9" s="12">
        <f t="shared" si="6"/>
        <v>0</v>
      </c>
      <c r="T9" s="12">
        <f t="shared" si="7"/>
        <v>7536.1602000000003</v>
      </c>
    </row>
    <row r="10" spans="1:20">
      <c r="A10" s="13">
        <v>6</v>
      </c>
      <c r="B10" s="199">
        <v>46059</v>
      </c>
      <c r="C10" s="200"/>
      <c r="D10" s="8">
        <v>17.732800000000001</v>
      </c>
      <c r="E10" s="8">
        <v>6.7244000000000002</v>
      </c>
      <c r="F10" s="8">
        <v>111.61069999999999</v>
      </c>
      <c r="G10" s="9">
        <f t="shared" si="0"/>
        <v>0</v>
      </c>
      <c r="H10" s="9"/>
      <c r="I10" s="10"/>
      <c r="J10" s="10"/>
      <c r="K10" s="11"/>
      <c r="L10" s="12">
        <f t="shared" si="1"/>
        <v>0</v>
      </c>
      <c r="M10" s="12">
        <f t="shared" si="2"/>
        <v>2127.9360000000001</v>
      </c>
      <c r="N10" s="12">
        <f t="shared" si="2"/>
        <v>806.928</v>
      </c>
      <c r="O10" s="12">
        <f t="shared" si="3"/>
        <v>6026.9777999999997</v>
      </c>
      <c r="P10" s="12">
        <f t="shared" si="3"/>
        <v>0</v>
      </c>
      <c r="Q10" s="12">
        <f t="shared" si="4"/>
        <v>0</v>
      </c>
      <c r="R10" s="12">
        <f t="shared" si="5"/>
        <v>0</v>
      </c>
      <c r="S10" s="12">
        <f t="shared" si="6"/>
        <v>0</v>
      </c>
      <c r="T10" s="12">
        <f t="shared" si="7"/>
        <v>8961.8418000000001</v>
      </c>
    </row>
    <row r="11" spans="1:20">
      <c r="A11" s="13">
        <v>7</v>
      </c>
      <c r="B11" s="199">
        <v>46060</v>
      </c>
      <c r="C11" s="200"/>
      <c r="D11" s="7"/>
      <c r="E11" s="7"/>
      <c r="F11" s="8">
        <v>111.61069999999999</v>
      </c>
      <c r="G11" s="9">
        <f t="shared" si="0"/>
        <v>0</v>
      </c>
      <c r="H11" s="9"/>
      <c r="I11" s="10"/>
      <c r="J11" s="10"/>
      <c r="K11" s="11"/>
      <c r="L11" s="12">
        <f t="shared" si="1"/>
        <v>0</v>
      </c>
      <c r="M11" s="12">
        <f t="shared" si="2"/>
        <v>0</v>
      </c>
      <c r="N11" s="12">
        <f t="shared" si="2"/>
        <v>0</v>
      </c>
      <c r="O11" s="12">
        <f t="shared" si="3"/>
        <v>6026.9777999999997</v>
      </c>
      <c r="P11" s="12">
        <f t="shared" si="3"/>
        <v>0</v>
      </c>
      <c r="Q11" s="12">
        <f t="shared" si="4"/>
        <v>0</v>
      </c>
      <c r="R11" s="12">
        <f t="shared" si="5"/>
        <v>0</v>
      </c>
      <c r="S11" s="12">
        <f t="shared" si="6"/>
        <v>0</v>
      </c>
      <c r="T11" s="12">
        <f t="shared" si="7"/>
        <v>6026.9777999999997</v>
      </c>
    </row>
    <row r="12" spans="1:20">
      <c r="A12" s="13">
        <v>8</v>
      </c>
      <c r="B12" s="199">
        <v>46061</v>
      </c>
      <c r="C12" s="200"/>
      <c r="D12" s="7"/>
      <c r="E12" s="7"/>
      <c r="F12" s="8">
        <v>111.61069999999999</v>
      </c>
      <c r="G12" s="9">
        <f t="shared" si="0"/>
        <v>0</v>
      </c>
      <c r="H12" s="9"/>
      <c r="I12" s="10"/>
      <c r="J12" s="10"/>
      <c r="K12" s="11"/>
      <c r="L12" s="12">
        <f t="shared" si="1"/>
        <v>0</v>
      </c>
      <c r="M12" s="12">
        <f t="shared" si="2"/>
        <v>0</v>
      </c>
      <c r="N12" s="12">
        <f t="shared" si="2"/>
        <v>0</v>
      </c>
      <c r="O12" s="12">
        <f t="shared" si="3"/>
        <v>6026.9777999999997</v>
      </c>
      <c r="P12" s="12">
        <f t="shared" si="3"/>
        <v>0</v>
      </c>
      <c r="Q12" s="12">
        <f t="shared" si="4"/>
        <v>0</v>
      </c>
      <c r="R12" s="12">
        <f t="shared" si="5"/>
        <v>0</v>
      </c>
      <c r="S12" s="12">
        <f t="shared" si="6"/>
        <v>0</v>
      </c>
      <c r="T12" s="12">
        <f t="shared" si="7"/>
        <v>6026.9777999999997</v>
      </c>
    </row>
    <row r="13" spans="1:20">
      <c r="A13" s="13">
        <v>9</v>
      </c>
      <c r="B13" s="199">
        <v>46062</v>
      </c>
      <c r="C13" s="200"/>
      <c r="D13" s="7"/>
      <c r="E13" s="7"/>
      <c r="F13" s="8">
        <v>111.61069999999999</v>
      </c>
      <c r="G13" s="9">
        <f t="shared" si="0"/>
        <v>0</v>
      </c>
      <c r="H13" s="9"/>
      <c r="I13" s="10"/>
      <c r="J13" s="10"/>
      <c r="K13" s="11"/>
      <c r="L13" s="12">
        <f t="shared" si="1"/>
        <v>0</v>
      </c>
      <c r="M13" s="12">
        <f t="shared" si="2"/>
        <v>0</v>
      </c>
      <c r="N13" s="12">
        <f t="shared" si="2"/>
        <v>0</v>
      </c>
      <c r="O13" s="12">
        <f t="shared" si="3"/>
        <v>6026.9777999999997</v>
      </c>
      <c r="P13" s="12">
        <f t="shared" si="3"/>
        <v>0</v>
      </c>
      <c r="Q13" s="12">
        <f t="shared" si="4"/>
        <v>0</v>
      </c>
      <c r="R13" s="12">
        <f t="shared" si="5"/>
        <v>0</v>
      </c>
      <c r="S13" s="12">
        <f t="shared" si="6"/>
        <v>0</v>
      </c>
      <c r="T13" s="12">
        <f t="shared" si="7"/>
        <v>6026.9777999999997</v>
      </c>
    </row>
    <row r="14" spans="1:20">
      <c r="A14" s="13">
        <v>10</v>
      </c>
      <c r="B14" s="199">
        <v>46063</v>
      </c>
      <c r="C14" s="200"/>
      <c r="D14" s="8"/>
      <c r="E14" s="8">
        <v>10.931100000000001</v>
      </c>
      <c r="F14" s="8">
        <v>100.67959999999999</v>
      </c>
      <c r="G14" s="9">
        <f t="shared" si="0"/>
        <v>0</v>
      </c>
      <c r="H14" s="9"/>
      <c r="I14" s="10"/>
      <c r="J14" s="10"/>
      <c r="K14" s="11"/>
      <c r="L14" s="12">
        <f t="shared" si="1"/>
        <v>0</v>
      </c>
      <c r="M14" s="12">
        <f t="shared" si="2"/>
        <v>0</v>
      </c>
      <c r="N14" s="12">
        <f t="shared" si="2"/>
        <v>1311.732</v>
      </c>
      <c r="O14" s="12">
        <f t="shared" si="3"/>
        <v>5436.6983999999993</v>
      </c>
      <c r="P14" s="12">
        <f t="shared" si="3"/>
        <v>0</v>
      </c>
      <c r="Q14" s="12">
        <f t="shared" si="4"/>
        <v>0</v>
      </c>
      <c r="R14" s="12">
        <f t="shared" si="5"/>
        <v>0</v>
      </c>
      <c r="S14" s="12">
        <f t="shared" si="6"/>
        <v>0</v>
      </c>
      <c r="T14" s="12">
        <f t="shared" si="7"/>
        <v>6748.4303999999993</v>
      </c>
    </row>
    <row r="15" spans="1:20">
      <c r="A15" s="13">
        <v>11</v>
      </c>
      <c r="B15" s="199">
        <v>46064</v>
      </c>
      <c r="C15" s="200"/>
      <c r="D15" s="8"/>
      <c r="E15" s="8">
        <v>17.434999999999999</v>
      </c>
      <c r="F15" s="8">
        <v>83.244600000000005</v>
      </c>
      <c r="G15" s="9">
        <f t="shared" si="0"/>
        <v>0</v>
      </c>
      <c r="H15" s="9"/>
      <c r="I15" s="10"/>
      <c r="J15" s="10"/>
      <c r="K15" s="11"/>
      <c r="L15" s="12">
        <f t="shared" si="1"/>
        <v>0</v>
      </c>
      <c r="M15" s="12">
        <f t="shared" si="2"/>
        <v>0</v>
      </c>
      <c r="N15" s="12">
        <f t="shared" si="2"/>
        <v>2092.1999999999998</v>
      </c>
      <c r="O15" s="12">
        <f t="shared" si="3"/>
        <v>4495.2084000000004</v>
      </c>
      <c r="P15" s="12">
        <f t="shared" si="3"/>
        <v>0</v>
      </c>
      <c r="Q15" s="12">
        <f t="shared" si="4"/>
        <v>0</v>
      </c>
      <c r="R15" s="12">
        <f t="shared" si="5"/>
        <v>0</v>
      </c>
      <c r="S15" s="12">
        <f t="shared" si="6"/>
        <v>0</v>
      </c>
      <c r="T15" s="12">
        <f t="shared" si="7"/>
        <v>6587.4084000000003</v>
      </c>
    </row>
    <row r="16" spans="1:20">
      <c r="A16" s="13">
        <v>12</v>
      </c>
      <c r="B16" s="199">
        <v>46065</v>
      </c>
      <c r="C16" s="200"/>
      <c r="D16" s="7"/>
      <c r="E16" s="7"/>
      <c r="F16" s="8">
        <v>83.244600000000005</v>
      </c>
      <c r="G16" s="9">
        <f t="shared" si="0"/>
        <v>0</v>
      </c>
      <c r="H16" s="9"/>
      <c r="I16" s="10"/>
      <c r="J16" s="10"/>
      <c r="K16" s="14"/>
      <c r="L16" s="12">
        <f t="shared" si="1"/>
        <v>0</v>
      </c>
      <c r="M16" s="12">
        <f t="shared" si="2"/>
        <v>0</v>
      </c>
      <c r="N16" s="12">
        <f t="shared" si="2"/>
        <v>0</v>
      </c>
      <c r="O16" s="12">
        <f t="shared" si="3"/>
        <v>4495.2084000000004</v>
      </c>
      <c r="P16" s="12">
        <f t="shared" si="3"/>
        <v>0</v>
      </c>
      <c r="Q16" s="12">
        <f t="shared" si="4"/>
        <v>0</v>
      </c>
      <c r="R16" s="12">
        <f t="shared" si="5"/>
        <v>0</v>
      </c>
      <c r="S16" s="12">
        <f t="shared" si="6"/>
        <v>0</v>
      </c>
      <c r="T16" s="12">
        <f t="shared" si="7"/>
        <v>4495.2084000000004</v>
      </c>
    </row>
    <row r="17" spans="1:20">
      <c r="A17" s="13">
        <v>13</v>
      </c>
      <c r="B17" s="199">
        <v>46066</v>
      </c>
      <c r="C17" s="200"/>
      <c r="D17" s="8"/>
      <c r="E17" s="8">
        <v>2.2995000000000001</v>
      </c>
      <c r="F17" s="8">
        <v>80.945099999999996</v>
      </c>
      <c r="G17" s="9">
        <f t="shared" si="0"/>
        <v>0</v>
      </c>
      <c r="H17" s="9"/>
      <c r="I17" s="10"/>
      <c r="J17" s="10"/>
      <c r="K17" s="11"/>
      <c r="L17" s="12">
        <f t="shared" si="1"/>
        <v>0</v>
      </c>
      <c r="M17" s="12">
        <f t="shared" si="2"/>
        <v>0</v>
      </c>
      <c r="N17" s="12">
        <f t="shared" si="2"/>
        <v>275.94</v>
      </c>
      <c r="O17" s="12">
        <f t="shared" si="3"/>
        <v>4371.0353999999998</v>
      </c>
      <c r="P17" s="12">
        <f t="shared" si="3"/>
        <v>0</v>
      </c>
      <c r="Q17" s="12">
        <f t="shared" si="4"/>
        <v>0</v>
      </c>
      <c r="R17" s="12">
        <f t="shared" si="5"/>
        <v>0</v>
      </c>
      <c r="S17" s="12">
        <f t="shared" si="6"/>
        <v>0</v>
      </c>
      <c r="T17" s="12">
        <f t="shared" si="7"/>
        <v>4646.9753999999994</v>
      </c>
    </row>
    <row r="18" spans="1:20">
      <c r="A18" s="13">
        <v>14</v>
      </c>
      <c r="B18" s="199">
        <v>46067</v>
      </c>
      <c r="C18" s="200"/>
      <c r="D18" s="7"/>
      <c r="E18" s="7"/>
      <c r="F18" s="8">
        <v>80.945099999999996</v>
      </c>
      <c r="G18" s="9">
        <f t="shared" si="0"/>
        <v>0</v>
      </c>
      <c r="H18" s="9"/>
      <c r="I18" s="10"/>
      <c r="J18" s="10"/>
      <c r="K18" s="11"/>
      <c r="L18" s="12">
        <f t="shared" si="1"/>
        <v>0</v>
      </c>
      <c r="M18" s="12">
        <f t="shared" si="2"/>
        <v>0</v>
      </c>
      <c r="N18" s="12">
        <f t="shared" si="2"/>
        <v>0</v>
      </c>
      <c r="O18" s="12">
        <f t="shared" si="3"/>
        <v>4371.0353999999998</v>
      </c>
      <c r="P18" s="12">
        <f t="shared" si="3"/>
        <v>0</v>
      </c>
      <c r="Q18" s="12">
        <f t="shared" si="4"/>
        <v>0</v>
      </c>
      <c r="R18" s="12">
        <f t="shared" si="5"/>
        <v>0</v>
      </c>
      <c r="S18" s="12">
        <f t="shared" si="6"/>
        <v>0</v>
      </c>
      <c r="T18" s="12">
        <f t="shared" si="7"/>
        <v>4371.0353999999998</v>
      </c>
    </row>
    <row r="19" spans="1:20">
      <c r="A19" s="13">
        <v>15</v>
      </c>
      <c r="B19" s="199">
        <v>46068</v>
      </c>
      <c r="C19" s="200"/>
      <c r="D19" s="7"/>
      <c r="E19" s="7"/>
      <c r="F19" s="8">
        <v>80.945099999999996</v>
      </c>
      <c r="G19" s="9">
        <f t="shared" si="0"/>
        <v>0</v>
      </c>
      <c r="H19" s="9"/>
      <c r="I19" s="10"/>
      <c r="J19" s="10"/>
      <c r="K19" s="11"/>
      <c r="L19" s="12">
        <f t="shared" si="1"/>
        <v>0</v>
      </c>
      <c r="M19" s="12">
        <f t="shared" si="2"/>
        <v>0</v>
      </c>
      <c r="N19" s="12">
        <f t="shared" si="2"/>
        <v>0</v>
      </c>
      <c r="O19" s="12">
        <f t="shared" si="3"/>
        <v>4371.0353999999998</v>
      </c>
      <c r="P19" s="12">
        <f t="shared" si="3"/>
        <v>0</v>
      </c>
      <c r="Q19" s="12">
        <f t="shared" si="4"/>
        <v>0</v>
      </c>
      <c r="R19" s="12">
        <f t="shared" si="5"/>
        <v>0</v>
      </c>
      <c r="S19" s="12">
        <f t="shared" si="6"/>
        <v>0</v>
      </c>
      <c r="T19" s="12">
        <f t="shared" si="7"/>
        <v>4371.0353999999998</v>
      </c>
    </row>
    <row r="20" spans="1:20">
      <c r="A20" s="13">
        <v>16</v>
      </c>
      <c r="B20" s="199">
        <v>46069</v>
      </c>
      <c r="C20" s="200"/>
      <c r="D20" s="8">
        <v>51.783000000000001</v>
      </c>
      <c r="E20" s="8">
        <v>2.1034000000000002</v>
      </c>
      <c r="F20" s="8">
        <v>130.62469999999999</v>
      </c>
      <c r="G20" s="9">
        <f t="shared" si="0"/>
        <v>0</v>
      </c>
      <c r="H20" s="9"/>
      <c r="I20" s="10"/>
      <c r="J20" s="10"/>
      <c r="K20" s="11"/>
      <c r="L20" s="12">
        <f t="shared" si="1"/>
        <v>0</v>
      </c>
      <c r="M20" s="12">
        <f t="shared" si="2"/>
        <v>6213.96</v>
      </c>
      <c r="N20" s="12">
        <f t="shared" si="2"/>
        <v>252.40800000000002</v>
      </c>
      <c r="O20" s="12">
        <f t="shared" si="3"/>
        <v>7053.7337999999991</v>
      </c>
      <c r="P20" s="12">
        <f t="shared" si="3"/>
        <v>0</v>
      </c>
      <c r="Q20" s="12">
        <f t="shared" si="4"/>
        <v>0</v>
      </c>
      <c r="R20" s="12">
        <f t="shared" si="5"/>
        <v>0</v>
      </c>
      <c r="S20" s="12">
        <f t="shared" si="6"/>
        <v>0</v>
      </c>
      <c r="T20" s="12">
        <f t="shared" si="7"/>
        <v>13520.1018</v>
      </c>
    </row>
    <row r="21" spans="1:20">
      <c r="A21" s="13">
        <v>17</v>
      </c>
      <c r="B21" s="199">
        <v>46070</v>
      </c>
      <c r="C21" s="200"/>
      <c r="D21" s="8"/>
      <c r="E21" s="8">
        <v>2.7732000000000001</v>
      </c>
      <c r="F21" s="8">
        <v>127.8515</v>
      </c>
      <c r="G21" s="9">
        <f t="shared" si="0"/>
        <v>0</v>
      </c>
      <c r="H21" s="9"/>
      <c r="I21" s="10"/>
      <c r="J21" s="10"/>
      <c r="K21" s="11"/>
      <c r="L21" s="12">
        <f t="shared" si="1"/>
        <v>0</v>
      </c>
      <c r="M21" s="12">
        <f t="shared" si="2"/>
        <v>0</v>
      </c>
      <c r="N21" s="12">
        <f t="shared" si="2"/>
        <v>332.78399999999999</v>
      </c>
      <c r="O21" s="12">
        <f t="shared" si="3"/>
        <v>6903.9809999999998</v>
      </c>
      <c r="P21" s="12">
        <f t="shared" si="3"/>
        <v>0</v>
      </c>
      <c r="Q21" s="12">
        <f t="shared" si="4"/>
        <v>0</v>
      </c>
      <c r="R21" s="12">
        <f t="shared" si="5"/>
        <v>0</v>
      </c>
      <c r="S21" s="12">
        <f t="shared" si="6"/>
        <v>0</v>
      </c>
      <c r="T21" s="12">
        <f t="shared" si="7"/>
        <v>7236.7649999999994</v>
      </c>
    </row>
    <row r="22" spans="1:20">
      <c r="A22" s="13">
        <v>18</v>
      </c>
      <c r="B22" s="199">
        <v>46071</v>
      </c>
      <c r="C22" s="200"/>
      <c r="D22" s="8"/>
      <c r="E22" s="8">
        <v>20.829000000000001</v>
      </c>
      <c r="F22" s="8">
        <v>107.02249999999999</v>
      </c>
      <c r="G22" s="9">
        <f t="shared" si="0"/>
        <v>0</v>
      </c>
      <c r="H22" s="9"/>
      <c r="I22" s="10"/>
      <c r="J22" s="10"/>
      <c r="K22" s="11"/>
      <c r="L22" s="12">
        <f t="shared" si="1"/>
        <v>0</v>
      </c>
      <c r="M22" s="12">
        <f t="shared" si="2"/>
        <v>0</v>
      </c>
      <c r="N22" s="12">
        <f t="shared" si="2"/>
        <v>2499.48</v>
      </c>
      <c r="O22" s="12">
        <f t="shared" si="3"/>
        <v>5779.2149999999992</v>
      </c>
      <c r="P22" s="12">
        <f t="shared" si="3"/>
        <v>0</v>
      </c>
      <c r="Q22" s="12">
        <f t="shared" si="4"/>
        <v>0</v>
      </c>
      <c r="R22" s="12">
        <f t="shared" si="5"/>
        <v>0</v>
      </c>
      <c r="S22" s="12">
        <f t="shared" si="6"/>
        <v>0</v>
      </c>
      <c r="T22" s="12">
        <f t="shared" si="7"/>
        <v>8278.6949999999997</v>
      </c>
    </row>
    <row r="23" spans="1:20">
      <c r="A23" s="13">
        <v>19</v>
      </c>
      <c r="B23" s="199">
        <v>46072</v>
      </c>
      <c r="C23" s="200"/>
      <c r="D23" s="8"/>
      <c r="E23" s="8">
        <v>13.2659</v>
      </c>
      <c r="F23" s="8">
        <v>93.756600000000006</v>
      </c>
      <c r="G23" s="9">
        <f t="shared" si="0"/>
        <v>0</v>
      </c>
      <c r="H23" s="9"/>
      <c r="I23" s="10"/>
      <c r="J23" s="10"/>
      <c r="K23" s="11"/>
      <c r="L23" s="12">
        <f t="shared" si="1"/>
        <v>0</v>
      </c>
      <c r="M23" s="12">
        <f t="shared" si="2"/>
        <v>0</v>
      </c>
      <c r="N23" s="12">
        <f t="shared" si="2"/>
        <v>1591.9080000000001</v>
      </c>
      <c r="O23" s="12">
        <f t="shared" si="3"/>
        <v>5062.8564000000006</v>
      </c>
      <c r="P23" s="12">
        <f t="shared" si="3"/>
        <v>0</v>
      </c>
      <c r="Q23" s="12">
        <f t="shared" si="4"/>
        <v>0</v>
      </c>
      <c r="R23" s="12">
        <f t="shared" si="5"/>
        <v>0</v>
      </c>
      <c r="S23" s="12">
        <f t="shared" si="6"/>
        <v>0</v>
      </c>
      <c r="T23" s="12">
        <f t="shared" si="7"/>
        <v>6654.7644000000009</v>
      </c>
    </row>
    <row r="24" spans="1:20">
      <c r="A24" s="13">
        <v>20</v>
      </c>
      <c r="B24" s="199">
        <v>46073</v>
      </c>
      <c r="C24" s="200"/>
      <c r="D24" s="8"/>
      <c r="E24" s="8">
        <v>2.9672999999999998</v>
      </c>
      <c r="F24" s="8">
        <v>90.789299999999997</v>
      </c>
      <c r="G24" s="9">
        <f t="shared" si="0"/>
        <v>0</v>
      </c>
      <c r="H24" s="9"/>
      <c r="I24" s="10"/>
      <c r="J24" s="10"/>
      <c r="K24" s="11"/>
      <c r="L24" s="12">
        <f t="shared" si="1"/>
        <v>0</v>
      </c>
      <c r="M24" s="12">
        <f t="shared" si="2"/>
        <v>0</v>
      </c>
      <c r="N24" s="12">
        <f t="shared" si="2"/>
        <v>356.07599999999996</v>
      </c>
      <c r="O24" s="12">
        <f t="shared" si="3"/>
        <v>4902.6221999999998</v>
      </c>
      <c r="P24" s="12">
        <f t="shared" si="3"/>
        <v>0</v>
      </c>
      <c r="Q24" s="12">
        <f t="shared" si="4"/>
        <v>0</v>
      </c>
      <c r="R24" s="12">
        <f t="shared" si="5"/>
        <v>0</v>
      </c>
      <c r="S24" s="12">
        <f t="shared" si="6"/>
        <v>0</v>
      </c>
      <c r="T24" s="12">
        <f t="shared" si="7"/>
        <v>5258.6981999999998</v>
      </c>
    </row>
    <row r="25" spans="1:20">
      <c r="A25" s="13">
        <v>21</v>
      </c>
      <c r="B25" s="199">
        <v>46074</v>
      </c>
      <c r="C25" s="200"/>
      <c r="D25" s="7"/>
      <c r="E25" s="7"/>
      <c r="F25" s="8">
        <v>90.789299999999997</v>
      </c>
      <c r="G25" s="9">
        <f t="shared" si="0"/>
        <v>0</v>
      </c>
      <c r="H25" s="9"/>
      <c r="I25" s="10"/>
      <c r="J25" s="10"/>
      <c r="K25" s="11"/>
      <c r="L25" s="12">
        <f t="shared" si="1"/>
        <v>0</v>
      </c>
      <c r="M25" s="12">
        <f t="shared" si="2"/>
        <v>0</v>
      </c>
      <c r="N25" s="12">
        <f t="shared" si="2"/>
        <v>0</v>
      </c>
      <c r="O25" s="12">
        <f t="shared" si="3"/>
        <v>4902.6221999999998</v>
      </c>
      <c r="P25" s="12">
        <f t="shared" si="3"/>
        <v>0</v>
      </c>
      <c r="Q25" s="12">
        <f t="shared" si="4"/>
        <v>0</v>
      </c>
      <c r="R25" s="12">
        <f t="shared" si="5"/>
        <v>0</v>
      </c>
      <c r="S25" s="12">
        <f t="shared" si="6"/>
        <v>0</v>
      </c>
      <c r="T25" s="12">
        <f t="shared" si="7"/>
        <v>4902.6221999999998</v>
      </c>
    </row>
    <row r="26" spans="1:20">
      <c r="A26" s="13">
        <v>22</v>
      </c>
      <c r="B26" s="199">
        <v>46075</v>
      </c>
      <c r="C26" s="200"/>
      <c r="D26" s="7"/>
      <c r="E26" s="7"/>
      <c r="F26" s="8">
        <v>90.789299999999997</v>
      </c>
      <c r="G26" s="9">
        <f t="shared" si="0"/>
        <v>0</v>
      </c>
      <c r="H26" s="9"/>
      <c r="I26" s="10"/>
      <c r="J26" s="10"/>
      <c r="K26" s="11"/>
      <c r="L26" s="12">
        <f t="shared" si="1"/>
        <v>0</v>
      </c>
      <c r="M26" s="12">
        <f t="shared" si="2"/>
        <v>0</v>
      </c>
      <c r="N26" s="12">
        <f t="shared" si="2"/>
        <v>0</v>
      </c>
      <c r="O26" s="12">
        <f t="shared" si="3"/>
        <v>4902.6221999999998</v>
      </c>
      <c r="P26" s="12">
        <f t="shared" si="3"/>
        <v>0</v>
      </c>
      <c r="Q26" s="12">
        <f t="shared" si="4"/>
        <v>0</v>
      </c>
      <c r="R26" s="12">
        <f t="shared" si="5"/>
        <v>0</v>
      </c>
      <c r="S26" s="12">
        <f t="shared" si="6"/>
        <v>0</v>
      </c>
      <c r="T26" s="12">
        <f t="shared" si="7"/>
        <v>4902.6221999999998</v>
      </c>
    </row>
    <row r="27" spans="1:20">
      <c r="A27" s="13">
        <v>23</v>
      </c>
      <c r="B27" s="199">
        <v>46076</v>
      </c>
      <c r="C27" s="200"/>
      <c r="D27" s="7"/>
      <c r="E27" s="7"/>
      <c r="F27" s="8">
        <v>90.789299999999997</v>
      </c>
      <c r="G27" s="9">
        <f t="shared" si="0"/>
        <v>0</v>
      </c>
      <c r="H27" s="9"/>
      <c r="I27" s="10"/>
      <c r="J27" s="10"/>
      <c r="K27" s="11"/>
      <c r="L27" s="12">
        <f t="shared" si="1"/>
        <v>0</v>
      </c>
      <c r="M27" s="12">
        <f t="shared" si="2"/>
        <v>0</v>
      </c>
      <c r="N27" s="12">
        <f t="shared" si="2"/>
        <v>0</v>
      </c>
      <c r="O27" s="12">
        <f t="shared" si="3"/>
        <v>4902.6221999999998</v>
      </c>
      <c r="P27" s="12">
        <f t="shared" si="3"/>
        <v>0</v>
      </c>
      <c r="Q27" s="12">
        <f t="shared" si="4"/>
        <v>0</v>
      </c>
      <c r="R27" s="12">
        <f t="shared" si="5"/>
        <v>0</v>
      </c>
      <c r="S27" s="12">
        <f t="shared" si="6"/>
        <v>0</v>
      </c>
      <c r="T27" s="12">
        <f t="shared" si="7"/>
        <v>4902.6221999999998</v>
      </c>
    </row>
    <row r="28" spans="1:20">
      <c r="A28" s="13">
        <v>24</v>
      </c>
      <c r="B28" s="199">
        <v>46077</v>
      </c>
      <c r="C28" s="200"/>
      <c r="D28" s="7"/>
      <c r="E28" s="7"/>
      <c r="F28" s="8">
        <v>90.789299999999997</v>
      </c>
      <c r="G28" s="9">
        <f t="shared" si="0"/>
        <v>0</v>
      </c>
      <c r="H28" s="9"/>
      <c r="I28" s="10"/>
      <c r="J28" s="10"/>
      <c r="K28" s="11"/>
      <c r="L28" s="12">
        <f t="shared" si="1"/>
        <v>0</v>
      </c>
      <c r="M28" s="12">
        <f t="shared" si="2"/>
        <v>0</v>
      </c>
      <c r="N28" s="12">
        <f t="shared" si="2"/>
        <v>0</v>
      </c>
      <c r="O28" s="12">
        <f t="shared" si="3"/>
        <v>4902.6221999999998</v>
      </c>
      <c r="P28" s="12">
        <f t="shared" si="3"/>
        <v>0</v>
      </c>
      <c r="Q28" s="12">
        <f t="shared" si="4"/>
        <v>0</v>
      </c>
      <c r="R28" s="12">
        <f t="shared" si="5"/>
        <v>0</v>
      </c>
      <c r="S28" s="12">
        <f t="shared" si="6"/>
        <v>0</v>
      </c>
      <c r="T28" s="12">
        <f t="shared" si="7"/>
        <v>4902.6221999999998</v>
      </c>
    </row>
    <row r="29" spans="1:20">
      <c r="A29" s="13">
        <v>25</v>
      </c>
      <c r="B29" s="199">
        <v>46078</v>
      </c>
      <c r="C29" s="200"/>
      <c r="D29" s="8"/>
      <c r="E29" s="8">
        <v>5.8836000000000004</v>
      </c>
      <c r="F29" s="8">
        <v>84.905699999999996</v>
      </c>
      <c r="G29" s="9">
        <f t="shared" si="0"/>
        <v>0</v>
      </c>
      <c r="H29" s="9"/>
      <c r="I29" s="10"/>
      <c r="J29" s="10"/>
      <c r="K29" s="11"/>
      <c r="L29" s="12">
        <f t="shared" si="1"/>
        <v>0</v>
      </c>
      <c r="M29" s="12">
        <f t="shared" si="2"/>
        <v>0</v>
      </c>
      <c r="N29" s="12">
        <f t="shared" si="2"/>
        <v>706.03200000000004</v>
      </c>
      <c r="O29" s="12">
        <f t="shared" si="3"/>
        <v>4584.9078</v>
      </c>
      <c r="P29" s="12">
        <f t="shared" si="3"/>
        <v>0</v>
      </c>
      <c r="Q29" s="12">
        <f t="shared" si="4"/>
        <v>0</v>
      </c>
      <c r="R29" s="12">
        <f t="shared" si="5"/>
        <v>0</v>
      </c>
      <c r="S29" s="12">
        <f t="shared" si="6"/>
        <v>0</v>
      </c>
      <c r="T29" s="12">
        <f t="shared" si="7"/>
        <v>5290.9398000000001</v>
      </c>
    </row>
    <row r="30" spans="1:20">
      <c r="A30" s="13">
        <v>26</v>
      </c>
      <c r="B30" s="199">
        <v>46079</v>
      </c>
      <c r="C30" s="200"/>
      <c r="D30" s="8"/>
      <c r="E30" s="8">
        <v>18.4694</v>
      </c>
      <c r="F30" s="8">
        <v>66.436300000000003</v>
      </c>
      <c r="G30" s="9">
        <f t="shared" si="0"/>
        <v>3.5636999999999972</v>
      </c>
      <c r="H30" s="9"/>
      <c r="I30" s="10"/>
      <c r="J30" s="10"/>
      <c r="K30" s="11"/>
      <c r="L30" s="12">
        <f t="shared" si="1"/>
        <v>0</v>
      </c>
      <c r="M30" s="12">
        <f t="shared" si="2"/>
        <v>0</v>
      </c>
      <c r="N30" s="12">
        <f t="shared" si="2"/>
        <v>2216.328</v>
      </c>
      <c r="O30" s="12">
        <f t="shared" si="3"/>
        <v>3587.5602000000003</v>
      </c>
      <c r="P30" s="12">
        <f t="shared" si="3"/>
        <v>192.43979999999985</v>
      </c>
      <c r="Q30" s="12">
        <f t="shared" si="4"/>
        <v>0</v>
      </c>
      <c r="R30" s="12">
        <f t="shared" si="5"/>
        <v>0</v>
      </c>
      <c r="S30" s="12">
        <f t="shared" si="6"/>
        <v>0</v>
      </c>
      <c r="T30" s="12">
        <f t="shared" si="7"/>
        <v>5996.3280000000004</v>
      </c>
    </row>
    <row r="31" spans="1:20">
      <c r="A31" s="13">
        <v>27</v>
      </c>
      <c r="B31" s="199">
        <v>46080</v>
      </c>
      <c r="C31" s="200"/>
      <c r="D31" s="8"/>
      <c r="E31" s="8">
        <v>6.0693000000000001</v>
      </c>
      <c r="F31" s="8">
        <v>60.366999999999997</v>
      </c>
      <c r="G31" s="9">
        <f t="shared" si="0"/>
        <v>9.6330000000000027</v>
      </c>
      <c r="H31" s="9"/>
      <c r="I31" s="10"/>
      <c r="J31" s="10"/>
      <c r="K31" s="11"/>
      <c r="L31" s="12">
        <f t="shared" si="1"/>
        <v>0</v>
      </c>
      <c r="M31" s="12">
        <f t="shared" si="2"/>
        <v>0</v>
      </c>
      <c r="N31" s="12">
        <f t="shared" si="2"/>
        <v>728.31600000000003</v>
      </c>
      <c r="O31" s="12">
        <f t="shared" si="3"/>
        <v>3259.8179999999998</v>
      </c>
      <c r="P31" s="12">
        <f t="shared" si="3"/>
        <v>520.18200000000013</v>
      </c>
      <c r="Q31" s="12">
        <f t="shared" si="4"/>
        <v>0</v>
      </c>
      <c r="R31" s="12">
        <f t="shared" si="5"/>
        <v>0</v>
      </c>
      <c r="S31" s="12">
        <f t="shared" si="6"/>
        <v>0</v>
      </c>
      <c r="T31" s="12">
        <f t="shared" si="7"/>
        <v>4508.3159999999998</v>
      </c>
    </row>
    <row r="32" spans="1:20">
      <c r="A32" s="13">
        <v>28</v>
      </c>
      <c r="B32" s="199">
        <v>46081</v>
      </c>
      <c r="C32" s="200"/>
      <c r="D32" s="7"/>
      <c r="E32" s="7"/>
      <c r="F32" s="8">
        <v>60.366999999999997</v>
      </c>
      <c r="G32" s="9">
        <f t="shared" si="0"/>
        <v>9.6330000000000027</v>
      </c>
      <c r="H32" s="9"/>
      <c r="I32" s="10"/>
      <c r="J32" s="10"/>
      <c r="K32" s="11"/>
      <c r="L32" s="12">
        <f t="shared" si="1"/>
        <v>0</v>
      </c>
      <c r="M32" s="12">
        <f t="shared" si="2"/>
        <v>0</v>
      </c>
      <c r="N32" s="12">
        <f t="shared" si="2"/>
        <v>0</v>
      </c>
      <c r="O32" s="12">
        <f t="shared" si="3"/>
        <v>3259.8179999999998</v>
      </c>
      <c r="P32" s="12">
        <f t="shared" si="3"/>
        <v>520.18200000000013</v>
      </c>
      <c r="Q32" s="12">
        <f t="shared" si="4"/>
        <v>0</v>
      </c>
      <c r="R32" s="12">
        <f t="shared" si="5"/>
        <v>0</v>
      </c>
      <c r="S32" s="12">
        <f t="shared" si="6"/>
        <v>0</v>
      </c>
      <c r="T32" s="12">
        <f t="shared" si="7"/>
        <v>3780</v>
      </c>
    </row>
    <row r="33" spans="1:20">
      <c r="A33" s="13">
        <v>29</v>
      </c>
      <c r="B33" s="199"/>
      <c r="C33" s="200"/>
      <c r="D33" s="15"/>
      <c r="E33" s="16"/>
      <c r="F33" s="17"/>
      <c r="G33" s="9">
        <f t="shared" si="0"/>
        <v>0</v>
      </c>
      <c r="H33" s="9"/>
      <c r="I33" s="10"/>
      <c r="J33" s="10"/>
      <c r="K33" s="11"/>
      <c r="L33" s="12">
        <f t="shared" si="1"/>
        <v>0</v>
      </c>
      <c r="M33" s="12">
        <f t="shared" si="2"/>
        <v>0</v>
      </c>
      <c r="N33" s="12">
        <f t="shared" si="2"/>
        <v>0</v>
      </c>
      <c r="O33" s="12">
        <f t="shared" si="3"/>
        <v>0</v>
      </c>
      <c r="P33" s="12">
        <f t="shared" si="3"/>
        <v>0</v>
      </c>
      <c r="Q33" s="12">
        <f t="shared" si="4"/>
        <v>0</v>
      </c>
      <c r="R33" s="12">
        <f t="shared" si="5"/>
        <v>0</v>
      </c>
      <c r="S33" s="12">
        <f t="shared" si="6"/>
        <v>0</v>
      </c>
      <c r="T33" s="12">
        <f t="shared" si="7"/>
        <v>0</v>
      </c>
    </row>
    <row r="34" spans="1:20">
      <c r="A34" s="13">
        <v>30</v>
      </c>
      <c r="B34" s="199"/>
      <c r="C34" s="200"/>
      <c r="D34" s="15"/>
      <c r="E34" s="16"/>
      <c r="F34" s="17"/>
      <c r="G34" s="9">
        <f>IF(OR(B34="",NOT(ISERROR(SEARCH("KPI",$A$2))),NOT(ISERROR(SEARCH("Полиом",$A$2)))),0,IF(70-F34&lt;=0,0,70-F34))</f>
        <v>0</v>
      </c>
      <c r="H34" s="9"/>
      <c r="I34" s="10"/>
      <c r="J34" s="10"/>
      <c r="K34" s="11"/>
      <c r="L34" s="12">
        <f t="shared" si="1"/>
        <v>0</v>
      </c>
      <c r="M34" s="12">
        <f t="shared" si="2"/>
        <v>0</v>
      </c>
      <c r="N34" s="12">
        <f t="shared" si="2"/>
        <v>0</v>
      </c>
      <c r="O34" s="12">
        <f>SUM(F34*54)</f>
        <v>0</v>
      </c>
      <c r="P34" s="12">
        <f t="shared" si="3"/>
        <v>0</v>
      </c>
      <c r="Q34" s="12">
        <f t="shared" si="4"/>
        <v>0</v>
      </c>
      <c r="R34" s="12">
        <f t="shared" si="5"/>
        <v>0</v>
      </c>
      <c r="S34" s="12">
        <f t="shared" si="6"/>
        <v>0</v>
      </c>
      <c r="T34" s="12">
        <f t="shared" si="7"/>
        <v>0</v>
      </c>
    </row>
    <row r="35" spans="1:20">
      <c r="A35" s="13"/>
      <c r="B35" s="199"/>
      <c r="C35" s="200"/>
      <c r="D35" s="18"/>
      <c r="E35" s="18"/>
      <c r="F35" s="17"/>
      <c r="G35" s="9">
        <f>IF(OR(B35="",NOT(ISERROR(SEARCH("KPI",$A$2))),NOT(ISERROR(SEARCH("Полиом",$A$2)))),0,IF(70-F35&lt;=0,0,70-F35))</f>
        <v>0</v>
      </c>
      <c r="H35" s="9"/>
      <c r="I35" s="10"/>
      <c r="J35" s="10"/>
      <c r="K35" s="11"/>
      <c r="L35" s="12">
        <f t="shared" si="1"/>
        <v>0</v>
      </c>
      <c r="M35" s="12">
        <f t="shared" si="2"/>
        <v>0</v>
      </c>
      <c r="N35" s="12">
        <f t="shared" si="2"/>
        <v>0</v>
      </c>
      <c r="O35" s="12">
        <f>SUM(F35*54)</f>
        <v>0</v>
      </c>
      <c r="P35" s="12">
        <f t="shared" si="3"/>
        <v>0</v>
      </c>
      <c r="Q35" s="12">
        <f t="shared" si="4"/>
        <v>0</v>
      </c>
      <c r="R35" s="12">
        <f t="shared" si="5"/>
        <v>0</v>
      </c>
      <c r="S35" s="12">
        <f t="shared" si="6"/>
        <v>0</v>
      </c>
      <c r="T35" s="12">
        <f t="shared" si="7"/>
        <v>0</v>
      </c>
    </row>
    <row r="36" spans="1:20">
      <c r="D36" s="18"/>
      <c r="E36" s="18"/>
      <c r="F36" s="19">
        <f>SUM(F5:F35)</f>
        <v>2724.4846999999991</v>
      </c>
      <c r="G36" s="19">
        <f t="shared" ref="G36:T36" si="8">SUM(G5:G35)</f>
        <v>22.829700000000003</v>
      </c>
      <c r="H36" s="19">
        <f t="shared" si="8"/>
        <v>0</v>
      </c>
      <c r="I36" s="19">
        <f t="shared" si="8"/>
        <v>0</v>
      </c>
      <c r="J36" s="19">
        <f t="shared" si="8"/>
        <v>0</v>
      </c>
      <c r="K36" s="20">
        <f t="shared" si="8"/>
        <v>0</v>
      </c>
      <c r="L36" s="21">
        <f t="shared" si="8"/>
        <v>0</v>
      </c>
      <c r="M36" s="21">
        <f t="shared" si="8"/>
        <v>8341.8960000000006</v>
      </c>
      <c r="N36" s="21">
        <f t="shared" si="8"/>
        <v>15658.859999999997</v>
      </c>
      <c r="O36" s="21">
        <f t="shared" si="8"/>
        <v>147122.17379999999</v>
      </c>
      <c r="P36" s="21">
        <f t="shared" si="8"/>
        <v>1232.8038000000001</v>
      </c>
      <c r="Q36" s="21">
        <f t="shared" si="8"/>
        <v>0</v>
      </c>
      <c r="R36" s="21">
        <f t="shared" si="8"/>
        <v>0</v>
      </c>
      <c r="S36" s="21">
        <f t="shared" si="8"/>
        <v>0</v>
      </c>
      <c r="T36" s="21">
        <f t="shared" si="8"/>
        <v>172355.73360000004</v>
      </c>
    </row>
    <row r="37" spans="1:20">
      <c r="R37" s="22"/>
      <c r="S37" s="22"/>
      <c r="T37" s="23">
        <f>T36*1.22</f>
        <v>210273.99499200005</v>
      </c>
    </row>
    <row r="40" spans="1:20">
      <c r="F40" s="24"/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31A9-71EE-4EA3-A7A5-D3E7E2F4743A}">
  <sheetPr codeName="Лист3"/>
  <dimension ref="A1:M125"/>
  <sheetViews>
    <sheetView topLeftCell="A15" zoomScaleNormal="100" workbookViewId="0">
      <selection activeCell="K44" sqref="K44"/>
    </sheetView>
  </sheetViews>
  <sheetFormatPr defaultColWidth="10.09765625" defaultRowHeight="15" customHeight="1"/>
  <cols>
    <col min="1" max="1" width="20" style="25" customWidth="1"/>
    <col min="2" max="2" width="12.3984375" style="25" customWidth="1"/>
    <col min="3" max="3" width="12" style="25" customWidth="1"/>
    <col min="4" max="4" width="12.8984375" style="25" customWidth="1"/>
    <col min="5" max="5" width="14.59765625" style="25" customWidth="1"/>
    <col min="6" max="6" width="15.296875" style="25" customWidth="1"/>
    <col min="7" max="9" width="15.59765625" style="25" customWidth="1"/>
    <col min="10" max="10" width="13.5" style="25" customWidth="1"/>
    <col min="11" max="11" width="15.796875" style="25" customWidth="1"/>
    <col min="12" max="12" width="21.19921875" style="25" customWidth="1"/>
    <col min="13" max="13" width="21.8984375" style="25" customWidth="1"/>
    <col min="14" max="16384" width="10.09765625" style="25"/>
  </cols>
  <sheetData>
    <row r="1" spans="1:10" ht="161.25" customHeight="1" thickBot="1">
      <c r="A1" s="211">
        <f ca="1">G16</f>
        <v>137405763.211492</v>
      </c>
      <c r="B1" s="211"/>
      <c r="C1" s="211"/>
      <c r="D1" s="211"/>
      <c r="E1" s="211"/>
      <c r="F1" s="211"/>
      <c r="G1" s="211"/>
    </row>
    <row r="2" spans="1:10" ht="12.75" customHeight="1" thickBot="1">
      <c r="A2" s="26"/>
      <c r="B2" s="27"/>
      <c r="C2" s="27"/>
      <c r="D2" s="27"/>
      <c r="E2" s="27"/>
      <c r="F2" s="27"/>
      <c r="I2" s="212" t="s">
        <v>19</v>
      </c>
      <c r="J2" s="213"/>
    </row>
    <row r="3" spans="1:10" ht="14.25" customHeight="1" thickBot="1">
      <c r="A3" s="28" t="s">
        <v>20</v>
      </c>
      <c r="B3" s="29" t="s">
        <v>21</v>
      </c>
      <c r="C3" s="29" t="s">
        <v>22</v>
      </c>
      <c r="D3" s="29" t="s">
        <v>23</v>
      </c>
      <c r="E3" s="29" t="s">
        <v>24</v>
      </c>
      <c r="F3" s="29" t="s">
        <v>25</v>
      </c>
      <c r="G3" s="30" t="s">
        <v>26</v>
      </c>
      <c r="I3" s="31" t="s">
        <v>29</v>
      </c>
      <c r="J3" s="32">
        <v>53929177</v>
      </c>
    </row>
    <row r="4" spans="1:10" ht="14.25" customHeight="1">
      <c r="A4" s="33" t="s">
        <v>28</v>
      </c>
      <c r="B4" s="34">
        <f t="shared" ref="B4:B12" ca="1" si="0">INDEX($M$45:$M$54,MATCH(A4,$A$45:$A$54,0),1)</f>
        <v>6966332.6400000006</v>
      </c>
      <c r="C4" s="34">
        <v>0</v>
      </c>
      <c r="D4" s="34">
        <f t="shared" ref="D4:D15" ca="1" si="1">INDEX($B$57:$B$73,MATCH(A4,$A$57:$A$73,0),1)</f>
        <v>427719.95250000001</v>
      </c>
      <c r="E4" s="34">
        <f t="shared" ref="E4:E15" ca="1" si="2">SUMIF($F$19:$F$42,A4,$G$19:$G$42)</f>
        <v>0</v>
      </c>
      <c r="F4" s="34">
        <f t="shared" ref="F4:F15" ca="1" si="3">SUMIF($B$19:$B$27,A4,$C$19:$C$27)</f>
        <v>38511.200000000004</v>
      </c>
      <c r="G4" s="35">
        <f t="shared" ref="G4:G13" ca="1" si="4">SUM(B4:F4)</f>
        <v>7432563.7925000004</v>
      </c>
      <c r="I4" s="36" t="s">
        <v>27</v>
      </c>
      <c r="J4" s="37">
        <v>18532327.039999999</v>
      </c>
    </row>
    <row r="5" spans="1:10" ht="14.25" customHeight="1">
      <c r="A5" s="38" t="s">
        <v>30</v>
      </c>
      <c r="B5" s="34">
        <f t="shared" ca="1" si="0"/>
        <v>10394916.98</v>
      </c>
      <c r="C5" s="34">
        <v>0</v>
      </c>
      <c r="D5" s="34">
        <f t="shared" ca="1" si="1"/>
        <v>1025950.5209999996</v>
      </c>
      <c r="E5" s="34">
        <f t="shared" ca="1" si="2"/>
        <v>0</v>
      </c>
      <c r="F5" s="34">
        <f t="shared" ca="1" si="3"/>
        <v>6648</v>
      </c>
      <c r="G5" s="35">
        <f t="shared" ca="1" si="4"/>
        <v>11427515.501</v>
      </c>
      <c r="I5" s="36" t="s">
        <v>30</v>
      </c>
      <c r="J5" s="37">
        <v>11427515.501</v>
      </c>
    </row>
    <row r="6" spans="1:10" ht="14.25" customHeight="1">
      <c r="A6" s="38" t="s">
        <v>31</v>
      </c>
      <c r="B6" s="34">
        <f t="shared" ca="1" si="0"/>
        <v>9888337.2699999996</v>
      </c>
      <c r="C6" s="34">
        <v>0</v>
      </c>
      <c r="D6" s="34">
        <f t="shared" ca="1" si="1"/>
        <v>0</v>
      </c>
      <c r="E6" s="34">
        <f t="shared" ca="1" si="2"/>
        <v>0</v>
      </c>
      <c r="F6" s="34">
        <f t="shared" si="3"/>
        <v>0</v>
      </c>
      <c r="G6" s="35">
        <f t="shared" ca="1" si="4"/>
        <v>9888337.2699999996</v>
      </c>
      <c r="I6" s="36" t="s">
        <v>31</v>
      </c>
      <c r="J6" s="37">
        <v>9888337.2699999996</v>
      </c>
    </row>
    <row r="7" spans="1:10" ht="14.25" customHeight="1">
      <c r="A7" s="39" t="s">
        <v>32</v>
      </c>
      <c r="B7" s="34">
        <f t="shared" ca="1" si="0"/>
        <v>6087106.3800000008</v>
      </c>
      <c r="C7" s="34">
        <v>0</v>
      </c>
      <c r="D7" s="34">
        <f t="shared" ca="1" si="1"/>
        <v>0</v>
      </c>
      <c r="E7" s="34">
        <f t="shared" ca="1" si="2"/>
        <v>210273.99499200005</v>
      </c>
      <c r="F7" s="34">
        <f t="shared" si="3"/>
        <v>0</v>
      </c>
      <c r="G7" s="35">
        <f t="shared" ca="1" si="4"/>
        <v>6297380.3749920009</v>
      </c>
      <c r="I7" s="36" t="s">
        <v>34</v>
      </c>
      <c r="J7" s="37">
        <v>8384342.0300000003</v>
      </c>
    </row>
    <row r="8" spans="1:10" ht="14.25" customHeight="1">
      <c r="A8" s="39" t="s">
        <v>33</v>
      </c>
      <c r="B8" s="34">
        <f t="shared" ca="1" si="0"/>
        <v>5588857.3399999999</v>
      </c>
      <c r="C8" s="34">
        <v>0</v>
      </c>
      <c r="D8" s="34">
        <f t="shared" ca="1" si="1"/>
        <v>0</v>
      </c>
      <c r="E8" s="34">
        <f t="shared" si="2"/>
        <v>0</v>
      </c>
      <c r="F8" s="34">
        <f t="shared" si="3"/>
        <v>0</v>
      </c>
      <c r="G8" s="35">
        <f t="shared" ca="1" si="4"/>
        <v>5588857.3399999999</v>
      </c>
      <c r="I8" s="36" t="s">
        <v>35</v>
      </c>
      <c r="J8" s="37">
        <v>8120245.6550000003</v>
      </c>
    </row>
    <row r="9" spans="1:10" ht="14.25" customHeight="1">
      <c r="A9" s="38" t="s">
        <v>27</v>
      </c>
      <c r="B9" s="34">
        <f t="shared" ca="1" si="0"/>
        <v>18532327.039999999</v>
      </c>
      <c r="C9" s="34">
        <v>0</v>
      </c>
      <c r="D9" s="34">
        <f t="shared" ca="1" si="1"/>
        <v>0</v>
      </c>
      <c r="E9" s="34">
        <f t="shared" ca="1" si="2"/>
        <v>0</v>
      </c>
      <c r="F9" s="34">
        <f t="shared" si="3"/>
        <v>0</v>
      </c>
      <c r="G9" s="35">
        <f t="shared" ca="1" si="4"/>
        <v>18532327.039999999</v>
      </c>
      <c r="I9" s="36" t="s">
        <v>28</v>
      </c>
      <c r="J9" s="37">
        <v>7432563.7925000004</v>
      </c>
    </row>
    <row r="10" spans="1:10" ht="14.25" customHeight="1">
      <c r="A10" s="38" t="s">
        <v>34</v>
      </c>
      <c r="B10" s="34">
        <f t="shared" ca="1" si="0"/>
        <v>8384342.0300000003</v>
      </c>
      <c r="C10" s="34">
        <v>0</v>
      </c>
      <c r="D10" s="34">
        <f t="shared" ca="1" si="1"/>
        <v>0</v>
      </c>
      <c r="E10" s="34">
        <f t="shared" ca="1" si="2"/>
        <v>0</v>
      </c>
      <c r="F10" s="34">
        <f t="shared" si="3"/>
        <v>0</v>
      </c>
      <c r="G10" s="35">
        <f t="shared" ca="1" si="4"/>
        <v>8384342.0300000003</v>
      </c>
      <c r="I10" s="36" t="s">
        <v>32</v>
      </c>
      <c r="J10" s="37">
        <v>6297380.3749920009</v>
      </c>
    </row>
    <row r="11" spans="1:10" ht="14.25" customHeight="1">
      <c r="A11" s="38" t="s">
        <v>35</v>
      </c>
      <c r="B11" s="34">
        <f t="shared" ca="1" si="0"/>
        <v>7400248.3950000005</v>
      </c>
      <c r="C11" s="34">
        <v>0</v>
      </c>
      <c r="D11" s="34">
        <f t="shared" ca="1" si="1"/>
        <v>0</v>
      </c>
      <c r="E11" s="34">
        <f t="shared" ca="1" si="2"/>
        <v>719997.26</v>
      </c>
      <c r="F11" s="34">
        <f t="shared" si="3"/>
        <v>0</v>
      </c>
      <c r="G11" s="35">
        <f t="shared" ca="1" si="4"/>
        <v>8120245.6550000003</v>
      </c>
      <c r="I11" s="36" t="s">
        <v>33</v>
      </c>
      <c r="J11" s="37">
        <v>5588857.3399999999</v>
      </c>
    </row>
    <row r="12" spans="1:10" ht="14.25" customHeight="1">
      <c r="A12" s="38" t="s">
        <v>36</v>
      </c>
      <c r="B12" s="34">
        <f t="shared" ca="1" si="0"/>
        <v>3607135.19</v>
      </c>
      <c r="C12" s="34">
        <v>0</v>
      </c>
      <c r="D12" s="34">
        <f t="shared" ca="1" si="1"/>
        <v>0</v>
      </c>
      <c r="E12" s="34">
        <f t="shared" ca="1" si="2"/>
        <v>0</v>
      </c>
      <c r="F12" s="34">
        <f t="shared" si="3"/>
        <v>0</v>
      </c>
      <c r="G12" s="35">
        <f t="shared" ca="1" si="4"/>
        <v>3607135.19</v>
      </c>
      <c r="I12" s="36" t="s">
        <v>39</v>
      </c>
      <c r="J12" s="37">
        <v>4197882.0180000002</v>
      </c>
    </row>
    <row r="13" spans="1:10" ht="14.25" customHeight="1">
      <c r="A13" s="40" t="s">
        <v>29</v>
      </c>
      <c r="B13" s="34">
        <v>0</v>
      </c>
      <c r="C13" s="34">
        <f ca="1">C29+C37</f>
        <v>53929177</v>
      </c>
      <c r="D13" s="34">
        <f t="shared" ca="1" si="1"/>
        <v>0</v>
      </c>
      <c r="E13" s="34">
        <f t="shared" si="2"/>
        <v>0</v>
      </c>
      <c r="F13" s="34">
        <f t="shared" si="3"/>
        <v>0</v>
      </c>
      <c r="G13" s="35">
        <f t="shared" ca="1" si="4"/>
        <v>53929177</v>
      </c>
      <c r="I13" s="36" t="s">
        <v>36</v>
      </c>
      <c r="J13" s="37">
        <v>3607135.19</v>
      </c>
    </row>
    <row r="14" spans="1:10" ht="14.25" customHeight="1" thickBot="1">
      <c r="A14" s="40" t="s">
        <v>38</v>
      </c>
      <c r="B14" s="34">
        <v>0</v>
      </c>
      <c r="C14" s="34">
        <v>0</v>
      </c>
      <c r="D14" s="34">
        <f t="shared" ca="1" si="1"/>
        <v>0</v>
      </c>
      <c r="E14" s="34">
        <f t="shared" si="2"/>
        <v>0</v>
      </c>
      <c r="F14" s="34">
        <f t="shared" si="3"/>
        <v>0</v>
      </c>
      <c r="G14" s="35">
        <f ca="1">SUM(B14:F14)</f>
        <v>0</v>
      </c>
      <c r="I14" s="41" t="s">
        <v>38</v>
      </c>
      <c r="J14" s="42">
        <v>0</v>
      </c>
    </row>
    <row r="15" spans="1:10" ht="14.25" customHeight="1" thickBot="1">
      <c r="A15" s="43" t="s">
        <v>39</v>
      </c>
      <c r="B15" s="34">
        <f ca="1">INDEX($M$45:$M$54,MATCH(A15,$A$45:$A$54,0),1)</f>
        <v>0</v>
      </c>
      <c r="C15" s="34">
        <v>0</v>
      </c>
      <c r="D15" s="34">
        <f t="shared" ca="1" si="1"/>
        <v>4197882.0180000002</v>
      </c>
      <c r="E15" s="34">
        <f t="shared" si="2"/>
        <v>0</v>
      </c>
      <c r="F15" s="34">
        <f t="shared" si="3"/>
        <v>0</v>
      </c>
      <c r="G15" s="35">
        <f ca="1">SUM(B15:F15)</f>
        <v>4197882.0180000002</v>
      </c>
    </row>
    <row r="16" spans="1:10" ht="14.25" customHeight="1" thickBot="1">
      <c r="A16" s="44"/>
      <c r="B16" s="45">
        <f t="shared" ref="B16:G16" ca="1" si="5">SUM(B4:B15)</f>
        <v>76849603.265000001</v>
      </c>
      <c r="C16" s="45">
        <f t="shared" ca="1" si="5"/>
        <v>53929177</v>
      </c>
      <c r="D16" s="45">
        <f t="shared" ca="1" si="5"/>
        <v>5651552.4914999995</v>
      </c>
      <c r="E16" s="45">
        <f t="shared" ca="1" si="5"/>
        <v>930271.25499200006</v>
      </c>
      <c r="F16" s="45">
        <f t="shared" ca="1" si="5"/>
        <v>45159.200000000004</v>
      </c>
      <c r="G16" s="46">
        <f t="shared" ca="1" si="5"/>
        <v>137405763.211492</v>
      </c>
    </row>
    <row r="17" spans="1:9" ht="14.25" customHeight="1" thickBot="1">
      <c r="A17" s="47"/>
      <c r="B17" s="48"/>
      <c r="C17" s="48"/>
      <c r="D17" s="48"/>
      <c r="E17" s="48"/>
      <c r="F17" s="49"/>
    </row>
    <row r="18" spans="1:9" ht="14.25" customHeight="1" thickBot="1">
      <c r="A18" s="209" t="s">
        <v>40</v>
      </c>
      <c r="B18" s="210"/>
      <c r="C18" s="50">
        <f ca="1">SUM(C19:C27)</f>
        <v>45159.200000000004</v>
      </c>
      <c r="E18" s="214" t="s">
        <v>24</v>
      </c>
      <c r="F18" s="215"/>
      <c r="G18" s="51">
        <f ca="1">SUM(G19:G41)</f>
        <v>930271.25499200006</v>
      </c>
      <c r="H18" s="52"/>
      <c r="I18" s="53"/>
    </row>
    <row r="19" spans="1:9" ht="14.25" customHeight="1">
      <c r="A19" s="54" t="s">
        <v>41</v>
      </c>
      <c r="B19" s="55" t="s">
        <v>28</v>
      </c>
      <c r="C19" s="56" cm="1">
        <f t="array" aca="1" ref="C19" ca="1">IFERROR(INDIRECT("'" &amp; A19 &amp; "'!A1"),)</f>
        <v>21478</v>
      </c>
      <c r="E19" s="54" t="s">
        <v>42</v>
      </c>
      <c r="F19" s="55" t="s">
        <v>28</v>
      </c>
      <c r="G19" s="57" cm="1">
        <f t="array" aca="1" ref="G19" ca="1">IFERROR(INDIRECT("'" &amp; E19 &amp; " "  &amp; F19 &amp; "'!A1"),0)</f>
        <v>0</v>
      </c>
      <c r="H19" s="58"/>
      <c r="I19" s="58"/>
    </row>
    <row r="20" spans="1:9" ht="14.25" customHeight="1">
      <c r="A20" s="59" t="s">
        <v>43</v>
      </c>
      <c r="B20" s="60" t="s">
        <v>28</v>
      </c>
      <c r="C20" s="56" cm="1">
        <f t="array" aca="1" ref="C20" ca="1">IFERROR(INDIRECT("'" &amp; A20 &amp; "'!A1"),)</f>
        <v>8064</v>
      </c>
      <c r="E20" s="59" t="s">
        <v>44</v>
      </c>
      <c r="F20" s="60" t="s">
        <v>28</v>
      </c>
      <c r="G20" s="57" cm="1">
        <f t="array" aca="1" ref="G20" ca="1">IFERROR(INDIRECT("'" &amp; E20 &amp; " "  &amp; F20 &amp; "'!A1"),0)</f>
        <v>0</v>
      </c>
      <c r="H20" s="58"/>
      <c r="I20" s="58"/>
    </row>
    <row r="21" spans="1:9" ht="14.25" customHeight="1">
      <c r="A21" s="59" t="s">
        <v>45</v>
      </c>
      <c r="B21" s="60" t="s">
        <v>28</v>
      </c>
      <c r="C21" s="56" cm="1">
        <f t="array" aca="1" ref="C21" ca="1">IFERROR(INDIRECT("'" &amp; A21 &amp; "'!A1"),)</f>
        <v>7786</v>
      </c>
      <c r="E21" s="54" t="s">
        <v>46</v>
      </c>
      <c r="F21" s="55" t="s">
        <v>28</v>
      </c>
      <c r="G21" s="57" cm="1">
        <f t="array" aca="1" ref="G21" ca="1">IFERROR(INDIRECT("'" &amp; E21 &amp; " "  &amp; F21 &amp; "'!A1"),0)</f>
        <v>0</v>
      </c>
      <c r="H21" s="58"/>
      <c r="I21" s="58"/>
    </row>
    <row r="22" spans="1:9" ht="14.25" customHeight="1">
      <c r="A22" s="59" t="s">
        <v>47</v>
      </c>
      <c r="B22" s="60" t="s">
        <v>28</v>
      </c>
      <c r="C22" s="56" cm="1">
        <f t="array" aca="1" ref="C22" ca="1">IFERROR(INDIRECT("'" &amp; A22 &amp; "'!A1"),)</f>
        <v>578.40000000000009</v>
      </c>
      <c r="E22" s="54" t="s">
        <v>48</v>
      </c>
      <c r="F22" s="55" t="s">
        <v>31</v>
      </c>
      <c r="G22" s="57" cm="1">
        <f t="array" aca="1" ref="G22" ca="1">IFERROR(INDIRECT("'" &amp; E22 &amp; " "  &amp; F22 &amp; "'!A1"),0)</f>
        <v>0</v>
      </c>
      <c r="H22" s="58"/>
      <c r="I22" s="58"/>
    </row>
    <row r="23" spans="1:9" ht="14.25" customHeight="1">
      <c r="A23" s="59" t="s">
        <v>49</v>
      </c>
      <c r="B23" s="60" t="s">
        <v>28</v>
      </c>
      <c r="C23" s="56" cm="1">
        <f t="array" aca="1" ref="C23" ca="1">IFERROR(INDIRECT("'" &amp; A23 &amp; "'!A1"),)</f>
        <v>604.8000000000003</v>
      </c>
      <c r="E23" s="59" t="s">
        <v>42</v>
      </c>
      <c r="F23" s="60" t="s">
        <v>31</v>
      </c>
      <c r="G23" s="57" cm="1">
        <f t="array" aca="1" ref="G23" ca="1">IFERROR(INDIRECT("'" &amp; E23 &amp; " "  &amp; F23 &amp; "'!A1"),0)</f>
        <v>0</v>
      </c>
      <c r="H23" s="58"/>
      <c r="I23" s="58"/>
    </row>
    <row r="24" spans="1:9" ht="14.25" customHeight="1">
      <c r="A24" s="59" t="s">
        <v>50</v>
      </c>
      <c r="B24" s="60" t="s">
        <v>37</v>
      </c>
      <c r="C24" s="56" cm="1">
        <f t="array" aca="1" ref="C24" ca="1">IFERROR(INDIRECT("'" &amp; A24 &amp; "'!A1"),)</f>
        <v>0</v>
      </c>
      <c r="E24" s="59" t="s">
        <v>44</v>
      </c>
      <c r="F24" s="60" t="s">
        <v>31</v>
      </c>
      <c r="G24" s="57" cm="1">
        <f t="array" aca="1" ref="G24" ca="1">IFERROR(INDIRECT("'" &amp; E24 &amp; " "  &amp; F24 &amp; "'!A1"),0)</f>
        <v>0</v>
      </c>
      <c r="H24" s="58"/>
      <c r="I24" s="58"/>
    </row>
    <row r="25" spans="1:9" ht="14.25" customHeight="1">
      <c r="A25" s="59" t="s">
        <v>51</v>
      </c>
      <c r="B25" s="60" t="s">
        <v>30</v>
      </c>
      <c r="C25" s="56" cm="1">
        <f t="array" aca="1" ref="C25" ca="1">IFERROR(INDIRECT("'" &amp; A25 &amp; "'!A1"),)</f>
        <v>0</v>
      </c>
      <c r="E25" s="59" t="s">
        <v>42</v>
      </c>
      <c r="F25" s="60" t="s">
        <v>35</v>
      </c>
      <c r="G25" s="57" cm="1">
        <f t="array" aca="1" ref="G25" ca="1">IFERROR(INDIRECT("'" &amp; E25 &amp; " "  &amp; F25 &amp; "'!A1"),0)</f>
        <v>0</v>
      </c>
      <c r="H25" s="58"/>
      <c r="I25" s="58"/>
    </row>
    <row r="26" spans="1:9" ht="14.25" customHeight="1">
      <c r="A26" s="59" t="s">
        <v>52</v>
      </c>
      <c r="B26" s="60" t="s">
        <v>30</v>
      </c>
      <c r="C26" s="56" cm="1">
        <f t="array" aca="1" ref="C26" ca="1">IFERROR(INDIRECT("'" &amp; A26 &amp; "'!A1"),)</f>
        <v>6648</v>
      </c>
      <c r="E26" s="59" t="s">
        <v>53</v>
      </c>
      <c r="F26" s="60" t="s">
        <v>35</v>
      </c>
      <c r="G26" s="57" cm="1">
        <f t="array" aca="1" ref="G26" ca="1">IFERROR(INDIRECT("'" &amp; E26 &amp; " "  &amp; F26 &amp; "'!t37"),0)</f>
        <v>719997.26</v>
      </c>
      <c r="H26" s="58"/>
      <c r="I26" s="58"/>
    </row>
    <row r="27" spans="1:9" ht="14.25" customHeight="1">
      <c r="A27" s="59" t="s">
        <v>54</v>
      </c>
      <c r="B27" s="60" t="s">
        <v>30</v>
      </c>
      <c r="C27" s="56" cm="1">
        <f t="array" aca="1" ref="C27" ca="1">IFERROR(INDIRECT("'" &amp; A27 &amp; "'!A1"),)</f>
        <v>0</v>
      </c>
      <c r="E27" s="59" t="s">
        <v>55</v>
      </c>
      <c r="F27" s="60" t="s">
        <v>36</v>
      </c>
      <c r="G27" s="57" cm="1">
        <f t="array" aca="1" ref="G27" ca="1">IFERROR(INDIRECT("'" &amp; E27 &amp; " "  &amp; F27 &amp; "'!A1"),0)</f>
        <v>0</v>
      </c>
      <c r="H27" s="58"/>
      <c r="I27" s="58"/>
    </row>
    <row r="28" spans="1:9" ht="14.25" customHeight="1" thickBot="1">
      <c r="A28" s="47"/>
      <c r="B28" s="61"/>
      <c r="C28" s="58"/>
      <c r="E28" s="59" t="s">
        <v>44</v>
      </c>
      <c r="F28" s="60" t="s">
        <v>30</v>
      </c>
      <c r="G28" s="57" cm="1">
        <f t="array" aca="1" ref="G28" ca="1">IFERROR(INDIRECT("'" &amp; E28 &amp; " "  &amp; F28 &amp; "'!A1"),0)</f>
        <v>0</v>
      </c>
      <c r="H28" s="58"/>
      <c r="I28" s="58"/>
    </row>
    <row r="29" spans="1:9" ht="14.25" customHeight="1" thickBot="1">
      <c r="A29" s="209" t="s">
        <v>29</v>
      </c>
      <c r="B29" s="210"/>
      <c r="C29" s="50">
        <f ca="1">SUM(C30:C35)</f>
        <v>43767745</v>
      </c>
      <c r="E29" s="59" t="s">
        <v>48</v>
      </c>
      <c r="F29" s="60" t="s">
        <v>30</v>
      </c>
      <c r="G29" s="57" cm="1">
        <f t="array" aca="1" ref="G29" ca="1">IFERROR(INDIRECT("'" &amp; E29 &amp; " "  &amp; F29 &amp; "'!A1"),0)</f>
        <v>0</v>
      </c>
      <c r="H29" s="58"/>
      <c r="I29" s="58"/>
    </row>
    <row r="30" spans="1:9" ht="14.25" customHeight="1">
      <c r="A30" s="216" t="s">
        <v>56</v>
      </c>
      <c r="B30" s="217"/>
      <c r="C30" s="56" cm="1">
        <f t="array" aca="1" ref="C30" ca="1">INDIRECT("'" &amp; A29 &amp; "'!F17")</f>
        <v>16167490</v>
      </c>
      <c r="E30" s="59" t="s">
        <v>46</v>
      </c>
      <c r="F30" s="60" t="s">
        <v>30</v>
      </c>
      <c r="G30" s="57" cm="1">
        <f t="array" aca="1" ref="G30" ca="1">IFERROR(INDIRECT("'" &amp; E30 &amp; " "  &amp; F30 &amp; "'!A1"),0)</f>
        <v>0</v>
      </c>
      <c r="H30" s="58"/>
      <c r="I30" s="58"/>
    </row>
    <row r="31" spans="1:9" ht="14.25" customHeight="1">
      <c r="A31" s="218" t="s">
        <v>57</v>
      </c>
      <c r="B31" s="219"/>
      <c r="C31" s="57" cm="1">
        <f t="array" aca="1" ref="C31" ca="1">INDIRECT("'" &amp; A29 &amp; "'!F16")</f>
        <v>0</v>
      </c>
      <c r="E31" s="59" t="s">
        <v>42</v>
      </c>
      <c r="F31" s="60" t="s">
        <v>30</v>
      </c>
      <c r="G31" s="57" cm="1">
        <f t="array" aca="1" ref="G31" ca="1">IFERROR(INDIRECT("'" &amp; E31 &amp; " "  &amp; F31 &amp; "'!A1"),0)</f>
        <v>0</v>
      </c>
      <c r="H31" s="58"/>
      <c r="I31" s="58"/>
    </row>
    <row r="32" spans="1:9" ht="14.25" customHeight="1">
      <c r="A32" s="218" t="s">
        <v>58</v>
      </c>
      <c r="B32" s="219"/>
      <c r="C32" s="57" cm="1">
        <f t="array" aca="1" ref="C32" ca="1">INDIRECT("'" &amp; A29 &amp; "'!F18")</f>
        <v>762500</v>
      </c>
      <c r="E32" s="54" t="s">
        <v>59</v>
      </c>
      <c r="F32" s="55" t="s">
        <v>32</v>
      </c>
      <c r="G32" s="57" cm="1">
        <f t="array" aca="1" ref="G32" ca="1">IFERROR(INDIRECT("'" &amp; E32 &amp; " "  &amp; F32 &amp; "'!A1"),0)</f>
        <v>210273.99499200005</v>
      </c>
      <c r="H32" s="58"/>
      <c r="I32" s="58"/>
    </row>
    <row r="33" spans="1:13" ht="14.25" customHeight="1">
      <c r="A33" s="218" t="s">
        <v>60</v>
      </c>
      <c r="B33" s="219"/>
      <c r="C33" s="197" cm="1">
        <f t="array" aca="1" ref="C33" ca="1">INDIRECT("'" &amp; A29 &amp; "'!F19")</f>
        <v>1668332</v>
      </c>
      <c r="E33" s="54" t="s">
        <v>48</v>
      </c>
      <c r="F33" s="55" t="s">
        <v>32</v>
      </c>
      <c r="G33" s="57" cm="1">
        <f t="array" aca="1" ref="G33" ca="1">IFERROR(INDIRECT("'" &amp; E33 &amp; " "  &amp; F33 &amp; "'!A1"),0)</f>
        <v>0</v>
      </c>
      <c r="H33" s="58"/>
      <c r="I33" s="58"/>
    </row>
    <row r="34" spans="1:13" ht="14.25" customHeight="1">
      <c r="A34" s="218" t="s">
        <v>61</v>
      </c>
      <c r="B34" s="219"/>
      <c r="C34" s="197" cm="1">
        <f t="array" aca="1" ref="C34" ca="1">INDIRECT("'" &amp; A29 &amp; "'!F20")</f>
        <v>18346015</v>
      </c>
      <c r="E34" s="59" t="s">
        <v>44</v>
      </c>
      <c r="F34" s="60" t="s">
        <v>32</v>
      </c>
      <c r="G34" s="57" cm="1">
        <f t="array" aca="1" ref="G34" ca="1">IFERROR(INDIRECT("'" &amp; E34 &amp; " "  &amp; F34 &amp; "'!A1"),0)</f>
        <v>0</v>
      </c>
      <c r="H34" s="58"/>
      <c r="I34" s="58"/>
    </row>
    <row r="35" spans="1:13" ht="14.25" customHeight="1">
      <c r="A35" s="218" t="s">
        <v>62</v>
      </c>
      <c r="B35" s="219"/>
      <c r="C35" s="197" cm="1">
        <f t="array" aca="1" ref="C35" ca="1">INDIRECT("'" &amp; A29 &amp; "'!F21")</f>
        <v>6823408</v>
      </c>
      <c r="E35" s="59"/>
      <c r="F35" s="60"/>
      <c r="G35" s="57"/>
      <c r="H35" s="58"/>
      <c r="I35" s="58"/>
    </row>
    <row r="36" spans="1:13" ht="14.25" customHeight="1" thickBot="1">
      <c r="A36" s="62"/>
      <c r="B36" s="62"/>
      <c r="C36" s="63"/>
      <c r="E36" s="59" t="s">
        <v>46</v>
      </c>
      <c r="F36" s="60" t="s">
        <v>35</v>
      </c>
      <c r="G36" s="57" cm="1">
        <f t="array" aca="1" ref="G36" ca="1">IFERROR(INDIRECT("'" &amp; E36 &amp; " "  &amp; F36 &amp; "'!A1"),0)</f>
        <v>0</v>
      </c>
      <c r="H36" s="58"/>
      <c r="I36" s="58"/>
    </row>
    <row r="37" spans="1:13" ht="14.25" customHeight="1" thickBot="1">
      <c r="A37" s="209" t="s">
        <v>63</v>
      </c>
      <c r="B37" s="210"/>
      <c r="C37" s="50">
        <f>SUM(C38:C42)</f>
        <v>10161432</v>
      </c>
      <c r="E37" s="59" t="s">
        <v>44</v>
      </c>
      <c r="F37" s="60" t="s">
        <v>27</v>
      </c>
      <c r="G37" s="57" cm="1">
        <f t="array" aca="1" ref="G37" ca="1">IFERROR(INDIRECT("'" &amp; E37 &amp; " "  &amp; F37 &amp; "'!A1"),0)</f>
        <v>0</v>
      </c>
      <c r="H37" s="58"/>
      <c r="I37" s="58"/>
    </row>
    <row r="38" spans="1:13" ht="14.25" customHeight="1">
      <c r="A38" s="216" t="s">
        <v>64</v>
      </c>
      <c r="B38" s="217"/>
      <c r="C38" s="56">
        <f>3097212</f>
        <v>3097212</v>
      </c>
      <c r="E38" s="59" t="s">
        <v>42</v>
      </c>
      <c r="F38" s="60" t="s">
        <v>34</v>
      </c>
      <c r="G38" s="57" cm="1">
        <f t="array" aca="1" ref="G38" ca="1">IFERROR(INDIRECT("'" &amp; E38 &amp; " "  &amp; F38 &amp; "'!A1"),0)</f>
        <v>0</v>
      </c>
      <c r="H38" s="58"/>
      <c r="I38" s="58"/>
    </row>
    <row r="39" spans="1:13" ht="14.25" customHeight="1">
      <c r="A39" s="218" t="s">
        <v>36</v>
      </c>
      <c r="B39" s="219"/>
      <c r="C39" s="57">
        <v>7064220</v>
      </c>
      <c r="E39" s="59" t="s">
        <v>48</v>
      </c>
      <c r="F39" s="60" t="s">
        <v>28</v>
      </c>
      <c r="G39" s="57" cm="1">
        <f t="array" aca="1" ref="G39" ca="1">IFERROR(INDIRECT("'" &amp; E39 &amp; " "  &amp; F39 &amp; "'!A1"),0)</f>
        <v>0</v>
      </c>
      <c r="H39" s="58"/>
      <c r="I39" s="58"/>
    </row>
    <row r="40" spans="1:13" ht="14.25" customHeight="1">
      <c r="A40" s="218"/>
      <c r="B40" s="219"/>
      <c r="C40" s="57"/>
      <c r="E40" s="59" t="s">
        <v>42</v>
      </c>
      <c r="F40" s="60" t="s">
        <v>27</v>
      </c>
      <c r="G40" s="57" cm="1">
        <f t="array" aca="1" ref="G40" ca="1">IFERROR(INDIRECT("'" &amp; E40 &amp; " "  &amp; F40 &amp; "'!A1"),0)</f>
        <v>0</v>
      </c>
      <c r="H40" s="58"/>
      <c r="I40" s="58"/>
    </row>
    <row r="41" spans="1:13" ht="14.25" customHeight="1">
      <c r="A41" s="218"/>
      <c r="B41" s="219"/>
      <c r="C41" s="57"/>
      <c r="E41" s="59" t="s">
        <v>65</v>
      </c>
      <c r="F41" s="60" t="s">
        <v>36</v>
      </c>
      <c r="G41" s="57" cm="1">
        <f t="array" aca="1" ref="G41" ca="1">IFERROR(INDIRECT("'" &amp; E41 &amp; " "  &amp; F41 &amp; "'!A1"),0)</f>
        <v>0</v>
      </c>
      <c r="H41" s="58"/>
      <c r="I41" s="58"/>
    </row>
    <row r="42" spans="1:13" ht="14.25" customHeight="1" thickBot="1">
      <c r="A42" s="218"/>
      <c r="B42" s="219"/>
      <c r="C42" s="57"/>
      <c r="E42" s="47"/>
      <c r="F42" s="61"/>
      <c r="G42" s="64"/>
      <c r="H42" s="58"/>
      <c r="I42" s="58"/>
    </row>
    <row r="43" spans="1:13" ht="14.25" customHeight="1" thickBot="1">
      <c r="A43" s="209" t="s">
        <v>66</v>
      </c>
      <c r="B43" s="210"/>
      <c r="C43" s="210"/>
      <c r="D43" s="210"/>
      <c r="E43" s="210"/>
      <c r="F43" s="210"/>
      <c r="G43" s="210"/>
      <c r="H43" s="210"/>
      <c r="I43" s="210"/>
      <c r="J43" s="223"/>
      <c r="K43" s="220">
        <f ca="1">SUM(M45:M54)</f>
        <v>76849603.265000001</v>
      </c>
      <c r="L43" s="221"/>
      <c r="M43" s="222"/>
    </row>
    <row r="44" spans="1:13" ht="14.25" customHeight="1" thickBot="1">
      <c r="A44" s="65"/>
      <c r="B44" s="29" t="s">
        <v>67</v>
      </c>
      <c r="C44" s="29" t="s">
        <v>68</v>
      </c>
      <c r="D44" s="29" t="s">
        <v>69</v>
      </c>
      <c r="E44" s="29" t="s">
        <v>70</v>
      </c>
      <c r="F44" s="29" t="s">
        <v>71</v>
      </c>
      <c r="G44" s="66" t="s">
        <v>72</v>
      </c>
      <c r="H44" s="66" t="s">
        <v>73</v>
      </c>
      <c r="I44" s="66" t="s">
        <v>74</v>
      </c>
      <c r="J44" s="67" t="s">
        <v>75</v>
      </c>
      <c r="K44" s="67" t="s">
        <v>76</v>
      </c>
      <c r="L44" s="67" t="s">
        <v>77</v>
      </c>
      <c r="M44" s="68" t="s">
        <v>78</v>
      </c>
    </row>
    <row r="45" spans="1:13" ht="14.25" customHeight="1">
      <c r="A45" s="69" t="s">
        <v>28</v>
      </c>
      <c r="B45" s="70" cm="1">
        <f t="array" aca="1" ref="B45" ca="1">IFERROR(INDIRECT("'" &amp; $A45 &amp; " " &amp; B$44 &amp; "'!T37"),)</f>
        <v>53220.88</v>
      </c>
      <c r="C45" s="70" cm="1">
        <f t="array" aca="1" ref="C45" ca="1">IFERROR(INDIRECT("'" &amp; $A45 &amp; " " &amp; C$44 &amp; "'!T37"),)</f>
        <v>217933.19</v>
      </c>
      <c r="D45" s="196" cm="1">
        <f t="array" aca="1" ref="D45" ca="1">IFERROR(INDIRECT("'" &amp; $A45 &amp; " " &amp; D$44 &amp; "'!T37"),)</f>
        <v>6668338.5700000003</v>
      </c>
      <c r="E45" s="70" cm="1">
        <f t="array" aca="1" ref="E45" ca="1">IFERROR(INDIRECT("'" &amp; $A45 &amp; " " &amp; E$44 &amp; "'!T37"),)</f>
        <v>0</v>
      </c>
      <c r="F45" s="70" cm="1">
        <f t="array" aca="1" ref="F45" ca="1">IFERROR(INDIRECT("'" &amp; $A45 &amp; " " &amp; F$44 &amp; "'!T37"),)</f>
        <v>0</v>
      </c>
      <c r="G45" s="70" cm="1">
        <f t="array" aca="1" ref="G45" ca="1">IFERROR(INDIRECT("'" &amp; $A45 &amp; " " &amp; G$44 &amp; "'!T37"),)</f>
        <v>0</v>
      </c>
      <c r="H45" s="70" cm="1">
        <f t="array" aca="1" ref="H45" ca="1">IFERROR(INDIRECT("'" &amp; $A45 &amp; " " &amp; H$44 &amp; "'!T37"),)</f>
        <v>0</v>
      </c>
      <c r="I45" s="70" cm="1">
        <f t="array" aca="1" ref="I45" ca="1">IFERROR(INDIRECT("'" &amp; $A45 &amp; " " &amp; I$44 &amp; "'!T37"),)</f>
        <v>0</v>
      </c>
      <c r="J45" s="70" cm="1">
        <f t="array" aca="1" ref="J45" ca="1">IFERROR(INDIRECT("'" &amp; $A45 &amp; " " &amp; J$44 &amp; "'!T37"),)</f>
        <v>0</v>
      </c>
      <c r="K45" s="70" cm="1">
        <f t="array" aca="1" ref="K45" ca="1">IFERROR(INDIRECT("'" &amp; $A45 &amp; " " &amp; K$44 &amp; "'!G12"),)</f>
        <v>26840</v>
      </c>
      <c r="L45" s="70" cm="1">
        <f t="array" aca="1" ref="L45" ca="1">IFERROR(INDIRECT("'" &amp; $A45 &amp; " " &amp; L$44 &amp; "'!F14"),)</f>
        <v>0</v>
      </c>
      <c r="M45" s="71">
        <f ca="1">SUM(B45:L45)</f>
        <v>6966332.6400000006</v>
      </c>
    </row>
    <row r="46" spans="1:13" ht="14.25" customHeight="1">
      <c r="A46" s="43" t="s">
        <v>30</v>
      </c>
      <c r="B46" s="70" cm="1">
        <f t="array" aca="1" ref="B46" ca="1">IFERROR(INDIRECT("'" &amp; $A46 &amp; " " &amp; B$44 &amp; "'!T37"),)</f>
        <v>41717.379999999997</v>
      </c>
      <c r="C46" s="70" cm="1">
        <f t="array" aca="1" ref="C46" ca="1">IFERROR(INDIRECT("'" &amp; $A46 &amp; " " &amp; C$44 &amp; "'!T37"),)</f>
        <v>20237.5</v>
      </c>
      <c r="D46" s="70" cm="1">
        <f t="array" aca="1" ref="D46" ca="1">IFERROR(INDIRECT("'" &amp; $A46 &amp; " " &amp; D$44 &amp; "'!T37"),)</f>
        <v>10332962.1</v>
      </c>
      <c r="E46" s="70" cm="1">
        <f t="array" aca="1" ref="E46" ca="1">IFERROR(INDIRECT("'" &amp; $A46 &amp; " " &amp; E$44 &amp; "'!T37"),)</f>
        <v>0</v>
      </c>
      <c r="F46" s="70" cm="1">
        <f t="array" aca="1" ref="F46" ca="1">IFERROR(INDIRECT("'" &amp; $A46 &amp; " " &amp; F$44 &amp; "'!T37"),)</f>
        <v>0</v>
      </c>
      <c r="G46" s="70" cm="1">
        <f t="array" aca="1" ref="G46" ca="1">IFERROR(INDIRECT("'" &amp; $A46 &amp; " " &amp; G$44 &amp; "'!T37"),)</f>
        <v>0</v>
      </c>
      <c r="H46" s="70" cm="1">
        <f t="array" aca="1" ref="H46" ca="1">IFERROR(INDIRECT("'" &amp; $A46 &amp; " " &amp; H$44 &amp; "'!T37"),)</f>
        <v>0</v>
      </c>
      <c r="I46" s="70" cm="1">
        <f t="array" aca="1" ref="I46" ca="1">IFERROR(INDIRECT("'" &amp; $A46 &amp; " " &amp; I$44 &amp; "'!T37"),)</f>
        <v>0</v>
      </c>
      <c r="J46" s="70" cm="1">
        <f t="array" aca="1" ref="J46" ca="1">IFERROR(INDIRECT("'" &amp; $A46 &amp; " " &amp; J$44 &amp; "'!T37"),)</f>
        <v>0</v>
      </c>
      <c r="K46" s="70" cm="1">
        <f t="array" aca="1" ref="K46" ca="1">IFERROR(INDIRECT("'" &amp; $A46 &amp; " " &amp; K$44 &amp; "'!G12"),)</f>
        <v>0</v>
      </c>
      <c r="L46" s="70" cm="1">
        <f t="array" aca="1" ref="L46" ca="1">IFERROR(INDIRECT("'" &amp; $A46 &amp; " " &amp; L$44 &amp; "'!F14"),)</f>
        <v>0</v>
      </c>
      <c r="M46" s="71">
        <f t="shared" ref="M46:M54" ca="1" si="6">SUM(B46:L46)</f>
        <v>10394916.98</v>
      </c>
    </row>
    <row r="47" spans="1:13" ht="14.25" customHeight="1">
      <c r="A47" s="43" t="s">
        <v>31</v>
      </c>
      <c r="B47" s="70" cm="1">
        <f t="array" aca="1" ref="B47" ca="1">IFERROR(INDIRECT("'" &amp; $A47 &amp; " " &amp; B$44 &amp; "'!T37"),)</f>
        <v>2113.46</v>
      </c>
      <c r="C47" s="196" cm="1">
        <f t="array" aca="1" ref="C47" ca="1">IFERROR(INDIRECT("'" &amp; $A47 &amp; " " &amp; C$44 &amp; "'!T37"),)</f>
        <v>262823.77</v>
      </c>
      <c r="D47" s="196" cm="1">
        <f t="array" aca="1" ref="D47" ca="1">IFERROR(INDIRECT("'" &amp; $A47 &amp; " " &amp; D$44 &amp; "'!T37"),)</f>
        <v>9330145.75</v>
      </c>
      <c r="E47" s="70" cm="1">
        <f t="array" aca="1" ref="E47" ca="1">IFERROR(INDIRECT("'" &amp; $A47 &amp; " " &amp; E$44 &amp; "'!T37"),)</f>
        <v>0</v>
      </c>
      <c r="F47" s="70" cm="1">
        <f t="array" aca="1" ref="F47" ca="1">IFERROR(INDIRECT("'" &amp; $A47 &amp; " " &amp; F$44 &amp; "'!T37"),)</f>
        <v>0</v>
      </c>
      <c r="G47" s="70" cm="1">
        <f t="array" aca="1" ref="G47" ca="1">IFERROR(INDIRECT("'" &amp; $A47 &amp; " " &amp; G$44 &amp; "'!T37"),)</f>
        <v>0</v>
      </c>
      <c r="H47" s="70" cm="1">
        <f t="array" aca="1" ref="H47" ca="1">IFERROR(INDIRECT("'" &amp; $A47 &amp; " " &amp; H$44 &amp; "'!T37"),)</f>
        <v>0</v>
      </c>
      <c r="I47" s="70" cm="1">
        <f t="array" aca="1" ref="I47" ca="1">IFERROR(INDIRECT("'" &amp; $A47 &amp; " " &amp; I$44 &amp; "'!T37"),)</f>
        <v>0</v>
      </c>
      <c r="J47" s="196" cm="1">
        <f t="array" aca="1" ref="J47" ca="1">IFERROR(INDIRECT("'" &amp; $A47 &amp; " " &amp; J$44 &amp; "'!T37"),)</f>
        <v>107814.29</v>
      </c>
      <c r="K47" s="70" cm="1">
        <f t="array" aca="1" ref="K47" ca="1">IFERROR(INDIRECT("'" &amp; $A47 &amp; " " &amp; K$44 &amp; "'!G12"),)</f>
        <v>185440</v>
      </c>
      <c r="L47" s="70" cm="1">
        <f t="array" aca="1" ref="L47" ca="1">IFERROR(INDIRECT("'" &amp; $A47 &amp; " " &amp; L$44 &amp; "'!F14"),)</f>
        <v>0</v>
      </c>
      <c r="M47" s="71">
        <f t="shared" ca="1" si="6"/>
        <v>9888337.2699999996</v>
      </c>
    </row>
    <row r="48" spans="1:13" ht="14.25" customHeight="1">
      <c r="A48" s="72" t="s">
        <v>32</v>
      </c>
      <c r="B48" s="70" cm="1">
        <f t="array" aca="1" ref="B48" ca="1">IFERROR(INDIRECT("'" &amp; $A48 &amp; " " &amp; B$44 &amp; "'!T37"),)</f>
        <v>16016.74</v>
      </c>
      <c r="C48" s="70" cm="1">
        <f t="array" aca="1" ref="C48" ca="1">IFERROR(INDIRECT("'" &amp; $A48 &amp; " " &amp; C$44 &amp; "'!T37"),)</f>
        <v>21272.799999999999</v>
      </c>
      <c r="D48" s="70" cm="1">
        <f t="array" aca="1" ref="D48" ca="1">IFERROR(INDIRECT("'" &amp; $A48 &amp; " " &amp; D$44 &amp; "'!T37"),)</f>
        <v>3989634.24</v>
      </c>
      <c r="E48" s="70" cm="1">
        <f t="array" aca="1" ref="E48" ca="1">IFERROR(INDIRECT("'" &amp; $A48 &amp; " " &amp; E$44 &amp; "'!T37"),)</f>
        <v>0</v>
      </c>
      <c r="F48" s="70" cm="1">
        <f t="array" aca="1" ref="F48" ca="1">IFERROR(INDIRECT("'" &amp; $A48 &amp; " " &amp; F$44 &amp; "'!T37"),)</f>
        <v>0</v>
      </c>
      <c r="G48" s="70" cm="1">
        <f t="array" aca="1" ref="G48" ca="1">IFERROR(INDIRECT("'" &amp; $A48 &amp; " " &amp; G$44 &amp; "'!T37"),)</f>
        <v>0</v>
      </c>
      <c r="H48" s="70" cm="1">
        <f t="array" aca="1" ref="H48" ca="1">IFERROR(INDIRECT("'" &amp; $A48 &amp; " " &amp; H$44 &amp; "'!T37"),)</f>
        <v>0</v>
      </c>
      <c r="I48" s="70" cm="1">
        <f t="array" aca="1" ref="I48" ca="1">IFERROR(INDIRECT("'" &amp; $A48 &amp; " " &amp; I$44 &amp; "'!T37"),)</f>
        <v>2060182.6</v>
      </c>
      <c r="J48" s="70" cm="1">
        <f t="array" aca="1" ref="J48" ca="1">IFERROR(INDIRECT("'" &amp; $A48 &amp; " " &amp; J$44 &amp; "'!T37"),)</f>
        <v>0</v>
      </c>
      <c r="K48" s="70" cm="1">
        <f t="array" aca="1" ref="K48" ca="1">IFERROR(INDIRECT("'" &amp; $A48 &amp; " " &amp; K$44 &amp; "'!G12"),)</f>
        <v>0</v>
      </c>
      <c r="L48" s="70" cm="1">
        <f t="array" aca="1" ref="L48" ca="1">IFERROR(INDIRECT("'" &amp; $A48 &amp; " " &amp; L$44 &amp; "'!F14"),)</f>
        <v>0</v>
      </c>
      <c r="M48" s="71">
        <f t="shared" ca="1" si="6"/>
        <v>6087106.3800000008</v>
      </c>
    </row>
    <row r="49" spans="1:13" ht="14.25" customHeight="1">
      <c r="A49" s="72" t="s">
        <v>33</v>
      </c>
      <c r="B49" s="70" cm="1">
        <f t="array" aca="1" ref="B49" ca="1">IFERROR(INDIRECT("'" &amp; $A49 &amp; " " &amp; B$44 &amp; "'!T37"),)</f>
        <v>0</v>
      </c>
      <c r="C49" s="70" cm="1">
        <f t="array" aca="1" ref="C49" ca="1">IFERROR(INDIRECT("'" &amp; $A49 &amp; " " &amp; C$44 &amp; "'!T37"),)</f>
        <v>0</v>
      </c>
      <c r="D49" s="70" cm="1">
        <f t="array" aca="1" ref="D49" ca="1">IFERROR(INDIRECT("'" &amp; $A49 &amp; " " &amp; D$44 &amp; "'!T37"),)</f>
        <v>0</v>
      </c>
      <c r="E49" s="70" cm="1">
        <f t="array" aca="1" ref="E49" ca="1">IFERROR(INDIRECT("'" &amp; $A49 &amp; " " &amp; E$44 &amp; "'!T37"),)</f>
        <v>0</v>
      </c>
      <c r="F49" s="70" cm="1">
        <f t="array" aca="1" ref="F49" ca="1">IFERROR(INDIRECT("'" &amp; $A49 &amp; " " &amp; F$44 &amp; "'!T37"),)</f>
        <v>0</v>
      </c>
      <c r="G49" s="70" cm="1">
        <f t="array" aca="1" ref="G49" ca="1">IFERROR(INDIRECT("'" &amp; $A49 &amp; " " &amp; G$44 &amp; "'!T37"),)</f>
        <v>0</v>
      </c>
      <c r="H49" s="70" cm="1">
        <f t="array" aca="1" ref="H49" ca="1">IFERROR(INDIRECT("'" &amp; $A49 &amp; " " &amp; H$44 &amp; "'!T37"),)</f>
        <v>0</v>
      </c>
      <c r="I49" s="70" cm="1">
        <f t="array" aca="1" ref="I49" ca="1">IFERROR(INDIRECT("'" &amp; $A49 &amp; " " &amp; I$44 &amp; "'!T37"),)</f>
        <v>5588857.3399999999</v>
      </c>
      <c r="J49" s="70" cm="1">
        <f t="array" aca="1" ref="J49" ca="1">IFERROR(INDIRECT("'" &amp; $A49 &amp; " " &amp; J$44 &amp; "'!T37"),)</f>
        <v>0</v>
      </c>
      <c r="K49" s="70" cm="1">
        <f t="array" aca="1" ref="K49" ca="1">IFERROR(INDIRECT("'" &amp; $A49 &amp; " " &amp; K$44 &amp; "'!G12"),)</f>
        <v>0</v>
      </c>
      <c r="L49" s="70" cm="1">
        <f t="array" aca="1" ref="L49" ca="1">IFERROR(INDIRECT("'" &amp; $A49 &amp; " " &amp; L$44 &amp; "'!F14"),)</f>
        <v>0</v>
      </c>
      <c r="M49" s="71">
        <f t="shared" ca="1" si="6"/>
        <v>5588857.3399999999</v>
      </c>
    </row>
    <row r="50" spans="1:13" ht="14.25" customHeight="1">
      <c r="A50" s="43" t="s">
        <v>27</v>
      </c>
      <c r="B50" s="70" cm="1">
        <f t="array" aca="1" ref="B50" ca="1">IFERROR(INDIRECT("'" &amp; $A50 &amp; " " &amp; B$44 &amp; "'!T37"),)</f>
        <v>0</v>
      </c>
      <c r="C50" s="70" cm="1">
        <f t="array" aca="1" ref="C50" ca="1">IFERROR(INDIRECT("'" &amp; $A50 &amp; " " &amp; C$44 &amp; "'!T37"),)</f>
        <v>12876.63</v>
      </c>
      <c r="D50" s="70" cm="1">
        <f t="array" aca="1" ref="D50" ca="1">IFERROR(INDIRECT("'" &amp; $A50 &amp; " " &amp; D$44 &amp; "'!T37"),)</f>
        <v>18441370.41</v>
      </c>
      <c r="E50" s="70" cm="1">
        <f t="array" aca="1" ref="E50" ca="1">IFERROR(INDIRECT("'" &amp; $A50 &amp; " " &amp; E$44 &amp; "'!T37"),)</f>
        <v>0</v>
      </c>
      <c r="F50" s="70" cm="1">
        <f t="array" aca="1" ref="F50" ca="1">IFERROR(INDIRECT("'" &amp; $A50 &amp; " " &amp; F$44 &amp; "'!T37"),)</f>
        <v>0</v>
      </c>
      <c r="G50" s="70" cm="1">
        <f t="array" aca="1" ref="G50" ca="1">IFERROR(INDIRECT("'" &amp; $A50 &amp; " " &amp; G$44 &amp; "'!T37"),)</f>
        <v>0</v>
      </c>
      <c r="H50" s="70" cm="1">
        <f t="array" aca="1" ref="H50" ca="1">IFERROR(INDIRECT("'" &amp; $A50 &amp; " " &amp; H$44 &amp; "'!T37"),)</f>
        <v>0</v>
      </c>
      <c r="I50" s="70" cm="1">
        <f t="array" aca="1" ref="I50" ca="1">IFERROR(INDIRECT("'" &amp; $A50 &amp; " " &amp; I$44 &amp; "'!T37"),)</f>
        <v>0</v>
      </c>
      <c r="J50" s="70" cm="1">
        <f t="array" aca="1" ref="J50" ca="1">IFERROR(INDIRECT("'" &amp; $A50 &amp; " " &amp; J$44 &amp; "'!T37"),)</f>
        <v>0</v>
      </c>
      <c r="K50" s="70" cm="1">
        <f t="array" aca="1" ref="K50" ca="1">IFERROR(INDIRECT("'" &amp; $A50 &amp; " " &amp; K$44 &amp; "'!G12"),)</f>
        <v>78080</v>
      </c>
      <c r="L50" s="70" cm="1">
        <f t="array" aca="1" ref="L50" ca="1">IFERROR(INDIRECT("'" &amp; $A50 &amp; " " &amp; L$44 &amp; "'!F14"),)</f>
        <v>0</v>
      </c>
      <c r="M50" s="71">
        <f t="shared" ca="1" si="6"/>
        <v>18532327.039999999</v>
      </c>
    </row>
    <row r="51" spans="1:13" ht="14.25" customHeight="1">
      <c r="A51" s="43" t="s">
        <v>34</v>
      </c>
      <c r="B51" s="70" cm="1">
        <f t="array" aca="1" ref="B51" ca="1">IFERROR(INDIRECT("'" &amp; $A51 &amp; " " &amp; B$44 &amp; "'!T37"),)</f>
        <v>0</v>
      </c>
      <c r="C51" s="70" cm="1">
        <f t="array" aca="1" ref="C51" ca="1">IFERROR(INDIRECT("'" &amp; $A51 &amp; " " &amp; C$44 &amp; "'!T37"),)</f>
        <v>0</v>
      </c>
      <c r="D51" s="70" cm="1">
        <f t="array" aca="1" ref="D51" ca="1">IFERROR(INDIRECT("'" &amp; $A51 &amp; " " &amp; D$44 &amp; "'!T37"),)</f>
        <v>8355062.0300000003</v>
      </c>
      <c r="E51" s="70" cm="1">
        <f t="array" aca="1" ref="E51" ca="1">IFERROR(INDIRECT("'" &amp; $A51 &amp; " " &amp; E$44 &amp; "'!T37"),)</f>
        <v>0</v>
      </c>
      <c r="F51" s="70" cm="1">
        <f t="array" aca="1" ref="F51" ca="1">IFERROR(INDIRECT("'" &amp; $A51 &amp; " " &amp; F$44 &amp; "'!T37"),)</f>
        <v>0</v>
      </c>
      <c r="G51" s="70" cm="1">
        <f t="array" aca="1" ref="G51" ca="1">IFERROR(INDIRECT("'" &amp; $A51 &amp; " " &amp; G$44 &amp; "'!T37"),)</f>
        <v>0</v>
      </c>
      <c r="H51" s="70" cm="1">
        <f t="array" aca="1" ref="H51" ca="1">IFERROR(INDIRECT("'" &amp; $A51 &amp; " " &amp; H$44 &amp; "'!T37"),)</f>
        <v>0</v>
      </c>
      <c r="I51" s="70" cm="1">
        <f t="array" aca="1" ref="I51" ca="1">IFERROR(INDIRECT("'" &amp; $A51 &amp; " " &amp; I$44 &amp; "'!T37"),)</f>
        <v>0</v>
      </c>
      <c r="J51" s="70" cm="1">
        <f t="array" aca="1" ref="J51" ca="1">IFERROR(INDIRECT("'" &amp; $A51 &amp; " " &amp; J$44 &amp; "'!T37"),)</f>
        <v>0</v>
      </c>
      <c r="K51" s="70" cm="1">
        <f t="array" aca="1" ref="K51" ca="1">IFERROR(INDIRECT("'" &amp; $A51 &amp; " " &amp; K$44 &amp; "'!G12"),)</f>
        <v>29280</v>
      </c>
      <c r="L51" s="70" cm="1">
        <f t="array" aca="1" ref="L51" ca="1">IFERROR(INDIRECT("'" &amp; $A51 &amp; " " &amp; L$44 &amp; "'!F14"),)</f>
        <v>0</v>
      </c>
      <c r="M51" s="71">
        <f t="shared" ca="1" si="6"/>
        <v>8384342.0300000003</v>
      </c>
    </row>
    <row r="52" spans="1:13" ht="14.25" customHeight="1">
      <c r="A52" s="43" t="s">
        <v>35</v>
      </c>
      <c r="B52" s="70" cm="1">
        <f t="array" aca="1" ref="B52" ca="1">IFERROR(INDIRECT("'" &amp; $A52 &amp; " " &amp; B$44 &amp; "'!T37"),)</f>
        <v>0</v>
      </c>
      <c r="C52" s="70" cm="1">
        <f t="array" aca="1" ref="C52" ca="1">IFERROR(INDIRECT("'" &amp; $A52 &amp; " " &amp; C$44 &amp; "'!T37"),)</f>
        <v>0</v>
      </c>
      <c r="D52" s="196" cm="1">
        <f t="array" aca="1" ref="D52" ca="1">IFERROR(INDIRECT("'" &amp; $A52 &amp; " " &amp; D$44 &amp; "'!T37"),)</f>
        <v>7266306.1200000001</v>
      </c>
      <c r="E52" s="70" cm="1">
        <f t="array" aca="1" ref="E52" ca="1">IFERROR(INDIRECT("'" &amp; $A52 &amp; " " &amp; E$44 &amp; "'!T37"),)</f>
        <v>0</v>
      </c>
      <c r="F52" s="70" cm="1">
        <f t="array" aca="1" ref="F52" ca="1">IFERROR(INDIRECT("'" &amp; $A52 &amp; " " &amp; F$44 &amp; "'!T37"),)</f>
        <v>0</v>
      </c>
      <c r="G52" s="70" cm="1">
        <f t="array" aca="1" ref="G52" ca="1">IFERROR(INDIRECT("'" &amp; $A52 &amp; " " &amp; G$44 &amp; "'!T37"),)</f>
        <v>0</v>
      </c>
      <c r="H52" s="70" cm="1">
        <f t="array" aca="1" ref="H52" ca="1">IFERROR(INDIRECT("'" &amp; $A52 &amp; " " &amp; H$44 &amp; "'!T37"),)</f>
        <v>0</v>
      </c>
      <c r="I52" s="70" cm="1">
        <f t="array" aca="1" ref="I52" ca="1">IFERROR(INDIRECT("'" &amp; $A52 &amp; " " &amp; I$44 &amp; "'!T37"),)</f>
        <v>0</v>
      </c>
      <c r="J52" s="70" cm="1">
        <f t="array" aca="1" ref="J52" ca="1">IFERROR(INDIRECT("'" &amp; $A52 &amp; " " &amp; J$44 &amp; "'!T37"),)</f>
        <v>0</v>
      </c>
      <c r="K52" s="70" cm="1">
        <f t="array" aca="1" ref="K52" ca="1">IFERROR(INDIRECT("'" &amp; $A52 &amp; " " &amp; K$44 &amp; "'!G12"),)</f>
        <v>2440</v>
      </c>
      <c r="L52" s="70" cm="1">
        <f t="array" aca="1" ref="L52" ca="1">IFERROR(INDIRECT("'" &amp; $A52 &amp; " " &amp; L$44 &amp; "'!F14"),)</f>
        <v>131502.27499999999</v>
      </c>
      <c r="M52" s="71">
        <f t="shared" ca="1" si="6"/>
        <v>7400248.3950000005</v>
      </c>
    </row>
    <row r="53" spans="1:13" ht="14.25" customHeight="1">
      <c r="A53" s="43" t="s">
        <v>36</v>
      </c>
      <c r="B53" s="70" cm="1">
        <f t="array" aca="1" ref="B53" ca="1">IFERROR(INDIRECT("'" &amp; $A53 &amp; " " &amp; B$44 &amp; "'!T37"),)</f>
        <v>0</v>
      </c>
      <c r="C53" s="70" cm="1">
        <f t="array" aca="1" ref="C53" ca="1">IFERROR(INDIRECT("'" &amp; $A53 &amp; " " &amp; C$44 &amp; "'!T37"),)</f>
        <v>0</v>
      </c>
      <c r="D53" s="70" cm="1">
        <f t="array" aca="1" ref="D53" ca="1">IFERROR(INDIRECT("'" &amp; $A53 &amp; " " &amp; D$44 &amp; "'!T37"),)</f>
        <v>0</v>
      </c>
      <c r="E53" s="70" cm="1">
        <f t="array" aca="1" ref="E53" ca="1">IFERROR(INDIRECT("'" &amp; $A53 &amp; " " &amp; E$44 &amp; "'!T37"),)</f>
        <v>0</v>
      </c>
      <c r="F53" s="70" cm="1">
        <f t="array" aca="1" ref="F53" ca="1">IFERROR(INDIRECT("'" &amp; $A53 &amp; " " &amp; F$44 &amp; "'!T37"),)</f>
        <v>3533155.06</v>
      </c>
      <c r="G53" s="70" cm="1">
        <f t="array" aca="1" ref="G53" ca="1">IFERROR(INDIRECT("'" &amp; $A53 &amp; " " &amp; G$44 &amp; "'!T37"),)</f>
        <v>0</v>
      </c>
      <c r="H53" s="70" cm="1">
        <f t="array" aca="1" ref="H53" ca="1">IFERROR(INDIRECT("'" &amp; $A53 &amp; " " &amp; H$44 &amp; "'!T37"),)</f>
        <v>0</v>
      </c>
      <c r="I53" s="70" cm="1">
        <f t="array" aca="1" ref="I53" ca="1">IFERROR(INDIRECT("'" &amp; $A53 &amp; " " &amp; I$44 &amp; "'!T37"),)</f>
        <v>0</v>
      </c>
      <c r="J53" s="70" cm="1">
        <f t="array" aca="1" ref="J53" ca="1">IFERROR(INDIRECT("'" &amp; $A53 &amp; " " &amp; J$44 &amp; "'!T37"),)</f>
        <v>780.13</v>
      </c>
      <c r="K53" s="70" cm="1">
        <f t="array" aca="1" ref="K53" ca="1">IFERROR(INDIRECT("'" &amp; $A53 &amp; " " &amp; K$44 &amp; "'!G12"),)</f>
        <v>73200</v>
      </c>
      <c r="L53" s="70" cm="1">
        <f t="array" aca="1" ref="L53" ca="1">IFERROR(INDIRECT("'" &amp; $A53 &amp; " " &amp; L$44 &amp; "'!F14"),)</f>
        <v>0</v>
      </c>
      <c r="M53" s="71">
        <f t="shared" ca="1" si="6"/>
        <v>3607135.19</v>
      </c>
    </row>
    <row r="54" spans="1:13" ht="14.25" customHeight="1">
      <c r="A54" s="43" t="s">
        <v>39</v>
      </c>
      <c r="B54" s="70" cm="1">
        <f t="array" aca="1" ref="B54" ca="1">IFERROR(INDIRECT("'" &amp; $A54 &amp; "'!F16"),) + IFERROR(INDIRECT("'" &amp; $A54 &amp; "'!F17"),)</f>
        <v>0</v>
      </c>
      <c r="C54" s="70" cm="1">
        <f t="array" aca="1" ref="C54" ca="1">IFERROR(INDIRECT("'" &amp; $A54 &amp; "'!F16"),) + IFERROR(INDIRECT("'" &amp; $A54 &amp; "'!F17"),)</f>
        <v>0</v>
      </c>
      <c r="D54" s="70" cm="1">
        <f t="array" aca="1" ref="D54" ca="1">IFERROR(INDIRECT("'" &amp; $A54 &amp; "'!F16"),) + IFERROR(INDIRECT("'" &amp; $A54 &amp; "'!F17"),)</f>
        <v>0</v>
      </c>
      <c r="E54" s="70" cm="1">
        <f t="array" aca="1" ref="E54" ca="1">IFERROR(INDIRECT("'" &amp; $A54 &amp; "'!F16"),) + IFERROR(INDIRECT("'" &amp; $A54 &amp; "'!F17"),)</f>
        <v>0</v>
      </c>
      <c r="F54" s="70" cm="1">
        <f t="array" aca="1" ref="F54" ca="1">IFERROR(INDIRECT("'" &amp; $A54 &amp; "'!F16"),) + IFERROR(INDIRECT("'" &amp; $A54 &amp; "'!F17"),)</f>
        <v>0</v>
      </c>
      <c r="G54" s="70" cm="1">
        <f t="array" aca="1" ref="G54" ca="1">IFERROR(INDIRECT("'" &amp; $A54 &amp; "'!F16"),) + IFERROR(INDIRECT("'" &amp; $A54 &amp; "'!F17"),)</f>
        <v>0</v>
      </c>
      <c r="H54" s="70" cm="1">
        <f t="array" aca="1" ref="H54" ca="1">IFERROR(INDIRECT("'" &amp; $A54 &amp; "'!F16"),) + IFERROR(INDIRECT("'" &amp; $A54 &amp; "'!F17"),)</f>
        <v>0</v>
      </c>
      <c r="I54" s="70" cm="1">
        <f t="array" aca="1" ref="I54" ca="1">IFERROR(INDIRECT("'" &amp; $A54 &amp; "'!F16"),) + IFERROR(INDIRECT("'" &amp; $A54 &amp; "'!F17"),)</f>
        <v>0</v>
      </c>
      <c r="J54" s="70" cm="1">
        <f t="array" aca="1" ref="J54" ca="1">IFERROR(INDIRECT("'" &amp; $A54 &amp; "'!F16"),) + IFERROR(INDIRECT("'" &amp; $A54 &amp; "'!F17"),)</f>
        <v>0</v>
      </c>
      <c r="K54" s="70" cm="1">
        <f t="array" aca="1" ref="K54" ca="1">IFERROR(INDIRECT("'" &amp; $A54 &amp; " " &amp; K$44 &amp; "'!G12"),)</f>
        <v>0</v>
      </c>
      <c r="L54" s="70" cm="1">
        <f t="array" aca="1" ref="L54" ca="1">IFERROR(INDIRECT("'" &amp; $A54 &amp; " " &amp; L$44 &amp; "'!F14"),)</f>
        <v>0</v>
      </c>
      <c r="M54" s="71">
        <f t="shared" ca="1" si="6"/>
        <v>0</v>
      </c>
    </row>
    <row r="55" spans="1:13" ht="14.25" customHeight="1" thickBot="1">
      <c r="A55" s="53"/>
      <c r="B55" s="73"/>
      <c r="C55" s="73"/>
      <c r="D55" s="73"/>
      <c r="E55" s="73"/>
      <c r="F55" s="73"/>
      <c r="G55" s="73"/>
      <c r="H55" s="73"/>
      <c r="I55" s="73"/>
      <c r="J55" s="74"/>
    </row>
    <row r="56" spans="1:13" ht="14.25" customHeight="1" thickBot="1">
      <c r="A56" s="75" t="s">
        <v>23</v>
      </c>
      <c r="B56" s="50">
        <f ca="1">SUM(B57:B67)</f>
        <v>5651552.4914999995</v>
      </c>
    </row>
    <row r="57" spans="1:13" ht="14.25" customHeight="1">
      <c r="A57" s="69" t="s">
        <v>28</v>
      </c>
      <c r="B57" s="34" cm="1">
        <f t="array" aca="1" ref="B57" ca="1">IFERROR(INDIRECT("'РВ " &amp; A57 &amp; "'!O38"),0)</f>
        <v>427719.95250000001</v>
      </c>
    </row>
    <row r="58" spans="1:13" ht="14.25" customHeight="1">
      <c r="A58" s="43" t="s">
        <v>30</v>
      </c>
      <c r="B58" s="34" cm="1">
        <f t="array" aca="1" ref="B58" ca="1">IFERROR(INDIRECT("'РВ " &amp; A58 &amp; "'!O38"),0)</f>
        <v>1025950.5209999996</v>
      </c>
    </row>
    <row r="59" spans="1:13" ht="14.25" customHeight="1">
      <c r="A59" s="43" t="s">
        <v>38</v>
      </c>
      <c r="B59" s="34" cm="1">
        <f t="array" aca="1" ref="B59" ca="1">IFERROR(INDIRECT("'РВ " &amp; A59 &amp; "'!O38"),0)</f>
        <v>0</v>
      </c>
    </row>
    <row r="60" spans="1:13" ht="14.25" customHeight="1">
      <c r="A60" s="43" t="s">
        <v>31</v>
      </c>
      <c r="B60" s="34" cm="1">
        <f t="array" aca="1" ref="B60" ca="1">IFERROR(INDIRECT("'РВ " &amp; A60 &amp; "'!O38"),0)</f>
        <v>0</v>
      </c>
    </row>
    <row r="61" spans="1:13" ht="14.25" customHeight="1">
      <c r="A61" s="72" t="s">
        <v>32</v>
      </c>
      <c r="B61" s="34" cm="1">
        <f t="array" aca="1" ref="B61" ca="1">IFERROR(INDIRECT("'РВ " &amp; A61 &amp; "'!O38"),0)</f>
        <v>0</v>
      </c>
    </row>
    <row r="62" spans="1:13" ht="14.25" customHeight="1">
      <c r="A62" s="43" t="s">
        <v>34</v>
      </c>
      <c r="B62" s="34" cm="1">
        <f t="array" aca="1" ref="B62" ca="1">IFERROR(INDIRECT("'РВ " &amp; A62 &amp; "'!O38"),0)</f>
        <v>0</v>
      </c>
    </row>
    <row r="63" spans="1:13" ht="14.25" customHeight="1">
      <c r="A63" s="43" t="s">
        <v>27</v>
      </c>
      <c r="B63" s="34" cm="1">
        <f t="array" aca="1" ref="B63" ca="1">IFERROR(INDIRECT("'РВ " &amp; A63 &amp; "'!O38"),0)</f>
        <v>0</v>
      </c>
    </row>
    <row r="64" spans="1:13" ht="14.25" customHeight="1">
      <c r="A64" s="43" t="s">
        <v>35</v>
      </c>
      <c r="B64" s="34" cm="1">
        <f t="array" aca="1" ref="B64" ca="1">IFERROR(INDIRECT("'РВ " &amp; A64 &amp; "'!O38"),0)</f>
        <v>0</v>
      </c>
    </row>
    <row r="65" spans="1:2" ht="14.25" customHeight="1">
      <c r="A65" s="43" t="s">
        <v>36</v>
      </c>
      <c r="B65" s="34" cm="1">
        <f t="array" aca="1" ref="B65" ca="1">IFERROR(INDIRECT("'РВ " &amp; A65 &amp; "'!O38"),0)</f>
        <v>0</v>
      </c>
    </row>
    <row r="66" spans="1:2" ht="14.25" customHeight="1">
      <c r="A66" s="43" t="s">
        <v>29</v>
      </c>
      <c r="B66" s="34" cm="1">
        <f t="array" aca="1" ref="B66" ca="1">IFERROR(INDIRECT("'РВ " &amp; A66 &amp; "'!O38"),0)</f>
        <v>0</v>
      </c>
    </row>
    <row r="67" spans="1:2" ht="14.25" customHeight="1">
      <c r="A67" s="43" t="s">
        <v>39</v>
      </c>
      <c r="B67" s="34" cm="1">
        <f t="array" aca="1" ref="B67" ca="1">IFERROR(INDIRECT("'РВ " &amp; A67 &amp; "'!O38"),0)+IFERROR(INDIRECT("Резерв!i38"),0)</f>
        <v>4197882.0180000002</v>
      </c>
    </row>
    <row r="68" spans="1:2" ht="14.25" customHeight="1">
      <c r="A68" s="72" t="s">
        <v>33</v>
      </c>
      <c r="B68" s="34" cm="1">
        <f t="array" aca="1" ref="B68" ca="1">IFERROR(INDIRECT("'РВ " &amp; A68 &amp; "'!O38"),0)</f>
        <v>0</v>
      </c>
    </row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</sheetData>
  <sortState xmlns:xlrd2="http://schemas.microsoft.com/office/spreadsheetml/2017/richdata2" ref="I3:J14">
    <sortCondition descending="1" ref="J3:J14"/>
  </sortState>
  <mergeCells count="19">
    <mergeCell ref="K43:M43"/>
    <mergeCell ref="A38:B38"/>
    <mergeCell ref="A39:B39"/>
    <mergeCell ref="A40:B40"/>
    <mergeCell ref="A41:B41"/>
    <mergeCell ref="A42:B42"/>
    <mergeCell ref="A43:J43"/>
    <mergeCell ref="A37:B37"/>
    <mergeCell ref="A1:G1"/>
    <mergeCell ref="I2:J2"/>
    <mergeCell ref="A18:B18"/>
    <mergeCell ref="E18:F18"/>
    <mergeCell ref="A29:B29"/>
    <mergeCell ref="A30:B30"/>
    <mergeCell ref="A31:B31"/>
    <mergeCell ref="A32:B32"/>
    <mergeCell ref="A33:B33"/>
    <mergeCell ref="A34:B34"/>
    <mergeCell ref="A35:B35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00E9-73D3-4FB2-A5FF-84528D095857}">
  <dimension ref="A1:C137"/>
  <sheetViews>
    <sheetView tabSelected="1" workbookViewId="0">
      <selection activeCell="C55" sqref="C55"/>
    </sheetView>
  </sheetViews>
  <sheetFormatPr defaultRowHeight="15"/>
  <cols>
    <col min="3" max="3" width="22.3984375" customWidth="1"/>
  </cols>
  <sheetData>
    <row r="1" spans="1:3">
      <c r="A1" t="s">
        <v>67</v>
      </c>
      <c r="B1" t="s">
        <v>28</v>
      </c>
      <c r="C1" s="198">
        <f ca="1">INDEX(ИТОГО!$B$45:$L$54,MATCH(Сводка!B1,ИТОГО!$A$45:$A$54,0),MATCH(Сводка!A1,ИТОГО!$B$44:$L$44,0))</f>
        <v>53220.88</v>
      </c>
    </row>
    <row r="2" spans="1:3">
      <c r="A2" t="s">
        <v>68</v>
      </c>
      <c r="B2" t="s">
        <v>28</v>
      </c>
      <c r="C2" s="198">
        <f ca="1">INDEX(ИТОГО!$B$45:$L$54,MATCH(Сводка!B2,ИТОГО!$A$45:$A$54,0),MATCH(Сводка!A2,ИТОГО!$B$44:$L$44,0))</f>
        <v>217933.19</v>
      </c>
    </row>
    <row r="3" spans="1:3">
      <c r="A3" t="s">
        <v>69</v>
      </c>
      <c r="B3" t="s">
        <v>28</v>
      </c>
      <c r="C3" s="198">
        <f ca="1">INDEX(ИТОГО!$B$45:$L$54,MATCH(Сводка!B3,ИТОГО!$A$45:$A$54,0),MATCH(Сводка!A3,ИТОГО!$B$44:$L$44,0))</f>
        <v>6668338.5700000003</v>
      </c>
    </row>
    <row r="4" spans="1:3">
      <c r="A4" t="s">
        <v>70</v>
      </c>
      <c r="B4" t="s">
        <v>28</v>
      </c>
      <c r="C4" s="198">
        <f ca="1">INDEX(ИТОГО!$B$45:$L$54,MATCH(Сводка!B4,ИТОГО!$A$45:$A$54,0),MATCH(Сводка!A4,ИТОГО!$B$44:$L$44,0))</f>
        <v>0</v>
      </c>
    </row>
    <row r="5" spans="1:3">
      <c r="A5" t="s">
        <v>71</v>
      </c>
      <c r="B5" t="s">
        <v>28</v>
      </c>
      <c r="C5" s="198">
        <f ca="1">INDEX(ИТОГО!$B$45:$L$54,MATCH(Сводка!B5,ИТОГО!$A$45:$A$54,0),MATCH(Сводка!A5,ИТОГО!$B$44:$L$44,0))</f>
        <v>0</v>
      </c>
    </row>
    <row r="6" spans="1:3">
      <c r="A6" t="s">
        <v>72</v>
      </c>
      <c r="B6" t="s">
        <v>28</v>
      </c>
      <c r="C6" s="198">
        <f ca="1">INDEX(ИТОГО!$B$45:$L$54,MATCH(Сводка!B6,ИТОГО!$A$45:$A$54,0),MATCH(Сводка!A6,ИТОГО!$B$44:$L$44,0))</f>
        <v>0</v>
      </c>
    </row>
    <row r="7" spans="1:3">
      <c r="A7" t="s">
        <v>73</v>
      </c>
      <c r="B7" t="s">
        <v>28</v>
      </c>
      <c r="C7" s="198">
        <f ca="1">INDEX(ИТОГО!$B$45:$L$54,MATCH(Сводка!B7,ИТОГО!$A$45:$A$54,0),MATCH(Сводка!A7,ИТОГО!$B$44:$L$44,0))</f>
        <v>0</v>
      </c>
    </row>
    <row r="8" spans="1:3">
      <c r="A8" t="s">
        <v>74</v>
      </c>
      <c r="B8" t="s">
        <v>28</v>
      </c>
      <c r="C8" s="198">
        <f ca="1">INDEX(ИТОГО!$B$45:$L$54,MATCH(Сводка!B8,ИТОГО!$A$45:$A$54,0),MATCH(Сводка!A8,ИТОГО!$B$44:$L$44,0))</f>
        <v>0</v>
      </c>
    </row>
    <row r="9" spans="1:3">
      <c r="A9" t="s">
        <v>75</v>
      </c>
      <c r="B9" t="s">
        <v>28</v>
      </c>
      <c r="C9" s="198">
        <f ca="1">INDEX(ИТОГО!$B$45:$L$54,MATCH(Сводка!B9,ИТОГО!$A$45:$A$54,0),MATCH(Сводка!A9,ИТОГО!$B$44:$L$44,0))</f>
        <v>0</v>
      </c>
    </row>
    <row r="10" spans="1:3">
      <c r="A10" t="s">
        <v>76</v>
      </c>
      <c r="B10" t="s">
        <v>28</v>
      </c>
      <c r="C10" s="198">
        <f ca="1">INDEX(ИТОГО!$B$45:$L$54,MATCH(Сводка!B10,ИТОГО!$A$45:$A$54,0),MATCH(Сводка!A10,ИТОГО!$B$44:$L$44,0))</f>
        <v>26840</v>
      </c>
    </row>
    <row r="11" spans="1:3">
      <c r="A11" t="s">
        <v>77</v>
      </c>
      <c r="B11" t="s">
        <v>28</v>
      </c>
      <c r="C11" s="198">
        <f ca="1">INDEX(ИТОГО!$B$45:$L$54,MATCH(Сводка!B11,ИТОГО!$A$45:$A$54,0),MATCH(Сводка!A11,ИТОГО!$B$44:$L$44,0))</f>
        <v>0</v>
      </c>
    </row>
    <row r="12" spans="1:3">
      <c r="A12" t="s">
        <v>67</v>
      </c>
      <c r="B12" t="s">
        <v>30</v>
      </c>
      <c r="C12" s="198">
        <f ca="1">INDEX(ИТОГО!$B$45:$L$54,MATCH(Сводка!B12,ИТОГО!$A$45:$A$54,0),MATCH(Сводка!A12,ИТОГО!$B$44:$L$44,0))</f>
        <v>41717.379999999997</v>
      </c>
    </row>
    <row r="13" spans="1:3">
      <c r="A13" t="s">
        <v>68</v>
      </c>
      <c r="B13" t="s">
        <v>30</v>
      </c>
      <c r="C13" s="198">
        <f ca="1">INDEX(ИТОГО!$B$45:$L$54,MATCH(Сводка!B13,ИТОГО!$A$45:$A$54,0),MATCH(Сводка!A13,ИТОГО!$B$44:$L$44,0))</f>
        <v>20237.5</v>
      </c>
    </row>
    <row r="14" spans="1:3">
      <c r="A14" t="s">
        <v>69</v>
      </c>
      <c r="B14" t="s">
        <v>30</v>
      </c>
      <c r="C14" s="198">
        <f ca="1">INDEX(ИТОГО!$B$45:$L$54,MATCH(Сводка!B14,ИТОГО!$A$45:$A$54,0),MATCH(Сводка!A14,ИТОГО!$B$44:$L$44,0))</f>
        <v>10332962.1</v>
      </c>
    </row>
    <row r="15" spans="1:3">
      <c r="A15" t="s">
        <v>70</v>
      </c>
      <c r="B15" t="s">
        <v>30</v>
      </c>
      <c r="C15" s="198">
        <f ca="1">INDEX(ИТОГО!$B$45:$L$54,MATCH(Сводка!B15,ИТОГО!$A$45:$A$54,0),MATCH(Сводка!A15,ИТОГО!$B$44:$L$44,0))</f>
        <v>0</v>
      </c>
    </row>
    <row r="16" spans="1:3">
      <c r="A16" t="s">
        <v>71</v>
      </c>
      <c r="B16" t="s">
        <v>30</v>
      </c>
      <c r="C16" s="198">
        <f ca="1">INDEX(ИТОГО!$B$45:$L$54,MATCH(Сводка!B16,ИТОГО!$A$45:$A$54,0),MATCH(Сводка!A16,ИТОГО!$B$44:$L$44,0))</f>
        <v>0</v>
      </c>
    </row>
    <row r="17" spans="1:3">
      <c r="A17" t="s">
        <v>72</v>
      </c>
      <c r="B17" t="s">
        <v>30</v>
      </c>
      <c r="C17" s="198">
        <f ca="1">INDEX(ИТОГО!$B$45:$L$54,MATCH(Сводка!B17,ИТОГО!$A$45:$A$54,0),MATCH(Сводка!A17,ИТОГО!$B$44:$L$44,0))</f>
        <v>0</v>
      </c>
    </row>
    <row r="18" spans="1:3">
      <c r="A18" t="s">
        <v>73</v>
      </c>
      <c r="B18" t="s">
        <v>30</v>
      </c>
      <c r="C18" s="198">
        <f ca="1">INDEX(ИТОГО!$B$45:$L$54,MATCH(Сводка!B18,ИТОГО!$A$45:$A$54,0),MATCH(Сводка!A18,ИТОГО!$B$44:$L$44,0))</f>
        <v>0</v>
      </c>
    </row>
    <row r="19" spans="1:3">
      <c r="A19" t="s">
        <v>74</v>
      </c>
      <c r="B19" t="s">
        <v>30</v>
      </c>
      <c r="C19" s="198">
        <f ca="1">INDEX(ИТОГО!$B$45:$L$54,MATCH(Сводка!B19,ИТОГО!$A$45:$A$54,0),MATCH(Сводка!A19,ИТОГО!$B$44:$L$44,0))</f>
        <v>0</v>
      </c>
    </row>
    <row r="20" spans="1:3">
      <c r="A20" t="s">
        <v>75</v>
      </c>
      <c r="B20" t="s">
        <v>30</v>
      </c>
      <c r="C20" s="198">
        <f ca="1">INDEX(ИТОГО!$B$45:$L$54,MATCH(Сводка!B20,ИТОГО!$A$45:$A$54,0),MATCH(Сводка!A20,ИТОГО!$B$44:$L$44,0))</f>
        <v>0</v>
      </c>
    </row>
    <row r="21" spans="1:3">
      <c r="A21" t="s">
        <v>76</v>
      </c>
      <c r="B21" t="s">
        <v>30</v>
      </c>
      <c r="C21" s="198">
        <f ca="1">INDEX(ИТОГО!$B$45:$L$54,MATCH(Сводка!B21,ИТОГО!$A$45:$A$54,0),MATCH(Сводка!A21,ИТОГО!$B$44:$L$44,0))</f>
        <v>0</v>
      </c>
    </row>
    <row r="22" spans="1:3">
      <c r="A22" t="s">
        <v>77</v>
      </c>
      <c r="B22" t="s">
        <v>30</v>
      </c>
      <c r="C22" s="198">
        <f ca="1">INDEX(ИТОГО!$B$45:$L$54,MATCH(Сводка!B22,ИТОГО!$A$45:$A$54,0),MATCH(Сводка!A22,ИТОГО!$B$44:$L$44,0))</f>
        <v>0</v>
      </c>
    </row>
    <row r="23" spans="1:3">
      <c r="A23" t="s">
        <v>67</v>
      </c>
      <c r="B23" t="s">
        <v>36</v>
      </c>
      <c r="C23" s="198">
        <f ca="1">INDEX(ИТОГО!$B$45:$L$54,MATCH(Сводка!B23,ИТОГО!$A$45:$A$54,0),MATCH(Сводка!A23,ИТОГО!$B$44:$L$44,0))</f>
        <v>0</v>
      </c>
    </row>
    <row r="24" spans="1:3">
      <c r="A24" t="s">
        <v>68</v>
      </c>
      <c r="B24" t="s">
        <v>36</v>
      </c>
      <c r="C24" s="198">
        <f ca="1">INDEX(ИТОГО!$B$45:$L$54,MATCH(Сводка!B24,ИТОГО!$A$45:$A$54,0),MATCH(Сводка!A24,ИТОГО!$B$44:$L$44,0))</f>
        <v>0</v>
      </c>
    </row>
    <row r="25" spans="1:3">
      <c r="A25" t="s">
        <v>69</v>
      </c>
      <c r="B25" t="s">
        <v>36</v>
      </c>
      <c r="C25" s="198">
        <f ca="1">INDEX(ИТОГО!$B$45:$L$54,MATCH(Сводка!B25,ИТОГО!$A$45:$A$54,0),MATCH(Сводка!A25,ИТОГО!$B$44:$L$44,0))</f>
        <v>0</v>
      </c>
    </row>
    <row r="26" spans="1:3">
      <c r="A26" t="s">
        <v>70</v>
      </c>
      <c r="B26" t="s">
        <v>36</v>
      </c>
      <c r="C26" s="198">
        <f ca="1">INDEX(ИТОГО!$B$45:$L$54,MATCH(Сводка!B26,ИТОГО!$A$45:$A$54,0),MATCH(Сводка!A26,ИТОГО!$B$44:$L$44,0))</f>
        <v>0</v>
      </c>
    </row>
    <row r="27" spans="1:3">
      <c r="A27" t="s">
        <v>71</v>
      </c>
      <c r="B27" t="s">
        <v>36</v>
      </c>
      <c r="C27" s="198">
        <f ca="1">INDEX(ИТОГО!$B$45:$L$54,MATCH(Сводка!B27,ИТОГО!$A$45:$A$54,0),MATCH(Сводка!A27,ИТОГО!$B$44:$L$44,0))</f>
        <v>3533155.06</v>
      </c>
    </row>
    <row r="28" spans="1:3">
      <c r="A28" t="s">
        <v>72</v>
      </c>
      <c r="B28" t="s">
        <v>36</v>
      </c>
      <c r="C28" s="198">
        <f ca="1">INDEX(ИТОГО!$B$45:$L$54,MATCH(Сводка!B28,ИТОГО!$A$45:$A$54,0),MATCH(Сводка!A28,ИТОГО!$B$44:$L$44,0))</f>
        <v>0</v>
      </c>
    </row>
    <row r="29" spans="1:3">
      <c r="A29" t="s">
        <v>73</v>
      </c>
      <c r="B29" t="s">
        <v>36</v>
      </c>
      <c r="C29" s="198">
        <f ca="1">INDEX(ИТОГО!$B$45:$L$54,MATCH(Сводка!B29,ИТОГО!$A$45:$A$54,0),MATCH(Сводка!A29,ИТОГО!$B$44:$L$44,0))</f>
        <v>0</v>
      </c>
    </row>
    <row r="30" spans="1:3">
      <c r="A30" t="s">
        <v>74</v>
      </c>
      <c r="B30" t="s">
        <v>36</v>
      </c>
      <c r="C30" s="198">
        <f ca="1">INDEX(ИТОГО!$B$45:$L$54,MATCH(Сводка!B30,ИТОГО!$A$45:$A$54,0),MATCH(Сводка!A30,ИТОГО!$B$44:$L$44,0))</f>
        <v>0</v>
      </c>
    </row>
    <row r="31" spans="1:3">
      <c r="A31" t="s">
        <v>75</v>
      </c>
      <c r="B31" t="s">
        <v>36</v>
      </c>
      <c r="C31" s="198">
        <f ca="1">INDEX(ИТОГО!$B$45:$L$54,MATCH(Сводка!B31,ИТОГО!$A$45:$A$54,0),MATCH(Сводка!A31,ИТОГО!$B$44:$L$44,0))</f>
        <v>780.13</v>
      </c>
    </row>
    <row r="32" spans="1:3">
      <c r="A32" t="s">
        <v>76</v>
      </c>
      <c r="B32" t="s">
        <v>36</v>
      </c>
      <c r="C32" s="198">
        <f ca="1">INDEX(ИТОГО!$B$45:$L$54,MATCH(Сводка!B32,ИТОГО!$A$45:$A$54,0),MATCH(Сводка!A32,ИТОГО!$B$44:$L$44,0))</f>
        <v>73200</v>
      </c>
    </row>
    <row r="33" spans="1:3">
      <c r="A33" t="s">
        <v>77</v>
      </c>
      <c r="B33" t="s">
        <v>36</v>
      </c>
      <c r="C33" s="198">
        <f ca="1">INDEX(ИТОГО!$B$45:$L$54,MATCH(Сводка!B33,ИТОГО!$A$45:$A$54,0),MATCH(Сводка!A33,ИТОГО!$B$44:$L$44,0))</f>
        <v>0</v>
      </c>
    </row>
    <row r="34" spans="1:3">
      <c r="A34" t="s">
        <v>67</v>
      </c>
      <c r="B34" t="s">
        <v>31</v>
      </c>
      <c r="C34" s="198">
        <f ca="1">INDEX(ИТОГО!$B$45:$L$54,MATCH(Сводка!B34,ИТОГО!$A$45:$A$54,0),MATCH(Сводка!A34,ИТОГО!$B$44:$L$44,0))</f>
        <v>2113.46</v>
      </c>
    </row>
    <row r="35" spans="1:3">
      <c r="A35" t="s">
        <v>68</v>
      </c>
      <c r="B35" t="s">
        <v>31</v>
      </c>
      <c r="C35" s="198">
        <f ca="1">INDEX(ИТОГО!$B$45:$L$54,MATCH(Сводка!B35,ИТОГО!$A$45:$A$54,0),MATCH(Сводка!A35,ИТОГО!$B$44:$L$44,0))</f>
        <v>262823.77</v>
      </c>
    </row>
    <row r="36" spans="1:3">
      <c r="A36" t="s">
        <v>69</v>
      </c>
      <c r="B36" t="s">
        <v>31</v>
      </c>
      <c r="C36" s="198">
        <f ca="1">INDEX(ИТОГО!$B$45:$L$54,MATCH(Сводка!B36,ИТОГО!$A$45:$A$54,0),MATCH(Сводка!A36,ИТОГО!$B$44:$L$44,0))</f>
        <v>9330145.75</v>
      </c>
    </row>
    <row r="37" spans="1:3">
      <c r="A37" t="s">
        <v>70</v>
      </c>
      <c r="B37" t="s">
        <v>31</v>
      </c>
      <c r="C37" s="198">
        <f ca="1">INDEX(ИТОГО!$B$45:$L$54,MATCH(Сводка!B37,ИТОГО!$A$45:$A$54,0),MATCH(Сводка!A37,ИТОГО!$B$44:$L$44,0))</f>
        <v>0</v>
      </c>
    </row>
    <row r="38" spans="1:3">
      <c r="A38" t="s">
        <v>71</v>
      </c>
      <c r="B38" t="s">
        <v>31</v>
      </c>
      <c r="C38" s="198">
        <f ca="1">INDEX(ИТОГО!$B$45:$L$54,MATCH(Сводка!B38,ИТОГО!$A$45:$A$54,0),MATCH(Сводка!A38,ИТОГО!$B$44:$L$44,0))</f>
        <v>0</v>
      </c>
    </row>
    <row r="39" spans="1:3">
      <c r="A39" t="s">
        <v>72</v>
      </c>
      <c r="B39" t="s">
        <v>31</v>
      </c>
      <c r="C39" s="198">
        <f ca="1">INDEX(ИТОГО!$B$45:$L$54,MATCH(Сводка!B39,ИТОГО!$A$45:$A$54,0),MATCH(Сводка!A39,ИТОГО!$B$44:$L$44,0))</f>
        <v>0</v>
      </c>
    </row>
    <row r="40" spans="1:3">
      <c r="A40" t="s">
        <v>73</v>
      </c>
      <c r="B40" t="s">
        <v>31</v>
      </c>
      <c r="C40" s="198">
        <f ca="1">INDEX(ИТОГО!$B$45:$L$54,MATCH(Сводка!B40,ИТОГО!$A$45:$A$54,0),MATCH(Сводка!A40,ИТОГО!$B$44:$L$44,0))</f>
        <v>0</v>
      </c>
    </row>
    <row r="41" spans="1:3">
      <c r="A41" t="s">
        <v>74</v>
      </c>
      <c r="B41" t="s">
        <v>31</v>
      </c>
      <c r="C41" s="198">
        <f ca="1">INDEX(ИТОГО!$B$45:$L$54,MATCH(Сводка!B41,ИТОГО!$A$45:$A$54,0),MATCH(Сводка!A41,ИТОГО!$B$44:$L$44,0))</f>
        <v>0</v>
      </c>
    </row>
    <row r="42" spans="1:3">
      <c r="A42" t="s">
        <v>75</v>
      </c>
      <c r="B42" t="s">
        <v>31</v>
      </c>
      <c r="C42" s="198">
        <f ca="1">INDEX(ИТОГО!$B$45:$L$54,MATCH(Сводка!B42,ИТОГО!$A$45:$A$54,0),MATCH(Сводка!A42,ИТОГО!$B$44:$L$44,0))</f>
        <v>107814.29</v>
      </c>
    </row>
    <row r="43" spans="1:3">
      <c r="A43" t="s">
        <v>76</v>
      </c>
      <c r="B43" t="s">
        <v>31</v>
      </c>
      <c r="C43" s="198">
        <f ca="1">INDEX(ИТОГО!$B$45:$L$54,MATCH(Сводка!B43,ИТОГО!$A$45:$A$54,0),MATCH(Сводка!A43,ИТОГО!$B$44:$L$44,0))</f>
        <v>185440</v>
      </c>
    </row>
    <row r="44" spans="1:3">
      <c r="A44" t="s">
        <v>77</v>
      </c>
      <c r="B44" t="s">
        <v>31</v>
      </c>
      <c r="C44" s="198">
        <f ca="1">INDEX(ИТОГО!$B$45:$L$54,MATCH(Сводка!B44,ИТОГО!$A$45:$A$54,0),MATCH(Сводка!A44,ИТОГО!$B$44:$L$44,0))</f>
        <v>0</v>
      </c>
    </row>
    <row r="45" spans="1:3">
      <c r="A45" t="s">
        <v>67</v>
      </c>
      <c r="B45" t="s">
        <v>35</v>
      </c>
      <c r="C45" s="198">
        <f ca="1">INDEX(ИТОГО!$B$45:$L$54,MATCH(Сводка!B45,ИТОГО!$A$45:$A$54,0),MATCH(Сводка!A45,ИТОГО!$B$44:$L$44,0))</f>
        <v>0</v>
      </c>
    </row>
    <row r="46" spans="1:3">
      <c r="A46" t="s">
        <v>68</v>
      </c>
      <c r="B46" t="s">
        <v>35</v>
      </c>
      <c r="C46" s="198">
        <f ca="1">INDEX(ИТОГО!$B$45:$L$54,MATCH(Сводка!B46,ИТОГО!$A$45:$A$54,0),MATCH(Сводка!A46,ИТОГО!$B$44:$L$44,0))</f>
        <v>0</v>
      </c>
    </row>
    <row r="47" spans="1:3">
      <c r="A47" t="s">
        <v>69</v>
      </c>
      <c r="B47" t="s">
        <v>35</v>
      </c>
      <c r="C47" s="198">
        <f ca="1">INDEX(ИТОГО!$B$45:$L$54,MATCH(Сводка!B47,ИТОГО!$A$45:$A$54,0),MATCH(Сводка!A47,ИТОГО!$B$44:$L$44,0))</f>
        <v>7266306.1200000001</v>
      </c>
    </row>
    <row r="48" spans="1:3">
      <c r="A48" t="s">
        <v>70</v>
      </c>
      <c r="B48" t="s">
        <v>35</v>
      </c>
      <c r="C48" s="198">
        <f ca="1">INDEX(ИТОГО!$B$45:$L$54,MATCH(Сводка!B48,ИТОГО!$A$45:$A$54,0),MATCH(Сводка!A48,ИТОГО!$B$44:$L$44,0))</f>
        <v>0</v>
      </c>
    </row>
    <row r="49" spans="1:3">
      <c r="A49" t="s">
        <v>71</v>
      </c>
      <c r="B49" t="s">
        <v>35</v>
      </c>
      <c r="C49" s="198">
        <f ca="1">INDEX(ИТОГО!$B$45:$L$54,MATCH(Сводка!B49,ИТОГО!$A$45:$A$54,0),MATCH(Сводка!A49,ИТОГО!$B$44:$L$44,0))</f>
        <v>0</v>
      </c>
    </row>
    <row r="50" spans="1:3">
      <c r="A50" t="s">
        <v>72</v>
      </c>
      <c r="B50" t="s">
        <v>35</v>
      </c>
      <c r="C50" s="198">
        <f ca="1">INDEX(ИТОГО!$B$45:$L$54,MATCH(Сводка!B50,ИТОГО!$A$45:$A$54,0),MATCH(Сводка!A50,ИТОГО!$B$44:$L$44,0))</f>
        <v>0</v>
      </c>
    </row>
    <row r="51" spans="1:3">
      <c r="A51" t="s">
        <v>73</v>
      </c>
      <c r="B51" t="s">
        <v>35</v>
      </c>
      <c r="C51" s="198">
        <f ca="1">INDEX(ИТОГО!$B$45:$L$54,MATCH(Сводка!B51,ИТОГО!$A$45:$A$54,0),MATCH(Сводка!A51,ИТОГО!$B$44:$L$44,0))</f>
        <v>0</v>
      </c>
    </row>
    <row r="52" spans="1:3">
      <c r="A52" t="s">
        <v>74</v>
      </c>
      <c r="B52" t="s">
        <v>35</v>
      </c>
      <c r="C52" s="198">
        <f ca="1">INDEX(ИТОГО!$B$45:$L$54,MATCH(Сводка!B52,ИТОГО!$A$45:$A$54,0),MATCH(Сводка!A52,ИТОГО!$B$44:$L$44,0))</f>
        <v>0</v>
      </c>
    </row>
    <row r="53" spans="1:3">
      <c r="A53" t="s">
        <v>75</v>
      </c>
      <c r="B53" t="s">
        <v>35</v>
      </c>
      <c r="C53" s="198">
        <f ca="1">INDEX(ИТОГО!$B$45:$L$54,MATCH(Сводка!B53,ИТОГО!$A$45:$A$54,0),MATCH(Сводка!A53,ИТОГО!$B$44:$L$44,0))</f>
        <v>0</v>
      </c>
    </row>
    <row r="54" spans="1:3">
      <c r="A54" t="s">
        <v>76</v>
      </c>
      <c r="B54" t="s">
        <v>35</v>
      </c>
      <c r="C54" s="198">
        <f ca="1">INDEX(ИТОГО!$B$45:$L$54,MATCH(Сводка!B54,ИТОГО!$A$45:$A$54,0),MATCH(Сводка!A54,ИТОГО!$B$44:$L$44,0))</f>
        <v>2440</v>
      </c>
    </row>
    <row r="55" spans="1:3">
      <c r="A55" t="s">
        <v>77</v>
      </c>
      <c r="B55" t="s">
        <v>35</v>
      </c>
      <c r="C55" s="198">
        <f ca="1">INDEX(ИТОГО!$B$45:$L$54,MATCH(Сводка!B55,ИТОГО!$A$45:$A$54,0),MATCH(Сводка!A55,ИТОГО!$B$44:$L$44,0))</f>
        <v>131502.27499999999</v>
      </c>
    </row>
    <row r="56" spans="1:3">
      <c r="A56" t="s">
        <v>67</v>
      </c>
      <c r="B56" t="s">
        <v>32</v>
      </c>
      <c r="C56" s="198">
        <f ca="1">INDEX(ИТОГО!$B$45:$L$54,MATCH(Сводка!B56,ИТОГО!$A$45:$A$54,0),MATCH(Сводка!A56,ИТОГО!$B$44:$L$44,0))</f>
        <v>16016.74</v>
      </c>
    </row>
    <row r="57" spans="1:3">
      <c r="A57" t="s">
        <v>68</v>
      </c>
      <c r="B57" t="s">
        <v>32</v>
      </c>
      <c r="C57" s="198">
        <f ca="1">INDEX(ИТОГО!$B$45:$L$54,MATCH(Сводка!B57,ИТОГО!$A$45:$A$54,0),MATCH(Сводка!A57,ИТОГО!$B$44:$L$44,0))</f>
        <v>21272.799999999999</v>
      </c>
    </row>
    <row r="58" spans="1:3">
      <c r="A58" t="s">
        <v>69</v>
      </c>
      <c r="B58" t="s">
        <v>32</v>
      </c>
      <c r="C58" s="198">
        <f ca="1">INDEX(ИТОГО!$B$45:$L$54,MATCH(Сводка!B58,ИТОГО!$A$45:$A$54,0),MATCH(Сводка!A58,ИТОГО!$B$44:$L$44,0))</f>
        <v>3989634.24</v>
      </c>
    </row>
    <row r="59" spans="1:3">
      <c r="A59" t="s">
        <v>70</v>
      </c>
      <c r="B59" t="s">
        <v>32</v>
      </c>
      <c r="C59" s="198">
        <f ca="1">INDEX(ИТОГО!$B$45:$L$54,MATCH(Сводка!B59,ИТОГО!$A$45:$A$54,0),MATCH(Сводка!A59,ИТОГО!$B$44:$L$44,0))</f>
        <v>0</v>
      </c>
    </row>
    <row r="60" spans="1:3">
      <c r="A60" t="s">
        <v>71</v>
      </c>
      <c r="B60" t="s">
        <v>32</v>
      </c>
      <c r="C60" s="198">
        <f ca="1">INDEX(ИТОГО!$B$45:$L$54,MATCH(Сводка!B60,ИТОГО!$A$45:$A$54,0),MATCH(Сводка!A60,ИТОГО!$B$44:$L$44,0))</f>
        <v>0</v>
      </c>
    </row>
    <row r="61" spans="1:3">
      <c r="A61" t="s">
        <v>72</v>
      </c>
      <c r="B61" t="s">
        <v>32</v>
      </c>
      <c r="C61" s="198">
        <f ca="1">INDEX(ИТОГО!$B$45:$L$54,MATCH(Сводка!B61,ИТОГО!$A$45:$A$54,0),MATCH(Сводка!A61,ИТОГО!$B$44:$L$44,0))</f>
        <v>0</v>
      </c>
    </row>
    <row r="62" spans="1:3">
      <c r="A62" t="s">
        <v>73</v>
      </c>
      <c r="B62" t="s">
        <v>32</v>
      </c>
      <c r="C62" s="198">
        <f ca="1">INDEX(ИТОГО!$B$45:$L$54,MATCH(Сводка!B62,ИТОГО!$A$45:$A$54,0),MATCH(Сводка!A62,ИТОГО!$B$44:$L$44,0))</f>
        <v>0</v>
      </c>
    </row>
    <row r="63" spans="1:3">
      <c r="A63" t="s">
        <v>74</v>
      </c>
      <c r="B63" t="s">
        <v>32</v>
      </c>
      <c r="C63" s="198">
        <f ca="1">INDEX(ИТОГО!$B$45:$L$54,MATCH(Сводка!B63,ИТОГО!$A$45:$A$54,0),MATCH(Сводка!A63,ИТОГО!$B$44:$L$44,0))</f>
        <v>2060182.6</v>
      </c>
    </row>
    <row r="64" spans="1:3">
      <c r="A64" t="s">
        <v>75</v>
      </c>
      <c r="B64" t="s">
        <v>32</v>
      </c>
      <c r="C64" s="198">
        <f ca="1">INDEX(ИТОГО!$B$45:$L$54,MATCH(Сводка!B64,ИТОГО!$A$45:$A$54,0),MATCH(Сводка!A64,ИТОГО!$B$44:$L$44,0))</f>
        <v>0</v>
      </c>
    </row>
    <row r="65" spans="1:3">
      <c r="A65" t="s">
        <v>76</v>
      </c>
      <c r="B65" t="s">
        <v>32</v>
      </c>
      <c r="C65" s="198">
        <f ca="1">INDEX(ИТОГО!$B$45:$L$54,MATCH(Сводка!B65,ИТОГО!$A$45:$A$54,0),MATCH(Сводка!A65,ИТОГО!$B$44:$L$44,0))</f>
        <v>0</v>
      </c>
    </row>
    <row r="66" spans="1:3">
      <c r="A66" t="s">
        <v>77</v>
      </c>
      <c r="B66" t="s">
        <v>32</v>
      </c>
      <c r="C66" s="198">
        <f ca="1">INDEX(ИТОГО!$B$45:$L$54,MATCH(Сводка!B66,ИТОГО!$A$45:$A$54,0),MATCH(Сводка!A66,ИТОГО!$B$44:$L$44,0))</f>
        <v>0</v>
      </c>
    </row>
    <row r="67" spans="1:3">
      <c r="A67" t="s">
        <v>67</v>
      </c>
      <c r="B67" t="s">
        <v>33</v>
      </c>
      <c r="C67" s="198">
        <f ca="1">INDEX(ИТОГО!$B$45:$L$54,MATCH(Сводка!B67,ИТОГО!$A$45:$A$54,0),MATCH(Сводка!A67,ИТОГО!$B$44:$L$44,0))</f>
        <v>0</v>
      </c>
    </row>
    <row r="68" spans="1:3">
      <c r="A68" t="s">
        <v>68</v>
      </c>
      <c r="B68" t="s">
        <v>33</v>
      </c>
      <c r="C68" s="198">
        <f ca="1">INDEX(ИТОГО!$B$45:$L$54,MATCH(Сводка!B68,ИТОГО!$A$45:$A$54,0),MATCH(Сводка!A68,ИТОГО!$B$44:$L$44,0))</f>
        <v>0</v>
      </c>
    </row>
    <row r="69" spans="1:3">
      <c r="A69" t="s">
        <v>69</v>
      </c>
      <c r="B69" t="s">
        <v>33</v>
      </c>
      <c r="C69" s="198">
        <f ca="1">INDEX(ИТОГО!$B$45:$L$54,MATCH(Сводка!B69,ИТОГО!$A$45:$A$54,0),MATCH(Сводка!A69,ИТОГО!$B$44:$L$44,0))</f>
        <v>0</v>
      </c>
    </row>
    <row r="70" spans="1:3">
      <c r="A70" t="s">
        <v>70</v>
      </c>
      <c r="B70" t="s">
        <v>33</v>
      </c>
      <c r="C70" s="198">
        <f ca="1">INDEX(ИТОГО!$B$45:$L$54,MATCH(Сводка!B70,ИТОГО!$A$45:$A$54,0),MATCH(Сводка!A70,ИТОГО!$B$44:$L$44,0))</f>
        <v>0</v>
      </c>
    </row>
    <row r="71" spans="1:3">
      <c r="A71" t="s">
        <v>71</v>
      </c>
      <c r="B71" t="s">
        <v>33</v>
      </c>
      <c r="C71" s="198">
        <f ca="1">INDEX(ИТОГО!$B$45:$L$54,MATCH(Сводка!B71,ИТОГО!$A$45:$A$54,0),MATCH(Сводка!A71,ИТОГО!$B$44:$L$44,0))</f>
        <v>0</v>
      </c>
    </row>
    <row r="72" spans="1:3">
      <c r="A72" t="s">
        <v>72</v>
      </c>
      <c r="B72" t="s">
        <v>33</v>
      </c>
      <c r="C72" s="198">
        <f ca="1">INDEX(ИТОГО!$B$45:$L$54,MATCH(Сводка!B72,ИТОГО!$A$45:$A$54,0),MATCH(Сводка!A72,ИТОГО!$B$44:$L$44,0))</f>
        <v>0</v>
      </c>
    </row>
    <row r="73" spans="1:3">
      <c r="A73" t="s">
        <v>73</v>
      </c>
      <c r="B73" t="s">
        <v>33</v>
      </c>
      <c r="C73" s="198">
        <f ca="1">INDEX(ИТОГО!$B$45:$L$54,MATCH(Сводка!B73,ИТОГО!$A$45:$A$54,0),MATCH(Сводка!A73,ИТОГО!$B$44:$L$44,0))</f>
        <v>0</v>
      </c>
    </row>
    <row r="74" spans="1:3">
      <c r="A74" t="s">
        <v>74</v>
      </c>
      <c r="B74" t="s">
        <v>33</v>
      </c>
      <c r="C74" s="198">
        <f ca="1">INDEX(ИТОГО!$B$45:$L$54,MATCH(Сводка!B74,ИТОГО!$A$45:$A$54,0),MATCH(Сводка!A74,ИТОГО!$B$44:$L$44,0))</f>
        <v>5588857.3399999999</v>
      </c>
    </row>
    <row r="75" spans="1:3">
      <c r="A75" t="s">
        <v>75</v>
      </c>
      <c r="B75" t="s">
        <v>33</v>
      </c>
      <c r="C75" s="198">
        <f ca="1">INDEX(ИТОГО!$B$45:$L$54,MATCH(Сводка!B75,ИТОГО!$A$45:$A$54,0),MATCH(Сводка!A75,ИТОГО!$B$44:$L$44,0))</f>
        <v>0</v>
      </c>
    </row>
    <row r="76" spans="1:3">
      <c r="A76" t="s">
        <v>76</v>
      </c>
      <c r="B76" t="s">
        <v>33</v>
      </c>
      <c r="C76" s="198">
        <f ca="1">INDEX(ИТОГО!$B$45:$L$54,MATCH(Сводка!B76,ИТОГО!$A$45:$A$54,0),MATCH(Сводка!A76,ИТОГО!$B$44:$L$44,0))</f>
        <v>0</v>
      </c>
    </row>
    <row r="77" spans="1:3">
      <c r="A77" t="s">
        <v>77</v>
      </c>
      <c r="B77" t="s">
        <v>33</v>
      </c>
      <c r="C77" s="198">
        <f ca="1">INDEX(ИТОГО!$B$45:$L$54,MATCH(Сводка!B77,ИТОГО!$A$45:$A$54,0),MATCH(Сводка!A77,ИТОГО!$B$44:$L$44,0))</f>
        <v>0</v>
      </c>
    </row>
    <row r="78" spans="1:3">
      <c r="A78" t="s">
        <v>67</v>
      </c>
      <c r="B78" t="s">
        <v>27</v>
      </c>
      <c r="C78" s="198">
        <f ca="1">INDEX(ИТОГО!$B$45:$L$54,MATCH(Сводка!B78,ИТОГО!$A$45:$A$54,0),MATCH(Сводка!A78,ИТОГО!$B$44:$L$44,0))</f>
        <v>0</v>
      </c>
    </row>
    <row r="79" spans="1:3">
      <c r="A79" t="s">
        <v>68</v>
      </c>
      <c r="B79" t="s">
        <v>27</v>
      </c>
      <c r="C79" s="198">
        <f ca="1">INDEX(ИТОГО!$B$45:$L$54,MATCH(Сводка!B79,ИТОГО!$A$45:$A$54,0),MATCH(Сводка!A79,ИТОГО!$B$44:$L$44,0))</f>
        <v>12876.63</v>
      </c>
    </row>
    <row r="80" spans="1:3">
      <c r="A80" t="s">
        <v>69</v>
      </c>
      <c r="B80" t="s">
        <v>27</v>
      </c>
      <c r="C80" s="198">
        <f ca="1">INDEX(ИТОГО!$B$45:$L$54,MATCH(Сводка!B80,ИТОГО!$A$45:$A$54,0),MATCH(Сводка!A80,ИТОГО!$B$44:$L$44,0))</f>
        <v>18441370.41</v>
      </c>
    </row>
    <row r="81" spans="1:3">
      <c r="A81" t="s">
        <v>70</v>
      </c>
      <c r="B81" t="s">
        <v>27</v>
      </c>
      <c r="C81" s="198">
        <f ca="1">INDEX(ИТОГО!$B$45:$L$54,MATCH(Сводка!B81,ИТОГО!$A$45:$A$54,0),MATCH(Сводка!A81,ИТОГО!$B$44:$L$44,0))</f>
        <v>0</v>
      </c>
    </row>
    <row r="82" spans="1:3">
      <c r="A82" t="s">
        <v>71</v>
      </c>
      <c r="B82" t="s">
        <v>27</v>
      </c>
      <c r="C82" s="198">
        <f ca="1">INDEX(ИТОГО!$B$45:$L$54,MATCH(Сводка!B82,ИТОГО!$A$45:$A$54,0),MATCH(Сводка!A82,ИТОГО!$B$44:$L$44,0))</f>
        <v>0</v>
      </c>
    </row>
    <row r="83" spans="1:3">
      <c r="A83" t="s">
        <v>72</v>
      </c>
      <c r="B83" t="s">
        <v>27</v>
      </c>
      <c r="C83" s="198">
        <f ca="1">INDEX(ИТОГО!$B$45:$L$54,MATCH(Сводка!B83,ИТОГО!$A$45:$A$54,0),MATCH(Сводка!A83,ИТОГО!$B$44:$L$44,0))</f>
        <v>0</v>
      </c>
    </row>
    <row r="84" spans="1:3">
      <c r="A84" t="s">
        <v>73</v>
      </c>
      <c r="B84" t="s">
        <v>27</v>
      </c>
      <c r="C84" s="198">
        <f ca="1">INDEX(ИТОГО!$B$45:$L$54,MATCH(Сводка!B84,ИТОГО!$A$45:$A$54,0),MATCH(Сводка!A84,ИТОГО!$B$44:$L$44,0))</f>
        <v>0</v>
      </c>
    </row>
    <row r="85" spans="1:3">
      <c r="A85" t="s">
        <v>74</v>
      </c>
      <c r="B85" t="s">
        <v>27</v>
      </c>
      <c r="C85" s="198">
        <f ca="1">INDEX(ИТОГО!$B$45:$L$54,MATCH(Сводка!B85,ИТОГО!$A$45:$A$54,0),MATCH(Сводка!A85,ИТОГО!$B$44:$L$44,0))</f>
        <v>0</v>
      </c>
    </row>
    <row r="86" spans="1:3">
      <c r="A86" t="s">
        <v>75</v>
      </c>
      <c r="B86" t="s">
        <v>27</v>
      </c>
      <c r="C86" s="198">
        <f ca="1">INDEX(ИТОГО!$B$45:$L$54,MATCH(Сводка!B86,ИТОГО!$A$45:$A$54,0),MATCH(Сводка!A86,ИТОГО!$B$44:$L$44,0))</f>
        <v>0</v>
      </c>
    </row>
    <row r="87" spans="1:3">
      <c r="A87" t="s">
        <v>76</v>
      </c>
      <c r="B87" t="s">
        <v>27</v>
      </c>
      <c r="C87" s="198">
        <f ca="1">INDEX(ИТОГО!$B$45:$L$54,MATCH(Сводка!B87,ИТОГО!$A$45:$A$54,0),MATCH(Сводка!A87,ИТОГО!$B$44:$L$44,0))</f>
        <v>78080</v>
      </c>
    </row>
    <row r="88" spans="1:3">
      <c r="A88" t="s">
        <v>77</v>
      </c>
      <c r="B88" t="s">
        <v>27</v>
      </c>
      <c r="C88" s="198">
        <f ca="1">INDEX(ИТОГО!$B$45:$L$54,MATCH(Сводка!B88,ИТОГО!$A$45:$A$54,0),MATCH(Сводка!A88,ИТОГО!$B$44:$L$44,0))</f>
        <v>0</v>
      </c>
    </row>
    <row r="89" spans="1:3">
      <c r="A89" t="s">
        <v>67</v>
      </c>
      <c r="B89" t="s">
        <v>34</v>
      </c>
      <c r="C89" s="198">
        <f ca="1">INDEX(ИТОГО!$B$45:$L$54,MATCH(Сводка!B89,ИТОГО!$A$45:$A$54,0),MATCH(Сводка!A89,ИТОГО!$B$44:$L$44,0))</f>
        <v>0</v>
      </c>
    </row>
    <row r="90" spans="1:3">
      <c r="A90" t="s">
        <v>68</v>
      </c>
      <c r="B90" t="s">
        <v>34</v>
      </c>
      <c r="C90" s="198">
        <f ca="1">INDEX(ИТОГО!$B$45:$L$54,MATCH(Сводка!B90,ИТОГО!$A$45:$A$54,0),MATCH(Сводка!A90,ИТОГО!$B$44:$L$44,0))</f>
        <v>0</v>
      </c>
    </row>
    <row r="91" spans="1:3">
      <c r="A91" t="s">
        <v>69</v>
      </c>
      <c r="B91" t="s">
        <v>34</v>
      </c>
      <c r="C91" s="198">
        <f ca="1">INDEX(ИТОГО!$B$45:$L$54,MATCH(Сводка!B91,ИТОГО!$A$45:$A$54,0),MATCH(Сводка!A91,ИТОГО!$B$44:$L$44,0))</f>
        <v>8355062.0300000003</v>
      </c>
    </row>
    <row r="92" spans="1:3">
      <c r="A92" t="s">
        <v>70</v>
      </c>
      <c r="B92" t="s">
        <v>34</v>
      </c>
      <c r="C92" s="198">
        <f ca="1">INDEX(ИТОГО!$B$45:$L$54,MATCH(Сводка!B92,ИТОГО!$A$45:$A$54,0),MATCH(Сводка!A92,ИТОГО!$B$44:$L$44,0))</f>
        <v>0</v>
      </c>
    </row>
    <row r="93" spans="1:3">
      <c r="A93" t="s">
        <v>71</v>
      </c>
      <c r="B93" t="s">
        <v>34</v>
      </c>
      <c r="C93" s="198">
        <f ca="1">INDEX(ИТОГО!$B$45:$L$54,MATCH(Сводка!B93,ИТОГО!$A$45:$A$54,0),MATCH(Сводка!A93,ИТОГО!$B$44:$L$44,0))</f>
        <v>0</v>
      </c>
    </row>
    <row r="94" spans="1:3">
      <c r="A94" t="s">
        <v>72</v>
      </c>
      <c r="B94" t="s">
        <v>34</v>
      </c>
      <c r="C94" s="198">
        <f ca="1">INDEX(ИТОГО!$B$45:$L$54,MATCH(Сводка!B94,ИТОГО!$A$45:$A$54,0),MATCH(Сводка!A94,ИТОГО!$B$44:$L$44,0))</f>
        <v>0</v>
      </c>
    </row>
    <row r="95" spans="1:3">
      <c r="A95" t="s">
        <v>73</v>
      </c>
      <c r="B95" t="s">
        <v>34</v>
      </c>
      <c r="C95" s="198">
        <f ca="1">INDEX(ИТОГО!$B$45:$L$54,MATCH(Сводка!B95,ИТОГО!$A$45:$A$54,0),MATCH(Сводка!A95,ИТОГО!$B$44:$L$44,0))</f>
        <v>0</v>
      </c>
    </row>
    <row r="96" spans="1:3">
      <c r="A96" t="s">
        <v>74</v>
      </c>
      <c r="B96" t="s">
        <v>34</v>
      </c>
      <c r="C96" s="198">
        <f ca="1">INDEX(ИТОГО!$B$45:$L$54,MATCH(Сводка!B96,ИТОГО!$A$45:$A$54,0),MATCH(Сводка!A96,ИТОГО!$B$44:$L$44,0))</f>
        <v>0</v>
      </c>
    </row>
    <row r="97" spans="1:3">
      <c r="A97" t="s">
        <v>75</v>
      </c>
      <c r="B97" t="s">
        <v>34</v>
      </c>
      <c r="C97" s="198">
        <f ca="1">INDEX(ИТОГО!$B$45:$L$54,MATCH(Сводка!B97,ИТОГО!$A$45:$A$54,0),MATCH(Сводка!A97,ИТОГО!$B$44:$L$44,0))</f>
        <v>0</v>
      </c>
    </row>
    <row r="98" spans="1:3">
      <c r="A98" t="s">
        <v>76</v>
      </c>
      <c r="B98" t="s">
        <v>34</v>
      </c>
      <c r="C98" s="198">
        <f ca="1">INDEX(ИТОГО!$B$45:$L$54,MATCH(Сводка!B98,ИТОГО!$A$45:$A$54,0),MATCH(Сводка!A98,ИТОГО!$B$44:$L$44,0))</f>
        <v>29280</v>
      </c>
    </row>
    <row r="99" spans="1:3">
      <c r="A99" t="s">
        <v>77</v>
      </c>
      <c r="B99" t="s">
        <v>34</v>
      </c>
      <c r="C99" s="198">
        <f ca="1">INDEX(ИТОГО!$B$45:$L$54,MATCH(Сводка!B99,ИТОГО!$A$45:$A$54,0),MATCH(Сводка!A99,ИТОГО!$B$44:$L$44,0))</f>
        <v>0</v>
      </c>
    </row>
    <row r="100" spans="1:3">
      <c r="A100" t="s">
        <v>23</v>
      </c>
      <c r="B100" t="s">
        <v>28</v>
      </c>
      <c r="C100" s="198">
        <f ca="1">ИТОГО!B57</f>
        <v>427719.95250000001</v>
      </c>
    </row>
    <row r="101" spans="1:3">
      <c r="A101" t="s">
        <v>23</v>
      </c>
      <c r="B101" t="s">
        <v>30</v>
      </c>
      <c r="C101" s="198">
        <f ca="1">ИТОГО!B58</f>
        <v>1025950.5209999996</v>
      </c>
    </row>
    <row r="102" spans="1:3">
      <c r="A102" t="s">
        <v>23</v>
      </c>
      <c r="B102" t="s">
        <v>39</v>
      </c>
      <c r="C102" s="198">
        <f ca="1">ИТОГО!B67</f>
        <v>4197882.0180000002</v>
      </c>
    </row>
    <row r="103" spans="1:3">
      <c r="A103" t="s">
        <v>56</v>
      </c>
      <c r="B103" t="s">
        <v>29</v>
      </c>
      <c r="C103" s="198">
        <f ca="1">ИТОГО!C30</f>
        <v>16167490</v>
      </c>
    </row>
    <row r="104" spans="1:3">
      <c r="A104" t="s">
        <v>57</v>
      </c>
      <c r="B104" t="s">
        <v>29</v>
      </c>
      <c r="C104" s="198">
        <f ca="1">ИТОГО!C31</f>
        <v>0</v>
      </c>
    </row>
    <row r="105" spans="1:3">
      <c r="A105" t="s">
        <v>58</v>
      </c>
      <c r="B105" t="s">
        <v>29</v>
      </c>
      <c r="C105" s="198">
        <f ca="1">ИТОГО!C32</f>
        <v>762500</v>
      </c>
    </row>
    <row r="106" spans="1:3">
      <c r="A106" t="s">
        <v>60</v>
      </c>
      <c r="B106" t="s">
        <v>29</v>
      </c>
      <c r="C106" s="198">
        <f ca="1">ИТОГО!C33</f>
        <v>1668332</v>
      </c>
    </row>
    <row r="107" spans="1:3">
      <c r="A107" t="s">
        <v>61</v>
      </c>
      <c r="B107" t="s">
        <v>29</v>
      </c>
      <c r="C107" s="198">
        <f ca="1">ИТОГО!C34</f>
        <v>18346015</v>
      </c>
    </row>
    <row r="108" spans="1:3">
      <c r="A108" t="s">
        <v>62</v>
      </c>
      <c r="B108" t="s">
        <v>29</v>
      </c>
      <c r="C108" s="198">
        <f ca="1">ИТОГО!C35</f>
        <v>6823408</v>
      </c>
    </row>
    <row r="109" spans="1:3">
      <c r="A109" t="s">
        <v>337</v>
      </c>
      <c r="B109" t="s">
        <v>29</v>
      </c>
      <c r="C109" s="198">
        <f>ИТОГО!C38</f>
        <v>3097212</v>
      </c>
    </row>
    <row r="110" spans="1:3">
      <c r="A110" t="s">
        <v>338</v>
      </c>
      <c r="B110" t="s">
        <v>29</v>
      </c>
      <c r="C110" s="198">
        <f>ИТОГО!C39</f>
        <v>7064220</v>
      </c>
    </row>
    <row r="111" spans="1:3">
      <c r="A111" t="s">
        <v>41</v>
      </c>
      <c r="B111" t="s">
        <v>28</v>
      </c>
      <c r="C111" s="198">
        <f ca="1">ИТОГО!C19</f>
        <v>21478</v>
      </c>
    </row>
    <row r="112" spans="1:3">
      <c r="A112" t="s">
        <v>43</v>
      </c>
      <c r="B112" t="s">
        <v>28</v>
      </c>
      <c r="C112" s="198">
        <f ca="1">ИТОГО!C20</f>
        <v>8064</v>
      </c>
    </row>
    <row r="113" spans="1:3">
      <c r="A113" t="s">
        <v>45</v>
      </c>
      <c r="B113" t="s">
        <v>28</v>
      </c>
      <c r="C113" s="198">
        <f ca="1">ИТОГО!C21</f>
        <v>7786</v>
      </c>
    </row>
    <row r="114" spans="1:3">
      <c r="A114" t="s">
        <v>47</v>
      </c>
      <c r="B114" t="s">
        <v>28</v>
      </c>
      <c r="C114" s="198">
        <f ca="1">ИТОГО!C22</f>
        <v>578.40000000000009</v>
      </c>
    </row>
    <row r="115" spans="1:3">
      <c r="A115" t="s">
        <v>49</v>
      </c>
      <c r="B115" t="s">
        <v>28</v>
      </c>
      <c r="C115" s="198">
        <f ca="1">ИТОГО!C23</f>
        <v>604.8000000000003</v>
      </c>
    </row>
    <row r="116" spans="1:3">
      <c r="A116" t="s">
        <v>42</v>
      </c>
      <c r="B116" t="s">
        <v>28</v>
      </c>
      <c r="C116" s="198">
        <f ca="1">ИТОГО!G19</f>
        <v>0</v>
      </c>
    </row>
    <row r="117" spans="1:3">
      <c r="A117" t="s">
        <v>44</v>
      </c>
      <c r="B117" t="s">
        <v>28</v>
      </c>
      <c r="C117" s="198">
        <f ca="1">ИТОГО!G20</f>
        <v>0</v>
      </c>
    </row>
    <row r="118" spans="1:3">
      <c r="A118" t="s">
        <v>46</v>
      </c>
      <c r="B118" t="s">
        <v>28</v>
      </c>
      <c r="C118" s="198">
        <f ca="1">ИТОГО!G21</f>
        <v>0</v>
      </c>
    </row>
    <row r="119" spans="1:3">
      <c r="A119" t="s">
        <v>48</v>
      </c>
      <c r="B119" t="s">
        <v>31</v>
      </c>
      <c r="C119" s="198">
        <f ca="1">ИТОГО!G22</f>
        <v>0</v>
      </c>
    </row>
    <row r="120" spans="1:3">
      <c r="A120" t="s">
        <v>42</v>
      </c>
      <c r="B120" t="s">
        <v>31</v>
      </c>
      <c r="C120" s="198">
        <f ca="1">ИТОГО!G23</f>
        <v>0</v>
      </c>
    </row>
    <row r="121" spans="1:3">
      <c r="A121" t="s">
        <v>44</v>
      </c>
      <c r="B121" t="s">
        <v>31</v>
      </c>
      <c r="C121" s="198">
        <f ca="1">ИТОГО!G24</f>
        <v>0</v>
      </c>
    </row>
    <row r="122" spans="1:3">
      <c r="A122" t="s">
        <v>42</v>
      </c>
      <c r="B122" t="s">
        <v>35</v>
      </c>
      <c r="C122" s="198">
        <f ca="1">ИТОГО!G25</f>
        <v>0</v>
      </c>
    </row>
    <row r="123" spans="1:3">
      <c r="A123" t="s">
        <v>53</v>
      </c>
      <c r="B123" t="s">
        <v>35</v>
      </c>
      <c r="C123" s="198">
        <f ca="1">ИТОГО!G26</f>
        <v>719997.26</v>
      </c>
    </row>
    <row r="124" spans="1:3">
      <c r="A124" t="s">
        <v>55</v>
      </c>
      <c r="B124" t="s">
        <v>36</v>
      </c>
      <c r="C124" s="198">
        <f ca="1">ИТОГО!G27</f>
        <v>0</v>
      </c>
    </row>
    <row r="125" spans="1:3">
      <c r="A125" t="s">
        <v>44</v>
      </c>
      <c r="B125" t="s">
        <v>30</v>
      </c>
      <c r="C125" s="198">
        <f ca="1">ИТОГО!G28</f>
        <v>0</v>
      </c>
    </row>
    <row r="126" spans="1:3">
      <c r="A126" t="s">
        <v>48</v>
      </c>
      <c r="B126" t="s">
        <v>30</v>
      </c>
      <c r="C126" s="198">
        <f ca="1">ИТОГО!G29</f>
        <v>0</v>
      </c>
    </row>
    <row r="127" spans="1:3">
      <c r="A127" t="s">
        <v>46</v>
      </c>
      <c r="B127" t="s">
        <v>30</v>
      </c>
      <c r="C127" s="198">
        <f ca="1">ИТОГО!G30</f>
        <v>0</v>
      </c>
    </row>
    <row r="128" spans="1:3">
      <c r="A128" t="s">
        <v>42</v>
      </c>
      <c r="B128" t="s">
        <v>30</v>
      </c>
      <c r="C128" s="198">
        <f ca="1">ИТОГО!G31</f>
        <v>0</v>
      </c>
    </row>
    <row r="129" spans="1:3">
      <c r="A129" t="s">
        <v>59</v>
      </c>
      <c r="B129" t="s">
        <v>32</v>
      </c>
      <c r="C129" s="198">
        <f ca="1">ИТОГО!G32</f>
        <v>210273.99499200005</v>
      </c>
    </row>
    <row r="130" spans="1:3">
      <c r="A130" t="s">
        <v>48</v>
      </c>
      <c r="B130" t="s">
        <v>32</v>
      </c>
      <c r="C130" s="198">
        <f ca="1">ИТОГО!G33</f>
        <v>0</v>
      </c>
    </row>
    <row r="131" spans="1:3">
      <c r="A131" t="s">
        <v>44</v>
      </c>
      <c r="B131" t="s">
        <v>32</v>
      </c>
      <c r="C131" s="198">
        <f ca="1">ИТОГО!G34</f>
        <v>0</v>
      </c>
    </row>
    <row r="132" spans="1:3">
      <c r="A132" t="s">
        <v>46</v>
      </c>
      <c r="B132" t="s">
        <v>35</v>
      </c>
      <c r="C132" s="198">
        <f ca="1">ИТОГО!G36</f>
        <v>0</v>
      </c>
    </row>
    <row r="133" spans="1:3">
      <c r="A133" t="s">
        <v>44</v>
      </c>
      <c r="B133" t="s">
        <v>27</v>
      </c>
      <c r="C133" s="198">
        <f ca="1">ИТОГО!G37</f>
        <v>0</v>
      </c>
    </row>
    <row r="134" spans="1:3">
      <c r="A134" t="s">
        <v>42</v>
      </c>
      <c r="B134" t="s">
        <v>34</v>
      </c>
      <c r="C134" s="198">
        <f ca="1">ИТОГО!G38</f>
        <v>0</v>
      </c>
    </row>
    <row r="135" spans="1:3">
      <c r="A135" t="s">
        <v>48</v>
      </c>
      <c r="B135" t="s">
        <v>28</v>
      </c>
      <c r="C135" s="198">
        <f ca="1">ИТОГО!G39</f>
        <v>0</v>
      </c>
    </row>
    <row r="136" spans="1:3">
      <c r="A136" t="s">
        <v>42</v>
      </c>
      <c r="B136" t="s">
        <v>27</v>
      </c>
      <c r="C136" s="198">
        <f ca="1">ИТОГО!G40</f>
        <v>0</v>
      </c>
    </row>
    <row r="137" spans="1:3">
      <c r="A137" t="s">
        <v>65</v>
      </c>
      <c r="B137" t="s">
        <v>36</v>
      </c>
      <c r="C137" s="198">
        <f ca="1">ИТОГО!G41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98529-2294-4978-AF55-FBDC5092414F}">
  <sheetPr codeName="Лист4"/>
  <dimension ref="A1:F9"/>
  <sheetViews>
    <sheetView workbookViewId="0">
      <selection activeCell="A29" sqref="A29"/>
    </sheetView>
  </sheetViews>
  <sheetFormatPr defaultRowHeight="15"/>
  <cols>
    <col min="1" max="1" width="26.796875" style="2" customWidth="1"/>
    <col min="2" max="2" width="28.8984375" style="2" customWidth="1"/>
    <col min="3" max="3" width="8.796875" style="2"/>
    <col min="4" max="4" width="9.296875" style="2" customWidth="1"/>
    <col min="5" max="5" width="10.19921875" style="2" bestFit="1" customWidth="1"/>
    <col min="6" max="6" width="11.296875" style="2" customWidth="1"/>
    <col min="7" max="16384" width="8.796875" style="2"/>
  </cols>
  <sheetData>
    <row r="1" spans="1:6" ht="15.75">
      <c r="A1" s="1"/>
      <c r="B1" s="76"/>
    </row>
    <row r="3" spans="1:6" ht="21">
      <c r="A3" s="77"/>
    </row>
    <row r="4" spans="1:6">
      <c r="A4" s="22"/>
      <c r="B4" s="22"/>
      <c r="C4" s="22"/>
    </row>
    <row r="5" spans="1:6">
      <c r="A5" s="22"/>
      <c r="B5" s="22"/>
      <c r="C5" s="22"/>
    </row>
    <row r="7" spans="1:6">
      <c r="A7" s="78"/>
    </row>
    <row r="9" spans="1:6">
      <c r="E9" s="22"/>
      <c r="F9" s="22"/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0F3D-1C14-4DD2-ABE9-E69C11733876}">
  <sheetPr codeName="Лист5"/>
  <dimension ref="A3:F24"/>
  <sheetViews>
    <sheetView workbookViewId="0">
      <selection activeCell="F22" sqref="F22"/>
    </sheetView>
  </sheetViews>
  <sheetFormatPr defaultRowHeight="15"/>
  <cols>
    <col min="1" max="1" width="8.796875" style="2"/>
    <col min="2" max="2" width="28.8984375" style="2" customWidth="1"/>
    <col min="3" max="3" width="8.796875" style="2"/>
    <col min="4" max="4" width="9.296875" style="2" customWidth="1"/>
    <col min="5" max="5" width="11.8984375" style="2" customWidth="1"/>
    <col min="6" max="6" width="11.296875" style="2" customWidth="1"/>
    <col min="7" max="16384" width="8.796875" style="2"/>
  </cols>
  <sheetData>
    <row r="3" spans="1:6" ht="21">
      <c r="A3" s="77"/>
    </row>
    <row r="4" spans="1:6">
      <c r="A4" s="22"/>
      <c r="B4" s="22"/>
      <c r="C4" s="22"/>
    </row>
    <row r="5" spans="1:6">
      <c r="A5" s="22"/>
      <c r="B5" s="22"/>
      <c r="C5" s="22"/>
    </row>
    <row r="7" spans="1:6">
      <c r="A7" s="78"/>
    </row>
    <row r="9" spans="1:6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83</v>
      </c>
    </row>
    <row r="10" spans="1:6" ht="15.75" thickBot="1">
      <c r="A10" s="80"/>
      <c r="B10" s="81"/>
      <c r="C10" s="80"/>
      <c r="D10" s="82"/>
      <c r="E10" s="83"/>
      <c r="F10" s="83"/>
    </row>
    <row r="11" spans="1:6">
      <c r="A11" s="80"/>
      <c r="B11" s="84"/>
      <c r="C11" s="80"/>
      <c r="D11" s="80"/>
      <c r="E11" s="83"/>
      <c r="F11" s="83"/>
    </row>
    <row r="12" spans="1:6">
      <c r="A12" s="80"/>
      <c r="B12" s="85"/>
      <c r="C12" s="80"/>
      <c r="D12" s="80"/>
      <c r="E12" s="83"/>
      <c r="F12" s="83"/>
    </row>
    <row r="13" spans="1:6">
      <c r="A13" s="80"/>
      <c r="B13" s="81"/>
      <c r="C13" s="80"/>
      <c r="D13" s="80"/>
      <c r="E13" s="83"/>
      <c r="F13" s="83"/>
    </row>
    <row r="14" spans="1:6" ht="15.75">
      <c r="A14" s="2" t="s">
        <v>84</v>
      </c>
      <c r="E14" s="76"/>
      <c r="F14" s="86">
        <f>SUM(F10:F13)</f>
        <v>0</v>
      </c>
    </row>
    <row r="15" spans="1:6" ht="15.75">
      <c r="A15" s="2" t="s">
        <v>85</v>
      </c>
      <c r="E15" s="76"/>
      <c r="F15" s="86">
        <f>SUM(F14)</f>
        <v>0</v>
      </c>
    </row>
    <row r="16" spans="1:6" ht="15.75">
      <c r="A16" s="2" t="s">
        <v>86</v>
      </c>
      <c r="E16" s="76"/>
      <c r="F16" s="86">
        <f>SUM(F15)*1.2</f>
        <v>0</v>
      </c>
    </row>
    <row r="17" spans="1:6">
      <c r="A17" s="2" t="s">
        <v>87</v>
      </c>
      <c r="E17" s="87" t="s">
        <v>56</v>
      </c>
      <c r="F17" s="87">
        <v>16167490</v>
      </c>
    </row>
    <row r="18" spans="1:6">
      <c r="A18" s="2" t="s">
        <v>88</v>
      </c>
      <c r="E18" s="22" t="s">
        <v>58</v>
      </c>
      <c r="F18" s="87">
        <v>762500</v>
      </c>
    </row>
    <row r="19" spans="1:6">
      <c r="E19" s="22" t="s">
        <v>89</v>
      </c>
      <c r="F19" s="87">
        <v>1668332</v>
      </c>
    </row>
    <row r="20" spans="1:6">
      <c r="E20" s="2" t="s">
        <v>61</v>
      </c>
      <c r="F20" s="88">
        <v>18346015</v>
      </c>
    </row>
    <row r="21" spans="1:6">
      <c r="E21" s="2" t="s">
        <v>62</v>
      </c>
      <c r="F21" s="88">
        <v>6823408</v>
      </c>
    </row>
    <row r="22" spans="1:6">
      <c r="A22" s="2" t="s">
        <v>90</v>
      </c>
      <c r="D22" s="2" t="s">
        <v>91</v>
      </c>
    </row>
    <row r="24" spans="1:6">
      <c r="A24" s="2" t="s">
        <v>92</v>
      </c>
      <c r="B24" s="2" t="s">
        <v>93</v>
      </c>
      <c r="D24" s="2" t="s">
        <v>94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008E-F2F7-4ACA-A37A-9FB692995A3E}">
  <sheetPr codeName="Лист6"/>
  <dimension ref="A1:M40"/>
  <sheetViews>
    <sheetView topLeftCell="A13" workbookViewId="0">
      <selection activeCell="I38" sqref="I38"/>
    </sheetView>
  </sheetViews>
  <sheetFormatPr defaultRowHeight="15"/>
  <cols>
    <col min="1" max="2" width="8.796875" style="2"/>
    <col min="3" max="3" width="6.8984375" style="2" bestFit="1" customWidth="1"/>
    <col min="4" max="4" width="8.3984375" style="2" customWidth="1"/>
    <col min="5" max="6" width="8" style="2" customWidth="1"/>
    <col min="7" max="7" width="8.09765625" style="2" customWidth="1"/>
    <col min="8" max="8" width="11.3984375" style="2" customWidth="1"/>
    <col min="9" max="9" width="11.19921875" style="2" customWidth="1"/>
    <col min="10" max="10" width="8.796875" style="2"/>
    <col min="11" max="11" width="12.796875" style="2" customWidth="1"/>
    <col min="12" max="16384" width="8.796875" style="2"/>
  </cols>
  <sheetData>
    <row r="1" spans="1:13">
      <c r="H1" s="89"/>
      <c r="K1" s="79"/>
      <c r="L1" s="79"/>
      <c r="M1" s="79"/>
    </row>
    <row r="2" spans="1:13">
      <c r="H2" s="89"/>
      <c r="K2" s="79"/>
      <c r="L2" s="79"/>
      <c r="M2" s="79"/>
    </row>
    <row r="3" spans="1:13" ht="21">
      <c r="A3" s="77" t="str">
        <f>"Отчет по резерву хранению  товара  РВ " &amp; TEXT(A6,"ММММ ") &amp; YEAR(A6) &amp; ""</f>
        <v>Отчет по резерву хранению  товара  РВ Февраль 2026</v>
      </c>
      <c r="H3" s="89"/>
      <c r="K3" s="79"/>
      <c r="L3" s="79"/>
      <c r="M3" s="79"/>
    </row>
    <row r="4" spans="1:13">
      <c r="A4" s="204" t="s">
        <v>1</v>
      </c>
      <c r="B4" s="205"/>
      <c r="C4" s="202" t="s">
        <v>102</v>
      </c>
      <c r="D4" s="202" t="s">
        <v>103</v>
      </c>
      <c r="E4" s="202" t="s">
        <v>104</v>
      </c>
      <c r="F4" s="202" t="s">
        <v>105</v>
      </c>
      <c r="G4" s="202" t="s">
        <v>95</v>
      </c>
      <c r="H4" s="226" t="s">
        <v>106</v>
      </c>
      <c r="I4" s="202" t="s">
        <v>18</v>
      </c>
    </row>
    <row r="5" spans="1:13">
      <c r="A5" s="206"/>
      <c r="B5" s="207"/>
      <c r="C5" s="203"/>
      <c r="D5" s="203"/>
      <c r="E5" s="203"/>
      <c r="F5" s="203"/>
      <c r="G5" s="203"/>
      <c r="H5" s="227"/>
      <c r="I5" s="203"/>
    </row>
    <row r="6" spans="1:13">
      <c r="A6" s="224">
        <v>46054</v>
      </c>
      <c r="B6" s="225"/>
      <c r="C6" s="98">
        <f>'[1]РВ Баумана'!G6</f>
        <v>801.35</v>
      </c>
      <c r="D6" s="99">
        <f>'[1]РВ Новикова-Прибоя'!G6</f>
        <v>1345.04</v>
      </c>
      <c r="E6" s="99">
        <f>'[1]РВ Березовая Пойма'!G6</f>
        <v>4865.2049999999999</v>
      </c>
      <c r="F6" s="99">
        <f>SUM(C6:E6)</f>
        <v>7011.5949999999993</v>
      </c>
      <c r="G6" s="100">
        <f>IF(A6&lt;&gt;"",IF(8000-F6&lt;0,0,8000-F6),0)</f>
        <v>988.40500000000065</v>
      </c>
      <c r="H6" s="92">
        <f>G6*15</f>
        <v>14826.07500000001</v>
      </c>
      <c r="I6" s="92">
        <f t="shared" ref="I6:I36" si="0">SUM(H6:H6)</f>
        <v>14826.07500000001</v>
      </c>
      <c r="J6" s="2" t="str">
        <f>IF(OR(WEEKDAY(A6)=1,WEEKDAY(A6)=7,NOT(ISERROR(MATCH(A6,[1]Праздники!A:A,0)))),"Выходной","Рабочий")</f>
        <v>Выходной</v>
      </c>
    </row>
    <row r="7" spans="1:13">
      <c r="A7" s="224">
        <v>46055</v>
      </c>
      <c r="B7" s="225"/>
      <c r="C7" s="98">
        <f>'[1]РВ Баумана'!G7</f>
        <v>801.35</v>
      </c>
      <c r="D7" s="99">
        <f>'[1]РВ Новикова-Прибоя'!G7</f>
        <v>1345.04</v>
      </c>
      <c r="E7" s="99">
        <f>'[1]РВ Березовая Пойма'!G7</f>
        <v>5198.6549999999997</v>
      </c>
      <c r="F7" s="99">
        <f t="shared" ref="F7:F36" si="1">SUM(C7:E7)</f>
        <v>7345.0450000000001</v>
      </c>
      <c r="G7" s="100">
        <f t="shared" ref="G7:G33" si="2">IF(A7&lt;&gt;"",IF(8000-F7&lt;0,0,8000-F7),0)</f>
        <v>654.95499999999993</v>
      </c>
      <c r="H7" s="92">
        <f t="shared" ref="H7:H36" si="3">G7*15</f>
        <v>9824.3249999999989</v>
      </c>
      <c r="I7" s="92">
        <f t="shared" si="0"/>
        <v>9824.3249999999989</v>
      </c>
      <c r="J7" s="2" t="str">
        <f>IF(OR(WEEKDAY(A7)=1,WEEKDAY(A7)=7,NOT(ISERROR(MATCH(A7,[1]Праздники!A:A,0)))),"Выходной","Рабочий")</f>
        <v>Рабочий</v>
      </c>
    </row>
    <row r="8" spans="1:13">
      <c r="A8" s="224">
        <v>46056</v>
      </c>
      <c r="B8" s="225"/>
      <c r="C8" s="98">
        <f>'[1]РВ Баумана'!G8</f>
        <v>801.35</v>
      </c>
      <c r="D8" s="99">
        <f>'[1]РВ Новикова-Прибоя'!G8</f>
        <v>1345.04</v>
      </c>
      <c r="E8" s="99">
        <f>'[1]РВ Березовая Пойма'!G8</f>
        <v>5663.6149999999998</v>
      </c>
      <c r="F8" s="99">
        <f t="shared" si="1"/>
        <v>7810.0049999999992</v>
      </c>
      <c r="G8" s="100">
        <f t="shared" si="2"/>
        <v>189.9950000000008</v>
      </c>
      <c r="H8" s="92">
        <f t="shared" si="3"/>
        <v>2849.925000000012</v>
      </c>
      <c r="I8" s="92">
        <f t="shared" si="0"/>
        <v>2849.925000000012</v>
      </c>
      <c r="J8" s="2" t="str">
        <f>IF(OR(WEEKDAY(A8)=1,WEEKDAY(A8)=7,NOT(ISERROR(MATCH(A8,[1]Праздники!A:A,0)))),"Выходной","Рабочий")</f>
        <v>Рабочий</v>
      </c>
    </row>
    <row r="9" spans="1:13">
      <c r="A9" s="224">
        <v>46057</v>
      </c>
      <c r="B9" s="225"/>
      <c r="C9" s="98">
        <f>'[1]РВ Баумана'!G9</f>
        <v>801.35</v>
      </c>
      <c r="D9" s="99">
        <f>'[1]РВ Новикова-Прибоя'!G9</f>
        <v>1345.04</v>
      </c>
      <c r="E9" s="99">
        <f>'[1]РВ Березовая Пойма'!G9</f>
        <v>5839.6149999999998</v>
      </c>
      <c r="F9" s="99">
        <f t="shared" si="1"/>
        <v>7986.0049999999992</v>
      </c>
      <c r="G9" s="100">
        <f t="shared" si="2"/>
        <v>13.9950000000008</v>
      </c>
      <c r="H9" s="92">
        <f t="shared" si="3"/>
        <v>209.92500000001201</v>
      </c>
      <c r="I9" s="92">
        <f t="shared" si="0"/>
        <v>209.92500000001201</v>
      </c>
      <c r="J9" s="2" t="str">
        <f>IF(OR(WEEKDAY(A9)=1,WEEKDAY(A9)=7,NOT(ISERROR(MATCH(A9,[1]Праздники!A:A,0)))),"Выходной","Рабочий")</f>
        <v>Рабочий</v>
      </c>
    </row>
    <row r="10" spans="1:13">
      <c r="A10" s="224">
        <v>46058</v>
      </c>
      <c r="B10" s="225"/>
      <c r="C10" s="98">
        <f>'[1]РВ Баумана'!G10</f>
        <v>801.35</v>
      </c>
      <c r="D10" s="99">
        <f>'[1]РВ Новикова-Прибоя'!G10</f>
        <v>1478.4199999999998</v>
      </c>
      <c r="E10" s="99">
        <f>'[1]РВ Березовая Пойма'!G10</f>
        <v>5773.3850000000002</v>
      </c>
      <c r="F10" s="99">
        <f t="shared" si="1"/>
        <v>8053.1550000000007</v>
      </c>
      <c r="G10" s="100">
        <f t="shared" si="2"/>
        <v>0</v>
      </c>
      <c r="H10" s="92">
        <f t="shared" si="3"/>
        <v>0</v>
      </c>
      <c r="I10" s="92">
        <f t="shared" si="0"/>
        <v>0</v>
      </c>
      <c r="J10" s="2" t="str">
        <f>IF(OR(WEEKDAY(A10)=1,WEEKDAY(A10)=7,NOT(ISERROR(MATCH(A10,[1]Праздники!A:A,0)))),"Выходной","Рабочий")</f>
        <v>Рабочий</v>
      </c>
    </row>
    <row r="11" spans="1:13">
      <c r="A11" s="224">
        <v>46059</v>
      </c>
      <c r="B11" s="225"/>
      <c r="C11" s="98">
        <f>'[1]РВ Баумана'!G11</f>
        <v>801.35</v>
      </c>
      <c r="D11" s="99">
        <f>'[1]РВ Новикова-Прибоя'!G11</f>
        <v>1545.3799999999999</v>
      </c>
      <c r="E11" s="99">
        <f>'[1]РВ Березовая Пойма'!G11</f>
        <v>5360.835</v>
      </c>
      <c r="F11" s="99">
        <f t="shared" si="1"/>
        <v>7707.5650000000005</v>
      </c>
      <c r="G11" s="100">
        <f t="shared" si="2"/>
        <v>292.43499999999949</v>
      </c>
      <c r="H11" s="92">
        <f t="shared" si="3"/>
        <v>4386.5249999999924</v>
      </c>
      <c r="I11" s="92">
        <f t="shared" si="0"/>
        <v>4386.5249999999924</v>
      </c>
      <c r="J11" s="2" t="str">
        <f>IF(OR(WEEKDAY(A11)=1,WEEKDAY(A11)=7,NOT(ISERROR(MATCH(A11,[1]Праздники!A:A,0)))),"Выходной","Рабочий")</f>
        <v>Рабочий</v>
      </c>
    </row>
    <row r="12" spans="1:13">
      <c r="A12" s="224">
        <v>46060</v>
      </c>
      <c r="B12" s="225"/>
      <c r="C12" s="98">
        <f>'[1]РВ Баумана'!G12</f>
        <v>801.35</v>
      </c>
      <c r="D12" s="99">
        <f>'[1]РВ Новикова-Прибоя'!G12</f>
        <v>1567.3799999999999</v>
      </c>
      <c r="E12" s="99">
        <f>'[1]РВ Березовая Пойма'!G12</f>
        <v>5336.085</v>
      </c>
      <c r="F12" s="99">
        <f t="shared" si="1"/>
        <v>7704.8150000000005</v>
      </c>
      <c r="G12" s="100">
        <f t="shared" si="2"/>
        <v>295.18499999999949</v>
      </c>
      <c r="H12" s="92">
        <f t="shared" si="3"/>
        <v>4427.7749999999924</v>
      </c>
      <c r="I12" s="92">
        <f t="shared" si="0"/>
        <v>4427.7749999999924</v>
      </c>
      <c r="J12" s="2" t="str">
        <f>IF(OR(WEEKDAY(A12)=1,WEEKDAY(A12)=7,NOT(ISERROR(MATCH(A12,[1]Праздники!A:A,0)))),"Выходной","Рабочий")</f>
        <v>Выходной</v>
      </c>
    </row>
    <row r="13" spans="1:13">
      <c r="A13" s="224">
        <v>46061</v>
      </c>
      <c r="B13" s="225"/>
      <c r="C13" s="98">
        <f>'[1]РВ Баумана'!G13</f>
        <v>801.35</v>
      </c>
      <c r="D13" s="99">
        <f>'[1]РВ Новикова-Прибоя'!G13</f>
        <v>1567.3799999999999</v>
      </c>
      <c r="E13" s="99">
        <f>'[1]РВ Березовая Пойма'!G13</f>
        <v>5423.165</v>
      </c>
      <c r="F13" s="99">
        <f t="shared" si="1"/>
        <v>7791.8950000000004</v>
      </c>
      <c r="G13" s="100">
        <f t="shared" si="2"/>
        <v>208.10499999999956</v>
      </c>
      <c r="H13" s="92">
        <f t="shared" si="3"/>
        <v>3121.5749999999935</v>
      </c>
      <c r="I13" s="92">
        <f t="shared" si="0"/>
        <v>3121.5749999999935</v>
      </c>
      <c r="J13" s="2" t="str">
        <f>IF(OR(WEEKDAY(A13)=1,WEEKDAY(A13)=7,NOT(ISERROR(MATCH(A13,[1]Праздники!A:A,0)))),"Выходной","Рабочий")</f>
        <v>Выходной</v>
      </c>
    </row>
    <row r="14" spans="1:13">
      <c r="A14" s="224">
        <v>46062</v>
      </c>
      <c r="B14" s="225"/>
      <c r="C14" s="98">
        <f>'[1]РВ Баумана'!G14</f>
        <v>801.35</v>
      </c>
      <c r="D14" s="99">
        <f>'[1]РВ Новикова-Прибоя'!G14</f>
        <v>1545.3799999999999</v>
      </c>
      <c r="E14" s="99">
        <f>'[1]РВ Березовая Пойма'!G14</f>
        <v>5465.3249999999998</v>
      </c>
      <c r="F14" s="99">
        <f t="shared" si="1"/>
        <v>7812.0550000000003</v>
      </c>
      <c r="G14" s="100">
        <f t="shared" si="2"/>
        <v>187.94499999999971</v>
      </c>
      <c r="H14" s="92">
        <f t="shared" si="3"/>
        <v>2819.1749999999956</v>
      </c>
      <c r="I14" s="92">
        <f t="shared" si="0"/>
        <v>2819.1749999999956</v>
      </c>
      <c r="J14" s="2" t="str">
        <f>IF(OR(WEEKDAY(A14)=1,WEEKDAY(A14)=7,NOT(ISERROR(MATCH(A14,[1]Праздники!A:A,0)))),"Выходной","Рабочий")</f>
        <v>Рабочий</v>
      </c>
    </row>
    <row r="15" spans="1:13">
      <c r="A15" s="224">
        <v>46063</v>
      </c>
      <c r="B15" s="225"/>
      <c r="C15" s="98">
        <f>'[1]РВ Баумана'!G15</f>
        <v>757.35</v>
      </c>
      <c r="D15" s="99">
        <f>'[1]РВ Новикова-Прибоя'!G15</f>
        <v>1523.3799999999999</v>
      </c>
      <c r="E15" s="99">
        <f>'[1]РВ Березовая Пойма'!G15</f>
        <v>5554.4750000000004</v>
      </c>
      <c r="F15" s="99">
        <f t="shared" si="1"/>
        <v>7835.2049999999999</v>
      </c>
      <c r="G15" s="100">
        <f t="shared" si="2"/>
        <v>164.79500000000007</v>
      </c>
      <c r="H15" s="92">
        <f t="shared" si="3"/>
        <v>2471.9250000000011</v>
      </c>
      <c r="I15" s="92">
        <f t="shared" si="0"/>
        <v>2471.9250000000011</v>
      </c>
      <c r="J15" s="2" t="str">
        <f>IF(OR(WEEKDAY(A15)=1,WEEKDAY(A15)=7,NOT(ISERROR(MATCH(A15,[1]Праздники!A:A,0)))),"Выходной","Рабочий")</f>
        <v>Рабочий</v>
      </c>
    </row>
    <row r="16" spans="1:13">
      <c r="A16" s="224">
        <v>46064</v>
      </c>
      <c r="B16" s="225"/>
      <c r="C16" s="98">
        <f>'[1]РВ Баумана'!G16</f>
        <v>746.35</v>
      </c>
      <c r="D16" s="99">
        <f>'[1]РВ Новикова-Прибоя'!G16</f>
        <v>1523.3799999999999</v>
      </c>
      <c r="E16" s="99">
        <f>'[1]РВ Березовая Пойма'!G16</f>
        <v>5674.9750000000004</v>
      </c>
      <c r="F16" s="99">
        <f t="shared" si="1"/>
        <v>7944.7049999999999</v>
      </c>
      <c r="G16" s="100">
        <f t="shared" si="2"/>
        <v>55.295000000000073</v>
      </c>
      <c r="H16" s="92">
        <f t="shared" si="3"/>
        <v>829.42500000000109</v>
      </c>
      <c r="I16" s="92">
        <f t="shared" si="0"/>
        <v>829.42500000000109</v>
      </c>
      <c r="J16" s="2" t="str">
        <f>IF(OR(WEEKDAY(A16)=1,WEEKDAY(A16)=7,NOT(ISERROR(MATCH(A16,[1]Праздники!A:A,0)))),"Выходной","Рабочий")</f>
        <v>Рабочий</v>
      </c>
    </row>
    <row r="17" spans="1:10">
      <c r="A17" s="224">
        <v>46065</v>
      </c>
      <c r="B17" s="225"/>
      <c r="C17" s="98">
        <f>'[1]РВ Баумана'!G17</f>
        <v>742.25</v>
      </c>
      <c r="D17" s="99">
        <f>'[1]РВ Новикова-Прибоя'!G17</f>
        <v>1523.3799999999999</v>
      </c>
      <c r="E17" s="99">
        <f>'[1]РВ Березовая Пойма'!G17</f>
        <v>5652.9750000000004</v>
      </c>
      <c r="F17" s="99">
        <f t="shared" si="1"/>
        <v>7918.6050000000005</v>
      </c>
      <c r="G17" s="100">
        <f t="shared" si="2"/>
        <v>81.394999999999527</v>
      </c>
      <c r="H17" s="92">
        <f t="shared" si="3"/>
        <v>1220.9249999999929</v>
      </c>
      <c r="I17" s="92">
        <f t="shared" si="0"/>
        <v>1220.9249999999929</v>
      </c>
      <c r="J17" s="2" t="str">
        <f>IF(OR(WEEKDAY(A17)=1,WEEKDAY(A17)=7,NOT(ISERROR(MATCH(A17,[1]Праздники!A:A,0)))),"Выходной","Рабочий")</f>
        <v>Рабочий</v>
      </c>
    </row>
    <row r="18" spans="1:10">
      <c r="A18" s="224">
        <v>46066</v>
      </c>
      <c r="B18" s="225"/>
      <c r="C18" s="98">
        <f>'[1]РВ Баумана'!G18</f>
        <v>742.25</v>
      </c>
      <c r="D18" s="99">
        <f>'[1]РВ Новикова-Прибоя'!G18</f>
        <v>1523.3799999999999</v>
      </c>
      <c r="E18" s="99">
        <f>'[1]РВ Березовая Пойма'!G18</f>
        <v>5564.4750000000004</v>
      </c>
      <c r="F18" s="99">
        <f t="shared" si="1"/>
        <v>7830.1050000000005</v>
      </c>
      <c r="G18" s="100">
        <f t="shared" si="2"/>
        <v>169.89499999999953</v>
      </c>
      <c r="H18" s="92">
        <f t="shared" si="3"/>
        <v>2548.4249999999929</v>
      </c>
      <c r="I18" s="92">
        <f t="shared" si="0"/>
        <v>2548.4249999999929</v>
      </c>
      <c r="J18" s="2" t="str">
        <f>IF(OR(WEEKDAY(A18)=1,WEEKDAY(A18)=7,NOT(ISERROR(MATCH(A18,[1]Праздники!A:A,0)))),"Выходной","Рабочий")</f>
        <v>Рабочий</v>
      </c>
    </row>
    <row r="19" spans="1:10">
      <c r="A19" s="224">
        <v>46067</v>
      </c>
      <c r="B19" s="225"/>
      <c r="C19" s="98">
        <f>'[1]РВ Баумана'!G19</f>
        <v>742.25</v>
      </c>
      <c r="D19" s="99">
        <f>'[1]РВ Новикова-Прибоя'!G19</f>
        <v>1523.3799999999999</v>
      </c>
      <c r="E19" s="99">
        <f>'[1]РВ Березовая Пойма'!G19</f>
        <v>5520.4750000000004</v>
      </c>
      <c r="F19" s="99">
        <f t="shared" si="1"/>
        <v>7786.1050000000005</v>
      </c>
      <c r="G19" s="100">
        <f t="shared" si="2"/>
        <v>213.89499999999953</v>
      </c>
      <c r="H19" s="92">
        <f t="shared" si="3"/>
        <v>3208.4249999999929</v>
      </c>
      <c r="I19" s="92">
        <f t="shared" si="0"/>
        <v>3208.4249999999929</v>
      </c>
      <c r="J19" s="2" t="str">
        <f>IF(OR(WEEKDAY(A19)=1,WEEKDAY(A19)=7,NOT(ISERROR(MATCH(A19,[1]Праздники!A:A,0)))),"Выходной","Рабочий")</f>
        <v>Выходной</v>
      </c>
    </row>
    <row r="20" spans="1:10">
      <c r="A20" s="224">
        <v>46068</v>
      </c>
      <c r="B20" s="225"/>
      <c r="C20" s="98">
        <f>'[1]РВ Баумана'!G20</f>
        <v>742.25</v>
      </c>
      <c r="D20" s="99">
        <f>'[1]РВ Новикова-Прибоя'!G20</f>
        <v>1523.3799999999999</v>
      </c>
      <c r="E20" s="99">
        <f>'[1]РВ Березовая Пойма'!G20</f>
        <v>5476.4750000000004</v>
      </c>
      <c r="F20" s="99">
        <f t="shared" si="1"/>
        <v>7742.1050000000005</v>
      </c>
      <c r="G20" s="100">
        <f t="shared" si="2"/>
        <v>257.89499999999953</v>
      </c>
      <c r="H20" s="92">
        <f t="shared" si="3"/>
        <v>3868.4249999999929</v>
      </c>
      <c r="I20" s="92">
        <f t="shared" si="0"/>
        <v>3868.4249999999929</v>
      </c>
      <c r="J20" s="2" t="str">
        <f>IF(OR(WEEKDAY(A20)=1,WEEKDAY(A20)=7,NOT(ISERROR(MATCH(A20,[1]Праздники!A:A,0)))),"Выходной","Рабочий")</f>
        <v>Выходной</v>
      </c>
    </row>
    <row r="21" spans="1:10">
      <c r="A21" s="224">
        <v>46069</v>
      </c>
      <c r="B21" s="225"/>
      <c r="C21" s="98">
        <f>'[1]РВ Баумана'!G21</f>
        <v>742.25</v>
      </c>
      <c r="D21" s="99">
        <f>'[1]РВ Новикова-Прибоя'!G21</f>
        <v>1501.3799999999999</v>
      </c>
      <c r="E21" s="99">
        <f>'[1]РВ Березовая Пойма'!G21</f>
        <v>5454.4750000000004</v>
      </c>
      <c r="F21" s="99">
        <f t="shared" si="1"/>
        <v>7698.1050000000005</v>
      </c>
      <c r="G21" s="100">
        <f t="shared" si="2"/>
        <v>301.89499999999953</v>
      </c>
      <c r="H21" s="92">
        <f t="shared" si="3"/>
        <v>4528.4249999999929</v>
      </c>
      <c r="I21" s="92">
        <f t="shared" si="0"/>
        <v>4528.4249999999929</v>
      </c>
      <c r="J21" s="2" t="str">
        <f>IF(OR(WEEKDAY(A21)=1,WEEKDAY(A21)=7,NOT(ISERROR(MATCH(A21,[1]Праздники!A:A,0)))),"Выходной","Рабочий")</f>
        <v>Рабочий</v>
      </c>
    </row>
    <row r="22" spans="1:10">
      <c r="A22" s="224">
        <v>46070</v>
      </c>
      <c r="B22" s="225"/>
      <c r="C22" s="98">
        <f>'[1]РВ Баумана'!G22</f>
        <v>742.25</v>
      </c>
      <c r="D22" s="99">
        <f>'[1]РВ Новикова-Прибоя'!G22</f>
        <v>1435.3799999999999</v>
      </c>
      <c r="E22" s="99">
        <f>'[1]РВ Березовая Пойма'!G22</f>
        <v>5409.9750000000004</v>
      </c>
      <c r="F22" s="99">
        <f t="shared" si="1"/>
        <v>7587.6050000000005</v>
      </c>
      <c r="G22" s="100">
        <f t="shared" si="2"/>
        <v>412.39499999999953</v>
      </c>
      <c r="H22" s="92">
        <f t="shared" si="3"/>
        <v>6185.9249999999929</v>
      </c>
      <c r="I22" s="92">
        <f t="shared" si="0"/>
        <v>6185.9249999999929</v>
      </c>
      <c r="J22" s="2" t="str">
        <f>IF(OR(WEEKDAY(A22)=1,WEEKDAY(A22)=7,NOT(ISERROR(MATCH(A22,[1]Праздники!A:A,0)))),"Выходной","Рабочий")</f>
        <v>Рабочий</v>
      </c>
    </row>
    <row r="23" spans="1:10">
      <c r="A23" s="224">
        <v>46071</v>
      </c>
      <c r="B23" s="225"/>
      <c r="C23" s="98">
        <f>'[1]РВ Баумана'!G23</f>
        <v>742.25</v>
      </c>
      <c r="D23" s="99">
        <f>'[1]РВ Новикова-Прибоя'!G23</f>
        <v>1435.3799999999999</v>
      </c>
      <c r="E23" s="99">
        <f>'[1]РВ Березовая Пойма'!G23</f>
        <v>5322.85</v>
      </c>
      <c r="F23" s="99">
        <f t="shared" si="1"/>
        <v>7500.4800000000005</v>
      </c>
      <c r="G23" s="100">
        <f t="shared" si="2"/>
        <v>499.51999999999953</v>
      </c>
      <c r="H23" s="92">
        <f t="shared" si="3"/>
        <v>7492.7999999999929</v>
      </c>
      <c r="I23" s="92">
        <f t="shared" si="0"/>
        <v>7492.7999999999929</v>
      </c>
      <c r="J23" s="2" t="str">
        <f>IF(OR(WEEKDAY(A23)=1,WEEKDAY(A23)=7,NOT(ISERROR(MATCH(A23,[1]Праздники!A:A,0)))),"Выходной","Рабочий")</f>
        <v>Рабочий</v>
      </c>
    </row>
    <row r="24" spans="1:10">
      <c r="A24" s="224">
        <v>46072</v>
      </c>
      <c r="B24" s="225"/>
      <c r="C24" s="98">
        <f>'[1]РВ Баумана'!G24</f>
        <v>742.25</v>
      </c>
      <c r="D24" s="99">
        <f>'[1]РВ Новикова-Прибоя'!G24</f>
        <v>1369.3799999999999</v>
      </c>
      <c r="E24" s="99">
        <f>'[1]РВ Березовая Пойма'!G24</f>
        <v>5300.85</v>
      </c>
      <c r="F24" s="99">
        <f t="shared" si="1"/>
        <v>7412.4800000000005</v>
      </c>
      <c r="G24" s="100">
        <f t="shared" si="2"/>
        <v>587.51999999999953</v>
      </c>
      <c r="H24" s="92">
        <f t="shared" si="3"/>
        <v>8812.799999999992</v>
      </c>
      <c r="I24" s="92">
        <f t="shared" si="0"/>
        <v>8812.799999999992</v>
      </c>
      <c r="J24" s="2" t="str">
        <f>IF(OR(WEEKDAY(A24)=1,WEEKDAY(A24)=7,NOT(ISERROR(MATCH(A24,[1]Праздники!A:A,0)))),"Выходной","Рабочий")</f>
        <v>Рабочий</v>
      </c>
    </row>
    <row r="25" spans="1:10">
      <c r="A25" s="224">
        <v>46073</v>
      </c>
      <c r="B25" s="225"/>
      <c r="C25" s="98">
        <f>'[1]РВ Баумана'!G25</f>
        <v>742.25</v>
      </c>
      <c r="D25" s="99">
        <f>'[1]РВ Новикова-Прибоя'!G25</f>
        <v>1259.3799999999999</v>
      </c>
      <c r="E25" s="99">
        <f>'[1]РВ Березовая Пойма'!G25</f>
        <v>5212.3500000000004</v>
      </c>
      <c r="F25" s="99">
        <f t="shared" si="1"/>
        <v>7213.9800000000005</v>
      </c>
      <c r="G25" s="100">
        <f t="shared" si="2"/>
        <v>786.01999999999953</v>
      </c>
      <c r="H25" s="92">
        <f t="shared" si="3"/>
        <v>11790.299999999992</v>
      </c>
      <c r="I25" s="92">
        <f t="shared" si="0"/>
        <v>11790.299999999992</v>
      </c>
      <c r="J25" s="2" t="str">
        <f>IF(OR(WEEKDAY(A25)=1,WEEKDAY(A25)=7,NOT(ISERROR(MATCH(A25,[1]Праздники!A:A,0)))),"Выходной","Рабочий")</f>
        <v>Рабочий</v>
      </c>
    </row>
    <row r="26" spans="1:10">
      <c r="A26" s="224">
        <v>46074</v>
      </c>
      <c r="B26" s="225"/>
      <c r="C26" s="98">
        <f>'[1]РВ Баумана'!G26</f>
        <v>742.25</v>
      </c>
      <c r="D26" s="99">
        <f>'[1]РВ Новикова-Прибоя'!G26</f>
        <v>1237.3799999999999</v>
      </c>
      <c r="E26" s="99">
        <f>'[1]РВ Березовая Пойма'!G26</f>
        <v>5146.3500000000004</v>
      </c>
      <c r="F26" s="99">
        <f t="shared" si="1"/>
        <v>7125.9800000000005</v>
      </c>
      <c r="G26" s="100">
        <f t="shared" si="2"/>
        <v>874.01999999999953</v>
      </c>
      <c r="H26" s="92">
        <f t="shared" si="3"/>
        <v>13110.299999999992</v>
      </c>
      <c r="I26" s="92">
        <f t="shared" si="0"/>
        <v>13110.299999999992</v>
      </c>
      <c r="J26" s="2" t="str">
        <f>IF(OR(WEEKDAY(A26)=1,WEEKDAY(A26)=7,NOT(ISERROR(MATCH(A26,[1]Праздники!A:A,0)))),"Выходной","Рабочий")</f>
        <v>Выходной</v>
      </c>
    </row>
    <row r="27" spans="1:10" ht="15" customHeight="1">
      <c r="A27" s="224">
        <v>46075</v>
      </c>
      <c r="B27" s="225"/>
      <c r="C27" s="98">
        <f>'[1]РВ Баумана'!G27</f>
        <v>742.25</v>
      </c>
      <c r="D27" s="99">
        <f>'[1]РВ Новикова-Прибоя'!G27</f>
        <v>1237.3799999999999</v>
      </c>
      <c r="E27" s="99">
        <f>'[1]РВ Березовая Пойма'!G27</f>
        <v>5146.3500000000004</v>
      </c>
      <c r="F27" s="99">
        <f t="shared" si="1"/>
        <v>7125.9800000000005</v>
      </c>
      <c r="G27" s="100">
        <f t="shared" si="2"/>
        <v>874.01999999999953</v>
      </c>
      <c r="H27" s="92">
        <f t="shared" si="3"/>
        <v>13110.299999999992</v>
      </c>
      <c r="I27" s="92">
        <f t="shared" si="0"/>
        <v>13110.299999999992</v>
      </c>
      <c r="J27" s="2" t="str">
        <f>IF(OR(WEEKDAY(A27)=1,WEEKDAY(A27)=7,NOT(ISERROR(MATCH(A27,[1]Праздники!A:A,0)))),"Выходной","Рабочий")</f>
        <v>Выходной</v>
      </c>
    </row>
    <row r="28" spans="1:10">
      <c r="A28" s="224">
        <v>46076</v>
      </c>
      <c r="B28" s="225"/>
      <c r="C28" s="98">
        <f>'[1]РВ Баумана'!G28</f>
        <v>742.25</v>
      </c>
      <c r="D28" s="99">
        <f>'[1]РВ Новикова-Прибоя'!G28</f>
        <v>1083.3799999999999</v>
      </c>
      <c r="E28" s="99">
        <f>'[1]РВ Березовая Пойма'!G28</f>
        <v>4995.1000000000004</v>
      </c>
      <c r="F28" s="99">
        <f t="shared" si="1"/>
        <v>6820.7300000000005</v>
      </c>
      <c r="G28" s="100">
        <f t="shared" si="2"/>
        <v>1179.2699999999995</v>
      </c>
      <c r="H28" s="92">
        <f t="shared" si="3"/>
        <v>17689.049999999992</v>
      </c>
      <c r="I28" s="92">
        <f t="shared" si="0"/>
        <v>17689.049999999992</v>
      </c>
      <c r="J28" s="2" t="str">
        <f>IF(OR(WEEKDAY(A28)=1,WEEKDAY(A28)=7,NOT(ISERROR(MATCH(A28,[1]Праздники!A:A,0)))),"Выходной","Рабочий")</f>
        <v>Выходной</v>
      </c>
    </row>
    <row r="29" spans="1:10">
      <c r="A29" s="224">
        <v>46077</v>
      </c>
      <c r="B29" s="225"/>
      <c r="C29" s="98">
        <f>'[1]РВ Баумана'!G29</f>
        <v>742.25</v>
      </c>
      <c r="D29" s="99">
        <f>'[1]РВ Новикова-Прибоя'!G29</f>
        <v>929.37999999999988</v>
      </c>
      <c r="E29" s="99">
        <f>'[1]РВ Березовая Пойма'!G29</f>
        <v>4887.2950000000001</v>
      </c>
      <c r="F29" s="99">
        <f t="shared" si="1"/>
        <v>6558.9250000000002</v>
      </c>
      <c r="G29" s="100">
        <f t="shared" si="2"/>
        <v>1441.0749999999998</v>
      </c>
      <c r="H29" s="92">
        <f t="shared" si="3"/>
        <v>21616.124999999996</v>
      </c>
      <c r="I29" s="92">
        <f t="shared" si="0"/>
        <v>21616.124999999996</v>
      </c>
      <c r="J29" s="2" t="str">
        <f>IF(OR(WEEKDAY(A29)=1,WEEKDAY(A29)=7,NOT(ISERROR(MATCH(A29,[1]Праздники!A:A,0)))),"Выходной","Рабочий")</f>
        <v>Рабочий</v>
      </c>
    </row>
    <row r="30" spans="1:10">
      <c r="A30" s="224">
        <v>46078</v>
      </c>
      <c r="B30" s="225"/>
      <c r="C30" s="98">
        <f>'[1]РВ Баумана'!G30</f>
        <v>742.25</v>
      </c>
      <c r="D30" s="99">
        <f>'[1]РВ Новикова-Прибоя'!G30</f>
        <v>662.62999999999988</v>
      </c>
      <c r="E30" s="99">
        <f>'[1]РВ Березовая Пойма'!G30</f>
        <v>4737.57</v>
      </c>
      <c r="F30" s="99">
        <f t="shared" si="1"/>
        <v>6142.45</v>
      </c>
      <c r="G30" s="100">
        <f t="shared" si="2"/>
        <v>1857.5500000000002</v>
      </c>
      <c r="H30" s="92">
        <f t="shared" si="3"/>
        <v>27863.250000000004</v>
      </c>
      <c r="I30" s="92">
        <f t="shared" si="0"/>
        <v>27863.250000000004</v>
      </c>
      <c r="J30" s="2" t="str">
        <f>IF(OR(WEEKDAY(A30)=1,WEEKDAY(A30)=7,NOT(ISERROR(MATCH(A30,[1]Праздники!A:A,0)))),"Выходной","Рабочий")</f>
        <v>Рабочий</v>
      </c>
    </row>
    <row r="31" spans="1:10">
      <c r="A31" s="224">
        <v>46079</v>
      </c>
      <c r="B31" s="225"/>
      <c r="C31" s="98">
        <f>'[1]РВ Баумана'!G31</f>
        <v>736.4</v>
      </c>
      <c r="D31" s="99">
        <f>'[1]РВ Новикова-Прибоя'!G31</f>
        <v>530.62999999999988</v>
      </c>
      <c r="E31" s="99">
        <f>'[1]РВ Березовая Пойма'!G31</f>
        <v>4578.1899999999996</v>
      </c>
      <c r="F31" s="99">
        <f t="shared" si="1"/>
        <v>5845.2199999999993</v>
      </c>
      <c r="G31" s="100">
        <f t="shared" si="2"/>
        <v>2154.7800000000007</v>
      </c>
      <c r="H31" s="92">
        <f t="shared" si="3"/>
        <v>32321.700000000012</v>
      </c>
      <c r="I31" s="92">
        <f t="shared" si="0"/>
        <v>32321.700000000012</v>
      </c>
      <c r="J31" s="2" t="str">
        <f>IF(OR(WEEKDAY(A31)=1,WEEKDAY(A31)=7,NOT(ISERROR(MATCH(A31,[1]Праздники!A:A,0)))),"Выходной","Рабочий")</f>
        <v>Рабочий</v>
      </c>
    </row>
    <row r="32" spans="1:10">
      <c r="A32" s="224">
        <v>46080</v>
      </c>
      <c r="B32" s="225"/>
      <c r="C32" s="98">
        <f>'[1]РВ Баумана'!G32</f>
        <v>670.4</v>
      </c>
      <c r="D32" s="99">
        <f>'[1]РВ Новикова-Прибоя'!G32</f>
        <v>508.62999999999988</v>
      </c>
      <c r="E32" s="99">
        <f>'[1]РВ Березовая Пойма'!G32</f>
        <v>4382.9399999999996</v>
      </c>
      <c r="F32" s="99">
        <f t="shared" si="1"/>
        <v>5561.9699999999993</v>
      </c>
      <c r="G32" s="100">
        <f t="shared" si="2"/>
        <v>2438.0300000000007</v>
      </c>
      <c r="H32" s="92">
        <f t="shared" si="3"/>
        <v>36570.450000000012</v>
      </c>
      <c r="I32" s="92">
        <f t="shared" si="0"/>
        <v>36570.450000000012</v>
      </c>
      <c r="J32" s="2" t="str">
        <f>IF(OR(WEEKDAY(A32)=1,WEEKDAY(A32)=7,NOT(ISERROR(MATCH(A32,[1]Праздники!A:A,0)))),"Выходной","Рабочий")</f>
        <v>Рабочий</v>
      </c>
    </row>
    <row r="33" spans="1:11">
      <c r="A33" s="224">
        <v>46081</v>
      </c>
      <c r="B33" s="225"/>
      <c r="C33" s="98">
        <f>'[1]РВ Баумана'!G33</f>
        <v>641.52499999999998</v>
      </c>
      <c r="D33" s="99">
        <f>'[1]РВ Новикова-Прибоя'!G33</f>
        <v>464.62999999999988</v>
      </c>
      <c r="E33" s="99">
        <f>'[1]РВ Березовая Пойма'!G33</f>
        <v>4253</v>
      </c>
      <c r="F33" s="99">
        <f t="shared" si="1"/>
        <v>5359.1549999999997</v>
      </c>
      <c r="G33" s="100">
        <f t="shared" si="2"/>
        <v>2640.8450000000003</v>
      </c>
      <c r="H33" s="92">
        <f t="shared" si="3"/>
        <v>39612.675000000003</v>
      </c>
      <c r="I33" s="92">
        <f t="shared" si="0"/>
        <v>39612.675000000003</v>
      </c>
      <c r="J33" s="2" t="str">
        <f>IF(OR(WEEKDAY(A33)=1,WEEKDAY(A33)=7,NOT(ISERROR(MATCH(A33,[1]Праздники!A:A,0)))),"Выходной","Рабочий")</f>
        <v>Выходной</v>
      </c>
    </row>
    <row r="34" spans="1:11">
      <c r="A34" s="224"/>
      <c r="B34" s="225"/>
      <c r="C34" s="98">
        <f>'[1]РВ Баумана'!G34</f>
        <v>0</v>
      </c>
      <c r="D34" s="99">
        <f>'[1]РВ Новикова-Прибоя'!G34</f>
        <v>0</v>
      </c>
      <c r="E34" s="99">
        <f>'[1]РВ Березовая Пойма'!G34</f>
        <v>0</v>
      </c>
      <c r="F34" s="99">
        <f t="shared" si="1"/>
        <v>0</v>
      </c>
      <c r="G34" s="100">
        <f>IF(A34&lt;&gt;"",IF(8000-F34&lt;0,0,8000-F34),0)</f>
        <v>0</v>
      </c>
      <c r="H34" s="92">
        <f t="shared" si="3"/>
        <v>0</v>
      </c>
      <c r="I34" s="92">
        <f t="shared" si="0"/>
        <v>0</v>
      </c>
      <c r="J34" s="2" t="str">
        <f>IF(OR(WEEKDAY(A34)=1,WEEKDAY(A34)=7,NOT(ISERROR(MATCH(A34,[1]Праздники!A:A,0)))),"Выходной","Рабочий")</f>
        <v>Выходной</v>
      </c>
    </row>
    <row r="35" spans="1:11">
      <c r="A35" s="224"/>
      <c r="B35" s="225"/>
      <c r="C35" s="98">
        <f>'[1]РВ Баумана'!G35</f>
        <v>0</v>
      </c>
      <c r="D35" s="99">
        <f>'[1]РВ Новикова-Прибоя'!G35</f>
        <v>0</v>
      </c>
      <c r="E35" s="99">
        <f>'[1]РВ Березовая Пойма'!G35</f>
        <v>0</v>
      </c>
      <c r="F35" s="99">
        <f t="shared" si="1"/>
        <v>0</v>
      </c>
      <c r="G35" s="100">
        <f t="shared" ref="G35:G36" si="4">IF(A35&lt;&gt;"",IF(8000-F35&lt;0,0,8000-F35),0)</f>
        <v>0</v>
      </c>
      <c r="H35" s="92">
        <f t="shared" si="3"/>
        <v>0</v>
      </c>
      <c r="I35" s="92">
        <f t="shared" si="0"/>
        <v>0</v>
      </c>
      <c r="J35" s="2" t="str">
        <f>IF(OR(WEEKDAY(A35)=1,WEEKDAY(A35)=7,NOT(ISERROR(MATCH(A35,[1]Праздники!A:A,0)))),"Выходной","Рабочий")</f>
        <v>Выходной</v>
      </c>
    </row>
    <row r="36" spans="1:11" ht="15.75" thickBot="1">
      <c r="A36" s="224"/>
      <c r="B36" s="225"/>
      <c r="C36" s="98">
        <f>'[1]РВ Баумана'!G36</f>
        <v>0</v>
      </c>
      <c r="D36" s="99">
        <f>'[1]РВ Новикова-Прибоя'!G36</f>
        <v>0</v>
      </c>
      <c r="E36" s="99">
        <f>'[1]РВ Березовая Пойма'!G36</f>
        <v>0</v>
      </c>
      <c r="F36" s="99">
        <f t="shared" si="1"/>
        <v>0</v>
      </c>
      <c r="G36" s="100">
        <f t="shared" si="4"/>
        <v>0</v>
      </c>
      <c r="H36" s="92">
        <f t="shared" si="3"/>
        <v>0</v>
      </c>
      <c r="I36" s="92">
        <f t="shared" si="0"/>
        <v>0</v>
      </c>
      <c r="J36" s="2" t="str">
        <f>IF(OR(WEEKDAY(A36)=1,WEEKDAY(A36)=7,NOT(ISERROR(MATCH(A36,[1]Праздники!A:A,0)))),"Выходной","Рабочий")</f>
        <v>Выходной</v>
      </c>
    </row>
    <row r="37" spans="1:11" ht="15.75" thickBot="1">
      <c r="C37" s="93">
        <f>SUM(C6:C36)</f>
        <v>21155.675000000007</v>
      </c>
      <c r="D37" s="93">
        <f t="shared" ref="D37:I37" si="5">SUM(D6:D36)</f>
        <v>35879.319999999992</v>
      </c>
      <c r="E37" s="93">
        <f t="shared" si="5"/>
        <v>147197.03000000006</v>
      </c>
      <c r="F37" s="93"/>
      <c r="G37" s="93">
        <f t="shared" si="5"/>
        <v>19821.129999999997</v>
      </c>
      <c r="H37" s="94">
        <f t="shared" si="5"/>
        <v>297316.94999999995</v>
      </c>
      <c r="I37" s="95">
        <f t="shared" si="5"/>
        <v>297316.94999999995</v>
      </c>
    </row>
    <row r="38" spans="1:11" ht="15.75" thickBot="1">
      <c r="H38" s="89"/>
      <c r="I38" s="96">
        <f>I37*1.22</f>
        <v>362726.67899999995</v>
      </c>
      <c r="K38" s="97"/>
    </row>
    <row r="39" spans="1:11">
      <c r="H39" s="89"/>
    </row>
    <row r="40" spans="1:11">
      <c r="H40" s="89"/>
    </row>
  </sheetData>
  <mergeCells count="39">
    <mergeCell ref="A34:B34"/>
    <mergeCell ref="A35:B35"/>
    <mergeCell ref="A36:B36"/>
    <mergeCell ref="A28:B28"/>
    <mergeCell ref="A29:B29"/>
    <mergeCell ref="A30:B30"/>
    <mergeCell ref="A31:B31"/>
    <mergeCell ref="A32:B32"/>
    <mergeCell ref="A33:B33"/>
    <mergeCell ref="A13:B13"/>
    <mergeCell ref="A14:B14"/>
    <mergeCell ref="A27:B27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15:B15"/>
    <mergeCell ref="C4:C5"/>
    <mergeCell ref="D4:D5"/>
    <mergeCell ref="E4:E5"/>
    <mergeCell ref="H4:H5"/>
    <mergeCell ref="I4:I5"/>
    <mergeCell ref="F4:F5"/>
    <mergeCell ref="G4:G5"/>
    <mergeCell ref="A10:B10"/>
    <mergeCell ref="A11:B11"/>
    <mergeCell ref="A12:B12"/>
    <mergeCell ref="A9:B9"/>
    <mergeCell ref="A4:B5"/>
    <mergeCell ref="A6:B6"/>
    <mergeCell ref="A7:B7"/>
    <mergeCell ref="A8:B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C4D1-2D22-4658-B81D-44B67C98CCDB}">
  <sheetPr codeName="Лист7"/>
  <dimension ref="A1:S40"/>
  <sheetViews>
    <sheetView topLeftCell="A22" workbookViewId="0">
      <selection activeCell="O38" sqref="O38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9.6992187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9"/>
      <c r="Q1" s="79"/>
      <c r="R1" s="79" t="s">
        <v>107</v>
      </c>
      <c r="S1" s="79" t="s">
        <v>108</v>
      </c>
    </row>
    <row r="2" spans="1:19">
      <c r="M2" s="89"/>
      <c r="Q2" s="79" t="s">
        <v>109</v>
      </c>
      <c r="R2" s="79">
        <f>SUMIF($P$6:$P$36,R$1,$C6:$C36)</f>
        <v>0</v>
      </c>
      <c r="S2" s="79">
        <f>SUMIF($P$6:$P$36,S$1,$C6:$C36)</f>
        <v>0</v>
      </c>
    </row>
    <row r="3" spans="1:19" ht="21">
      <c r="A3" s="77" t="str">
        <f>"Отчет по хранению  товара  РВ " &amp; TEXT(A6,"ММММ ") &amp; YEAR(A6) &amp; " Баумана"</f>
        <v>Отчет по хранению  товара  РВ Февраль 2026 Баумана</v>
      </c>
      <c r="G3" s="89"/>
      <c r="M3" s="89"/>
      <c r="Q3" s="79" t="s">
        <v>97</v>
      </c>
      <c r="R3" s="79">
        <f>SUMIF($P$6:$P$36,R$1,$D6:$D36)</f>
        <v>41.25</v>
      </c>
      <c r="S3" s="79">
        <f>SUMIF($P$6:$P$36,S$1,$D6:$D36)</f>
        <v>159.82499999999999</v>
      </c>
    </row>
    <row r="4" spans="1:19">
      <c r="A4" s="204" t="s">
        <v>1</v>
      </c>
      <c r="B4" s="205"/>
      <c r="C4" s="202" t="s">
        <v>110</v>
      </c>
      <c r="D4" s="202" t="s">
        <v>111</v>
      </c>
      <c r="E4" s="202" t="s">
        <v>112</v>
      </c>
      <c r="F4" s="202" t="s">
        <v>113</v>
      </c>
      <c r="G4" s="101" t="s">
        <v>4</v>
      </c>
      <c r="H4" s="202" t="s">
        <v>7</v>
      </c>
      <c r="I4" s="202" t="s">
        <v>11</v>
      </c>
      <c r="J4" s="202" t="s">
        <v>12</v>
      </c>
      <c r="K4" s="202" t="s">
        <v>114</v>
      </c>
      <c r="L4" s="202" t="s">
        <v>115</v>
      </c>
      <c r="M4" s="226" t="s">
        <v>13</v>
      </c>
      <c r="N4" s="202" t="s">
        <v>16</v>
      </c>
      <c r="O4" s="202" t="s">
        <v>18</v>
      </c>
    </row>
    <row r="5" spans="1:19" ht="30">
      <c r="A5" s="206"/>
      <c r="B5" s="207"/>
      <c r="C5" s="203"/>
      <c r="D5" s="203"/>
      <c r="E5" s="203"/>
      <c r="F5" s="203"/>
      <c r="G5" s="102" t="s">
        <v>116</v>
      </c>
      <c r="H5" s="203"/>
      <c r="I5" s="203"/>
      <c r="J5" s="203"/>
      <c r="K5" s="203"/>
      <c r="L5" s="203"/>
      <c r="M5" s="227"/>
      <c r="N5" s="203"/>
      <c r="O5" s="203"/>
    </row>
    <row r="6" spans="1:19">
      <c r="A6" s="224">
        <v>46054</v>
      </c>
      <c r="B6" s="225"/>
      <c r="C6" s="98">
        <v>0</v>
      </c>
      <c r="D6" s="99">
        <v>0</v>
      </c>
      <c r="E6" s="99"/>
      <c r="F6" s="100"/>
      <c r="G6" s="90">
        <v>801.35</v>
      </c>
      <c r="H6" s="91"/>
      <c r="I6" s="92">
        <f>IF(P6="Выходной",SUM(C6*150)*1.5,SUM(C6*150))</f>
        <v>0</v>
      </c>
      <c r="J6" s="92">
        <f>IF(P6="Выходной",SUM(D6*150)*1.5,SUM(D6*150))</f>
        <v>0</v>
      </c>
      <c r="K6" s="92">
        <f>IF(OR(WEEKDAY(A6)=1,WEEKDAY(A6)=7,NOT(ISERROR(MATCH(A6,[1]Праздники!A:A,0)))),SUM(E6*225)*1.5,SUM(E6*225))</f>
        <v>0</v>
      </c>
      <c r="L6" s="92">
        <f>IF(OR(WEEKDAY(A6)=1,WEEKDAY(A6)=7,NOT(ISERROR(MATCH(A6,[1]Праздники!A:A,0)))),SUM(F6*225)*1.5,SUM(F6*225))</f>
        <v>0</v>
      </c>
      <c r="M6" s="92">
        <f>SUM(G6*15)</f>
        <v>12020.25</v>
      </c>
      <c r="N6" s="92">
        <f>SUM(H6)*750</f>
        <v>0</v>
      </c>
      <c r="O6" s="92">
        <f>SUM(I6:N6)</f>
        <v>12020.25</v>
      </c>
      <c r="P6" s="2" t="str">
        <f>IF(OR(WEEKDAY(A6)=1,WEEKDAY(A6)=7,NOT(ISERROR(MATCH(A6,[1]Праздники!A:A,0)))),"Выходной","Рабочий")</f>
        <v>Выходной</v>
      </c>
    </row>
    <row r="7" spans="1:19">
      <c r="A7" s="224">
        <v>46055</v>
      </c>
      <c r="B7" s="225"/>
      <c r="C7" s="98">
        <v>0</v>
      </c>
      <c r="D7" s="99">
        <v>0</v>
      </c>
      <c r="E7" s="99"/>
      <c r="F7" s="100"/>
      <c r="G7" s="90">
        <f>IF(A7 ="",0,G6+C7+E7-D6-F6)</f>
        <v>801.35</v>
      </c>
      <c r="H7" s="91"/>
      <c r="I7" s="92">
        <f t="shared" ref="I7:I36" si="0">IF(P7="Выходной",SUM(C7*150)*1.5,SUM(C7*150))</f>
        <v>0</v>
      </c>
      <c r="J7" s="92">
        <f t="shared" ref="J7:J36" si="1">IF(P7="Выходной",SUM(D7*150)*1.5,SUM(D7*150))</f>
        <v>0</v>
      </c>
      <c r="K7" s="92">
        <f>IF(OR(WEEKDAY(A7)=1,WEEKDAY(A7)=7,NOT(ISERROR(MATCH(A7,[1]Праздники!A:A,0)))),SUM(E7*225)*1.5,SUM(E7*225))</f>
        <v>0</v>
      </c>
      <c r="L7" s="92">
        <f>IF(OR(WEEKDAY(A7)=1,WEEKDAY(A7)=7,NOT(ISERROR(MATCH(A7,[1]Праздники!A:A,0)))),SUM(F7*225)*1.5,SUM(F7*225))</f>
        <v>0</v>
      </c>
      <c r="M7" s="92">
        <f t="shared" ref="M7:M36" si="2">SUM(G7*15)</f>
        <v>12020.25</v>
      </c>
      <c r="N7" s="92">
        <f t="shared" ref="N7:N36" si="3">SUM(H7)*750</f>
        <v>0</v>
      </c>
      <c r="O7" s="92">
        <f t="shared" ref="O7:O35" si="4">SUM(I7:N7)</f>
        <v>12020.25</v>
      </c>
      <c r="P7" s="2" t="str">
        <f>IF(OR(WEEKDAY(A7)=1,WEEKDAY(A7)=7,NOT(ISERROR(MATCH(A7,[1]Праздники!A:A,0)))),"Выходной","Рабочий")</f>
        <v>Рабочий</v>
      </c>
    </row>
    <row r="8" spans="1:19">
      <c r="A8" s="224">
        <v>46056</v>
      </c>
      <c r="B8" s="225"/>
      <c r="C8" s="98">
        <v>0</v>
      </c>
      <c r="D8" s="99">
        <v>0</v>
      </c>
      <c r="E8" s="99"/>
      <c r="F8" s="100"/>
      <c r="G8" s="90">
        <f t="shared" ref="G8:G36" si="5">IF(A8 ="",0,G7+C8+E8-D7-F7)</f>
        <v>801.35</v>
      </c>
      <c r="H8" s="91"/>
      <c r="I8" s="92">
        <f t="shared" si="0"/>
        <v>0</v>
      </c>
      <c r="J8" s="92">
        <f t="shared" si="1"/>
        <v>0</v>
      </c>
      <c r="K8" s="92">
        <f>IF(OR(WEEKDAY(A8)=1,WEEKDAY(A8)=7,NOT(ISERROR(MATCH(A8,[1]Праздники!A:A,0)))),SUM(E8*225)*1.5,SUM(E8*225))</f>
        <v>0</v>
      </c>
      <c r="L8" s="92">
        <f>IF(OR(WEEKDAY(A8)=1,WEEKDAY(A8)=7,NOT(ISERROR(MATCH(A8,[1]Праздники!A:A,0)))),SUM(F8*225)*1.5,SUM(F8*225))</f>
        <v>0</v>
      </c>
      <c r="M8" s="92">
        <f t="shared" si="2"/>
        <v>12020.25</v>
      </c>
      <c r="N8" s="92">
        <f t="shared" si="3"/>
        <v>0</v>
      </c>
      <c r="O8" s="92">
        <f t="shared" si="4"/>
        <v>12020.25</v>
      </c>
      <c r="P8" s="2" t="str">
        <f>IF(OR(WEEKDAY(A8)=1,WEEKDAY(A8)=7,NOT(ISERROR(MATCH(A8,[1]Праздники!A:A,0)))),"Выходной","Рабочий")</f>
        <v>Рабочий</v>
      </c>
    </row>
    <row r="9" spans="1:19">
      <c r="A9" s="224">
        <v>46057</v>
      </c>
      <c r="B9" s="225"/>
      <c r="C9" s="98">
        <v>0</v>
      </c>
      <c r="D9" s="99">
        <v>0</v>
      </c>
      <c r="E9" s="99"/>
      <c r="F9" s="100"/>
      <c r="G9" s="90">
        <f t="shared" si="5"/>
        <v>801.35</v>
      </c>
      <c r="H9" s="91"/>
      <c r="I9" s="92">
        <f t="shared" si="0"/>
        <v>0</v>
      </c>
      <c r="J9" s="92">
        <f t="shared" si="1"/>
        <v>0</v>
      </c>
      <c r="K9" s="92">
        <f>IF(OR(WEEKDAY(A9)=1,WEEKDAY(A9)=7,NOT(ISERROR(MATCH(A9,[1]Праздники!A:A,0)))),SUM(E9*225)*1.5,SUM(E9*225))</f>
        <v>0</v>
      </c>
      <c r="L9" s="92">
        <f>IF(OR(WEEKDAY(A9)=1,WEEKDAY(A9)=7,NOT(ISERROR(MATCH(A9,[1]Праздники!A:A,0)))),SUM(F9*225)*1.5,SUM(F9*225))</f>
        <v>0</v>
      </c>
      <c r="M9" s="92">
        <f t="shared" si="2"/>
        <v>12020.25</v>
      </c>
      <c r="N9" s="92">
        <f t="shared" si="3"/>
        <v>0</v>
      </c>
      <c r="O9" s="92">
        <f t="shared" si="4"/>
        <v>12020.25</v>
      </c>
      <c r="P9" s="2" t="str">
        <f>IF(OR(WEEKDAY(A9)=1,WEEKDAY(A9)=7,NOT(ISERROR(MATCH(A9,[1]Праздники!A:A,0)))),"Выходной","Рабочий")</f>
        <v>Рабочий</v>
      </c>
    </row>
    <row r="10" spans="1:19">
      <c r="A10" s="224">
        <v>46058</v>
      </c>
      <c r="B10" s="225"/>
      <c r="C10" s="98">
        <v>0</v>
      </c>
      <c r="D10" s="99">
        <v>0</v>
      </c>
      <c r="E10" s="99"/>
      <c r="F10" s="100"/>
      <c r="G10" s="90">
        <f t="shared" si="5"/>
        <v>801.35</v>
      </c>
      <c r="H10" s="91"/>
      <c r="I10" s="92">
        <f t="shared" si="0"/>
        <v>0</v>
      </c>
      <c r="J10" s="92">
        <f t="shared" si="1"/>
        <v>0</v>
      </c>
      <c r="K10" s="92">
        <f>IF(OR(WEEKDAY(A10)=1,WEEKDAY(A10)=7,NOT(ISERROR(MATCH(A10,[1]Праздники!A:A,0)))),SUM(E10*225)*1.5,SUM(E10*225))</f>
        <v>0</v>
      </c>
      <c r="L10" s="92">
        <f>IF(OR(WEEKDAY(A10)=1,WEEKDAY(A10)=7,NOT(ISERROR(MATCH(A10,[1]Праздники!A:A,0)))),SUM(F10*225)*1.5,SUM(F10*225))</f>
        <v>0</v>
      </c>
      <c r="M10" s="92">
        <f t="shared" si="2"/>
        <v>12020.25</v>
      </c>
      <c r="N10" s="92">
        <f t="shared" si="3"/>
        <v>0</v>
      </c>
      <c r="O10" s="92">
        <f t="shared" si="4"/>
        <v>12020.25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4">
        <v>46059</v>
      </c>
      <c r="B11" s="225"/>
      <c r="C11" s="98">
        <v>0</v>
      </c>
      <c r="D11" s="99">
        <v>0</v>
      </c>
      <c r="E11" s="99"/>
      <c r="F11" s="100"/>
      <c r="G11" s="90">
        <f t="shared" si="5"/>
        <v>801.35</v>
      </c>
      <c r="H11" s="91"/>
      <c r="I11" s="92">
        <f t="shared" si="0"/>
        <v>0</v>
      </c>
      <c r="J11" s="92">
        <f t="shared" si="1"/>
        <v>0</v>
      </c>
      <c r="K11" s="92">
        <f>IF(OR(WEEKDAY(A11)=1,WEEKDAY(A11)=7,NOT(ISERROR(MATCH(A11,[1]Праздники!A:A,0)))),SUM(E11*225)*1.5,SUM(E11*225))</f>
        <v>0</v>
      </c>
      <c r="L11" s="92">
        <f>IF(OR(WEEKDAY(A11)=1,WEEKDAY(A11)=7,NOT(ISERROR(MATCH(A11,[1]Праздники!A:A,0)))),SUM(F11*225)*1.5,SUM(F11*225))</f>
        <v>0</v>
      </c>
      <c r="M11" s="92">
        <f t="shared" si="2"/>
        <v>12020.25</v>
      </c>
      <c r="N11" s="92">
        <f t="shared" si="3"/>
        <v>0</v>
      </c>
      <c r="O11" s="92">
        <f t="shared" si="4"/>
        <v>12020.25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4">
        <v>46060</v>
      </c>
      <c r="B12" s="225"/>
      <c r="C12" s="98">
        <v>0</v>
      </c>
      <c r="D12" s="99">
        <v>0</v>
      </c>
      <c r="E12" s="99"/>
      <c r="F12" s="100"/>
      <c r="G12" s="90">
        <f t="shared" si="5"/>
        <v>801.35</v>
      </c>
      <c r="H12" s="91"/>
      <c r="I12" s="92">
        <f t="shared" si="0"/>
        <v>0</v>
      </c>
      <c r="J12" s="92">
        <f t="shared" si="1"/>
        <v>0</v>
      </c>
      <c r="K12" s="92">
        <f>IF(OR(WEEKDAY(A12)=1,WEEKDAY(A12)=7,NOT(ISERROR(MATCH(A12,[1]Праздники!A:A,0)))),SUM(E12*225)*1.5,SUM(E12*225))</f>
        <v>0</v>
      </c>
      <c r="L12" s="92">
        <f>IF(OR(WEEKDAY(A12)=1,WEEKDAY(A12)=7,NOT(ISERROR(MATCH(A12,[1]Праздники!A:A,0)))),SUM(F12*225)*1.5,SUM(F12*225))</f>
        <v>0</v>
      </c>
      <c r="M12" s="92">
        <f t="shared" si="2"/>
        <v>12020.25</v>
      </c>
      <c r="N12" s="92">
        <f t="shared" si="3"/>
        <v>0</v>
      </c>
      <c r="O12" s="92">
        <f t="shared" si="4"/>
        <v>12020.25</v>
      </c>
      <c r="P12" s="2" t="str">
        <f>IF(OR(WEEKDAY(A12)=1,WEEKDAY(A12)=7,NOT(ISERROR(MATCH(A12,[1]Праздники!A:A,0)))),"Выходной","Рабочий")</f>
        <v>Выходной</v>
      </c>
    </row>
    <row r="13" spans="1:19">
      <c r="A13" s="224">
        <v>46061</v>
      </c>
      <c r="B13" s="225"/>
      <c r="C13" s="98">
        <v>0</v>
      </c>
      <c r="D13" s="99">
        <v>0</v>
      </c>
      <c r="E13" s="99"/>
      <c r="F13" s="103"/>
      <c r="G13" s="90">
        <f t="shared" si="5"/>
        <v>801.35</v>
      </c>
      <c r="H13" s="91"/>
      <c r="I13" s="92">
        <f t="shared" si="0"/>
        <v>0</v>
      </c>
      <c r="J13" s="92">
        <f t="shared" si="1"/>
        <v>0</v>
      </c>
      <c r="K13" s="92">
        <f>IF(OR(WEEKDAY(A13)=1,WEEKDAY(A13)=7,NOT(ISERROR(MATCH(A13,[1]Праздники!A:A,0)))),SUM(E13*225)*1.5,SUM(E13*225))</f>
        <v>0</v>
      </c>
      <c r="L13" s="92">
        <f>IF(OR(WEEKDAY(A13)=1,WEEKDAY(A13)=7,NOT(ISERROR(MATCH(A13,[1]Праздники!A:A,0)))),SUM(F13*225)*1.5,SUM(F13*225))</f>
        <v>0</v>
      </c>
      <c r="M13" s="92">
        <f t="shared" si="2"/>
        <v>12020.25</v>
      </c>
      <c r="N13" s="92">
        <f t="shared" si="3"/>
        <v>0</v>
      </c>
      <c r="O13" s="92">
        <f t="shared" si="4"/>
        <v>12020.25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24">
        <v>46062</v>
      </c>
      <c r="B14" s="225"/>
      <c r="C14" s="98">
        <v>0</v>
      </c>
      <c r="D14" s="99">
        <v>44</v>
      </c>
      <c r="E14" s="99"/>
      <c r="F14" s="103"/>
      <c r="G14" s="90">
        <f t="shared" si="5"/>
        <v>801.35</v>
      </c>
      <c r="H14" s="91"/>
      <c r="I14" s="92">
        <f t="shared" si="0"/>
        <v>0</v>
      </c>
      <c r="J14" s="92">
        <f t="shared" si="1"/>
        <v>6600</v>
      </c>
      <c r="K14" s="92">
        <f>IF(OR(WEEKDAY(A14)=1,WEEKDAY(A14)=7,NOT(ISERROR(MATCH(A14,[1]Праздники!A:A,0)))),SUM(E14*225)*1.5,SUM(E14*225))</f>
        <v>0</v>
      </c>
      <c r="L14" s="92">
        <f>IF(OR(WEEKDAY(A14)=1,WEEKDAY(A14)=7,NOT(ISERROR(MATCH(A14,[1]Праздники!A:A,0)))),SUM(F14*225)*1.5,SUM(F14*225))</f>
        <v>0</v>
      </c>
      <c r="M14" s="92">
        <f t="shared" si="2"/>
        <v>12020.25</v>
      </c>
      <c r="N14" s="92">
        <f t="shared" si="3"/>
        <v>0</v>
      </c>
      <c r="O14" s="92">
        <f t="shared" si="4"/>
        <v>18620.25</v>
      </c>
      <c r="P14" s="2" t="str">
        <f>IF(OR(WEEKDAY(A14)=1,WEEKDAY(A14)=7,NOT(ISERROR(MATCH(A14,[1]Праздники!A:A,0)))),"Выходной","Рабочий")</f>
        <v>Рабочий</v>
      </c>
    </row>
    <row r="15" spans="1:19">
      <c r="A15" s="224">
        <v>46063</v>
      </c>
      <c r="B15" s="225"/>
      <c r="C15" s="98">
        <v>0</v>
      </c>
      <c r="D15" s="99">
        <v>11</v>
      </c>
      <c r="E15" s="99"/>
      <c r="F15" s="100"/>
      <c r="G15" s="90">
        <f t="shared" si="5"/>
        <v>757.35</v>
      </c>
      <c r="H15" s="91"/>
      <c r="I15" s="92">
        <f t="shared" si="0"/>
        <v>0</v>
      </c>
      <c r="J15" s="92">
        <f t="shared" si="1"/>
        <v>1650</v>
      </c>
      <c r="K15" s="92">
        <f>IF(OR(WEEKDAY(A15)=1,WEEKDAY(A15)=7,NOT(ISERROR(MATCH(A15,[1]Праздники!A:A,0)))),SUM(E15*225)*1.5,SUM(E15*225))</f>
        <v>0</v>
      </c>
      <c r="L15" s="92">
        <f>IF(OR(WEEKDAY(A15)=1,WEEKDAY(A15)=7,NOT(ISERROR(MATCH(A15,[1]Праздники!A:A,0)))),SUM(F15*225)*1.5,SUM(F15*225))</f>
        <v>0</v>
      </c>
      <c r="M15" s="92">
        <f t="shared" si="2"/>
        <v>11360.25</v>
      </c>
      <c r="N15" s="92">
        <f t="shared" si="3"/>
        <v>0</v>
      </c>
      <c r="O15" s="92">
        <f t="shared" si="4"/>
        <v>13010.25</v>
      </c>
      <c r="P15" s="2" t="str">
        <f>IF(OR(WEEKDAY(A15)=1,WEEKDAY(A15)=7,NOT(ISERROR(MATCH(A15,[1]Праздники!A:A,0)))),"Выходной","Рабочий")</f>
        <v>Рабочий</v>
      </c>
    </row>
    <row r="16" spans="1:19">
      <c r="A16" s="224">
        <v>46064</v>
      </c>
      <c r="B16" s="225"/>
      <c r="C16" s="98">
        <v>0</v>
      </c>
      <c r="D16" s="99">
        <v>4.0999999999999996</v>
      </c>
      <c r="E16" s="99"/>
      <c r="F16" s="100"/>
      <c r="G16" s="90">
        <f t="shared" si="5"/>
        <v>746.35</v>
      </c>
      <c r="H16" s="91"/>
      <c r="I16" s="92">
        <f t="shared" si="0"/>
        <v>0</v>
      </c>
      <c r="J16" s="92">
        <f t="shared" si="1"/>
        <v>615</v>
      </c>
      <c r="K16" s="92">
        <f>IF(OR(WEEKDAY(A16)=1,WEEKDAY(A16)=7,NOT(ISERROR(MATCH(A16,[1]Праздники!A:A,0)))),SUM(E16*225)*1.5,SUM(E16*225))</f>
        <v>0</v>
      </c>
      <c r="L16" s="92">
        <f>IF(OR(WEEKDAY(A16)=1,WEEKDAY(A16)=7,NOT(ISERROR(MATCH(A16,[1]Праздники!A:A,0)))),SUM(F16*225)*1.5,SUM(F16*225))</f>
        <v>0</v>
      </c>
      <c r="M16" s="92">
        <f t="shared" si="2"/>
        <v>11195.25</v>
      </c>
      <c r="N16" s="92">
        <f t="shared" si="3"/>
        <v>0</v>
      </c>
      <c r="O16" s="92">
        <f t="shared" si="4"/>
        <v>11810.25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4">
        <v>46065</v>
      </c>
      <c r="B17" s="225"/>
      <c r="C17" s="98">
        <v>0</v>
      </c>
      <c r="D17" s="99">
        <v>0</v>
      </c>
      <c r="E17" s="99"/>
      <c r="F17" s="100"/>
      <c r="G17" s="90">
        <f t="shared" si="5"/>
        <v>742.25</v>
      </c>
      <c r="H17" s="91"/>
      <c r="I17" s="92">
        <f t="shared" si="0"/>
        <v>0</v>
      </c>
      <c r="J17" s="92">
        <f t="shared" si="1"/>
        <v>0</v>
      </c>
      <c r="K17" s="92">
        <f>IF(OR(WEEKDAY(A17)=1,WEEKDAY(A17)=7,NOT(ISERROR(MATCH(A17,[1]Праздники!A:A,0)))),SUM(E17*225)*1.5,SUM(E17*225))</f>
        <v>0</v>
      </c>
      <c r="L17" s="92">
        <f>IF(OR(WEEKDAY(A17)=1,WEEKDAY(A17)=7,NOT(ISERROR(MATCH(A17,[1]Праздники!A:A,0)))),SUM(F17*225)*1.5,SUM(F17*225))</f>
        <v>0</v>
      </c>
      <c r="M17" s="92">
        <f t="shared" si="2"/>
        <v>11133.75</v>
      </c>
      <c r="N17" s="92">
        <f t="shared" si="3"/>
        <v>0</v>
      </c>
      <c r="O17" s="92">
        <f t="shared" si="4"/>
        <v>11133.75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4">
        <v>46066</v>
      </c>
      <c r="B18" s="225"/>
      <c r="C18" s="98">
        <v>0</v>
      </c>
      <c r="D18" s="99">
        <v>0</v>
      </c>
      <c r="E18" s="99"/>
      <c r="F18" s="100"/>
      <c r="G18" s="90">
        <f t="shared" si="5"/>
        <v>742.25</v>
      </c>
      <c r="H18" s="91"/>
      <c r="I18" s="92">
        <f t="shared" si="0"/>
        <v>0</v>
      </c>
      <c r="J18" s="92">
        <f t="shared" si="1"/>
        <v>0</v>
      </c>
      <c r="K18" s="92">
        <f>IF(OR(WEEKDAY(A18)=1,WEEKDAY(A18)=7,NOT(ISERROR(MATCH(A18,[1]Праздники!A:A,0)))),SUM(E18*225)*1.5,SUM(E18*225))</f>
        <v>0</v>
      </c>
      <c r="L18" s="92">
        <f>IF(OR(WEEKDAY(A18)=1,WEEKDAY(A18)=7,NOT(ISERROR(MATCH(A18,[1]Праздники!A:A,0)))),SUM(F18*225)*1.5,SUM(F18*225))</f>
        <v>0</v>
      </c>
      <c r="M18" s="92">
        <f t="shared" si="2"/>
        <v>11133.75</v>
      </c>
      <c r="N18" s="92">
        <f t="shared" si="3"/>
        <v>0</v>
      </c>
      <c r="O18" s="92">
        <f t="shared" si="4"/>
        <v>11133.75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4">
        <v>46067</v>
      </c>
      <c r="B19" s="225"/>
      <c r="C19" s="98">
        <v>0</v>
      </c>
      <c r="D19" s="99">
        <v>0</v>
      </c>
      <c r="E19" s="99"/>
      <c r="F19" s="100"/>
      <c r="G19" s="90">
        <f t="shared" si="5"/>
        <v>742.25</v>
      </c>
      <c r="H19" s="91"/>
      <c r="I19" s="92">
        <f t="shared" si="0"/>
        <v>0</v>
      </c>
      <c r="J19" s="92">
        <f t="shared" si="1"/>
        <v>0</v>
      </c>
      <c r="K19" s="92">
        <f>IF(OR(WEEKDAY(A19)=1,WEEKDAY(A19)=7,NOT(ISERROR(MATCH(A19,[1]Праздники!A:A,0)))),SUM(E19*225)*1.5,SUM(E19*225))</f>
        <v>0</v>
      </c>
      <c r="L19" s="92">
        <f>IF(OR(WEEKDAY(A19)=1,WEEKDAY(A19)=7,NOT(ISERROR(MATCH(A19,[1]Праздники!A:A,0)))),SUM(F19*225)*1.5,SUM(F19*225))</f>
        <v>0</v>
      </c>
      <c r="M19" s="92">
        <f t="shared" si="2"/>
        <v>11133.75</v>
      </c>
      <c r="N19" s="92">
        <f t="shared" si="3"/>
        <v>0</v>
      </c>
      <c r="O19" s="92">
        <f t="shared" si="4"/>
        <v>11133.75</v>
      </c>
      <c r="P19" s="2" t="str">
        <f>IF(OR(WEEKDAY(A19)=1,WEEKDAY(A19)=7,NOT(ISERROR(MATCH(A19,[1]Праздники!A:A,0)))),"Выходной","Рабочий")</f>
        <v>Выходной</v>
      </c>
    </row>
    <row r="20" spans="1:16">
      <c r="A20" s="224">
        <v>46068</v>
      </c>
      <c r="B20" s="225"/>
      <c r="C20" s="98">
        <v>0</v>
      </c>
      <c r="D20" s="99">
        <v>0</v>
      </c>
      <c r="E20" s="99"/>
      <c r="F20" s="100"/>
      <c r="G20" s="90">
        <f t="shared" si="5"/>
        <v>742.25</v>
      </c>
      <c r="H20" s="91"/>
      <c r="I20" s="92">
        <f t="shared" si="0"/>
        <v>0</v>
      </c>
      <c r="J20" s="92">
        <f t="shared" si="1"/>
        <v>0</v>
      </c>
      <c r="K20" s="92">
        <f>IF(OR(WEEKDAY(A20)=1,WEEKDAY(A20)=7,NOT(ISERROR(MATCH(A20,[1]Праздники!A:A,0)))),SUM(E20*225)*1.5,SUM(E20*225))</f>
        <v>0</v>
      </c>
      <c r="L20" s="92">
        <f>IF(OR(WEEKDAY(A20)=1,WEEKDAY(A20)=7,NOT(ISERROR(MATCH(A20,[1]Праздники!A:A,0)))),SUM(F20*225)*1.5,SUM(F20*225))</f>
        <v>0</v>
      </c>
      <c r="M20" s="92">
        <f t="shared" si="2"/>
        <v>11133.75</v>
      </c>
      <c r="N20" s="92">
        <f t="shared" si="3"/>
        <v>0</v>
      </c>
      <c r="O20" s="92">
        <f t="shared" si="4"/>
        <v>11133.75</v>
      </c>
      <c r="P20" s="2" t="str">
        <f>IF(OR(WEEKDAY(A20)=1,WEEKDAY(A20)=7,NOT(ISERROR(MATCH(A20,[1]Праздники!A:A,0)))),"Выходной","Рабочий")</f>
        <v>Выходной</v>
      </c>
    </row>
    <row r="21" spans="1:16">
      <c r="A21" s="224">
        <v>46069</v>
      </c>
      <c r="B21" s="225"/>
      <c r="C21" s="98">
        <v>0</v>
      </c>
      <c r="D21" s="99">
        <v>0</v>
      </c>
      <c r="E21" s="99"/>
      <c r="F21" s="100"/>
      <c r="G21" s="90">
        <f t="shared" si="5"/>
        <v>742.25</v>
      </c>
      <c r="H21" s="91"/>
      <c r="I21" s="92">
        <f t="shared" si="0"/>
        <v>0</v>
      </c>
      <c r="J21" s="92">
        <f t="shared" si="1"/>
        <v>0</v>
      </c>
      <c r="K21" s="92">
        <f>IF(OR(WEEKDAY(A21)=1,WEEKDAY(A21)=7,NOT(ISERROR(MATCH(A21,[1]Праздники!A:A,0)))),SUM(E21*225)*1.5,SUM(E21*225))</f>
        <v>0</v>
      </c>
      <c r="L21" s="92">
        <f>IF(OR(WEEKDAY(A21)=1,WEEKDAY(A21)=7,NOT(ISERROR(MATCH(A21,[1]Праздники!A:A,0)))),SUM(F21*225)*1.5,SUM(F21*225))</f>
        <v>0</v>
      </c>
      <c r="M21" s="92">
        <f t="shared" si="2"/>
        <v>11133.75</v>
      </c>
      <c r="N21" s="92">
        <f t="shared" si="3"/>
        <v>0</v>
      </c>
      <c r="O21" s="92">
        <f t="shared" si="4"/>
        <v>11133.75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24">
        <v>46070</v>
      </c>
      <c r="B22" s="225"/>
      <c r="C22" s="98">
        <v>0</v>
      </c>
      <c r="D22" s="99">
        <v>0</v>
      </c>
      <c r="E22" s="99"/>
      <c r="F22" s="100"/>
      <c r="G22" s="90">
        <f t="shared" si="5"/>
        <v>742.25</v>
      </c>
      <c r="H22" s="91"/>
      <c r="I22" s="92">
        <f t="shared" si="0"/>
        <v>0</v>
      </c>
      <c r="J22" s="92">
        <f t="shared" si="1"/>
        <v>0</v>
      </c>
      <c r="K22" s="92">
        <f>IF(OR(WEEKDAY(A22)=1,WEEKDAY(A22)=7,NOT(ISERROR(MATCH(A22,[1]Праздники!A:A,0)))),SUM(E22*225)*1.5,SUM(E22*225))</f>
        <v>0</v>
      </c>
      <c r="L22" s="92">
        <f>IF(OR(WEEKDAY(A22)=1,WEEKDAY(A22)=7,NOT(ISERROR(MATCH(A22,[1]Праздники!A:A,0)))),SUM(F22*225)*1.5,SUM(F22*225))</f>
        <v>0</v>
      </c>
      <c r="M22" s="92">
        <f t="shared" si="2"/>
        <v>11133.75</v>
      </c>
      <c r="N22" s="92">
        <f t="shared" si="3"/>
        <v>0</v>
      </c>
      <c r="O22" s="92">
        <f t="shared" si="4"/>
        <v>11133.75</v>
      </c>
      <c r="P22" s="2" t="str">
        <f>IF(OR(WEEKDAY(A22)=1,WEEKDAY(A22)=7,NOT(ISERROR(MATCH(A22,[1]Праздники!A:A,0)))),"Выходной","Рабочий")</f>
        <v>Рабочий</v>
      </c>
    </row>
    <row r="23" spans="1:16">
      <c r="A23" s="224">
        <v>46071</v>
      </c>
      <c r="B23" s="225"/>
      <c r="C23" s="98">
        <v>0</v>
      </c>
      <c r="D23" s="99">
        <v>0</v>
      </c>
      <c r="E23" s="99"/>
      <c r="F23" s="100"/>
      <c r="G23" s="90">
        <f t="shared" si="5"/>
        <v>742.25</v>
      </c>
      <c r="H23" s="91"/>
      <c r="I23" s="92">
        <f t="shared" si="0"/>
        <v>0</v>
      </c>
      <c r="J23" s="92">
        <f t="shared" si="1"/>
        <v>0</v>
      </c>
      <c r="K23" s="92">
        <f>IF(OR(WEEKDAY(A23)=1,WEEKDAY(A23)=7,NOT(ISERROR(MATCH(A23,[1]Праздники!A:A,0)))),SUM(E23*225)*1.5,SUM(E23*225))</f>
        <v>0</v>
      </c>
      <c r="L23" s="92">
        <f>IF(OR(WEEKDAY(A23)=1,WEEKDAY(A23)=7,NOT(ISERROR(MATCH(A23,[1]Праздники!A:A,0)))),SUM(F23*225)*1.5,SUM(F23*225))</f>
        <v>0</v>
      </c>
      <c r="M23" s="92">
        <f t="shared" si="2"/>
        <v>11133.75</v>
      </c>
      <c r="N23" s="92">
        <f t="shared" si="3"/>
        <v>0</v>
      </c>
      <c r="O23" s="92">
        <f t="shared" si="4"/>
        <v>11133.75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4">
        <v>46072</v>
      </c>
      <c r="B24" s="225"/>
      <c r="C24" s="98">
        <v>0</v>
      </c>
      <c r="D24" s="99">
        <v>0</v>
      </c>
      <c r="E24" s="99"/>
      <c r="F24" s="100"/>
      <c r="G24" s="90">
        <f t="shared" si="5"/>
        <v>742.25</v>
      </c>
      <c r="H24" s="91"/>
      <c r="I24" s="92">
        <f t="shared" si="0"/>
        <v>0</v>
      </c>
      <c r="J24" s="92">
        <f t="shared" si="1"/>
        <v>0</v>
      </c>
      <c r="K24" s="92">
        <f>IF(OR(WEEKDAY(A24)=1,WEEKDAY(A24)=7,NOT(ISERROR(MATCH(A24,[1]Праздники!A:A,0)))),SUM(E24*225)*1.5,SUM(E24*225))</f>
        <v>0</v>
      </c>
      <c r="L24" s="92">
        <f>IF(OR(WEEKDAY(A24)=1,WEEKDAY(A24)=7,NOT(ISERROR(MATCH(A24,[1]Праздники!A:A,0)))),SUM(F24*225)*1.5,SUM(F24*225))</f>
        <v>0</v>
      </c>
      <c r="M24" s="92">
        <f t="shared" si="2"/>
        <v>11133.75</v>
      </c>
      <c r="N24" s="92">
        <f t="shared" si="3"/>
        <v>0</v>
      </c>
      <c r="O24" s="92">
        <f t="shared" si="4"/>
        <v>11133.75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4">
        <v>46073</v>
      </c>
      <c r="B25" s="225"/>
      <c r="C25" s="98">
        <v>0</v>
      </c>
      <c r="D25" s="99">
        <v>0</v>
      </c>
      <c r="E25" s="99"/>
      <c r="F25" s="100"/>
      <c r="G25" s="90">
        <f t="shared" si="5"/>
        <v>742.25</v>
      </c>
      <c r="H25" s="91"/>
      <c r="I25" s="92">
        <f t="shared" si="0"/>
        <v>0</v>
      </c>
      <c r="J25" s="92">
        <f t="shared" si="1"/>
        <v>0</v>
      </c>
      <c r="K25" s="92">
        <f>IF(OR(WEEKDAY(A25)=1,WEEKDAY(A25)=7,NOT(ISERROR(MATCH(A25,[1]Праздники!A:A,0)))),SUM(E25*225)*1.5,SUM(E25*225))</f>
        <v>0</v>
      </c>
      <c r="L25" s="92">
        <f>IF(OR(WEEKDAY(A25)=1,WEEKDAY(A25)=7,NOT(ISERROR(MATCH(A25,[1]Праздники!A:A,0)))),SUM(F25*225)*1.5,SUM(F25*225))</f>
        <v>0</v>
      </c>
      <c r="M25" s="92">
        <f t="shared" si="2"/>
        <v>11133.75</v>
      </c>
      <c r="N25" s="92">
        <f t="shared" si="3"/>
        <v>0</v>
      </c>
      <c r="O25" s="92">
        <f t="shared" si="4"/>
        <v>11133.75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4">
        <v>46074</v>
      </c>
      <c r="B26" s="225"/>
      <c r="C26" s="98">
        <v>0</v>
      </c>
      <c r="D26" s="99">
        <v>0</v>
      </c>
      <c r="E26" s="104"/>
      <c r="F26" s="100"/>
      <c r="G26" s="90">
        <f t="shared" si="5"/>
        <v>742.25</v>
      </c>
      <c r="H26" s="91"/>
      <c r="I26" s="92">
        <f t="shared" si="0"/>
        <v>0</v>
      </c>
      <c r="J26" s="92">
        <f t="shared" si="1"/>
        <v>0</v>
      </c>
      <c r="K26" s="92">
        <f>IF(OR(WEEKDAY(A26)=1,WEEKDAY(A26)=7,NOT(ISERROR(MATCH(A26,[1]Праздники!A:A,0)))),SUM(E26*225)*1.5,SUM(E26*225))</f>
        <v>0</v>
      </c>
      <c r="L26" s="92">
        <f>IF(OR(WEEKDAY(A26)=1,WEEKDAY(A26)=7,NOT(ISERROR(MATCH(A26,[1]Праздники!A:A,0)))),SUM(F26*225)*1.5,SUM(F26*225))</f>
        <v>0</v>
      </c>
      <c r="M26" s="92">
        <f t="shared" si="2"/>
        <v>11133.75</v>
      </c>
      <c r="N26" s="92">
        <f t="shared" si="3"/>
        <v>0</v>
      </c>
      <c r="O26" s="92">
        <f t="shared" si="4"/>
        <v>11133.75</v>
      </c>
      <c r="P26" s="2" t="str">
        <f>IF(OR(WEEKDAY(A26)=1,WEEKDAY(A26)=7,NOT(ISERROR(MATCH(A26,[1]Праздники!A:A,0)))),"Выходной","Рабочий")</f>
        <v>Выходной</v>
      </c>
    </row>
    <row r="27" spans="1:16" ht="15" customHeight="1">
      <c r="A27" s="224">
        <v>46075</v>
      </c>
      <c r="B27" s="225"/>
      <c r="C27" s="98">
        <v>0</v>
      </c>
      <c r="D27" s="99">
        <v>0</v>
      </c>
      <c r="E27" s="99"/>
      <c r="F27" s="103"/>
      <c r="G27" s="90">
        <f t="shared" si="5"/>
        <v>742.25</v>
      </c>
      <c r="H27" s="91"/>
      <c r="I27" s="92">
        <f t="shared" si="0"/>
        <v>0</v>
      </c>
      <c r="J27" s="92">
        <f t="shared" si="1"/>
        <v>0</v>
      </c>
      <c r="K27" s="92">
        <f>IF(OR(WEEKDAY(A27)=1,WEEKDAY(A27)=7,NOT(ISERROR(MATCH(A27,[1]Праздники!A:A,0)))),SUM(E27*225)*1.5,SUM(E27*225))</f>
        <v>0</v>
      </c>
      <c r="L27" s="92">
        <f>IF(OR(WEEKDAY(A27)=1,WEEKDAY(A27)=7,NOT(ISERROR(MATCH(A27,[1]Праздники!A:A,0)))),SUM(F27*225)*1.5,SUM(F27*225))</f>
        <v>0</v>
      </c>
      <c r="M27" s="92">
        <f t="shared" si="2"/>
        <v>11133.75</v>
      </c>
      <c r="N27" s="92">
        <f t="shared" si="3"/>
        <v>0</v>
      </c>
      <c r="O27" s="92">
        <f t="shared" si="4"/>
        <v>11133.75</v>
      </c>
      <c r="P27" s="2" t="str">
        <f>IF(OR(WEEKDAY(A27)=1,WEEKDAY(A27)=7,NOT(ISERROR(MATCH(A27,[1]Праздники!A:A,0)))),"Выходной","Рабочий")</f>
        <v>Выходной</v>
      </c>
    </row>
    <row r="28" spans="1:16">
      <c r="A28" s="224">
        <v>46076</v>
      </c>
      <c r="B28" s="225"/>
      <c r="C28" s="98">
        <v>0</v>
      </c>
      <c r="D28" s="99">
        <v>0</v>
      </c>
      <c r="E28" s="99"/>
      <c r="F28" s="100"/>
      <c r="G28" s="90">
        <f t="shared" si="5"/>
        <v>742.25</v>
      </c>
      <c r="H28" s="91"/>
      <c r="I28" s="92">
        <f t="shared" si="0"/>
        <v>0</v>
      </c>
      <c r="J28" s="92">
        <f t="shared" si="1"/>
        <v>0</v>
      </c>
      <c r="K28" s="92">
        <f>IF(OR(WEEKDAY(A28)=1,WEEKDAY(A28)=7,NOT(ISERROR(MATCH(A28,[1]Праздники!A:A,0)))),SUM(E28*225)*1.5,SUM(E28*225))</f>
        <v>0</v>
      </c>
      <c r="L28" s="92">
        <f>IF(OR(WEEKDAY(A28)=1,WEEKDAY(A28)=7,NOT(ISERROR(MATCH(A28,[1]Праздники!A:A,0)))),SUM(F28*225)*1.5,SUM(F28*225))</f>
        <v>0</v>
      </c>
      <c r="M28" s="92">
        <f t="shared" si="2"/>
        <v>11133.75</v>
      </c>
      <c r="N28" s="92">
        <f t="shared" si="3"/>
        <v>0</v>
      </c>
      <c r="O28" s="92">
        <f t="shared" si="4"/>
        <v>11133.75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4">
        <v>46077</v>
      </c>
      <c r="B29" s="225"/>
      <c r="C29" s="98">
        <v>0</v>
      </c>
      <c r="D29" s="99">
        <v>0</v>
      </c>
      <c r="E29" s="99"/>
      <c r="F29" s="100"/>
      <c r="G29" s="90">
        <f t="shared" si="5"/>
        <v>742.25</v>
      </c>
      <c r="H29" s="91"/>
      <c r="I29" s="92">
        <f t="shared" si="0"/>
        <v>0</v>
      </c>
      <c r="J29" s="92">
        <f t="shared" si="1"/>
        <v>0</v>
      </c>
      <c r="K29" s="92">
        <f>IF(OR(WEEKDAY(A29)=1,WEEKDAY(A29)=7,NOT(ISERROR(MATCH(A29,[1]Праздники!A:A,0)))),SUM(E29*225)*1.5,SUM(E29*225))</f>
        <v>0</v>
      </c>
      <c r="L29" s="92">
        <f>IF(OR(WEEKDAY(A29)=1,WEEKDAY(A29)=7,NOT(ISERROR(MATCH(A29,[1]Праздники!A:A,0)))),SUM(F29*225)*1.5,SUM(F29*225))</f>
        <v>0</v>
      </c>
      <c r="M29" s="92">
        <f t="shared" si="2"/>
        <v>11133.75</v>
      </c>
      <c r="N29" s="92">
        <f t="shared" si="3"/>
        <v>0</v>
      </c>
      <c r="O29" s="92">
        <f t="shared" si="4"/>
        <v>11133.75</v>
      </c>
      <c r="P29" s="2" t="str">
        <f>IF(OR(WEEKDAY(A29)=1,WEEKDAY(A29)=7,NOT(ISERROR(MATCH(A29,[1]Праздники!A:A,0)))),"Выходной","Рабочий")</f>
        <v>Рабочий</v>
      </c>
    </row>
    <row r="30" spans="1:16">
      <c r="A30" s="224">
        <v>46078</v>
      </c>
      <c r="B30" s="225"/>
      <c r="C30" s="98">
        <v>0</v>
      </c>
      <c r="D30" s="99">
        <v>5.85</v>
      </c>
      <c r="E30" s="99"/>
      <c r="F30" s="100"/>
      <c r="G30" s="90">
        <f t="shared" si="5"/>
        <v>742.25</v>
      </c>
      <c r="H30" s="91"/>
      <c r="I30" s="92">
        <f t="shared" si="0"/>
        <v>0</v>
      </c>
      <c r="J30" s="92">
        <f t="shared" si="1"/>
        <v>877.5</v>
      </c>
      <c r="K30" s="92">
        <f>IF(OR(WEEKDAY(A30)=1,WEEKDAY(A30)=7,NOT(ISERROR(MATCH(A30,[1]Праздники!A:A,0)))),SUM(E30*225)*1.5,SUM(E30*225))</f>
        <v>0</v>
      </c>
      <c r="L30" s="92">
        <f>IF(OR(WEEKDAY(A30)=1,WEEKDAY(A30)=7,NOT(ISERROR(MATCH(A30,[1]Праздники!A:A,0)))),SUM(F30*225)*1.5,SUM(F30*225))</f>
        <v>0</v>
      </c>
      <c r="M30" s="92">
        <f t="shared" si="2"/>
        <v>11133.75</v>
      </c>
      <c r="N30" s="92">
        <f t="shared" si="3"/>
        <v>0</v>
      </c>
      <c r="O30" s="92">
        <f t="shared" si="4"/>
        <v>12011.25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4">
        <v>46079</v>
      </c>
      <c r="B31" s="225"/>
      <c r="C31" s="98">
        <v>0</v>
      </c>
      <c r="D31" s="99">
        <v>66</v>
      </c>
      <c r="E31" s="99"/>
      <c r="F31" s="100"/>
      <c r="G31" s="90">
        <f t="shared" si="5"/>
        <v>736.4</v>
      </c>
      <c r="H31" s="91"/>
      <c r="I31" s="92">
        <f t="shared" si="0"/>
        <v>0</v>
      </c>
      <c r="J31" s="92">
        <f t="shared" si="1"/>
        <v>9900</v>
      </c>
      <c r="K31" s="92">
        <f>IF(OR(WEEKDAY(A31)=1,WEEKDAY(A31)=7,NOT(ISERROR(MATCH(A31,[1]Праздники!A:A,0)))),SUM(E31*225)*1.5,SUM(E31*225))</f>
        <v>0</v>
      </c>
      <c r="L31" s="92">
        <f>IF(OR(WEEKDAY(A31)=1,WEEKDAY(A31)=7,NOT(ISERROR(MATCH(A31,[1]Праздники!A:A,0)))),SUM(F31*225)*1.5,SUM(F31*225))</f>
        <v>0</v>
      </c>
      <c r="M31" s="92">
        <f t="shared" si="2"/>
        <v>11046</v>
      </c>
      <c r="N31" s="92">
        <f t="shared" si="3"/>
        <v>0</v>
      </c>
      <c r="O31" s="92">
        <f t="shared" si="4"/>
        <v>20946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4">
        <v>46080</v>
      </c>
      <c r="B32" s="225"/>
      <c r="C32" s="98">
        <v>0</v>
      </c>
      <c r="D32" s="99">
        <v>28.875</v>
      </c>
      <c r="E32" s="99"/>
      <c r="F32" s="100"/>
      <c r="G32" s="90">
        <f t="shared" si="5"/>
        <v>670.4</v>
      </c>
      <c r="H32" s="91"/>
      <c r="I32" s="92">
        <f t="shared" si="0"/>
        <v>0</v>
      </c>
      <c r="J32" s="92">
        <f t="shared" si="1"/>
        <v>4331.25</v>
      </c>
      <c r="K32" s="92">
        <f>IF(OR(WEEKDAY(A32)=1,WEEKDAY(A32)=7,NOT(ISERROR(MATCH(A32,[1]Праздники!A:A,0)))),SUM(E32*225)*1.5,SUM(E32*225))</f>
        <v>0</v>
      </c>
      <c r="L32" s="92">
        <f>IF(OR(WEEKDAY(A32)=1,WEEKDAY(A32)=7,NOT(ISERROR(MATCH(A32,[1]Праздники!A:A,0)))),SUM(F32*225)*1.5,SUM(F32*225))</f>
        <v>0</v>
      </c>
      <c r="M32" s="92">
        <f t="shared" si="2"/>
        <v>10056</v>
      </c>
      <c r="N32" s="92">
        <f t="shared" si="3"/>
        <v>0</v>
      </c>
      <c r="O32" s="92">
        <f t="shared" si="4"/>
        <v>14387.25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4">
        <v>46081</v>
      </c>
      <c r="B33" s="225"/>
      <c r="C33" s="98">
        <v>0</v>
      </c>
      <c r="D33" s="99">
        <v>41.25</v>
      </c>
      <c r="E33" s="99"/>
      <c r="F33" s="100"/>
      <c r="G33" s="90">
        <f t="shared" si="5"/>
        <v>641.52499999999998</v>
      </c>
      <c r="H33" s="91"/>
      <c r="I33" s="92">
        <f t="shared" si="0"/>
        <v>0</v>
      </c>
      <c r="J33" s="92">
        <f t="shared" si="1"/>
        <v>9281.25</v>
      </c>
      <c r="K33" s="92">
        <f>IF(OR(WEEKDAY(A33)=1,WEEKDAY(A33)=7,NOT(ISERROR(MATCH(A33,[1]Праздники!A:A,0)))),SUM(E33*225)*1.5,SUM(E33*225))</f>
        <v>0</v>
      </c>
      <c r="L33" s="92">
        <f>IF(OR(WEEKDAY(A33)=1,WEEKDAY(A33)=7,NOT(ISERROR(MATCH(A33,[1]Праздники!A:A,0)))),SUM(F33*225)*1.5,SUM(F33*225))</f>
        <v>0</v>
      </c>
      <c r="M33" s="92">
        <f t="shared" si="2"/>
        <v>9622.875</v>
      </c>
      <c r="N33" s="92">
        <f t="shared" si="3"/>
        <v>0</v>
      </c>
      <c r="O33" s="92">
        <f t="shared" si="4"/>
        <v>18904.125</v>
      </c>
      <c r="P33" s="2" t="str">
        <f>IF(OR(WEEKDAY(A33)=1,WEEKDAY(A33)=7,NOT(ISERROR(MATCH(A33,[1]Праздники!A:A,0)))),"Выходной","Рабочий")</f>
        <v>Выходной</v>
      </c>
    </row>
    <row r="34" spans="1:17">
      <c r="A34" s="224"/>
      <c r="B34" s="225"/>
      <c r="C34" s="98">
        <v>0</v>
      </c>
      <c r="D34" s="99">
        <v>0</v>
      </c>
      <c r="E34" s="99"/>
      <c r="F34" s="100"/>
      <c r="G34" s="90">
        <f t="shared" si="5"/>
        <v>0</v>
      </c>
      <c r="H34" s="91"/>
      <c r="I34" s="92">
        <f t="shared" si="0"/>
        <v>0</v>
      </c>
      <c r="J34" s="92">
        <f t="shared" si="1"/>
        <v>0</v>
      </c>
      <c r="K34" s="92">
        <f>IF(OR(WEEKDAY(A34)=1,WEEKDAY(A34)=7,NOT(ISERROR(MATCH(A34,[1]Праздники!A:A,0)))),SUM(E34*225)*1.5,SUM(E34*225))</f>
        <v>0</v>
      </c>
      <c r="L34" s="92">
        <f>IF(OR(WEEKDAY(A34)=1,WEEKDAY(A34)=7,NOT(ISERROR(MATCH(A34,[1]Праздники!A:A,0)))),SUM(F34*225)*1.5,SUM(F34*225))</f>
        <v>0</v>
      </c>
      <c r="M34" s="92">
        <f t="shared" si="2"/>
        <v>0</v>
      </c>
      <c r="N34" s="92">
        <f t="shared" si="3"/>
        <v>0</v>
      </c>
      <c r="O34" s="92">
        <f t="shared" si="4"/>
        <v>0</v>
      </c>
      <c r="P34" s="2" t="str">
        <f>IF(OR(WEEKDAY(A34)=1,WEEKDAY(A34)=7,NOT(ISERROR(MATCH(A34,[1]Праздники!A:A,0)))),"Выходной","Рабочий")</f>
        <v>Выходной</v>
      </c>
    </row>
    <row r="35" spans="1:17">
      <c r="A35" s="224"/>
      <c r="B35" s="225"/>
      <c r="C35" s="98">
        <v>0</v>
      </c>
      <c r="D35" s="99">
        <v>0</v>
      </c>
      <c r="E35" s="90"/>
      <c r="F35" s="100"/>
      <c r="G35" s="90">
        <f t="shared" si="5"/>
        <v>0</v>
      </c>
      <c r="H35" s="91"/>
      <c r="I35" s="92">
        <f t="shared" si="0"/>
        <v>0</v>
      </c>
      <c r="J35" s="92">
        <f t="shared" si="1"/>
        <v>0</v>
      </c>
      <c r="K35" s="92">
        <f>IF(OR(WEEKDAY(A35)=1,WEEKDAY(A35)=7,NOT(ISERROR(MATCH(A35,[1]Праздники!A:A,0)))),SUM(E35*225)*1.5,SUM(E35*225))</f>
        <v>0</v>
      </c>
      <c r="L35" s="92">
        <f>IF(OR(WEEKDAY(A35)=1,WEEKDAY(A35)=7,NOT(ISERROR(MATCH(A35,[1]Праздники!A:A,0)))),SUM(F35*225)*1.5,SUM(F35*225))</f>
        <v>0</v>
      </c>
      <c r="M35" s="92">
        <f t="shared" si="2"/>
        <v>0</v>
      </c>
      <c r="N35" s="92">
        <f t="shared" si="3"/>
        <v>0</v>
      </c>
      <c r="O35" s="92">
        <f t="shared" si="4"/>
        <v>0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4"/>
      <c r="B36" s="225"/>
      <c r="C36" s="98">
        <v>0</v>
      </c>
      <c r="D36" s="99">
        <v>0</v>
      </c>
      <c r="E36" s="90"/>
      <c r="F36" s="100"/>
      <c r="G36" s="90">
        <f t="shared" si="5"/>
        <v>0</v>
      </c>
      <c r="H36" s="91"/>
      <c r="I36" s="92">
        <f t="shared" si="0"/>
        <v>0</v>
      </c>
      <c r="J36" s="92">
        <f t="shared" si="1"/>
        <v>0</v>
      </c>
      <c r="K36" s="92">
        <f>IF(OR(WEEKDAY(A36)=1,WEEKDAY(A36)=7,NOT(ISERROR(MATCH(A36,[1]Праздники!A:A,0)))),SUM(E36*225)*1.5,SUM(E36*225))</f>
        <v>0</v>
      </c>
      <c r="L36" s="92">
        <f>IF(OR(WEEKDAY(A36)=1,WEEKDAY(A36)=7,NOT(ISERROR(MATCH(A36,[1]Праздники!A:A,0)))),SUM(F36*225)*1.5,SUM(F36*225))</f>
        <v>0</v>
      </c>
      <c r="M36" s="92">
        <f t="shared" si="2"/>
        <v>0</v>
      </c>
      <c r="N36" s="92">
        <f t="shared" si="3"/>
        <v>0</v>
      </c>
      <c r="O36" s="92">
        <f t="shared" ref="O36" si="6">SUM(I36:N36)</f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3">
        <f>SUM(C6:C36)</f>
        <v>0</v>
      </c>
      <c r="D37" s="93">
        <f t="shared" ref="D37:O37" si="7">SUM(D6:D36)</f>
        <v>201.07499999999999</v>
      </c>
      <c r="E37" s="93">
        <f t="shared" si="7"/>
        <v>0</v>
      </c>
      <c r="F37" s="93">
        <f t="shared" si="7"/>
        <v>0</v>
      </c>
      <c r="G37" s="93">
        <f t="shared" si="7"/>
        <v>21155.675000000007</v>
      </c>
      <c r="H37" s="105">
        <f t="shared" si="7"/>
        <v>0</v>
      </c>
      <c r="I37" s="94">
        <f t="shared" si="7"/>
        <v>0</v>
      </c>
      <c r="J37" s="94">
        <f t="shared" si="7"/>
        <v>33255</v>
      </c>
      <c r="K37" s="94">
        <f t="shared" si="7"/>
        <v>0</v>
      </c>
      <c r="L37" s="94">
        <f t="shared" si="7"/>
        <v>0</v>
      </c>
      <c r="M37" s="94">
        <f t="shared" si="7"/>
        <v>317335.125</v>
      </c>
      <c r="N37" s="94">
        <f t="shared" si="7"/>
        <v>0</v>
      </c>
      <c r="O37" s="95">
        <f t="shared" si="7"/>
        <v>350590.125</v>
      </c>
    </row>
    <row r="38" spans="1:17" ht="15.75" thickBot="1">
      <c r="G38" s="89"/>
      <c r="L38" s="14"/>
      <c r="M38" s="89"/>
      <c r="N38" s="105" t="s">
        <v>117</v>
      </c>
      <c r="O38" s="96">
        <f>O37*1.22</f>
        <v>427719.95250000001</v>
      </c>
      <c r="Q38" s="97"/>
    </row>
    <row r="39" spans="1:17">
      <c r="G39" s="89"/>
      <c r="M39" s="89"/>
    </row>
    <row r="40" spans="1:17">
      <c r="G40" s="89"/>
      <c r="M40" s="89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:B5"/>
    <mergeCell ref="C4:C5"/>
    <mergeCell ref="D4:D5"/>
    <mergeCell ref="A11:B11"/>
    <mergeCell ref="A12:B12"/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F955-7271-43FE-9BA8-E8397706A088}">
  <sheetPr codeName="Лист8"/>
  <dimension ref="A1:S40"/>
  <sheetViews>
    <sheetView topLeftCell="A22" workbookViewId="0">
      <selection activeCell="O38" sqref="O38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10.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9"/>
      <c r="Q1" s="79"/>
      <c r="R1" s="79" t="s">
        <v>107</v>
      </c>
      <c r="S1" s="79" t="s">
        <v>108</v>
      </c>
    </row>
    <row r="2" spans="1:19">
      <c r="M2" s="89"/>
      <c r="Q2" s="79" t="s">
        <v>109</v>
      </c>
      <c r="R2" s="79">
        <f>SUMIF($P$6:$P$36,R$1,$C6:$C36)</f>
        <v>731.29</v>
      </c>
      <c r="S2" s="79">
        <f>SUMIF($P$6:$P$36,S$1,$C6:$C36)</f>
        <v>1702.7099999999998</v>
      </c>
    </row>
    <row r="3" spans="1:19" ht="21">
      <c r="A3" s="77" t="str">
        <f>"Отчет по хранению  товара  РВ " &amp; TEXT(A6,"ММММ ") &amp; YEAR(A6) &amp; " Березовая Пойма"</f>
        <v>Отчет по хранению  товара  РВ Февраль 2026 Березовая Пойма</v>
      </c>
      <c r="G3" s="89"/>
      <c r="M3" s="89"/>
      <c r="Q3" s="79" t="s">
        <v>97</v>
      </c>
      <c r="R3" s="79">
        <f>SUMIF($P$6:$P$36,R$1,$D6:$D36)</f>
        <v>877.59</v>
      </c>
      <c r="S3" s="79">
        <f>SUMIF($P$6:$P$36,S$1,$D6:$D36)</f>
        <v>2121.4</v>
      </c>
    </row>
    <row r="4" spans="1:19">
      <c r="A4" s="204" t="s">
        <v>1</v>
      </c>
      <c r="B4" s="205"/>
      <c r="C4" s="202" t="s">
        <v>110</v>
      </c>
      <c r="D4" s="202" t="s">
        <v>111</v>
      </c>
      <c r="E4" s="202" t="s">
        <v>112</v>
      </c>
      <c r="F4" s="202" t="s">
        <v>113</v>
      </c>
      <c r="G4" s="101" t="s">
        <v>4</v>
      </c>
      <c r="H4" s="202" t="s">
        <v>7</v>
      </c>
      <c r="I4" s="202" t="s">
        <v>11</v>
      </c>
      <c r="J4" s="202" t="s">
        <v>12</v>
      </c>
      <c r="K4" s="202" t="s">
        <v>114</v>
      </c>
      <c r="L4" s="202" t="s">
        <v>115</v>
      </c>
      <c r="M4" s="226" t="s">
        <v>13</v>
      </c>
      <c r="N4" s="202" t="s">
        <v>16</v>
      </c>
      <c r="O4" s="202" t="s">
        <v>18</v>
      </c>
    </row>
    <row r="5" spans="1:19" ht="30">
      <c r="A5" s="206"/>
      <c r="B5" s="207"/>
      <c r="C5" s="203"/>
      <c r="D5" s="203"/>
      <c r="E5" s="203"/>
      <c r="F5" s="203"/>
      <c r="G5" s="102" t="s">
        <v>116</v>
      </c>
      <c r="H5" s="203"/>
      <c r="I5" s="203"/>
      <c r="J5" s="203"/>
      <c r="K5" s="203"/>
      <c r="L5" s="203"/>
      <c r="M5" s="227"/>
      <c r="N5" s="203"/>
      <c r="O5" s="203"/>
    </row>
    <row r="6" spans="1:19">
      <c r="A6" s="224">
        <v>46054</v>
      </c>
      <c r="B6" s="225"/>
      <c r="C6" s="98">
        <v>288.99</v>
      </c>
      <c r="D6" s="99">
        <v>0</v>
      </c>
      <c r="E6" s="99"/>
      <c r="F6" s="100"/>
      <c r="G6" s="90">
        <v>4865.2049999999999</v>
      </c>
      <c r="H6" s="91"/>
      <c r="I6" s="92">
        <f>IF(P6="Выходной",SUM(C6*150)*1.5,SUM(C6*150))</f>
        <v>65022.75</v>
      </c>
      <c r="J6" s="92">
        <f>IF(P6="Выходной",SUM(D6*150)*1.5,SUM(D6*150))</f>
        <v>0</v>
      </c>
      <c r="K6" s="92">
        <f>IF(OR(WEEKDAY(A6)=1,WEEKDAY(A6)=7,NOT(ISERROR(MATCH(A6,[1]Праздники!A:A,0)))),SUM(E6*225)*1.5,SUM(E6*225))</f>
        <v>0</v>
      </c>
      <c r="L6" s="92">
        <f>IF(OR(WEEKDAY(A6)=1,WEEKDAY(A6)=7,NOT(ISERROR(MATCH(A6,[1]Праздники!A:A,0)))),SUM(F6*225)*1.5,SUM(F6*225))</f>
        <v>0</v>
      </c>
      <c r="M6" s="92">
        <f>SUM(G6*15)</f>
        <v>72978.074999999997</v>
      </c>
      <c r="N6" s="92">
        <f>SUM(H6)*750</f>
        <v>0</v>
      </c>
      <c r="O6" s="92">
        <f>SUM(I6:N6)</f>
        <v>138000.82500000001</v>
      </c>
      <c r="P6" s="2" t="str">
        <f>IF(OR(WEEKDAY(A6)=1,WEEKDAY(A6)=7,NOT(ISERROR(MATCH(A6,[1]Праздники!A:A,0)))),"Выходной","Рабочий")</f>
        <v>Выходной</v>
      </c>
    </row>
    <row r="7" spans="1:19">
      <c r="A7" s="224">
        <v>46055</v>
      </c>
      <c r="B7" s="225"/>
      <c r="C7" s="98">
        <v>333.45</v>
      </c>
      <c r="D7" s="99">
        <v>22</v>
      </c>
      <c r="E7" s="99"/>
      <c r="F7" s="100"/>
      <c r="G7" s="90">
        <f>IF(A7 ="",0,G6+C7+E7-D6-F6)</f>
        <v>5198.6549999999997</v>
      </c>
      <c r="H7" s="91"/>
      <c r="I7" s="92">
        <f t="shared" ref="I7:I36" si="0">IF(P7="Выходной",SUM(C7*150)*1.5,SUM(C7*150))</f>
        <v>50017.5</v>
      </c>
      <c r="J7" s="92">
        <f t="shared" ref="J7:J36" si="1">IF(P7="Выходной",SUM(D7*150)*1.5,SUM(D7*150))</f>
        <v>3300</v>
      </c>
      <c r="K7" s="92">
        <f>IF(OR(WEEKDAY(A7)=1,WEEKDAY(A7)=7,NOT(ISERROR(MATCH(A7,[1]Праздники!A:A,0)))),SUM(E7*225)*1.5,SUM(E7*225))</f>
        <v>0</v>
      </c>
      <c r="L7" s="92">
        <f>IF(OR(WEEKDAY(A7)=1,WEEKDAY(A7)=7,NOT(ISERROR(MATCH(A7,[1]Праздники!A:A,0)))),SUM(F7*225)*1.5,SUM(F7*225))</f>
        <v>0</v>
      </c>
      <c r="M7" s="92">
        <f t="shared" ref="M7:M36" si="2">SUM(G7*15)</f>
        <v>77979.824999999997</v>
      </c>
      <c r="N7" s="92">
        <f t="shared" ref="N7:N36" si="3">SUM(H7)*750</f>
        <v>0</v>
      </c>
      <c r="O7" s="92">
        <f t="shared" ref="O7:O35" si="4">SUM(I7:N7)</f>
        <v>131297.32500000001</v>
      </c>
      <c r="P7" s="2" t="str">
        <f>IF(OR(WEEKDAY(A7)=1,WEEKDAY(A7)=7,NOT(ISERROR(MATCH(A7,[1]Праздники!A:A,0)))),"Выходной","Рабочий")</f>
        <v>Рабочий</v>
      </c>
    </row>
    <row r="8" spans="1:19">
      <c r="A8" s="224">
        <v>46056</v>
      </c>
      <c r="B8" s="225"/>
      <c r="C8" s="98">
        <v>486.96</v>
      </c>
      <c r="D8" s="99">
        <v>44</v>
      </c>
      <c r="E8" s="99"/>
      <c r="F8" s="100"/>
      <c r="G8" s="90">
        <f t="shared" ref="G8:G36" si="5">IF(A8 ="",0,G7+C8+E8-D7-F7)</f>
        <v>5663.6149999999998</v>
      </c>
      <c r="H8" s="91"/>
      <c r="I8" s="92">
        <f t="shared" si="0"/>
        <v>73044</v>
      </c>
      <c r="J8" s="92">
        <f t="shared" si="1"/>
        <v>6600</v>
      </c>
      <c r="K8" s="92">
        <f>IF(OR(WEEKDAY(A8)=1,WEEKDAY(A8)=7,NOT(ISERROR(MATCH(A8,[1]Праздники!A:A,0)))),SUM(E8*225)*1.5,SUM(E8*225))</f>
        <v>0</v>
      </c>
      <c r="L8" s="92">
        <f>IF(OR(WEEKDAY(A8)=1,WEEKDAY(A8)=7,NOT(ISERROR(MATCH(A8,[1]Праздники!A:A,0)))),SUM(F8*225)*1.5,SUM(F8*225))</f>
        <v>0</v>
      </c>
      <c r="M8" s="92">
        <f t="shared" si="2"/>
        <v>84954.224999999991</v>
      </c>
      <c r="N8" s="92">
        <f t="shared" si="3"/>
        <v>0</v>
      </c>
      <c r="O8" s="92">
        <f t="shared" si="4"/>
        <v>164598.22499999998</v>
      </c>
      <c r="P8" s="2" t="str">
        <f>IF(OR(WEEKDAY(A8)=1,WEEKDAY(A8)=7,NOT(ISERROR(MATCH(A8,[1]Праздники!A:A,0)))),"Выходной","Рабочий")</f>
        <v>Рабочий</v>
      </c>
    </row>
    <row r="9" spans="1:19">
      <c r="A9" s="224">
        <v>46057</v>
      </c>
      <c r="B9" s="225"/>
      <c r="C9" s="98">
        <v>220</v>
      </c>
      <c r="D9" s="99">
        <v>66.23</v>
      </c>
      <c r="E9" s="99"/>
      <c r="F9" s="100"/>
      <c r="G9" s="90">
        <f t="shared" si="5"/>
        <v>5839.6149999999998</v>
      </c>
      <c r="H9" s="91"/>
      <c r="I9" s="92">
        <f t="shared" si="0"/>
        <v>33000</v>
      </c>
      <c r="J9" s="92">
        <f t="shared" si="1"/>
        <v>9934.5</v>
      </c>
      <c r="K9" s="92">
        <f>IF(OR(WEEKDAY(A9)=1,WEEKDAY(A9)=7,NOT(ISERROR(MATCH(A9,[1]Праздники!A:A,0)))),SUM(E9*225)*1.5,SUM(E9*225))</f>
        <v>0</v>
      </c>
      <c r="L9" s="92">
        <f>IF(OR(WEEKDAY(A9)=1,WEEKDAY(A9)=7,NOT(ISERROR(MATCH(A9,[1]Праздники!A:A,0)))),SUM(F9*225)*1.5,SUM(F9*225))</f>
        <v>0</v>
      </c>
      <c r="M9" s="92">
        <f t="shared" si="2"/>
        <v>87594.224999999991</v>
      </c>
      <c r="N9" s="92">
        <f t="shared" si="3"/>
        <v>0</v>
      </c>
      <c r="O9" s="92">
        <f t="shared" si="4"/>
        <v>130528.72499999999</v>
      </c>
      <c r="P9" s="2" t="str">
        <f>IF(OR(WEEKDAY(A9)=1,WEEKDAY(A9)=7,NOT(ISERROR(MATCH(A9,[1]Праздники!A:A,0)))),"Выходной","Рабочий")</f>
        <v>Рабочий</v>
      </c>
    </row>
    <row r="10" spans="1:19">
      <c r="A10" s="224">
        <v>46058</v>
      </c>
      <c r="B10" s="225"/>
      <c r="C10" s="98">
        <v>0</v>
      </c>
      <c r="D10" s="99">
        <v>412.55</v>
      </c>
      <c r="E10" s="99"/>
      <c r="F10" s="100"/>
      <c r="G10" s="90">
        <f t="shared" si="5"/>
        <v>5773.3850000000002</v>
      </c>
      <c r="H10" s="91"/>
      <c r="I10" s="92">
        <f t="shared" si="0"/>
        <v>0</v>
      </c>
      <c r="J10" s="92">
        <f t="shared" si="1"/>
        <v>61882.5</v>
      </c>
      <c r="K10" s="92">
        <f>IF(OR(WEEKDAY(A10)=1,WEEKDAY(A10)=7,NOT(ISERROR(MATCH(A10,[1]Праздники!A:A,0)))),SUM(E10*225)*1.5,SUM(E10*225))</f>
        <v>0</v>
      </c>
      <c r="L10" s="92">
        <f>IF(OR(WEEKDAY(A10)=1,WEEKDAY(A10)=7,NOT(ISERROR(MATCH(A10,[1]Праздники!A:A,0)))),SUM(F10*225)*1.5,SUM(F10*225))</f>
        <v>0</v>
      </c>
      <c r="M10" s="92">
        <f t="shared" si="2"/>
        <v>86600.775000000009</v>
      </c>
      <c r="N10" s="92">
        <f t="shared" si="3"/>
        <v>0</v>
      </c>
      <c r="O10" s="92">
        <f t="shared" si="4"/>
        <v>148483.27500000002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4">
        <v>46059</v>
      </c>
      <c r="B11" s="225"/>
      <c r="C11" s="98">
        <v>0</v>
      </c>
      <c r="D11" s="99">
        <v>247.05</v>
      </c>
      <c r="E11" s="99"/>
      <c r="F11" s="100"/>
      <c r="G11" s="90">
        <f t="shared" si="5"/>
        <v>5360.835</v>
      </c>
      <c r="H11" s="91"/>
      <c r="I11" s="92">
        <f t="shared" si="0"/>
        <v>0</v>
      </c>
      <c r="J11" s="92">
        <f t="shared" si="1"/>
        <v>37057.5</v>
      </c>
      <c r="K11" s="92">
        <f>IF(OR(WEEKDAY(A11)=1,WEEKDAY(A11)=7,NOT(ISERROR(MATCH(A11,[1]Праздники!A:A,0)))),SUM(E11*225)*1.5,SUM(E11*225))</f>
        <v>0</v>
      </c>
      <c r="L11" s="92">
        <f>IF(OR(WEEKDAY(A11)=1,WEEKDAY(A11)=7,NOT(ISERROR(MATCH(A11,[1]Праздники!A:A,0)))),SUM(F11*225)*1.5,SUM(F11*225))</f>
        <v>0</v>
      </c>
      <c r="M11" s="92">
        <f t="shared" si="2"/>
        <v>80412.524999999994</v>
      </c>
      <c r="N11" s="92">
        <f t="shared" si="3"/>
        <v>0</v>
      </c>
      <c r="O11" s="92">
        <f t="shared" si="4"/>
        <v>117470.02499999999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4">
        <v>46060</v>
      </c>
      <c r="B12" s="225"/>
      <c r="C12" s="98">
        <v>222.3</v>
      </c>
      <c r="D12" s="99">
        <v>132.91999999999999</v>
      </c>
      <c r="E12" s="99"/>
      <c r="F12" s="100"/>
      <c r="G12" s="90">
        <f t="shared" si="5"/>
        <v>5336.085</v>
      </c>
      <c r="H12" s="91"/>
      <c r="I12" s="92">
        <f t="shared" si="0"/>
        <v>50017.5</v>
      </c>
      <c r="J12" s="92">
        <f t="shared" si="1"/>
        <v>29906.999999999993</v>
      </c>
      <c r="K12" s="92">
        <f>IF(OR(WEEKDAY(A12)=1,WEEKDAY(A12)=7,NOT(ISERROR(MATCH(A12,[1]Праздники!A:A,0)))),SUM(E12*225)*1.5,SUM(E12*225))</f>
        <v>0</v>
      </c>
      <c r="L12" s="92">
        <f>IF(OR(WEEKDAY(A12)=1,WEEKDAY(A12)=7,NOT(ISERROR(MATCH(A12,[1]Праздники!A:A,0)))),SUM(F12*225)*1.5,SUM(F12*225))</f>
        <v>0</v>
      </c>
      <c r="M12" s="92">
        <f t="shared" si="2"/>
        <v>80041.274999999994</v>
      </c>
      <c r="N12" s="92">
        <f t="shared" si="3"/>
        <v>0</v>
      </c>
      <c r="O12" s="92">
        <f t="shared" si="4"/>
        <v>159965.77499999999</v>
      </c>
      <c r="P12" s="2" t="str">
        <f>IF(OR(WEEKDAY(A12)=1,WEEKDAY(A12)=7,NOT(ISERROR(MATCH(A12,[1]Праздники!A:A,0)))),"Выходной","Рабочий")</f>
        <v>Выходной</v>
      </c>
    </row>
    <row r="13" spans="1:19">
      <c r="A13" s="224">
        <v>46061</v>
      </c>
      <c r="B13" s="225"/>
      <c r="C13" s="98">
        <v>220</v>
      </c>
      <c r="D13" s="99">
        <v>177.84</v>
      </c>
      <c r="E13" s="99"/>
      <c r="F13" s="103"/>
      <c r="G13" s="90">
        <f t="shared" si="5"/>
        <v>5423.165</v>
      </c>
      <c r="H13" s="91"/>
      <c r="I13" s="92">
        <f t="shared" si="0"/>
        <v>49500</v>
      </c>
      <c r="J13" s="92">
        <f t="shared" si="1"/>
        <v>40014</v>
      </c>
      <c r="K13" s="92">
        <f>IF(OR(WEEKDAY(A13)=1,WEEKDAY(A13)=7,NOT(ISERROR(MATCH(A13,[1]Праздники!A:A,0)))),SUM(E13*225)*1.5,SUM(E13*225))</f>
        <v>0</v>
      </c>
      <c r="L13" s="92">
        <f>IF(OR(WEEKDAY(A13)=1,WEEKDAY(A13)=7,NOT(ISERROR(MATCH(A13,[1]Праздники!A:A,0)))),SUM(F13*225)*1.5,SUM(F13*225))</f>
        <v>0</v>
      </c>
      <c r="M13" s="92">
        <f t="shared" si="2"/>
        <v>81347.475000000006</v>
      </c>
      <c r="N13" s="92">
        <f t="shared" si="3"/>
        <v>0</v>
      </c>
      <c r="O13" s="92">
        <f t="shared" si="4"/>
        <v>170861.47500000001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24">
        <v>46062</v>
      </c>
      <c r="B14" s="225"/>
      <c r="C14" s="98">
        <v>220</v>
      </c>
      <c r="D14" s="99">
        <v>133.15</v>
      </c>
      <c r="E14" s="99"/>
      <c r="F14" s="103"/>
      <c r="G14" s="90">
        <f t="shared" si="5"/>
        <v>5465.3249999999998</v>
      </c>
      <c r="H14" s="91"/>
      <c r="I14" s="92">
        <f t="shared" si="0"/>
        <v>33000</v>
      </c>
      <c r="J14" s="92">
        <f t="shared" si="1"/>
        <v>19972.5</v>
      </c>
      <c r="K14" s="92">
        <f>IF(OR(WEEKDAY(A14)=1,WEEKDAY(A14)=7,NOT(ISERROR(MATCH(A14,[1]Праздники!A:A,0)))),SUM(E14*225)*1.5,SUM(E14*225))</f>
        <v>0</v>
      </c>
      <c r="L14" s="92">
        <f>IF(OR(WEEKDAY(A14)=1,WEEKDAY(A14)=7,NOT(ISERROR(MATCH(A14,[1]Праздники!A:A,0)))),SUM(F14*225)*1.5,SUM(F14*225))</f>
        <v>0</v>
      </c>
      <c r="M14" s="92">
        <f t="shared" si="2"/>
        <v>81979.875</v>
      </c>
      <c r="N14" s="92">
        <f t="shared" si="3"/>
        <v>0</v>
      </c>
      <c r="O14" s="92">
        <f t="shared" si="4"/>
        <v>134952.375</v>
      </c>
      <c r="P14" s="2" t="str">
        <f>IF(OR(WEEKDAY(A14)=1,WEEKDAY(A14)=7,NOT(ISERROR(MATCH(A14,[1]Праздники!A:A,0)))),"Выходной","Рабочий")</f>
        <v>Рабочий</v>
      </c>
    </row>
    <row r="15" spans="1:19">
      <c r="A15" s="224">
        <v>46063</v>
      </c>
      <c r="B15" s="225"/>
      <c r="C15" s="98">
        <v>222.3</v>
      </c>
      <c r="D15" s="99">
        <v>99.5</v>
      </c>
      <c r="E15" s="99"/>
      <c r="F15" s="100"/>
      <c r="G15" s="90">
        <f t="shared" si="5"/>
        <v>5554.4750000000004</v>
      </c>
      <c r="H15" s="91"/>
      <c r="I15" s="92">
        <f t="shared" si="0"/>
        <v>33345</v>
      </c>
      <c r="J15" s="92">
        <f t="shared" si="1"/>
        <v>14925</v>
      </c>
      <c r="K15" s="92">
        <f>IF(OR(WEEKDAY(A15)=1,WEEKDAY(A15)=7,NOT(ISERROR(MATCH(A15,[1]Праздники!A:A,0)))),SUM(E15*225)*1.5,SUM(E15*225))</f>
        <v>0</v>
      </c>
      <c r="L15" s="92">
        <f>IF(OR(WEEKDAY(A15)=1,WEEKDAY(A15)=7,NOT(ISERROR(MATCH(A15,[1]Праздники!A:A,0)))),SUM(F15*225)*1.5,SUM(F15*225))</f>
        <v>0</v>
      </c>
      <c r="M15" s="92">
        <f t="shared" si="2"/>
        <v>83317.125</v>
      </c>
      <c r="N15" s="92">
        <f t="shared" si="3"/>
        <v>0</v>
      </c>
      <c r="O15" s="92">
        <f t="shared" si="4"/>
        <v>131587.125</v>
      </c>
      <c r="P15" s="2" t="str">
        <f>IF(OR(WEEKDAY(A15)=1,WEEKDAY(A15)=7,NOT(ISERROR(MATCH(A15,[1]Праздники!A:A,0)))),"Выходной","Рабочий")</f>
        <v>Рабочий</v>
      </c>
    </row>
    <row r="16" spans="1:19">
      <c r="A16" s="224">
        <v>46064</v>
      </c>
      <c r="B16" s="225"/>
      <c r="C16" s="98">
        <v>220</v>
      </c>
      <c r="D16" s="99">
        <v>22</v>
      </c>
      <c r="E16" s="99"/>
      <c r="F16" s="100"/>
      <c r="G16" s="90">
        <f t="shared" si="5"/>
        <v>5674.9750000000004</v>
      </c>
      <c r="H16" s="91"/>
      <c r="I16" s="92">
        <f t="shared" si="0"/>
        <v>33000</v>
      </c>
      <c r="J16" s="92">
        <f t="shared" si="1"/>
        <v>3300</v>
      </c>
      <c r="K16" s="92">
        <f>IF(OR(WEEKDAY(A16)=1,WEEKDAY(A16)=7,NOT(ISERROR(MATCH(A16,[1]Праздники!A:A,0)))),SUM(E16*225)*1.5,SUM(E16*225))</f>
        <v>0</v>
      </c>
      <c r="L16" s="92">
        <f>IF(OR(WEEKDAY(A16)=1,WEEKDAY(A16)=7,NOT(ISERROR(MATCH(A16,[1]Праздники!A:A,0)))),SUM(F16*225)*1.5,SUM(F16*225))</f>
        <v>0</v>
      </c>
      <c r="M16" s="92">
        <f t="shared" si="2"/>
        <v>85124.625</v>
      </c>
      <c r="N16" s="92">
        <f t="shared" si="3"/>
        <v>0</v>
      </c>
      <c r="O16" s="92">
        <f t="shared" si="4"/>
        <v>121424.625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4">
        <v>46065</v>
      </c>
      <c r="B17" s="225"/>
      <c r="C17" s="98">
        <v>0</v>
      </c>
      <c r="D17" s="99">
        <v>88.5</v>
      </c>
      <c r="E17" s="99"/>
      <c r="F17" s="100"/>
      <c r="G17" s="90">
        <f t="shared" si="5"/>
        <v>5652.9750000000004</v>
      </c>
      <c r="H17" s="91"/>
      <c r="I17" s="92">
        <f t="shared" si="0"/>
        <v>0</v>
      </c>
      <c r="J17" s="92">
        <f t="shared" si="1"/>
        <v>13275</v>
      </c>
      <c r="K17" s="92">
        <f>IF(OR(WEEKDAY(A17)=1,WEEKDAY(A17)=7,NOT(ISERROR(MATCH(A17,[1]Праздники!A:A,0)))),SUM(E17*225)*1.5,SUM(E17*225))</f>
        <v>0</v>
      </c>
      <c r="L17" s="92">
        <f>IF(OR(WEEKDAY(A17)=1,WEEKDAY(A17)=7,NOT(ISERROR(MATCH(A17,[1]Праздники!A:A,0)))),SUM(F17*225)*1.5,SUM(F17*225))</f>
        <v>0</v>
      </c>
      <c r="M17" s="92">
        <f t="shared" si="2"/>
        <v>84794.625</v>
      </c>
      <c r="N17" s="92">
        <f t="shared" si="3"/>
        <v>0</v>
      </c>
      <c r="O17" s="92">
        <f t="shared" si="4"/>
        <v>98069.625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4">
        <v>46066</v>
      </c>
      <c r="B18" s="225"/>
      <c r="C18" s="98">
        <v>0</v>
      </c>
      <c r="D18" s="99">
        <v>44</v>
      </c>
      <c r="E18" s="99"/>
      <c r="F18" s="100"/>
      <c r="G18" s="90">
        <f t="shared" si="5"/>
        <v>5564.4750000000004</v>
      </c>
      <c r="H18" s="91"/>
      <c r="I18" s="92">
        <f t="shared" si="0"/>
        <v>0</v>
      </c>
      <c r="J18" s="92">
        <f t="shared" si="1"/>
        <v>6600</v>
      </c>
      <c r="K18" s="92">
        <f>IF(OR(WEEKDAY(A18)=1,WEEKDAY(A18)=7,NOT(ISERROR(MATCH(A18,[1]Праздники!A:A,0)))),SUM(E18*225)*1.5,SUM(E18*225))</f>
        <v>0</v>
      </c>
      <c r="L18" s="92">
        <f>IF(OR(WEEKDAY(A18)=1,WEEKDAY(A18)=7,NOT(ISERROR(MATCH(A18,[1]Праздники!A:A,0)))),SUM(F18*225)*1.5,SUM(F18*225))</f>
        <v>0</v>
      </c>
      <c r="M18" s="92">
        <f t="shared" si="2"/>
        <v>83467.125</v>
      </c>
      <c r="N18" s="92">
        <f t="shared" si="3"/>
        <v>0</v>
      </c>
      <c r="O18" s="92">
        <f t="shared" si="4"/>
        <v>90067.125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4">
        <v>46067</v>
      </c>
      <c r="B19" s="225"/>
      <c r="C19" s="98">
        <v>0</v>
      </c>
      <c r="D19" s="99">
        <v>44</v>
      </c>
      <c r="E19" s="99"/>
      <c r="F19" s="100"/>
      <c r="G19" s="90">
        <f t="shared" si="5"/>
        <v>5520.4750000000004</v>
      </c>
      <c r="H19" s="91"/>
      <c r="I19" s="92">
        <f t="shared" si="0"/>
        <v>0</v>
      </c>
      <c r="J19" s="92">
        <f t="shared" si="1"/>
        <v>9900</v>
      </c>
      <c r="K19" s="92">
        <f>IF(OR(WEEKDAY(A19)=1,WEEKDAY(A19)=7,NOT(ISERROR(MATCH(A19,[1]Праздники!A:A,0)))),SUM(E19*225)*1.5,SUM(E19*225))</f>
        <v>0</v>
      </c>
      <c r="L19" s="92">
        <f>IF(OR(WEEKDAY(A19)=1,WEEKDAY(A19)=7,NOT(ISERROR(MATCH(A19,[1]Праздники!A:A,0)))),SUM(F19*225)*1.5,SUM(F19*225))</f>
        <v>0</v>
      </c>
      <c r="M19" s="92">
        <f t="shared" si="2"/>
        <v>82807.125</v>
      </c>
      <c r="N19" s="92">
        <f t="shared" si="3"/>
        <v>0</v>
      </c>
      <c r="O19" s="92">
        <f t="shared" si="4"/>
        <v>92707.125</v>
      </c>
      <c r="P19" s="2" t="str">
        <f>IF(OR(WEEKDAY(A19)=1,WEEKDAY(A19)=7,NOT(ISERROR(MATCH(A19,[1]Праздники!A:A,0)))),"Выходной","Рабочий")</f>
        <v>Выходной</v>
      </c>
    </row>
    <row r="20" spans="1:16">
      <c r="A20" s="224">
        <v>46068</v>
      </c>
      <c r="B20" s="225"/>
      <c r="C20" s="98">
        <v>0</v>
      </c>
      <c r="D20" s="99">
        <v>22</v>
      </c>
      <c r="E20" s="99"/>
      <c r="F20" s="100"/>
      <c r="G20" s="90">
        <f t="shared" si="5"/>
        <v>5476.4750000000004</v>
      </c>
      <c r="H20" s="91"/>
      <c r="I20" s="92">
        <f t="shared" si="0"/>
        <v>0</v>
      </c>
      <c r="J20" s="92">
        <f t="shared" si="1"/>
        <v>4950</v>
      </c>
      <c r="K20" s="92">
        <f>IF(OR(WEEKDAY(A20)=1,WEEKDAY(A20)=7,NOT(ISERROR(MATCH(A20,[1]Праздники!A:A,0)))),SUM(E20*225)*1.5,SUM(E20*225))</f>
        <v>0</v>
      </c>
      <c r="L20" s="92">
        <f>IF(OR(WEEKDAY(A20)=1,WEEKDAY(A20)=7,NOT(ISERROR(MATCH(A20,[1]Праздники!A:A,0)))),SUM(F20*225)*1.5,SUM(F20*225))</f>
        <v>0</v>
      </c>
      <c r="M20" s="92">
        <f t="shared" si="2"/>
        <v>82147.125</v>
      </c>
      <c r="N20" s="92">
        <f t="shared" si="3"/>
        <v>0</v>
      </c>
      <c r="O20" s="92">
        <f t="shared" si="4"/>
        <v>87097.125</v>
      </c>
      <c r="P20" s="2" t="str">
        <f>IF(OR(WEEKDAY(A20)=1,WEEKDAY(A20)=7,NOT(ISERROR(MATCH(A20,[1]Праздники!A:A,0)))),"Выходной","Рабочий")</f>
        <v>Выходной</v>
      </c>
    </row>
    <row r="21" spans="1:16">
      <c r="A21" s="224">
        <v>46069</v>
      </c>
      <c r="B21" s="225"/>
      <c r="C21" s="98">
        <v>0</v>
      </c>
      <c r="D21" s="99">
        <v>44.5</v>
      </c>
      <c r="E21" s="99"/>
      <c r="F21" s="100"/>
      <c r="G21" s="90">
        <f t="shared" si="5"/>
        <v>5454.4750000000004</v>
      </c>
      <c r="H21" s="91"/>
      <c r="I21" s="92">
        <f t="shared" si="0"/>
        <v>0</v>
      </c>
      <c r="J21" s="92">
        <f t="shared" si="1"/>
        <v>6675</v>
      </c>
      <c r="K21" s="92">
        <f>IF(OR(WEEKDAY(A21)=1,WEEKDAY(A21)=7,NOT(ISERROR(MATCH(A21,[1]Праздники!A:A,0)))),SUM(E21*225)*1.5,SUM(E21*225))</f>
        <v>0</v>
      </c>
      <c r="L21" s="92">
        <f>IF(OR(WEEKDAY(A21)=1,WEEKDAY(A21)=7,NOT(ISERROR(MATCH(A21,[1]Праздники!A:A,0)))),SUM(F21*225)*1.5,SUM(F21*225))</f>
        <v>0</v>
      </c>
      <c r="M21" s="92">
        <f t="shared" si="2"/>
        <v>81817.125</v>
      </c>
      <c r="N21" s="92">
        <f t="shared" si="3"/>
        <v>0</v>
      </c>
      <c r="O21" s="92">
        <f t="shared" si="4"/>
        <v>88492.125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24">
        <v>46070</v>
      </c>
      <c r="B22" s="225"/>
      <c r="C22" s="98">
        <v>0</v>
      </c>
      <c r="D22" s="99">
        <v>87.125</v>
      </c>
      <c r="E22" s="99"/>
      <c r="F22" s="100"/>
      <c r="G22" s="90">
        <f t="shared" si="5"/>
        <v>5409.9750000000004</v>
      </c>
      <c r="H22" s="91"/>
      <c r="I22" s="92">
        <f t="shared" si="0"/>
        <v>0</v>
      </c>
      <c r="J22" s="92">
        <f t="shared" si="1"/>
        <v>13068.75</v>
      </c>
      <c r="K22" s="92">
        <f>IF(OR(WEEKDAY(A22)=1,WEEKDAY(A22)=7,NOT(ISERROR(MATCH(A22,[1]Праздники!A:A,0)))),SUM(E22*225)*1.5,SUM(E22*225))</f>
        <v>0</v>
      </c>
      <c r="L22" s="92">
        <f>IF(OR(WEEKDAY(A22)=1,WEEKDAY(A22)=7,NOT(ISERROR(MATCH(A22,[1]Праздники!A:A,0)))),SUM(F22*225)*1.5,SUM(F22*225))</f>
        <v>0</v>
      </c>
      <c r="M22" s="92">
        <f t="shared" si="2"/>
        <v>81149.625</v>
      </c>
      <c r="N22" s="92">
        <f t="shared" si="3"/>
        <v>0</v>
      </c>
      <c r="O22" s="92">
        <f t="shared" si="4"/>
        <v>94218.375</v>
      </c>
      <c r="P22" s="2" t="str">
        <f>IF(OR(WEEKDAY(A22)=1,WEEKDAY(A22)=7,NOT(ISERROR(MATCH(A22,[1]Праздники!A:A,0)))),"Выходной","Рабочий")</f>
        <v>Рабочий</v>
      </c>
    </row>
    <row r="23" spans="1:16">
      <c r="A23" s="224">
        <v>46071</v>
      </c>
      <c r="B23" s="225"/>
      <c r="C23" s="98">
        <v>0</v>
      </c>
      <c r="D23" s="99">
        <v>22</v>
      </c>
      <c r="E23" s="99"/>
      <c r="F23" s="100"/>
      <c r="G23" s="90">
        <f t="shared" si="5"/>
        <v>5322.85</v>
      </c>
      <c r="H23" s="91"/>
      <c r="I23" s="92">
        <f t="shared" si="0"/>
        <v>0</v>
      </c>
      <c r="J23" s="92">
        <f t="shared" si="1"/>
        <v>3300</v>
      </c>
      <c r="K23" s="92">
        <f>IF(OR(WEEKDAY(A23)=1,WEEKDAY(A23)=7,NOT(ISERROR(MATCH(A23,[1]Праздники!A:A,0)))),SUM(E23*225)*1.5,SUM(E23*225))</f>
        <v>0</v>
      </c>
      <c r="L23" s="92">
        <f>IF(OR(WEEKDAY(A23)=1,WEEKDAY(A23)=7,NOT(ISERROR(MATCH(A23,[1]Праздники!A:A,0)))),SUM(F23*225)*1.5,SUM(F23*225))</f>
        <v>0</v>
      </c>
      <c r="M23" s="92">
        <f t="shared" si="2"/>
        <v>79842.75</v>
      </c>
      <c r="N23" s="92">
        <f t="shared" si="3"/>
        <v>0</v>
      </c>
      <c r="O23" s="92">
        <f t="shared" si="4"/>
        <v>83142.75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4">
        <v>46072</v>
      </c>
      <c r="B24" s="225"/>
      <c r="C24" s="98">
        <v>0</v>
      </c>
      <c r="D24" s="99">
        <v>88.5</v>
      </c>
      <c r="E24" s="99"/>
      <c r="F24" s="100"/>
      <c r="G24" s="90">
        <f t="shared" si="5"/>
        <v>5300.85</v>
      </c>
      <c r="H24" s="91"/>
      <c r="I24" s="92">
        <f t="shared" si="0"/>
        <v>0</v>
      </c>
      <c r="J24" s="92">
        <f t="shared" si="1"/>
        <v>13275</v>
      </c>
      <c r="K24" s="92">
        <f>IF(OR(WEEKDAY(A24)=1,WEEKDAY(A24)=7,NOT(ISERROR(MATCH(A24,[1]Праздники!A:A,0)))),SUM(E24*225)*1.5,SUM(E24*225))</f>
        <v>0</v>
      </c>
      <c r="L24" s="92">
        <f>IF(OR(WEEKDAY(A24)=1,WEEKDAY(A24)=7,NOT(ISERROR(MATCH(A24,[1]Праздники!A:A,0)))),SUM(F24*225)*1.5,SUM(F24*225))</f>
        <v>0</v>
      </c>
      <c r="M24" s="92">
        <f t="shared" si="2"/>
        <v>79512.75</v>
      </c>
      <c r="N24" s="92">
        <f t="shared" si="3"/>
        <v>0</v>
      </c>
      <c r="O24" s="92">
        <f t="shared" si="4"/>
        <v>92787.75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4">
        <v>46073</v>
      </c>
      <c r="B25" s="225"/>
      <c r="C25" s="98">
        <v>0</v>
      </c>
      <c r="D25" s="99">
        <v>66</v>
      </c>
      <c r="E25" s="99"/>
      <c r="F25" s="100"/>
      <c r="G25" s="90">
        <f t="shared" si="5"/>
        <v>5212.3500000000004</v>
      </c>
      <c r="H25" s="91"/>
      <c r="I25" s="92">
        <f t="shared" si="0"/>
        <v>0</v>
      </c>
      <c r="J25" s="92">
        <f t="shared" si="1"/>
        <v>9900</v>
      </c>
      <c r="K25" s="92">
        <f>IF(OR(WEEKDAY(A25)=1,WEEKDAY(A25)=7,NOT(ISERROR(MATCH(A25,[1]Праздники!A:A,0)))),SUM(E25*225)*1.5,SUM(E25*225))</f>
        <v>0</v>
      </c>
      <c r="L25" s="92">
        <f>IF(OR(WEEKDAY(A25)=1,WEEKDAY(A25)=7,NOT(ISERROR(MATCH(A25,[1]Праздники!A:A,0)))),SUM(F25*225)*1.5,SUM(F25*225))</f>
        <v>0</v>
      </c>
      <c r="M25" s="92">
        <f t="shared" si="2"/>
        <v>78185.25</v>
      </c>
      <c r="N25" s="92">
        <f t="shared" si="3"/>
        <v>0</v>
      </c>
      <c r="O25" s="92">
        <f t="shared" si="4"/>
        <v>88085.25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4">
        <v>46074</v>
      </c>
      <c r="B26" s="225"/>
      <c r="C26" s="98">
        <v>0</v>
      </c>
      <c r="D26" s="99">
        <v>0</v>
      </c>
      <c r="E26" s="104"/>
      <c r="F26" s="100"/>
      <c r="G26" s="90">
        <f t="shared" si="5"/>
        <v>5146.3500000000004</v>
      </c>
      <c r="H26" s="91"/>
      <c r="I26" s="92">
        <f t="shared" si="0"/>
        <v>0</v>
      </c>
      <c r="J26" s="92">
        <f t="shared" si="1"/>
        <v>0</v>
      </c>
      <c r="K26" s="92">
        <f>IF(OR(WEEKDAY(A26)=1,WEEKDAY(A26)=7,NOT(ISERROR(MATCH(A26,[1]Праздники!A:A,0)))),SUM(E26*225)*1.5,SUM(E26*225))</f>
        <v>0</v>
      </c>
      <c r="L26" s="92">
        <f>IF(OR(WEEKDAY(A26)=1,WEEKDAY(A26)=7,NOT(ISERROR(MATCH(A26,[1]Праздники!A:A,0)))),SUM(F26*225)*1.5,SUM(F26*225))</f>
        <v>0</v>
      </c>
      <c r="M26" s="92">
        <f t="shared" si="2"/>
        <v>77195.25</v>
      </c>
      <c r="N26" s="92">
        <f t="shared" si="3"/>
        <v>0</v>
      </c>
      <c r="O26" s="92">
        <f t="shared" si="4"/>
        <v>77195.25</v>
      </c>
      <c r="P26" s="2" t="str">
        <f>IF(OR(WEEKDAY(A26)=1,WEEKDAY(A26)=7,NOT(ISERROR(MATCH(A26,[1]Праздники!A:A,0)))),"Выходной","Рабочий")</f>
        <v>Выходной</v>
      </c>
    </row>
    <row r="27" spans="1:16" ht="15" customHeight="1">
      <c r="A27" s="224">
        <v>46075</v>
      </c>
      <c r="B27" s="225"/>
      <c r="C27" s="98">
        <v>0</v>
      </c>
      <c r="D27" s="99">
        <v>151.25</v>
      </c>
      <c r="E27" s="99"/>
      <c r="F27" s="103"/>
      <c r="G27" s="90">
        <f t="shared" si="5"/>
        <v>5146.3500000000004</v>
      </c>
      <c r="H27" s="91"/>
      <c r="I27" s="92">
        <f t="shared" si="0"/>
        <v>0</v>
      </c>
      <c r="J27" s="92">
        <f t="shared" si="1"/>
        <v>34031.25</v>
      </c>
      <c r="K27" s="92">
        <f>IF(OR(WEEKDAY(A27)=1,WEEKDAY(A27)=7,NOT(ISERROR(MATCH(A27,[1]Праздники!A:A,0)))),SUM(E27*225)*1.5,SUM(E27*225))</f>
        <v>0</v>
      </c>
      <c r="L27" s="92">
        <f>IF(OR(WEEKDAY(A27)=1,WEEKDAY(A27)=7,NOT(ISERROR(MATCH(A27,[1]Праздники!A:A,0)))),SUM(F27*225)*1.5,SUM(F27*225))</f>
        <v>0</v>
      </c>
      <c r="M27" s="92">
        <f t="shared" si="2"/>
        <v>77195.25</v>
      </c>
      <c r="N27" s="92">
        <f t="shared" si="3"/>
        <v>0</v>
      </c>
      <c r="O27" s="92">
        <f t="shared" si="4"/>
        <v>111226.5</v>
      </c>
      <c r="P27" s="2" t="str">
        <f>IF(OR(WEEKDAY(A27)=1,WEEKDAY(A27)=7,NOT(ISERROR(MATCH(A27,[1]Праздники!A:A,0)))),"Выходной","Рабочий")</f>
        <v>Выходной</v>
      </c>
    </row>
    <row r="28" spans="1:16">
      <c r="A28" s="224">
        <v>46076</v>
      </c>
      <c r="B28" s="225"/>
      <c r="C28" s="98">
        <v>0</v>
      </c>
      <c r="D28" s="99">
        <v>107.80500000000001</v>
      </c>
      <c r="E28" s="99"/>
      <c r="F28" s="100"/>
      <c r="G28" s="90">
        <f t="shared" si="5"/>
        <v>4995.1000000000004</v>
      </c>
      <c r="H28" s="91"/>
      <c r="I28" s="92">
        <f t="shared" si="0"/>
        <v>0</v>
      </c>
      <c r="J28" s="92">
        <f t="shared" si="1"/>
        <v>24256.125000000004</v>
      </c>
      <c r="K28" s="92">
        <f>IF(OR(WEEKDAY(A28)=1,WEEKDAY(A28)=7,NOT(ISERROR(MATCH(A28,[1]Праздники!A:A,0)))),SUM(E28*225)*1.5,SUM(E28*225))</f>
        <v>0</v>
      </c>
      <c r="L28" s="92">
        <f>IF(OR(WEEKDAY(A28)=1,WEEKDAY(A28)=7,NOT(ISERROR(MATCH(A28,[1]Праздники!A:A,0)))),SUM(F28*225)*1.5,SUM(F28*225))</f>
        <v>0</v>
      </c>
      <c r="M28" s="92">
        <f t="shared" si="2"/>
        <v>74926.5</v>
      </c>
      <c r="N28" s="92">
        <f t="shared" si="3"/>
        <v>0</v>
      </c>
      <c r="O28" s="92">
        <f t="shared" si="4"/>
        <v>99182.625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4">
        <v>46077</v>
      </c>
      <c r="B29" s="225"/>
      <c r="C29" s="98">
        <v>0</v>
      </c>
      <c r="D29" s="99">
        <v>149.72499999999999</v>
      </c>
      <c r="E29" s="99"/>
      <c r="F29" s="100"/>
      <c r="G29" s="90">
        <f t="shared" si="5"/>
        <v>4887.2950000000001</v>
      </c>
      <c r="H29" s="91"/>
      <c r="I29" s="92">
        <f t="shared" si="0"/>
        <v>0</v>
      </c>
      <c r="J29" s="92">
        <f t="shared" si="1"/>
        <v>22458.75</v>
      </c>
      <c r="K29" s="92">
        <f>IF(OR(WEEKDAY(A29)=1,WEEKDAY(A29)=7,NOT(ISERROR(MATCH(A29,[1]Праздники!A:A,0)))),SUM(E29*225)*1.5,SUM(E29*225))</f>
        <v>0</v>
      </c>
      <c r="L29" s="92">
        <f>IF(OR(WEEKDAY(A29)=1,WEEKDAY(A29)=7,NOT(ISERROR(MATCH(A29,[1]Праздники!A:A,0)))),SUM(F29*225)*1.5,SUM(F29*225))</f>
        <v>0</v>
      </c>
      <c r="M29" s="92">
        <f t="shared" si="2"/>
        <v>73309.425000000003</v>
      </c>
      <c r="N29" s="92">
        <f t="shared" si="3"/>
        <v>0</v>
      </c>
      <c r="O29" s="92">
        <f t="shared" si="4"/>
        <v>95768.175000000003</v>
      </c>
      <c r="P29" s="2" t="str">
        <f>IF(OR(WEEKDAY(A29)=1,WEEKDAY(A29)=7,NOT(ISERROR(MATCH(A29,[1]Праздники!A:A,0)))),"Выходной","Рабочий")</f>
        <v>Рабочий</v>
      </c>
    </row>
    <row r="30" spans="1:16">
      <c r="A30" s="224">
        <v>46078</v>
      </c>
      <c r="B30" s="225"/>
      <c r="C30" s="98">
        <v>0</v>
      </c>
      <c r="D30" s="99">
        <v>159.38</v>
      </c>
      <c r="E30" s="99"/>
      <c r="F30" s="100"/>
      <c r="G30" s="90">
        <f t="shared" si="5"/>
        <v>4737.57</v>
      </c>
      <c r="H30" s="91"/>
      <c r="I30" s="92">
        <f t="shared" si="0"/>
        <v>0</v>
      </c>
      <c r="J30" s="92">
        <f t="shared" si="1"/>
        <v>23907</v>
      </c>
      <c r="K30" s="92">
        <f>IF(OR(WEEKDAY(A30)=1,WEEKDAY(A30)=7,NOT(ISERROR(MATCH(A30,[1]Праздники!A:A,0)))),SUM(E30*225)*1.5,SUM(E30*225))</f>
        <v>0</v>
      </c>
      <c r="L30" s="92">
        <f>IF(OR(WEEKDAY(A30)=1,WEEKDAY(A30)=7,NOT(ISERROR(MATCH(A30,[1]Праздники!A:A,0)))),SUM(F30*225)*1.5,SUM(F30*225))</f>
        <v>0</v>
      </c>
      <c r="M30" s="92">
        <f t="shared" si="2"/>
        <v>71063.549999999988</v>
      </c>
      <c r="N30" s="92">
        <f t="shared" si="3"/>
        <v>0</v>
      </c>
      <c r="O30" s="92">
        <f t="shared" si="4"/>
        <v>94970.549999999988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4">
        <v>46079</v>
      </c>
      <c r="B31" s="225"/>
      <c r="C31" s="98">
        <v>0</v>
      </c>
      <c r="D31" s="99">
        <v>195.25</v>
      </c>
      <c r="E31" s="99"/>
      <c r="F31" s="100"/>
      <c r="G31" s="90">
        <f t="shared" si="5"/>
        <v>4578.1899999999996</v>
      </c>
      <c r="H31" s="91"/>
      <c r="I31" s="92">
        <f t="shared" si="0"/>
        <v>0</v>
      </c>
      <c r="J31" s="92">
        <f t="shared" si="1"/>
        <v>29287.5</v>
      </c>
      <c r="K31" s="92">
        <f>IF(OR(WEEKDAY(A31)=1,WEEKDAY(A31)=7,NOT(ISERROR(MATCH(A31,[1]Праздники!A:A,0)))),SUM(E31*225)*1.5,SUM(E31*225))</f>
        <v>0</v>
      </c>
      <c r="L31" s="92">
        <f>IF(OR(WEEKDAY(A31)=1,WEEKDAY(A31)=7,NOT(ISERROR(MATCH(A31,[1]Праздники!A:A,0)))),SUM(F31*225)*1.5,SUM(F31*225))</f>
        <v>0</v>
      </c>
      <c r="M31" s="92">
        <f t="shared" si="2"/>
        <v>68672.849999999991</v>
      </c>
      <c r="N31" s="92">
        <f t="shared" si="3"/>
        <v>0</v>
      </c>
      <c r="O31" s="92">
        <f t="shared" si="4"/>
        <v>97960.349999999991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4">
        <v>46080</v>
      </c>
      <c r="B32" s="225"/>
      <c r="C32" s="98">
        <v>0</v>
      </c>
      <c r="D32" s="99">
        <v>129.94</v>
      </c>
      <c r="E32" s="99"/>
      <c r="F32" s="100"/>
      <c r="G32" s="90">
        <f t="shared" si="5"/>
        <v>4382.9399999999996</v>
      </c>
      <c r="H32" s="91"/>
      <c r="I32" s="92">
        <f t="shared" si="0"/>
        <v>0</v>
      </c>
      <c r="J32" s="92">
        <f t="shared" si="1"/>
        <v>19491</v>
      </c>
      <c r="K32" s="92">
        <f>IF(OR(WEEKDAY(A32)=1,WEEKDAY(A32)=7,NOT(ISERROR(MATCH(A32,[1]Праздники!A:A,0)))),SUM(E32*225)*1.5,SUM(E32*225))</f>
        <v>0</v>
      </c>
      <c r="L32" s="92">
        <f>IF(OR(WEEKDAY(A32)=1,WEEKDAY(A32)=7,NOT(ISERROR(MATCH(A32,[1]Праздники!A:A,0)))),SUM(F32*225)*1.5,SUM(F32*225))</f>
        <v>0</v>
      </c>
      <c r="M32" s="92">
        <f t="shared" si="2"/>
        <v>65744.099999999991</v>
      </c>
      <c r="N32" s="92">
        <f t="shared" si="3"/>
        <v>0</v>
      </c>
      <c r="O32" s="92">
        <f t="shared" si="4"/>
        <v>85235.099999999991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4">
        <v>46081</v>
      </c>
      <c r="B33" s="225"/>
      <c r="C33" s="98">
        <v>0</v>
      </c>
      <c r="D33" s="99">
        <v>241.77500000000001</v>
      </c>
      <c r="E33" s="99"/>
      <c r="F33" s="100"/>
      <c r="G33" s="90">
        <f t="shared" si="5"/>
        <v>4253</v>
      </c>
      <c r="H33" s="91"/>
      <c r="I33" s="92">
        <f t="shared" si="0"/>
        <v>0</v>
      </c>
      <c r="J33" s="92">
        <f t="shared" si="1"/>
        <v>54399.375</v>
      </c>
      <c r="K33" s="92">
        <f>IF(OR(WEEKDAY(A33)=1,WEEKDAY(A33)=7,NOT(ISERROR(MATCH(A33,[1]Праздники!A:A,0)))),SUM(E33*225)*1.5,SUM(E33*225))</f>
        <v>0</v>
      </c>
      <c r="L33" s="92">
        <f>IF(OR(WEEKDAY(A33)=1,WEEKDAY(A33)=7,NOT(ISERROR(MATCH(A33,[1]Праздники!A:A,0)))),SUM(F33*225)*1.5,SUM(F33*225))</f>
        <v>0</v>
      </c>
      <c r="M33" s="92">
        <f t="shared" si="2"/>
        <v>63795</v>
      </c>
      <c r="N33" s="92">
        <f t="shared" si="3"/>
        <v>0</v>
      </c>
      <c r="O33" s="92">
        <f t="shared" si="4"/>
        <v>118194.375</v>
      </c>
      <c r="P33" s="2" t="str">
        <f>IF(OR(WEEKDAY(A33)=1,WEEKDAY(A33)=7,NOT(ISERROR(MATCH(A33,[1]Праздники!A:A,0)))),"Выходной","Рабочий")</f>
        <v>Выходной</v>
      </c>
    </row>
    <row r="34" spans="1:17">
      <c r="A34" s="224"/>
      <c r="B34" s="225"/>
      <c r="C34" s="98">
        <v>0</v>
      </c>
      <c r="D34" s="99">
        <v>0</v>
      </c>
      <c r="E34" s="99"/>
      <c r="F34" s="100"/>
      <c r="G34" s="90">
        <f t="shared" si="5"/>
        <v>0</v>
      </c>
      <c r="H34" s="91"/>
      <c r="I34" s="92">
        <f t="shared" si="0"/>
        <v>0</v>
      </c>
      <c r="J34" s="92">
        <f t="shared" si="1"/>
        <v>0</v>
      </c>
      <c r="K34" s="92">
        <f>IF(OR(WEEKDAY(A34)=1,WEEKDAY(A34)=7,NOT(ISERROR(MATCH(A34,[1]Праздники!A:A,0)))),SUM(E34*225)*1.5,SUM(E34*225))</f>
        <v>0</v>
      </c>
      <c r="L34" s="92">
        <f>IF(OR(WEEKDAY(A34)=1,WEEKDAY(A34)=7,NOT(ISERROR(MATCH(A34,[1]Праздники!A:A,0)))),SUM(F34*225)*1.5,SUM(F34*225))</f>
        <v>0</v>
      </c>
      <c r="M34" s="92">
        <f t="shared" si="2"/>
        <v>0</v>
      </c>
      <c r="N34" s="92">
        <f t="shared" si="3"/>
        <v>0</v>
      </c>
      <c r="O34" s="92">
        <f t="shared" si="4"/>
        <v>0</v>
      </c>
      <c r="P34" s="2" t="str">
        <f>IF(OR(WEEKDAY(A34)=1,WEEKDAY(A34)=7,NOT(ISERROR(MATCH(A34,[1]Праздники!A:A,0)))),"Выходной","Рабочий")</f>
        <v>Выходной</v>
      </c>
    </row>
    <row r="35" spans="1:17">
      <c r="A35" s="224"/>
      <c r="B35" s="225"/>
      <c r="C35" s="98">
        <v>0</v>
      </c>
      <c r="D35" s="99">
        <v>0</v>
      </c>
      <c r="E35" s="90"/>
      <c r="F35" s="100"/>
      <c r="G35" s="90">
        <f t="shared" si="5"/>
        <v>0</v>
      </c>
      <c r="H35" s="91"/>
      <c r="I35" s="92">
        <f t="shared" si="0"/>
        <v>0</v>
      </c>
      <c r="J35" s="92">
        <f t="shared" si="1"/>
        <v>0</v>
      </c>
      <c r="K35" s="92">
        <f>IF(OR(WEEKDAY(A35)=1,WEEKDAY(A35)=7,NOT(ISERROR(MATCH(A35,[1]Праздники!A:A,0)))),SUM(E35*225)*1.5,SUM(E35*225))</f>
        <v>0</v>
      </c>
      <c r="L35" s="92">
        <f>IF(OR(WEEKDAY(A35)=1,WEEKDAY(A35)=7,NOT(ISERROR(MATCH(A35,[1]Праздники!A:A,0)))),SUM(F35*225)*1.5,SUM(F35*225))</f>
        <v>0</v>
      </c>
      <c r="M35" s="92">
        <f t="shared" si="2"/>
        <v>0</v>
      </c>
      <c r="N35" s="92">
        <f t="shared" si="3"/>
        <v>0</v>
      </c>
      <c r="O35" s="92">
        <f t="shared" si="4"/>
        <v>0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4"/>
      <c r="B36" s="225"/>
      <c r="C36" s="98">
        <v>0</v>
      </c>
      <c r="D36" s="99">
        <v>0</v>
      </c>
      <c r="E36" s="90"/>
      <c r="F36" s="100"/>
      <c r="G36" s="90">
        <f t="shared" si="5"/>
        <v>0</v>
      </c>
      <c r="H36" s="91"/>
      <c r="I36" s="92">
        <f t="shared" si="0"/>
        <v>0</v>
      </c>
      <c r="J36" s="92">
        <f t="shared" si="1"/>
        <v>0</v>
      </c>
      <c r="K36" s="92">
        <f>IF(OR(WEEKDAY(A36)=1,WEEKDAY(A36)=7,NOT(ISERROR(MATCH(A36,[1]Праздники!A:A,0)))),SUM(E36*225)*1.5,SUM(E36*225))</f>
        <v>0</v>
      </c>
      <c r="L36" s="92">
        <f>IF(OR(WEEKDAY(A36)=1,WEEKDAY(A36)=7,NOT(ISERROR(MATCH(A36,[1]Праздники!A:A,0)))),SUM(F36*225)*1.5,SUM(F36*225))</f>
        <v>0</v>
      </c>
      <c r="M36" s="92">
        <f t="shared" si="2"/>
        <v>0</v>
      </c>
      <c r="N36" s="92">
        <f t="shared" si="3"/>
        <v>0</v>
      </c>
      <c r="O36" s="92">
        <f t="shared" ref="O36" si="6">SUM(I36:N36)</f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3">
        <f>SUM(C6:C36)</f>
        <v>2434</v>
      </c>
      <c r="D37" s="93">
        <f t="shared" ref="D37:O37" si="7">SUM(D6:D36)</f>
        <v>2998.9900000000002</v>
      </c>
      <c r="E37" s="93">
        <f t="shared" si="7"/>
        <v>0</v>
      </c>
      <c r="F37" s="93">
        <f t="shared" si="7"/>
        <v>0</v>
      </c>
      <c r="G37" s="93">
        <f t="shared" si="7"/>
        <v>147197.03000000006</v>
      </c>
      <c r="H37" s="105">
        <f t="shared" si="7"/>
        <v>0</v>
      </c>
      <c r="I37" s="94">
        <f t="shared" si="7"/>
        <v>419946.75</v>
      </c>
      <c r="J37" s="94">
        <f t="shared" si="7"/>
        <v>515667.75</v>
      </c>
      <c r="K37" s="94">
        <f t="shared" si="7"/>
        <v>0</v>
      </c>
      <c r="L37" s="94">
        <f t="shared" si="7"/>
        <v>0</v>
      </c>
      <c r="M37" s="94">
        <f t="shared" si="7"/>
        <v>2207955.4500000002</v>
      </c>
      <c r="N37" s="94">
        <f t="shared" si="7"/>
        <v>0</v>
      </c>
      <c r="O37" s="95">
        <f t="shared" si="7"/>
        <v>3143569.95</v>
      </c>
    </row>
    <row r="38" spans="1:17" ht="15.75" thickBot="1">
      <c r="G38" s="89"/>
      <c r="L38" s="14"/>
      <c r="M38" s="89"/>
      <c r="N38" s="105" t="s">
        <v>117</v>
      </c>
      <c r="O38" s="96">
        <f>O37*1.22</f>
        <v>3835155.3390000002</v>
      </c>
      <c r="Q38" s="97"/>
    </row>
    <row r="39" spans="1:17">
      <c r="G39" s="109"/>
      <c r="M39" s="89"/>
    </row>
    <row r="40" spans="1:17">
      <c r="G40" s="89"/>
      <c r="M40" s="89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:B5"/>
    <mergeCell ref="C4:C5"/>
    <mergeCell ref="D4:D5"/>
    <mergeCell ref="A11:B11"/>
    <mergeCell ref="A12:B12"/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AEB2-A1F9-4310-A5D2-2304CC56EE87}">
  <sheetPr codeName="Лист9"/>
  <dimension ref="A1:S40"/>
  <sheetViews>
    <sheetView topLeftCell="A16" workbookViewId="0">
      <selection activeCell="G42" sqref="G42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11.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9"/>
      <c r="Q1" s="79"/>
      <c r="R1" s="79" t="s">
        <v>107</v>
      </c>
      <c r="S1" s="79" t="s">
        <v>108</v>
      </c>
    </row>
    <row r="2" spans="1:19">
      <c r="M2" s="89"/>
      <c r="Q2" s="79" t="s">
        <v>109</v>
      </c>
      <c r="R2" s="79">
        <f>SUMIF($P$6:$P$36,R$1,$C6:$C36)</f>
        <v>22</v>
      </c>
      <c r="S2" s="79">
        <f>SUMIF($P$6:$P$36,S$1,$C6:$C36)</f>
        <v>420.3</v>
      </c>
    </row>
    <row r="3" spans="1:19" ht="21">
      <c r="A3" s="77" t="str">
        <f>"Отчет по хранению  товара  РВ " &amp; TEXT(A6,"ММММ ") &amp; YEAR(A6) &amp; " Новикова"</f>
        <v>Отчет по хранению  товара  РВ Февраль 2026 Новикова</v>
      </c>
      <c r="G3" s="89"/>
      <c r="M3" s="89"/>
      <c r="Q3" s="79" t="s">
        <v>97</v>
      </c>
      <c r="R3" s="79">
        <f>SUMIF($P$6:$P$36,R$1,$D6:$D36)</f>
        <v>396.23</v>
      </c>
      <c r="S3" s="79">
        <f>SUMIF($P$6:$P$36,S$1,$D6:$D36)</f>
        <v>970.71</v>
      </c>
    </row>
    <row r="4" spans="1:19">
      <c r="A4" s="204" t="s">
        <v>1</v>
      </c>
      <c r="B4" s="205"/>
      <c r="C4" s="202" t="s">
        <v>110</v>
      </c>
      <c r="D4" s="202" t="s">
        <v>111</v>
      </c>
      <c r="E4" s="202" t="s">
        <v>112</v>
      </c>
      <c r="F4" s="202" t="s">
        <v>113</v>
      </c>
      <c r="G4" s="101" t="s">
        <v>4</v>
      </c>
      <c r="H4" s="202" t="s">
        <v>7</v>
      </c>
      <c r="I4" s="202" t="s">
        <v>11</v>
      </c>
      <c r="J4" s="202" t="s">
        <v>12</v>
      </c>
      <c r="K4" s="202" t="s">
        <v>114</v>
      </c>
      <c r="L4" s="202" t="s">
        <v>115</v>
      </c>
      <c r="M4" s="226" t="s">
        <v>13</v>
      </c>
      <c r="N4" s="202" t="s">
        <v>16</v>
      </c>
      <c r="O4" s="202" t="s">
        <v>18</v>
      </c>
    </row>
    <row r="5" spans="1:19" ht="30">
      <c r="A5" s="206"/>
      <c r="B5" s="207"/>
      <c r="C5" s="203"/>
      <c r="D5" s="203"/>
      <c r="E5" s="203"/>
      <c r="F5" s="203"/>
      <c r="G5" s="102" t="s">
        <v>116</v>
      </c>
      <c r="H5" s="203"/>
      <c r="I5" s="203"/>
      <c r="J5" s="203"/>
      <c r="K5" s="203"/>
      <c r="L5" s="203"/>
      <c r="M5" s="227"/>
      <c r="N5" s="203"/>
      <c r="O5" s="203"/>
    </row>
    <row r="6" spans="1:19">
      <c r="A6" s="224">
        <v>46054</v>
      </c>
      <c r="B6" s="225"/>
      <c r="C6" s="98">
        <v>0</v>
      </c>
      <c r="D6" s="99">
        <v>0</v>
      </c>
      <c r="E6" s="99"/>
      <c r="F6" s="100"/>
      <c r="G6" s="90">
        <v>1345.04</v>
      </c>
      <c r="H6" s="91"/>
      <c r="I6" s="92">
        <f>IF(P6="Выходной",SUM(C6*150)*1.5,SUM(C6*150))</f>
        <v>0</v>
      </c>
      <c r="J6" s="92">
        <f>IF(P6="Выходной",SUM(D6*150)*1.5,SUM(D6*150))</f>
        <v>0</v>
      </c>
      <c r="K6" s="92">
        <f>IF(OR(WEEKDAY(A6)=1,WEEKDAY(A6)=7,NOT(ISERROR(MATCH(A6,[1]Праздники!A:A,0)))),SUM(E6*225)*1.5,SUM(E6*225))</f>
        <v>0</v>
      </c>
      <c r="L6" s="92">
        <f>IF(OR(WEEKDAY(A6)=1,WEEKDAY(A6)=7,NOT(ISERROR(MATCH(A6,[1]Праздники!A:A,0)))),SUM(F6*225)*1.5,SUM(F6*225))</f>
        <v>0</v>
      </c>
      <c r="M6" s="92">
        <f>SUM(G6*15)</f>
        <v>20175.599999999999</v>
      </c>
      <c r="N6" s="92">
        <f>SUM(H6)*750</f>
        <v>0</v>
      </c>
      <c r="O6" s="92">
        <f>SUM(I6:N6)</f>
        <v>20175.599999999999</v>
      </c>
      <c r="P6" s="2" t="str">
        <f>IF(OR(WEEKDAY(A6)=1,WEEKDAY(A6)=7,NOT(ISERROR(MATCH(A6,[1]Праздники!A:A,0)))),"Выходной","Рабочий")</f>
        <v>Выходной</v>
      </c>
    </row>
    <row r="7" spans="1:19">
      <c r="A7" s="224">
        <v>46055</v>
      </c>
      <c r="B7" s="225"/>
      <c r="C7" s="98">
        <v>0</v>
      </c>
      <c r="D7" s="99">
        <v>0</v>
      </c>
      <c r="E7" s="99"/>
      <c r="F7" s="100"/>
      <c r="G7" s="90">
        <f>IF(A7 ="",0,G6+C7+E7-D6-F6)</f>
        <v>1345.04</v>
      </c>
      <c r="H7" s="91"/>
      <c r="I7" s="92">
        <f t="shared" ref="I7:I36" si="0">IF(P7="Выходной",SUM(C7*150)*1.5,SUM(C7*150))</f>
        <v>0</v>
      </c>
      <c r="J7" s="92">
        <f t="shared" ref="J7:J36" si="1">IF(P7="Выходной",SUM(D7*150)*1.5,SUM(D7*150))</f>
        <v>0</v>
      </c>
      <c r="K7" s="92">
        <f>IF(OR(WEEKDAY(A7)=1,WEEKDAY(A7)=7,NOT(ISERROR(MATCH(A7,[1]Праздники!A:A,0)))),SUM(E7*225)*1.5,SUM(E7*225))</f>
        <v>0</v>
      </c>
      <c r="L7" s="92">
        <f>IF(OR(WEEKDAY(A7)=1,WEEKDAY(A7)=7,NOT(ISERROR(MATCH(A7,[1]Праздники!A:A,0)))),SUM(F7*225)*1.5,SUM(F7*225))</f>
        <v>0</v>
      </c>
      <c r="M7" s="92">
        <f t="shared" ref="M7:M36" si="2">SUM(G7*15)</f>
        <v>20175.599999999999</v>
      </c>
      <c r="N7" s="92">
        <f t="shared" ref="N7:N36" si="3">SUM(H7)*750</f>
        <v>0</v>
      </c>
      <c r="O7" s="92">
        <f t="shared" ref="O7:O35" si="4">SUM(I7:N7)</f>
        <v>20175.599999999999</v>
      </c>
      <c r="P7" s="2" t="str">
        <f>IF(OR(WEEKDAY(A7)=1,WEEKDAY(A7)=7,NOT(ISERROR(MATCH(A7,[1]Праздники!A:A,0)))),"Выходной","Рабочий")</f>
        <v>Рабочий</v>
      </c>
    </row>
    <row r="8" spans="1:19">
      <c r="A8" s="224">
        <v>46056</v>
      </c>
      <c r="B8" s="225"/>
      <c r="C8" s="98">
        <v>0</v>
      </c>
      <c r="D8" s="99">
        <v>0</v>
      </c>
      <c r="E8" s="99"/>
      <c r="F8" s="100"/>
      <c r="G8" s="90">
        <f t="shared" ref="G8:G36" si="5">IF(A8 ="",0,G7+C8+E8-D7-F7)</f>
        <v>1345.04</v>
      </c>
      <c r="H8" s="91"/>
      <c r="I8" s="92">
        <f t="shared" si="0"/>
        <v>0</v>
      </c>
      <c r="J8" s="92">
        <f t="shared" si="1"/>
        <v>0</v>
      </c>
      <c r="K8" s="92">
        <f>IF(OR(WEEKDAY(A8)=1,WEEKDAY(A8)=7,NOT(ISERROR(MATCH(A8,[1]Праздники!A:A,0)))),SUM(E8*225)*1.5,SUM(E8*225))</f>
        <v>0</v>
      </c>
      <c r="L8" s="92">
        <f>IF(OR(WEEKDAY(A8)=1,WEEKDAY(A8)=7,NOT(ISERROR(MATCH(A8,[1]Праздники!A:A,0)))),SUM(F8*225)*1.5,SUM(F8*225))</f>
        <v>0</v>
      </c>
      <c r="M8" s="92">
        <f t="shared" si="2"/>
        <v>20175.599999999999</v>
      </c>
      <c r="N8" s="92">
        <f t="shared" si="3"/>
        <v>0</v>
      </c>
      <c r="O8" s="92">
        <f t="shared" si="4"/>
        <v>20175.599999999999</v>
      </c>
      <c r="P8" s="2" t="str">
        <f>IF(OR(WEEKDAY(A8)=1,WEEKDAY(A8)=7,NOT(ISERROR(MATCH(A8,[1]Праздники!A:A,0)))),"Выходной","Рабочий")</f>
        <v>Рабочий</v>
      </c>
    </row>
    <row r="9" spans="1:19">
      <c r="A9" s="224">
        <v>46057</v>
      </c>
      <c r="B9" s="225"/>
      <c r="C9" s="98">
        <v>0</v>
      </c>
      <c r="D9" s="99">
        <v>88.92</v>
      </c>
      <c r="E9" s="99"/>
      <c r="F9" s="100"/>
      <c r="G9" s="90">
        <f t="shared" si="5"/>
        <v>1345.04</v>
      </c>
      <c r="H9" s="91"/>
      <c r="I9" s="92">
        <f t="shared" si="0"/>
        <v>0</v>
      </c>
      <c r="J9" s="92">
        <f t="shared" si="1"/>
        <v>13338</v>
      </c>
      <c r="K9" s="92">
        <f>IF(OR(WEEKDAY(A9)=1,WEEKDAY(A9)=7,NOT(ISERROR(MATCH(A9,[1]Праздники!A:A,0)))),SUM(E9*225)*1.5,SUM(E9*225))</f>
        <v>0</v>
      </c>
      <c r="L9" s="92">
        <f>IF(OR(WEEKDAY(A9)=1,WEEKDAY(A9)=7,NOT(ISERROR(MATCH(A9,[1]Праздники!A:A,0)))),SUM(F9*225)*1.5,SUM(F9*225))</f>
        <v>0</v>
      </c>
      <c r="M9" s="92">
        <f t="shared" si="2"/>
        <v>20175.599999999999</v>
      </c>
      <c r="N9" s="92">
        <f t="shared" si="3"/>
        <v>0</v>
      </c>
      <c r="O9" s="92">
        <f t="shared" si="4"/>
        <v>33513.599999999999</v>
      </c>
      <c r="P9" s="2" t="str">
        <f>IF(OR(WEEKDAY(A9)=1,WEEKDAY(A9)=7,NOT(ISERROR(MATCH(A9,[1]Праздники!A:A,0)))),"Выходной","Рабочий")</f>
        <v>Рабочий</v>
      </c>
    </row>
    <row r="10" spans="1:19">
      <c r="A10" s="224">
        <v>46058</v>
      </c>
      <c r="B10" s="225"/>
      <c r="C10" s="98">
        <v>222.3</v>
      </c>
      <c r="D10" s="99">
        <v>131.04</v>
      </c>
      <c r="E10" s="99"/>
      <c r="F10" s="100"/>
      <c r="G10" s="90">
        <f t="shared" si="5"/>
        <v>1478.4199999999998</v>
      </c>
      <c r="H10" s="91"/>
      <c r="I10" s="92">
        <f t="shared" si="0"/>
        <v>33345</v>
      </c>
      <c r="J10" s="92">
        <f t="shared" si="1"/>
        <v>19656</v>
      </c>
      <c r="K10" s="92">
        <f>IF(OR(WEEKDAY(A10)=1,WEEKDAY(A10)=7,NOT(ISERROR(MATCH(A10,[1]Праздники!A:A,0)))),SUM(E10*225)*1.5,SUM(E10*225))</f>
        <v>0</v>
      </c>
      <c r="L10" s="92">
        <f>IF(OR(WEEKDAY(A10)=1,WEEKDAY(A10)=7,NOT(ISERROR(MATCH(A10,[1]Праздники!A:A,0)))),SUM(F10*225)*1.5,SUM(F10*225))</f>
        <v>0</v>
      </c>
      <c r="M10" s="92">
        <f t="shared" si="2"/>
        <v>22176.3</v>
      </c>
      <c r="N10" s="92">
        <f t="shared" si="3"/>
        <v>0</v>
      </c>
      <c r="O10" s="92">
        <f t="shared" si="4"/>
        <v>75177.3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4">
        <v>46059</v>
      </c>
      <c r="B11" s="225"/>
      <c r="C11" s="98">
        <v>198</v>
      </c>
      <c r="D11" s="99">
        <v>0</v>
      </c>
      <c r="E11" s="99"/>
      <c r="F11" s="100"/>
      <c r="G11" s="90">
        <f t="shared" si="5"/>
        <v>1545.3799999999999</v>
      </c>
      <c r="H11" s="91"/>
      <c r="I11" s="92">
        <f t="shared" si="0"/>
        <v>29700</v>
      </c>
      <c r="J11" s="92">
        <f t="shared" si="1"/>
        <v>0</v>
      </c>
      <c r="K11" s="92">
        <f>IF(OR(WEEKDAY(A11)=1,WEEKDAY(A11)=7,NOT(ISERROR(MATCH(A11,[1]Праздники!A:A,0)))),SUM(E11*225)*1.5,SUM(E11*225))</f>
        <v>0</v>
      </c>
      <c r="L11" s="92">
        <f>IF(OR(WEEKDAY(A11)=1,WEEKDAY(A11)=7,NOT(ISERROR(MATCH(A11,[1]Праздники!A:A,0)))),SUM(F11*225)*1.5,SUM(F11*225))</f>
        <v>0</v>
      </c>
      <c r="M11" s="92">
        <f t="shared" si="2"/>
        <v>23180.699999999997</v>
      </c>
      <c r="N11" s="92">
        <f t="shared" si="3"/>
        <v>0</v>
      </c>
      <c r="O11" s="92">
        <f t="shared" si="4"/>
        <v>52880.7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4">
        <v>46060</v>
      </c>
      <c r="B12" s="225"/>
      <c r="C12" s="98">
        <v>22</v>
      </c>
      <c r="D12" s="99">
        <v>0</v>
      </c>
      <c r="E12" s="99"/>
      <c r="F12" s="100"/>
      <c r="G12" s="90">
        <f t="shared" si="5"/>
        <v>1567.3799999999999</v>
      </c>
      <c r="H12" s="91"/>
      <c r="I12" s="92">
        <f t="shared" si="0"/>
        <v>4950</v>
      </c>
      <c r="J12" s="92">
        <f t="shared" si="1"/>
        <v>0</v>
      </c>
      <c r="K12" s="92">
        <f>IF(OR(WEEKDAY(A12)=1,WEEKDAY(A12)=7,NOT(ISERROR(MATCH(A12,[1]Праздники!A:A,0)))),SUM(E12*225)*1.5,SUM(E12*225))</f>
        <v>0</v>
      </c>
      <c r="L12" s="92">
        <f>IF(OR(WEEKDAY(A12)=1,WEEKDAY(A12)=7,NOT(ISERROR(MATCH(A12,[1]Праздники!A:A,0)))),SUM(F12*225)*1.5,SUM(F12*225))</f>
        <v>0</v>
      </c>
      <c r="M12" s="92">
        <f t="shared" si="2"/>
        <v>23510.699999999997</v>
      </c>
      <c r="N12" s="92">
        <f t="shared" si="3"/>
        <v>0</v>
      </c>
      <c r="O12" s="92">
        <f t="shared" si="4"/>
        <v>28460.699999999997</v>
      </c>
      <c r="P12" s="2" t="str">
        <f>IF(OR(WEEKDAY(A12)=1,WEEKDAY(A12)=7,NOT(ISERROR(MATCH(A12,[1]Праздники!A:A,0)))),"Выходной","Рабочий")</f>
        <v>Выходной</v>
      </c>
    </row>
    <row r="13" spans="1:19">
      <c r="A13" s="224">
        <v>46061</v>
      </c>
      <c r="B13" s="225"/>
      <c r="C13" s="98">
        <v>0</v>
      </c>
      <c r="D13" s="99">
        <v>22</v>
      </c>
      <c r="E13" s="99"/>
      <c r="F13" s="103"/>
      <c r="G13" s="90">
        <f t="shared" si="5"/>
        <v>1567.3799999999999</v>
      </c>
      <c r="H13" s="91"/>
      <c r="I13" s="92">
        <f t="shared" si="0"/>
        <v>0</v>
      </c>
      <c r="J13" s="92">
        <f t="shared" si="1"/>
        <v>4950</v>
      </c>
      <c r="K13" s="92">
        <f>IF(OR(WEEKDAY(A13)=1,WEEKDAY(A13)=7,NOT(ISERROR(MATCH(A13,[1]Праздники!A:A,0)))),SUM(E13*225)*1.5,SUM(E13*225))</f>
        <v>0</v>
      </c>
      <c r="L13" s="92">
        <f>IF(OR(WEEKDAY(A13)=1,WEEKDAY(A13)=7,NOT(ISERROR(MATCH(A13,[1]Праздники!A:A,0)))),SUM(F13*225)*1.5,SUM(F13*225))</f>
        <v>0</v>
      </c>
      <c r="M13" s="92">
        <f t="shared" si="2"/>
        <v>23510.699999999997</v>
      </c>
      <c r="N13" s="92">
        <f t="shared" si="3"/>
        <v>0</v>
      </c>
      <c r="O13" s="92">
        <f t="shared" si="4"/>
        <v>28460.699999999997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24">
        <v>46062</v>
      </c>
      <c r="B14" s="225"/>
      <c r="C14" s="98">
        <v>0</v>
      </c>
      <c r="D14" s="99">
        <v>22</v>
      </c>
      <c r="E14" s="99"/>
      <c r="F14" s="103"/>
      <c r="G14" s="90">
        <f t="shared" si="5"/>
        <v>1545.3799999999999</v>
      </c>
      <c r="H14" s="91"/>
      <c r="I14" s="92">
        <f t="shared" si="0"/>
        <v>0</v>
      </c>
      <c r="J14" s="92">
        <f t="shared" si="1"/>
        <v>3300</v>
      </c>
      <c r="K14" s="92">
        <f>IF(OR(WEEKDAY(A14)=1,WEEKDAY(A14)=7,NOT(ISERROR(MATCH(A14,[1]Праздники!A:A,0)))),SUM(E14*225)*1.5,SUM(E14*225))</f>
        <v>0</v>
      </c>
      <c r="L14" s="92">
        <f>IF(OR(WEEKDAY(A14)=1,WEEKDAY(A14)=7,NOT(ISERROR(MATCH(A14,[1]Праздники!A:A,0)))),SUM(F14*225)*1.5,SUM(F14*225))</f>
        <v>0</v>
      </c>
      <c r="M14" s="92">
        <f t="shared" si="2"/>
        <v>23180.699999999997</v>
      </c>
      <c r="N14" s="92">
        <f t="shared" si="3"/>
        <v>0</v>
      </c>
      <c r="O14" s="92">
        <f t="shared" si="4"/>
        <v>26480.699999999997</v>
      </c>
      <c r="P14" s="2" t="str">
        <f>IF(OR(WEEKDAY(A14)=1,WEEKDAY(A14)=7,NOT(ISERROR(MATCH(A14,[1]Праздники!A:A,0)))),"Выходной","Рабочий")</f>
        <v>Рабочий</v>
      </c>
    </row>
    <row r="15" spans="1:19">
      <c r="A15" s="224">
        <v>46063</v>
      </c>
      <c r="B15" s="225"/>
      <c r="C15" s="98">
        <v>0</v>
      </c>
      <c r="D15" s="99">
        <v>0</v>
      </c>
      <c r="E15" s="99"/>
      <c r="F15" s="100"/>
      <c r="G15" s="90">
        <f t="shared" si="5"/>
        <v>1523.3799999999999</v>
      </c>
      <c r="H15" s="91"/>
      <c r="I15" s="92">
        <f t="shared" si="0"/>
        <v>0</v>
      </c>
      <c r="J15" s="92">
        <f t="shared" si="1"/>
        <v>0</v>
      </c>
      <c r="K15" s="92">
        <f>IF(OR(WEEKDAY(A15)=1,WEEKDAY(A15)=7,NOT(ISERROR(MATCH(A15,[1]Праздники!A:A,0)))),SUM(E15*225)*1.5,SUM(E15*225))</f>
        <v>0</v>
      </c>
      <c r="L15" s="92">
        <f>IF(OR(WEEKDAY(A15)=1,WEEKDAY(A15)=7,NOT(ISERROR(MATCH(A15,[1]Праздники!A:A,0)))),SUM(F15*225)*1.5,SUM(F15*225))</f>
        <v>0</v>
      </c>
      <c r="M15" s="92">
        <f t="shared" si="2"/>
        <v>22850.699999999997</v>
      </c>
      <c r="N15" s="92">
        <f t="shared" si="3"/>
        <v>0</v>
      </c>
      <c r="O15" s="92">
        <f t="shared" si="4"/>
        <v>22850.699999999997</v>
      </c>
      <c r="P15" s="2" t="str">
        <f>IF(OR(WEEKDAY(A15)=1,WEEKDAY(A15)=7,NOT(ISERROR(MATCH(A15,[1]Праздники!A:A,0)))),"Выходной","Рабочий")</f>
        <v>Рабочий</v>
      </c>
    </row>
    <row r="16" spans="1:19">
      <c r="A16" s="224">
        <v>46064</v>
      </c>
      <c r="B16" s="225"/>
      <c r="C16" s="98">
        <v>0</v>
      </c>
      <c r="D16" s="99">
        <v>0</v>
      </c>
      <c r="E16" s="99"/>
      <c r="F16" s="100"/>
      <c r="G16" s="90">
        <f t="shared" si="5"/>
        <v>1523.3799999999999</v>
      </c>
      <c r="H16" s="91"/>
      <c r="I16" s="92">
        <f t="shared" si="0"/>
        <v>0</v>
      </c>
      <c r="J16" s="92">
        <f t="shared" si="1"/>
        <v>0</v>
      </c>
      <c r="K16" s="92">
        <f>IF(OR(WEEKDAY(A16)=1,WEEKDAY(A16)=7,NOT(ISERROR(MATCH(A16,[1]Праздники!A:A,0)))),SUM(E16*225)*1.5,SUM(E16*225))</f>
        <v>0</v>
      </c>
      <c r="L16" s="92">
        <f>IF(OR(WEEKDAY(A16)=1,WEEKDAY(A16)=7,NOT(ISERROR(MATCH(A16,[1]Праздники!A:A,0)))),SUM(F16*225)*1.5,SUM(F16*225))</f>
        <v>0</v>
      </c>
      <c r="M16" s="92">
        <f t="shared" si="2"/>
        <v>22850.699999999997</v>
      </c>
      <c r="N16" s="92">
        <f t="shared" si="3"/>
        <v>0</v>
      </c>
      <c r="O16" s="92">
        <f t="shared" si="4"/>
        <v>22850.699999999997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4">
        <v>46065</v>
      </c>
      <c r="B17" s="225"/>
      <c r="C17" s="98">
        <v>0</v>
      </c>
      <c r="D17" s="99">
        <v>0</v>
      </c>
      <c r="E17" s="99"/>
      <c r="F17" s="100"/>
      <c r="G17" s="90">
        <f t="shared" si="5"/>
        <v>1523.3799999999999</v>
      </c>
      <c r="H17" s="91"/>
      <c r="I17" s="92">
        <f t="shared" si="0"/>
        <v>0</v>
      </c>
      <c r="J17" s="92">
        <f t="shared" si="1"/>
        <v>0</v>
      </c>
      <c r="K17" s="92">
        <f>IF(OR(WEEKDAY(A17)=1,WEEKDAY(A17)=7,NOT(ISERROR(MATCH(A17,[1]Праздники!A:A,0)))),SUM(E17*225)*1.5,SUM(E17*225))</f>
        <v>0</v>
      </c>
      <c r="L17" s="92">
        <f>IF(OR(WEEKDAY(A17)=1,WEEKDAY(A17)=7,NOT(ISERROR(MATCH(A17,[1]Праздники!A:A,0)))),SUM(F17*225)*1.5,SUM(F17*225))</f>
        <v>0</v>
      </c>
      <c r="M17" s="92">
        <f t="shared" si="2"/>
        <v>22850.699999999997</v>
      </c>
      <c r="N17" s="92">
        <f t="shared" si="3"/>
        <v>0</v>
      </c>
      <c r="O17" s="92">
        <f t="shared" si="4"/>
        <v>22850.699999999997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4">
        <v>46066</v>
      </c>
      <c r="B18" s="225"/>
      <c r="C18" s="98">
        <v>0</v>
      </c>
      <c r="D18" s="99">
        <v>0</v>
      </c>
      <c r="E18" s="99"/>
      <c r="F18" s="100"/>
      <c r="G18" s="90">
        <f t="shared" si="5"/>
        <v>1523.3799999999999</v>
      </c>
      <c r="H18" s="91"/>
      <c r="I18" s="92">
        <f t="shared" si="0"/>
        <v>0</v>
      </c>
      <c r="J18" s="92">
        <f t="shared" si="1"/>
        <v>0</v>
      </c>
      <c r="K18" s="92">
        <f>IF(OR(WEEKDAY(A18)=1,WEEKDAY(A18)=7,NOT(ISERROR(MATCH(A18,[1]Праздники!A:A,0)))),SUM(E18*225)*1.5,SUM(E18*225))</f>
        <v>0</v>
      </c>
      <c r="L18" s="92">
        <f>IF(OR(WEEKDAY(A18)=1,WEEKDAY(A18)=7,NOT(ISERROR(MATCH(A18,[1]Праздники!A:A,0)))),SUM(F18*225)*1.5,SUM(F18*225))</f>
        <v>0</v>
      </c>
      <c r="M18" s="92">
        <f t="shared" si="2"/>
        <v>22850.699999999997</v>
      </c>
      <c r="N18" s="92">
        <f t="shared" si="3"/>
        <v>0</v>
      </c>
      <c r="O18" s="92">
        <f t="shared" si="4"/>
        <v>22850.699999999997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4">
        <v>46067</v>
      </c>
      <c r="B19" s="225"/>
      <c r="C19" s="98">
        <v>0</v>
      </c>
      <c r="D19" s="99">
        <v>0</v>
      </c>
      <c r="E19" s="99"/>
      <c r="F19" s="100"/>
      <c r="G19" s="90">
        <f t="shared" si="5"/>
        <v>1523.3799999999999</v>
      </c>
      <c r="H19" s="91"/>
      <c r="I19" s="92">
        <f t="shared" si="0"/>
        <v>0</v>
      </c>
      <c r="J19" s="92">
        <f t="shared" si="1"/>
        <v>0</v>
      </c>
      <c r="K19" s="92">
        <f>IF(OR(WEEKDAY(A19)=1,WEEKDAY(A19)=7,NOT(ISERROR(MATCH(A19,[1]Праздники!A:A,0)))),SUM(E19*225)*1.5,SUM(E19*225))</f>
        <v>0</v>
      </c>
      <c r="L19" s="92">
        <f>IF(OR(WEEKDAY(A19)=1,WEEKDAY(A19)=7,NOT(ISERROR(MATCH(A19,[1]Праздники!A:A,0)))),SUM(F19*225)*1.5,SUM(F19*225))</f>
        <v>0</v>
      </c>
      <c r="M19" s="92">
        <f t="shared" si="2"/>
        <v>22850.699999999997</v>
      </c>
      <c r="N19" s="92">
        <f t="shared" si="3"/>
        <v>0</v>
      </c>
      <c r="O19" s="92">
        <f t="shared" si="4"/>
        <v>22850.699999999997</v>
      </c>
      <c r="P19" s="2" t="str">
        <f>IF(OR(WEEKDAY(A19)=1,WEEKDAY(A19)=7,NOT(ISERROR(MATCH(A19,[1]Праздники!A:A,0)))),"Выходной","Рабочий")</f>
        <v>Выходной</v>
      </c>
    </row>
    <row r="20" spans="1:16">
      <c r="A20" s="224">
        <v>46068</v>
      </c>
      <c r="B20" s="225"/>
      <c r="C20" s="98">
        <v>0</v>
      </c>
      <c r="D20" s="99">
        <v>22</v>
      </c>
      <c r="E20" s="99"/>
      <c r="F20" s="100"/>
      <c r="G20" s="90">
        <f t="shared" si="5"/>
        <v>1523.3799999999999</v>
      </c>
      <c r="H20" s="91"/>
      <c r="I20" s="92">
        <f t="shared" si="0"/>
        <v>0</v>
      </c>
      <c r="J20" s="92">
        <f t="shared" si="1"/>
        <v>4950</v>
      </c>
      <c r="K20" s="92">
        <f>IF(OR(WEEKDAY(A20)=1,WEEKDAY(A20)=7,NOT(ISERROR(MATCH(A20,[1]Праздники!A:A,0)))),SUM(E20*225)*1.5,SUM(E20*225))</f>
        <v>0</v>
      </c>
      <c r="L20" s="92">
        <f>IF(OR(WEEKDAY(A20)=1,WEEKDAY(A20)=7,NOT(ISERROR(MATCH(A20,[1]Праздники!A:A,0)))),SUM(F20*225)*1.5,SUM(F20*225))</f>
        <v>0</v>
      </c>
      <c r="M20" s="92">
        <f t="shared" si="2"/>
        <v>22850.699999999997</v>
      </c>
      <c r="N20" s="92">
        <f t="shared" si="3"/>
        <v>0</v>
      </c>
      <c r="O20" s="92">
        <f t="shared" si="4"/>
        <v>27800.699999999997</v>
      </c>
      <c r="P20" s="2" t="str">
        <f>IF(OR(WEEKDAY(A20)=1,WEEKDAY(A20)=7,NOT(ISERROR(MATCH(A20,[1]Праздники!A:A,0)))),"Выходной","Рабочий")</f>
        <v>Выходной</v>
      </c>
    </row>
    <row r="21" spans="1:16">
      <c r="A21" s="224">
        <v>46069</v>
      </c>
      <c r="B21" s="225"/>
      <c r="C21" s="98">
        <v>0</v>
      </c>
      <c r="D21" s="99">
        <v>66</v>
      </c>
      <c r="E21" s="99"/>
      <c r="F21" s="100"/>
      <c r="G21" s="90">
        <f t="shared" si="5"/>
        <v>1501.3799999999999</v>
      </c>
      <c r="H21" s="91"/>
      <c r="I21" s="92">
        <f t="shared" si="0"/>
        <v>0</v>
      </c>
      <c r="J21" s="92">
        <f t="shared" si="1"/>
        <v>9900</v>
      </c>
      <c r="K21" s="92">
        <f>IF(OR(WEEKDAY(A21)=1,WEEKDAY(A21)=7,NOT(ISERROR(MATCH(A21,[1]Праздники!A:A,0)))),SUM(E21*225)*1.5,SUM(E21*225))</f>
        <v>0</v>
      </c>
      <c r="L21" s="92">
        <f>IF(OR(WEEKDAY(A21)=1,WEEKDAY(A21)=7,NOT(ISERROR(MATCH(A21,[1]Праздники!A:A,0)))),SUM(F21*225)*1.5,SUM(F21*225))</f>
        <v>0</v>
      </c>
      <c r="M21" s="92">
        <f t="shared" si="2"/>
        <v>22520.699999999997</v>
      </c>
      <c r="N21" s="92">
        <f t="shared" si="3"/>
        <v>0</v>
      </c>
      <c r="O21" s="92">
        <f t="shared" si="4"/>
        <v>32420.699999999997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24">
        <v>46070</v>
      </c>
      <c r="B22" s="225"/>
      <c r="C22" s="98">
        <v>0</v>
      </c>
      <c r="D22" s="99">
        <v>0</v>
      </c>
      <c r="E22" s="99"/>
      <c r="F22" s="100"/>
      <c r="G22" s="90">
        <f t="shared" si="5"/>
        <v>1435.3799999999999</v>
      </c>
      <c r="H22" s="91"/>
      <c r="I22" s="92">
        <f t="shared" si="0"/>
        <v>0</v>
      </c>
      <c r="J22" s="92">
        <f t="shared" si="1"/>
        <v>0</v>
      </c>
      <c r="K22" s="92">
        <f>IF(OR(WEEKDAY(A22)=1,WEEKDAY(A22)=7,NOT(ISERROR(MATCH(A22,[1]Праздники!A:A,0)))),SUM(E22*225)*1.5,SUM(E22*225))</f>
        <v>0</v>
      </c>
      <c r="L22" s="92">
        <f>IF(OR(WEEKDAY(A22)=1,WEEKDAY(A22)=7,NOT(ISERROR(MATCH(A22,[1]Праздники!A:A,0)))),SUM(F22*225)*1.5,SUM(F22*225))</f>
        <v>0</v>
      </c>
      <c r="M22" s="92">
        <f t="shared" si="2"/>
        <v>21530.699999999997</v>
      </c>
      <c r="N22" s="92">
        <f t="shared" si="3"/>
        <v>0</v>
      </c>
      <c r="O22" s="92">
        <f t="shared" si="4"/>
        <v>21530.699999999997</v>
      </c>
      <c r="P22" s="2" t="str">
        <f>IF(OR(WEEKDAY(A22)=1,WEEKDAY(A22)=7,NOT(ISERROR(MATCH(A22,[1]Праздники!A:A,0)))),"Выходной","Рабочий")</f>
        <v>Рабочий</v>
      </c>
    </row>
    <row r="23" spans="1:16">
      <c r="A23" s="224">
        <v>46071</v>
      </c>
      <c r="B23" s="225"/>
      <c r="C23" s="98">
        <v>0</v>
      </c>
      <c r="D23" s="99">
        <v>66</v>
      </c>
      <c r="E23" s="99"/>
      <c r="F23" s="100"/>
      <c r="G23" s="90">
        <f t="shared" si="5"/>
        <v>1435.3799999999999</v>
      </c>
      <c r="H23" s="91"/>
      <c r="I23" s="92">
        <f t="shared" si="0"/>
        <v>0</v>
      </c>
      <c r="J23" s="92">
        <f t="shared" si="1"/>
        <v>9900</v>
      </c>
      <c r="K23" s="92">
        <f>IF(OR(WEEKDAY(A23)=1,WEEKDAY(A23)=7,NOT(ISERROR(MATCH(A23,[1]Праздники!A:A,0)))),SUM(E23*225)*1.5,SUM(E23*225))</f>
        <v>0</v>
      </c>
      <c r="L23" s="92">
        <f>IF(OR(WEEKDAY(A23)=1,WEEKDAY(A23)=7,NOT(ISERROR(MATCH(A23,[1]Праздники!A:A,0)))),SUM(F23*225)*1.5,SUM(F23*225))</f>
        <v>0</v>
      </c>
      <c r="M23" s="92">
        <f t="shared" si="2"/>
        <v>21530.699999999997</v>
      </c>
      <c r="N23" s="92">
        <f t="shared" si="3"/>
        <v>0</v>
      </c>
      <c r="O23" s="92">
        <f t="shared" si="4"/>
        <v>31430.699999999997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4">
        <v>46072</v>
      </c>
      <c r="B24" s="225"/>
      <c r="C24" s="98">
        <v>0</v>
      </c>
      <c r="D24" s="99">
        <v>110</v>
      </c>
      <c r="E24" s="99"/>
      <c r="F24" s="100"/>
      <c r="G24" s="90">
        <f t="shared" si="5"/>
        <v>1369.3799999999999</v>
      </c>
      <c r="H24" s="91"/>
      <c r="I24" s="92">
        <f t="shared" si="0"/>
        <v>0</v>
      </c>
      <c r="J24" s="92">
        <f t="shared" si="1"/>
        <v>16500</v>
      </c>
      <c r="K24" s="92">
        <f>IF(OR(WEEKDAY(A24)=1,WEEKDAY(A24)=7,NOT(ISERROR(MATCH(A24,[1]Праздники!A:A,0)))),SUM(E24*225)*1.5,SUM(E24*225))</f>
        <v>0</v>
      </c>
      <c r="L24" s="92">
        <f>IF(OR(WEEKDAY(A24)=1,WEEKDAY(A24)=7,NOT(ISERROR(MATCH(A24,[1]Праздники!A:A,0)))),SUM(F24*225)*1.5,SUM(F24*225))</f>
        <v>0</v>
      </c>
      <c r="M24" s="92">
        <f t="shared" si="2"/>
        <v>20540.699999999997</v>
      </c>
      <c r="N24" s="92">
        <f t="shared" si="3"/>
        <v>0</v>
      </c>
      <c r="O24" s="92">
        <f t="shared" si="4"/>
        <v>37040.699999999997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4">
        <v>46073</v>
      </c>
      <c r="B25" s="225"/>
      <c r="C25" s="98">
        <v>0</v>
      </c>
      <c r="D25" s="99">
        <v>22</v>
      </c>
      <c r="E25" s="99"/>
      <c r="F25" s="100"/>
      <c r="G25" s="90">
        <f t="shared" si="5"/>
        <v>1259.3799999999999</v>
      </c>
      <c r="H25" s="91"/>
      <c r="I25" s="92">
        <f t="shared" si="0"/>
        <v>0</v>
      </c>
      <c r="J25" s="92">
        <f t="shared" si="1"/>
        <v>3300</v>
      </c>
      <c r="K25" s="92">
        <f>IF(OR(WEEKDAY(A25)=1,WEEKDAY(A25)=7,NOT(ISERROR(MATCH(A25,[1]Праздники!A:A,0)))),SUM(E25*225)*1.5,SUM(E25*225))</f>
        <v>0</v>
      </c>
      <c r="L25" s="92">
        <f>IF(OR(WEEKDAY(A25)=1,WEEKDAY(A25)=7,NOT(ISERROR(MATCH(A25,[1]Праздники!A:A,0)))),SUM(F25*225)*1.5,SUM(F25*225))</f>
        <v>0</v>
      </c>
      <c r="M25" s="92">
        <f t="shared" si="2"/>
        <v>18890.699999999997</v>
      </c>
      <c r="N25" s="92">
        <f t="shared" si="3"/>
        <v>0</v>
      </c>
      <c r="O25" s="92">
        <f t="shared" si="4"/>
        <v>22190.699999999997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4">
        <v>46074</v>
      </c>
      <c r="B26" s="225"/>
      <c r="C26" s="98">
        <v>0</v>
      </c>
      <c r="D26" s="99">
        <v>0</v>
      </c>
      <c r="E26" s="104"/>
      <c r="F26" s="100"/>
      <c r="G26" s="90">
        <f t="shared" si="5"/>
        <v>1237.3799999999999</v>
      </c>
      <c r="H26" s="91"/>
      <c r="I26" s="92">
        <f t="shared" si="0"/>
        <v>0</v>
      </c>
      <c r="J26" s="92">
        <f t="shared" si="1"/>
        <v>0</v>
      </c>
      <c r="K26" s="92">
        <f>IF(OR(WEEKDAY(A26)=1,WEEKDAY(A26)=7,NOT(ISERROR(MATCH(A26,[1]Праздники!A:A,0)))),SUM(E26*225)*1.5,SUM(E26*225))</f>
        <v>0</v>
      </c>
      <c r="L26" s="92">
        <f>IF(OR(WEEKDAY(A26)=1,WEEKDAY(A26)=7,NOT(ISERROR(MATCH(A26,[1]Праздники!A:A,0)))),SUM(F26*225)*1.5,SUM(F26*225))</f>
        <v>0</v>
      </c>
      <c r="M26" s="92">
        <f t="shared" si="2"/>
        <v>18560.699999999997</v>
      </c>
      <c r="N26" s="92">
        <f t="shared" si="3"/>
        <v>0</v>
      </c>
      <c r="O26" s="92">
        <f t="shared" si="4"/>
        <v>18560.699999999997</v>
      </c>
      <c r="P26" s="2" t="str">
        <f>IF(OR(WEEKDAY(A26)=1,WEEKDAY(A26)=7,NOT(ISERROR(MATCH(A26,[1]Праздники!A:A,0)))),"Выходной","Рабочий")</f>
        <v>Выходной</v>
      </c>
    </row>
    <row r="27" spans="1:16" ht="15" customHeight="1">
      <c r="A27" s="224">
        <v>46075</v>
      </c>
      <c r="B27" s="225"/>
      <c r="C27" s="98">
        <v>0</v>
      </c>
      <c r="D27" s="99">
        <v>154</v>
      </c>
      <c r="E27" s="99"/>
      <c r="F27" s="103"/>
      <c r="G27" s="90">
        <f t="shared" si="5"/>
        <v>1237.3799999999999</v>
      </c>
      <c r="H27" s="91"/>
      <c r="I27" s="92">
        <f t="shared" si="0"/>
        <v>0</v>
      </c>
      <c r="J27" s="92">
        <f t="shared" si="1"/>
        <v>34650</v>
      </c>
      <c r="K27" s="92">
        <f>IF(OR(WEEKDAY(A27)=1,WEEKDAY(A27)=7,NOT(ISERROR(MATCH(A27,[1]Праздники!A:A,0)))),SUM(E27*225)*1.5,SUM(E27*225))</f>
        <v>0</v>
      </c>
      <c r="L27" s="92">
        <f>IF(OR(WEEKDAY(A27)=1,WEEKDAY(A27)=7,NOT(ISERROR(MATCH(A27,[1]Праздники!A:A,0)))),SUM(F27*225)*1.5,SUM(F27*225))</f>
        <v>0</v>
      </c>
      <c r="M27" s="92">
        <f t="shared" si="2"/>
        <v>18560.699999999997</v>
      </c>
      <c r="N27" s="92">
        <f t="shared" si="3"/>
        <v>0</v>
      </c>
      <c r="O27" s="92">
        <f t="shared" si="4"/>
        <v>53210.7</v>
      </c>
      <c r="P27" s="2" t="str">
        <f>IF(OR(WEEKDAY(A27)=1,WEEKDAY(A27)=7,NOT(ISERROR(MATCH(A27,[1]Праздники!A:A,0)))),"Выходной","Рабочий")</f>
        <v>Выходной</v>
      </c>
    </row>
    <row r="28" spans="1:16">
      <c r="A28" s="224">
        <v>46076</v>
      </c>
      <c r="B28" s="225"/>
      <c r="C28" s="98">
        <v>0</v>
      </c>
      <c r="D28" s="99">
        <v>154</v>
      </c>
      <c r="E28" s="99"/>
      <c r="F28" s="100"/>
      <c r="G28" s="90">
        <f t="shared" si="5"/>
        <v>1083.3799999999999</v>
      </c>
      <c r="H28" s="91"/>
      <c r="I28" s="92">
        <f t="shared" si="0"/>
        <v>0</v>
      </c>
      <c r="J28" s="92">
        <f t="shared" si="1"/>
        <v>34650</v>
      </c>
      <c r="K28" s="92">
        <f>IF(OR(WEEKDAY(A28)=1,WEEKDAY(A28)=7,NOT(ISERROR(MATCH(A28,[1]Праздники!A:A,0)))),SUM(E28*225)*1.5,SUM(E28*225))</f>
        <v>0</v>
      </c>
      <c r="L28" s="92">
        <f>IF(OR(WEEKDAY(A28)=1,WEEKDAY(A28)=7,NOT(ISERROR(MATCH(A28,[1]Праздники!A:A,0)))),SUM(F28*225)*1.5,SUM(F28*225))</f>
        <v>0</v>
      </c>
      <c r="M28" s="92">
        <f t="shared" si="2"/>
        <v>16250.699999999999</v>
      </c>
      <c r="N28" s="92">
        <f t="shared" si="3"/>
        <v>0</v>
      </c>
      <c r="O28" s="92">
        <f t="shared" si="4"/>
        <v>50900.7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4">
        <v>46077</v>
      </c>
      <c r="B29" s="225"/>
      <c r="C29" s="98">
        <v>0</v>
      </c>
      <c r="D29" s="99">
        <v>266.75</v>
      </c>
      <c r="E29" s="99"/>
      <c r="F29" s="100"/>
      <c r="G29" s="90">
        <f t="shared" si="5"/>
        <v>929.37999999999988</v>
      </c>
      <c r="H29" s="91"/>
      <c r="I29" s="92">
        <f t="shared" si="0"/>
        <v>0</v>
      </c>
      <c r="J29" s="92">
        <f t="shared" si="1"/>
        <v>40012.5</v>
      </c>
      <c r="K29" s="92">
        <f>IF(OR(WEEKDAY(A29)=1,WEEKDAY(A29)=7,NOT(ISERROR(MATCH(A29,[1]Праздники!A:A,0)))),SUM(E29*225)*1.5,SUM(E29*225))</f>
        <v>0</v>
      </c>
      <c r="L29" s="92">
        <f>IF(OR(WEEKDAY(A29)=1,WEEKDAY(A29)=7,NOT(ISERROR(MATCH(A29,[1]Праздники!A:A,0)))),SUM(F29*225)*1.5,SUM(F29*225))</f>
        <v>0</v>
      </c>
      <c r="M29" s="92">
        <f t="shared" si="2"/>
        <v>13940.699999999999</v>
      </c>
      <c r="N29" s="92">
        <f t="shared" si="3"/>
        <v>0</v>
      </c>
      <c r="O29" s="92">
        <f t="shared" si="4"/>
        <v>53953.2</v>
      </c>
      <c r="P29" s="2" t="str">
        <f>IF(OR(WEEKDAY(A29)=1,WEEKDAY(A29)=7,NOT(ISERROR(MATCH(A29,[1]Праздники!A:A,0)))),"Выходной","Рабочий")</f>
        <v>Рабочий</v>
      </c>
    </row>
    <row r="30" spans="1:16">
      <c r="A30" s="224">
        <v>46078</v>
      </c>
      <c r="B30" s="225"/>
      <c r="C30" s="98">
        <v>0</v>
      </c>
      <c r="D30" s="99">
        <v>132</v>
      </c>
      <c r="E30" s="99"/>
      <c r="F30" s="100"/>
      <c r="G30" s="90">
        <f t="shared" si="5"/>
        <v>662.62999999999988</v>
      </c>
      <c r="H30" s="91"/>
      <c r="I30" s="92">
        <f t="shared" si="0"/>
        <v>0</v>
      </c>
      <c r="J30" s="92">
        <f t="shared" si="1"/>
        <v>19800</v>
      </c>
      <c r="K30" s="92">
        <f>IF(OR(WEEKDAY(A30)=1,WEEKDAY(A30)=7,NOT(ISERROR(MATCH(A30,[1]Праздники!A:A,0)))),SUM(E30*225)*1.5,SUM(E30*225))</f>
        <v>0</v>
      </c>
      <c r="L30" s="92">
        <f>IF(OR(WEEKDAY(A30)=1,WEEKDAY(A30)=7,NOT(ISERROR(MATCH(A30,[1]Праздники!A:A,0)))),SUM(F30*225)*1.5,SUM(F30*225))</f>
        <v>0</v>
      </c>
      <c r="M30" s="92">
        <f t="shared" si="2"/>
        <v>9939.4499999999989</v>
      </c>
      <c r="N30" s="92">
        <f t="shared" si="3"/>
        <v>0</v>
      </c>
      <c r="O30" s="92">
        <f t="shared" si="4"/>
        <v>29739.449999999997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4">
        <v>46079</v>
      </c>
      <c r="B31" s="225"/>
      <c r="C31" s="98">
        <v>0</v>
      </c>
      <c r="D31" s="99">
        <v>22</v>
      </c>
      <c r="E31" s="99"/>
      <c r="F31" s="100"/>
      <c r="G31" s="90">
        <f t="shared" si="5"/>
        <v>530.62999999999988</v>
      </c>
      <c r="H31" s="91"/>
      <c r="I31" s="92">
        <f t="shared" si="0"/>
        <v>0</v>
      </c>
      <c r="J31" s="92">
        <f t="shared" si="1"/>
        <v>3300</v>
      </c>
      <c r="K31" s="92">
        <f>IF(OR(WEEKDAY(A31)=1,WEEKDAY(A31)=7,NOT(ISERROR(MATCH(A31,[1]Праздники!A:A,0)))),SUM(E31*225)*1.5,SUM(E31*225))</f>
        <v>0</v>
      </c>
      <c r="L31" s="92">
        <f>IF(OR(WEEKDAY(A31)=1,WEEKDAY(A31)=7,NOT(ISERROR(MATCH(A31,[1]Праздники!A:A,0)))),SUM(F31*225)*1.5,SUM(F31*225))</f>
        <v>0</v>
      </c>
      <c r="M31" s="92">
        <f t="shared" si="2"/>
        <v>7959.449999999998</v>
      </c>
      <c r="N31" s="92">
        <f t="shared" si="3"/>
        <v>0</v>
      </c>
      <c r="O31" s="92">
        <f t="shared" si="4"/>
        <v>11259.449999999997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4">
        <v>46080</v>
      </c>
      <c r="B32" s="225"/>
      <c r="C32" s="98">
        <v>0</v>
      </c>
      <c r="D32" s="99">
        <v>44</v>
      </c>
      <c r="E32" s="99"/>
      <c r="F32" s="100"/>
      <c r="G32" s="90">
        <f t="shared" si="5"/>
        <v>508.62999999999988</v>
      </c>
      <c r="H32" s="91"/>
      <c r="I32" s="92">
        <f t="shared" si="0"/>
        <v>0</v>
      </c>
      <c r="J32" s="92">
        <f t="shared" si="1"/>
        <v>6600</v>
      </c>
      <c r="K32" s="92">
        <f>IF(OR(WEEKDAY(A32)=1,WEEKDAY(A32)=7,NOT(ISERROR(MATCH(A32,[1]Праздники!A:A,0)))),SUM(E32*225)*1.5,SUM(E32*225))</f>
        <v>0</v>
      </c>
      <c r="L32" s="92">
        <f>IF(OR(WEEKDAY(A32)=1,WEEKDAY(A32)=7,NOT(ISERROR(MATCH(A32,[1]Праздники!A:A,0)))),SUM(F32*225)*1.5,SUM(F32*225))</f>
        <v>0</v>
      </c>
      <c r="M32" s="92">
        <f t="shared" si="2"/>
        <v>7629.449999999998</v>
      </c>
      <c r="N32" s="92">
        <f t="shared" si="3"/>
        <v>0</v>
      </c>
      <c r="O32" s="92">
        <f t="shared" si="4"/>
        <v>14229.449999999997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4">
        <v>46081</v>
      </c>
      <c r="B33" s="225"/>
      <c r="C33" s="98">
        <v>0</v>
      </c>
      <c r="D33" s="99">
        <v>44.23</v>
      </c>
      <c r="E33" s="99"/>
      <c r="F33" s="100"/>
      <c r="G33" s="90">
        <f t="shared" si="5"/>
        <v>464.62999999999988</v>
      </c>
      <c r="H33" s="91"/>
      <c r="I33" s="92">
        <f t="shared" si="0"/>
        <v>0</v>
      </c>
      <c r="J33" s="92">
        <f t="shared" si="1"/>
        <v>9951.7499999999982</v>
      </c>
      <c r="K33" s="92">
        <f>IF(OR(WEEKDAY(A33)=1,WEEKDAY(A33)=7,NOT(ISERROR(MATCH(A33,[1]Праздники!A:A,0)))),SUM(E33*225)*1.5,SUM(E33*225))</f>
        <v>0</v>
      </c>
      <c r="L33" s="92">
        <f>IF(OR(WEEKDAY(A33)=1,WEEKDAY(A33)=7,NOT(ISERROR(MATCH(A33,[1]Праздники!A:A,0)))),SUM(F33*225)*1.5,SUM(F33*225))</f>
        <v>0</v>
      </c>
      <c r="M33" s="92">
        <f t="shared" si="2"/>
        <v>6969.449999999998</v>
      </c>
      <c r="N33" s="92">
        <f t="shared" si="3"/>
        <v>0</v>
      </c>
      <c r="O33" s="92">
        <f t="shared" si="4"/>
        <v>16921.199999999997</v>
      </c>
      <c r="P33" s="2" t="str">
        <f>IF(OR(WEEKDAY(A33)=1,WEEKDAY(A33)=7,NOT(ISERROR(MATCH(A33,[1]Праздники!A:A,0)))),"Выходной","Рабочий")</f>
        <v>Выходной</v>
      </c>
    </row>
    <row r="34" spans="1:17">
      <c r="A34" s="224"/>
      <c r="B34" s="225"/>
      <c r="C34" s="98">
        <v>0</v>
      </c>
      <c r="D34" s="99">
        <v>0</v>
      </c>
      <c r="E34" s="99"/>
      <c r="F34" s="100"/>
      <c r="G34" s="90">
        <f t="shared" si="5"/>
        <v>0</v>
      </c>
      <c r="H34" s="91"/>
      <c r="I34" s="92">
        <f t="shared" si="0"/>
        <v>0</v>
      </c>
      <c r="J34" s="92">
        <f t="shared" si="1"/>
        <v>0</v>
      </c>
      <c r="K34" s="92">
        <f>IF(OR(WEEKDAY(A34)=1,WEEKDAY(A34)=7,NOT(ISERROR(MATCH(A34,[1]Праздники!A:A,0)))),SUM(E34*225)*1.5,SUM(E34*225))</f>
        <v>0</v>
      </c>
      <c r="L34" s="92">
        <f>IF(OR(WEEKDAY(A34)=1,WEEKDAY(A34)=7,NOT(ISERROR(MATCH(A34,[1]Праздники!A:A,0)))),SUM(F34*225)*1.5,SUM(F34*225))</f>
        <v>0</v>
      </c>
      <c r="M34" s="92">
        <f t="shared" si="2"/>
        <v>0</v>
      </c>
      <c r="N34" s="92">
        <f t="shared" si="3"/>
        <v>0</v>
      </c>
      <c r="O34" s="92">
        <f t="shared" si="4"/>
        <v>0</v>
      </c>
      <c r="P34" s="2" t="str">
        <f>IF(OR(WEEKDAY(A34)=1,WEEKDAY(A34)=7,NOT(ISERROR(MATCH(A34,[1]Праздники!A:A,0)))),"Выходной","Рабочий")</f>
        <v>Выходной</v>
      </c>
    </row>
    <row r="35" spans="1:17">
      <c r="A35" s="224"/>
      <c r="B35" s="225"/>
      <c r="C35" s="98">
        <v>0</v>
      </c>
      <c r="D35" s="99">
        <v>0</v>
      </c>
      <c r="E35" s="90"/>
      <c r="F35" s="100"/>
      <c r="G35" s="90">
        <f t="shared" si="5"/>
        <v>0</v>
      </c>
      <c r="H35" s="91"/>
      <c r="I35" s="92">
        <f t="shared" si="0"/>
        <v>0</v>
      </c>
      <c r="J35" s="92">
        <f t="shared" si="1"/>
        <v>0</v>
      </c>
      <c r="K35" s="92">
        <f>IF(OR(WEEKDAY(A35)=1,WEEKDAY(A35)=7,NOT(ISERROR(MATCH(A35,[1]Праздники!A:A,0)))),SUM(E35*225)*1.5,SUM(E35*225))</f>
        <v>0</v>
      </c>
      <c r="L35" s="92">
        <f>IF(OR(WEEKDAY(A35)=1,WEEKDAY(A35)=7,NOT(ISERROR(MATCH(A35,[1]Праздники!A:A,0)))),SUM(F35*225)*1.5,SUM(F35*225))</f>
        <v>0</v>
      </c>
      <c r="M35" s="92">
        <f t="shared" si="2"/>
        <v>0</v>
      </c>
      <c r="N35" s="92">
        <f t="shared" si="3"/>
        <v>0</v>
      </c>
      <c r="O35" s="92">
        <f t="shared" si="4"/>
        <v>0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4"/>
      <c r="B36" s="225"/>
      <c r="C36" s="98">
        <v>0</v>
      </c>
      <c r="D36" s="99">
        <v>0</v>
      </c>
      <c r="E36" s="90"/>
      <c r="F36" s="100"/>
      <c r="G36" s="90">
        <f t="shared" si="5"/>
        <v>0</v>
      </c>
      <c r="H36" s="91"/>
      <c r="I36" s="92">
        <f t="shared" si="0"/>
        <v>0</v>
      </c>
      <c r="J36" s="92">
        <f t="shared" si="1"/>
        <v>0</v>
      </c>
      <c r="K36" s="92">
        <f>IF(OR(WEEKDAY(A36)=1,WEEKDAY(A36)=7,NOT(ISERROR(MATCH(A36,[1]Праздники!A:A,0)))),SUM(E36*225)*1.5,SUM(E36*225))</f>
        <v>0</v>
      </c>
      <c r="L36" s="92">
        <f>IF(OR(WEEKDAY(A36)=1,WEEKDAY(A36)=7,NOT(ISERROR(MATCH(A36,[1]Праздники!A:A,0)))),SUM(F36*225)*1.5,SUM(F36*225))</f>
        <v>0</v>
      </c>
      <c r="M36" s="92">
        <f t="shared" si="2"/>
        <v>0</v>
      </c>
      <c r="N36" s="92">
        <f t="shared" si="3"/>
        <v>0</v>
      </c>
      <c r="O36" s="92">
        <f t="shared" ref="O36" si="6">SUM(I36:N36)</f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3">
        <f>SUM(C6:C36)</f>
        <v>442.3</v>
      </c>
      <c r="D37" s="93">
        <f t="shared" ref="D37:O37" si="7">SUM(D6:D36)</f>
        <v>1366.94</v>
      </c>
      <c r="E37" s="93">
        <f t="shared" si="7"/>
        <v>0</v>
      </c>
      <c r="F37" s="93">
        <f t="shared" si="7"/>
        <v>0</v>
      </c>
      <c r="G37" s="93">
        <f t="shared" si="7"/>
        <v>35879.319999999992</v>
      </c>
      <c r="H37" s="105">
        <f t="shared" si="7"/>
        <v>0</v>
      </c>
      <c r="I37" s="94">
        <f t="shared" si="7"/>
        <v>67995</v>
      </c>
      <c r="J37" s="94">
        <f t="shared" si="7"/>
        <v>234758.25</v>
      </c>
      <c r="K37" s="94">
        <f t="shared" si="7"/>
        <v>0</v>
      </c>
      <c r="L37" s="94">
        <f t="shared" si="7"/>
        <v>0</v>
      </c>
      <c r="M37" s="94">
        <f t="shared" si="7"/>
        <v>538189.80000000016</v>
      </c>
      <c r="N37" s="94">
        <f t="shared" si="7"/>
        <v>0</v>
      </c>
      <c r="O37" s="95">
        <f t="shared" si="7"/>
        <v>840943.0499999997</v>
      </c>
    </row>
    <row r="38" spans="1:17" ht="15.75" thickBot="1">
      <c r="G38" s="89"/>
      <c r="L38" s="14"/>
      <c r="M38" s="89"/>
      <c r="N38" s="105" t="s">
        <v>117</v>
      </c>
      <c r="O38" s="96">
        <f>O37*1.22</f>
        <v>1025950.5209999996</v>
      </c>
      <c r="Q38" s="97"/>
    </row>
    <row r="39" spans="1:17">
      <c r="G39" s="89"/>
      <c r="M39" s="89"/>
    </row>
    <row r="40" spans="1:17">
      <c r="G40" s="89"/>
      <c r="M40" s="89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:B5"/>
    <mergeCell ref="C4:C5"/>
    <mergeCell ref="D4:D5"/>
    <mergeCell ref="A11:B11"/>
    <mergeCell ref="A12:B12"/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FDFA-E295-4FD1-B89B-2DEC0526F2D8}">
  <sheetPr codeName="Лист10">
    <pageSetUpPr fitToPage="1"/>
  </sheetPr>
  <dimension ref="A3:G22"/>
  <sheetViews>
    <sheetView topLeftCell="A3"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</f>
        <v>Акт  №    от  31 Март 2026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7">
      <c r="A5" s="22" t="s">
        <v>131</v>
      </c>
      <c r="B5" s="22"/>
      <c r="C5" s="22"/>
    </row>
    <row r="6" spans="1:7">
      <c r="A6" s="2" t="s">
        <v>119</v>
      </c>
    </row>
    <row r="7" spans="1:7">
      <c r="A7" s="2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132</v>
      </c>
      <c r="G9" s="79" t="s">
        <v>133</v>
      </c>
    </row>
    <row r="10" spans="1:7" ht="15.75">
      <c r="A10" s="80">
        <v>1</v>
      </c>
      <c r="B10" s="79" t="s">
        <v>134</v>
      </c>
      <c r="C10" s="80" t="s">
        <v>135</v>
      </c>
      <c r="D10" s="6">
        <v>30</v>
      </c>
      <c r="E10" s="86">
        <v>2000</v>
      </c>
      <c r="F10" s="86">
        <f>SUM(D10*E10)</f>
        <v>60000</v>
      </c>
      <c r="G10" s="86">
        <f>F10*1.22</f>
        <v>73200</v>
      </c>
    </row>
    <row r="11" spans="1:7" ht="15.75">
      <c r="A11" s="80">
        <v>2</v>
      </c>
      <c r="B11" s="79" t="s">
        <v>136</v>
      </c>
      <c r="C11" s="80" t="s">
        <v>135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7"/>
      <c r="C12" s="117"/>
      <c r="D12" s="118"/>
      <c r="E12" s="76"/>
      <c r="F12" s="86">
        <f>SUM(F10:F11)</f>
        <v>60000</v>
      </c>
      <c r="G12" s="86">
        <f>SUM(G10:G11)</f>
        <v>73200</v>
      </c>
    </row>
    <row r="13" spans="1:7">
      <c r="A13" s="22" t="s">
        <v>137</v>
      </c>
      <c r="B13" s="22" t="s">
        <v>138</v>
      </c>
      <c r="C13" s="22"/>
      <c r="D13" s="22"/>
    </row>
    <row r="14" spans="1:7">
      <c r="A14" s="22" t="s">
        <v>139</v>
      </c>
      <c r="B14" s="22" t="str">
        <f>B13</f>
        <v>шестьдесят тысячь рублей ноль копеек</v>
      </c>
      <c r="C14" s="22"/>
      <c r="D14" s="22"/>
    </row>
    <row r="15" spans="1:7">
      <c r="A15" s="22" t="s">
        <v>86</v>
      </c>
      <c r="B15" s="22" t="s">
        <v>140</v>
      </c>
      <c r="F15" s="119"/>
      <c r="G15" s="119"/>
    </row>
    <row r="16" spans="1:7">
      <c r="A16" s="2" t="s">
        <v>87</v>
      </c>
    </row>
    <row r="17" spans="1:4">
      <c r="A17" s="2" t="s">
        <v>88</v>
      </c>
    </row>
    <row r="20" spans="1:4">
      <c r="A20" s="2" t="s">
        <v>90</v>
      </c>
      <c r="D20" s="2" t="s">
        <v>141</v>
      </c>
    </row>
    <row r="22" spans="1:4">
      <c r="A22" s="2" t="s">
        <v>130</v>
      </c>
      <c r="D22" s="2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F14F-745C-4FC2-9B98-EECF214A4630}">
  <sheetPr codeName="Лист11">
    <pageSetUpPr fitToPage="1"/>
  </sheetPr>
  <dimension ref="A3:G22"/>
  <sheetViews>
    <sheetView topLeftCell="A3" workbookViewId="0">
      <selection activeCell="A7" sqref="A7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 г. Нижний Новгород склад Баумана"</f>
        <v>Акт  №    от  31 Март 2026 г. Нижний Новгород склад Баумана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7">
      <c r="A5" s="22" t="s">
        <v>142</v>
      </c>
      <c r="B5" s="22"/>
      <c r="C5" s="22"/>
    </row>
    <row r="6" spans="1:7">
      <c r="A6" s="2" t="s">
        <v>119</v>
      </c>
    </row>
    <row r="7" spans="1:7">
      <c r="A7" s="2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132</v>
      </c>
      <c r="G9" s="79" t="s">
        <v>133</v>
      </c>
    </row>
    <row r="10" spans="1:7" ht="15.75">
      <c r="A10" s="80">
        <v>1</v>
      </c>
      <c r="B10" s="79" t="s">
        <v>134</v>
      </c>
      <c r="C10" s="80" t="s">
        <v>135</v>
      </c>
      <c r="D10" s="6">
        <v>22</v>
      </c>
      <c r="E10" s="86">
        <v>1000</v>
      </c>
      <c r="F10" s="86">
        <f>SUM(D10*E10)</f>
        <v>22000</v>
      </c>
      <c r="G10" s="86">
        <f>F10*1.22</f>
        <v>26840</v>
      </c>
    </row>
    <row r="11" spans="1:7" ht="15.75">
      <c r="A11" s="80">
        <v>2</v>
      </c>
      <c r="B11" s="79" t="s">
        <v>136</v>
      </c>
      <c r="C11" s="80" t="s">
        <v>135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7"/>
      <c r="C12" s="117"/>
      <c r="D12" s="118"/>
      <c r="E12" s="76"/>
      <c r="F12" s="86">
        <f>SUM(F10:F11)</f>
        <v>22000</v>
      </c>
      <c r="G12" s="86">
        <f>SUM(G10:G11)</f>
        <v>26840</v>
      </c>
    </row>
    <row r="13" spans="1:7">
      <c r="A13" s="22" t="s">
        <v>137</v>
      </c>
      <c r="B13" s="22" t="s">
        <v>143</v>
      </c>
      <c r="C13" s="22"/>
      <c r="D13" s="22"/>
    </row>
    <row r="14" spans="1:7">
      <c r="A14" s="22" t="s">
        <v>139</v>
      </c>
      <c r="B14" s="22" t="str">
        <f>B13</f>
        <v>двадцать две тысячи рублей ноль копеек</v>
      </c>
      <c r="C14" s="22"/>
      <c r="D14" s="22"/>
    </row>
    <row r="15" spans="1:7">
      <c r="A15" s="22" t="s">
        <v>86</v>
      </c>
      <c r="B15" s="22" t="s">
        <v>144</v>
      </c>
      <c r="F15" s="119"/>
      <c r="G15" s="119"/>
    </row>
    <row r="16" spans="1:7">
      <c r="A16" s="2" t="s">
        <v>87</v>
      </c>
    </row>
    <row r="17" spans="1:4">
      <c r="A17" s="2" t="s">
        <v>88</v>
      </c>
    </row>
    <row r="20" spans="1:4">
      <c r="A20" s="2" t="s">
        <v>90</v>
      </c>
      <c r="D20" s="2" t="s">
        <v>141</v>
      </c>
    </row>
    <row r="22" spans="1:4">
      <c r="A22" s="2" t="s">
        <v>130</v>
      </c>
      <c r="D22" s="2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EC72-F26D-4796-B490-C12A354E3E01}">
  <sheetPr codeName="Лист12">
    <pageSetUpPr fitToPage="1"/>
  </sheetPr>
  <dimension ref="A3:G22"/>
  <sheetViews>
    <sheetView topLeftCell="A2" workbookViewId="0">
      <selection activeCell="A8" sqref="A8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 г. Зеленодольск"</f>
        <v>Акт  №    от  31 Март 2026 г. Зеленодольск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7">
      <c r="A5" s="22" t="s">
        <v>131</v>
      </c>
      <c r="B5" s="22"/>
      <c r="C5" s="22"/>
    </row>
    <row r="6" spans="1:7">
      <c r="A6" s="2" t="s">
        <v>119</v>
      </c>
    </row>
    <row r="7" spans="1:7">
      <c r="A7" s="2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132</v>
      </c>
      <c r="G9" s="79" t="s">
        <v>133</v>
      </c>
    </row>
    <row r="10" spans="1:7" ht="15.75">
      <c r="A10" s="80">
        <v>1</v>
      </c>
      <c r="B10" s="79" t="s">
        <v>134</v>
      </c>
      <c r="C10" s="80" t="s">
        <v>135</v>
      </c>
      <c r="D10" s="6">
        <v>1</v>
      </c>
      <c r="E10" s="86">
        <v>2000</v>
      </c>
      <c r="F10" s="86">
        <f>SUM(D10*E10)</f>
        <v>2000</v>
      </c>
      <c r="G10" s="86">
        <f>F10*1.22</f>
        <v>2440</v>
      </c>
    </row>
    <row r="11" spans="1:7" ht="15.75">
      <c r="A11" s="80">
        <v>2</v>
      </c>
      <c r="B11" s="79" t="s">
        <v>136</v>
      </c>
      <c r="C11" s="80" t="s">
        <v>135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7"/>
      <c r="C12" s="117"/>
      <c r="D12" s="118"/>
      <c r="E12" s="76"/>
      <c r="F12" s="86">
        <f>SUM(F10:F11)</f>
        <v>2000</v>
      </c>
      <c r="G12" s="86">
        <f>SUM(G10:G11)</f>
        <v>2440</v>
      </c>
    </row>
    <row r="13" spans="1:7">
      <c r="A13" s="22" t="s">
        <v>137</v>
      </c>
      <c r="B13" s="22" t="s">
        <v>145</v>
      </c>
      <c r="C13" s="22"/>
      <c r="D13" s="22"/>
    </row>
    <row r="14" spans="1:7">
      <c r="A14" s="22" t="s">
        <v>139</v>
      </c>
      <c r="B14" s="22" t="str">
        <f>B13</f>
        <v>две тысячи рублей ноль копеек</v>
      </c>
      <c r="C14" s="22"/>
      <c r="D14" s="22"/>
    </row>
    <row r="15" spans="1:7">
      <c r="A15" s="22" t="s">
        <v>86</v>
      </c>
      <c r="B15" s="22" t="s">
        <v>146</v>
      </c>
      <c r="F15" s="119"/>
      <c r="G15" s="119"/>
    </row>
    <row r="16" spans="1:7">
      <c r="A16" s="2" t="s">
        <v>87</v>
      </c>
    </row>
    <row r="17" spans="1:4">
      <c r="A17" s="2" t="s">
        <v>88</v>
      </c>
    </row>
    <row r="20" spans="1:4">
      <c r="A20" s="2" t="s">
        <v>90</v>
      </c>
      <c r="D20" s="2" t="s">
        <v>141</v>
      </c>
    </row>
    <row r="22" spans="1:4">
      <c r="A22" s="2" t="s">
        <v>130</v>
      </c>
      <c r="D22" s="2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714E-EDF3-412D-BDB1-A04BED736DA7}">
  <sheetPr codeName="Лист13"/>
  <dimension ref="A1:R36"/>
  <sheetViews>
    <sheetView topLeftCell="A10" zoomScaleNormal="100" workbookViewId="0">
      <selection activeCell="E30" sqref="E30"/>
    </sheetView>
  </sheetViews>
  <sheetFormatPr defaultRowHeight="15"/>
  <cols>
    <col min="1" max="1" width="8.59765625" style="2" customWidth="1"/>
    <col min="2" max="17" width="8.796875" style="2"/>
    <col min="18" max="18" width="7.296875" style="2" customWidth="1"/>
    <col min="19" max="16384" width="8.796875" style="2"/>
  </cols>
  <sheetData>
    <row r="1" spans="1:18">
      <c r="A1" s="120">
        <f>R36</f>
        <v>7786</v>
      </c>
    </row>
    <row r="2" spans="1:18" ht="21">
      <c r="B2" s="77" t="s">
        <v>147</v>
      </c>
    </row>
    <row r="3" spans="1:18" ht="28.9" customHeight="1">
      <c r="A3" s="202" t="s">
        <v>0</v>
      </c>
      <c r="B3" s="204" t="s">
        <v>1</v>
      </c>
      <c r="C3" s="205"/>
      <c r="D3" s="202" t="s">
        <v>148</v>
      </c>
      <c r="E3" s="202" t="s">
        <v>149</v>
      </c>
      <c r="F3" s="202" t="s">
        <v>150</v>
      </c>
      <c r="G3" s="202" t="s">
        <v>151</v>
      </c>
      <c r="H3" s="4" t="s">
        <v>4</v>
      </c>
      <c r="I3" s="202" t="s">
        <v>152</v>
      </c>
      <c r="J3" s="202" t="s">
        <v>153</v>
      </c>
      <c r="K3" s="202" t="s">
        <v>11</v>
      </c>
      <c r="L3" s="202" t="s">
        <v>12</v>
      </c>
      <c r="M3" s="202" t="s">
        <v>154</v>
      </c>
      <c r="N3" s="202" t="s">
        <v>155</v>
      </c>
      <c r="O3" s="202" t="s">
        <v>13</v>
      </c>
      <c r="P3" s="202" t="s">
        <v>156</v>
      </c>
      <c r="Q3" s="202" t="s">
        <v>157</v>
      </c>
      <c r="R3" s="202" t="s">
        <v>18</v>
      </c>
    </row>
    <row r="4" spans="1:18" ht="30">
      <c r="A4" s="203"/>
      <c r="B4" s="206"/>
      <c r="C4" s="207"/>
      <c r="D4" s="203"/>
      <c r="E4" s="203"/>
      <c r="F4" s="203"/>
      <c r="G4" s="203"/>
      <c r="H4" s="5" t="s">
        <v>158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</row>
    <row r="5" spans="1:18">
      <c r="A5" s="6">
        <v>1</v>
      </c>
      <c r="B5" s="224">
        <v>46054</v>
      </c>
      <c r="C5" s="225"/>
      <c r="D5" s="121"/>
      <c r="E5" s="80"/>
      <c r="F5" s="80"/>
      <c r="G5" s="80"/>
      <c r="H5" s="79">
        <v>19</v>
      </c>
      <c r="I5" s="79"/>
      <c r="J5" s="79"/>
      <c r="K5" s="79">
        <f>SUM(D5*171)</f>
        <v>0</v>
      </c>
      <c r="L5" s="79">
        <f>SUM(E5*171)</f>
        <v>0</v>
      </c>
      <c r="M5" s="79">
        <f>F5*1018</f>
        <v>0</v>
      </c>
      <c r="N5" s="79">
        <f>G5*1018</f>
        <v>0</v>
      </c>
      <c r="O5" s="79">
        <f>SUM(H5*22)</f>
        <v>418</v>
      </c>
      <c r="P5" s="79">
        <f>I5*509</f>
        <v>0</v>
      </c>
      <c r="Q5" s="79">
        <f>SUM(J5)*610</f>
        <v>0</v>
      </c>
      <c r="R5" s="79">
        <f>SUM(K5:Q5)</f>
        <v>418</v>
      </c>
    </row>
    <row r="6" spans="1:18">
      <c r="A6" s="6">
        <v>2</v>
      </c>
      <c r="B6" s="224">
        <v>46055</v>
      </c>
      <c r="C6" s="225"/>
      <c r="D6" s="121"/>
      <c r="E6" s="80"/>
      <c r="F6" s="80"/>
      <c r="G6" s="80"/>
      <c r="H6" s="79">
        <f>H5+D6-E5</f>
        <v>19</v>
      </c>
      <c r="I6" s="79"/>
      <c r="J6" s="79"/>
      <c r="K6" s="79">
        <f t="shared" ref="K6:K35" si="0">SUM(D6*171)</f>
        <v>0</v>
      </c>
      <c r="L6" s="79">
        <f t="shared" ref="L6:L35" si="1">SUM(E6*171)</f>
        <v>0</v>
      </c>
      <c r="M6" s="79">
        <f t="shared" ref="M6:N35" si="2">F6*1018</f>
        <v>0</v>
      </c>
      <c r="N6" s="79">
        <f t="shared" si="2"/>
        <v>0</v>
      </c>
      <c r="O6" s="79">
        <f t="shared" ref="O6:O35" si="3">SUM(H6*22)</f>
        <v>418</v>
      </c>
      <c r="P6" s="79">
        <f t="shared" ref="P6:P35" si="4">I6*509</f>
        <v>0</v>
      </c>
      <c r="Q6" s="79">
        <f t="shared" ref="Q6:Q35" si="5">SUM(J6)*610</f>
        <v>0</v>
      </c>
      <c r="R6" s="79">
        <f t="shared" ref="R6:R34" si="6">SUM(K6:Q6)</f>
        <v>418</v>
      </c>
    </row>
    <row r="7" spans="1:18">
      <c r="A7" s="6">
        <v>3</v>
      </c>
      <c r="B7" s="224">
        <v>46056</v>
      </c>
      <c r="C7" s="225"/>
      <c r="D7" s="121"/>
      <c r="E7" s="80"/>
      <c r="F7" s="80"/>
      <c r="G7" s="80"/>
      <c r="H7" s="79">
        <f t="shared" ref="H7:H32" si="7">H6+D7-E6</f>
        <v>19</v>
      </c>
      <c r="I7" s="79"/>
      <c r="J7" s="79"/>
      <c r="K7" s="79">
        <f t="shared" si="0"/>
        <v>0</v>
      </c>
      <c r="L7" s="79">
        <f t="shared" si="1"/>
        <v>0</v>
      </c>
      <c r="M7" s="79">
        <f t="shared" si="2"/>
        <v>0</v>
      </c>
      <c r="N7" s="79">
        <f t="shared" si="2"/>
        <v>0</v>
      </c>
      <c r="O7" s="79">
        <f t="shared" si="3"/>
        <v>418</v>
      </c>
      <c r="P7" s="79">
        <f t="shared" si="4"/>
        <v>0</v>
      </c>
      <c r="Q7" s="79">
        <f t="shared" si="5"/>
        <v>0</v>
      </c>
      <c r="R7" s="79">
        <f t="shared" si="6"/>
        <v>418</v>
      </c>
    </row>
    <row r="8" spans="1:18">
      <c r="A8" s="6">
        <v>4</v>
      </c>
      <c r="B8" s="224">
        <v>46057</v>
      </c>
      <c r="C8" s="225"/>
      <c r="D8" s="121"/>
      <c r="E8" s="80"/>
      <c r="F8" s="80"/>
      <c r="G8" s="80"/>
      <c r="H8" s="79">
        <f t="shared" si="7"/>
        <v>19</v>
      </c>
      <c r="I8" s="79"/>
      <c r="J8" s="79"/>
      <c r="K8" s="79">
        <f t="shared" si="0"/>
        <v>0</v>
      </c>
      <c r="L8" s="79">
        <f t="shared" si="1"/>
        <v>0</v>
      </c>
      <c r="M8" s="79">
        <f t="shared" si="2"/>
        <v>0</v>
      </c>
      <c r="N8" s="79">
        <f t="shared" si="2"/>
        <v>0</v>
      </c>
      <c r="O8" s="79">
        <f t="shared" si="3"/>
        <v>418</v>
      </c>
      <c r="P8" s="79">
        <f t="shared" si="4"/>
        <v>0</v>
      </c>
      <c r="Q8" s="79">
        <f t="shared" si="5"/>
        <v>0</v>
      </c>
      <c r="R8" s="79">
        <f t="shared" si="6"/>
        <v>418</v>
      </c>
    </row>
    <row r="9" spans="1:18">
      <c r="A9" s="122">
        <v>5</v>
      </c>
      <c r="B9" s="224">
        <v>46058</v>
      </c>
      <c r="C9" s="225"/>
      <c r="D9" s="123"/>
      <c r="E9" s="124"/>
      <c r="F9" s="124"/>
      <c r="G9" s="124"/>
      <c r="H9" s="79">
        <f t="shared" si="7"/>
        <v>19</v>
      </c>
      <c r="I9" s="79"/>
      <c r="J9" s="91"/>
      <c r="K9" s="79">
        <f t="shared" si="0"/>
        <v>0</v>
      </c>
      <c r="L9" s="79">
        <f t="shared" si="1"/>
        <v>0</v>
      </c>
      <c r="M9" s="79">
        <f t="shared" si="2"/>
        <v>0</v>
      </c>
      <c r="N9" s="79">
        <f t="shared" si="2"/>
        <v>0</v>
      </c>
      <c r="O9" s="79">
        <f t="shared" si="3"/>
        <v>418</v>
      </c>
      <c r="P9" s="79">
        <f t="shared" si="4"/>
        <v>0</v>
      </c>
      <c r="Q9" s="79">
        <f t="shared" si="5"/>
        <v>0</v>
      </c>
      <c r="R9" s="91">
        <f t="shared" si="6"/>
        <v>418</v>
      </c>
    </row>
    <row r="10" spans="1:18">
      <c r="A10" s="122">
        <v>6</v>
      </c>
      <c r="B10" s="224">
        <v>46059</v>
      </c>
      <c r="C10" s="225"/>
      <c r="D10" s="123"/>
      <c r="E10" s="124">
        <v>10</v>
      </c>
      <c r="F10" s="124"/>
      <c r="G10" s="124"/>
      <c r="H10" s="79">
        <f t="shared" si="7"/>
        <v>19</v>
      </c>
      <c r="I10" s="79"/>
      <c r="J10" s="91"/>
      <c r="K10" s="79">
        <f t="shared" si="0"/>
        <v>0</v>
      </c>
      <c r="L10" s="79">
        <f t="shared" si="1"/>
        <v>1710</v>
      </c>
      <c r="M10" s="79">
        <f t="shared" si="2"/>
        <v>0</v>
      </c>
      <c r="N10" s="79">
        <f t="shared" si="2"/>
        <v>0</v>
      </c>
      <c r="O10" s="79">
        <f t="shared" si="3"/>
        <v>418</v>
      </c>
      <c r="P10" s="79">
        <f t="shared" si="4"/>
        <v>0</v>
      </c>
      <c r="Q10" s="79">
        <f t="shared" si="5"/>
        <v>0</v>
      </c>
      <c r="R10" s="91">
        <f t="shared" si="6"/>
        <v>2128</v>
      </c>
    </row>
    <row r="11" spans="1:18">
      <c r="A11" s="122">
        <v>7</v>
      </c>
      <c r="B11" s="224">
        <v>46060</v>
      </c>
      <c r="C11" s="225"/>
      <c r="D11" s="123"/>
      <c r="E11" s="124"/>
      <c r="F11" s="124"/>
      <c r="G11" s="124"/>
      <c r="H11" s="79">
        <f t="shared" si="7"/>
        <v>9</v>
      </c>
      <c r="I11" s="79"/>
      <c r="J11" s="91"/>
      <c r="K11" s="79">
        <f t="shared" si="0"/>
        <v>0</v>
      </c>
      <c r="L11" s="79">
        <f t="shared" si="1"/>
        <v>0</v>
      </c>
      <c r="M11" s="79">
        <f t="shared" si="2"/>
        <v>0</v>
      </c>
      <c r="N11" s="79">
        <f t="shared" si="2"/>
        <v>0</v>
      </c>
      <c r="O11" s="79">
        <f t="shared" si="3"/>
        <v>198</v>
      </c>
      <c r="P11" s="79">
        <f t="shared" si="4"/>
        <v>0</v>
      </c>
      <c r="Q11" s="79">
        <f t="shared" si="5"/>
        <v>0</v>
      </c>
      <c r="R11" s="91">
        <f t="shared" si="6"/>
        <v>198</v>
      </c>
    </row>
    <row r="12" spans="1:18">
      <c r="A12" s="122">
        <v>8</v>
      </c>
      <c r="B12" s="224">
        <v>46061</v>
      </c>
      <c r="C12" s="225"/>
      <c r="D12" s="123"/>
      <c r="E12" s="124"/>
      <c r="F12" s="124"/>
      <c r="G12" s="124"/>
      <c r="H12" s="79">
        <f t="shared" si="7"/>
        <v>9</v>
      </c>
      <c r="I12" s="79"/>
      <c r="J12" s="91"/>
      <c r="K12" s="79">
        <f t="shared" si="0"/>
        <v>0</v>
      </c>
      <c r="L12" s="79">
        <f t="shared" si="1"/>
        <v>0</v>
      </c>
      <c r="M12" s="79">
        <f t="shared" si="2"/>
        <v>0</v>
      </c>
      <c r="N12" s="79">
        <f t="shared" si="2"/>
        <v>0</v>
      </c>
      <c r="O12" s="79">
        <f t="shared" si="3"/>
        <v>198</v>
      </c>
      <c r="P12" s="79">
        <f t="shared" si="4"/>
        <v>0</v>
      </c>
      <c r="Q12" s="79">
        <f t="shared" si="5"/>
        <v>0</v>
      </c>
      <c r="R12" s="91">
        <f t="shared" si="6"/>
        <v>198</v>
      </c>
    </row>
    <row r="13" spans="1:18">
      <c r="A13" s="6">
        <v>9</v>
      </c>
      <c r="B13" s="224">
        <v>46062</v>
      </c>
      <c r="C13" s="225"/>
      <c r="D13" s="121"/>
      <c r="E13" s="80"/>
      <c r="F13" s="80"/>
      <c r="G13" s="80"/>
      <c r="H13" s="79">
        <f t="shared" si="7"/>
        <v>9</v>
      </c>
      <c r="I13" s="79"/>
      <c r="J13" s="79"/>
      <c r="K13" s="79">
        <f t="shared" si="0"/>
        <v>0</v>
      </c>
      <c r="L13" s="79">
        <f t="shared" si="1"/>
        <v>0</v>
      </c>
      <c r="M13" s="79">
        <f t="shared" si="2"/>
        <v>0</v>
      </c>
      <c r="N13" s="79">
        <f t="shared" si="2"/>
        <v>0</v>
      </c>
      <c r="O13" s="79">
        <f t="shared" si="3"/>
        <v>198</v>
      </c>
      <c r="P13" s="79">
        <f t="shared" si="4"/>
        <v>0</v>
      </c>
      <c r="Q13" s="79">
        <f t="shared" si="5"/>
        <v>0</v>
      </c>
      <c r="R13" s="79">
        <f t="shared" si="6"/>
        <v>198</v>
      </c>
    </row>
    <row r="14" spans="1:18">
      <c r="A14" s="6">
        <v>10</v>
      </c>
      <c r="B14" s="224">
        <v>46063</v>
      </c>
      <c r="C14" s="225"/>
      <c r="D14" s="121"/>
      <c r="E14" s="80">
        <v>4</v>
      </c>
      <c r="F14" s="80"/>
      <c r="G14" s="80"/>
      <c r="H14" s="79">
        <f t="shared" si="7"/>
        <v>9</v>
      </c>
      <c r="I14" s="79"/>
      <c r="J14" s="79"/>
      <c r="K14" s="79">
        <f t="shared" si="0"/>
        <v>0</v>
      </c>
      <c r="L14" s="79">
        <f t="shared" si="1"/>
        <v>684</v>
      </c>
      <c r="M14" s="79">
        <f t="shared" si="2"/>
        <v>0</v>
      </c>
      <c r="N14" s="79">
        <f t="shared" si="2"/>
        <v>0</v>
      </c>
      <c r="O14" s="79">
        <f t="shared" si="3"/>
        <v>198</v>
      </c>
      <c r="P14" s="79">
        <f t="shared" si="4"/>
        <v>0</v>
      </c>
      <c r="Q14" s="79">
        <f t="shared" si="5"/>
        <v>0</v>
      </c>
      <c r="R14" s="79">
        <f t="shared" si="6"/>
        <v>882</v>
      </c>
    </row>
    <row r="15" spans="1:18">
      <c r="A15" s="122">
        <v>11</v>
      </c>
      <c r="B15" s="224">
        <v>46064</v>
      </c>
      <c r="C15" s="225"/>
      <c r="D15" s="123"/>
      <c r="E15" s="124"/>
      <c r="F15" s="124"/>
      <c r="G15" s="80"/>
      <c r="H15" s="79">
        <f t="shared" si="7"/>
        <v>5</v>
      </c>
      <c r="I15" s="79"/>
      <c r="J15" s="91"/>
      <c r="K15" s="79">
        <f t="shared" si="0"/>
        <v>0</v>
      </c>
      <c r="L15" s="79">
        <f t="shared" si="1"/>
        <v>0</v>
      </c>
      <c r="M15" s="79">
        <f t="shared" si="2"/>
        <v>0</v>
      </c>
      <c r="N15" s="79">
        <f t="shared" si="2"/>
        <v>0</v>
      </c>
      <c r="O15" s="79">
        <f t="shared" si="3"/>
        <v>110</v>
      </c>
      <c r="P15" s="79">
        <f t="shared" si="4"/>
        <v>0</v>
      </c>
      <c r="Q15" s="79">
        <f t="shared" si="5"/>
        <v>0</v>
      </c>
      <c r="R15" s="91">
        <f t="shared" si="6"/>
        <v>110</v>
      </c>
    </row>
    <row r="16" spans="1:18">
      <c r="A16" s="122">
        <v>12</v>
      </c>
      <c r="B16" s="224">
        <v>46065</v>
      </c>
      <c r="C16" s="225"/>
      <c r="D16" s="123"/>
      <c r="E16" s="124"/>
      <c r="F16" s="124"/>
      <c r="G16" s="80"/>
      <c r="H16" s="79">
        <f t="shared" si="7"/>
        <v>5</v>
      </c>
      <c r="I16" s="79"/>
      <c r="J16" s="91"/>
      <c r="K16" s="79">
        <f t="shared" si="0"/>
        <v>0</v>
      </c>
      <c r="L16" s="79">
        <f t="shared" si="1"/>
        <v>0</v>
      </c>
      <c r="M16" s="79">
        <f t="shared" si="2"/>
        <v>0</v>
      </c>
      <c r="N16" s="79">
        <f t="shared" si="2"/>
        <v>0</v>
      </c>
      <c r="O16" s="79">
        <f t="shared" si="3"/>
        <v>110</v>
      </c>
      <c r="P16" s="79">
        <f t="shared" si="4"/>
        <v>0</v>
      </c>
      <c r="Q16" s="79">
        <f t="shared" si="5"/>
        <v>0</v>
      </c>
      <c r="R16" s="91">
        <f t="shared" si="6"/>
        <v>110</v>
      </c>
    </row>
    <row r="17" spans="1:18">
      <c r="A17" s="122">
        <v>13</v>
      </c>
      <c r="B17" s="224">
        <v>46066</v>
      </c>
      <c r="C17" s="225"/>
      <c r="D17" s="123"/>
      <c r="E17" s="124"/>
      <c r="F17" s="124"/>
      <c r="G17" s="80"/>
      <c r="H17" s="79">
        <f t="shared" si="7"/>
        <v>5</v>
      </c>
      <c r="I17" s="79"/>
      <c r="J17" s="91"/>
      <c r="K17" s="79">
        <f t="shared" si="0"/>
        <v>0</v>
      </c>
      <c r="L17" s="79">
        <f t="shared" si="1"/>
        <v>0</v>
      </c>
      <c r="M17" s="79">
        <f t="shared" si="2"/>
        <v>0</v>
      </c>
      <c r="N17" s="79">
        <f t="shared" si="2"/>
        <v>0</v>
      </c>
      <c r="O17" s="79">
        <f t="shared" si="3"/>
        <v>110</v>
      </c>
      <c r="P17" s="79">
        <f t="shared" si="4"/>
        <v>0</v>
      </c>
      <c r="Q17" s="79">
        <f t="shared" si="5"/>
        <v>0</v>
      </c>
      <c r="R17" s="91">
        <f t="shared" si="6"/>
        <v>110</v>
      </c>
    </row>
    <row r="18" spans="1:18">
      <c r="A18" s="122">
        <v>14</v>
      </c>
      <c r="B18" s="224">
        <v>46067</v>
      </c>
      <c r="C18" s="225"/>
      <c r="D18" s="123"/>
      <c r="E18" s="124"/>
      <c r="F18" s="124"/>
      <c r="G18" s="80"/>
      <c r="H18" s="79">
        <f t="shared" si="7"/>
        <v>5</v>
      </c>
      <c r="I18" s="79"/>
      <c r="J18" s="91"/>
      <c r="K18" s="79">
        <f t="shared" si="0"/>
        <v>0</v>
      </c>
      <c r="L18" s="79">
        <f t="shared" si="1"/>
        <v>0</v>
      </c>
      <c r="M18" s="79">
        <f t="shared" si="2"/>
        <v>0</v>
      </c>
      <c r="N18" s="79">
        <f t="shared" si="2"/>
        <v>0</v>
      </c>
      <c r="O18" s="79">
        <f t="shared" si="3"/>
        <v>110</v>
      </c>
      <c r="P18" s="79">
        <f t="shared" si="4"/>
        <v>0</v>
      </c>
      <c r="Q18" s="79">
        <f t="shared" si="5"/>
        <v>0</v>
      </c>
      <c r="R18" s="91">
        <f t="shared" si="6"/>
        <v>110</v>
      </c>
    </row>
    <row r="19" spans="1:18">
      <c r="A19" s="122">
        <v>15</v>
      </c>
      <c r="B19" s="224">
        <v>46068</v>
      </c>
      <c r="C19" s="225"/>
      <c r="D19" s="123"/>
      <c r="E19" s="124"/>
      <c r="F19" s="124"/>
      <c r="G19" s="80"/>
      <c r="H19" s="79">
        <f t="shared" si="7"/>
        <v>5</v>
      </c>
      <c r="I19" s="79"/>
      <c r="J19" s="91"/>
      <c r="K19" s="79">
        <f t="shared" si="0"/>
        <v>0</v>
      </c>
      <c r="L19" s="79">
        <f t="shared" si="1"/>
        <v>0</v>
      </c>
      <c r="M19" s="79">
        <f t="shared" si="2"/>
        <v>0</v>
      </c>
      <c r="N19" s="79">
        <f t="shared" si="2"/>
        <v>0</v>
      </c>
      <c r="O19" s="79">
        <f t="shared" si="3"/>
        <v>110</v>
      </c>
      <c r="P19" s="79">
        <f t="shared" si="4"/>
        <v>0</v>
      </c>
      <c r="Q19" s="79">
        <f t="shared" si="5"/>
        <v>0</v>
      </c>
      <c r="R19" s="91">
        <f t="shared" si="6"/>
        <v>110</v>
      </c>
    </row>
    <row r="20" spans="1:18">
      <c r="A20" s="6">
        <v>16</v>
      </c>
      <c r="B20" s="224">
        <v>46069</v>
      </c>
      <c r="C20" s="225"/>
      <c r="D20" s="121"/>
      <c r="E20" s="80"/>
      <c r="F20" s="80"/>
      <c r="G20" s="124"/>
      <c r="H20" s="79">
        <f t="shared" si="7"/>
        <v>5</v>
      </c>
      <c r="I20" s="79"/>
      <c r="J20" s="79"/>
      <c r="K20" s="79">
        <f t="shared" si="0"/>
        <v>0</v>
      </c>
      <c r="L20" s="79">
        <f t="shared" si="1"/>
        <v>0</v>
      </c>
      <c r="M20" s="79">
        <f t="shared" si="2"/>
        <v>0</v>
      </c>
      <c r="N20" s="79">
        <f t="shared" si="2"/>
        <v>0</v>
      </c>
      <c r="O20" s="79">
        <f t="shared" si="3"/>
        <v>110</v>
      </c>
      <c r="P20" s="79">
        <f t="shared" si="4"/>
        <v>0</v>
      </c>
      <c r="Q20" s="79">
        <f t="shared" si="5"/>
        <v>0</v>
      </c>
      <c r="R20" s="79">
        <f t="shared" si="6"/>
        <v>110</v>
      </c>
    </row>
    <row r="21" spans="1:18">
      <c r="A21" s="6">
        <v>17</v>
      </c>
      <c r="B21" s="224">
        <v>46070</v>
      </c>
      <c r="C21" s="225"/>
      <c r="D21" s="121"/>
      <c r="E21" s="80"/>
      <c r="F21" s="80"/>
      <c r="G21" s="124"/>
      <c r="H21" s="79">
        <f t="shared" si="7"/>
        <v>5</v>
      </c>
      <c r="I21" s="79"/>
      <c r="J21" s="79"/>
      <c r="K21" s="79">
        <f t="shared" si="0"/>
        <v>0</v>
      </c>
      <c r="L21" s="79">
        <f t="shared" si="1"/>
        <v>0</v>
      </c>
      <c r="M21" s="79">
        <f t="shared" si="2"/>
        <v>0</v>
      </c>
      <c r="N21" s="79">
        <f t="shared" si="2"/>
        <v>0</v>
      </c>
      <c r="O21" s="79">
        <f t="shared" si="3"/>
        <v>110</v>
      </c>
      <c r="P21" s="79">
        <f t="shared" si="4"/>
        <v>0</v>
      </c>
      <c r="Q21" s="79">
        <f t="shared" si="5"/>
        <v>0</v>
      </c>
      <c r="R21" s="79">
        <f t="shared" si="6"/>
        <v>110</v>
      </c>
    </row>
    <row r="22" spans="1:18">
      <c r="A22" s="122">
        <v>18</v>
      </c>
      <c r="B22" s="224">
        <v>46071</v>
      </c>
      <c r="C22" s="225"/>
      <c r="D22" s="123"/>
      <c r="E22" s="124">
        <v>2</v>
      </c>
      <c r="F22" s="124"/>
      <c r="G22" s="124"/>
      <c r="H22" s="79">
        <f t="shared" si="7"/>
        <v>5</v>
      </c>
      <c r="I22" s="91"/>
      <c r="J22" s="91"/>
      <c r="K22" s="79">
        <f t="shared" si="0"/>
        <v>0</v>
      </c>
      <c r="L22" s="79">
        <f t="shared" si="1"/>
        <v>342</v>
      </c>
      <c r="M22" s="79">
        <f t="shared" si="2"/>
        <v>0</v>
      </c>
      <c r="N22" s="79">
        <f t="shared" si="2"/>
        <v>0</v>
      </c>
      <c r="O22" s="79">
        <f t="shared" si="3"/>
        <v>110</v>
      </c>
      <c r="P22" s="79">
        <f t="shared" si="4"/>
        <v>0</v>
      </c>
      <c r="Q22" s="79">
        <f t="shared" si="5"/>
        <v>0</v>
      </c>
      <c r="R22" s="91">
        <f t="shared" si="6"/>
        <v>452</v>
      </c>
    </row>
    <row r="23" spans="1:18">
      <c r="A23" s="122">
        <v>19</v>
      </c>
      <c r="B23" s="224">
        <v>46072</v>
      </c>
      <c r="C23" s="225"/>
      <c r="D23" s="123"/>
      <c r="E23" s="124"/>
      <c r="F23" s="124"/>
      <c r="G23" s="124"/>
      <c r="H23" s="79">
        <f t="shared" si="7"/>
        <v>3</v>
      </c>
      <c r="I23" s="91"/>
      <c r="J23" s="91"/>
      <c r="K23" s="79">
        <f t="shared" si="0"/>
        <v>0</v>
      </c>
      <c r="L23" s="79">
        <f t="shared" si="1"/>
        <v>0</v>
      </c>
      <c r="M23" s="79">
        <f t="shared" si="2"/>
        <v>0</v>
      </c>
      <c r="N23" s="79">
        <f t="shared" si="2"/>
        <v>0</v>
      </c>
      <c r="O23" s="79">
        <f t="shared" si="3"/>
        <v>66</v>
      </c>
      <c r="P23" s="79">
        <f t="shared" si="4"/>
        <v>0</v>
      </c>
      <c r="Q23" s="79">
        <f t="shared" si="5"/>
        <v>0</v>
      </c>
      <c r="R23" s="91">
        <f t="shared" si="6"/>
        <v>66</v>
      </c>
    </row>
    <row r="24" spans="1:18">
      <c r="A24" s="122">
        <v>20</v>
      </c>
      <c r="B24" s="224">
        <v>46073</v>
      </c>
      <c r="C24" s="225"/>
      <c r="D24" s="123"/>
      <c r="E24" s="124"/>
      <c r="F24" s="124"/>
      <c r="G24" s="124"/>
      <c r="H24" s="79">
        <f t="shared" si="7"/>
        <v>3</v>
      </c>
      <c r="I24" s="91"/>
      <c r="J24" s="91"/>
      <c r="K24" s="79">
        <f t="shared" si="0"/>
        <v>0</v>
      </c>
      <c r="L24" s="79">
        <f t="shared" si="1"/>
        <v>0</v>
      </c>
      <c r="M24" s="79">
        <f t="shared" si="2"/>
        <v>0</v>
      </c>
      <c r="N24" s="79">
        <f t="shared" si="2"/>
        <v>0</v>
      </c>
      <c r="O24" s="79">
        <f t="shared" si="3"/>
        <v>66</v>
      </c>
      <c r="P24" s="79">
        <f t="shared" si="4"/>
        <v>0</v>
      </c>
      <c r="Q24" s="79">
        <f t="shared" si="5"/>
        <v>0</v>
      </c>
      <c r="R24" s="91">
        <f t="shared" si="6"/>
        <v>66</v>
      </c>
    </row>
    <row r="25" spans="1:18">
      <c r="A25" s="122">
        <v>21</v>
      </c>
      <c r="B25" s="224">
        <v>46074</v>
      </c>
      <c r="C25" s="225"/>
      <c r="D25" s="123"/>
      <c r="E25" s="124"/>
      <c r="F25" s="124"/>
      <c r="G25" s="124"/>
      <c r="H25" s="79">
        <f t="shared" si="7"/>
        <v>3</v>
      </c>
      <c r="I25" s="91"/>
      <c r="J25" s="91"/>
      <c r="K25" s="79">
        <f t="shared" si="0"/>
        <v>0</v>
      </c>
      <c r="L25" s="79">
        <f t="shared" si="1"/>
        <v>0</v>
      </c>
      <c r="M25" s="79">
        <f t="shared" si="2"/>
        <v>0</v>
      </c>
      <c r="N25" s="79">
        <f t="shared" si="2"/>
        <v>0</v>
      </c>
      <c r="O25" s="79">
        <f t="shared" si="3"/>
        <v>66</v>
      </c>
      <c r="P25" s="79">
        <f t="shared" si="4"/>
        <v>0</v>
      </c>
      <c r="Q25" s="79">
        <f t="shared" si="5"/>
        <v>0</v>
      </c>
      <c r="R25" s="91">
        <f t="shared" si="6"/>
        <v>66</v>
      </c>
    </row>
    <row r="26" spans="1:18">
      <c r="A26" s="122">
        <v>22</v>
      </c>
      <c r="B26" s="224">
        <v>46075</v>
      </c>
      <c r="C26" s="225"/>
      <c r="D26" s="123"/>
      <c r="E26" s="124"/>
      <c r="F26" s="124"/>
      <c r="G26" s="124"/>
      <c r="H26" s="79">
        <f t="shared" si="7"/>
        <v>3</v>
      </c>
      <c r="I26" s="79"/>
      <c r="J26" s="91"/>
      <c r="K26" s="79">
        <f t="shared" si="0"/>
        <v>0</v>
      </c>
      <c r="L26" s="79">
        <f t="shared" si="1"/>
        <v>0</v>
      </c>
      <c r="M26" s="79">
        <f t="shared" si="2"/>
        <v>0</v>
      </c>
      <c r="N26" s="79">
        <f t="shared" si="2"/>
        <v>0</v>
      </c>
      <c r="O26" s="79">
        <f t="shared" si="3"/>
        <v>66</v>
      </c>
      <c r="P26" s="79">
        <f t="shared" si="4"/>
        <v>0</v>
      </c>
      <c r="Q26" s="79">
        <f t="shared" si="5"/>
        <v>0</v>
      </c>
      <c r="R26" s="91">
        <f t="shared" si="6"/>
        <v>66</v>
      </c>
    </row>
    <row r="27" spans="1:18">
      <c r="A27" s="6">
        <v>23</v>
      </c>
      <c r="B27" s="224">
        <v>46076</v>
      </c>
      <c r="C27" s="225"/>
      <c r="D27" s="121"/>
      <c r="E27" s="80"/>
      <c r="F27" s="80"/>
      <c r="G27" s="80"/>
      <c r="H27" s="79">
        <f t="shared" si="7"/>
        <v>3</v>
      </c>
      <c r="I27" s="79"/>
      <c r="J27" s="79"/>
      <c r="K27" s="79">
        <f t="shared" si="0"/>
        <v>0</v>
      </c>
      <c r="L27" s="79">
        <f t="shared" si="1"/>
        <v>0</v>
      </c>
      <c r="M27" s="79">
        <f t="shared" si="2"/>
        <v>0</v>
      </c>
      <c r="N27" s="79">
        <f t="shared" si="2"/>
        <v>0</v>
      </c>
      <c r="O27" s="79">
        <f t="shared" si="3"/>
        <v>66</v>
      </c>
      <c r="P27" s="79">
        <f t="shared" si="4"/>
        <v>0</v>
      </c>
      <c r="Q27" s="79">
        <f t="shared" si="5"/>
        <v>0</v>
      </c>
      <c r="R27" s="79">
        <f t="shared" si="6"/>
        <v>66</v>
      </c>
    </row>
    <row r="28" spans="1:18">
      <c r="A28" s="6">
        <v>24</v>
      </c>
      <c r="B28" s="224">
        <v>46077</v>
      </c>
      <c r="C28" s="225"/>
      <c r="D28" s="121"/>
      <c r="E28" s="80"/>
      <c r="F28" s="80"/>
      <c r="G28" s="80"/>
      <c r="H28" s="79">
        <f t="shared" si="7"/>
        <v>3</v>
      </c>
      <c r="I28" s="79"/>
      <c r="J28" s="79"/>
      <c r="K28" s="79">
        <f t="shared" si="0"/>
        <v>0</v>
      </c>
      <c r="L28" s="79">
        <f t="shared" si="1"/>
        <v>0</v>
      </c>
      <c r="M28" s="79">
        <f t="shared" si="2"/>
        <v>0</v>
      </c>
      <c r="N28" s="79">
        <f t="shared" si="2"/>
        <v>0</v>
      </c>
      <c r="O28" s="79">
        <f t="shared" si="3"/>
        <v>66</v>
      </c>
      <c r="P28" s="79">
        <f t="shared" si="4"/>
        <v>0</v>
      </c>
      <c r="Q28" s="79">
        <f t="shared" si="5"/>
        <v>0</v>
      </c>
      <c r="R28" s="79">
        <f t="shared" si="6"/>
        <v>66</v>
      </c>
    </row>
    <row r="29" spans="1:18">
      <c r="A29" s="122">
        <v>25</v>
      </c>
      <c r="B29" s="224">
        <v>46078</v>
      </c>
      <c r="C29" s="225"/>
      <c r="D29" s="123"/>
      <c r="E29" s="124">
        <v>2</v>
      </c>
      <c r="F29" s="124"/>
      <c r="G29" s="124"/>
      <c r="H29" s="79">
        <f t="shared" si="7"/>
        <v>3</v>
      </c>
      <c r="I29" s="79"/>
      <c r="J29" s="91"/>
      <c r="K29" s="79">
        <f t="shared" si="0"/>
        <v>0</v>
      </c>
      <c r="L29" s="79">
        <f t="shared" si="1"/>
        <v>342</v>
      </c>
      <c r="M29" s="79">
        <f t="shared" si="2"/>
        <v>0</v>
      </c>
      <c r="N29" s="79">
        <f t="shared" si="2"/>
        <v>0</v>
      </c>
      <c r="O29" s="79">
        <f t="shared" si="3"/>
        <v>66</v>
      </c>
      <c r="P29" s="79">
        <f t="shared" si="4"/>
        <v>0</v>
      </c>
      <c r="Q29" s="79">
        <f t="shared" si="5"/>
        <v>0</v>
      </c>
      <c r="R29" s="91">
        <f t="shared" si="6"/>
        <v>408</v>
      </c>
    </row>
    <row r="30" spans="1:18">
      <c r="A30" s="122">
        <v>26</v>
      </c>
      <c r="B30" s="224">
        <v>46079</v>
      </c>
      <c r="C30" s="225"/>
      <c r="D30" s="123"/>
      <c r="E30" s="124"/>
      <c r="F30" s="124"/>
      <c r="G30" s="124"/>
      <c r="H30" s="79">
        <f t="shared" si="7"/>
        <v>1</v>
      </c>
      <c r="I30" s="79"/>
      <c r="J30" s="91"/>
      <c r="K30" s="79">
        <f t="shared" si="0"/>
        <v>0</v>
      </c>
      <c r="L30" s="79">
        <f t="shared" si="1"/>
        <v>0</v>
      </c>
      <c r="M30" s="79">
        <f t="shared" si="2"/>
        <v>0</v>
      </c>
      <c r="N30" s="79">
        <f t="shared" si="2"/>
        <v>0</v>
      </c>
      <c r="O30" s="79">
        <f t="shared" si="3"/>
        <v>22</v>
      </c>
      <c r="P30" s="79">
        <f t="shared" si="4"/>
        <v>0</v>
      </c>
      <c r="Q30" s="79">
        <f t="shared" si="5"/>
        <v>0</v>
      </c>
      <c r="R30" s="91">
        <f t="shared" si="6"/>
        <v>22</v>
      </c>
    </row>
    <row r="31" spans="1:18">
      <c r="A31" s="122">
        <v>27</v>
      </c>
      <c r="B31" s="224">
        <v>46080</v>
      </c>
      <c r="C31" s="225"/>
      <c r="D31" s="123"/>
      <c r="E31" s="124"/>
      <c r="F31" s="124"/>
      <c r="G31" s="124"/>
      <c r="H31" s="79">
        <f t="shared" si="7"/>
        <v>1</v>
      </c>
      <c r="I31" s="79"/>
      <c r="J31" s="91"/>
      <c r="K31" s="79">
        <f t="shared" si="0"/>
        <v>0</v>
      </c>
      <c r="L31" s="79">
        <f t="shared" si="1"/>
        <v>0</v>
      </c>
      <c r="M31" s="79">
        <f t="shared" si="2"/>
        <v>0</v>
      </c>
      <c r="N31" s="79">
        <f t="shared" si="2"/>
        <v>0</v>
      </c>
      <c r="O31" s="79">
        <f t="shared" si="3"/>
        <v>22</v>
      </c>
      <c r="P31" s="79">
        <f t="shared" si="4"/>
        <v>0</v>
      </c>
      <c r="Q31" s="79">
        <f t="shared" si="5"/>
        <v>0</v>
      </c>
      <c r="R31" s="91">
        <f t="shared" si="6"/>
        <v>22</v>
      </c>
    </row>
    <row r="32" spans="1:18">
      <c r="A32" s="122">
        <v>28</v>
      </c>
      <c r="B32" s="224">
        <v>46081</v>
      </c>
      <c r="C32" s="225"/>
      <c r="D32" s="123"/>
      <c r="E32" s="124"/>
      <c r="F32" s="124"/>
      <c r="G32" s="124"/>
      <c r="H32" s="79">
        <f t="shared" si="7"/>
        <v>1</v>
      </c>
      <c r="I32" s="79"/>
      <c r="J32" s="91"/>
      <c r="K32" s="79">
        <f t="shared" si="0"/>
        <v>0</v>
      </c>
      <c r="L32" s="79">
        <f t="shared" si="1"/>
        <v>0</v>
      </c>
      <c r="M32" s="79">
        <f t="shared" si="2"/>
        <v>0</v>
      </c>
      <c r="N32" s="79">
        <f t="shared" si="2"/>
        <v>0</v>
      </c>
      <c r="O32" s="79">
        <f t="shared" si="3"/>
        <v>22</v>
      </c>
      <c r="P32" s="79">
        <f t="shared" si="4"/>
        <v>0</v>
      </c>
      <c r="Q32" s="79">
        <f t="shared" si="5"/>
        <v>0</v>
      </c>
      <c r="R32" s="91">
        <f t="shared" si="6"/>
        <v>22</v>
      </c>
    </row>
    <row r="33" spans="1:18">
      <c r="A33" s="122">
        <v>29</v>
      </c>
      <c r="B33" s="224"/>
      <c r="C33" s="225"/>
      <c r="D33" s="123"/>
      <c r="E33" s="124"/>
      <c r="F33" s="124"/>
      <c r="G33" s="124"/>
      <c r="H33" s="79"/>
      <c r="I33" s="79"/>
      <c r="J33" s="91"/>
      <c r="K33" s="79">
        <f t="shared" si="0"/>
        <v>0</v>
      </c>
      <c r="L33" s="79">
        <f t="shared" si="1"/>
        <v>0</v>
      </c>
      <c r="M33" s="79">
        <f t="shared" si="2"/>
        <v>0</v>
      </c>
      <c r="N33" s="79">
        <f t="shared" si="2"/>
        <v>0</v>
      </c>
      <c r="O33" s="79">
        <f t="shared" si="3"/>
        <v>0</v>
      </c>
      <c r="P33" s="79">
        <f t="shared" si="4"/>
        <v>0</v>
      </c>
      <c r="Q33" s="79">
        <f t="shared" si="5"/>
        <v>0</v>
      </c>
      <c r="R33" s="91">
        <f t="shared" si="6"/>
        <v>0</v>
      </c>
    </row>
    <row r="34" spans="1:18">
      <c r="A34" s="122">
        <v>30</v>
      </c>
      <c r="B34" s="224"/>
      <c r="C34" s="225"/>
      <c r="D34" s="123"/>
      <c r="E34" s="124"/>
      <c r="F34" s="124"/>
      <c r="G34" s="124"/>
      <c r="H34" s="79"/>
      <c r="I34" s="79"/>
      <c r="J34" s="91"/>
      <c r="K34" s="79">
        <f t="shared" si="0"/>
        <v>0</v>
      </c>
      <c r="L34" s="79">
        <f t="shared" si="1"/>
        <v>0</v>
      </c>
      <c r="M34" s="79">
        <f t="shared" si="2"/>
        <v>0</v>
      </c>
      <c r="N34" s="79">
        <f t="shared" si="2"/>
        <v>0</v>
      </c>
      <c r="O34" s="79">
        <f t="shared" si="3"/>
        <v>0</v>
      </c>
      <c r="P34" s="79">
        <f t="shared" si="4"/>
        <v>0</v>
      </c>
      <c r="Q34" s="79">
        <f t="shared" si="5"/>
        <v>0</v>
      </c>
      <c r="R34" s="91">
        <f t="shared" si="6"/>
        <v>0</v>
      </c>
    </row>
    <row r="35" spans="1:18" ht="15.75" thickBot="1">
      <c r="A35" s="122">
        <v>31</v>
      </c>
      <c r="B35" s="224"/>
      <c r="C35" s="225"/>
      <c r="D35" s="123"/>
      <c r="E35" s="124"/>
      <c r="F35" s="124"/>
      <c r="G35" s="124"/>
      <c r="H35" s="79"/>
      <c r="I35" s="79"/>
      <c r="J35" s="91"/>
      <c r="K35" s="79">
        <f t="shared" si="0"/>
        <v>0</v>
      </c>
      <c r="L35" s="79">
        <f t="shared" si="1"/>
        <v>0</v>
      </c>
      <c r="M35" s="79">
        <f t="shared" si="2"/>
        <v>0</v>
      </c>
      <c r="N35" s="79">
        <f t="shared" si="2"/>
        <v>0</v>
      </c>
      <c r="O35" s="79">
        <f t="shared" si="3"/>
        <v>0</v>
      </c>
      <c r="P35" s="79">
        <f t="shared" si="4"/>
        <v>0</v>
      </c>
      <c r="Q35" s="79">
        <f t="shared" si="5"/>
        <v>0</v>
      </c>
      <c r="R35" s="91">
        <f t="shared" ref="R35" si="8">SUM(K35:Q35)</f>
        <v>0</v>
      </c>
    </row>
    <row r="36" spans="1:18" ht="15.75" thickBot="1">
      <c r="D36" s="105">
        <f>SUM(D5:D35)</f>
        <v>0</v>
      </c>
      <c r="E36" s="125">
        <f>SUM(E5:E35)</f>
        <v>18</v>
      </c>
      <c r="F36" s="125">
        <f>SUM(F5:F35)</f>
        <v>0</v>
      </c>
      <c r="G36" s="125"/>
      <c r="H36" s="126">
        <f>SUM(H5:H35)</f>
        <v>214</v>
      </c>
      <c r="I36" s="127"/>
      <c r="J36" s="125"/>
      <c r="K36" s="125">
        <f>SUM(K5:K35)</f>
        <v>0</v>
      </c>
      <c r="L36" s="125">
        <f t="shared" ref="L36:Q36" si="9">SUM(L5:L35)</f>
        <v>3078</v>
      </c>
      <c r="M36" s="125">
        <f t="shared" si="9"/>
        <v>0</v>
      </c>
      <c r="N36" s="125">
        <f t="shared" si="9"/>
        <v>0</v>
      </c>
      <c r="O36" s="125">
        <f t="shared" si="9"/>
        <v>4708</v>
      </c>
      <c r="P36" s="125">
        <f t="shared" si="9"/>
        <v>0</v>
      </c>
      <c r="Q36" s="125">
        <f t="shared" si="9"/>
        <v>0</v>
      </c>
      <c r="R36" s="128">
        <f>SUM(R5:R35)</f>
        <v>7786</v>
      </c>
    </row>
  </sheetData>
  <mergeCells count="47">
    <mergeCell ref="B31:C31"/>
    <mergeCell ref="B32:C32"/>
    <mergeCell ref="B33:C33"/>
    <mergeCell ref="B34:C34"/>
    <mergeCell ref="B35:C35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O3:O4"/>
    <mergeCell ref="P3:P4"/>
    <mergeCell ref="Q3:Q4"/>
    <mergeCell ref="R3:R4"/>
    <mergeCell ref="B5:C5"/>
    <mergeCell ref="M3:M4"/>
    <mergeCell ref="N3:N4"/>
    <mergeCell ref="B6:C6"/>
    <mergeCell ref="I3:I4"/>
    <mergeCell ref="J3:J4"/>
    <mergeCell ref="K3:K4"/>
    <mergeCell ref="L3:L4"/>
    <mergeCell ref="G3:G4"/>
    <mergeCell ref="A3:A4"/>
    <mergeCell ref="B3:C4"/>
    <mergeCell ref="D3:D4"/>
    <mergeCell ref="E3:E4"/>
    <mergeCell ref="F3:F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2E1-B2D4-4A3D-801B-3E4E645C6429}">
  <sheetPr codeName="Лист14"/>
  <dimension ref="A1:R36"/>
  <sheetViews>
    <sheetView topLeftCell="A10" workbookViewId="0">
      <selection activeCell="B33" sqref="B33:H35"/>
    </sheetView>
  </sheetViews>
  <sheetFormatPr defaultRowHeight="15"/>
  <cols>
    <col min="1" max="1" width="6.8984375" style="2" customWidth="1"/>
    <col min="2" max="17" width="8.796875" style="2"/>
    <col min="18" max="18" width="7.296875" style="2" customWidth="1"/>
    <col min="19" max="16384" width="8.796875" style="2"/>
  </cols>
  <sheetData>
    <row r="1" spans="1:18">
      <c r="A1" s="120">
        <f>R36</f>
        <v>604.8000000000003</v>
      </c>
    </row>
    <row r="2" spans="1:18" ht="21">
      <c r="B2" s="77" t="s">
        <v>147</v>
      </c>
    </row>
    <row r="3" spans="1:18" ht="28.9" customHeight="1">
      <c r="A3" s="202" t="s">
        <v>0</v>
      </c>
      <c r="B3" s="204" t="s">
        <v>1</v>
      </c>
      <c r="C3" s="205"/>
      <c r="D3" s="202" t="s">
        <v>148</v>
      </c>
      <c r="E3" s="202" t="s">
        <v>149</v>
      </c>
      <c r="F3" s="202" t="s">
        <v>150</v>
      </c>
      <c r="G3" s="202" t="s">
        <v>151</v>
      </c>
      <c r="H3" s="4" t="s">
        <v>4</v>
      </c>
      <c r="I3" s="202" t="s">
        <v>152</v>
      </c>
      <c r="J3" s="202" t="s">
        <v>153</v>
      </c>
      <c r="K3" s="202" t="s">
        <v>11</v>
      </c>
      <c r="L3" s="202" t="s">
        <v>12</v>
      </c>
      <c r="M3" s="202" t="s">
        <v>154</v>
      </c>
      <c r="N3" s="202" t="s">
        <v>155</v>
      </c>
      <c r="O3" s="202" t="s">
        <v>13</v>
      </c>
      <c r="P3" s="202" t="s">
        <v>156</v>
      </c>
      <c r="Q3" s="202" t="s">
        <v>157</v>
      </c>
      <c r="R3" s="202" t="s">
        <v>18</v>
      </c>
    </row>
    <row r="4" spans="1:18" ht="30">
      <c r="A4" s="203"/>
      <c r="B4" s="206"/>
      <c r="C4" s="207"/>
      <c r="D4" s="203"/>
      <c r="E4" s="203"/>
      <c r="F4" s="203"/>
      <c r="G4" s="203"/>
      <c r="H4" s="5" t="s">
        <v>158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</row>
    <row r="5" spans="1:18">
      <c r="A5" s="6">
        <v>1</v>
      </c>
      <c r="B5" s="224">
        <v>46054</v>
      </c>
      <c r="C5" s="225"/>
      <c r="D5" s="121"/>
      <c r="E5" s="80"/>
      <c r="F5" s="80"/>
      <c r="G5" s="80"/>
      <c r="H5" s="79">
        <v>1</v>
      </c>
      <c r="I5" s="79"/>
      <c r="J5" s="79"/>
      <c r="K5" s="79">
        <f t="shared" ref="K5:K29" si="0">SUM(D5*168)</f>
        <v>0</v>
      </c>
      <c r="L5" s="79">
        <f>SUM(E5*168)</f>
        <v>0</v>
      </c>
      <c r="M5" s="79">
        <f>F5*1000</f>
        <v>0</v>
      </c>
      <c r="N5" s="79">
        <f>G5*1000</f>
        <v>0</v>
      </c>
      <c r="O5" s="79">
        <f>SUM(H5*21.6)</f>
        <v>21.6</v>
      </c>
      <c r="P5" s="79">
        <f>I5*500</f>
        <v>0</v>
      </c>
      <c r="Q5" s="79">
        <f>SUM(J5)*600</f>
        <v>0</v>
      </c>
      <c r="R5" s="79">
        <f>SUM(K5:Q5)</f>
        <v>21.6</v>
      </c>
    </row>
    <row r="6" spans="1:18">
      <c r="A6" s="6">
        <v>2</v>
      </c>
      <c r="B6" s="224">
        <v>46055</v>
      </c>
      <c r="C6" s="225"/>
      <c r="D6" s="121"/>
      <c r="E6" s="80"/>
      <c r="F6" s="80"/>
      <c r="G6" s="80"/>
      <c r="H6" s="79">
        <v>1</v>
      </c>
      <c r="I6" s="79"/>
      <c r="J6" s="79"/>
      <c r="K6" s="79">
        <f t="shared" si="0"/>
        <v>0</v>
      </c>
      <c r="L6" s="79">
        <f t="shared" ref="L6:L34" si="1">SUM(E6*168)</f>
        <v>0</v>
      </c>
      <c r="M6" s="79">
        <f t="shared" ref="M6:N34" si="2">F6*1000</f>
        <v>0</v>
      </c>
      <c r="N6" s="79">
        <f t="shared" si="2"/>
        <v>0</v>
      </c>
      <c r="O6" s="79">
        <f t="shared" ref="O6:O35" si="3">SUM(H6*21.6)</f>
        <v>21.6</v>
      </c>
      <c r="P6" s="79">
        <f t="shared" ref="P6:P35" si="4">I6*500</f>
        <v>0</v>
      </c>
      <c r="Q6" s="79">
        <f t="shared" ref="Q6:Q35" si="5">SUM(J6)*600</f>
        <v>0</v>
      </c>
      <c r="R6" s="79">
        <f t="shared" ref="R6:R35" si="6">SUM(K6:Q6)</f>
        <v>21.6</v>
      </c>
    </row>
    <row r="7" spans="1:18">
      <c r="A7" s="6">
        <v>3</v>
      </c>
      <c r="B7" s="224">
        <v>46056</v>
      </c>
      <c r="C7" s="225"/>
      <c r="D7" s="121"/>
      <c r="E7" s="80"/>
      <c r="F7" s="80"/>
      <c r="G7" s="80"/>
      <c r="H7" s="79">
        <v>1</v>
      </c>
      <c r="I7" s="79"/>
      <c r="J7" s="79"/>
      <c r="K7" s="79">
        <f t="shared" si="0"/>
        <v>0</v>
      </c>
      <c r="L7" s="79">
        <f t="shared" si="1"/>
        <v>0</v>
      </c>
      <c r="M7" s="79">
        <f t="shared" si="2"/>
        <v>0</v>
      </c>
      <c r="N7" s="79">
        <f t="shared" si="2"/>
        <v>0</v>
      </c>
      <c r="O7" s="79">
        <f t="shared" si="3"/>
        <v>21.6</v>
      </c>
      <c r="P7" s="79">
        <f t="shared" si="4"/>
        <v>0</v>
      </c>
      <c r="Q7" s="79">
        <f t="shared" si="5"/>
        <v>0</v>
      </c>
      <c r="R7" s="79">
        <f t="shared" si="6"/>
        <v>21.6</v>
      </c>
    </row>
    <row r="8" spans="1:18">
      <c r="A8" s="6">
        <v>4</v>
      </c>
      <c r="B8" s="224">
        <v>46057</v>
      </c>
      <c r="C8" s="225"/>
      <c r="D8" s="121"/>
      <c r="E8" s="80"/>
      <c r="F8" s="80"/>
      <c r="G8" s="80"/>
      <c r="H8" s="79">
        <v>1</v>
      </c>
      <c r="I8" s="79"/>
      <c r="J8" s="79"/>
      <c r="K8" s="79">
        <f t="shared" si="0"/>
        <v>0</v>
      </c>
      <c r="L8" s="79">
        <f t="shared" si="1"/>
        <v>0</v>
      </c>
      <c r="M8" s="79">
        <f t="shared" si="2"/>
        <v>0</v>
      </c>
      <c r="N8" s="79">
        <f t="shared" si="2"/>
        <v>0</v>
      </c>
      <c r="O8" s="79">
        <f t="shared" si="3"/>
        <v>21.6</v>
      </c>
      <c r="P8" s="79">
        <f t="shared" si="4"/>
        <v>0</v>
      </c>
      <c r="Q8" s="79">
        <f t="shared" si="5"/>
        <v>0</v>
      </c>
      <c r="R8" s="79">
        <f t="shared" si="6"/>
        <v>21.6</v>
      </c>
    </row>
    <row r="9" spans="1:18">
      <c r="A9" s="122">
        <v>5</v>
      </c>
      <c r="B9" s="224">
        <v>46058</v>
      </c>
      <c r="C9" s="225"/>
      <c r="D9" s="123"/>
      <c r="E9" s="124"/>
      <c r="F9" s="124"/>
      <c r="G9" s="124"/>
      <c r="H9" s="79">
        <v>1</v>
      </c>
      <c r="I9" s="79"/>
      <c r="J9" s="91"/>
      <c r="K9" s="79">
        <f t="shared" si="0"/>
        <v>0</v>
      </c>
      <c r="L9" s="79">
        <f t="shared" si="1"/>
        <v>0</v>
      </c>
      <c r="M9" s="79">
        <f t="shared" si="2"/>
        <v>0</v>
      </c>
      <c r="N9" s="79">
        <f t="shared" si="2"/>
        <v>0</v>
      </c>
      <c r="O9" s="79">
        <f t="shared" si="3"/>
        <v>21.6</v>
      </c>
      <c r="P9" s="79">
        <f t="shared" si="4"/>
        <v>0</v>
      </c>
      <c r="Q9" s="79">
        <f t="shared" si="5"/>
        <v>0</v>
      </c>
      <c r="R9" s="91">
        <f t="shared" si="6"/>
        <v>21.6</v>
      </c>
    </row>
    <row r="10" spans="1:18">
      <c r="A10" s="122">
        <v>6</v>
      </c>
      <c r="B10" s="224">
        <v>46059</v>
      </c>
      <c r="C10" s="225"/>
      <c r="D10" s="123"/>
      <c r="E10" s="124"/>
      <c r="F10" s="124"/>
      <c r="G10" s="124"/>
      <c r="H10" s="79">
        <v>1</v>
      </c>
      <c r="I10" s="79"/>
      <c r="J10" s="91"/>
      <c r="K10" s="79">
        <f t="shared" si="0"/>
        <v>0</v>
      </c>
      <c r="L10" s="79">
        <f t="shared" si="1"/>
        <v>0</v>
      </c>
      <c r="M10" s="79">
        <f t="shared" si="2"/>
        <v>0</v>
      </c>
      <c r="N10" s="79">
        <f t="shared" si="2"/>
        <v>0</v>
      </c>
      <c r="O10" s="79">
        <f t="shared" si="3"/>
        <v>21.6</v>
      </c>
      <c r="P10" s="79">
        <f t="shared" si="4"/>
        <v>0</v>
      </c>
      <c r="Q10" s="79">
        <f t="shared" si="5"/>
        <v>0</v>
      </c>
      <c r="R10" s="91">
        <f t="shared" si="6"/>
        <v>21.6</v>
      </c>
    </row>
    <row r="11" spans="1:18">
      <c r="A11" s="122">
        <v>7</v>
      </c>
      <c r="B11" s="224">
        <v>46060</v>
      </c>
      <c r="C11" s="225"/>
      <c r="D11" s="123"/>
      <c r="E11" s="124"/>
      <c r="F11" s="124"/>
      <c r="G11" s="124"/>
      <c r="H11" s="79">
        <v>1</v>
      </c>
      <c r="I11" s="79"/>
      <c r="J11" s="91"/>
      <c r="K11" s="79">
        <f t="shared" si="0"/>
        <v>0</v>
      </c>
      <c r="L11" s="79">
        <f t="shared" si="1"/>
        <v>0</v>
      </c>
      <c r="M11" s="79">
        <f t="shared" si="2"/>
        <v>0</v>
      </c>
      <c r="N11" s="79">
        <f t="shared" si="2"/>
        <v>0</v>
      </c>
      <c r="O11" s="79">
        <f t="shared" si="3"/>
        <v>21.6</v>
      </c>
      <c r="P11" s="79">
        <f t="shared" si="4"/>
        <v>0</v>
      </c>
      <c r="Q11" s="79">
        <f t="shared" si="5"/>
        <v>0</v>
      </c>
      <c r="R11" s="91">
        <f t="shared" si="6"/>
        <v>21.6</v>
      </c>
    </row>
    <row r="12" spans="1:18">
      <c r="A12" s="122">
        <v>8</v>
      </c>
      <c r="B12" s="224">
        <v>46061</v>
      </c>
      <c r="C12" s="225"/>
      <c r="D12" s="123"/>
      <c r="E12" s="124"/>
      <c r="F12" s="124"/>
      <c r="G12" s="124"/>
      <c r="H12" s="79">
        <v>1</v>
      </c>
      <c r="I12" s="79"/>
      <c r="J12" s="91"/>
      <c r="K12" s="79">
        <f t="shared" si="0"/>
        <v>0</v>
      </c>
      <c r="L12" s="79">
        <f t="shared" si="1"/>
        <v>0</v>
      </c>
      <c r="M12" s="79">
        <f t="shared" si="2"/>
        <v>0</v>
      </c>
      <c r="N12" s="79">
        <f t="shared" si="2"/>
        <v>0</v>
      </c>
      <c r="O12" s="79">
        <f t="shared" si="3"/>
        <v>21.6</v>
      </c>
      <c r="P12" s="79">
        <f t="shared" si="4"/>
        <v>0</v>
      </c>
      <c r="Q12" s="79">
        <f t="shared" si="5"/>
        <v>0</v>
      </c>
      <c r="R12" s="91">
        <f t="shared" si="6"/>
        <v>21.6</v>
      </c>
    </row>
    <row r="13" spans="1:18">
      <c r="A13" s="6">
        <v>9</v>
      </c>
      <c r="B13" s="224">
        <v>46062</v>
      </c>
      <c r="C13" s="225"/>
      <c r="D13" s="121"/>
      <c r="E13" s="80"/>
      <c r="F13" s="80"/>
      <c r="G13" s="80"/>
      <c r="H13" s="79">
        <v>1</v>
      </c>
      <c r="I13" s="79"/>
      <c r="J13" s="79"/>
      <c r="K13" s="79">
        <f t="shared" si="0"/>
        <v>0</v>
      </c>
      <c r="L13" s="79">
        <f t="shared" si="1"/>
        <v>0</v>
      </c>
      <c r="M13" s="79">
        <f t="shared" si="2"/>
        <v>0</v>
      </c>
      <c r="N13" s="79">
        <f t="shared" si="2"/>
        <v>0</v>
      </c>
      <c r="O13" s="79">
        <f t="shared" si="3"/>
        <v>21.6</v>
      </c>
      <c r="P13" s="79">
        <f t="shared" si="4"/>
        <v>0</v>
      </c>
      <c r="Q13" s="79">
        <f t="shared" si="5"/>
        <v>0</v>
      </c>
      <c r="R13" s="79">
        <f t="shared" si="6"/>
        <v>21.6</v>
      </c>
    </row>
    <row r="14" spans="1:18">
      <c r="A14" s="6">
        <v>10</v>
      </c>
      <c r="B14" s="224">
        <v>46063</v>
      </c>
      <c r="C14" s="225"/>
      <c r="D14" s="121"/>
      <c r="E14" s="80"/>
      <c r="F14" s="80"/>
      <c r="G14" s="80"/>
      <c r="H14" s="79">
        <v>1</v>
      </c>
      <c r="I14" s="79"/>
      <c r="J14" s="79"/>
      <c r="K14" s="79">
        <f t="shared" si="0"/>
        <v>0</v>
      </c>
      <c r="L14" s="79">
        <f t="shared" si="1"/>
        <v>0</v>
      </c>
      <c r="M14" s="79">
        <f t="shared" si="2"/>
        <v>0</v>
      </c>
      <c r="N14" s="79">
        <f t="shared" si="2"/>
        <v>0</v>
      </c>
      <c r="O14" s="79">
        <f t="shared" si="3"/>
        <v>21.6</v>
      </c>
      <c r="P14" s="79">
        <f t="shared" si="4"/>
        <v>0</v>
      </c>
      <c r="Q14" s="79">
        <f t="shared" si="5"/>
        <v>0</v>
      </c>
      <c r="R14" s="79">
        <f t="shared" si="6"/>
        <v>21.6</v>
      </c>
    </row>
    <row r="15" spans="1:18">
      <c r="A15" s="122">
        <v>11</v>
      </c>
      <c r="B15" s="224">
        <v>46064</v>
      </c>
      <c r="C15" s="225"/>
      <c r="D15" s="123"/>
      <c r="E15" s="124"/>
      <c r="F15" s="124"/>
      <c r="G15" s="80"/>
      <c r="H15" s="79">
        <v>1</v>
      </c>
      <c r="I15" s="79"/>
      <c r="J15" s="91"/>
      <c r="K15" s="79">
        <f t="shared" si="0"/>
        <v>0</v>
      </c>
      <c r="L15" s="79">
        <f t="shared" si="1"/>
        <v>0</v>
      </c>
      <c r="M15" s="79">
        <f t="shared" si="2"/>
        <v>0</v>
      </c>
      <c r="N15" s="79">
        <f t="shared" si="2"/>
        <v>0</v>
      </c>
      <c r="O15" s="79">
        <f t="shared" si="3"/>
        <v>21.6</v>
      </c>
      <c r="P15" s="79">
        <f t="shared" si="4"/>
        <v>0</v>
      </c>
      <c r="Q15" s="79">
        <f t="shared" si="5"/>
        <v>0</v>
      </c>
      <c r="R15" s="91">
        <f t="shared" si="6"/>
        <v>21.6</v>
      </c>
    </row>
    <row r="16" spans="1:18">
      <c r="A16" s="122">
        <v>12</v>
      </c>
      <c r="B16" s="224">
        <v>46065</v>
      </c>
      <c r="C16" s="225"/>
      <c r="D16" s="123"/>
      <c r="E16" s="124"/>
      <c r="F16" s="124"/>
      <c r="G16" s="80"/>
      <c r="H16" s="79">
        <v>1</v>
      </c>
      <c r="I16" s="79"/>
      <c r="J16" s="91"/>
      <c r="K16" s="79">
        <f t="shared" si="0"/>
        <v>0</v>
      </c>
      <c r="L16" s="79">
        <f t="shared" si="1"/>
        <v>0</v>
      </c>
      <c r="M16" s="79">
        <f t="shared" si="2"/>
        <v>0</v>
      </c>
      <c r="N16" s="79">
        <f t="shared" si="2"/>
        <v>0</v>
      </c>
      <c r="O16" s="79">
        <f t="shared" si="3"/>
        <v>21.6</v>
      </c>
      <c r="P16" s="79">
        <f t="shared" si="4"/>
        <v>0</v>
      </c>
      <c r="Q16" s="79">
        <f t="shared" si="5"/>
        <v>0</v>
      </c>
      <c r="R16" s="91">
        <f t="shared" si="6"/>
        <v>21.6</v>
      </c>
    </row>
    <row r="17" spans="1:18">
      <c r="A17" s="122">
        <v>13</v>
      </c>
      <c r="B17" s="224">
        <v>46066</v>
      </c>
      <c r="C17" s="225"/>
      <c r="D17" s="123"/>
      <c r="E17" s="124"/>
      <c r="F17" s="124"/>
      <c r="G17" s="80"/>
      <c r="H17" s="79">
        <v>1</v>
      </c>
      <c r="I17" s="79"/>
      <c r="J17" s="91"/>
      <c r="K17" s="79">
        <f t="shared" si="0"/>
        <v>0</v>
      </c>
      <c r="L17" s="79">
        <f t="shared" si="1"/>
        <v>0</v>
      </c>
      <c r="M17" s="79">
        <f t="shared" si="2"/>
        <v>0</v>
      </c>
      <c r="N17" s="79">
        <f t="shared" si="2"/>
        <v>0</v>
      </c>
      <c r="O17" s="79">
        <f t="shared" si="3"/>
        <v>21.6</v>
      </c>
      <c r="P17" s="79">
        <f t="shared" si="4"/>
        <v>0</v>
      </c>
      <c r="Q17" s="79">
        <f t="shared" si="5"/>
        <v>0</v>
      </c>
      <c r="R17" s="91">
        <f t="shared" si="6"/>
        <v>21.6</v>
      </c>
    </row>
    <row r="18" spans="1:18">
      <c r="A18" s="122">
        <v>14</v>
      </c>
      <c r="B18" s="224">
        <v>46067</v>
      </c>
      <c r="C18" s="225"/>
      <c r="D18" s="123"/>
      <c r="E18" s="124"/>
      <c r="F18" s="124"/>
      <c r="G18" s="80"/>
      <c r="H18" s="79">
        <v>1</v>
      </c>
      <c r="I18" s="79"/>
      <c r="J18" s="91"/>
      <c r="K18" s="79">
        <f t="shared" si="0"/>
        <v>0</v>
      </c>
      <c r="L18" s="79">
        <f t="shared" si="1"/>
        <v>0</v>
      </c>
      <c r="M18" s="79">
        <f t="shared" si="2"/>
        <v>0</v>
      </c>
      <c r="N18" s="79">
        <f t="shared" si="2"/>
        <v>0</v>
      </c>
      <c r="O18" s="79">
        <f t="shared" si="3"/>
        <v>21.6</v>
      </c>
      <c r="P18" s="79">
        <f t="shared" si="4"/>
        <v>0</v>
      </c>
      <c r="Q18" s="79">
        <f t="shared" si="5"/>
        <v>0</v>
      </c>
      <c r="R18" s="91">
        <f t="shared" si="6"/>
        <v>21.6</v>
      </c>
    </row>
    <row r="19" spans="1:18">
      <c r="A19" s="122">
        <v>15</v>
      </c>
      <c r="B19" s="224">
        <v>46068</v>
      </c>
      <c r="C19" s="225"/>
      <c r="D19" s="123"/>
      <c r="E19" s="124"/>
      <c r="F19" s="124"/>
      <c r="G19" s="80"/>
      <c r="H19" s="79">
        <v>1</v>
      </c>
      <c r="I19" s="79"/>
      <c r="J19" s="91"/>
      <c r="K19" s="79">
        <f t="shared" si="0"/>
        <v>0</v>
      </c>
      <c r="L19" s="79">
        <f t="shared" si="1"/>
        <v>0</v>
      </c>
      <c r="M19" s="79">
        <f t="shared" si="2"/>
        <v>0</v>
      </c>
      <c r="N19" s="79">
        <f t="shared" si="2"/>
        <v>0</v>
      </c>
      <c r="O19" s="79">
        <f t="shared" si="3"/>
        <v>21.6</v>
      </c>
      <c r="P19" s="79">
        <f t="shared" si="4"/>
        <v>0</v>
      </c>
      <c r="Q19" s="79">
        <f t="shared" si="5"/>
        <v>0</v>
      </c>
      <c r="R19" s="91">
        <f t="shared" si="6"/>
        <v>21.6</v>
      </c>
    </row>
    <row r="20" spans="1:18">
      <c r="A20" s="6">
        <v>16</v>
      </c>
      <c r="B20" s="224">
        <v>46069</v>
      </c>
      <c r="C20" s="225"/>
      <c r="D20" s="121"/>
      <c r="E20" s="80"/>
      <c r="F20" s="80"/>
      <c r="G20" s="124"/>
      <c r="H20" s="79">
        <v>1</v>
      </c>
      <c r="I20" s="79"/>
      <c r="J20" s="79"/>
      <c r="K20" s="79">
        <f t="shared" si="0"/>
        <v>0</v>
      </c>
      <c r="L20" s="79">
        <f t="shared" si="1"/>
        <v>0</v>
      </c>
      <c r="M20" s="79">
        <f t="shared" si="2"/>
        <v>0</v>
      </c>
      <c r="N20" s="79">
        <f t="shared" si="2"/>
        <v>0</v>
      </c>
      <c r="O20" s="79">
        <f t="shared" si="3"/>
        <v>21.6</v>
      </c>
      <c r="P20" s="79">
        <f t="shared" si="4"/>
        <v>0</v>
      </c>
      <c r="Q20" s="79">
        <f t="shared" si="5"/>
        <v>0</v>
      </c>
      <c r="R20" s="79">
        <f t="shared" si="6"/>
        <v>21.6</v>
      </c>
    </row>
    <row r="21" spans="1:18">
      <c r="A21" s="6">
        <v>17</v>
      </c>
      <c r="B21" s="224">
        <v>46070</v>
      </c>
      <c r="C21" s="225"/>
      <c r="D21" s="121"/>
      <c r="E21" s="80"/>
      <c r="F21" s="80"/>
      <c r="G21" s="124"/>
      <c r="H21" s="79">
        <v>1</v>
      </c>
      <c r="I21" s="79"/>
      <c r="J21" s="79"/>
      <c r="K21" s="79">
        <f t="shared" si="0"/>
        <v>0</v>
      </c>
      <c r="L21" s="79">
        <f t="shared" si="1"/>
        <v>0</v>
      </c>
      <c r="M21" s="79">
        <f t="shared" si="2"/>
        <v>0</v>
      </c>
      <c r="N21" s="79">
        <f t="shared" si="2"/>
        <v>0</v>
      </c>
      <c r="O21" s="79">
        <f t="shared" si="3"/>
        <v>21.6</v>
      </c>
      <c r="P21" s="79">
        <f t="shared" si="4"/>
        <v>0</v>
      </c>
      <c r="Q21" s="79">
        <f t="shared" si="5"/>
        <v>0</v>
      </c>
      <c r="R21" s="79">
        <f t="shared" si="6"/>
        <v>21.6</v>
      </c>
    </row>
    <row r="22" spans="1:18">
      <c r="A22" s="122">
        <v>18</v>
      </c>
      <c r="B22" s="224">
        <v>46071</v>
      </c>
      <c r="C22" s="225"/>
      <c r="D22" s="123"/>
      <c r="E22" s="124"/>
      <c r="F22" s="124"/>
      <c r="G22" s="124"/>
      <c r="H22" s="79">
        <v>1</v>
      </c>
      <c r="I22" s="91"/>
      <c r="J22" s="91"/>
      <c r="K22" s="79">
        <f t="shared" si="0"/>
        <v>0</v>
      </c>
      <c r="L22" s="79">
        <f t="shared" si="1"/>
        <v>0</v>
      </c>
      <c r="M22" s="79">
        <f t="shared" si="2"/>
        <v>0</v>
      </c>
      <c r="N22" s="79">
        <f t="shared" si="2"/>
        <v>0</v>
      </c>
      <c r="O22" s="79">
        <f t="shared" si="3"/>
        <v>21.6</v>
      </c>
      <c r="P22" s="79">
        <f t="shared" si="4"/>
        <v>0</v>
      </c>
      <c r="Q22" s="79">
        <f t="shared" si="5"/>
        <v>0</v>
      </c>
      <c r="R22" s="91">
        <f t="shared" si="6"/>
        <v>21.6</v>
      </c>
    </row>
    <row r="23" spans="1:18">
      <c r="A23" s="122">
        <v>19</v>
      </c>
      <c r="B23" s="224">
        <v>46072</v>
      </c>
      <c r="C23" s="225"/>
      <c r="D23" s="123"/>
      <c r="E23" s="124"/>
      <c r="F23" s="124"/>
      <c r="G23" s="124"/>
      <c r="H23" s="79">
        <v>1</v>
      </c>
      <c r="I23" s="91"/>
      <c r="J23" s="91"/>
      <c r="K23" s="79">
        <f t="shared" si="0"/>
        <v>0</v>
      </c>
      <c r="L23" s="79">
        <f t="shared" si="1"/>
        <v>0</v>
      </c>
      <c r="M23" s="79">
        <f t="shared" si="2"/>
        <v>0</v>
      </c>
      <c r="N23" s="79">
        <f t="shared" si="2"/>
        <v>0</v>
      </c>
      <c r="O23" s="79">
        <f t="shared" si="3"/>
        <v>21.6</v>
      </c>
      <c r="P23" s="79">
        <f t="shared" si="4"/>
        <v>0</v>
      </c>
      <c r="Q23" s="79">
        <f t="shared" si="5"/>
        <v>0</v>
      </c>
      <c r="R23" s="91">
        <f t="shared" si="6"/>
        <v>21.6</v>
      </c>
    </row>
    <row r="24" spans="1:18">
      <c r="A24" s="122">
        <v>20</v>
      </c>
      <c r="B24" s="224">
        <v>46073</v>
      </c>
      <c r="C24" s="225"/>
      <c r="D24" s="123"/>
      <c r="E24" s="124"/>
      <c r="F24" s="124"/>
      <c r="G24" s="124"/>
      <c r="H24" s="79">
        <v>1</v>
      </c>
      <c r="I24" s="91"/>
      <c r="J24" s="91"/>
      <c r="K24" s="79">
        <f t="shared" si="0"/>
        <v>0</v>
      </c>
      <c r="L24" s="79">
        <f t="shared" si="1"/>
        <v>0</v>
      </c>
      <c r="M24" s="79">
        <f t="shared" si="2"/>
        <v>0</v>
      </c>
      <c r="N24" s="79">
        <f t="shared" si="2"/>
        <v>0</v>
      </c>
      <c r="O24" s="79">
        <f t="shared" si="3"/>
        <v>21.6</v>
      </c>
      <c r="P24" s="79">
        <f t="shared" si="4"/>
        <v>0</v>
      </c>
      <c r="Q24" s="79">
        <f t="shared" si="5"/>
        <v>0</v>
      </c>
      <c r="R24" s="91">
        <f t="shared" si="6"/>
        <v>21.6</v>
      </c>
    </row>
    <row r="25" spans="1:18">
      <c r="A25" s="122">
        <v>21</v>
      </c>
      <c r="B25" s="224">
        <v>46074</v>
      </c>
      <c r="C25" s="225"/>
      <c r="D25" s="123"/>
      <c r="E25" s="124"/>
      <c r="F25" s="124"/>
      <c r="G25" s="124"/>
      <c r="H25" s="79">
        <v>1</v>
      </c>
      <c r="I25" s="91"/>
      <c r="J25" s="91"/>
      <c r="K25" s="79">
        <f t="shared" si="0"/>
        <v>0</v>
      </c>
      <c r="L25" s="79">
        <f t="shared" si="1"/>
        <v>0</v>
      </c>
      <c r="M25" s="79">
        <f t="shared" si="2"/>
        <v>0</v>
      </c>
      <c r="N25" s="79">
        <f t="shared" si="2"/>
        <v>0</v>
      </c>
      <c r="O25" s="79">
        <f t="shared" si="3"/>
        <v>21.6</v>
      </c>
      <c r="P25" s="79">
        <f t="shared" si="4"/>
        <v>0</v>
      </c>
      <c r="Q25" s="79">
        <f t="shared" si="5"/>
        <v>0</v>
      </c>
      <c r="R25" s="91">
        <f t="shared" si="6"/>
        <v>21.6</v>
      </c>
    </row>
    <row r="26" spans="1:18">
      <c r="A26" s="122">
        <v>22</v>
      </c>
      <c r="B26" s="224">
        <v>46075</v>
      </c>
      <c r="C26" s="225"/>
      <c r="D26" s="123"/>
      <c r="E26" s="124"/>
      <c r="F26" s="124"/>
      <c r="G26" s="124"/>
      <c r="H26" s="79">
        <v>1</v>
      </c>
      <c r="I26" s="79"/>
      <c r="J26" s="91"/>
      <c r="K26" s="79">
        <f t="shared" si="0"/>
        <v>0</v>
      </c>
      <c r="L26" s="79">
        <f t="shared" si="1"/>
        <v>0</v>
      </c>
      <c r="M26" s="79">
        <f t="shared" si="2"/>
        <v>0</v>
      </c>
      <c r="N26" s="79">
        <f t="shared" si="2"/>
        <v>0</v>
      </c>
      <c r="O26" s="79">
        <f t="shared" si="3"/>
        <v>21.6</v>
      </c>
      <c r="P26" s="79">
        <f t="shared" si="4"/>
        <v>0</v>
      </c>
      <c r="Q26" s="79">
        <f t="shared" si="5"/>
        <v>0</v>
      </c>
      <c r="R26" s="91">
        <f t="shared" si="6"/>
        <v>21.6</v>
      </c>
    </row>
    <row r="27" spans="1:18">
      <c r="A27" s="6">
        <v>23</v>
      </c>
      <c r="B27" s="224">
        <v>46076</v>
      </c>
      <c r="C27" s="225"/>
      <c r="D27" s="121"/>
      <c r="E27" s="80"/>
      <c r="F27" s="80"/>
      <c r="G27" s="80"/>
      <c r="H27" s="79">
        <v>1</v>
      </c>
      <c r="I27" s="79"/>
      <c r="J27" s="79"/>
      <c r="K27" s="79">
        <f t="shared" si="0"/>
        <v>0</v>
      </c>
      <c r="L27" s="79">
        <f t="shared" si="1"/>
        <v>0</v>
      </c>
      <c r="M27" s="79">
        <f t="shared" si="2"/>
        <v>0</v>
      </c>
      <c r="N27" s="79">
        <f t="shared" si="2"/>
        <v>0</v>
      </c>
      <c r="O27" s="79">
        <f t="shared" si="3"/>
        <v>21.6</v>
      </c>
      <c r="P27" s="79">
        <f t="shared" si="4"/>
        <v>0</v>
      </c>
      <c r="Q27" s="79">
        <f t="shared" si="5"/>
        <v>0</v>
      </c>
      <c r="R27" s="79">
        <f t="shared" si="6"/>
        <v>21.6</v>
      </c>
    </row>
    <row r="28" spans="1:18">
      <c r="A28" s="6">
        <v>24</v>
      </c>
      <c r="B28" s="224">
        <v>46077</v>
      </c>
      <c r="C28" s="225"/>
      <c r="D28" s="121"/>
      <c r="E28" s="80"/>
      <c r="F28" s="80"/>
      <c r="G28" s="80"/>
      <c r="H28" s="79">
        <v>1</v>
      </c>
      <c r="I28" s="79"/>
      <c r="J28" s="79"/>
      <c r="K28" s="79">
        <f t="shared" si="0"/>
        <v>0</v>
      </c>
      <c r="L28" s="79">
        <f t="shared" si="1"/>
        <v>0</v>
      </c>
      <c r="M28" s="79">
        <f t="shared" si="2"/>
        <v>0</v>
      </c>
      <c r="N28" s="79">
        <f t="shared" si="2"/>
        <v>0</v>
      </c>
      <c r="O28" s="79">
        <f t="shared" si="3"/>
        <v>21.6</v>
      </c>
      <c r="P28" s="79">
        <f t="shared" si="4"/>
        <v>0</v>
      </c>
      <c r="Q28" s="79">
        <f t="shared" si="5"/>
        <v>0</v>
      </c>
      <c r="R28" s="79">
        <f t="shared" si="6"/>
        <v>21.6</v>
      </c>
    </row>
    <row r="29" spans="1:18">
      <c r="A29" s="122">
        <v>25</v>
      </c>
      <c r="B29" s="224">
        <v>46078</v>
      </c>
      <c r="C29" s="225"/>
      <c r="D29" s="123"/>
      <c r="E29" s="124"/>
      <c r="F29" s="124"/>
      <c r="G29" s="124"/>
      <c r="H29" s="79">
        <v>1</v>
      </c>
      <c r="I29" s="79"/>
      <c r="J29" s="91"/>
      <c r="K29" s="79">
        <f t="shared" si="0"/>
        <v>0</v>
      </c>
      <c r="L29" s="79">
        <f t="shared" si="1"/>
        <v>0</v>
      </c>
      <c r="M29" s="79">
        <f>F29*1000</f>
        <v>0</v>
      </c>
      <c r="N29" s="79">
        <f t="shared" si="2"/>
        <v>0</v>
      </c>
      <c r="O29" s="79">
        <f t="shared" si="3"/>
        <v>21.6</v>
      </c>
      <c r="P29" s="79">
        <f t="shared" si="4"/>
        <v>0</v>
      </c>
      <c r="Q29" s="79">
        <f t="shared" si="5"/>
        <v>0</v>
      </c>
      <c r="R29" s="91">
        <f t="shared" si="6"/>
        <v>21.6</v>
      </c>
    </row>
    <row r="30" spans="1:18">
      <c r="A30" s="122">
        <v>26</v>
      </c>
      <c r="B30" s="224">
        <v>46079</v>
      </c>
      <c r="C30" s="225"/>
      <c r="D30" s="123"/>
      <c r="E30" s="124"/>
      <c r="F30" s="124"/>
      <c r="G30" s="124"/>
      <c r="H30" s="79">
        <v>1</v>
      </c>
      <c r="I30" s="79"/>
      <c r="J30" s="91"/>
      <c r="K30" s="79">
        <f>SUM(D30*168)</f>
        <v>0</v>
      </c>
      <c r="L30" s="79">
        <f t="shared" si="1"/>
        <v>0</v>
      </c>
      <c r="M30" s="79">
        <f t="shared" si="2"/>
        <v>0</v>
      </c>
      <c r="N30" s="79">
        <f t="shared" si="2"/>
        <v>0</v>
      </c>
      <c r="O30" s="79">
        <f t="shared" si="3"/>
        <v>21.6</v>
      </c>
      <c r="P30" s="79">
        <f t="shared" si="4"/>
        <v>0</v>
      </c>
      <c r="Q30" s="79">
        <f t="shared" si="5"/>
        <v>0</v>
      </c>
      <c r="R30" s="91">
        <f t="shared" si="6"/>
        <v>21.6</v>
      </c>
    </row>
    <row r="31" spans="1:18">
      <c r="A31" s="122">
        <v>27</v>
      </c>
      <c r="B31" s="224">
        <v>46080</v>
      </c>
      <c r="C31" s="225"/>
      <c r="D31" s="123"/>
      <c r="E31" s="124"/>
      <c r="F31" s="124"/>
      <c r="G31" s="124"/>
      <c r="H31" s="79">
        <v>1</v>
      </c>
      <c r="I31" s="79"/>
      <c r="J31" s="91"/>
      <c r="K31" s="79">
        <f t="shared" ref="K31:L35" si="7">SUM(D31*168)</f>
        <v>0</v>
      </c>
      <c r="L31" s="79">
        <f t="shared" si="1"/>
        <v>0</v>
      </c>
      <c r="M31" s="79">
        <f t="shared" si="2"/>
        <v>0</v>
      </c>
      <c r="N31" s="79">
        <f t="shared" si="2"/>
        <v>0</v>
      </c>
      <c r="O31" s="79">
        <f t="shared" si="3"/>
        <v>21.6</v>
      </c>
      <c r="P31" s="79">
        <f t="shared" si="4"/>
        <v>0</v>
      </c>
      <c r="Q31" s="79">
        <f t="shared" si="5"/>
        <v>0</v>
      </c>
      <c r="R31" s="91">
        <f t="shared" si="6"/>
        <v>21.6</v>
      </c>
    </row>
    <row r="32" spans="1:18">
      <c r="A32" s="122">
        <v>28</v>
      </c>
      <c r="B32" s="224">
        <v>46081</v>
      </c>
      <c r="C32" s="225"/>
      <c r="D32" s="123"/>
      <c r="E32" s="124"/>
      <c r="F32" s="124"/>
      <c r="G32" s="124"/>
      <c r="H32" s="79">
        <v>1</v>
      </c>
      <c r="I32" s="79"/>
      <c r="J32" s="91"/>
      <c r="K32" s="79">
        <f t="shared" si="7"/>
        <v>0</v>
      </c>
      <c r="L32" s="79">
        <f t="shared" si="1"/>
        <v>0</v>
      </c>
      <c r="M32" s="79">
        <f t="shared" si="2"/>
        <v>0</v>
      </c>
      <c r="N32" s="79">
        <f t="shared" si="2"/>
        <v>0</v>
      </c>
      <c r="O32" s="79">
        <f t="shared" si="3"/>
        <v>21.6</v>
      </c>
      <c r="P32" s="79">
        <f t="shared" si="4"/>
        <v>0</v>
      </c>
      <c r="Q32" s="79">
        <f t="shared" si="5"/>
        <v>0</v>
      </c>
      <c r="R32" s="91">
        <f t="shared" si="6"/>
        <v>21.6</v>
      </c>
    </row>
    <row r="33" spans="1:18">
      <c r="A33" s="122">
        <v>29</v>
      </c>
      <c r="B33" s="224"/>
      <c r="C33" s="225"/>
      <c r="D33" s="123"/>
      <c r="E33" s="124"/>
      <c r="F33" s="124"/>
      <c r="G33" s="124"/>
      <c r="H33" s="79"/>
      <c r="I33" s="79"/>
      <c r="J33" s="91"/>
      <c r="K33" s="79">
        <f t="shared" si="7"/>
        <v>0</v>
      </c>
      <c r="L33" s="79">
        <f t="shared" si="1"/>
        <v>0</v>
      </c>
      <c r="M33" s="79">
        <f t="shared" si="2"/>
        <v>0</v>
      </c>
      <c r="N33" s="79">
        <f t="shared" si="2"/>
        <v>0</v>
      </c>
      <c r="O33" s="79">
        <f t="shared" si="3"/>
        <v>0</v>
      </c>
      <c r="P33" s="79">
        <f t="shared" si="4"/>
        <v>0</v>
      </c>
      <c r="Q33" s="79">
        <f t="shared" si="5"/>
        <v>0</v>
      </c>
      <c r="R33" s="91">
        <f t="shared" si="6"/>
        <v>0</v>
      </c>
    </row>
    <row r="34" spans="1:18">
      <c r="A34" s="122">
        <v>30</v>
      </c>
      <c r="B34" s="224"/>
      <c r="C34" s="225"/>
      <c r="D34" s="123"/>
      <c r="E34" s="124"/>
      <c r="F34" s="124"/>
      <c r="G34" s="124"/>
      <c r="H34" s="79"/>
      <c r="I34" s="79"/>
      <c r="J34" s="91"/>
      <c r="K34" s="79">
        <f t="shared" si="7"/>
        <v>0</v>
      </c>
      <c r="L34" s="79">
        <f t="shared" si="1"/>
        <v>0</v>
      </c>
      <c r="M34" s="79">
        <f t="shared" si="2"/>
        <v>0</v>
      </c>
      <c r="N34" s="79">
        <f t="shared" si="2"/>
        <v>0</v>
      </c>
      <c r="O34" s="79">
        <f t="shared" si="3"/>
        <v>0</v>
      </c>
      <c r="P34" s="79">
        <f t="shared" si="4"/>
        <v>0</v>
      </c>
      <c r="Q34" s="79">
        <f t="shared" si="5"/>
        <v>0</v>
      </c>
      <c r="R34" s="91">
        <f t="shared" si="6"/>
        <v>0</v>
      </c>
    </row>
    <row r="35" spans="1:18" ht="15.75" thickBot="1">
      <c r="A35" s="122"/>
      <c r="B35" s="224"/>
      <c r="C35" s="225"/>
      <c r="D35" s="123"/>
      <c r="E35" s="124"/>
      <c r="F35" s="124"/>
      <c r="G35" s="124"/>
      <c r="H35" s="79"/>
      <c r="I35" s="79"/>
      <c r="J35" s="91"/>
      <c r="K35" s="79">
        <f t="shared" si="7"/>
        <v>0</v>
      </c>
      <c r="L35" s="79">
        <f t="shared" si="7"/>
        <v>0</v>
      </c>
      <c r="M35" s="79">
        <f t="shared" ref="M35:N35" si="8">F35*1000</f>
        <v>0</v>
      </c>
      <c r="N35" s="79">
        <f t="shared" si="8"/>
        <v>0</v>
      </c>
      <c r="O35" s="79">
        <f t="shared" si="3"/>
        <v>0</v>
      </c>
      <c r="P35" s="79">
        <f t="shared" si="4"/>
        <v>0</v>
      </c>
      <c r="Q35" s="79">
        <f t="shared" si="5"/>
        <v>0</v>
      </c>
      <c r="R35" s="91">
        <f t="shared" si="6"/>
        <v>0</v>
      </c>
    </row>
    <row r="36" spans="1:18" ht="15.75" thickBot="1">
      <c r="D36" s="105">
        <f>SUM(D5:D35)</f>
        <v>0</v>
      </c>
      <c r="E36" s="125">
        <f>SUM(E5:E35)</f>
        <v>0</v>
      </c>
      <c r="F36" s="125">
        <f>SUM(F5:F35)</f>
        <v>0</v>
      </c>
      <c r="G36" s="125"/>
      <c r="H36" s="126">
        <f>SUM(H5:H35)</f>
        <v>28</v>
      </c>
      <c r="I36" s="127"/>
      <c r="J36" s="125"/>
      <c r="K36" s="125">
        <f>SUM(K5:K35)</f>
        <v>0</v>
      </c>
      <c r="L36" s="125">
        <f t="shared" ref="L36:Q36" si="9">SUM(L5:L35)</f>
        <v>0</v>
      </c>
      <c r="M36" s="125">
        <f t="shared" si="9"/>
        <v>0</v>
      </c>
      <c r="N36" s="125">
        <f t="shared" si="9"/>
        <v>0</v>
      </c>
      <c r="O36" s="125">
        <f t="shared" si="9"/>
        <v>604.8000000000003</v>
      </c>
      <c r="P36" s="125">
        <f t="shared" si="9"/>
        <v>0</v>
      </c>
      <c r="Q36" s="125">
        <f t="shared" si="9"/>
        <v>0</v>
      </c>
      <c r="R36" s="128">
        <f>SUM(R5:R35)</f>
        <v>604.8000000000003</v>
      </c>
    </row>
  </sheetData>
  <mergeCells count="47">
    <mergeCell ref="B31:C31"/>
    <mergeCell ref="B32:C32"/>
    <mergeCell ref="B33:C33"/>
    <mergeCell ref="B34:C34"/>
    <mergeCell ref="B35:C35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O3:O4"/>
    <mergeCell ref="P3:P4"/>
    <mergeCell ref="Q3:Q4"/>
    <mergeCell ref="R3:R4"/>
    <mergeCell ref="B5:C5"/>
    <mergeCell ref="M3:M4"/>
    <mergeCell ref="N3:N4"/>
    <mergeCell ref="B6:C6"/>
    <mergeCell ref="I3:I4"/>
    <mergeCell ref="J3:J4"/>
    <mergeCell ref="K3:K4"/>
    <mergeCell ref="L3:L4"/>
    <mergeCell ref="G3:G4"/>
    <mergeCell ref="A3:A4"/>
    <mergeCell ref="B3:C4"/>
    <mergeCell ref="D3:D4"/>
    <mergeCell ref="E3:E4"/>
    <mergeCell ref="F3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0309-6836-491F-BBD3-9A189ED343FB}">
  <sheetPr codeName="Лист15"/>
  <dimension ref="A1:S39"/>
  <sheetViews>
    <sheetView topLeftCell="A16" zoomScaleNormal="100" workbookViewId="0">
      <selection activeCell="K26" sqref="K26:K34"/>
    </sheetView>
  </sheetViews>
  <sheetFormatPr defaultRowHeight="15"/>
  <cols>
    <col min="1" max="1" width="8.3984375" style="2" bestFit="1" customWidth="1"/>
    <col min="2" max="11" width="8.796875" style="2"/>
    <col min="12" max="12" width="8.19921875" style="2" customWidth="1"/>
    <col min="13" max="13" width="8.796875" style="2"/>
    <col min="14" max="14" width="8.19921875" style="2" customWidth="1"/>
    <col min="15" max="16" width="8.796875" style="2"/>
    <col min="17" max="17" width="8.19921875" style="2" customWidth="1"/>
    <col min="18" max="18" width="7.8984375" style="2" customWidth="1"/>
    <col min="19" max="19" width="10.5" style="2" customWidth="1"/>
    <col min="20" max="16384" width="8.796875" style="2"/>
  </cols>
  <sheetData>
    <row r="1" spans="1:19" ht="15.75">
      <c r="A1" s="129">
        <f>S39</f>
        <v>578.40000000000009</v>
      </c>
      <c r="C1" s="130"/>
      <c r="D1" s="130"/>
      <c r="E1" s="130"/>
      <c r="F1" s="130"/>
      <c r="G1" s="130"/>
      <c r="H1" s="231"/>
      <c r="I1" s="231"/>
      <c r="J1" s="130"/>
      <c r="K1" s="130"/>
      <c r="S1" s="131"/>
    </row>
    <row r="2" spans="1:19" ht="15.75">
      <c r="C2" s="130"/>
      <c r="D2" s="130"/>
      <c r="E2" s="130"/>
      <c r="F2" s="130"/>
      <c r="G2" s="130"/>
      <c r="H2" s="231"/>
      <c r="I2" s="231"/>
      <c r="J2" s="130"/>
      <c r="K2" s="130"/>
      <c r="S2" s="131"/>
    </row>
    <row r="3" spans="1:19" ht="16.5" thickBot="1">
      <c r="C3" s="130"/>
      <c r="D3" s="130"/>
      <c r="E3" s="130"/>
      <c r="F3" s="130"/>
      <c r="G3" s="130"/>
      <c r="H3" s="231"/>
      <c r="I3" s="231"/>
      <c r="J3" s="130"/>
      <c r="K3" s="130"/>
      <c r="S3" s="131"/>
    </row>
    <row r="4" spans="1:19" ht="21.75" thickBot="1">
      <c r="A4" s="232" t="s">
        <v>159</v>
      </c>
      <c r="B4" s="233"/>
      <c r="C4" s="233"/>
      <c r="D4" s="233"/>
      <c r="E4" s="233"/>
      <c r="F4" s="233"/>
      <c r="G4" s="233"/>
      <c r="H4" s="234"/>
      <c r="I4" s="234"/>
      <c r="J4" s="130"/>
      <c r="K4" s="130"/>
      <c r="L4" s="228" t="s">
        <v>160</v>
      </c>
      <c r="M4" s="229"/>
      <c r="N4" s="229"/>
      <c r="O4" s="229"/>
      <c r="P4" s="229"/>
      <c r="Q4" s="229"/>
      <c r="R4" s="229"/>
      <c r="S4" s="230"/>
    </row>
    <row r="5" spans="1:19">
      <c r="A5" s="237" t="s">
        <v>1</v>
      </c>
      <c r="B5" s="238"/>
      <c r="C5" s="235" t="s">
        <v>161</v>
      </c>
      <c r="D5" s="235" t="s">
        <v>162</v>
      </c>
      <c r="E5" s="235" t="s">
        <v>163</v>
      </c>
      <c r="F5" s="235" t="s">
        <v>164</v>
      </c>
      <c r="G5" s="235" t="s">
        <v>165</v>
      </c>
      <c r="H5" s="235"/>
      <c r="I5" s="235"/>
      <c r="J5" s="235" t="s">
        <v>166</v>
      </c>
      <c r="K5" s="132" t="s">
        <v>4</v>
      </c>
      <c r="L5" s="244" t="s">
        <v>167</v>
      </c>
      <c r="M5" s="235" t="s">
        <v>162</v>
      </c>
      <c r="N5" s="235" t="s">
        <v>163</v>
      </c>
      <c r="O5" s="235" t="s">
        <v>164</v>
      </c>
      <c r="P5" s="235" t="s">
        <v>168</v>
      </c>
      <c r="Q5" s="235" t="s">
        <v>8</v>
      </c>
      <c r="R5" s="235" t="s">
        <v>4</v>
      </c>
      <c r="S5" s="246" t="s">
        <v>18</v>
      </c>
    </row>
    <row r="6" spans="1:19" ht="15.75" thickBot="1">
      <c r="A6" s="239"/>
      <c r="B6" s="240"/>
      <c r="C6" s="236"/>
      <c r="D6" s="236"/>
      <c r="E6" s="236"/>
      <c r="F6" s="236"/>
      <c r="G6" s="236"/>
      <c r="H6" s="243"/>
      <c r="I6" s="243"/>
      <c r="J6" s="236"/>
      <c r="K6" s="133">
        <v>1</v>
      </c>
      <c r="L6" s="245"/>
      <c r="M6" s="236"/>
      <c r="N6" s="236"/>
      <c r="O6" s="236"/>
      <c r="P6" s="236"/>
      <c r="Q6" s="236"/>
      <c r="R6" s="236"/>
      <c r="S6" s="247"/>
    </row>
    <row r="7" spans="1:19">
      <c r="A7" s="241">
        <v>46054</v>
      </c>
      <c r="B7" s="242"/>
      <c r="C7" s="134"/>
      <c r="D7" s="134"/>
      <c r="E7" s="135"/>
      <c r="F7" s="135"/>
      <c r="G7" s="136"/>
      <c r="H7" s="136"/>
      <c r="I7" s="135"/>
      <c r="J7" s="135">
        <v>0</v>
      </c>
      <c r="K7" s="137">
        <v>1</v>
      </c>
      <c r="L7" s="138">
        <f t="shared" ref="L7:L37" si="0">C7*168</f>
        <v>0</v>
      </c>
      <c r="M7" s="138">
        <f t="shared" ref="M7:M37" si="1">D7*4</f>
        <v>0</v>
      </c>
      <c r="N7" s="138">
        <f t="shared" ref="N7:N37" si="2">E7*168</f>
        <v>0</v>
      </c>
      <c r="O7" s="138">
        <f t="shared" ref="O7:P37" si="3">F7*4</f>
        <v>0</v>
      </c>
      <c r="P7" s="138">
        <f t="shared" si="3"/>
        <v>0</v>
      </c>
      <c r="Q7" s="138">
        <f>J7*600</f>
        <v>0</v>
      </c>
      <c r="R7" s="138">
        <f>K7*21.6</f>
        <v>21.6</v>
      </c>
      <c r="S7" s="139">
        <f t="shared" ref="S7:S37" si="4">SUM(L7:R7)</f>
        <v>21.6</v>
      </c>
    </row>
    <row r="8" spans="1:19">
      <c r="A8" s="241">
        <v>46055</v>
      </c>
      <c r="B8" s="242"/>
      <c r="C8" s="137"/>
      <c r="D8" s="137"/>
      <c r="E8" s="140"/>
      <c r="F8" s="140"/>
      <c r="G8" s="141"/>
      <c r="H8" s="141"/>
      <c r="I8" s="140"/>
      <c r="J8" s="135">
        <v>0</v>
      </c>
      <c r="K8" s="137">
        <v>1</v>
      </c>
      <c r="L8" s="138">
        <f t="shared" si="0"/>
        <v>0</v>
      </c>
      <c r="M8" s="138">
        <f t="shared" si="1"/>
        <v>0</v>
      </c>
      <c r="N8" s="138">
        <f t="shared" si="2"/>
        <v>0</v>
      </c>
      <c r="O8" s="138">
        <f t="shared" si="3"/>
        <v>0</v>
      </c>
      <c r="P8" s="138">
        <f t="shared" si="3"/>
        <v>0</v>
      </c>
      <c r="Q8" s="138">
        <f t="shared" ref="Q8:Q37" si="5">J8*600</f>
        <v>0</v>
      </c>
      <c r="R8" s="138">
        <f t="shared" ref="R8:R37" si="6">K8*21.6</f>
        <v>21.6</v>
      </c>
      <c r="S8" s="142">
        <f t="shared" si="4"/>
        <v>21.6</v>
      </c>
    </row>
    <row r="9" spans="1:19">
      <c r="A9" s="241">
        <v>46056</v>
      </c>
      <c r="B9" s="242"/>
      <c r="C9" s="137"/>
      <c r="D9" s="137"/>
      <c r="E9" s="140"/>
      <c r="F9" s="140"/>
      <c r="G9" s="141"/>
      <c r="H9" s="141"/>
      <c r="I9" s="140"/>
      <c r="J9" s="135">
        <v>0</v>
      </c>
      <c r="K9" s="137">
        <v>1</v>
      </c>
      <c r="L9" s="138">
        <f t="shared" si="0"/>
        <v>0</v>
      </c>
      <c r="M9" s="138">
        <f t="shared" si="1"/>
        <v>0</v>
      </c>
      <c r="N9" s="138">
        <f t="shared" si="2"/>
        <v>0</v>
      </c>
      <c r="O9" s="138">
        <f t="shared" si="3"/>
        <v>0</v>
      </c>
      <c r="P9" s="138">
        <f t="shared" si="3"/>
        <v>0</v>
      </c>
      <c r="Q9" s="138">
        <f t="shared" si="5"/>
        <v>0</v>
      </c>
      <c r="R9" s="138">
        <f t="shared" si="6"/>
        <v>21.6</v>
      </c>
      <c r="S9" s="142">
        <f t="shared" si="4"/>
        <v>21.6</v>
      </c>
    </row>
    <row r="10" spans="1:19">
      <c r="A10" s="241">
        <v>46057</v>
      </c>
      <c r="B10" s="242"/>
      <c r="C10" s="137"/>
      <c r="D10" s="137"/>
      <c r="E10" s="140"/>
      <c r="F10" s="140"/>
      <c r="G10" s="141"/>
      <c r="H10" s="141"/>
      <c r="I10" s="140"/>
      <c r="J10" s="135">
        <v>0</v>
      </c>
      <c r="K10" s="137">
        <v>1</v>
      </c>
      <c r="L10" s="138">
        <f t="shared" si="0"/>
        <v>0</v>
      </c>
      <c r="M10" s="138">
        <f t="shared" si="1"/>
        <v>0</v>
      </c>
      <c r="N10" s="138">
        <f t="shared" si="2"/>
        <v>0</v>
      </c>
      <c r="O10" s="138">
        <f t="shared" si="3"/>
        <v>0</v>
      </c>
      <c r="P10" s="138">
        <f t="shared" si="3"/>
        <v>0</v>
      </c>
      <c r="Q10" s="138">
        <f t="shared" si="5"/>
        <v>0</v>
      </c>
      <c r="R10" s="138">
        <f t="shared" si="6"/>
        <v>21.6</v>
      </c>
      <c r="S10" s="142">
        <f t="shared" si="4"/>
        <v>21.6</v>
      </c>
    </row>
    <row r="11" spans="1:19">
      <c r="A11" s="241">
        <v>46058</v>
      </c>
      <c r="B11" s="242"/>
      <c r="C11" s="137"/>
      <c r="D11" s="137"/>
      <c r="E11" s="140"/>
      <c r="F11" s="140"/>
      <c r="G11" s="141"/>
      <c r="H11" s="141"/>
      <c r="I11" s="140"/>
      <c r="J11" s="135">
        <v>0</v>
      </c>
      <c r="K11" s="137">
        <v>1</v>
      </c>
      <c r="L11" s="138">
        <f t="shared" si="0"/>
        <v>0</v>
      </c>
      <c r="M11" s="138">
        <f t="shared" si="1"/>
        <v>0</v>
      </c>
      <c r="N11" s="138">
        <f t="shared" si="2"/>
        <v>0</v>
      </c>
      <c r="O11" s="138">
        <f t="shared" si="3"/>
        <v>0</v>
      </c>
      <c r="P11" s="138">
        <f t="shared" si="3"/>
        <v>0</v>
      </c>
      <c r="Q11" s="138">
        <f t="shared" si="5"/>
        <v>0</v>
      </c>
      <c r="R11" s="138">
        <f t="shared" si="6"/>
        <v>21.6</v>
      </c>
      <c r="S11" s="142">
        <f t="shared" si="4"/>
        <v>21.6</v>
      </c>
    </row>
    <row r="12" spans="1:19">
      <c r="A12" s="241">
        <v>46059</v>
      </c>
      <c r="B12" s="242"/>
      <c r="C12" s="137"/>
      <c r="D12" s="137"/>
      <c r="E12" s="140"/>
      <c r="F12" s="140"/>
      <c r="G12" s="141"/>
      <c r="H12" s="141"/>
      <c r="I12" s="140"/>
      <c r="J12" s="135">
        <v>0</v>
      </c>
      <c r="K12" s="137">
        <v>1</v>
      </c>
      <c r="L12" s="138">
        <f t="shared" si="0"/>
        <v>0</v>
      </c>
      <c r="M12" s="138">
        <f t="shared" si="1"/>
        <v>0</v>
      </c>
      <c r="N12" s="138">
        <f t="shared" si="2"/>
        <v>0</v>
      </c>
      <c r="O12" s="138">
        <f t="shared" si="3"/>
        <v>0</v>
      </c>
      <c r="P12" s="138">
        <f t="shared" si="3"/>
        <v>0</v>
      </c>
      <c r="Q12" s="138">
        <f t="shared" si="5"/>
        <v>0</v>
      </c>
      <c r="R12" s="138">
        <f t="shared" si="6"/>
        <v>21.6</v>
      </c>
      <c r="S12" s="142">
        <f t="shared" si="4"/>
        <v>21.6</v>
      </c>
    </row>
    <row r="13" spans="1:19">
      <c r="A13" s="241">
        <v>46060</v>
      </c>
      <c r="B13" s="242"/>
      <c r="C13" s="137"/>
      <c r="D13" s="137"/>
      <c r="E13" s="140"/>
      <c r="F13" s="140"/>
      <c r="G13" s="141"/>
      <c r="H13" s="141"/>
      <c r="I13" s="140"/>
      <c r="J13" s="135">
        <v>0</v>
      </c>
      <c r="K13" s="137">
        <v>1</v>
      </c>
      <c r="L13" s="138">
        <f t="shared" si="0"/>
        <v>0</v>
      </c>
      <c r="M13" s="138">
        <f t="shared" si="1"/>
        <v>0</v>
      </c>
      <c r="N13" s="138">
        <f t="shared" si="2"/>
        <v>0</v>
      </c>
      <c r="O13" s="138">
        <f t="shared" si="3"/>
        <v>0</v>
      </c>
      <c r="P13" s="138">
        <f t="shared" si="3"/>
        <v>0</v>
      </c>
      <c r="Q13" s="138">
        <f t="shared" si="5"/>
        <v>0</v>
      </c>
      <c r="R13" s="138">
        <f t="shared" si="6"/>
        <v>21.6</v>
      </c>
      <c r="S13" s="142">
        <f t="shared" si="4"/>
        <v>21.6</v>
      </c>
    </row>
    <row r="14" spans="1:19">
      <c r="A14" s="241">
        <v>46061</v>
      </c>
      <c r="B14" s="242"/>
      <c r="C14" s="137"/>
      <c r="D14" s="137"/>
      <c r="E14" s="140"/>
      <c r="F14" s="140"/>
      <c r="G14" s="141"/>
      <c r="H14" s="141"/>
      <c r="I14" s="140"/>
      <c r="J14" s="135">
        <v>0</v>
      </c>
      <c r="K14" s="137">
        <v>1</v>
      </c>
      <c r="L14" s="138">
        <f t="shared" si="0"/>
        <v>0</v>
      </c>
      <c r="M14" s="138">
        <f t="shared" si="1"/>
        <v>0</v>
      </c>
      <c r="N14" s="138">
        <f t="shared" si="2"/>
        <v>0</v>
      </c>
      <c r="O14" s="138">
        <f t="shared" si="3"/>
        <v>0</v>
      </c>
      <c r="P14" s="138">
        <f t="shared" si="3"/>
        <v>0</v>
      </c>
      <c r="Q14" s="138">
        <f t="shared" si="5"/>
        <v>0</v>
      </c>
      <c r="R14" s="138">
        <f t="shared" si="6"/>
        <v>21.6</v>
      </c>
      <c r="S14" s="142">
        <f t="shared" si="4"/>
        <v>21.6</v>
      </c>
    </row>
    <row r="15" spans="1:19">
      <c r="A15" s="241">
        <v>46062</v>
      </c>
      <c r="B15" s="242"/>
      <c r="C15" s="137"/>
      <c r="D15" s="137"/>
      <c r="E15" s="140"/>
      <c r="F15" s="140"/>
      <c r="G15" s="141"/>
      <c r="H15" s="141"/>
      <c r="I15" s="140"/>
      <c r="J15" s="135">
        <v>0</v>
      </c>
      <c r="K15" s="137">
        <v>1</v>
      </c>
      <c r="L15" s="138">
        <f t="shared" si="0"/>
        <v>0</v>
      </c>
      <c r="M15" s="138">
        <f t="shared" si="1"/>
        <v>0</v>
      </c>
      <c r="N15" s="138">
        <f t="shared" si="2"/>
        <v>0</v>
      </c>
      <c r="O15" s="138">
        <f t="shared" si="3"/>
        <v>0</v>
      </c>
      <c r="P15" s="138">
        <f t="shared" si="3"/>
        <v>0</v>
      </c>
      <c r="Q15" s="138">
        <f t="shared" si="5"/>
        <v>0</v>
      </c>
      <c r="R15" s="138">
        <f t="shared" si="6"/>
        <v>21.6</v>
      </c>
      <c r="S15" s="142">
        <f t="shared" si="4"/>
        <v>21.6</v>
      </c>
    </row>
    <row r="16" spans="1:19">
      <c r="A16" s="241">
        <v>46063</v>
      </c>
      <c r="B16" s="242"/>
      <c r="C16" s="137"/>
      <c r="D16" s="137"/>
      <c r="E16" s="140"/>
      <c r="F16" s="140"/>
      <c r="G16" s="141"/>
      <c r="H16" s="141"/>
      <c r="I16" s="140"/>
      <c r="J16" s="135">
        <v>0</v>
      </c>
      <c r="K16" s="137">
        <v>1</v>
      </c>
      <c r="L16" s="138">
        <f t="shared" si="0"/>
        <v>0</v>
      </c>
      <c r="M16" s="138">
        <f t="shared" si="1"/>
        <v>0</v>
      </c>
      <c r="N16" s="138">
        <f t="shared" si="2"/>
        <v>0</v>
      </c>
      <c r="O16" s="138">
        <f t="shared" si="3"/>
        <v>0</v>
      </c>
      <c r="P16" s="138">
        <f t="shared" si="3"/>
        <v>0</v>
      </c>
      <c r="Q16" s="138">
        <f t="shared" si="5"/>
        <v>0</v>
      </c>
      <c r="R16" s="138">
        <f t="shared" si="6"/>
        <v>21.6</v>
      </c>
      <c r="S16" s="142">
        <f t="shared" si="4"/>
        <v>21.6</v>
      </c>
    </row>
    <row r="17" spans="1:19">
      <c r="A17" s="241">
        <v>46064</v>
      </c>
      <c r="B17" s="242"/>
      <c r="C17" s="137"/>
      <c r="D17" s="137"/>
      <c r="E17" s="140"/>
      <c r="F17" s="140"/>
      <c r="G17" s="141"/>
      <c r="H17" s="141"/>
      <c r="I17" s="140"/>
      <c r="J17" s="135">
        <v>0</v>
      </c>
      <c r="K17" s="137">
        <v>1</v>
      </c>
      <c r="L17" s="138">
        <f t="shared" si="0"/>
        <v>0</v>
      </c>
      <c r="M17" s="138">
        <f t="shared" si="1"/>
        <v>0</v>
      </c>
      <c r="N17" s="138">
        <f t="shared" si="2"/>
        <v>0</v>
      </c>
      <c r="O17" s="138">
        <f t="shared" si="3"/>
        <v>0</v>
      </c>
      <c r="P17" s="138">
        <f t="shared" si="3"/>
        <v>0</v>
      </c>
      <c r="Q17" s="138">
        <f t="shared" si="5"/>
        <v>0</v>
      </c>
      <c r="R17" s="138">
        <f t="shared" si="6"/>
        <v>21.6</v>
      </c>
      <c r="S17" s="142">
        <f t="shared" si="4"/>
        <v>21.6</v>
      </c>
    </row>
    <row r="18" spans="1:19">
      <c r="A18" s="241">
        <v>46065</v>
      </c>
      <c r="B18" s="242"/>
      <c r="C18" s="143"/>
      <c r="D18" s="143"/>
      <c r="E18" s="144"/>
      <c r="F18" s="144"/>
      <c r="G18" s="145"/>
      <c r="H18" s="145"/>
      <c r="I18" s="144"/>
      <c r="J18" s="135">
        <v>0</v>
      </c>
      <c r="K18" s="137">
        <v>1</v>
      </c>
      <c r="L18" s="138">
        <f t="shared" si="0"/>
        <v>0</v>
      </c>
      <c r="M18" s="138">
        <f t="shared" si="1"/>
        <v>0</v>
      </c>
      <c r="N18" s="138">
        <f t="shared" si="2"/>
        <v>0</v>
      </c>
      <c r="O18" s="138">
        <f t="shared" si="3"/>
        <v>0</v>
      </c>
      <c r="P18" s="138">
        <f t="shared" si="3"/>
        <v>0</v>
      </c>
      <c r="Q18" s="138">
        <f t="shared" si="5"/>
        <v>0</v>
      </c>
      <c r="R18" s="138">
        <f t="shared" si="6"/>
        <v>21.6</v>
      </c>
      <c r="S18" s="142">
        <f t="shared" si="4"/>
        <v>21.6</v>
      </c>
    </row>
    <row r="19" spans="1:19">
      <c r="A19" s="241">
        <v>46066</v>
      </c>
      <c r="B19" s="242"/>
      <c r="C19" s="137"/>
      <c r="D19" s="137"/>
      <c r="E19" s="140"/>
      <c r="F19" s="140"/>
      <c r="G19" s="141"/>
      <c r="H19" s="141"/>
      <c r="I19" s="140"/>
      <c r="J19" s="135">
        <v>0</v>
      </c>
      <c r="K19" s="137">
        <v>1</v>
      </c>
      <c r="L19" s="138">
        <f t="shared" si="0"/>
        <v>0</v>
      </c>
      <c r="M19" s="138">
        <f t="shared" si="1"/>
        <v>0</v>
      </c>
      <c r="N19" s="138">
        <f t="shared" si="2"/>
        <v>0</v>
      </c>
      <c r="O19" s="138">
        <f t="shared" si="3"/>
        <v>0</v>
      </c>
      <c r="P19" s="138">
        <f t="shared" si="3"/>
        <v>0</v>
      </c>
      <c r="Q19" s="138">
        <f t="shared" si="5"/>
        <v>0</v>
      </c>
      <c r="R19" s="138">
        <f t="shared" si="6"/>
        <v>21.6</v>
      </c>
      <c r="S19" s="142">
        <f t="shared" si="4"/>
        <v>21.6</v>
      </c>
    </row>
    <row r="20" spans="1:19">
      <c r="A20" s="241">
        <v>46067</v>
      </c>
      <c r="B20" s="242"/>
      <c r="C20" s="137"/>
      <c r="D20" s="137"/>
      <c r="E20" s="140"/>
      <c r="F20" s="140"/>
      <c r="G20" s="141"/>
      <c r="H20" s="141"/>
      <c r="I20" s="140"/>
      <c r="J20" s="135">
        <v>0</v>
      </c>
      <c r="K20" s="137">
        <v>1</v>
      </c>
      <c r="L20" s="138">
        <f t="shared" si="0"/>
        <v>0</v>
      </c>
      <c r="M20" s="138">
        <f t="shared" si="1"/>
        <v>0</v>
      </c>
      <c r="N20" s="138">
        <f t="shared" si="2"/>
        <v>0</v>
      </c>
      <c r="O20" s="138">
        <f t="shared" si="3"/>
        <v>0</v>
      </c>
      <c r="P20" s="138">
        <f t="shared" si="3"/>
        <v>0</v>
      </c>
      <c r="Q20" s="138">
        <f t="shared" si="5"/>
        <v>0</v>
      </c>
      <c r="R20" s="138">
        <f t="shared" si="6"/>
        <v>21.6</v>
      </c>
      <c r="S20" s="142">
        <f t="shared" si="4"/>
        <v>21.6</v>
      </c>
    </row>
    <row r="21" spans="1:19">
      <c r="A21" s="241">
        <v>46068</v>
      </c>
      <c r="B21" s="242"/>
      <c r="C21" s="137"/>
      <c r="D21" s="137"/>
      <c r="E21" s="140"/>
      <c r="F21" s="140"/>
      <c r="G21" s="141"/>
      <c r="H21" s="141"/>
      <c r="I21" s="140"/>
      <c r="J21" s="135">
        <v>0</v>
      </c>
      <c r="K21" s="137">
        <v>1</v>
      </c>
      <c r="L21" s="138">
        <f t="shared" si="0"/>
        <v>0</v>
      </c>
      <c r="M21" s="138">
        <f t="shared" si="1"/>
        <v>0</v>
      </c>
      <c r="N21" s="138">
        <f t="shared" si="2"/>
        <v>0</v>
      </c>
      <c r="O21" s="138">
        <f t="shared" si="3"/>
        <v>0</v>
      </c>
      <c r="P21" s="138">
        <f t="shared" si="3"/>
        <v>0</v>
      </c>
      <c r="Q21" s="138">
        <f t="shared" si="5"/>
        <v>0</v>
      </c>
      <c r="R21" s="138">
        <f t="shared" si="6"/>
        <v>21.6</v>
      </c>
      <c r="S21" s="142">
        <f t="shared" si="4"/>
        <v>21.6</v>
      </c>
    </row>
    <row r="22" spans="1:19">
      <c r="A22" s="241">
        <v>46069</v>
      </c>
      <c r="B22" s="242"/>
      <c r="C22" s="137"/>
      <c r="D22" s="137"/>
      <c r="E22" s="140"/>
      <c r="F22" s="140"/>
      <c r="G22" s="141"/>
      <c r="H22" s="141"/>
      <c r="I22" s="140"/>
      <c r="J22" s="135">
        <v>0</v>
      </c>
      <c r="K22" s="137">
        <v>1</v>
      </c>
      <c r="L22" s="138">
        <f t="shared" si="0"/>
        <v>0</v>
      </c>
      <c r="M22" s="138">
        <f t="shared" si="1"/>
        <v>0</v>
      </c>
      <c r="N22" s="138">
        <f t="shared" si="2"/>
        <v>0</v>
      </c>
      <c r="O22" s="138">
        <f t="shared" si="3"/>
        <v>0</v>
      </c>
      <c r="P22" s="138">
        <f t="shared" si="3"/>
        <v>0</v>
      </c>
      <c r="Q22" s="138">
        <f t="shared" si="5"/>
        <v>0</v>
      </c>
      <c r="R22" s="138">
        <f t="shared" si="6"/>
        <v>21.6</v>
      </c>
      <c r="S22" s="142">
        <f t="shared" si="4"/>
        <v>21.6</v>
      </c>
    </row>
    <row r="23" spans="1:19">
      <c r="A23" s="241">
        <v>46070</v>
      </c>
      <c r="B23" s="242"/>
      <c r="C23" s="137"/>
      <c r="D23" s="137"/>
      <c r="E23" s="140"/>
      <c r="F23" s="140"/>
      <c r="G23" s="141"/>
      <c r="H23" s="141"/>
      <c r="I23" s="140"/>
      <c r="J23" s="135">
        <v>0</v>
      </c>
      <c r="K23" s="137">
        <v>1</v>
      </c>
      <c r="L23" s="138">
        <f t="shared" si="0"/>
        <v>0</v>
      </c>
      <c r="M23" s="138">
        <f t="shared" si="1"/>
        <v>0</v>
      </c>
      <c r="N23" s="138">
        <f t="shared" si="2"/>
        <v>0</v>
      </c>
      <c r="O23" s="138">
        <f t="shared" si="3"/>
        <v>0</v>
      </c>
      <c r="P23" s="138">
        <f t="shared" si="3"/>
        <v>0</v>
      </c>
      <c r="Q23" s="138">
        <f t="shared" si="5"/>
        <v>0</v>
      </c>
      <c r="R23" s="138">
        <f t="shared" si="6"/>
        <v>21.6</v>
      </c>
      <c r="S23" s="142">
        <f t="shared" si="4"/>
        <v>21.6</v>
      </c>
    </row>
    <row r="24" spans="1:19">
      <c r="A24" s="241">
        <v>46071</v>
      </c>
      <c r="B24" s="242"/>
      <c r="C24" s="137"/>
      <c r="D24" s="137"/>
      <c r="E24" s="140"/>
      <c r="F24" s="140"/>
      <c r="G24" s="141"/>
      <c r="H24" s="141"/>
      <c r="I24" s="140"/>
      <c r="J24" s="135">
        <v>0</v>
      </c>
      <c r="K24" s="137">
        <v>1</v>
      </c>
      <c r="L24" s="138">
        <f t="shared" si="0"/>
        <v>0</v>
      </c>
      <c r="M24" s="138">
        <f t="shared" si="1"/>
        <v>0</v>
      </c>
      <c r="N24" s="138">
        <f t="shared" si="2"/>
        <v>0</v>
      </c>
      <c r="O24" s="138">
        <f t="shared" si="3"/>
        <v>0</v>
      </c>
      <c r="P24" s="138">
        <f t="shared" si="3"/>
        <v>0</v>
      </c>
      <c r="Q24" s="138">
        <f t="shared" si="5"/>
        <v>0</v>
      </c>
      <c r="R24" s="138">
        <f t="shared" si="6"/>
        <v>21.6</v>
      </c>
      <c r="S24" s="142">
        <f t="shared" si="4"/>
        <v>21.6</v>
      </c>
    </row>
    <row r="25" spans="1:19">
      <c r="A25" s="241">
        <v>46072</v>
      </c>
      <c r="B25" s="242"/>
      <c r="C25" s="137"/>
      <c r="D25" s="137"/>
      <c r="E25" s="140">
        <v>1</v>
      </c>
      <c r="F25" s="140"/>
      <c r="G25" s="141"/>
      <c r="H25" s="141"/>
      <c r="I25" s="140"/>
      <c r="J25" s="135">
        <v>0</v>
      </c>
      <c r="K25" s="137">
        <v>1</v>
      </c>
      <c r="L25" s="138">
        <f t="shared" si="0"/>
        <v>0</v>
      </c>
      <c r="M25" s="138">
        <f t="shared" si="1"/>
        <v>0</v>
      </c>
      <c r="N25" s="138">
        <f t="shared" si="2"/>
        <v>168</v>
      </c>
      <c r="O25" s="138">
        <f t="shared" si="3"/>
        <v>0</v>
      </c>
      <c r="P25" s="138">
        <f t="shared" si="3"/>
        <v>0</v>
      </c>
      <c r="Q25" s="138">
        <f t="shared" si="5"/>
        <v>0</v>
      </c>
      <c r="R25" s="138">
        <f t="shared" si="6"/>
        <v>21.6</v>
      </c>
      <c r="S25" s="142">
        <f t="shared" si="4"/>
        <v>189.6</v>
      </c>
    </row>
    <row r="26" spans="1:19">
      <c r="A26" s="241">
        <v>46073</v>
      </c>
      <c r="B26" s="242"/>
      <c r="C26" s="137"/>
      <c r="D26" s="137"/>
      <c r="E26" s="140"/>
      <c r="F26" s="140"/>
      <c r="G26" s="141"/>
      <c r="H26" s="141"/>
      <c r="I26" s="140"/>
      <c r="J26" s="135">
        <v>0</v>
      </c>
      <c r="K26" s="137">
        <v>0</v>
      </c>
      <c r="L26" s="138">
        <f t="shared" si="0"/>
        <v>0</v>
      </c>
      <c r="M26" s="138">
        <f t="shared" si="1"/>
        <v>0</v>
      </c>
      <c r="N26" s="138">
        <f t="shared" si="2"/>
        <v>0</v>
      </c>
      <c r="O26" s="138">
        <f t="shared" si="3"/>
        <v>0</v>
      </c>
      <c r="P26" s="138">
        <f t="shared" si="3"/>
        <v>0</v>
      </c>
      <c r="Q26" s="138">
        <f t="shared" si="5"/>
        <v>0</v>
      </c>
      <c r="R26" s="138">
        <f t="shared" si="6"/>
        <v>0</v>
      </c>
      <c r="S26" s="142">
        <f t="shared" si="4"/>
        <v>0</v>
      </c>
    </row>
    <row r="27" spans="1:19">
      <c r="A27" s="241">
        <v>46074</v>
      </c>
      <c r="B27" s="242"/>
      <c r="C27" s="137"/>
      <c r="D27" s="137"/>
      <c r="E27" s="140"/>
      <c r="F27" s="140"/>
      <c r="G27" s="141"/>
      <c r="H27" s="141"/>
      <c r="I27" s="140"/>
      <c r="J27" s="135">
        <v>0</v>
      </c>
      <c r="K27" s="137">
        <v>0</v>
      </c>
      <c r="L27" s="138">
        <f t="shared" si="0"/>
        <v>0</v>
      </c>
      <c r="M27" s="138">
        <f t="shared" si="1"/>
        <v>0</v>
      </c>
      <c r="N27" s="138">
        <f t="shared" si="2"/>
        <v>0</v>
      </c>
      <c r="O27" s="138">
        <f t="shared" si="3"/>
        <v>0</v>
      </c>
      <c r="P27" s="138">
        <f t="shared" si="3"/>
        <v>0</v>
      </c>
      <c r="Q27" s="138">
        <f t="shared" si="5"/>
        <v>0</v>
      </c>
      <c r="R27" s="138">
        <f t="shared" si="6"/>
        <v>0</v>
      </c>
      <c r="S27" s="142">
        <f t="shared" si="4"/>
        <v>0</v>
      </c>
    </row>
    <row r="28" spans="1:19">
      <c r="A28" s="241">
        <v>46075</v>
      </c>
      <c r="B28" s="242"/>
      <c r="C28" s="137"/>
      <c r="D28" s="137"/>
      <c r="E28" s="140"/>
      <c r="F28" s="140"/>
      <c r="G28" s="141"/>
      <c r="H28" s="141"/>
      <c r="I28" s="140"/>
      <c r="J28" s="135">
        <v>0</v>
      </c>
      <c r="K28" s="137">
        <v>0</v>
      </c>
      <c r="L28" s="138">
        <f t="shared" si="0"/>
        <v>0</v>
      </c>
      <c r="M28" s="138">
        <f t="shared" si="1"/>
        <v>0</v>
      </c>
      <c r="N28" s="138">
        <f t="shared" si="2"/>
        <v>0</v>
      </c>
      <c r="O28" s="138">
        <f t="shared" si="3"/>
        <v>0</v>
      </c>
      <c r="P28" s="138">
        <f t="shared" si="3"/>
        <v>0</v>
      </c>
      <c r="Q28" s="138">
        <f t="shared" si="5"/>
        <v>0</v>
      </c>
      <c r="R28" s="138">
        <f t="shared" si="6"/>
        <v>0</v>
      </c>
      <c r="S28" s="142">
        <f t="shared" si="4"/>
        <v>0</v>
      </c>
    </row>
    <row r="29" spans="1:19">
      <c r="A29" s="241">
        <v>46076</v>
      </c>
      <c r="B29" s="242"/>
      <c r="C29" s="146"/>
      <c r="D29" s="146"/>
      <c r="E29" s="146"/>
      <c r="F29" s="146"/>
      <c r="G29" s="146"/>
      <c r="H29" s="146"/>
      <c r="I29" s="146"/>
      <c r="J29" s="135">
        <v>0</v>
      </c>
      <c r="K29" s="137">
        <v>0</v>
      </c>
      <c r="L29" s="138">
        <f t="shared" si="0"/>
        <v>0</v>
      </c>
      <c r="M29" s="138">
        <f t="shared" si="1"/>
        <v>0</v>
      </c>
      <c r="N29" s="138">
        <f t="shared" si="2"/>
        <v>0</v>
      </c>
      <c r="O29" s="138">
        <f t="shared" si="3"/>
        <v>0</v>
      </c>
      <c r="P29" s="138">
        <f t="shared" si="3"/>
        <v>0</v>
      </c>
      <c r="Q29" s="138">
        <f t="shared" si="5"/>
        <v>0</v>
      </c>
      <c r="R29" s="138">
        <f t="shared" si="6"/>
        <v>0</v>
      </c>
      <c r="S29" s="142">
        <f t="shared" si="4"/>
        <v>0</v>
      </c>
    </row>
    <row r="30" spans="1:19">
      <c r="A30" s="241">
        <v>46077</v>
      </c>
      <c r="B30" s="242"/>
      <c r="C30" s="137"/>
      <c r="D30" s="137"/>
      <c r="E30" s="140"/>
      <c r="F30" s="140"/>
      <c r="G30" s="141"/>
      <c r="H30" s="141"/>
      <c r="I30" s="140"/>
      <c r="J30" s="135">
        <v>0</v>
      </c>
      <c r="K30" s="137">
        <v>0</v>
      </c>
      <c r="L30" s="138">
        <f t="shared" si="0"/>
        <v>0</v>
      </c>
      <c r="M30" s="138">
        <f t="shared" si="1"/>
        <v>0</v>
      </c>
      <c r="N30" s="138">
        <f t="shared" si="2"/>
        <v>0</v>
      </c>
      <c r="O30" s="138">
        <f t="shared" si="3"/>
        <v>0</v>
      </c>
      <c r="P30" s="138">
        <f t="shared" si="3"/>
        <v>0</v>
      </c>
      <c r="Q30" s="138">
        <f t="shared" si="5"/>
        <v>0</v>
      </c>
      <c r="R30" s="138">
        <f t="shared" si="6"/>
        <v>0</v>
      </c>
      <c r="S30" s="142">
        <f t="shared" si="4"/>
        <v>0</v>
      </c>
    </row>
    <row r="31" spans="1:19">
      <c r="A31" s="241">
        <v>46078</v>
      </c>
      <c r="B31" s="242"/>
      <c r="C31" s="137"/>
      <c r="D31" s="137"/>
      <c r="E31" s="140"/>
      <c r="F31" s="140"/>
      <c r="G31" s="141"/>
      <c r="H31" s="141"/>
      <c r="I31" s="140"/>
      <c r="J31" s="135">
        <v>0</v>
      </c>
      <c r="K31" s="137">
        <v>0</v>
      </c>
      <c r="L31" s="138">
        <f t="shared" si="0"/>
        <v>0</v>
      </c>
      <c r="M31" s="138">
        <f t="shared" si="1"/>
        <v>0</v>
      </c>
      <c r="N31" s="138">
        <f t="shared" si="2"/>
        <v>0</v>
      </c>
      <c r="O31" s="138">
        <f t="shared" si="3"/>
        <v>0</v>
      </c>
      <c r="P31" s="138">
        <f t="shared" si="3"/>
        <v>0</v>
      </c>
      <c r="Q31" s="138">
        <f t="shared" si="5"/>
        <v>0</v>
      </c>
      <c r="R31" s="138">
        <f t="shared" si="6"/>
        <v>0</v>
      </c>
      <c r="S31" s="142">
        <f t="shared" si="4"/>
        <v>0</v>
      </c>
    </row>
    <row r="32" spans="1:19">
      <c r="A32" s="241">
        <v>46079</v>
      </c>
      <c r="B32" s="242"/>
      <c r="C32" s="137"/>
      <c r="D32" s="137"/>
      <c r="E32" s="140"/>
      <c r="F32" s="140"/>
      <c r="G32" s="141"/>
      <c r="H32" s="141"/>
      <c r="I32" s="140"/>
      <c r="J32" s="135">
        <v>0</v>
      </c>
      <c r="K32" s="137">
        <v>0</v>
      </c>
      <c r="L32" s="138">
        <f t="shared" si="0"/>
        <v>0</v>
      </c>
      <c r="M32" s="138">
        <f t="shared" si="1"/>
        <v>0</v>
      </c>
      <c r="N32" s="138">
        <f t="shared" si="2"/>
        <v>0</v>
      </c>
      <c r="O32" s="138">
        <f t="shared" si="3"/>
        <v>0</v>
      </c>
      <c r="P32" s="138">
        <f t="shared" si="3"/>
        <v>0</v>
      </c>
      <c r="Q32" s="138">
        <f t="shared" si="5"/>
        <v>0</v>
      </c>
      <c r="R32" s="138">
        <f t="shared" si="6"/>
        <v>0</v>
      </c>
      <c r="S32" s="142">
        <f t="shared" si="4"/>
        <v>0</v>
      </c>
    </row>
    <row r="33" spans="1:19">
      <c r="A33" s="241">
        <v>46080</v>
      </c>
      <c r="B33" s="242"/>
      <c r="C33" s="137"/>
      <c r="D33" s="137"/>
      <c r="E33" s="140"/>
      <c r="F33" s="140"/>
      <c r="G33" s="141"/>
      <c r="H33" s="141"/>
      <c r="I33" s="140"/>
      <c r="J33" s="135">
        <v>0</v>
      </c>
      <c r="K33" s="137">
        <v>0</v>
      </c>
      <c r="L33" s="138">
        <f t="shared" si="0"/>
        <v>0</v>
      </c>
      <c r="M33" s="138">
        <f t="shared" si="1"/>
        <v>0</v>
      </c>
      <c r="N33" s="138">
        <f t="shared" si="2"/>
        <v>0</v>
      </c>
      <c r="O33" s="138">
        <f t="shared" si="3"/>
        <v>0</v>
      </c>
      <c r="P33" s="138">
        <f t="shared" si="3"/>
        <v>0</v>
      </c>
      <c r="Q33" s="138">
        <f t="shared" si="5"/>
        <v>0</v>
      </c>
      <c r="R33" s="138">
        <f t="shared" si="6"/>
        <v>0</v>
      </c>
      <c r="S33" s="142">
        <f t="shared" si="4"/>
        <v>0</v>
      </c>
    </row>
    <row r="34" spans="1:19">
      <c r="A34" s="241">
        <v>46081</v>
      </c>
      <c r="B34" s="242"/>
      <c r="C34" s="137"/>
      <c r="D34" s="137"/>
      <c r="E34" s="140"/>
      <c r="F34" s="140"/>
      <c r="G34" s="140"/>
      <c r="H34" s="141"/>
      <c r="I34" s="140"/>
      <c r="J34" s="135">
        <v>0</v>
      </c>
      <c r="K34" s="137">
        <v>0</v>
      </c>
      <c r="L34" s="138">
        <f t="shared" si="0"/>
        <v>0</v>
      </c>
      <c r="M34" s="138">
        <f t="shared" si="1"/>
        <v>0</v>
      </c>
      <c r="N34" s="138">
        <f t="shared" si="2"/>
        <v>0</v>
      </c>
      <c r="O34" s="138">
        <f t="shared" si="3"/>
        <v>0</v>
      </c>
      <c r="P34" s="138">
        <f t="shared" si="3"/>
        <v>0</v>
      </c>
      <c r="Q34" s="138">
        <f t="shared" si="5"/>
        <v>0</v>
      </c>
      <c r="R34" s="138">
        <f t="shared" si="6"/>
        <v>0</v>
      </c>
      <c r="S34" s="142">
        <f t="shared" si="4"/>
        <v>0</v>
      </c>
    </row>
    <row r="35" spans="1:19">
      <c r="A35" s="241"/>
      <c r="B35" s="242"/>
      <c r="C35" s="137"/>
      <c r="D35" s="137"/>
      <c r="E35" s="140"/>
      <c r="F35" s="140"/>
      <c r="G35" s="140"/>
      <c r="H35" s="141"/>
      <c r="I35" s="140"/>
      <c r="J35" s="135"/>
      <c r="K35" s="137"/>
      <c r="L35" s="138">
        <f t="shared" si="0"/>
        <v>0</v>
      </c>
      <c r="M35" s="138">
        <f t="shared" si="1"/>
        <v>0</v>
      </c>
      <c r="N35" s="138">
        <f t="shared" si="2"/>
        <v>0</v>
      </c>
      <c r="O35" s="138">
        <f t="shared" si="3"/>
        <v>0</v>
      </c>
      <c r="P35" s="138">
        <f t="shared" si="3"/>
        <v>0</v>
      </c>
      <c r="Q35" s="138">
        <f t="shared" si="5"/>
        <v>0</v>
      </c>
      <c r="R35" s="138">
        <f t="shared" si="6"/>
        <v>0</v>
      </c>
      <c r="S35" s="142">
        <f t="shared" si="4"/>
        <v>0</v>
      </c>
    </row>
    <row r="36" spans="1:19">
      <c r="A36" s="241"/>
      <c r="B36" s="242"/>
      <c r="C36" s="137"/>
      <c r="D36" s="137"/>
      <c r="E36" s="140"/>
      <c r="F36" s="140"/>
      <c r="G36" s="140"/>
      <c r="H36" s="141"/>
      <c r="I36" s="140"/>
      <c r="J36" s="135"/>
      <c r="K36" s="137"/>
      <c r="L36" s="138">
        <f t="shared" si="0"/>
        <v>0</v>
      </c>
      <c r="M36" s="138">
        <f t="shared" si="1"/>
        <v>0</v>
      </c>
      <c r="N36" s="138">
        <f t="shared" si="2"/>
        <v>0</v>
      </c>
      <c r="O36" s="138">
        <f t="shared" si="3"/>
        <v>0</v>
      </c>
      <c r="P36" s="138">
        <f t="shared" si="3"/>
        <v>0</v>
      </c>
      <c r="Q36" s="138">
        <f t="shared" si="5"/>
        <v>0</v>
      </c>
      <c r="R36" s="138">
        <f t="shared" si="6"/>
        <v>0</v>
      </c>
      <c r="S36" s="142">
        <f t="shared" si="4"/>
        <v>0</v>
      </c>
    </row>
    <row r="37" spans="1:19" ht="15.75" thickBot="1">
      <c r="A37" s="241"/>
      <c r="B37" s="242"/>
      <c r="C37" s="137"/>
      <c r="D37" s="137"/>
      <c r="E37" s="140"/>
      <c r="F37" s="140"/>
      <c r="G37" s="140"/>
      <c r="H37" s="141"/>
      <c r="I37" s="140"/>
      <c r="J37" s="135"/>
      <c r="K37" s="137"/>
      <c r="L37" s="138">
        <f t="shared" si="0"/>
        <v>0</v>
      </c>
      <c r="M37" s="138">
        <f t="shared" si="1"/>
        <v>0</v>
      </c>
      <c r="N37" s="138">
        <f t="shared" si="2"/>
        <v>0</v>
      </c>
      <c r="O37" s="138">
        <f t="shared" si="3"/>
        <v>0</v>
      </c>
      <c r="P37" s="138">
        <f t="shared" si="3"/>
        <v>0</v>
      </c>
      <c r="Q37" s="138">
        <f t="shared" si="5"/>
        <v>0</v>
      </c>
      <c r="R37" s="138">
        <f t="shared" si="6"/>
        <v>0</v>
      </c>
      <c r="S37" s="142">
        <f t="shared" si="4"/>
        <v>0</v>
      </c>
    </row>
    <row r="38" spans="1:19" ht="15.75" thickBot="1">
      <c r="A38" s="248" t="s">
        <v>26</v>
      </c>
      <c r="B38" s="249"/>
      <c r="C38" s="147">
        <f t="shared" ref="C38:K38" si="7">SUM(C7:C37)</f>
        <v>0</v>
      </c>
      <c r="D38" s="147">
        <f t="shared" si="7"/>
        <v>0</v>
      </c>
      <c r="E38" s="147">
        <f t="shared" si="7"/>
        <v>1</v>
      </c>
      <c r="F38" s="147">
        <f t="shared" si="7"/>
        <v>0</v>
      </c>
      <c r="G38" s="147">
        <f t="shared" si="7"/>
        <v>0</v>
      </c>
      <c r="H38" s="147">
        <f t="shared" si="7"/>
        <v>0</v>
      </c>
      <c r="I38" s="147">
        <f t="shared" si="7"/>
        <v>0</v>
      </c>
      <c r="J38" s="147">
        <f t="shared" si="7"/>
        <v>0</v>
      </c>
      <c r="K38" s="147">
        <f t="shared" si="7"/>
        <v>19</v>
      </c>
      <c r="L38" s="148">
        <f>SUM(L7:L37)</f>
        <v>0</v>
      </c>
      <c r="M38" s="148">
        <f t="shared" ref="M38:R38" si="8">SUM(M7:M37)</f>
        <v>0</v>
      </c>
      <c r="N38" s="148">
        <f t="shared" si="8"/>
        <v>168</v>
      </c>
      <c r="O38" s="148">
        <f t="shared" si="8"/>
        <v>0</v>
      </c>
      <c r="P38" s="148">
        <f t="shared" si="8"/>
        <v>0</v>
      </c>
      <c r="Q38" s="148">
        <f t="shared" si="8"/>
        <v>0</v>
      </c>
      <c r="R38" s="149">
        <f t="shared" si="8"/>
        <v>410.40000000000015</v>
      </c>
      <c r="S38" s="150">
        <f>SUM(S7:S37)</f>
        <v>578.40000000000009</v>
      </c>
    </row>
    <row r="39" spans="1:19" ht="15.75">
      <c r="C39" s="130"/>
      <c r="D39" s="130"/>
      <c r="E39" s="130"/>
      <c r="F39" s="130"/>
      <c r="G39" s="130"/>
      <c r="H39" s="130"/>
      <c r="I39" s="130"/>
      <c r="J39" s="130"/>
      <c r="K39" s="130"/>
      <c r="R39" s="151" t="s">
        <v>26</v>
      </c>
      <c r="S39" s="152">
        <f>S38</f>
        <v>578.40000000000009</v>
      </c>
    </row>
  </sheetData>
  <mergeCells count="55">
    <mergeCell ref="A38:B38"/>
    <mergeCell ref="A32:B32"/>
    <mergeCell ref="A33:B33"/>
    <mergeCell ref="A34:B34"/>
    <mergeCell ref="A35:B35"/>
    <mergeCell ref="A36:B36"/>
    <mergeCell ref="A37:B37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O5:O6"/>
    <mergeCell ref="P5:P6"/>
    <mergeCell ref="Q5:Q6"/>
    <mergeCell ref="R5:R6"/>
    <mergeCell ref="S5:S6"/>
    <mergeCell ref="A7:B7"/>
    <mergeCell ref="H5:H6"/>
    <mergeCell ref="I5:I6"/>
    <mergeCell ref="J5:J6"/>
    <mergeCell ref="L5:L6"/>
    <mergeCell ref="M5:M6"/>
    <mergeCell ref="N5:N6"/>
    <mergeCell ref="A5:B6"/>
    <mergeCell ref="C5:C6"/>
    <mergeCell ref="D5:D6"/>
    <mergeCell ref="E5:E6"/>
    <mergeCell ref="F5:F6"/>
    <mergeCell ref="G5:G6"/>
    <mergeCell ref="L4:S4"/>
    <mergeCell ref="H1:I1"/>
    <mergeCell ref="H2:I2"/>
    <mergeCell ref="H3:I3"/>
    <mergeCell ref="A4:G4"/>
    <mergeCell ref="H4:I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8328-83C1-44D9-B2BB-072C261D864B}">
  <sheetPr codeName="Лист16"/>
  <dimension ref="A1:K36"/>
  <sheetViews>
    <sheetView topLeftCell="A13" workbookViewId="0">
      <selection activeCell="G33" sqref="G33"/>
    </sheetView>
  </sheetViews>
  <sheetFormatPr defaultRowHeight="15"/>
  <cols>
    <col min="1" max="4" width="8.796875" style="2"/>
    <col min="5" max="5" width="9" style="2" customWidth="1"/>
    <col min="6" max="10" width="8.796875" style="2"/>
    <col min="11" max="11" width="7.59765625" style="2" customWidth="1"/>
    <col min="12" max="16384" width="8.796875" style="2"/>
  </cols>
  <sheetData>
    <row r="1" spans="1:11">
      <c r="A1" s="153">
        <f>K36</f>
        <v>21478</v>
      </c>
    </row>
    <row r="2" spans="1:11" ht="21">
      <c r="A2" s="201" t="s">
        <v>169</v>
      </c>
      <c r="B2" s="201"/>
      <c r="C2" s="201"/>
      <c r="D2" s="201"/>
      <c r="E2" s="201"/>
      <c r="F2" s="201"/>
      <c r="G2" s="201"/>
      <c r="H2" s="201"/>
    </row>
    <row r="3" spans="1:11" ht="28.9" customHeight="1">
      <c r="A3" s="202" t="s">
        <v>0</v>
      </c>
      <c r="B3" s="204" t="s">
        <v>1</v>
      </c>
      <c r="C3" s="205"/>
      <c r="D3" s="202" t="s">
        <v>148</v>
      </c>
      <c r="E3" s="250" t="s">
        <v>170</v>
      </c>
      <c r="F3" s="251"/>
      <c r="G3" s="4" t="s">
        <v>4</v>
      </c>
      <c r="H3" s="202" t="s">
        <v>11</v>
      </c>
      <c r="I3" s="202" t="s">
        <v>171</v>
      </c>
      <c r="J3" s="202" t="s">
        <v>13</v>
      </c>
      <c r="K3" s="202" t="s">
        <v>18</v>
      </c>
    </row>
    <row r="4" spans="1:11" ht="30">
      <c r="A4" s="203"/>
      <c r="B4" s="206"/>
      <c r="C4" s="207"/>
      <c r="D4" s="203"/>
      <c r="E4" s="154" t="s">
        <v>172</v>
      </c>
      <c r="F4" s="154" t="s">
        <v>173</v>
      </c>
      <c r="G4" s="5" t="s">
        <v>158</v>
      </c>
      <c r="H4" s="203"/>
      <c r="I4" s="203"/>
      <c r="J4" s="203"/>
      <c r="K4" s="203"/>
    </row>
    <row r="5" spans="1:11">
      <c r="A5" s="6">
        <v>1</v>
      </c>
      <c r="B5" s="199">
        <v>46054</v>
      </c>
      <c r="C5" s="200"/>
      <c r="D5" s="121"/>
      <c r="E5" s="79"/>
      <c r="F5" s="79"/>
      <c r="G5" s="155">
        <v>49</v>
      </c>
      <c r="H5" s="79">
        <f t="shared" ref="H5:H35" si="0">SUM(D5*60)</f>
        <v>0</v>
      </c>
      <c r="I5" s="79">
        <f>SUM(E5*25+F5*7)</f>
        <v>0</v>
      </c>
      <c r="J5" s="79">
        <f t="shared" ref="J5:J35" si="1">SUM(G5*15)</f>
        <v>735</v>
      </c>
      <c r="K5" s="79">
        <f t="shared" ref="K5:K35" si="2">SUM(H5:J5)</f>
        <v>735</v>
      </c>
    </row>
    <row r="6" spans="1:11">
      <c r="A6" s="6">
        <v>2</v>
      </c>
      <c r="B6" s="199">
        <v>46055</v>
      </c>
      <c r="C6" s="200"/>
      <c r="D6" s="121"/>
      <c r="E6" s="79"/>
      <c r="F6" s="79"/>
      <c r="G6" s="155">
        <v>49</v>
      </c>
      <c r="H6" s="79">
        <f t="shared" si="0"/>
        <v>0</v>
      </c>
      <c r="I6" s="79">
        <f>SUM(E6*25+F6*7)</f>
        <v>0</v>
      </c>
      <c r="J6" s="79">
        <f t="shared" si="1"/>
        <v>735</v>
      </c>
      <c r="K6" s="79">
        <f t="shared" si="2"/>
        <v>735</v>
      </c>
    </row>
    <row r="7" spans="1:11">
      <c r="A7" s="6">
        <v>3</v>
      </c>
      <c r="B7" s="199">
        <v>46056</v>
      </c>
      <c r="C7" s="200"/>
      <c r="D7" s="121"/>
      <c r="E7" s="79"/>
      <c r="F7" s="79"/>
      <c r="G7" s="155">
        <v>49</v>
      </c>
      <c r="H7" s="79">
        <f t="shared" si="0"/>
        <v>0</v>
      </c>
      <c r="I7" s="79">
        <f>SUM(E7*25+F7*7)</f>
        <v>0</v>
      </c>
      <c r="J7" s="79">
        <f t="shared" si="1"/>
        <v>735</v>
      </c>
      <c r="K7" s="79">
        <f t="shared" si="2"/>
        <v>735</v>
      </c>
    </row>
    <row r="8" spans="1:11">
      <c r="A8" s="6">
        <v>4</v>
      </c>
      <c r="B8" s="199">
        <v>46057</v>
      </c>
      <c r="C8" s="200"/>
      <c r="D8" s="121"/>
      <c r="E8" s="79"/>
      <c r="F8" s="79"/>
      <c r="G8" s="155">
        <v>49</v>
      </c>
      <c r="H8" s="79">
        <f t="shared" si="0"/>
        <v>0</v>
      </c>
      <c r="I8" s="79">
        <f t="shared" ref="I8:I35" si="3">SUM(E8*25+F8*7)</f>
        <v>0</v>
      </c>
      <c r="J8" s="79">
        <f t="shared" si="1"/>
        <v>735</v>
      </c>
      <c r="K8" s="79">
        <f t="shared" si="2"/>
        <v>735</v>
      </c>
    </row>
    <row r="9" spans="1:11">
      <c r="A9" s="6">
        <v>5</v>
      </c>
      <c r="B9" s="199">
        <v>46058</v>
      </c>
      <c r="C9" s="200"/>
      <c r="D9" s="121"/>
      <c r="E9" s="79"/>
      <c r="F9" s="79"/>
      <c r="G9" s="155">
        <v>49</v>
      </c>
      <c r="H9" s="79">
        <f t="shared" si="0"/>
        <v>0</v>
      </c>
      <c r="I9" s="79">
        <f t="shared" si="3"/>
        <v>0</v>
      </c>
      <c r="J9" s="79">
        <f t="shared" si="1"/>
        <v>735</v>
      </c>
      <c r="K9" s="79">
        <f t="shared" si="2"/>
        <v>735</v>
      </c>
    </row>
    <row r="10" spans="1:11">
      <c r="A10" s="6">
        <v>6</v>
      </c>
      <c r="B10" s="199">
        <v>46059</v>
      </c>
      <c r="C10" s="200"/>
      <c r="D10" s="121"/>
      <c r="E10" s="79"/>
      <c r="F10" s="79"/>
      <c r="G10" s="155">
        <v>49</v>
      </c>
      <c r="H10" s="79">
        <f t="shared" si="0"/>
        <v>0</v>
      </c>
      <c r="I10" s="79">
        <f t="shared" si="3"/>
        <v>0</v>
      </c>
      <c r="J10" s="79">
        <f t="shared" si="1"/>
        <v>735</v>
      </c>
      <c r="K10" s="79">
        <f t="shared" si="2"/>
        <v>735</v>
      </c>
    </row>
    <row r="11" spans="1:11">
      <c r="A11" s="6">
        <v>7</v>
      </c>
      <c r="B11" s="199">
        <v>46060</v>
      </c>
      <c r="C11" s="200"/>
      <c r="D11" s="121"/>
      <c r="E11" s="79"/>
      <c r="F11" s="79"/>
      <c r="G11" s="155">
        <v>49</v>
      </c>
      <c r="H11" s="79">
        <f t="shared" si="0"/>
        <v>0</v>
      </c>
      <c r="I11" s="79">
        <f t="shared" si="3"/>
        <v>0</v>
      </c>
      <c r="J11" s="79">
        <f t="shared" si="1"/>
        <v>735</v>
      </c>
      <c r="K11" s="79">
        <f t="shared" si="2"/>
        <v>735</v>
      </c>
    </row>
    <row r="12" spans="1:11">
      <c r="A12" s="6">
        <v>8</v>
      </c>
      <c r="B12" s="199">
        <v>46061</v>
      </c>
      <c r="C12" s="200"/>
      <c r="D12" s="121"/>
      <c r="E12" s="79"/>
      <c r="F12" s="79"/>
      <c r="G12" s="155">
        <v>49</v>
      </c>
      <c r="H12" s="79">
        <f t="shared" si="0"/>
        <v>0</v>
      </c>
      <c r="I12" s="79">
        <f t="shared" si="3"/>
        <v>0</v>
      </c>
      <c r="J12" s="79">
        <f t="shared" si="1"/>
        <v>735</v>
      </c>
      <c r="K12" s="79">
        <f t="shared" si="2"/>
        <v>735</v>
      </c>
    </row>
    <row r="13" spans="1:11">
      <c r="A13" s="6">
        <v>9</v>
      </c>
      <c r="B13" s="199">
        <v>46062</v>
      </c>
      <c r="C13" s="200"/>
      <c r="D13" s="121"/>
      <c r="E13" s="79"/>
      <c r="F13" s="79"/>
      <c r="G13" s="155">
        <v>49</v>
      </c>
      <c r="H13" s="79">
        <f t="shared" si="0"/>
        <v>0</v>
      </c>
      <c r="I13" s="79">
        <f t="shared" si="3"/>
        <v>0</v>
      </c>
      <c r="J13" s="79">
        <f t="shared" si="1"/>
        <v>735</v>
      </c>
      <c r="K13" s="79">
        <f t="shared" si="2"/>
        <v>735</v>
      </c>
    </row>
    <row r="14" spans="1:11">
      <c r="A14" s="6">
        <v>10</v>
      </c>
      <c r="B14" s="199">
        <v>46063</v>
      </c>
      <c r="C14" s="200"/>
      <c r="D14" s="121"/>
      <c r="E14" s="79">
        <v>10</v>
      </c>
      <c r="F14" s="79"/>
      <c r="G14" s="155">
        <v>49</v>
      </c>
      <c r="H14" s="79">
        <f t="shared" si="0"/>
        <v>0</v>
      </c>
      <c r="I14" s="79">
        <f t="shared" si="3"/>
        <v>250</v>
      </c>
      <c r="J14" s="79">
        <f t="shared" si="1"/>
        <v>735</v>
      </c>
      <c r="K14" s="79">
        <f t="shared" si="2"/>
        <v>985</v>
      </c>
    </row>
    <row r="15" spans="1:11">
      <c r="A15" s="6">
        <v>11</v>
      </c>
      <c r="B15" s="199">
        <v>46064</v>
      </c>
      <c r="C15" s="200"/>
      <c r="D15" s="121"/>
      <c r="E15" s="79"/>
      <c r="F15" s="79"/>
      <c r="G15" s="155">
        <v>48</v>
      </c>
      <c r="H15" s="79">
        <f t="shared" si="0"/>
        <v>0</v>
      </c>
      <c r="I15" s="79">
        <f t="shared" si="3"/>
        <v>0</v>
      </c>
      <c r="J15" s="79">
        <f t="shared" si="1"/>
        <v>720</v>
      </c>
      <c r="K15" s="79">
        <f t="shared" si="2"/>
        <v>720</v>
      </c>
    </row>
    <row r="16" spans="1:11">
      <c r="A16" s="6">
        <v>12</v>
      </c>
      <c r="B16" s="199">
        <v>46065</v>
      </c>
      <c r="C16" s="200"/>
      <c r="D16" s="121"/>
      <c r="E16" s="79"/>
      <c r="F16" s="79"/>
      <c r="G16" s="155">
        <v>48</v>
      </c>
      <c r="H16" s="79">
        <f t="shared" si="0"/>
        <v>0</v>
      </c>
      <c r="I16" s="79">
        <f t="shared" si="3"/>
        <v>0</v>
      </c>
      <c r="J16" s="79">
        <f t="shared" si="1"/>
        <v>720</v>
      </c>
      <c r="K16" s="79">
        <f t="shared" si="2"/>
        <v>720</v>
      </c>
    </row>
    <row r="17" spans="1:11">
      <c r="A17" s="6">
        <v>13</v>
      </c>
      <c r="B17" s="199">
        <v>46066</v>
      </c>
      <c r="C17" s="200"/>
      <c r="D17" s="121"/>
      <c r="E17" s="79"/>
      <c r="F17" s="79"/>
      <c r="G17" s="155">
        <v>48</v>
      </c>
      <c r="H17" s="79">
        <f t="shared" si="0"/>
        <v>0</v>
      </c>
      <c r="I17" s="79">
        <f t="shared" si="3"/>
        <v>0</v>
      </c>
      <c r="J17" s="79">
        <f t="shared" si="1"/>
        <v>720</v>
      </c>
      <c r="K17" s="79">
        <f t="shared" si="2"/>
        <v>720</v>
      </c>
    </row>
    <row r="18" spans="1:11">
      <c r="A18" s="6">
        <v>14</v>
      </c>
      <c r="B18" s="199">
        <v>46067</v>
      </c>
      <c r="C18" s="200"/>
      <c r="D18" s="121"/>
      <c r="E18" s="79"/>
      <c r="F18" s="79"/>
      <c r="G18" s="155">
        <v>48</v>
      </c>
      <c r="H18" s="79">
        <f t="shared" si="0"/>
        <v>0</v>
      </c>
      <c r="I18" s="79">
        <f t="shared" si="3"/>
        <v>0</v>
      </c>
      <c r="J18" s="79">
        <f t="shared" si="1"/>
        <v>720</v>
      </c>
      <c r="K18" s="79">
        <f t="shared" si="2"/>
        <v>720</v>
      </c>
    </row>
    <row r="19" spans="1:11">
      <c r="A19" s="6">
        <v>15</v>
      </c>
      <c r="B19" s="199">
        <v>46068</v>
      </c>
      <c r="C19" s="200"/>
      <c r="D19" s="121"/>
      <c r="E19" s="79"/>
      <c r="F19" s="79"/>
      <c r="G19" s="155">
        <v>48</v>
      </c>
      <c r="H19" s="79">
        <f t="shared" si="0"/>
        <v>0</v>
      </c>
      <c r="I19" s="79">
        <f t="shared" si="3"/>
        <v>0</v>
      </c>
      <c r="J19" s="79">
        <f t="shared" si="1"/>
        <v>720</v>
      </c>
      <c r="K19" s="79">
        <f t="shared" si="2"/>
        <v>720</v>
      </c>
    </row>
    <row r="20" spans="1:11">
      <c r="A20" s="6">
        <v>16</v>
      </c>
      <c r="B20" s="199">
        <v>46069</v>
      </c>
      <c r="C20" s="200"/>
      <c r="D20" s="121"/>
      <c r="E20" s="79"/>
      <c r="F20" s="79"/>
      <c r="G20" s="155">
        <v>48</v>
      </c>
      <c r="H20" s="79">
        <f t="shared" si="0"/>
        <v>0</v>
      </c>
      <c r="I20" s="79">
        <f t="shared" si="3"/>
        <v>0</v>
      </c>
      <c r="J20" s="79">
        <f t="shared" si="1"/>
        <v>720</v>
      </c>
      <c r="K20" s="79">
        <f t="shared" si="2"/>
        <v>720</v>
      </c>
    </row>
    <row r="21" spans="1:11">
      <c r="A21" s="6">
        <v>17</v>
      </c>
      <c r="B21" s="199">
        <v>46070</v>
      </c>
      <c r="C21" s="200"/>
      <c r="D21" s="121"/>
      <c r="E21" s="79"/>
      <c r="F21" s="79"/>
      <c r="G21" s="155">
        <v>48</v>
      </c>
      <c r="H21" s="79">
        <f t="shared" si="0"/>
        <v>0</v>
      </c>
      <c r="I21" s="79">
        <f t="shared" si="3"/>
        <v>0</v>
      </c>
      <c r="J21" s="79">
        <f t="shared" si="1"/>
        <v>720</v>
      </c>
      <c r="K21" s="79">
        <f t="shared" si="2"/>
        <v>720</v>
      </c>
    </row>
    <row r="22" spans="1:11">
      <c r="A22" s="6">
        <v>18</v>
      </c>
      <c r="B22" s="199">
        <v>46071</v>
      </c>
      <c r="C22" s="200"/>
      <c r="D22" s="121"/>
      <c r="E22" s="79"/>
      <c r="F22" s="79"/>
      <c r="G22" s="155">
        <v>48</v>
      </c>
      <c r="H22" s="79">
        <f t="shared" si="0"/>
        <v>0</v>
      </c>
      <c r="I22" s="79">
        <f t="shared" si="3"/>
        <v>0</v>
      </c>
      <c r="J22" s="79">
        <f t="shared" si="1"/>
        <v>720</v>
      </c>
      <c r="K22" s="79">
        <f t="shared" si="2"/>
        <v>720</v>
      </c>
    </row>
    <row r="23" spans="1:11">
      <c r="A23" s="6">
        <v>19</v>
      </c>
      <c r="B23" s="199">
        <v>46072</v>
      </c>
      <c r="C23" s="200"/>
      <c r="D23" s="121"/>
      <c r="E23" s="79"/>
      <c r="F23" s="79"/>
      <c r="G23" s="155">
        <v>48</v>
      </c>
      <c r="H23" s="79">
        <f t="shared" si="0"/>
        <v>0</v>
      </c>
      <c r="I23" s="79">
        <f t="shared" si="3"/>
        <v>0</v>
      </c>
      <c r="J23" s="79">
        <f t="shared" si="1"/>
        <v>720</v>
      </c>
      <c r="K23" s="79">
        <f t="shared" si="2"/>
        <v>720</v>
      </c>
    </row>
    <row r="24" spans="1:11">
      <c r="A24" s="6">
        <v>20</v>
      </c>
      <c r="B24" s="199">
        <v>46073</v>
      </c>
      <c r="C24" s="200"/>
      <c r="D24" s="121"/>
      <c r="E24" s="79">
        <v>14</v>
      </c>
      <c r="F24" s="79">
        <v>4</v>
      </c>
      <c r="G24" s="155">
        <v>48</v>
      </c>
      <c r="H24" s="79">
        <f t="shared" si="0"/>
        <v>0</v>
      </c>
      <c r="I24" s="79">
        <f t="shared" si="3"/>
        <v>378</v>
      </c>
      <c r="J24" s="79">
        <f t="shared" si="1"/>
        <v>720</v>
      </c>
      <c r="K24" s="79">
        <f t="shared" si="2"/>
        <v>1098</v>
      </c>
    </row>
    <row r="25" spans="1:11">
      <c r="A25" s="6">
        <v>21</v>
      </c>
      <c r="B25" s="199">
        <v>46074</v>
      </c>
      <c r="C25" s="200"/>
      <c r="D25" s="121"/>
      <c r="E25" s="79"/>
      <c r="F25" s="79"/>
      <c r="G25" s="155">
        <v>45</v>
      </c>
      <c r="H25" s="79">
        <f t="shared" si="0"/>
        <v>0</v>
      </c>
      <c r="I25" s="79">
        <f t="shared" si="3"/>
        <v>0</v>
      </c>
      <c r="J25" s="79">
        <f t="shared" si="1"/>
        <v>675</v>
      </c>
      <c r="K25" s="79">
        <f t="shared" si="2"/>
        <v>675</v>
      </c>
    </row>
    <row r="26" spans="1:11">
      <c r="A26" s="6">
        <v>22</v>
      </c>
      <c r="B26" s="199">
        <v>46075</v>
      </c>
      <c r="C26" s="200"/>
      <c r="D26" s="121"/>
      <c r="E26" s="79"/>
      <c r="F26" s="79"/>
      <c r="G26" s="155">
        <v>45</v>
      </c>
      <c r="H26" s="79">
        <f t="shared" si="0"/>
        <v>0</v>
      </c>
      <c r="I26" s="79">
        <f t="shared" si="3"/>
        <v>0</v>
      </c>
      <c r="J26" s="79">
        <f t="shared" si="1"/>
        <v>675</v>
      </c>
      <c r="K26" s="79">
        <f t="shared" si="2"/>
        <v>675</v>
      </c>
    </row>
    <row r="27" spans="1:11">
      <c r="A27" s="6">
        <v>23</v>
      </c>
      <c r="B27" s="199">
        <v>46076</v>
      </c>
      <c r="C27" s="200"/>
      <c r="D27" s="121"/>
      <c r="E27" s="79"/>
      <c r="F27" s="79"/>
      <c r="G27" s="155">
        <v>45</v>
      </c>
      <c r="H27" s="79">
        <f t="shared" si="0"/>
        <v>0</v>
      </c>
      <c r="I27" s="79">
        <f t="shared" si="3"/>
        <v>0</v>
      </c>
      <c r="J27" s="79">
        <f t="shared" si="1"/>
        <v>675</v>
      </c>
      <c r="K27" s="79">
        <f t="shared" si="2"/>
        <v>675</v>
      </c>
    </row>
    <row r="28" spans="1:11">
      <c r="A28" s="6">
        <v>24</v>
      </c>
      <c r="B28" s="199">
        <v>46077</v>
      </c>
      <c r="C28" s="200"/>
      <c r="D28" s="121"/>
      <c r="E28" s="79"/>
      <c r="F28" s="79"/>
      <c r="G28" s="155">
        <v>45</v>
      </c>
      <c r="H28" s="79">
        <f t="shared" si="0"/>
        <v>0</v>
      </c>
      <c r="I28" s="79">
        <f t="shared" si="3"/>
        <v>0</v>
      </c>
      <c r="J28" s="79">
        <f t="shared" si="1"/>
        <v>675</v>
      </c>
      <c r="K28" s="79">
        <f t="shared" si="2"/>
        <v>675</v>
      </c>
    </row>
    <row r="29" spans="1:11">
      <c r="A29" s="6">
        <v>25</v>
      </c>
      <c r="B29" s="199">
        <v>46078</v>
      </c>
      <c r="C29" s="200"/>
      <c r="D29" s="121"/>
      <c r="E29" s="79"/>
      <c r="F29" s="79"/>
      <c r="G29" s="155">
        <v>45</v>
      </c>
      <c r="H29" s="79">
        <f t="shared" si="0"/>
        <v>0</v>
      </c>
      <c r="I29" s="79">
        <f t="shared" si="3"/>
        <v>0</v>
      </c>
      <c r="J29" s="79">
        <f t="shared" si="1"/>
        <v>675</v>
      </c>
      <c r="K29" s="79">
        <f t="shared" si="2"/>
        <v>675</v>
      </c>
    </row>
    <row r="30" spans="1:11">
      <c r="A30" s="6">
        <v>26</v>
      </c>
      <c r="B30" s="199">
        <v>46079</v>
      </c>
      <c r="C30" s="200"/>
      <c r="D30" s="121"/>
      <c r="E30" s="79"/>
      <c r="F30" s="79"/>
      <c r="G30" s="155">
        <v>45</v>
      </c>
      <c r="H30" s="79">
        <f t="shared" si="0"/>
        <v>0</v>
      </c>
      <c r="I30" s="79">
        <f t="shared" si="3"/>
        <v>0</v>
      </c>
      <c r="J30" s="79">
        <f t="shared" si="1"/>
        <v>675</v>
      </c>
      <c r="K30" s="79">
        <f t="shared" si="2"/>
        <v>675</v>
      </c>
    </row>
    <row r="31" spans="1:11">
      <c r="A31" s="6">
        <v>27</v>
      </c>
      <c r="B31" s="199">
        <v>46080</v>
      </c>
      <c r="C31" s="200"/>
      <c r="D31" s="121">
        <v>10</v>
      </c>
      <c r="E31" s="79"/>
      <c r="F31" s="79"/>
      <c r="G31" s="155">
        <v>55</v>
      </c>
      <c r="H31" s="79">
        <f t="shared" si="0"/>
        <v>600</v>
      </c>
      <c r="I31" s="79">
        <f t="shared" si="3"/>
        <v>0</v>
      </c>
      <c r="J31" s="79">
        <f t="shared" si="1"/>
        <v>825</v>
      </c>
      <c r="K31" s="79">
        <f t="shared" si="2"/>
        <v>1425</v>
      </c>
    </row>
    <row r="32" spans="1:11">
      <c r="A32" s="6">
        <v>28</v>
      </c>
      <c r="B32" s="199">
        <v>46081</v>
      </c>
      <c r="C32" s="200"/>
      <c r="D32" s="121"/>
      <c r="E32" s="79"/>
      <c r="F32" s="79"/>
      <c r="G32" s="155">
        <v>55</v>
      </c>
      <c r="H32" s="79">
        <f t="shared" si="0"/>
        <v>0</v>
      </c>
      <c r="I32" s="79">
        <f t="shared" si="3"/>
        <v>0</v>
      </c>
      <c r="J32" s="79">
        <f t="shared" si="1"/>
        <v>825</v>
      </c>
      <c r="K32" s="79">
        <f t="shared" si="2"/>
        <v>825</v>
      </c>
    </row>
    <row r="33" spans="1:11">
      <c r="A33" s="6">
        <v>29</v>
      </c>
      <c r="B33" s="199"/>
      <c r="C33" s="200"/>
      <c r="D33" s="121"/>
      <c r="E33" s="79"/>
      <c r="F33" s="79"/>
      <c r="G33" s="155"/>
      <c r="H33" s="79">
        <f t="shared" si="0"/>
        <v>0</v>
      </c>
      <c r="I33" s="79">
        <f t="shared" si="3"/>
        <v>0</v>
      </c>
      <c r="J33" s="79">
        <f t="shared" si="1"/>
        <v>0</v>
      </c>
      <c r="K33" s="79">
        <f t="shared" si="2"/>
        <v>0</v>
      </c>
    </row>
    <row r="34" spans="1:11">
      <c r="A34" s="6">
        <v>30</v>
      </c>
      <c r="B34" s="199"/>
      <c r="C34" s="200"/>
      <c r="D34" s="121"/>
      <c r="E34" s="79"/>
      <c r="F34" s="79"/>
      <c r="G34" s="155"/>
      <c r="H34" s="79">
        <f t="shared" si="0"/>
        <v>0</v>
      </c>
      <c r="I34" s="79">
        <f t="shared" si="3"/>
        <v>0</v>
      </c>
      <c r="J34" s="79">
        <f t="shared" si="1"/>
        <v>0</v>
      </c>
      <c r="K34" s="79">
        <f t="shared" si="2"/>
        <v>0</v>
      </c>
    </row>
    <row r="35" spans="1:11">
      <c r="A35" s="6"/>
      <c r="B35" s="199"/>
      <c r="C35" s="200"/>
      <c r="D35" s="121"/>
      <c r="E35" s="79"/>
      <c r="F35" s="79"/>
      <c r="G35" s="155"/>
      <c r="H35" s="79">
        <f t="shared" si="0"/>
        <v>0</v>
      </c>
      <c r="I35" s="79">
        <f t="shared" si="3"/>
        <v>0</v>
      </c>
      <c r="J35" s="79">
        <f t="shared" si="1"/>
        <v>0</v>
      </c>
      <c r="K35" s="79">
        <f t="shared" si="2"/>
        <v>0</v>
      </c>
    </row>
    <row r="36" spans="1:11">
      <c r="D36" s="79"/>
      <c r="E36" s="79"/>
      <c r="F36" s="79"/>
      <c r="G36" s="79">
        <f>SUM(G5:G35)</f>
        <v>1350</v>
      </c>
      <c r="H36" s="79">
        <f>SUM(H5:H35)</f>
        <v>600</v>
      </c>
      <c r="I36" s="79">
        <f>SUM(I5:I35)</f>
        <v>628</v>
      </c>
      <c r="J36" s="79">
        <f>SUM(J5:J35)</f>
        <v>20250</v>
      </c>
      <c r="K36" s="156">
        <f>SUM(K5:K35)</f>
        <v>21478</v>
      </c>
    </row>
  </sheetData>
  <mergeCells count="4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I3:I4"/>
    <mergeCell ref="J3:J4"/>
    <mergeCell ref="K3:K4"/>
    <mergeCell ref="B5:C5"/>
    <mergeCell ref="B6:C6"/>
    <mergeCell ref="B7:C7"/>
    <mergeCell ref="B8:C8"/>
    <mergeCell ref="B9:C9"/>
    <mergeCell ref="B10:C10"/>
    <mergeCell ref="B11:C11"/>
    <mergeCell ref="B12:C12"/>
    <mergeCell ref="A2:H2"/>
    <mergeCell ref="A3:A4"/>
    <mergeCell ref="B3:C4"/>
    <mergeCell ref="D3:D4"/>
    <mergeCell ref="E3:F3"/>
    <mergeCell ref="H3:H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BCFD-7CA6-4062-AE96-97E117779098}">
  <sheetPr codeName="Лист17">
    <pageSetUpPr fitToPage="1"/>
  </sheetPr>
  <dimension ref="A1:AE1000"/>
  <sheetViews>
    <sheetView workbookViewId="0">
      <pane ySplit="6" topLeftCell="A22" activePane="bottomLeft" state="frozen"/>
      <selection activeCell="K5" sqref="K5:K6"/>
      <selection pane="bottomLeft" activeCell="E19" sqref="E19"/>
    </sheetView>
  </sheetViews>
  <sheetFormatPr defaultColWidth="10.09765625" defaultRowHeight="15" customHeight="1"/>
  <cols>
    <col min="1" max="1" width="9" style="158" customWidth="1"/>
    <col min="2" max="2" width="5.296875" style="158" customWidth="1"/>
    <col min="3" max="3" width="7" style="158" customWidth="1"/>
    <col min="4" max="4" width="6.59765625" style="158" customWidth="1"/>
    <col min="5" max="5" width="6.296875" style="158" customWidth="1"/>
    <col min="6" max="6" width="4.69921875" style="158" customWidth="1"/>
    <col min="7" max="7" width="5.8984375" style="158" customWidth="1"/>
    <col min="8" max="8" width="5.19921875" style="158" customWidth="1"/>
    <col min="9" max="9" width="4.09765625" style="158" customWidth="1"/>
    <col min="10" max="10" width="6.5" style="158" customWidth="1"/>
    <col min="11" max="11" width="5.296875" style="158" customWidth="1"/>
    <col min="12" max="12" width="5.5" style="158" customWidth="1"/>
    <col min="13" max="13" width="6.5" style="158" customWidth="1"/>
    <col min="14" max="14" width="7.19921875" style="158" customWidth="1"/>
    <col min="15" max="15" width="6.69921875" style="158" customWidth="1"/>
    <col min="16" max="16" width="6.8984375" style="158" customWidth="1"/>
    <col min="17" max="17" width="12.3984375" style="158" bestFit="1" customWidth="1"/>
    <col min="18" max="18" width="10.8984375" style="158" bestFit="1" customWidth="1"/>
    <col min="19" max="19" width="11" style="158" bestFit="1" customWidth="1"/>
    <col min="20" max="20" width="10.3984375" style="158" bestFit="1" customWidth="1"/>
    <col min="21" max="21" width="9.19921875" style="158" bestFit="1" customWidth="1"/>
    <col min="22" max="22" width="7" style="158" customWidth="1"/>
    <col min="23" max="23" width="8.296875" style="158" bestFit="1" customWidth="1"/>
    <col min="24" max="24" width="11.19921875" style="158" bestFit="1" customWidth="1"/>
    <col min="25" max="25" width="8.69921875" style="158" bestFit="1" customWidth="1"/>
    <col min="26" max="26" width="9.19921875" style="158" bestFit="1" customWidth="1"/>
    <col min="27" max="27" width="13.296875" style="158" bestFit="1" customWidth="1"/>
    <col min="28" max="28" width="10.796875" style="158" bestFit="1" customWidth="1"/>
    <col min="29" max="29" width="11.59765625" style="158" bestFit="1" customWidth="1"/>
    <col min="30" max="30" width="9.19921875" style="158" bestFit="1" customWidth="1"/>
    <col min="31" max="31" width="13.09765625" style="158" customWidth="1"/>
    <col min="32" max="16384" width="10.09765625" style="158"/>
  </cols>
  <sheetData>
    <row r="1" spans="1:31" ht="15.75">
      <c r="A1" s="157">
        <f>AE41</f>
        <v>6648</v>
      </c>
      <c r="C1" s="159"/>
      <c r="D1" s="159"/>
      <c r="E1" s="159"/>
      <c r="F1" s="159"/>
      <c r="G1" s="159"/>
      <c r="H1" s="252"/>
      <c r="I1" s="252"/>
      <c r="J1" s="252"/>
      <c r="K1" s="252"/>
      <c r="L1" s="252"/>
      <c r="M1" s="159"/>
      <c r="N1" s="159"/>
      <c r="O1" s="159"/>
      <c r="P1" s="159"/>
      <c r="AE1" s="160"/>
    </row>
    <row r="2" spans="1:31" ht="18.75" customHeight="1">
      <c r="C2" s="159"/>
      <c r="D2" s="159"/>
      <c r="E2" s="159"/>
      <c r="F2" s="159"/>
      <c r="G2" s="159"/>
      <c r="H2" s="252"/>
      <c r="I2" s="252"/>
      <c r="J2" s="252"/>
      <c r="K2" s="252"/>
      <c r="L2" s="252"/>
      <c r="M2" s="159"/>
      <c r="N2" s="159"/>
      <c r="O2" s="159"/>
      <c r="P2" s="159"/>
      <c r="AE2" s="160"/>
    </row>
    <row r="3" spans="1:31" ht="18.75" customHeight="1" thickBot="1">
      <c r="C3" s="159"/>
      <c r="D3" s="159"/>
      <c r="E3" s="159"/>
      <c r="F3" s="159"/>
      <c r="G3" s="159"/>
      <c r="H3" s="252"/>
      <c r="I3" s="252"/>
      <c r="J3" s="252"/>
      <c r="K3" s="252"/>
      <c r="L3" s="252"/>
      <c r="M3" s="159"/>
      <c r="N3" s="159"/>
      <c r="O3" s="159"/>
      <c r="P3" s="159"/>
      <c r="AE3" s="160"/>
    </row>
    <row r="4" spans="1:31" ht="23.25" customHeight="1" thickBot="1">
      <c r="A4" s="257" t="s">
        <v>174</v>
      </c>
      <c r="B4" s="258"/>
      <c r="C4" s="258"/>
      <c r="D4" s="258"/>
      <c r="E4" s="258"/>
      <c r="F4" s="258"/>
      <c r="G4" s="258"/>
      <c r="H4" s="252"/>
      <c r="I4" s="252"/>
      <c r="J4" s="252"/>
      <c r="K4" s="252"/>
      <c r="L4" s="252"/>
      <c r="M4" s="159"/>
      <c r="N4" s="159"/>
      <c r="O4" s="159"/>
      <c r="P4" s="159"/>
      <c r="Q4" s="259" t="s">
        <v>160</v>
      </c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1"/>
    </row>
    <row r="5" spans="1:31" ht="28.5" customHeight="1">
      <c r="A5" s="262" t="s">
        <v>1</v>
      </c>
      <c r="B5" s="263"/>
      <c r="C5" s="255" t="s">
        <v>161</v>
      </c>
      <c r="D5" s="255" t="s">
        <v>162</v>
      </c>
      <c r="E5" s="255" t="s">
        <v>163</v>
      </c>
      <c r="F5" s="255" t="s">
        <v>164</v>
      </c>
      <c r="G5" s="255" t="s">
        <v>165</v>
      </c>
      <c r="H5" s="255" t="s">
        <v>175</v>
      </c>
      <c r="I5" s="255" t="s">
        <v>176</v>
      </c>
      <c r="J5" s="255" t="s">
        <v>177</v>
      </c>
      <c r="K5" s="255" t="s">
        <v>178</v>
      </c>
      <c r="L5" s="255" t="s">
        <v>179</v>
      </c>
      <c r="M5" s="255" t="s">
        <v>180</v>
      </c>
      <c r="N5" s="255" t="s">
        <v>181</v>
      </c>
      <c r="O5" s="255" t="s">
        <v>166</v>
      </c>
      <c r="P5" s="161" t="s">
        <v>4</v>
      </c>
      <c r="Q5" s="266" t="s">
        <v>167</v>
      </c>
      <c r="R5" s="255" t="s">
        <v>162</v>
      </c>
      <c r="S5" s="255" t="s">
        <v>163</v>
      </c>
      <c r="T5" s="255" t="s">
        <v>164</v>
      </c>
      <c r="U5" s="255" t="s">
        <v>168</v>
      </c>
      <c r="V5" s="255" t="s">
        <v>182</v>
      </c>
      <c r="W5" s="255" t="s">
        <v>183</v>
      </c>
      <c r="X5" s="255" t="s">
        <v>177</v>
      </c>
      <c r="Y5" s="255" t="s">
        <v>178</v>
      </c>
      <c r="Z5" s="255" t="s">
        <v>180</v>
      </c>
      <c r="AA5" s="255" t="s">
        <v>184</v>
      </c>
      <c r="AB5" s="255" t="s">
        <v>181</v>
      </c>
      <c r="AC5" s="255" t="s">
        <v>8</v>
      </c>
      <c r="AD5" s="255" t="s">
        <v>4</v>
      </c>
      <c r="AE5" s="268" t="s">
        <v>18</v>
      </c>
    </row>
    <row r="6" spans="1:31" ht="47.25" customHeight="1" thickBot="1">
      <c r="A6" s="264"/>
      <c r="B6" s="265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162">
        <v>8</v>
      </c>
      <c r="Q6" s="267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69"/>
    </row>
    <row r="7" spans="1:31" ht="14.25" customHeight="1">
      <c r="A7" s="253">
        <v>46054</v>
      </c>
      <c r="B7" s="254"/>
      <c r="C7" s="163"/>
      <c r="D7" s="163"/>
      <c r="E7" s="164"/>
      <c r="F7" s="164"/>
      <c r="G7" s="165"/>
      <c r="H7" s="165"/>
      <c r="I7" s="164"/>
      <c r="J7" s="165"/>
      <c r="K7" s="164">
        <f t="shared" ref="K7:K34" si="0">J7</f>
        <v>0</v>
      </c>
      <c r="L7" s="165"/>
      <c r="M7" s="165"/>
      <c r="N7" s="165"/>
      <c r="O7" s="164">
        <f>E7</f>
        <v>0</v>
      </c>
      <c r="P7" s="163">
        <f>ROUND(P6+C7+H7-E7,0)</f>
        <v>8</v>
      </c>
      <c r="Q7" s="166">
        <f>C7*225</f>
        <v>0</v>
      </c>
      <c r="R7" s="166">
        <f>D7*15.6</f>
        <v>0</v>
      </c>
      <c r="S7" s="166">
        <f>E7*225</f>
        <v>0</v>
      </c>
      <c r="T7" s="166">
        <f>F7*15.6</f>
        <v>0</v>
      </c>
      <c r="U7" s="166">
        <f>G7*19</f>
        <v>0</v>
      </c>
      <c r="V7" s="166">
        <f>H7*675</f>
        <v>0</v>
      </c>
      <c r="W7" s="166">
        <f>I7*430</f>
        <v>0</v>
      </c>
      <c r="X7" s="166">
        <f>J7*3.3</f>
        <v>0</v>
      </c>
      <c r="Y7" s="166">
        <f>K7*1.9</f>
        <v>0</v>
      </c>
      <c r="Z7" s="166">
        <f>M7*21.6</f>
        <v>0</v>
      </c>
      <c r="AA7" s="166">
        <f>L7*11.5</f>
        <v>0</v>
      </c>
      <c r="AB7" s="166">
        <f>N7*24</f>
        <v>0</v>
      </c>
      <c r="AC7" s="166">
        <f>O7*243</f>
        <v>0</v>
      </c>
      <c r="AD7" s="166">
        <f>P7*33</f>
        <v>264</v>
      </c>
      <c r="AE7" s="167">
        <f>SUM(Q7:AD7)</f>
        <v>264</v>
      </c>
    </row>
    <row r="8" spans="1:31" ht="14.25" customHeight="1">
      <c r="A8" s="253">
        <v>46055</v>
      </c>
      <c r="B8" s="254"/>
      <c r="C8" s="168"/>
      <c r="D8" s="168"/>
      <c r="E8" s="169"/>
      <c r="F8" s="169"/>
      <c r="G8" s="170"/>
      <c r="H8" s="170"/>
      <c r="I8" s="169"/>
      <c r="J8" s="170"/>
      <c r="K8" s="169">
        <f t="shared" si="0"/>
        <v>0</v>
      </c>
      <c r="L8" s="170"/>
      <c r="M8" s="170"/>
      <c r="N8" s="170"/>
      <c r="O8" s="169">
        <f t="shared" ref="O8:O37" si="1">E8</f>
        <v>0</v>
      </c>
      <c r="P8" s="168">
        <f t="shared" ref="P8:P37" si="2">ROUND(P7+C8+H8-E8,0)</f>
        <v>8</v>
      </c>
      <c r="Q8" s="166">
        <f t="shared" ref="Q8:Q37" si="3">C8*225</f>
        <v>0</v>
      </c>
      <c r="R8" s="166">
        <f t="shared" ref="R8:R37" si="4">D8*15.6</f>
        <v>0</v>
      </c>
      <c r="S8" s="166">
        <f t="shared" ref="S8:S37" si="5">E8*225</f>
        <v>0</v>
      </c>
      <c r="T8" s="166">
        <f t="shared" ref="T8:T37" si="6">F8*15.6</f>
        <v>0</v>
      </c>
      <c r="U8" s="166">
        <f t="shared" ref="U8:U37" si="7">G8*19</f>
        <v>0</v>
      </c>
      <c r="V8" s="166">
        <f t="shared" ref="V8:V37" si="8">H8*675</f>
        <v>0</v>
      </c>
      <c r="W8" s="166">
        <f t="shared" ref="W8:W37" si="9">I8*430</f>
        <v>0</v>
      </c>
      <c r="X8" s="166">
        <f t="shared" ref="X8:X37" si="10">J8*3.3</f>
        <v>0</v>
      </c>
      <c r="Y8" s="166">
        <f t="shared" ref="Y8:Y37" si="11">K8*1.9</f>
        <v>0</v>
      </c>
      <c r="Z8" s="166">
        <f t="shared" ref="Z8:Z37" si="12">M8*21.6</f>
        <v>0</v>
      </c>
      <c r="AA8" s="166">
        <f t="shared" ref="AA8:AA37" si="13">L8*11.5</f>
        <v>0</v>
      </c>
      <c r="AB8" s="166">
        <f t="shared" ref="AB8:AB37" si="14">N8*24</f>
        <v>0</v>
      </c>
      <c r="AC8" s="166">
        <f t="shared" ref="AC8:AC37" si="15">O8*243</f>
        <v>0</v>
      </c>
      <c r="AD8" s="166">
        <f t="shared" ref="AD8:AD37" si="16">P8*33</f>
        <v>264</v>
      </c>
      <c r="AE8" s="171">
        <f t="shared" ref="AE8:AE36" si="17">SUM(Q8:AD8)</f>
        <v>264</v>
      </c>
    </row>
    <row r="9" spans="1:31" ht="14.25" customHeight="1">
      <c r="A9" s="253">
        <v>46056</v>
      </c>
      <c r="B9" s="254"/>
      <c r="C9" s="168"/>
      <c r="D9" s="168"/>
      <c r="E9" s="169"/>
      <c r="F9" s="169"/>
      <c r="G9" s="170"/>
      <c r="H9" s="170"/>
      <c r="I9" s="169"/>
      <c r="J9" s="170"/>
      <c r="K9" s="169">
        <f t="shared" si="0"/>
        <v>0</v>
      </c>
      <c r="L9" s="170"/>
      <c r="M9" s="170"/>
      <c r="N9" s="170"/>
      <c r="O9" s="169">
        <f t="shared" si="1"/>
        <v>0</v>
      </c>
      <c r="P9" s="168">
        <f t="shared" si="2"/>
        <v>8</v>
      </c>
      <c r="Q9" s="166">
        <f t="shared" si="3"/>
        <v>0</v>
      </c>
      <c r="R9" s="166">
        <f t="shared" si="4"/>
        <v>0</v>
      </c>
      <c r="S9" s="166">
        <f t="shared" si="5"/>
        <v>0</v>
      </c>
      <c r="T9" s="166">
        <f t="shared" si="6"/>
        <v>0</v>
      </c>
      <c r="U9" s="166">
        <f t="shared" si="7"/>
        <v>0</v>
      </c>
      <c r="V9" s="166">
        <f t="shared" si="8"/>
        <v>0</v>
      </c>
      <c r="W9" s="166">
        <f t="shared" si="9"/>
        <v>0</v>
      </c>
      <c r="X9" s="166">
        <f t="shared" si="10"/>
        <v>0</v>
      </c>
      <c r="Y9" s="166">
        <f t="shared" si="11"/>
        <v>0</v>
      </c>
      <c r="Z9" s="166">
        <f t="shared" si="12"/>
        <v>0</v>
      </c>
      <c r="AA9" s="166">
        <f t="shared" si="13"/>
        <v>0</v>
      </c>
      <c r="AB9" s="166">
        <f t="shared" si="14"/>
        <v>0</v>
      </c>
      <c r="AC9" s="166">
        <f t="shared" si="15"/>
        <v>0</v>
      </c>
      <c r="AD9" s="166">
        <f t="shared" si="16"/>
        <v>264</v>
      </c>
      <c r="AE9" s="171">
        <f t="shared" si="17"/>
        <v>264</v>
      </c>
    </row>
    <row r="10" spans="1:31" ht="14.25" customHeight="1">
      <c r="A10" s="253">
        <v>46057</v>
      </c>
      <c r="B10" s="254"/>
      <c r="C10" s="168"/>
      <c r="D10" s="168"/>
      <c r="E10" s="169"/>
      <c r="F10" s="169"/>
      <c r="G10" s="170"/>
      <c r="H10" s="170"/>
      <c r="I10" s="169"/>
      <c r="J10" s="170"/>
      <c r="K10" s="169">
        <f t="shared" si="0"/>
        <v>0</v>
      </c>
      <c r="L10" s="170"/>
      <c r="M10" s="170"/>
      <c r="N10" s="170"/>
      <c r="O10" s="169">
        <f t="shared" si="1"/>
        <v>0</v>
      </c>
      <c r="P10" s="168">
        <f t="shared" si="2"/>
        <v>8</v>
      </c>
      <c r="Q10" s="166">
        <f t="shared" si="3"/>
        <v>0</v>
      </c>
      <c r="R10" s="166">
        <f t="shared" si="4"/>
        <v>0</v>
      </c>
      <c r="S10" s="166">
        <f t="shared" si="5"/>
        <v>0</v>
      </c>
      <c r="T10" s="166">
        <f t="shared" si="6"/>
        <v>0</v>
      </c>
      <c r="U10" s="166">
        <f t="shared" si="7"/>
        <v>0</v>
      </c>
      <c r="V10" s="166">
        <f t="shared" si="8"/>
        <v>0</v>
      </c>
      <c r="W10" s="166">
        <f t="shared" si="9"/>
        <v>0</v>
      </c>
      <c r="X10" s="166">
        <f t="shared" si="10"/>
        <v>0</v>
      </c>
      <c r="Y10" s="166">
        <f t="shared" si="11"/>
        <v>0</v>
      </c>
      <c r="Z10" s="166">
        <f t="shared" si="12"/>
        <v>0</v>
      </c>
      <c r="AA10" s="166">
        <f t="shared" si="13"/>
        <v>0</v>
      </c>
      <c r="AB10" s="166">
        <f t="shared" si="14"/>
        <v>0</v>
      </c>
      <c r="AC10" s="166">
        <f t="shared" si="15"/>
        <v>0</v>
      </c>
      <c r="AD10" s="166">
        <f t="shared" si="16"/>
        <v>264</v>
      </c>
      <c r="AE10" s="171">
        <f t="shared" si="17"/>
        <v>264</v>
      </c>
    </row>
    <row r="11" spans="1:31" ht="14.25" customHeight="1">
      <c r="A11" s="253">
        <v>46058</v>
      </c>
      <c r="B11" s="254"/>
      <c r="C11" s="168"/>
      <c r="D11" s="168"/>
      <c r="E11" s="169"/>
      <c r="F11" s="169"/>
      <c r="G11" s="170"/>
      <c r="H11" s="170"/>
      <c r="I11" s="169"/>
      <c r="J11" s="170"/>
      <c r="K11" s="169">
        <f t="shared" si="0"/>
        <v>0</v>
      </c>
      <c r="L11" s="170"/>
      <c r="M11" s="170"/>
      <c r="N11" s="170"/>
      <c r="O11" s="169">
        <f t="shared" si="1"/>
        <v>0</v>
      </c>
      <c r="P11" s="168">
        <f t="shared" si="2"/>
        <v>8</v>
      </c>
      <c r="Q11" s="166">
        <f t="shared" si="3"/>
        <v>0</v>
      </c>
      <c r="R11" s="166">
        <f t="shared" si="4"/>
        <v>0</v>
      </c>
      <c r="S11" s="166">
        <f t="shared" si="5"/>
        <v>0</v>
      </c>
      <c r="T11" s="166">
        <f t="shared" si="6"/>
        <v>0</v>
      </c>
      <c r="U11" s="166">
        <f t="shared" si="7"/>
        <v>0</v>
      </c>
      <c r="V11" s="166">
        <f t="shared" si="8"/>
        <v>0</v>
      </c>
      <c r="W11" s="166">
        <f t="shared" si="9"/>
        <v>0</v>
      </c>
      <c r="X11" s="166">
        <f t="shared" si="10"/>
        <v>0</v>
      </c>
      <c r="Y11" s="166">
        <f t="shared" si="11"/>
        <v>0</v>
      </c>
      <c r="Z11" s="166">
        <f t="shared" si="12"/>
        <v>0</v>
      </c>
      <c r="AA11" s="166">
        <f t="shared" si="13"/>
        <v>0</v>
      </c>
      <c r="AB11" s="166">
        <f t="shared" si="14"/>
        <v>0</v>
      </c>
      <c r="AC11" s="166">
        <f t="shared" si="15"/>
        <v>0</v>
      </c>
      <c r="AD11" s="166">
        <f t="shared" si="16"/>
        <v>264</v>
      </c>
      <c r="AE11" s="171">
        <f t="shared" si="17"/>
        <v>264</v>
      </c>
    </row>
    <row r="12" spans="1:31" ht="14.25" customHeight="1">
      <c r="A12" s="253">
        <v>46059</v>
      </c>
      <c r="B12" s="254"/>
      <c r="C12" s="168"/>
      <c r="D12" s="168"/>
      <c r="E12" s="169"/>
      <c r="F12" s="169"/>
      <c r="G12" s="170"/>
      <c r="H12" s="170"/>
      <c r="I12" s="169"/>
      <c r="J12" s="170"/>
      <c r="K12" s="169">
        <f t="shared" si="0"/>
        <v>0</v>
      </c>
      <c r="L12" s="170"/>
      <c r="M12" s="170"/>
      <c r="N12" s="170"/>
      <c r="O12" s="169">
        <f t="shared" si="1"/>
        <v>0</v>
      </c>
      <c r="P12" s="168">
        <f t="shared" si="2"/>
        <v>8</v>
      </c>
      <c r="Q12" s="166">
        <f t="shared" si="3"/>
        <v>0</v>
      </c>
      <c r="R12" s="166">
        <f t="shared" si="4"/>
        <v>0</v>
      </c>
      <c r="S12" s="166">
        <f t="shared" si="5"/>
        <v>0</v>
      </c>
      <c r="T12" s="166">
        <f t="shared" si="6"/>
        <v>0</v>
      </c>
      <c r="U12" s="166">
        <f t="shared" si="7"/>
        <v>0</v>
      </c>
      <c r="V12" s="166">
        <f t="shared" si="8"/>
        <v>0</v>
      </c>
      <c r="W12" s="166">
        <f t="shared" si="9"/>
        <v>0</v>
      </c>
      <c r="X12" s="166">
        <f t="shared" si="10"/>
        <v>0</v>
      </c>
      <c r="Y12" s="166">
        <f t="shared" si="11"/>
        <v>0</v>
      </c>
      <c r="Z12" s="166">
        <f t="shared" si="12"/>
        <v>0</v>
      </c>
      <c r="AA12" s="166">
        <f t="shared" si="13"/>
        <v>0</v>
      </c>
      <c r="AB12" s="166">
        <f t="shared" si="14"/>
        <v>0</v>
      </c>
      <c r="AC12" s="166">
        <f t="shared" si="15"/>
        <v>0</v>
      </c>
      <c r="AD12" s="166">
        <f t="shared" si="16"/>
        <v>264</v>
      </c>
      <c r="AE12" s="171">
        <f t="shared" si="17"/>
        <v>264</v>
      </c>
    </row>
    <row r="13" spans="1:31" ht="15" customHeight="1">
      <c r="A13" s="253">
        <v>46060</v>
      </c>
      <c r="B13" s="254"/>
      <c r="C13" s="168"/>
      <c r="D13" s="168"/>
      <c r="E13" s="169"/>
      <c r="F13" s="169"/>
      <c r="G13" s="170"/>
      <c r="H13" s="170"/>
      <c r="I13" s="169"/>
      <c r="J13" s="170"/>
      <c r="K13" s="169">
        <f t="shared" si="0"/>
        <v>0</v>
      </c>
      <c r="L13" s="170"/>
      <c r="M13" s="170"/>
      <c r="N13" s="170"/>
      <c r="O13" s="169">
        <f t="shared" si="1"/>
        <v>0</v>
      </c>
      <c r="P13" s="168">
        <f t="shared" si="2"/>
        <v>8</v>
      </c>
      <c r="Q13" s="166">
        <f t="shared" si="3"/>
        <v>0</v>
      </c>
      <c r="R13" s="166">
        <f t="shared" si="4"/>
        <v>0</v>
      </c>
      <c r="S13" s="166">
        <f t="shared" si="5"/>
        <v>0</v>
      </c>
      <c r="T13" s="166">
        <f t="shared" si="6"/>
        <v>0</v>
      </c>
      <c r="U13" s="166">
        <f t="shared" si="7"/>
        <v>0</v>
      </c>
      <c r="V13" s="166">
        <f t="shared" si="8"/>
        <v>0</v>
      </c>
      <c r="W13" s="166">
        <f t="shared" si="9"/>
        <v>0</v>
      </c>
      <c r="X13" s="166">
        <f t="shared" si="10"/>
        <v>0</v>
      </c>
      <c r="Y13" s="166">
        <f t="shared" si="11"/>
        <v>0</v>
      </c>
      <c r="Z13" s="166">
        <f t="shared" si="12"/>
        <v>0</v>
      </c>
      <c r="AA13" s="166">
        <f t="shared" si="13"/>
        <v>0</v>
      </c>
      <c r="AB13" s="166">
        <f t="shared" si="14"/>
        <v>0</v>
      </c>
      <c r="AC13" s="166">
        <f t="shared" si="15"/>
        <v>0</v>
      </c>
      <c r="AD13" s="166">
        <f t="shared" si="16"/>
        <v>264</v>
      </c>
      <c r="AE13" s="171">
        <f t="shared" si="17"/>
        <v>264</v>
      </c>
    </row>
    <row r="14" spans="1:31" ht="14.25" customHeight="1">
      <c r="A14" s="253">
        <v>46061</v>
      </c>
      <c r="B14" s="254"/>
      <c r="C14" s="168"/>
      <c r="D14" s="168"/>
      <c r="E14" s="169"/>
      <c r="F14" s="169"/>
      <c r="G14" s="170"/>
      <c r="H14" s="170"/>
      <c r="I14" s="169"/>
      <c r="J14" s="170"/>
      <c r="K14" s="169">
        <f t="shared" si="0"/>
        <v>0</v>
      </c>
      <c r="L14" s="170"/>
      <c r="M14" s="170"/>
      <c r="N14" s="170"/>
      <c r="O14" s="169">
        <f t="shared" si="1"/>
        <v>0</v>
      </c>
      <c r="P14" s="168">
        <f t="shared" si="2"/>
        <v>8</v>
      </c>
      <c r="Q14" s="166">
        <f t="shared" si="3"/>
        <v>0</v>
      </c>
      <c r="R14" s="166">
        <f t="shared" si="4"/>
        <v>0</v>
      </c>
      <c r="S14" s="166">
        <f t="shared" si="5"/>
        <v>0</v>
      </c>
      <c r="T14" s="166">
        <f t="shared" si="6"/>
        <v>0</v>
      </c>
      <c r="U14" s="166">
        <f t="shared" si="7"/>
        <v>0</v>
      </c>
      <c r="V14" s="166">
        <f t="shared" si="8"/>
        <v>0</v>
      </c>
      <c r="W14" s="166">
        <f t="shared" si="9"/>
        <v>0</v>
      </c>
      <c r="X14" s="166">
        <f t="shared" si="10"/>
        <v>0</v>
      </c>
      <c r="Y14" s="166">
        <f t="shared" si="11"/>
        <v>0</v>
      </c>
      <c r="Z14" s="166">
        <f t="shared" si="12"/>
        <v>0</v>
      </c>
      <c r="AA14" s="166">
        <f t="shared" si="13"/>
        <v>0</v>
      </c>
      <c r="AB14" s="166">
        <f t="shared" si="14"/>
        <v>0</v>
      </c>
      <c r="AC14" s="166">
        <f t="shared" si="15"/>
        <v>0</v>
      </c>
      <c r="AD14" s="166">
        <f t="shared" si="16"/>
        <v>264</v>
      </c>
      <c r="AE14" s="171">
        <f t="shared" si="17"/>
        <v>264</v>
      </c>
    </row>
    <row r="15" spans="1:31" ht="14.25" customHeight="1">
      <c r="A15" s="253">
        <v>46062</v>
      </c>
      <c r="B15" s="254"/>
      <c r="C15" s="168"/>
      <c r="D15" s="168"/>
      <c r="E15" s="169"/>
      <c r="F15" s="169"/>
      <c r="G15" s="170"/>
      <c r="H15" s="170"/>
      <c r="I15" s="169"/>
      <c r="J15" s="170"/>
      <c r="K15" s="169">
        <f t="shared" si="0"/>
        <v>0</v>
      </c>
      <c r="L15" s="170"/>
      <c r="M15" s="170"/>
      <c r="N15" s="170"/>
      <c r="O15" s="169">
        <f t="shared" si="1"/>
        <v>0</v>
      </c>
      <c r="P15" s="168">
        <f t="shared" si="2"/>
        <v>8</v>
      </c>
      <c r="Q15" s="166">
        <f t="shared" si="3"/>
        <v>0</v>
      </c>
      <c r="R15" s="166">
        <f t="shared" si="4"/>
        <v>0</v>
      </c>
      <c r="S15" s="166">
        <f t="shared" si="5"/>
        <v>0</v>
      </c>
      <c r="T15" s="166">
        <f t="shared" si="6"/>
        <v>0</v>
      </c>
      <c r="U15" s="166">
        <f t="shared" si="7"/>
        <v>0</v>
      </c>
      <c r="V15" s="166">
        <f t="shared" si="8"/>
        <v>0</v>
      </c>
      <c r="W15" s="166">
        <f t="shared" si="9"/>
        <v>0</v>
      </c>
      <c r="X15" s="166">
        <f t="shared" si="10"/>
        <v>0</v>
      </c>
      <c r="Y15" s="166">
        <f t="shared" si="11"/>
        <v>0</v>
      </c>
      <c r="Z15" s="166">
        <f t="shared" si="12"/>
        <v>0</v>
      </c>
      <c r="AA15" s="166">
        <f t="shared" si="13"/>
        <v>0</v>
      </c>
      <c r="AB15" s="166">
        <f t="shared" si="14"/>
        <v>0</v>
      </c>
      <c r="AC15" s="166">
        <f t="shared" si="15"/>
        <v>0</v>
      </c>
      <c r="AD15" s="166">
        <f t="shared" si="16"/>
        <v>264</v>
      </c>
      <c r="AE15" s="171">
        <f t="shared" si="17"/>
        <v>264</v>
      </c>
    </row>
    <row r="16" spans="1:31" ht="14.25" customHeight="1">
      <c r="A16" s="253">
        <v>46063</v>
      </c>
      <c r="B16" s="254"/>
      <c r="C16" s="168"/>
      <c r="D16" s="168"/>
      <c r="E16" s="169"/>
      <c r="F16" s="169"/>
      <c r="G16" s="170"/>
      <c r="H16" s="170"/>
      <c r="I16" s="169"/>
      <c r="J16" s="170"/>
      <c r="K16" s="169">
        <f t="shared" si="0"/>
        <v>0</v>
      </c>
      <c r="L16" s="170"/>
      <c r="M16" s="170"/>
      <c r="N16" s="170"/>
      <c r="O16" s="169">
        <f t="shared" si="1"/>
        <v>0</v>
      </c>
      <c r="P16" s="168">
        <f t="shared" si="2"/>
        <v>8</v>
      </c>
      <c r="Q16" s="166">
        <f t="shared" si="3"/>
        <v>0</v>
      </c>
      <c r="R16" s="166">
        <f t="shared" si="4"/>
        <v>0</v>
      </c>
      <c r="S16" s="166">
        <f t="shared" si="5"/>
        <v>0</v>
      </c>
      <c r="T16" s="166">
        <f t="shared" si="6"/>
        <v>0</v>
      </c>
      <c r="U16" s="166">
        <f t="shared" si="7"/>
        <v>0</v>
      </c>
      <c r="V16" s="166">
        <f t="shared" si="8"/>
        <v>0</v>
      </c>
      <c r="W16" s="166">
        <f t="shared" si="9"/>
        <v>0</v>
      </c>
      <c r="X16" s="166">
        <f t="shared" si="10"/>
        <v>0</v>
      </c>
      <c r="Y16" s="166">
        <f t="shared" si="11"/>
        <v>0</v>
      </c>
      <c r="Z16" s="166">
        <f t="shared" si="12"/>
        <v>0</v>
      </c>
      <c r="AA16" s="166">
        <f t="shared" si="13"/>
        <v>0</v>
      </c>
      <c r="AB16" s="166">
        <f t="shared" si="14"/>
        <v>0</v>
      </c>
      <c r="AC16" s="166">
        <f t="shared" si="15"/>
        <v>0</v>
      </c>
      <c r="AD16" s="166">
        <f t="shared" si="16"/>
        <v>264</v>
      </c>
      <c r="AE16" s="171">
        <f t="shared" si="17"/>
        <v>264</v>
      </c>
    </row>
    <row r="17" spans="1:31" ht="14.25" customHeight="1">
      <c r="A17" s="253">
        <v>46064</v>
      </c>
      <c r="B17" s="254"/>
      <c r="C17" s="168"/>
      <c r="D17" s="168"/>
      <c r="E17" s="169"/>
      <c r="F17" s="169"/>
      <c r="G17" s="170"/>
      <c r="H17" s="170"/>
      <c r="I17" s="169"/>
      <c r="J17" s="170"/>
      <c r="K17" s="169">
        <f t="shared" si="0"/>
        <v>0</v>
      </c>
      <c r="L17" s="170"/>
      <c r="M17" s="170"/>
      <c r="N17" s="170"/>
      <c r="O17" s="169">
        <f t="shared" si="1"/>
        <v>0</v>
      </c>
      <c r="P17" s="168">
        <f t="shared" si="2"/>
        <v>8</v>
      </c>
      <c r="Q17" s="166">
        <f t="shared" si="3"/>
        <v>0</v>
      </c>
      <c r="R17" s="166">
        <f t="shared" si="4"/>
        <v>0</v>
      </c>
      <c r="S17" s="166">
        <f t="shared" si="5"/>
        <v>0</v>
      </c>
      <c r="T17" s="166">
        <f t="shared" si="6"/>
        <v>0</v>
      </c>
      <c r="U17" s="166">
        <f t="shared" si="7"/>
        <v>0</v>
      </c>
      <c r="V17" s="166">
        <f t="shared" si="8"/>
        <v>0</v>
      </c>
      <c r="W17" s="166">
        <f t="shared" si="9"/>
        <v>0</v>
      </c>
      <c r="X17" s="166">
        <f t="shared" si="10"/>
        <v>0</v>
      </c>
      <c r="Y17" s="166">
        <f t="shared" si="11"/>
        <v>0</v>
      </c>
      <c r="Z17" s="166">
        <f t="shared" si="12"/>
        <v>0</v>
      </c>
      <c r="AA17" s="166">
        <f t="shared" si="13"/>
        <v>0</v>
      </c>
      <c r="AB17" s="166">
        <f t="shared" si="14"/>
        <v>0</v>
      </c>
      <c r="AC17" s="166">
        <f t="shared" si="15"/>
        <v>0</v>
      </c>
      <c r="AD17" s="166">
        <f t="shared" si="16"/>
        <v>264</v>
      </c>
      <c r="AE17" s="171">
        <f t="shared" si="17"/>
        <v>264</v>
      </c>
    </row>
    <row r="18" spans="1:31" ht="14.25" customHeight="1">
      <c r="A18" s="253">
        <v>46065</v>
      </c>
      <c r="B18" s="254"/>
      <c r="C18" s="172"/>
      <c r="D18" s="172"/>
      <c r="E18" s="173">
        <v>8</v>
      </c>
      <c r="F18" s="173"/>
      <c r="G18" s="174"/>
      <c r="H18" s="174"/>
      <c r="I18" s="173"/>
      <c r="J18" s="174"/>
      <c r="K18" s="169">
        <f t="shared" si="0"/>
        <v>0</v>
      </c>
      <c r="L18" s="174"/>
      <c r="M18" s="174"/>
      <c r="N18" s="170"/>
      <c r="O18" s="169">
        <f t="shared" si="1"/>
        <v>8</v>
      </c>
      <c r="P18" s="168">
        <f t="shared" si="2"/>
        <v>0</v>
      </c>
      <c r="Q18" s="166">
        <f t="shared" si="3"/>
        <v>0</v>
      </c>
      <c r="R18" s="166">
        <f t="shared" si="4"/>
        <v>0</v>
      </c>
      <c r="S18" s="166">
        <f t="shared" si="5"/>
        <v>1800</v>
      </c>
      <c r="T18" s="166">
        <f t="shared" si="6"/>
        <v>0</v>
      </c>
      <c r="U18" s="166">
        <f t="shared" si="7"/>
        <v>0</v>
      </c>
      <c r="V18" s="166">
        <f t="shared" si="8"/>
        <v>0</v>
      </c>
      <c r="W18" s="166">
        <f t="shared" si="9"/>
        <v>0</v>
      </c>
      <c r="X18" s="166">
        <f t="shared" si="10"/>
        <v>0</v>
      </c>
      <c r="Y18" s="166">
        <f t="shared" si="11"/>
        <v>0</v>
      </c>
      <c r="Z18" s="166">
        <f t="shared" si="12"/>
        <v>0</v>
      </c>
      <c r="AA18" s="166">
        <f t="shared" si="13"/>
        <v>0</v>
      </c>
      <c r="AB18" s="166">
        <f t="shared" si="14"/>
        <v>0</v>
      </c>
      <c r="AC18" s="166">
        <f t="shared" si="15"/>
        <v>1944</v>
      </c>
      <c r="AD18" s="166">
        <f t="shared" si="16"/>
        <v>0</v>
      </c>
      <c r="AE18" s="171">
        <f t="shared" si="17"/>
        <v>3744</v>
      </c>
    </row>
    <row r="19" spans="1:31" ht="14.25" customHeight="1">
      <c r="A19" s="253">
        <v>46066</v>
      </c>
      <c r="B19" s="254"/>
      <c r="C19" s="168"/>
      <c r="D19" s="168"/>
      <c r="E19" s="169"/>
      <c r="F19" s="169"/>
      <c r="G19" s="170"/>
      <c r="H19" s="170"/>
      <c r="I19" s="169"/>
      <c r="J19" s="170"/>
      <c r="K19" s="169">
        <f t="shared" si="0"/>
        <v>0</v>
      </c>
      <c r="L19" s="170"/>
      <c r="M19" s="170"/>
      <c r="N19" s="170"/>
      <c r="O19" s="169">
        <f t="shared" si="1"/>
        <v>0</v>
      </c>
      <c r="P19" s="168">
        <f t="shared" si="2"/>
        <v>0</v>
      </c>
      <c r="Q19" s="166">
        <f t="shared" si="3"/>
        <v>0</v>
      </c>
      <c r="R19" s="166">
        <f t="shared" si="4"/>
        <v>0</v>
      </c>
      <c r="S19" s="166">
        <f t="shared" si="5"/>
        <v>0</v>
      </c>
      <c r="T19" s="166">
        <f t="shared" si="6"/>
        <v>0</v>
      </c>
      <c r="U19" s="166">
        <f t="shared" si="7"/>
        <v>0</v>
      </c>
      <c r="V19" s="166">
        <f t="shared" si="8"/>
        <v>0</v>
      </c>
      <c r="W19" s="166">
        <f t="shared" si="9"/>
        <v>0</v>
      </c>
      <c r="X19" s="166">
        <f t="shared" si="10"/>
        <v>0</v>
      </c>
      <c r="Y19" s="166">
        <f t="shared" si="11"/>
        <v>0</v>
      </c>
      <c r="Z19" s="166">
        <f t="shared" si="12"/>
        <v>0</v>
      </c>
      <c r="AA19" s="166">
        <f t="shared" si="13"/>
        <v>0</v>
      </c>
      <c r="AB19" s="166">
        <f t="shared" si="14"/>
        <v>0</v>
      </c>
      <c r="AC19" s="166">
        <f t="shared" si="15"/>
        <v>0</v>
      </c>
      <c r="AD19" s="166">
        <f t="shared" si="16"/>
        <v>0</v>
      </c>
      <c r="AE19" s="171">
        <f t="shared" si="17"/>
        <v>0</v>
      </c>
    </row>
    <row r="20" spans="1:31" ht="14.25" customHeight="1">
      <c r="A20" s="253">
        <v>46067</v>
      </c>
      <c r="B20" s="254"/>
      <c r="C20" s="168"/>
      <c r="D20" s="168"/>
      <c r="E20" s="169"/>
      <c r="F20" s="169"/>
      <c r="G20" s="170"/>
      <c r="H20" s="170"/>
      <c r="I20" s="169"/>
      <c r="J20" s="170"/>
      <c r="K20" s="169">
        <f t="shared" si="0"/>
        <v>0</v>
      </c>
      <c r="L20" s="170"/>
      <c r="M20" s="170"/>
      <c r="N20" s="170"/>
      <c r="O20" s="169">
        <f t="shared" si="1"/>
        <v>0</v>
      </c>
      <c r="P20" s="168">
        <f t="shared" si="2"/>
        <v>0</v>
      </c>
      <c r="Q20" s="166">
        <f t="shared" si="3"/>
        <v>0</v>
      </c>
      <c r="R20" s="166">
        <f t="shared" si="4"/>
        <v>0</v>
      </c>
      <c r="S20" s="166">
        <f t="shared" si="5"/>
        <v>0</v>
      </c>
      <c r="T20" s="166">
        <f t="shared" si="6"/>
        <v>0</v>
      </c>
      <c r="U20" s="166">
        <f t="shared" si="7"/>
        <v>0</v>
      </c>
      <c r="V20" s="166">
        <f t="shared" si="8"/>
        <v>0</v>
      </c>
      <c r="W20" s="166">
        <f t="shared" si="9"/>
        <v>0</v>
      </c>
      <c r="X20" s="166">
        <f t="shared" si="10"/>
        <v>0</v>
      </c>
      <c r="Y20" s="166">
        <f t="shared" si="11"/>
        <v>0</v>
      </c>
      <c r="Z20" s="166">
        <f t="shared" si="12"/>
        <v>0</v>
      </c>
      <c r="AA20" s="166">
        <f t="shared" si="13"/>
        <v>0</v>
      </c>
      <c r="AB20" s="166">
        <f t="shared" si="14"/>
        <v>0</v>
      </c>
      <c r="AC20" s="166">
        <f t="shared" si="15"/>
        <v>0</v>
      </c>
      <c r="AD20" s="166">
        <f t="shared" si="16"/>
        <v>0</v>
      </c>
      <c r="AE20" s="171">
        <f t="shared" si="17"/>
        <v>0</v>
      </c>
    </row>
    <row r="21" spans="1:31" ht="14.25" customHeight="1">
      <c r="A21" s="253">
        <v>46068</v>
      </c>
      <c r="B21" s="254"/>
      <c r="C21" s="168"/>
      <c r="D21" s="168"/>
      <c r="E21" s="169"/>
      <c r="F21" s="169"/>
      <c r="G21" s="170"/>
      <c r="H21" s="170"/>
      <c r="I21" s="169"/>
      <c r="J21" s="170"/>
      <c r="K21" s="169">
        <f t="shared" si="0"/>
        <v>0</v>
      </c>
      <c r="L21" s="170"/>
      <c r="M21" s="170"/>
      <c r="N21" s="170"/>
      <c r="O21" s="169">
        <f t="shared" si="1"/>
        <v>0</v>
      </c>
      <c r="P21" s="168">
        <f t="shared" si="2"/>
        <v>0</v>
      </c>
      <c r="Q21" s="166">
        <f t="shared" si="3"/>
        <v>0</v>
      </c>
      <c r="R21" s="166">
        <f t="shared" si="4"/>
        <v>0</v>
      </c>
      <c r="S21" s="166">
        <f t="shared" si="5"/>
        <v>0</v>
      </c>
      <c r="T21" s="166">
        <f t="shared" si="6"/>
        <v>0</v>
      </c>
      <c r="U21" s="166">
        <f t="shared" si="7"/>
        <v>0</v>
      </c>
      <c r="V21" s="166">
        <f t="shared" si="8"/>
        <v>0</v>
      </c>
      <c r="W21" s="166">
        <f t="shared" si="9"/>
        <v>0</v>
      </c>
      <c r="X21" s="166">
        <f t="shared" si="10"/>
        <v>0</v>
      </c>
      <c r="Y21" s="166">
        <f t="shared" si="11"/>
        <v>0</v>
      </c>
      <c r="Z21" s="166">
        <f t="shared" si="12"/>
        <v>0</v>
      </c>
      <c r="AA21" s="166">
        <f t="shared" si="13"/>
        <v>0</v>
      </c>
      <c r="AB21" s="166">
        <f t="shared" si="14"/>
        <v>0</v>
      </c>
      <c r="AC21" s="166">
        <f t="shared" si="15"/>
        <v>0</v>
      </c>
      <c r="AD21" s="166">
        <f t="shared" si="16"/>
        <v>0</v>
      </c>
      <c r="AE21" s="171">
        <f t="shared" si="17"/>
        <v>0</v>
      </c>
    </row>
    <row r="22" spans="1:31" ht="14.25" customHeight="1">
      <c r="A22" s="253">
        <v>46069</v>
      </c>
      <c r="B22" s="254"/>
      <c r="C22" s="168"/>
      <c r="D22" s="168"/>
      <c r="E22" s="169"/>
      <c r="F22" s="169"/>
      <c r="G22" s="170"/>
      <c r="H22" s="170"/>
      <c r="I22" s="169"/>
      <c r="J22" s="170"/>
      <c r="K22" s="169">
        <f t="shared" si="0"/>
        <v>0</v>
      </c>
      <c r="L22" s="170"/>
      <c r="M22" s="170"/>
      <c r="N22" s="170"/>
      <c r="O22" s="169">
        <f t="shared" si="1"/>
        <v>0</v>
      </c>
      <c r="P22" s="168">
        <f t="shared" si="2"/>
        <v>0</v>
      </c>
      <c r="Q22" s="166">
        <f t="shared" si="3"/>
        <v>0</v>
      </c>
      <c r="R22" s="166">
        <f t="shared" si="4"/>
        <v>0</v>
      </c>
      <c r="S22" s="166">
        <f t="shared" si="5"/>
        <v>0</v>
      </c>
      <c r="T22" s="166">
        <f t="shared" si="6"/>
        <v>0</v>
      </c>
      <c r="U22" s="166">
        <f t="shared" si="7"/>
        <v>0</v>
      </c>
      <c r="V22" s="166">
        <f t="shared" si="8"/>
        <v>0</v>
      </c>
      <c r="W22" s="166">
        <f t="shared" si="9"/>
        <v>0</v>
      </c>
      <c r="X22" s="166">
        <f t="shared" si="10"/>
        <v>0</v>
      </c>
      <c r="Y22" s="166">
        <f t="shared" si="11"/>
        <v>0</v>
      </c>
      <c r="Z22" s="166">
        <f t="shared" si="12"/>
        <v>0</v>
      </c>
      <c r="AA22" s="166">
        <f t="shared" si="13"/>
        <v>0</v>
      </c>
      <c r="AB22" s="166">
        <f t="shared" si="14"/>
        <v>0</v>
      </c>
      <c r="AC22" s="166">
        <f t="shared" si="15"/>
        <v>0</v>
      </c>
      <c r="AD22" s="166">
        <f t="shared" si="16"/>
        <v>0</v>
      </c>
      <c r="AE22" s="171">
        <f t="shared" si="17"/>
        <v>0</v>
      </c>
    </row>
    <row r="23" spans="1:31" ht="14.25" customHeight="1">
      <c r="A23" s="253">
        <v>46070</v>
      </c>
      <c r="B23" s="254"/>
      <c r="C23" s="168"/>
      <c r="D23" s="168"/>
      <c r="E23" s="169"/>
      <c r="F23" s="169"/>
      <c r="G23" s="170"/>
      <c r="H23" s="170"/>
      <c r="I23" s="169"/>
      <c r="J23" s="170"/>
      <c r="K23" s="169">
        <f t="shared" si="0"/>
        <v>0</v>
      </c>
      <c r="L23" s="170"/>
      <c r="M23" s="170"/>
      <c r="N23" s="170"/>
      <c r="O23" s="169">
        <f t="shared" si="1"/>
        <v>0</v>
      </c>
      <c r="P23" s="168">
        <f t="shared" si="2"/>
        <v>0</v>
      </c>
      <c r="Q23" s="166">
        <f t="shared" si="3"/>
        <v>0</v>
      </c>
      <c r="R23" s="166">
        <f t="shared" si="4"/>
        <v>0</v>
      </c>
      <c r="S23" s="166">
        <f t="shared" si="5"/>
        <v>0</v>
      </c>
      <c r="T23" s="166">
        <f t="shared" si="6"/>
        <v>0</v>
      </c>
      <c r="U23" s="166">
        <f t="shared" si="7"/>
        <v>0</v>
      </c>
      <c r="V23" s="166">
        <f t="shared" si="8"/>
        <v>0</v>
      </c>
      <c r="W23" s="166">
        <f t="shared" si="9"/>
        <v>0</v>
      </c>
      <c r="X23" s="166">
        <f t="shared" si="10"/>
        <v>0</v>
      </c>
      <c r="Y23" s="166">
        <f t="shared" si="11"/>
        <v>0</v>
      </c>
      <c r="Z23" s="166">
        <f t="shared" si="12"/>
        <v>0</v>
      </c>
      <c r="AA23" s="166">
        <f t="shared" si="13"/>
        <v>0</v>
      </c>
      <c r="AB23" s="166">
        <f t="shared" si="14"/>
        <v>0</v>
      </c>
      <c r="AC23" s="166">
        <f t="shared" si="15"/>
        <v>0</v>
      </c>
      <c r="AD23" s="166">
        <f t="shared" si="16"/>
        <v>0</v>
      </c>
      <c r="AE23" s="171">
        <f t="shared" si="17"/>
        <v>0</v>
      </c>
    </row>
    <row r="24" spans="1:31" ht="14.25" customHeight="1">
      <c r="A24" s="253">
        <v>46071</v>
      </c>
      <c r="B24" s="254"/>
      <c r="C24" s="168"/>
      <c r="D24" s="168"/>
      <c r="E24" s="169"/>
      <c r="F24" s="169"/>
      <c r="G24" s="170"/>
      <c r="H24" s="170"/>
      <c r="I24" s="169"/>
      <c r="J24" s="170"/>
      <c r="K24" s="169">
        <f t="shared" si="0"/>
        <v>0</v>
      </c>
      <c r="L24" s="170"/>
      <c r="M24" s="170"/>
      <c r="N24" s="170"/>
      <c r="O24" s="169">
        <f t="shared" si="1"/>
        <v>0</v>
      </c>
      <c r="P24" s="168">
        <f t="shared" si="2"/>
        <v>0</v>
      </c>
      <c r="Q24" s="166">
        <f t="shared" si="3"/>
        <v>0</v>
      </c>
      <c r="R24" s="166">
        <f t="shared" si="4"/>
        <v>0</v>
      </c>
      <c r="S24" s="166">
        <f t="shared" si="5"/>
        <v>0</v>
      </c>
      <c r="T24" s="166">
        <f t="shared" si="6"/>
        <v>0</v>
      </c>
      <c r="U24" s="166">
        <f t="shared" si="7"/>
        <v>0</v>
      </c>
      <c r="V24" s="166">
        <f t="shared" si="8"/>
        <v>0</v>
      </c>
      <c r="W24" s="166">
        <f t="shared" si="9"/>
        <v>0</v>
      </c>
      <c r="X24" s="166">
        <f t="shared" si="10"/>
        <v>0</v>
      </c>
      <c r="Y24" s="166">
        <f t="shared" si="11"/>
        <v>0</v>
      </c>
      <c r="Z24" s="166">
        <f t="shared" si="12"/>
        <v>0</v>
      </c>
      <c r="AA24" s="166">
        <f t="shared" si="13"/>
        <v>0</v>
      </c>
      <c r="AB24" s="166">
        <f t="shared" si="14"/>
        <v>0</v>
      </c>
      <c r="AC24" s="166">
        <f t="shared" si="15"/>
        <v>0</v>
      </c>
      <c r="AD24" s="166">
        <f t="shared" si="16"/>
        <v>0</v>
      </c>
      <c r="AE24" s="171">
        <f t="shared" si="17"/>
        <v>0</v>
      </c>
    </row>
    <row r="25" spans="1:31" ht="14.25" customHeight="1">
      <c r="A25" s="253">
        <v>46072</v>
      </c>
      <c r="B25" s="254"/>
      <c r="C25" s="168"/>
      <c r="D25" s="168"/>
      <c r="E25" s="169"/>
      <c r="F25" s="169"/>
      <c r="G25" s="170"/>
      <c r="H25" s="170"/>
      <c r="I25" s="169"/>
      <c r="J25" s="170"/>
      <c r="K25" s="169">
        <f t="shared" si="0"/>
        <v>0</v>
      </c>
      <c r="L25" s="170"/>
      <c r="M25" s="170"/>
      <c r="N25" s="170"/>
      <c r="O25" s="169">
        <f t="shared" si="1"/>
        <v>0</v>
      </c>
      <c r="P25" s="168">
        <f t="shared" si="2"/>
        <v>0</v>
      </c>
      <c r="Q25" s="166">
        <f t="shared" si="3"/>
        <v>0</v>
      </c>
      <c r="R25" s="166">
        <f t="shared" si="4"/>
        <v>0</v>
      </c>
      <c r="S25" s="166">
        <f t="shared" si="5"/>
        <v>0</v>
      </c>
      <c r="T25" s="166">
        <f t="shared" si="6"/>
        <v>0</v>
      </c>
      <c r="U25" s="166">
        <f t="shared" si="7"/>
        <v>0</v>
      </c>
      <c r="V25" s="166">
        <f t="shared" si="8"/>
        <v>0</v>
      </c>
      <c r="W25" s="166">
        <f t="shared" si="9"/>
        <v>0</v>
      </c>
      <c r="X25" s="166">
        <f t="shared" si="10"/>
        <v>0</v>
      </c>
      <c r="Y25" s="166">
        <f t="shared" si="11"/>
        <v>0</v>
      </c>
      <c r="Z25" s="166">
        <f t="shared" si="12"/>
        <v>0</v>
      </c>
      <c r="AA25" s="166">
        <f t="shared" si="13"/>
        <v>0</v>
      </c>
      <c r="AB25" s="166">
        <f t="shared" si="14"/>
        <v>0</v>
      </c>
      <c r="AC25" s="166">
        <f t="shared" si="15"/>
        <v>0</v>
      </c>
      <c r="AD25" s="166">
        <f t="shared" si="16"/>
        <v>0</v>
      </c>
      <c r="AE25" s="171">
        <f t="shared" si="17"/>
        <v>0</v>
      </c>
    </row>
    <row r="26" spans="1:31" ht="14.25" customHeight="1">
      <c r="A26" s="253">
        <v>46073</v>
      </c>
      <c r="B26" s="254"/>
      <c r="C26" s="168"/>
      <c r="D26" s="168"/>
      <c r="E26" s="169"/>
      <c r="F26" s="169"/>
      <c r="G26" s="170"/>
      <c r="H26" s="170"/>
      <c r="I26" s="169"/>
      <c r="J26" s="170"/>
      <c r="K26" s="169">
        <f t="shared" si="0"/>
        <v>0</v>
      </c>
      <c r="L26" s="170"/>
      <c r="M26" s="170"/>
      <c r="N26" s="170"/>
      <c r="O26" s="169">
        <f t="shared" si="1"/>
        <v>0</v>
      </c>
      <c r="P26" s="168">
        <f t="shared" si="2"/>
        <v>0</v>
      </c>
      <c r="Q26" s="166">
        <f t="shared" si="3"/>
        <v>0</v>
      </c>
      <c r="R26" s="166">
        <f t="shared" si="4"/>
        <v>0</v>
      </c>
      <c r="S26" s="166">
        <f t="shared" si="5"/>
        <v>0</v>
      </c>
      <c r="T26" s="166">
        <f t="shared" si="6"/>
        <v>0</v>
      </c>
      <c r="U26" s="166">
        <f t="shared" si="7"/>
        <v>0</v>
      </c>
      <c r="V26" s="166">
        <f t="shared" si="8"/>
        <v>0</v>
      </c>
      <c r="W26" s="166">
        <f t="shared" si="9"/>
        <v>0</v>
      </c>
      <c r="X26" s="166">
        <f t="shared" si="10"/>
        <v>0</v>
      </c>
      <c r="Y26" s="166">
        <f t="shared" si="11"/>
        <v>0</v>
      </c>
      <c r="Z26" s="166">
        <f t="shared" si="12"/>
        <v>0</v>
      </c>
      <c r="AA26" s="166">
        <f t="shared" si="13"/>
        <v>0</v>
      </c>
      <c r="AB26" s="166">
        <f t="shared" si="14"/>
        <v>0</v>
      </c>
      <c r="AC26" s="166">
        <f t="shared" si="15"/>
        <v>0</v>
      </c>
      <c r="AD26" s="166">
        <f t="shared" si="16"/>
        <v>0</v>
      </c>
      <c r="AE26" s="171">
        <f t="shared" si="17"/>
        <v>0</v>
      </c>
    </row>
    <row r="27" spans="1:31" ht="14.25" customHeight="1">
      <c r="A27" s="253">
        <v>46074</v>
      </c>
      <c r="B27" s="254"/>
      <c r="C27" s="168"/>
      <c r="D27" s="168"/>
      <c r="E27" s="169"/>
      <c r="F27" s="169"/>
      <c r="G27" s="170"/>
      <c r="H27" s="170"/>
      <c r="I27" s="169"/>
      <c r="J27" s="170"/>
      <c r="K27" s="169">
        <f t="shared" si="0"/>
        <v>0</v>
      </c>
      <c r="L27" s="170"/>
      <c r="M27" s="170"/>
      <c r="N27" s="170"/>
      <c r="O27" s="169">
        <f t="shared" si="1"/>
        <v>0</v>
      </c>
      <c r="P27" s="168">
        <f t="shared" si="2"/>
        <v>0</v>
      </c>
      <c r="Q27" s="166">
        <f t="shared" si="3"/>
        <v>0</v>
      </c>
      <c r="R27" s="166">
        <f t="shared" si="4"/>
        <v>0</v>
      </c>
      <c r="S27" s="166">
        <f t="shared" si="5"/>
        <v>0</v>
      </c>
      <c r="T27" s="166">
        <f t="shared" si="6"/>
        <v>0</v>
      </c>
      <c r="U27" s="166">
        <f t="shared" si="7"/>
        <v>0</v>
      </c>
      <c r="V27" s="166">
        <f t="shared" si="8"/>
        <v>0</v>
      </c>
      <c r="W27" s="166">
        <f t="shared" si="9"/>
        <v>0</v>
      </c>
      <c r="X27" s="166">
        <f t="shared" si="10"/>
        <v>0</v>
      </c>
      <c r="Y27" s="166">
        <f t="shared" si="11"/>
        <v>0</v>
      </c>
      <c r="Z27" s="166">
        <f t="shared" si="12"/>
        <v>0</v>
      </c>
      <c r="AA27" s="166">
        <f t="shared" si="13"/>
        <v>0</v>
      </c>
      <c r="AB27" s="166">
        <f t="shared" si="14"/>
        <v>0</v>
      </c>
      <c r="AC27" s="166">
        <f t="shared" si="15"/>
        <v>0</v>
      </c>
      <c r="AD27" s="166">
        <f t="shared" si="16"/>
        <v>0</v>
      </c>
      <c r="AE27" s="171">
        <f t="shared" si="17"/>
        <v>0</v>
      </c>
    </row>
    <row r="28" spans="1:31" ht="14.25" customHeight="1">
      <c r="A28" s="253">
        <v>46075</v>
      </c>
      <c r="B28" s="254"/>
      <c r="C28" s="168"/>
      <c r="D28" s="168"/>
      <c r="E28" s="169"/>
      <c r="F28" s="169"/>
      <c r="G28" s="170"/>
      <c r="H28" s="170"/>
      <c r="I28" s="169"/>
      <c r="J28" s="170"/>
      <c r="K28" s="169">
        <f t="shared" si="0"/>
        <v>0</v>
      </c>
      <c r="L28" s="170"/>
      <c r="M28" s="170"/>
      <c r="N28" s="170"/>
      <c r="O28" s="169">
        <f t="shared" si="1"/>
        <v>0</v>
      </c>
      <c r="P28" s="168">
        <f t="shared" si="2"/>
        <v>0</v>
      </c>
      <c r="Q28" s="166">
        <f t="shared" si="3"/>
        <v>0</v>
      </c>
      <c r="R28" s="166">
        <f t="shared" si="4"/>
        <v>0</v>
      </c>
      <c r="S28" s="166">
        <f t="shared" si="5"/>
        <v>0</v>
      </c>
      <c r="T28" s="166">
        <f t="shared" si="6"/>
        <v>0</v>
      </c>
      <c r="U28" s="166">
        <f t="shared" si="7"/>
        <v>0</v>
      </c>
      <c r="V28" s="166">
        <f t="shared" si="8"/>
        <v>0</v>
      </c>
      <c r="W28" s="166">
        <f t="shared" si="9"/>
        <v>0</v>
      </c>
      <c r="X28" s="166">
        <f t="shared" si="10"/>
        <v>0</v>
      </c>
      <c r="Y28" s="166">
        <f t="shared" si="11"/>
        <v>0</v>
      </c>
      <c r="Z28" s="166">
        <f t="shared" si="12"/>
        <v>0</v>
      </c>
      <c r="AA28" s="166">
        <f t="shared" si="13"/>
        <v>0</v>
      </c>
      <c r="AB28" s="166">
        <f t="shared" si="14"/>
        <v>0</v>
      </c>
      <c r="AC28" s="166">
        <f t="shared" si="15"/>
        <v>0</v>
      </c>
      <c r="AD28" s="166">
        <f t="shared" si="16"/>
        <v>0</v>
      </c>
      <c r="AE28" s="171">
        <f t="shared" si="17"/>
        <v>0</v>
      </c>
    </row>
    <row r="29" spans="1:31" ht="14.25" customHeight="1">
      <c r="A29" s="253">
        <v>46076</v>
      </c>
      <c r="B29" s="254"/>
      <c r="C29" s="175"/>
      <c r="D29" s="175"/>
      <c r="E29" s="175"/>
      <c r="F29" s="175"/>
      <c r="G29" s="175"/>
      <c r="H29" s="175"/>
      <c r="I29" s="175"/>
      <c r="J29" s="170"/>
      <c r="K29" s="169">
        <f t="shared" si="0"/>
        <v>0</v>
      </c>
      <c r="L29" s="170"/>
      <c r="M29" s="170"/>
      <c r="N29" s="170"/>
      <c r="O29" s="169">
        <f t="shared" si="1"/>
        <v>0</v>
      </c>
      <c r="P29" s="168">
        <f t="shared" si="2"/>
        <v>0</v>
      </c>
      <c r="Q29" s="166">
        <f t="shared" si="3"/>
        <v>0</v>
      </c>
      <c r="R29" s="166">
        <f t="shared" si="4"/>
        <v>0</v>
      </c>
      <c r="S29" s="166">
        <f t="shared" si="5"/>
        <v>0</v>
      </c>
      <c r="T29" s="166">
        <f t="shared" si="6"/>
        <v>0</v>
      </c>
      <c r="U29" s="166">
        <f t="shared" si="7"/>
        <v>0</v>
      </c>
      <c r="V29" s="166">
        <f t="shared" si="8"/>
        <v>0</v>
      </c>
      <c r="W29" s="166">
        <f t="shared" si="9"/>
        <v>0</v>
      </c>
      <c r="X29" s="166">
        <f t="shared" si="10"/>
        <v>0</v>
      </c>
      <c r="Y29" s="166">
        <f t="shared" si="11"/>
        <v>0</v>
      </c>
      <c r="Z29" s="166">
        <f t="shared" si="12"/>
        <v>0</v>
      </c>
      <c r="AA29" s="166">
        <f t="shared" si="13"/>
        <v>0</v>
      </c>
      <c r="AB29" s="166">
        <f t="shared" si="14"/>
        <v>0</v>
      </c>
      <c r="AC29" s="166">
        <f t="shared" si="15"/>
        <v>0</v>
      </c>
      <c r="AD29" s="166">
        <f t="shared" si="16"/>
        <v>0</v>
      </c>
      <c r="AE29" s="171">
        <f t="shared" si="17"/>
        <v>0</v>
      </c>
    </row>
    <row r="30" spans="1:31" ht="14.25" customHeight="1">
      <c r="A30" s="253">
        <v>46077</v>
      </c>
      <c r="B30" s="254"/>
      <c r="C30" s="168"/>
      <c r="D30" s="168"/>
      <c r="E30" s="169"/>
      <c r="F30" s="169"/>
      <c r="G30" s="170"/>
      <c r="H30" s="170"/>
      <c r="I30" s="169"/>
      <c r="J30" s="170"/>
      <c r="K30" s="169">
        <f t="shared" si="0"/>
        <v>0</v>
      </c>
      <c r="L30" s="170"/>
      <c r="M30" s="170"/>
      <c r="N30" s="170"/>
      <c r="O30" s="169">
        <f t="shared" si="1"/>
        <v>0</v>
      </c>
      <c r="P30" s="168">
        <f t="shared" si="2"/>
        <v>0</v>
      </c>
      <c r="Q30" s="166">
        <f t="shared" si="3"/>
        <v>0</v>
      </c>
      <c r="R30" s="166">
        <f t="shared" si="4"/>
        <v>0</v>
      </c>
      <c r="S30" s="166">
        <f t="shared" si="5"/>
        <v>0</v>
      </c>
      <c r="T30" s="166">
        <f t="shared" si="6"/>
        <v>0</v>
      </c>
      <c r="U30" s="166">
        <f t="shared" si="7"/>
        <v>0</v>
      </c>
      <c r="V30" s="166">
        <f t="shared" si="8"/>
        <v>0</v>
      </c>
      <c r="W30" s="166">
        <f t="shared" si="9"/>
        <v>0</v>
      </c>
      <c r="X30" s="166">
        <f t="shared" si="10"/>
        <v>0</v>
      </c>
      <c r="Y30" s="166">
        <f t="shared" si="11"/>
        <v>0</v>
      </c>
      <c r="Z30" s="166">
        <f t="shared" si="12"/>
        <v>0</v>
      </c>
      <c r="AA30" s="166">
        <f t="shared" si="13"/>
        <v>0</v>
      </c>
      <c r="AB30" s="166">
        <f t="shared" si="14"/>
        <v>0</v>
      </c>
      <c r="AC30" s="166">
        <f t="shared" si="15"/>
        <v>0</v>
      </c>
      <c r="AD30" s="166">
        <f t="shared" si="16"/>
        <v>0</v>
      </c>
      <c r="AE30" s="171">
        <f t="shared" si="17"/>
        <v>0</v>
      </c>
    </row>
    <row r="31" spans="1:31" ht="14.25" customHeight="1">
      <c r="A31" s="253">
        <v>46078</v>
      </c>
      <c r="B31" s="254"/>
      <c r="C31" s="168"/>
      <c r="D31" s="168"/>
      <c r="E31" s="169"/>
      <c r="F31" s="169"/>
      <c r="G31" s="170"/>
      <c r="H31" s="170"/>
      <c r="I31" s="169"/>
      <c r="J31" s="170"/>
      <c r="K31" s="169">
        <f t="shared" si="0"/>
        <v>0</v>
      </c>
      <c r="L31" s="170"/>
      <c r="M31" s="170"/>
      <c r="N31" s="170"/>
      <c r="O31" s="169">
        <f t="shared" si="1"/>
        <v>0</v>
      </c>
      <c r="P31" s="168">
        <f t="shared" si="2"/>
        <v>0</v>
      </c>
      <c r="Q31" s="166">
        <f t="shared" si="3"/>
        <v>0</v>
      </c>
      <c r="R31" s="166">
        <f t="shared" si="4"/>
        <v>0</v>
      </c>
      <c r="S31" s="166">
        <f t="shared" si="5"/>
        <v>0</v>
      </c>
      <c r="T31" s="166">
        <f t="shared" si="6"/>
        <v>0</v>
      </c>
      <c r="U31" s="166">
        <f t="shared" si="7"/>
        <v>0</v>
      </c>
      <c r="V31" s="166">
        <f t="shared" si="8"/>
        <v>0</v>
      </c>
      <c r="W31" s="166">
        <f t="shared" si="9"/>
        <v>0</v>
      </c>
      <c r="X31" s="166">
        <f t="shared" si="10"/>
        <v>0</v>
      </c>
      <c r="Y31" s="166">
        <f t="shared" si="11"/>
        <v>0</v>
      </c>
      <c r="Z31" s="166">
        <f t="shared" si="12"/>
        <v>0</v>
      </c>
      <c r="AA31" s="166">
        <f t="shared" si="13"/>
        <v>0</v>
      </c>
      <c r="AB31" s="166">
        <f t="shared" si="14"/>
        <v>0</v>
      </c>
      <c r="AC31" s="166">
        <f t="shared" si="15"/>
        <v>0</v>
      </c>
      <c r="AD31" s="166">
        <f t="shared" si="16"/>
        <v>0</v>
      </c>
      <c r="AE31" s="171">
        <f t="shared" si="17"/>
        <v>0</v>
      </c>
    </row>
    <row r="32" spans="1:31" ht="14.25" customHeight="1">
      <c r="A32" s="253">
        <v>46079</v>
      </c>
      <c r="B32" s="254"/>
      <c r="C32" s="168"/>
      <c r="D32" s="168"/>
      <c r="E32" s="169"/>
      <c r="F32" s="169"/>
      <c r="G32" s="170"/>
      <c r="H32" s="170"/>
      <c r="I32" s="169"/>
      <c r="J32" s="170"/>
      <c r="K32" s="169">
        <f t="shared" si="0"/>
        <v>0</v>
      </c>
      <c r="L32" s="170"/>
      <c r="M32" s="170"/>
      <c r="N32" s="170"/>
      <c r="O32" s="169">
        <f t="shared" si="1"/>
        <v>0</v>
      </c>
      <c r="P32" s="168">
        <f t="shared" si="2"/>
        <v>0</v>
      </c>
      <c r="Q32" s="166">
        <f t="shared" si="3"/>
        <v>0</v>
      </c>
      <c r="R32" s="166">
        <f t="shared" si="4"/>
        <v>0</v>
      </c>
      <c r="S32" s="166">
        <f t="shared" si="5"/>
        <v>0</v>
      </c>
      <c r="T32" s="166">
        <f t="shared" si="6"/>
        <v>0</v>
      </c>
      <c r="U32" s="166">
        <f t="shared" si="7"/>
        <v>0</v>
      </c>
      <c r="V32" s="166">
        <f t="shared" si="8"/>
        <v>0</v>
      </c>
      <c r="W32" s="166">
        <f t="shared" si="9"/>
        <v>0</v>
      </c>
      <c r="X32" s="166">
        <f t="shared" si="10"/>
        <v>0</v>
      </c>
      <c r="Y32" s="166">
        <f t="shared" si="11"/>
        <v>0</v>
      </c>
      <c r="Z32" s="166">
        <f t="shared" si="12"/>
        <v>0</v>
      </c>
      <c r="AA32" s="166">
        <f t="shared" si="13"/>
        <v>0</v>
      </c>
      <c r="AB32" s="166">
        <f t="shared" si="14"/>
        <v>0</v>
      </c>
      <c r="AC32" s="166">
        <f t="shared" si="15"/>
        <v>0</v>
      </c>
      <c r="AD32" s="166">
        <f t="shared" si="16"/>
        <v>0</v>
      </c>
      <c r="AE32" s="171">
        <f t="shared" si="17"/>
        <v>0</v>
      </c>
    </row>
    <row r="33" spans="1:31" ht="14.25" customHeight="1">
      <c r="A33" s="253">
        <v>46080</v>
      </c>
      <c r="B33" s="254"/>
      <c r="C33" s="168"/>
      <c r="D33" s="168"/>
      <c r="E33" s="169"/>
      <c r="F33" s="169"/>
      <c r="G33" s="170"/>
      <c r="H33" s="170"/>
      <c r="I33" s="169"/>
      <c r="J33" s="170"/>
      <c r="K33" s="169">
        <f t="shared" si="0"/>
        <v>0</v>
      </c>
      <c r="L33" s="170"/>
      <c r="M33" s="170"/>
      <c r="N33" s="170"/>
      <c r="O33" s="169">
        <f t="shared" si="1"/>
        <v>0</v>
      </c>
      <c r="P33" s="168">
        <f t="shared" si="2"/>
        <v>0</v>
      </c>
      <c r="Q33" s="166">
        <f t="shared" si="3"/>
        <v>0</v>
      </c>
      <c r="R33" s="166">
        <f t="shared" si="4"/>
        <v>0</v>
      </c>
      <c r="S33" s="166">
        <f t="shared" si="5"/>
        <v>0</v>
      </c>
      <c r="T33" s="166">
        <f t="shared" si="6"/>
        <v>0</v>
      </c>
      <c r="U33" s="166">
        <f t="shared" si="7"/>
        <v>0</v>
      </c>
      <c r="V33" s="166">
        <f t="shared" si="8"/>
        <v>0</v>
      </c>
      <c r="W33" s="166">
        <f t="shared" si="9"/>
        <v>0</v>
      </c>
      <c r="X33" s="166">
        <f t="shared" si="10"/>
        <v>0</v>
      </c>
      <c r="Y33" s="166">
        <f t="shared" si="11"/>
        <v>0</v>
      </c>
      <c r="Z33" s="166">
        <f t="shared" si="12"/>
        <v>0</v>
      </c>
      <c r="AA33" s="166">
        <f t="shared" si="13"/>
        <v>0</v>
      </c>
      <c r="AB33" s="166">
        <f t="shared" si="14"/>
        <v>0</v>
      </c>
      <c r="AC33" s="166">
        <f t="shared" si="15"/>
        <v>0</v>
      </c>
      <c r="AD33" s="166">
        <f t="shared" si="16"/>
        <v>0</v>
      </c>
      <c r="AE33" s="171">
        <f t="shared" si="17"/>
        <v>0</v>
      </c>
    </row>
    <row r="34" spans="1:31" ht="14.25" customHeight="1">
      <c r="A34" s="253">
        <v>46081</v>
      </c>
      <c r="B34" s="254"/>
      <c r="C34" s="168"/>
      <c r="D34" s="168"/>
      <c r="E34" s="169"/>
      <c r="F34" s="169"/>
      <c r="G34" s="169"/>
      <c r="H34" s="170"/>
      <c r="I34" s="169"/>
      <c r="J34" s="170"/>
      <c r="K34" s="169">
        <f t="shared" si="0"/>
        <v>0</v>
      </c>
      <c r="L34" s="169"/>
      <c r="M34" s="169"/>
      <c r="N34" s="169"/>
      <c r="O34" s="169">
        <f t="shared" si="1"/>
        <v>0</v>
      </c>
      <c r="P34" s="168">
        <f t="shared" si="2"/>
        <v>0</v>
      </c>
      <c r="Q34" s="166">
        <f t="shared" si="3"/>
        <v>0</v>
      </c>
      <c r="R34" s="166">
        <f t="shared" si="4"/>
        <v>0</v>
      </c>
      <c r="S34" s="166">
        <f t="shared" si="5"/>
        <v>0</v>
      </c>
      <c r="T34" s="166">
        <f t="shared" si="6"/>
        <v>0</v>
      </c>
      <c r="U34" s="166">
        <f t="shared" si="7"/>
        <v>0</v>
      </c>
      <c r="V34" s="166">
        <f t="shared" si="8"/>
        <v>0</v>
      </c>
      <c r="W34" s="166">
        <f t="shared" si="9"/>
        <v>0</v>
      </c>
      <c r="X34" s="166">
        <f t="shared" si="10"/>
        <v>0</v>
      </c>
      <c r="Y34" s="166">
        <f t="shared" si="11"/>
        <v>0</v>
      </c>
      <c r="Z34" s="166">
        <f t="shared" si="12"/>
        <v>0</v>
      </c>
      <c r="AA34" s="166">
        <f t="shared" si="13"/>
        <v>0</v>
      </c>
      <c r="AB34" s="166">
        <f t="shared" si="14"/>
        <v>0</v>
      </c>
      <c r="AC34" s="166">
        <f t="shared" si="15"/>
        <v>0</v>
      </c>
      <c r="AD34" s="166">
        <f t="shared" si="16"/>
        <v>0</v>
      </c>
      <c r="AE34" s="171">
        <f t="shared" si="17"/>
        <v>0</v>
      </c>
    </row>
    <row r="35" spans="1:31" ht="14.25" customHeight="1">
      <c r="A35" s="253"/>
      <c r="B35" s="254"/>
      <c r="C35" s="168"/>
      <c r="D35" s="168"/>
      <c r="E35" s="169"/>
      <c r="F35" s="169"/>
      <c r="G35" s="169"/>
      <c r="H35" s="170"/>
      <c r="I35" s="169"/>
      <c r="J35" s="170"/>
      <c r="K35" s="169"/>
      <c r="L35" s="169"/>
      <c r="M35" s="169"/>
      <c r="N35" s="169"/>
      <c r="O35" s="169">
        <f t="shared" si="1"/>
        <v>0</v>
      </c>
      <c r="P35" s="168">
        <f t="shared" si="2"/>
        <v>0</v>
      </c>
      <c r="Q35" s="166">
        <f t="shared" si="3"/>
        <v>0</v>
      </c>
      <c r="R35" s="166">
        <f t="shared" si="4"/>
        <v>0</v>
      </c>
      <c r="S35" s="166">
        <f t="shared" si="5"/>
        <v>0</v>
      </c>
      <c r="T35" s="166">
        <f t="shared" si="6"/>
        <v>0</v>
      </c>
      <c r="U35" s="166">
        <f t="shared" si="7"/>
        <v>0</v>
      </c>
      <c r="V35" s="166">
        <f t="shared" si="8"/>
        <v>0</v>
      </c>
      <c r="W35" s="166">
        <f t="shared" si="9"/>
        <v>0</v>
      </c>
      <c r="X35" s="166">
        <f t="shared" si="10"/>
        <v>0</v>
      </c>
      <c r="Y35" s="166">
        <f t="shared" si="11"/>
        <v>0</v>
      </c>
      <c r="Z35" s="166">
        <f t="shared" si="12"/>
        <v>0</v>
      </c>
      <c r="AA35" s="166">
        <f t="shared" si="13"/>
        <v>0</v>
      </c>
      <c r="AB35" s="166">
        <f t="shared" si="14"/>
        <v>0</v>
      </c>
      <c r="AC35" s="166">
        <f t="shared" si="15"/>
        <v>0</v>
      </c>
      <c r="AD35" s="166">
        <f t="shared" si="16"/>
        <v>0</v>
      </c>
      <c r="AE35" s="171">
        <f t="shared" si="17"/>
        <v>0</v>
      </c>
    </row>
    <row r="36" spans="1:31" ht="14.25" customHeight="1">
      <c r="A36" s="253"/>
      <c r="B36" s="254"/>
      <c r="C36" s="168"/>
      <c r="D36" s="168"/>
      <c r="E36" s="169"/>
      <c r="F36" s="169"/>
      <c r="G36" s="169"/>
      <c r="H36" s="170"/>
      <c r="I36" s="169"/>
      <c r="J36" s="170"/>
      <c r="K36" s="169"/>
      <c r="L36" s="169"/>
      <c r="M36" s="169"/>
      <c r="N36" s="169"/>
      <c r="O36" s="169">
        <f t="shared" si="1"/>
        <v>0</v>
      </c>
      <c r="P36" s="168">
        <f t="shared" si="2"/>
        <v>0</v>
      </c>
      <c r="Q36" s="166">
        <f t="shared" si="3"/>
        <v>0</v>
      </c>
      <c r="R36" s="166">
        <f t="shared" si="4"/>
        <v>0</v>
      </c>
      <c r="S36" s="166">
        <f t="shared" si="5"/>
        <v>0</v>
      </c>
      <c r="T36" s="166">
        <f t="shared" si="6"/>
        <v>0</v>
      </c>
      <c r="U36" s="166">
        <f t="shared" si="7"/>
        <v>0</v>
      </c>
      <c r="V36" s="166">
        <f t="shared" si="8"/>
        <v>0</v>
      </c>
      <c r="W36" s="166">
        <f t="shared" si="9"/>
        <v>0</v>
      </c>
      <c r="X36" s="166">
        <f t="shared" si="10"/>
        <v>0</v>
      </c>
      <c r="Y36" s="166">
        <f t="shared" si="11"/>
        <v>0</v>
      </c>
      <c r="Z36" s="166">
        <f t="shared" si="12"/>
        <v>0</v>
      </c>
      <c r="AA36" s="166">
        <f t="shared" si="13"/>
        <v>0</v>
      </c>
      <c r="AB36" s="166">
        <f t="shared" si="14"/>
        <v>0</v>
      </c>
      <c r="AC36" s="166">
        <f t="shared" si="15"/>
        <v>0</v>
      </c>
      <c r="AD36" s="166">
        <f t="shared" si="16"/>
        <v>0</v>
      </c>
      <c r="AE36" s="171">
        <f t="shared" si="17"/>
        <v>0</v>
      </c>
    </row>
    <row r="37" spans="1:31" ht="14.25" customHeight="1" thickBot="1">
      <c r="A37" s="253"/>
      <c r="B37" s="254"/>
      <c r="C37" s="168"/>
      <c r="D37" s="168"/>
      <c r="E37" s="169"/>
      <c r="F37" s="169"/>
      <c r="G37" s="169"/>
      <c r="H37" s="170"/>
      <c r="I37" s="169"/>
      <c r="J37" s="170"/>
      <c r="K37" s="169"/>
      <c r="L37" s="169"/>
      <c r="M37" s="169"/>
      <c r="N37" s="169"/>
      <c r="O37" s="169">
        <f t="shared" si="1"/>
        <v>0</v>
      </c>
      <c r="P37" s="168">
        <f t="shared" si="2"/>
        <v>0</v>
      </c>
      <c r="Q37" s="166">
        <f t="shared" si="3"/>
        <v>0</v>
      </c>
      <c r="R37" s="166">
        <f t="shared" si="4"/>
        <v>0</v>
      </c>
      <c r="S37" s="166">
        <f t="shared" si="5"/>
        <v>0</v>
      </c>
      <c r="T37" s="166">
        <f t="shared" si="6"/>
        <v>0</v>
      </c>
      <c r="U37" s="166">
        <f t="shared" si="7"/>
        <v>0</v>
      </c>
      <c r="V37" s="166">
        <f t="shared" si="8"/>
        <v>0</v>
      </c>
      <c r="W37" s="166">
        <f t="shared" si="9"/>
        <v>0</v>
      </c>
      <c r="X37" s="166">
        <f t="shared" si="10"/>
        <v>0</v>
      </c>
      <c r="Y37" s="166">
        <f t="shared" si="11"/>
        <v>0</v>
      </c>
      <c r="Z37" s="166">
        <f t="shared" si="12"/>
        <v>0</v>
      </c>
      <c r="AA37" s="166">
        <f t="shared" si="13"/>
        <v>0</v>
      </c>
      <c r="AB37" s="166">
        <f t="shared" si="14"/>
        <v>0</v>
      </c>
      <c r="AC37" s="166">
        <f t="shared" si="15"/>
        <v>0</v>
      </c>
      <c r="AD37" s="166">
        <f t="shared" si="16"/>
        <v>0</v>
      </c>
      <c r="AE37" s="171">
        <f t="shared" ref="AE37" si="18">SUM(Q37:AD37)</f>
        <v>0</v>
      </c>
    </row>
    <row r="38" spans="1:31" ht="14.25" customHeight="1" thickBot="1">
      <c r="A38" s="270" t="s">
        <v>26</v>
      </c>
      <c r="B38" s="271"/>
      <c r="C38" s="176">
        <f t="shared" ref="C38:P38" si="19">SUM(C7:C37)</f>
        <v>0</v>
      </c>
      <c r="D38" s="176">
        <f t="shared" si="19"/>
        <v>0</v>
      </c>
      <c r="E38" s="176">
        <f t="shared" si="19"/>
        <v>8</v>
      </c>
      <c r="F38" s="176">
        <f t="shared" si="19"/>
        <v>0</v>
      </c>
      <c r="G38" s="176">
        <f t="shared" si="19"/>
        <v>0</v>
      </c>
      <c r="H38" s="176">
        <f t="shared" si="19"/>
        <v>0</v>
      </c>
      <c r="I38" s="176">
        <f t="shared" si="19"/>
        <v>0</v>
      </c>
      <c r="J38" s="176">
        <f t="shared" si="19"/>
        <v>0</v>
      </c>
      <c r="K38" s="176">
        <f t="shared" si="19"/>
        <v>0</v>
      </c>
      <c r="L38" s="176">
        <f t="shared" si="19"/>
        <v>0</v>
      </c>
      <c r="M38" s="176">
        <f t="shared" si="19"/>
        <v>0</v>
      </c>
      <c r="N38" s="176">
        <f t="shared" si="19"/>
        <v>0</v>
      </c>
      <c r="O38" s="176">
        <f t="shared" si="19"/>
        <v>8</v>
      </c>
      <c r="P38" s="176">
        <f t="shared" si="19"/>
        <v>88</v>
      </c>
      <c r="Q38" s="177">
        <f>SUM(Q7:Q37)</f>
        <v>0</v>
      </c>
      <c r="R38" s="177">
        <f t="shared" ref="R38:AD38" si="20">SUM(R7:R37)</f>
        <v>0</v>
      </c>
      <c r="S38" s="177">
        <f t="shared" si="20"/>
        <v>1800</v>
      </c>
      <c r="T38" s="177">
        <f t="shared" si="20"/>
        <v>0</v>
      </c>
      <c r="U38" s="177">
        <f t="shared" si="20"/>
        <v>0</v>
      </c>
      <c r="V38" s="177">
        <f t="shared" si="20"/>
        <v>0</v>
      </c>
      <c r="W38" s="177">
        <f t="shared" si="20"/>
        <v>0</v>
      </c>
      <c r="X38" s="177">
        <f t="shared" si="20"/>
        <v>0</v>
      </c>
      <c r="Y38" s="177">
        <f t="shared" si="20"/>
        <v>0</v>
      </c>
      <c r="Z38" s="177">
        <f t="shared" si="20"/>
        <v>0</v>
      </c>
      <c r="AA38" s="177">
        <f t="shared" si="20"/>
        <v>0</v>
      </c>
      <c r="AB38" s="177">
        <f t="shared" si="20"/>
        <v>0</v>
      </c>
      <c r="AC38" s="177">
        <f t="shared" si="20"/>
        <v>1944</v>
      </c>
      <c r="AD38" s="177">
        <f t="shared" si="20"/>
        <v>2904</v>
      </c>
      <c r="AE38" s="178">
        <f>SUM(AE7:AE37)</f>
        <v>6648</v>
      </c>
    </row>
    <row r="39" spans="1:31" ht="14.25" customHeight="1"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AE39" s="179">
        <v>0</v>
      </c>
    </row>
    <row r="40" spans="1:31" ht="14.25" customHeight="1" thickBot="1"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AD40" s="180"/>
      <c r="AE40" s="181">
        <f>-(K3*14+K3*24+K3*2*2.7)</f>
        <v>0</v>
      </c>
    </row>
    <row r="41" spans="1:31" ht="14.25" customHeight="1"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AE41" s="182">
        <f>AE38+AE39+AE40</f>
        <v>6648</v>
      </c>
    </row>
    <row r="42" spans="1:31" ht="14.25" customHeight="1"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AE42" s="160"/>
    </row>
    <row r="43" spans="1:31" ht="14.25" customHeight="1"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AE43" s="160"/>
    </row>
    <row r="44" spans="1:31" ht="14.25" customHeight="1"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AE44" s="160"/>
    </row>
    <row r="45" spans="1:31" ht="14.25" customHeight="1"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AE45" s="160"/>
    </row>
    <row r="46" spans="1:31" ht="14.25" customHeight="1"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AE46" s="160"/>
    </row>
    <row r="47" spans="1:31" ht="14.25" customHeight="1"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AE47" s="160"/>
    </row>
    <row r="48" spans="1:31" ht="14.25" customHeight="1"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AE48" s="160"/>
    </row>
    <row r="49" spans="3:31" ht="14.25" customHeight="1"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AE49" s="160"/>
    </row>
    <row r="50" spans="3:31" ht="14.25" customHeight="1"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AE50" s="160"/>
    </row>
    <row r="51" spans="3:31" ht="14.25" customHeight="1"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AE51" s="160"/>
    </row>
    <row r="52" spans="3:31" ht="14.25" customHeight="1"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AE52" s="160"/>
    </row>
    <row r="53" spans="3:31" ht="14.25" customHeight="1"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AE53" s="160"/>
    </row>
    <row r="54" spans="3:31" ht="14.25" customHeight="1"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AE54" s="160"/>
    </row>
    <row r="55" spans="3:31" ht="14.25" customHeight="1"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AE55" s="160"/>
    </row>
    <row r="56" spans="3:31" ht="14.25" customHeight="1"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AE56" s="160"/>
    </row>
    <row r="57" spans="3:31" ht="14.25" customHeight="1"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AE57" s="160"/>
    </row>
    <row r="58" spans="3:31" ht="14.25" customHeight="1"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AE58" s="160"/>
    </row>
    <row r="59" spans="3:31" ht="14.25" customHeight="1"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AE59" s="160"/>
    </row>
    <row r="60" spans="3:31" ht="14.25" customHeight="1"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AE60" s="160"/>
    </row>
    <row r="61" spans="3:31" ht="14.25" customHeight="1"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AE61" s="160"/>
    </row>
    <row r="62" spans="3:31" ht="14.25" customHeight="1"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AE62" s="160"/>
    </row>
    <row r="63" spans="3:31" ht="14.25" customHeight="1"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AE63" s="160"/>
    </row>
    <row r="64" spans="3:31" ht="14.25" customHeight="1"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AE64" s="160"/>
    </row>
    <row r="65" spans="3:31" ht="14.25" customHeight="1"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AE65" s="160"/>
    </row>
    <row r="66" spans="3:31" ht="14.25" customHeight="1"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AE66" s="160"/>
    </row>
    <row r="67" spans="3:31" ht="14.25" customHeight="1"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AE67" s="160"/>
    </row>
    <row r="68" spans="3:31" ht="14.25" customHeight="1"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AE68" s="160"/>
    </row>
    <row r="69" spans="3:31" ht="14.25" customHeight="1"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AE69" s="160"/>
    </row>
    <row r="70" spans="3:31" ht="14.25" customHeight="1"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AE70" s="160"/>
    </row>
    <row r="71" spans="3:31" ht="14.25" customHeight="1"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AE71" s="160"/>
    </row>
    <row r="72" spans="3:31" ht="14.25" customHeight="1"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AE72" s="160"/>
    </row>
    <row r="73" spans="3:31" ht="14.25" customHeight="1"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AE73" s="160"/>
    </row>
    <row r="74" spans="3:31" ht="14.25" customHeight="1"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AE74" s="160"/>
    </row>
    <row r="75" spans="3:31" ht="14.25" customHeight="1"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AE75" s="160"/>
    </row>
    <row r="76" spans="3:31" ht="14.25" customHeight="1"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AE76" s="160"/>
    </row>
    <row r="77" spans="3:31" ht="14.25" customHeight="1"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AE77" s="160"/>
    </row>
    <row r="78" spans="3:31" ht="14.25" customHeight="1"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AE78" s="160"/>
    </row>
    <row r="79" spans="3:31" ht="14.25" customHeight="1"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AE79" s="160"/>
    </row>
    <row r="80" spans="3:31" ht="14.25" customHeight="1"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AE80" s="160"/>
    </row>
    <row r="81" spans="3:31" ht="14.25" customHeight="1"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AE81" s="160"/>
    </row>
    <row r="82" spans="3:31" ht="14.25" customHeight="1"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AE82" s="160"/>
    </row>
    <row r="83" spans="3:31" ht="14.25" customHeight="1"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AE83" s="160"/>
    </row>
    <row r="84" spans="3:31" ht="14.25" customHeight="1"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AE84" s="160"/>
    </row>
    <row r="85" spans="3:31" ht="14.25" customHeight="1"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AE85" s="160"/>
    </row>
    <row r="86" spans="3:31" ht="14.25" customHeight="1"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AE86" s="160"/>
    </row>
    <row r="87" spans="3:31" ht="14.25" customHeight="1"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AE87" s="160"/>
    </row>
    <row r="88" spans="3:31" ht="14.25" customHeight="1"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AE88" s="160"/>
    </row>
    <row r="89" spans="3:31" ht="14.25" customHeight="1"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AE89" s="160"/>
    </row>
    <row r="90" spans="3:31" ht="14.25" customHeight="1"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AE90" s="160"/>
    </row>
    <row r="91" spans="3:31" ht="14.25" customHeight="1"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AE91" s="160"/>
    </row>
    <row r="92" spans="3:31" ht="14.25" customHeight="1"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AE92" s="160"/>
    </row>
    <row r="93" spans="3:31" ht="14.25" customHeight="1"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AE93" s="160"/>
    </row>
    <row r="94" spans="3:31" ht="14.25" customHeight="1"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AE94" s="160"/>
    </row>
    <row r="95" spans="3:31" ht="14.25" customHeight="1"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AE95" s="160"/>
    </row>
    <row r="96" spans="3:31" ht="14.25" customHeight="1"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AE96" s="160"/>
    </row>
    <row r="97" spans="3:31" ht="14.25" customHeight="1"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AE97" s="160"/>
    </row>
    <row r="98" spans="3:31" ht="14.25" customHeight="1"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AE98" s="160"/>
    </row>
    <row r="99" spans="3:31" ht="14.25" customHeight="1"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AE99" s="160"/>
    </row>
    <row r="100" spans="3:31" ht="14.25" customHeight="1"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AE100" s="160"/>
    </row>
    <row r="101" spans="3:31" ht="14.25" customHeight="1"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AE101" s="160"/>
    </row>
    <row r="102" spans="3:31" ht="14.25" customHeight="1"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AE102" s="160"/>
    </row>
    <row r="103" spans="3:31" ht="14.25" customHeight="1"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AE103" s="160"/>
    </row>
    <row r="104" spans="3:31" ht="14.25" customHeight="1"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AE104" s="160"/>
    </row>
    <row r="105" spans="3:31" ht="14.25" customHeight="1"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AE105" s="160"/>
    </row>
    <row r="106" spans="3:31" ht="14.25" customHeight="1"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AE106" s="160"/>
    </row>
    <row r="107" spans="3:31" ht="14.25" customHeight="1"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AE107" s="160"/>
    </row>
    <row r="108" spans="3:31" ht="14.25" customHeight="1"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AE108" s="160"/>
    </row>
    <row r="109" spans="3:31" ht="14.25" customHeight="1"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AE109" s="160"/>
    </row>
    <row r="110" spans="3:31" ht="14.25" customHeight="1"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AE110" s="160"/>
    </row>
    <row r="111" spans="3:31" ht="14.25" customHeight="1"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AE111" s="160"/>
    </row>
    <row r="112" spans="3:31" ht="14.25" customHeight="1"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AE112" s="160"/>
    </row>
    <row r="113" spans="3:31" ht="14.25" customHeight="1"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AE113" s="160"/>
    </row>
    <row r="114" spans="3:31" ht="14.25" customHeight="1"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AE114" s="160"/>
    </row>
    <row r="115" spans="3:31" ht="14.25" customHeight="1"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AE115" s="160"/>
    </row>
    <row r="116" spans="3:31" ht="14.25" customHeight="1"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AE116" s="160"/>
    </row>
    <row r="117" spans="3:31" ht="14.25" customHeight="1"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AE117" s="160"/>
    </row>
    <row r="118" spans="3:31" ht="14.25" customHeight="1"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AE118" s="160"/>
    </row>
    <row r="119" spans="3:31" ht="14.25" customHeight="1"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AE119" s="160"/>
    </row>
    <row r="120" spans="3:31" ht="14.25" customHeight="1"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AE120" s="160"/>
    </row>
    <row r="121" spans="3:31" ht="14.25" customHeight="1"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AE121" s="160"/>
    </row>
    <row r="122" spans="3:31" ht="14.25" customHeight="1"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AE122" s="160"/>
    </row>
    <row r="123" spans="3:31" ht="14.25" customHeight="1"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AE123" s="160"/>
    </row>
    <row r="124" spans="3:31" ht="14.25" customHeight="1"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AE124" s="160"/>
    </row>
    <row r="125" spans="3:31" ht="14.25" customHeight="1"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AE125" s="160"/>
    </row>
    <row r="126" spans="3:31" ht="14.25" customHeight="1"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AE126" s="160"/>
    </row>
    <row r="127" spans="3:31" ht="14.25" customHeight="1"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AE127" s="160"/>
    </row>
    <row r="128" spans="3:31" ht="14.25" customHeight="1"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AE128" s="160"/>
    </row>
    <row r="129" spans="3:31" ht="14.25" customHeight="1"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AE129" s="160"/>
    </row>
    <row r="130" spans="3:31" ht="14.25" customHeight="1"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AE130" s="160"/>
    </row>
    <row r="131" spans="3:31" ht="14.25" customHeight="1"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AE131" s="160"/>
    </row>
    <row r="132" spans="3:31" ht="14.25" customHeight="1"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AE132" s="160"/>
    </row>
    <row r="133" spans="3:31" ht="14.25" customHeight="1"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AE133" s="160"/>
    </row>
    <row r="134" spans="3:31" ht="14.25" customHeight="1"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AE134" s="160"/>
    </row>
    <row r="135" spans="3:31" ht="14.25" customHeight="1"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AE135" s="160"/>
    </row>
    <row r="136" spans="3:31" ht="14.25" customHeight="1"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AE136" s="160"/>
    </row>
    <row r="137" spans="3:31" ht="14.25" customHeight="1"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AE137" s="160"/>
    </row>
    <row r="138" spans="3:31" ht="14.25" customHeight="1"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AE138" s="160"/>
    </row>
    <row r="139" spans="3:31" ht="14.25" customHeight="1"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AE139" s="160"/>
    </row>
    <row r="140" spans="3:31" ht="14.25" customHeight="1"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AE140" s="160"/>
    </row>
    <row r="141" spans="3:31" ht="14.25" customHeight="1"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AE141" s="160"/>
    </row>
    <row r="142" spans="3:31" ht="14.25" customHeight="1"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AE142" s="160"/>
    </row>
    <row r="143" spans="3:31" ht="14.25" customHeight="1"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AE143" s="160"/>
    </row>
    <row r="144" spans="3:31" ht="14.25" customHeight="1"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AE144" s="160"/>
    </row>
    <row r="145" spans="3:31" ht="14.25" customHeight="1"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AE145" s="160"/>
    </row>
    <row r="146" spans="3:31" ht="14.25" customHeight="1"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AE146" s="160"/>
    </row>
    <row r="147" spans="3:31" ht="14.25" customHeight="1"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AE147" s="160"/>
    </row>
    <row r="148" spans="3:31" ht="14.25" customHeight="1"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AE148" s="160"/>
    </row>
    <row r="149" spans="3:31" ht="14.25" customHeight="1"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AE149" s="160"/>
    </row>
    <row r="150" spans="3:31" ht="14.25" customHeight="1"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AE150" s="160"/>
    </row>
    <row r="151" spans="3:31" ht="14.25" customHeight="1"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AE151" s="160"/>
    </row>
    <row r="152" spans="3:31" ht="14.25" customHeight="1"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AE152" s="160"/>
    </row>
    <row r="153" spans="3:31" ht="14.25" customHeight="1"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AE153" s="160"/>
    </row>
    <row r="154" spans="3:31" ht="14.25" customHeight="1"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AE154" s="160"/>
    </row>
    <row r="155" spans="3:31" ht="14.25" customHeight="1"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AE155" s="160"/>
    </row>
    <row r="156" spans="3:31" ht="14.25" customHeight="1"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AE156" s="160"/>
    </row>
    <row r="157" spans="3:31" ht="14.25" customHeight="1"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AE157" s="160"/>
    </row>
    <row r="158" spans="3:31" ht="14.25" customHeight="1"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AE158" s="160"/>
    </row>
    <row r="159" spans="3:31" ht="14.25" customHeight="1"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AE159" s="160"/>
    </row>
    <row r="160" spans="3:31" ht="14.25" customHeight="1"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AE160" s="160"/>
    </row>
    <row r="161" spans="3:31" ht="14.25" customHeight="1"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AE161" s="160"/>
    </row>
    <row r="162" spans="3:31" ht="14.25" customHeight="1"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AE162" s="160"/>
    </row>
    <row r="163" spans="3:31" ht="14.25" customHeight="1"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AE163" s="160"/>
    </row>
    <row r="164" spans="3:31" ht="14.25" customHeight="1"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AE164" s="160"/>
    </row>
    <row r="165" spans="3:31" ht="14.25" customHeight="1"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AE165" s="160"/>
    </row>
    <row r="166" spans="3:31" ht="14.25" customHeight="1"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AE166" s="160"/>
    </row>
    <row r="167" spans="3:31" ht="14.25" customHeight="1"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AE167" s="160"/>
    </row>
    <row r="168" spans="3:31" ht="14.25" customHeight="1"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AE168" s="160"/>
    </row>
    <row r="169" spans="3:31" ht="14.25" customHeight="1"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AE169" s="160"/>
    </row>
    <row r="170" spans="3:31" ht="14.25" customHeight="1"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AE170" s="160"/>
    </row>
    <row r="171" spans="3:31" ht="14.25" customHeight="1"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AE171" s="160"/>
    </row>
    <row r="172" spans="3:31" ht="14.25" customHeight="1"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AE172" s="160"/>
    </row>
    <row r="173" spans="3:31" ht="14.25" customHeight="1"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AE173" s="160"/>
    </row>
    <row r="174" spans="3:31" ht="14.25" customHeight="1"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AE174" s="160"/>
    </row>
    <row r="175" spans="3:31" ht="14.25" customHeight="1"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AE175" s="160"/>
    </row>
    <row r="176" spans="3:31" ht="14.25" customHeight="1"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AE176" s="160"/>
    </row>
    <row r="177" spans="3:31" ht="14.25" customHeight="1"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AE177" s="160"/>
    </row>
    <row r="178" spans="3:31" ht="14.25" customHeight="1"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AE178" s="160"/>
    </row>
    <row r="179" spans="3:31" ht="14.25" customHeight="1"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AE179" s="160"/>
    </row>
    <row r="180" spans="3:31" ht="14.25" customHeight="1"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AE180" s="160"/>
    </row>
    <row r="181" spans="3:31" ht="14.25" customHeight="1"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AE181" s="160"/>
    </row>
    <row r="182" spans="3:31" ht="14.25" customHeight="1"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AE182" s="160"/>
    </row>
    <row r="183" spans="3:31" ht="14.25" customHeight="1"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AE183" s="160"/>
    </row>
    <row r="184" spans="3:31" ht="14.25" customHeight="1"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AE184" s="160"/>
    </row>
    <row r="185" spans="3:31" ht="14.25" customHeight="1"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AE185" s="160"/>
    </row>
    <row r="186" spans="3:31" ht="14.25" customHeight="1"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AE186" s="160"/>
    </row>
    <row r="187" spans="3:31" ht="14.25" customHeight="1"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AE187" s="160"/>
    </row>
    <row r="188" spans="3:31" ht="14.25" customHeight="1"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AE188" s="160"/>
    </row>
    <row r="189" spans="3:31" ht="14.25" customHeight="1"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AE189" s="160"/>
    </row>
    <row r="190" spans="3:31" ht="14.25" customHeight="1"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AE190" s="160"/>
    </row>
    <row r="191" spans="3:31" ht="14.25" customHeight="1"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AE191" s="160"/>
    </row>
    <row r="192" spans="3:31" ht="14.25" customHeight="1"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AE192" s="160"/>
    </row>
    <row r="193" spans="3:31" ht="14.25" customHeight="1"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AE193" s="160"/>
    </row>
    <row r="194" spans="3:31" ht="14.25" customHeight="1"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AE194" s="160"/>
    </row>
    <row r="195" spans="3:31" ht="14.25" customHeight="1"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AE195" s="160"/>
    </row>
    <row r="196" spans="3:31" ht="14.25" customHeight="1"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AE196" s="160"/>
    </row>
    <row r="197" spans="3:31" ht="14.25" customHeight="1"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AE197" s="160"/>
    </row>
    <row r="198" spans="3:31" ht="14.25" customHeight="1"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AE198" s="160"/>
    </row>
    <row r="199" spans="3:31" ht="14.25" customHeight="1"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AE199" s="160"/>
    </row>
    <row r="200" spans="3:31" ht="14.25" customHeight="1"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AE200" s="160"/>
    </row>
    <row r="201" spans="3:31" ht="14.25" customHeight="1"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AE201" s="160"/>
    </row>
    <row r="202" spans="3:31" ht="14.25" customHeight="1"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AE202" s="160"/>
    </row>
    <row r="203" spans="3:31" ht="14.25" customHeight="1"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AE203" s="160"/>
    </row>
    <row r="204" spans="3:31" ht="14.25" customHeight="1"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AE204" s="160"/>
    </row>
    <row r="205" spans="3:31" ht="14.25" customHeight="1"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AE205" s="160"/>
    </row>
    <row r="206" spans="3:31" ht="14.25" customHeight="1"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AE206" s="160"/>
    </row>
    <row r="207" spans="3:31" ht="14.25" customHeight="1"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AE207" s="160"/>
    </row>
    <row r="208" spans="3:31" ht="14.25" customHeight="1"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AE208" s="160"/>
    </row>
    <row r="209" spans="3:31" ht="14.25" customHeight="1"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AE209" s="160"/>
    </row>
    <row r="210" spans="3:31" ht="14.25" customHeight="1"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AE210" s="160"/>
    </row>
    <row r="211" spans="3:31" ht="14.25" customHeight="1"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AE211" s="160"/>
    </row>
    <row r="212" spans="3:31" ht="14.25" customHeight="1"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AE212" s="160"/>
    </row>
    <row r="213" spans="3:31" ht="14.25" customHeight="1"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AE213" s="160"/>
    </row>
    <row r="214" spans="3:31" ht="14.25" customHeight="1"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AE214" s="160"/>
    </row>
    <row r="215" spans="3:31" ht="14.25" customHeight="1"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AE215" s="160"/>
    </row>
    <row r="216" spans="3:31" ht="14.25" customHeight="1"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AE216" s="160"/>
    </row>
    <row r="217" spans="3:31" ht="14.25" customHeight="1"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AE217" s="160"/>
    </row>
    <row r="218" spans="3:31" ht="14.25" customHeight="1"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AE218" s="160"/>
    </row>
    <row r="219" spans="3:31" ht="14.25" customHeight="1"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AE219" s="160"/>
    </row>
    <row r="220" spans="3:31" ht="14.25" customHeight="1"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AE220" s="160"/>
    </row>
    <row r="221" spans="3:31" ht="14.25" customHeight="1"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AE221" s="160"/>
    </row>
    <row r="222" spans="3:31" ht="14.25" customHeight="1"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AE222" s="160"/>
    </row>
    <row r="223" spans="3:31" ht="14.25" customHeight="1"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AE223" s="160"/>
    </row>
    <row r="224" spans="3:31" ht="14.25" customHeight="1"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AE224" s="160"/>
    </row>
    <row r="225" spans="3:31" ht="14.25" customHeight="1"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AE225" s="160"/>
    </row>
    <row r="226" spans="3:31" ht="14.25" customHeight="1"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AE226" s="160"/>
    </row>
    <row r="227" spans="3:31" ht="14.25" customHeight="1"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AE227" s="160"/>
    </row>
    <row r="228" spans="3:31" ht="14.25" customHeight="1"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AE228" s="160"/>
    </row>
    <row r="229" spans="3:31" ht="14.25" customHeight="1"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AE229" s="160"/>
    </row>
    <row r="230" spans="3:31" ht="14.25" customHeight="1"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AE230" s="160"/>
    </row>
    <row r="231" spans="3:31" ht="14.25" customHeight="1"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AE231" s="160"/>
    </row>
    <row r="232" spans="3:31" ht="14.25" customHeight="1"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AE232" s="160"/>
    </row>
    <row r="233" spans="3:31" ht="14.25" customHeight="1"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AE233" s="160"/>
    </row>
    <row r="234" spans="3:31" ht="14.25" customHeight="1"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AE234" s="160"/>
    </row>
    <row r="235" spans="3:31" ht="14.25" customHeight="1"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AE235" s="160"/>
    </row>
    <row r="236" spans="3:31" ht="14.25" customHeight="1"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AE236" s="160"/>
    </row>
    <row r="237" spans="3:31" ht="14.25" customHeight="1"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AE237" s="160"/>
    </row>
    <row r="238" spans="3:31" ht="14.25" customHeight="1"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AE238" s="160"/>
    </row>
    <row r="239" spans="3:31" ht="14.25" customHeight="1"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AE239" s="160"/>
    </row>
    <row r="240" spans="3:31" ht="14.25" customHeight="1"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AE240" s="160"/>
    </row>
    <row r="241" spans="3:31" ht="14.25" customHeight="1"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AE241" s="160"/>
    </row>
    <row r="242" spans="3:31" ht="15.75" customHeight="1"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AE242" s="160"/>
    </row>
    <row r="243" spans="3:31" ht="15.75" customHeight="1"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AE243" s="160"/>
    </row>
    <row r="244" spans="3:31" ht="15.75" customHeight="1"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AE244" s="160"/>
    </row>
    <row r="245" spans="3:31" ht="15.75" customHeight="1"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AE245" s="160"/>
    </row>
    <row r="246" spans="3:31" ht="15.75" customHeight="1"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AE246" s="160"/>
    </row>
    <row r="247" spans="3:31" ht="15.75" customHeight="1"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AE247" s="160"/>
    </row>
    <row r="248" spans="3:31" ht="15.75" customHeight="1"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AE248" s="160"/>
    </row>
    <row r="249" spans="3:31" ht="15.75" customHeight="1"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AE249" s="160"/>
    </row>
    <row r="250" spans="3:31" ht="15.75" customHeight="1"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AE250" s="160"/>
    </row>
    <row r="251" spans="3:31" ht="15.75" customHeight="1"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AE251" s="160"/>
    </row>
    <row r="252" spans="3:31" ht="15.75" customHeight="1"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AE252" s="160"/>
    </row>
    <row r="253" spans="3:31" ht="15.75" customHeight="1"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AE253" s="160"/>
    </row>
    <row r="254" spans="3:31" ht="15.75" customHeight="1"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AE254" s="160"/>
    </row>
    <row r="255" spans="3:31" ht="15.75" customHeight="1"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AE255" s="160"/>
    </row>
    <row r="256" spans="3:31" ht="15.75" customHeight="1"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AE256" s="160"/>
    </row>
    <row r="257" spans="3:31" ht="15.75" customHeight="1"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AE257" s="160"/>
    </row>
    <row r="258" spans="3:31" ht="15.75" customHeight="1"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AE258" s="160"/>
    </row>
    <row r="259" spans="3:31" ht="15.75" customHeight="1"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AE259" s="160"/>
    </row>
    <row r="260" spans="3:31" ht="15.75" customHeight="1"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AE260" s="160"/>
    </row>
    <row r="261" spans="3:31" ht="15.75" customHeight="1"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AE261" s="160"/>
    </row>
    <row r="262" spans="3:31" ht="15.75" customHeight="1"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AE262" s="160"/>
    </row>
    <row r="263" spans="3:31" ht="15.75" customHeight="1"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AE263" s="160"/>
    </row>
    <row r="264" spans="3:31" ht="15.75" customHeight="1"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AE264" s="160"/>
    </row>
    <row r="265" spans="3:31" ht="15.75" customHeight="1"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AE265" s="160"/>
    </row>
    <row r="266" spans="3:31" ht="15.75" customHeight="1"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AE266" s="160"/>
    </row>
    <row r="267" spans="3:31" ht="15.75" customHeight="1"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AE267" s="160"/>
    </row>
    <row r="268" spans="3:31" ht="15.75" customHeight="1"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AE268" s="160"/>
    </row>
    <row r="269" spans="3:31" ht="15.75" customHeight="1"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AE269" s="160"/>
    </row>
    <row r="270" spans="3:31" ht="15.75" customHeight="1"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AE270" s="160"/>
    </row>
    <row r="271" spans="3:31" ht="15.75" customHeight="1"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AE271" s="160"/>
    </row>
    <row r="272" spans="3:31" ht="15.75" customHeight="1"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AE272" s="160"/>
    </row>
    <row r="273" spans="3:31" ht="15.75" customHeight="1"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AE273" s="160"/>
    </row>
    <row r="274" spans="3:31" ht="15.75" customHeight="1"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AE274" s="160"/>
    </row>
    <row r="275" spans="3:31" ht="15.75" customHeight="1"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AE275" s="160"/>
    </row>
    <row r="276" spans="3:31" ht="15.75" customHeight="1"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AE276" s="160"/>
    </row>
    <row r="277" spans="3:31" ht="15.75" customHeight="1"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AE277" s="160"/>
    </row>
    <row r="278" spans="3:31" ht="15.75" customHeight="1"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AE278" s="160"/>
    </row>
    <row r="279" spans="3:31" ht="15.75" customHeight="1"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AE279" s="160"/>
    </row>
    <row r="280" spans="3:31" ht="15.75" customHeight="1"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AE280" s="160"/>
    </row>
    <row r="281" spans="3:31" ht="15.75" customHeight="1"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AE281" s="160"/>
    </row>
    <row r="282" spans="3:31" ht="15.75" customHeight="1"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AE282" s="160"/>
    </row>
    <row r="283" spans="3:31" ht="15.75" customHeight="1"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AE283" s="160"/>
    </row>
    <row r="284" spans="3:31" ht="15.75" customHeight="1"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AE284" s="160"/>
    </row>
    <row r="285" spans="3:31" ht="15.75" customHeight="1"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AE285" s="160"/>
    </row>
    <row r="286" spans="3:31" ht="15.75" customHeight="1"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AE286" s="160"/>
    </row>
    <row r="287" spans="3:31" ht="15.75" customHeight="1"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AE287" s="160"/>
    </row>
    <row r="288" spans="3:31" ht="15.75" customHeight="1"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AE288" s="160"/>
    </row>
    <row r="289" spans="3:31" ht="15.75" customHeight="1"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AE289" s="160"/>
    </row>
    <row r="290" spans="3:31" ht="15.75" customHeight="1"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AE290" s="160"/>
    </row>
    <row r="291" spans="3:31" ht="15.75" customHeight="1"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AE291" s="160"/>
    </row>
    <row r="292" spans="3:31" ht="15.75" customHeight="1"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AE292" s="160"/>
    </row>
    <row r="293" spans="3:31" ht="15.75" customHeight="1"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AE293" s="160"/>
    </row>
    <row r="294" spans="3:31" ht="15.75" customHeight="1"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AE294" s="160"/>
    </row>
    <row r="295" spans="3:31" ht="15.75" customHeight="1"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AE295" s="160"/>
    </row>
    <row r="296" spans="3:31" ht="15.75" customHeight="1"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AE296" s="160"/>
    </row>
    <row r="297" spans="3:31" ht="15.75" customHeight="1"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AE297" s="160"/>
    </row>
    <row r="298" spans="3:31" ht="15.75" customHeight="1"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AE298" s="160"/>
    </row>
    <row r="299" spans="3:31" ht="15.75" customHeight="1"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AE299" s="160"/>
    </row>
    <row r="300" spans="3:31" ht="15.75" customHeight="1"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AE300" s="160"/>
    </row>
    <row r="301" spans="3:31" ht="15.75" customHeight="1"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AE301" s="160"/>
    </row>
    <row r="302" spans="3:31" ht="15.75" customHeight="1"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AE302" s="160"/>
    </row>
    <row r="303" spans="3:31" ht="15.75" customHeight="1"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AE303" s="160"/>
    </row>
    <row r="304" spans="3:31" ht="15.75" customHeight="1"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AE304" s="160"/>
    </row>
    <row r="305" spans="3:31" ht="15.75" customHeight="1"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AE305" s="160"/>
    </row>
    <row r="306" spans="3:31" ht="15.75" customHeight="1"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AE306" s="160"/>
    </row>
    <row r="307" spans="3:31" ht="15.75" customHeight="1"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AE307" s="160"/>
    </row>
    <row r="308" spans="3:31" ht="15.75" customHeight="1"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AE308" s="160"/>
    </row>
    <row r="309" spans="3:31" ht="15.75" customHeight="1"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AE309" s="160"/>
    </row>
    <row r="310" spans="3:31" ht="15.75" customHeight="1"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AE310" s="160"/>
    </row>
    <row r="311" spans="3:31" ht="15.75" customHeight="1"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AE311" s="160"/>
    </row>
    <row r="312" spans="3:31" ht="15.75" customHeight="1"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AE312" s="160"/>
    </row>
    <row r="313" spans="3:31" ht="15.75" customHeight="1"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AE313" s="160"/>
    </row>
    <row r="314" spans="3:31" ht="15.75" customHeight="1"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AE314" s="160"/>
    </row>
    <row r="315" spans="3:31" ht="15.75" customHeight="1"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AE315" s="160"/>
    </row>
    <row r="316" spans="3:31" ht="15.75" customHeight="1"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AE316" s="160"/>
    </row>
    <row r="317" spans="3:31" ht="15.75" customHeight="1"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AE317" s="160"/>
    </row>
    <row r="318" spans="3:31" ht="15.75" customHeight="1"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AE318" s="160"/>
    </row>
    <row r="319" spans="3:31" ht="15.75" customHeight="1"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AE319" s="160"/>
    </row>
    <row r="320" spans="3:31" ht="15.75" customHeight="1"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AE320" s="160"/>
    </row>
    <row r="321" spans="3:31" ht="15.75" customHeight="1"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AE321" s="160"/>
    </row>
    <row r="322" spans="3:31" ht="15.75" customHeight="1"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AE322" s="160"/>
    </row>
    <row r="323" spans="3:31" ht="15.75" customHeight="1"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AE323" s="160"/>
    </row>
    <row r="324" spans="3:31" ht="15.75" customHeight="1"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AE324" s="160"/>
    </row>
    <row r="325" spans="3:31" ht="15.75" customHeight="1"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AE325" s="160"/>
    </row>
    <row r="326" spans="3:31" ht="15.75" customHeight="1"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AE326" s="160"/>
    </row>
    <row r="327" spans="3:31" ht="15.75" customHeight="1"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AE327" s="160"/>
    </row>
    <row r="328" spans="3:31" ht="15.75" customHeight="1"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AE328" s="160"/>
    </row>
    <row r="329" spans="3:31" ht="15.75" customHeight="1"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AE329" s="160"/>
    </row>
    <row r="330" spans="3:31" ht="15.75" customHeight="1"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AE330" s="160"/>
    </row>
    <row r="331" spans="3:31" ht="15.75" customHeight="1"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AE331" s="160"/>
    </row>
    <row r="332" spans="3:31" ht="15.75" customHeight="1"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AE332" s="160"/>
    </row>
    <row r="333" spans="3:31" ht="15.75" customHeight="1"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AE333" s="160"/>
    </row>
    <row r="334" spans="3:31" ht="15.75" customHeight="1"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AE334" s="160"/>
    </row>
    <row r="335" spans="3:31" ht="15.75" customHeight="1"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AE335" s="160"/>
    </row>
    <row r="336" spans="3:31" ht="15.75" customHeight="1"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AE336" s="160"/>
    </row>
    <row r="337" spans="3:31" ht="15.75" customHeight="1"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AE337" s="160"/>
    </row>
    <row r="338" spans="3:31" ht="15.75" customHeight="1"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AE338" s="160"/>
    </row>
    <row r="339" spans="3:31" ht="15.75" customHeight="1"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AE339" s="160"/>
    </row>
    <row r="340" spans="3:31" ht="15.75" customHeight="1"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AE340" s="160"/>
    </row>
    <row r="341" spans="3:31" ht="15.75" customHeight="1"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AE341" s="160"/>
    </row>
    <row r="342" spans="3:31" ht="15.75" customHeight="1"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AE342" s="160"/>
    </row>
    <row r="343" spans="3:31" ht="15.75" customHeight="1"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AE343" s="160"/>
    </row>
    <row r="344" spans="3:31" ht="15.75" customHeight="1"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AE344" s="160"/>
    </row>
    <row r="345" spans="3:31" ht="15.75" customHeight="1"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AE345" s="160"/>
    </row>
    <row r="346" spans="3:31" ht="15.75" customHeight="1"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AE346" s="160"/>
    </row>
    <row r="347" spans="3:31" ht="15.75" customHeight="1"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AE347" s="160"/>
    </row>
    <row r="348" spans="3:31" ht="15.75" customHeight="1"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AE348" s="160"/>
    </row>
    <row r="349" spans="3:31" ht="15.75" customHeight="1"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AE349" s="160"/>
    </row>
    <row r="350" spans="3:31" ht="15.75" customHeight="1"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AE350" s="160"/>
    </row>
    <row r="351" spans="3:31" ht="15.75" customHeight="1"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AE351" s="160"/>
    </row>
    <row r="352" spans="3:31" ht="15.75" customHeight="1"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AE352" s="160"/>
    </row>
    <row r="353" spans="3:31" ht="15.75" customHeight="1"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AE353" s="160"/>
    </row>
    <row r="354" spans="3:31" ht="15.75" customHeight="1"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AE354" s="160"/>
    </row>
    <row r="355" spans="3:31" ht="15.75" customHeight="1"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AE355" s="160"/>
    </row>
    <row r="356" spans="3:31" ht="15.75" customHeight="1"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AE356" s="160"/>
    </row>
    <row r="357" spans="3:31" ht="15.75" customHeight="1"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AE357" s="160"/>
    </row>
    <row r="358" spans="3:31" ht="15.75" customHeight="1"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AE358" s="160"/>
    </row>
    <row r="359" spans="3:31" ht="15.75" customHeight="1"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AE359" s="160"/>
    </row>
    <row r="360" spans="3:31" ht="15.75" customHeight="1"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AE360" s="160"/>
    </row>
    <row r="361" spans="3:31" ht="15.75" customHeight="1"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AE361" s="160"/>
    </row>
    <row r="362" spans="3:31" ht="15.75" customHeight="1"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AE362" s="160"/>
    </row>
    <row r="363" spans="3:31" ht="15.75" customHeight="1"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AE363" s="160"/>
    </row>
    <row r="364" spans="3:31" ht="15.75" customHeight="1"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AE364" s="160"/>
    </row>
    <row r="365" spans="3:31" ht="15.75" customHeight="1"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AE365" s="160"/>
    </row>
    <row r="366" spans="3:31" ht="15.75" customHeight="1"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AE366" s="160"/>
    </row>
    <row r="367" spans="3:31" ht="15.75" customHeight="1"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AE367" s="160"/>
    </row>
    <row r="368" spans="3:31" ht="15.75" customHeight="1"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AE368" s="160"/>
    </row>
    <row r="369" spans="3:31" ht="15.75" customHeight="1"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AE369" s="160"/>
    </row>
    <row r="370" spans="3:31" ht="15.75" customHeight="1"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AE370" s="160"/>
    </row>
    <row r="371" spans="3:31" ht="15.75" customHeight="1"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AE371" s="160"/>
    </row>
    <row r="372" spans="3:31" ht="15.75" customHeight="1"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AE372" s="160"/>
    </row>
    <row r="373" spans="3:31" ht="15.75" customHeight="1"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AE373" s="160"/>
    </row>
    <row r="374" spans="3:31" ht="15.75" customHeight="1"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AE374" s="160"/>
    </row>
    <row r="375" spans="3:31" ht="15.75" customHeight="1"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AE375" s="160"/>
    </row>
    <row r="376" spans="3:31" ht="15.75" customHeight="1"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AE376" s="160"/>
    </row>
    <row r="377" spans="3:31" ht="15.75" customHeight="1"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AE377" s="160"/>
    </row>
    <row r="378" spans="3:31" ht="15.75" customHeight="1"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AE378" s="160"/>
    </row>
    <row r="379" spans="3:31" ht="15.75" customHeight="1"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AE379" s="160"/>
    </row>
    <row r="380" spans="3:31" ht="15.75" customHeight="1"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AE380" s="160"/>
    </row>
    <row r="381" spans="3:31" ht="15.75" customHeight="1"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AE381" s="160"/>
    </row>
    <row r="382" spans="3:31" ht="15.75" customHeight="1"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AE382" s="160"/>
    </row>
    <row r="383" spans="3:31" ht="15.75" customHeight="1"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AE383" s="160"/>
    </row>
    <row r="384" spans="3:31" ht="15.75" customHeight="1"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AE384" s="160"/>
    </row>
    <row r="385" spans="3:31" ht="15.75" customHeight="1"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AE385" s="160"/>
    </row>
    <row r="386" spans="3:31" ht="15.75" customHeight="1"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AE386" s="160"/>
    </row>
    <row r="387" spans="3:31" ht="15.75" customHeight="1"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AE387" s="160"/>
    </row>
    <row r="388" spans="3:31" ht="15.75" customHeight="1"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AE388" s="160"/>
    </row>
    <row r="389" spans="3:31" ht="15.75" customHeight="1"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AE389" s="160"/>
    </row>
    <row r="390" spans="3:31" ht="15.75" customHeight="1"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AE390" s="160"/>
    </row>
    <row r="391" spans="3:31" ht="15.75" customHeight="1"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AE391" s="160"/>
    </row>
    <row r="392" spans="3:31" ht="15.75" customHeight="1"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AE392" s="160"/>
    </row>
    <row r="393" spans="3:31" ht="15.75" customHeight="1"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AE393" s="160"/>
    </row>
    <row r="394" spans="3:31" ht="15.75" customHeight="1"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AE394" s="160"/>
    </row>
    <row r="395" spans="3:31" ht="15.75" customHeight="1"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AE395" s="160"/>
    </row>
    <row r="396" spans="3:31" ht="15.75" customHeight="1"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AE396" s="160"/>
    </row>
    <row r="397" spans="3:31" ht="15.75" customHeight="1"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AE397" s="160"/>
    </row>
    <row r="398" spans="3:31" ht="15.75" customHeight="1"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AE398" s="160"/>
    </row>
    <row r="399" spans="3:31" ht="15.75" customHeight="1"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AE399" s="160"/>
    </row>
    <row r="400" spans="3:31" ht="15.75" customHeight="1"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AE400" s="160"/>
    </row>
    <row r="401" spans="3:31" ht="15.75" customHeight="1"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AE401" s="160"/>
    </row>
    <row r="402" spans="3:31" ht="15.75" customHeight="1"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AE402" s="160"/>
    </row>
    <row r="403" spans="3:31" ht="15.75" customHeight="1"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AE403" s="160"/>
    </row>
    <row r="404" spans="3:31" ht="15.75" customHeight="1"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AE404" s="160"/>
    </row>
    <row r="405" spans="3:31" ht="15.75" customHeight="1"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AE405" s="160"/>
    </row>
    <row r="406" spans="3:31" ht="15.75" customHeight="1"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AE406" s="160"/>
    </row>
    <row r="407" spans="3:31" ht="15.75" customHeight="1"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AE407" s="160"/>
    </row>
    <row r="408" spans="3:31" ht="15.75" customHeight="1"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AE408" s="160"/>
    </row>
    <row r="409" spans="3:31" ht="15.75" customHeight="1"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AE409" s="160"/>
    </row>
    <row r="410" spans="3:31" ht="15.75" customHeight="1"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AE410" s="160"/>
    </row>
    <row r="411" spans="3:31" ht="15.75" customHeight="1"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AE411" s="160"/>
    </row>
    <row r="412" spans="3:31" ht="15.75" customHeight="1"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AE412" s="160"/>
    </row>
    <row r="413" spans="3:31" ht="15.75" customHeight="1"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AE413" s="160"/>
    </row>
    <row r="414" spans="3:31" ht="15.75" customHeight="1"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AE414" s="160"/>
    </row>
    <row r="415" spans="3:31" ht="15.75" customHeight="1"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AE415" s="160"/>
    </row>
    <row r="416" spans="3:31" ht="15.75" customHeight="1"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AE416" s="160"/>
    </row>
    <row r="417" spans="3:31" ht="15.75" customHeight="1"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AE417" s="160"/>
    </row>
    <row r="418" spans="3:31" ht="15.75" customHeight="1"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AE418" s="160"/>
    </row>
    <row r="419" spans="3:31" ht="15.75" customHeight="1"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AE419" s="160"/>
    </row>
    <row r="420" spans="3:31" ht="15.75" customHeight="1"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AE420" s="160"/>
    </row>
    <row r="421" spans="3:31" ht="15.75" customHeight="1"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AE421" s="160"/>
    </row>
    <row r="422" spans="3:31" ht="15.75" customHeight="1"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AE422" s="160"/>
    </row>
    <row r="423" spans="3:31" ht="15.75" customHeight="1"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AE423" s="160"/>
    </row>
    <row r="424" spans="3:31" ht="15.75" customHeight="1"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AE424" s="160"/>
    </row>
    <row r="425" spans="3:31" ht="15.75" customHeight="1"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AE425" s="160"/>
    </row>
    <row r="426" spans="3:31" ht="15.75" customHeight="1"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AE426" s="160"/>
    </row>
    <row r="427" spans="3:31" ht="15.75" customHeight="1"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AE427" s="160"/>
    </row>
    <row r="428" spans="3:31" ht="15.75" customHeight="1"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AE428" s="160"/>
    </row>
    <row r="429" spans="3:31" ht="15.75" customHeight="1"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AE429" s="160"/>
    </row>
    <row r="430" spans="3:31" ht="15.75" customHeight="1"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AE430" s="160"/>
    </row>
    <row r="431" spans="3:31" ht="15.75" customHeight="1"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AE431" s="160"/>
    </row>
    <row r="432" spans="3:31" ht="15.75" customHeight="1"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AE432" s="160"/>
    </row>
    <row r="433" spans="3:31" ht="15.75" customHeight="1"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AE433" s="160"/>
    </row>
    <row r="434" spans="3:31" ht="15.75" customHeight="1"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AE434" s="160"/>
    </row>
    <row r="435" spans="3:31" ht="15.75" customHeight="1"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AE435" s="160"/>
    </row>
    <row r="436" spans="3:31" ht="15.75" customHeight="1"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AE436" s="160"/>
    </row>
    <row r="437" spans="3:31" ht="15.75" customHeight="1"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AE437" s="160"/>
    </row>
    <row r="438" spans="3:31" ht="15.75" customHeight="1"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AE438" s="160"/>
    </row>
    <row r="439" spans="3:31" ht="15.75" customHeight="1"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AE439" s="160"/>
    </row>
    <row r="440" spans="3:31" ht="15.75" customHeight="1"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AE440" s="160"/>
    </row>
    <row r="441" spans="3:31" ht="15.75" customHeight="1"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AE441" s="160"/>
    </row>
    <row r="442" spans="3:31" ht="15.75" customHeight="1"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AE442" s="160"/>
    </row>
    <row r="443" spans="3:31" ht="15.75" customHeight="1"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AE443" s="160"/>
    </row>
    <row r="444" spans="3:31" ht="15.75" customHeight="1"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AE444" s="160"/>
    </row>
    <row r="445" spans="3:31" ht="15.75" customHeight="1"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AE445" s="160"/>
    </row>
    <row r="446" spans="3:31" ht="15.75" customHeight="1"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AE446" s="160"/>
    </row>
    <row r="447" spans="3:31" ht="15.75" customHeight="1"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AE447" s="160"/>
    </row>
    <row r="448" spans="3:31" ht="15.75" customHeight="1"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AE448" s="160"/>
    </row>
    <row r="449" spans="3:31" ht="15.75" customHeight="1"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AE449" s="160"/>
    </row>
    <row r="450" spans="3:31" ht="15.75" customHeight="1"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AE450" s="160"/>
    </row>
    <row r="451" spans="3:31" ht="15.75" customHeight="1"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AE451" s="160"/>
    </row>
    <row r="452" spans="3:31" ht="15.75" customHeight="1"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AE452" s="160"/>
    </row>
    <row r="453" spans="3:31" ht="15.75" customHeight="1"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AE453" s="160"/>
    </row>
    <row r="454" spans="3:31" ht="15.75" customHeight="1"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AE454" s="160"/>
    </row>
    <row r="455" spans="3:31" ht="15.75" customHeight="1"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AE455" s="160"/>
    </row>
    <row r="456" spans="3:31" ht="15.75" customHeight="1"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AE456" s="160"/>
    </row>
    <row r="457" spans="3:31" ht="15.75" customHeight="1"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AE457" s="160"/>
    </row>
    <row r="458" spans="3:31" ht="15.75" customHeight="1"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AE458" s="160"/>
    </row>
    <row r="459" spans="3:31" ht="15.75" customHeight="1"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AE459" s="160"/>
    </row>
    <row r="460" spans="3:31" ht="15.75" customHeight="1"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AE460" s="160"/>
    </row>
    <row r="461" spans="3:31" ht="15.75" customHeight="1"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AE461" s="160"/>
    </row>
    <row r="462" spans="3:31" ht="15.75" customHeight="1"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AE462" s="160"/>
    </row>
    <row r="463" spans="3:31" ht="15.75" customHeight="1"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AE463" s="160"/>
    </row>
    <row r="464" spans="3:31" ht="15.75" customHeight="1"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AE464" s="160"/>
    </row>
    <row r="465" spans="3:31" ht="15.75" customHeight="1"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AE465" s="160"/>
    </row>
    <row r="466" spans="3:31" ht="15.75" customHeight="1"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AE466" s="160"/>
    </row>
    <row r="467" spans="3:31" ht="15.75" customHeight="1"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AE467" s="160"/>
    </row>
    <row r="468" spans="3:31" ht="15.75" customHeight="1"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AE468" s="160"/>
    </row>
    <row r="469" spans="3:31" ht="15.75" customHeight="1"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AE469" s="160"/>
    </row>
    <row r="470" spans="3:31" ht="15.75" customHeight="1"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AE470" s="160"/>
    </row>
    <row r="471" spans="3:31" ht="15.75" customHeight="1"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AE471" s="160"/>
    </row>
    <row r="472" spans="3:31" ht="15.75" customHeight="1"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AE472" s="160"/>
    </row>
    <row r="473" spans="3:31" ht="15.75" customHeight="1"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AE473" s="160"/>
    </row>
    <row r="474" spans="3:31" ht="15.75" customHeight="1"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AE474" s="160"/>
    </row>
    <row r="475" spans="3:31" ht="15.75" customHeight="1"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AE475" s="160"/>
    </row>
    <row r="476" spans="3:31" ht="15.75" customHeight="1"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AE476" s="160"/>
    </row>
    <row r="477" spans="3:31" ht="15.75" customHeight="1"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AE477" s="160"/>
    </row>
    <row r="478" spans="3:31" ht="15.75" customHeight="1"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AE478" s="160"/>
    </row>
    <row r="479" spans="3:31" ht="15.75" customHeight="1"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AE479" s="160"/>
    </row>
    <row r="480" spans="3:31" ht="15.75" customHeight="1"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AE480" s="160"/>
    </row>
    <row r="481" spans="3:31" ht="15.75" customHeight="1"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AE481" s="160"/>
    </row>
    <row r="482" spans="3:31" ht="15.75" customHeight="1"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AE482" s="160"/>
    </row>
    <row r="483" spans="3:31" ht="15.75" customHeight="1"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AE483" s="160"/>
    </row>
    <row r="484" spans="3:31" ht="15.75" customHeight="1"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AE484" s="160"/>
    </row>
    <row r="485" spans="3:31" ht="15.75" customHeight="1"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AE485" s="160"/>
    </row>
    <row r="486" spans="3:31" ht="15.75" customHeight="1"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AE486" s="160"/>
    </row>
    <row r="487" spans="3:31" ht="15.75" customHeight="1"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AE487" s="160"/>
    </row>
    <row r="488" spans="3:31" ht="15.75" customHeight="1"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AE488" s="160"/>
    </row>
    <row r="489" spans="3:31" ht="15.75" customHeight="1"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AE489" s="160"/>
    </row>
    <row r="490" spans="3:31" ht="15.75" customHeight="1"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AE490" s="160"/>
    </row>
    <row r="491" spans="3:31" ht="15.75" customHeight="1"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AE491" s="160"/>
    </row>
    <row r="492" spans="3:31" ht="15.75" customHeight="1"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AE492" s="160"/>
    </row>
    <row r="493" spans="3:31" ht="15.75" customHeight="1"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AE493" s="160"/>
    </row>
    <row r="494" spans="3:31" ht="15.75" customHeight="1"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AE494" s="160"/>
    </row>
    <row r="495" spans="3:31" ht="15.75" customHeight="1"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AE495" s="160"/>
    </row>
    <row r="496" spans="3:31" ht="15.75" customHeight="1"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AE496" s="160"/>
    </row>
    <row r="497" spans="3:31" ht="15.75" customHeight="1"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AE497" s="160"/>
    </row>
    <row r="498" spans="3:31" ht="15.75" customHeight="1"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AE498" s="160"/>
    </row>
    <row r="499" spans="3:31" ht="15.75" customHeight="1"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AE499" s="160"/>
    </row>
    <row r="500" spans="3:31" ht="15.75" customHeight="1"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AE500" s="160"/>
    </row>
    <row r="501" spans="3:31" ht="15.75" customHeight="1"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AE501" s="160"/>
    </row>
    <row r="502" spans="3:31" ht="15.75" customHeight="1"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AE502" s="160"/>
    </row>
    <row r="503" spans="3:31" ht="15.75" customHeight="1"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AE503" s="160"/>
    </row>
    <row r="504" spans="3:31" ht="15.75" customHeight="1"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AE504" s="160"/>
    </row>
    <row r="505" spans="3:31" ht="15.75" customHeight="1"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AE505" s="160"/>
    </row>
    <row r="506" spans="3:31" ht="15.75" customHeight="1"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AE506" s="160"/>
    </row>
    <row r="507" spans="3:31" ht="15.75" customHeight="1"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AE507" s="160"/>
    </row>
    <row r="508" spans="3:31" ht="15.75" customHeight="1"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AE508" s="160"/>
    </row>
    <row r="509" spans="3:31" ht="15.75" customHeight="1"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AE509" s="160"/>
    </row>
    <row r="510" spans="3:31" ht="15.75" customHeight="1"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AE510" s="160"/>
    </row>
    <row r="511" spans="3:31" ht="15.75" customHeight="1"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AE511" s="160"/>
    </row>
    <row r="512" spans="3:31" ht="15.75" customHeight="1"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AE512" s="160"/>
    </row>
    <row r="513" spans="3:31" ht="15.75" customHeight="1"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AE513" s="160"/>
    </row>
    <row r="514" spans="3:31" ht="15.75" customHeight="1"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AE514" s="160"/>
    </row>
    <row r="515" spans="3:31" ht="15.75" customHeight="1"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AE515" s="160"/>
    </row>
    <row r="516" spans="3:31" ht="15.75" customHeight="1"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AE516" s="160"/>
    </row>
    <row r="517" spans="3:31" ht="15.75" customHeight="1"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AE517" s="160"/>
    </row>
    <row r="518" spans="3:31" ht="15.75" customHeight="1"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AE518" s="160"/>
    </row>
    <row r="519" spans="3:31" ht="15.75" customHeight="1"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AE519" s="160"/>
    </row>
    <row r="520" spans="3:31" ht="15.75" customHeight="1"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AE520" s="160"/>
    </row>
    <row r="521" spans="3:31" ht="15.75" customHeight="1"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AE521" s="160"/>
    </row>
    <row r="522" spans="3:31" ht="15.75" customHeight="1"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AE522" s="160"/>
    </row>
    <row r="523" spans="3:31" ht="15.75" customHeight="1"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AE523" s="160"/>
    </row>
    <row r="524" spans="3:31" ht="15.75" customHeight="1"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AE524" s="160"/>
    </row>
    <row r="525" spans="3:31" ht="15.75" customHeight="1"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AE525" s="160"/>
    </row>
    <row r="526" spans="3:31" ht="15.75" customHeight="1"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AE526" s="160"/>
    </row>
    <row r="527" spans="3:31" ht="15.75" customHeight="1"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AE527" s="160"/>
    </row>
    <row r="528" spans="3:31" ht="15.75" customHeight="1"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AE528" s="160"/>
    </row>
    <row r="529" spans="3:31" ht="15.75" customHeight="1"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AE529" s="160"/>
    </row>
    <row r="530" spans="3:31" ht="15.75" customHeight="1"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AE530" s="160"/>
    </row>
    <row r="531" spans="3:31" ht="15.75" customHeight="1"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AE531" s="160"/>
    </row>
    <row r="532" spans="3:31" ht="15.75" customHeight="1"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AE532" s="160"/>
    </row>
    <row r="533" spans="3:31" ht="15.75" customHeight="1"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AE533" s="160"/>
    </row>
    <row r="534" spans="3:31" ht="15.75" customHeight="1"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AE534" s="160"/>
    </row>
    <row r="535" spans="3:31" ht="15.75" customHeight="1"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AE535" s="160"/>
    </row>
    <row r="536" spans="3:31" ht="15.75" customHeight="1"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AE536" s="160"/>
    </row>
    <row r="537" spans="3:31" ht="15.75" customHeight="1"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AE537" s="160"/>
    </row>
    <row r="538" spans="3:31" ht="15.75" customHeight="1"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AE538" s="160"/>
    </row>
    <row r="539" spans="3:31" ht="15.75" customHeight="1"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AE539" s="160"/>
    </row>
    <row r="540" spans="3:31" ht="15.75" customHeight="1"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AE540" s="160"/>
    </row>
    <row r="541" spans="3:31" ht="15.75" customHeight="1"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AE541" s="160"/>
    </row>
    <row r="542" spans="3:31" ht="15.75" customHeight="1"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AE542" s="160"/>
    </row>
    <row r="543" spans="3:31" ht="15.75" customHeight="1"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AE543" s="160"/>
    </row>
    <row r="544" spans="3:31" ht="15.75" customHeight="1"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AE544" s="160"/>
    </row>
    <row r="545" spans="3:31" ht="15.75" customHeight="1"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AE545" s="160"/>
    </row>
    <row r="546" spans="3:31" ht="15.75" customHeight="1"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AE546" s="160"/>
    </row>
    <row r="547" spans="3:31" ht="15.75" customHeight="1"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AE547" s="160"/>
    </row>
    <row r="548" spans="3:31" ht="15.75" customHeight="1"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AE548" s="160"/>
    </row>
    <row r="549" spans="3:31" ht="15.75" customHeight="1"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AE549" s="160"/>
    </row>
    <row r="550" spans="3:31" ht="15.75" customHeight="1"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AE550" s="160"/>
    </row>
    <row r="551" spans="3:31" ht="15.75" customHeight="1"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AE551" s="160"/>
    </row>
    <row r="552" spans="3:31" ht="15.75" customHeight="1"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AE552" s="160"/>
    </row>
    <row r="553" spans="3:31" ht="15.75" customHeight="1"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AE553" s="160"/>
    </row>
    <row r="554" spans="3:31" ht="15.75" customHeight="1"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AE554" s="160"/>
    </row>
    <row r="555" spans="3:31" ht="15.75" customHeight="1"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AE555" s="160"/>
    </row>
    <row r="556" spans="3:31" ht="15.75" customHeight="1"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AE556" s="160"/>
    </row>
    <row r="557" spans="3:31" ht="15.75" customHeight="1"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AE557" s="160"/>
    </row>
    <row r="558" spans="3:31" ht="15.75" customHeight="1"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AE558" s="160"/>
    </row>
    <row r="559" spans="3:31" ht="15.75" customHeight="1"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AE559" s="160"/>
    </row>
    <row r="560" spans="3:31" ht="15.75" customHeight="1"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AE560" s="160"/>
    </row>
    <row r="561" spans="3:31" ht="15.75" customHeight="1"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AE561" s="160"/>
    </row>
    <row r="562" spans="3:31" ht="15.75" customHeight="1"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AE562" s="160"/>
    </row>
    <row r="563" spans="3:31" ht="15.75" customHeight="1"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AE563" s="160"/>
    </row>
    <row r="564" spans="3:31" ht="15.75" customHeight="1"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AE564" s="160"/>
    </row>
    <row r="565" spans="3:31" ht="15.75" customHeight="1"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AE565" s="160"/>
    </row>
    <row r="566" spans="3:31" ht="15.75" customHeight="1"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AE566" s="160"/>
    </row>
    <row r="567" spans="3:31" ht="15.75" customHeight="1"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AE567" s="160"/>
    </row>
    <row r="568" spans="3:31" ht="15.75" customHeight="1"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AE568" s="160"/>
    </row>
    <row r="569" spans="3:31" ht="15.75" customHeight="1"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AE569" s="160"/>
    </row>
    <row r="570" spans="3:31" ht="15.75" customHeight="1"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AE570" s="160"/>
    </row>
    <row r="571" spans="3:31" ht="15.75" customHeight="1"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AE571" s="160"/>
    </row>
    <row r="572" spans="3:31" ht="15.75" customHeight="1"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AE572" s="160"/>
    </row>
    <row r="573" spans="3:31" ht="15.75" customHeight="1"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AE573" s="160"/>
    </row>
    <row r="574" spans="3:31" ht="15.75" customHeight="1"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AE574" s="160"/>
    </row>
    <row r="575" spans="3:31" ht="15.75" customHeight="1"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AE575" s="160"/>
    </row>
    <row r="576" spans="3:31" ht="15.75" customHeight="1"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AE576" s="160"/>
    </row>
    <row r="577" spans="3:31" ht="15.75" customHeight="1"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AE577" s="160"/>
    </row>
    <row r="578" spans="3:31" ht="15.75" customHeight="1"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AE578" s="160"/>
    </row>
    <row r="579" spans="3:31" ht="15.75" customHeight="1"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AE579" s="160"/>
    </row>
    <row r="580" spans="3:31" ht="15.75" customHeight="1"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AE580" s="160"/>
    </row>
    <row r="581" spans="3:31" ht="15.75" customHeight="1"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AE581" s="160"/>
    </row>
    <row r="582" spans="3:31" ht="15.75" customHeight="1"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AE582" s="160"/>
    </row>
    <row r="583" spans="3:31" ht="15.75" customHeight="1"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AE583" s="160"/>
    </row>
    <row r="584" spans="3:31" ht="15.75" customHeight="1"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AE584" s="160"/>
    </row>
    <row r="585" spans="3:31" ht="15.75" customHeight="1"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AE585" s="160"/>
    </row>
    <row r="586" spans="3:31" ht="15.75" customHeight="1"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AE586" s="160"/>
    </row>
    <row r="587" spans="3:31" ht="15.75" customHeight="1"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AE587" s="160"/>
    </row>
    <row r="588" spans="3:31" ht="15.75" customHeight="1"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AE588" s="160"/>
    </row>
    <row r="589" spans="3:31" ht="15.75" customHeight="1"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AE589" s="160"/>
    </row>
    <row r="590" spans="3:31" ht="15.75" customHeight="1"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AE590" s="160"/>
    </row>
    <row r="591" spans="3:31" ht="15.75" customHeight="1"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AE591" s="160"/>
    </row>
    <row r="592" spans="3:31" ht="15.75" customHeight="1"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AE592" s="160"/>
    </row>
    <row r="593" spans="3:31" ht="15.75" customHeight="1"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AE593" s="160"/>
    </row>
    <row r="594" spans="3:31" ht="15.75" customHeight="1"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AE594" s="160"/>
    </row>
    <row r="595" spans="3:31" ht="15.75" customHeight="1"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AE595" s="160"/>
    </row>
    <row r="596" spans="3:31" ht="15.75" customHeight="1"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AE596" s="160"/>
    </row>
    <row r="597" spans="3:31" ht="15.75" customHeight="1"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AE597" s="160"/>
    </row>
    <row r="598" spans="3:31" ht="15.75" customHeight="1"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AE598" s="160"/>
    </row>
    <row r="599" spans="3:31" ht="15.75" customHeight="1"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AE599" s="160"/>
    </row>
    <row r="600" spans="3:31" ht="15.75" customHeight="1"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AE600" s="160"/>
    </row>
    <row r="601" spans="3:31" ht="15.75" customHeight="1"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AE601" s="160"/>
    </row>
    <row r="602" spans="3:31" ht="15.75" customHeight="1"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AE602" s="160"/>
    </row>
    <row r="603" spans="3:31" ht="15.75" customHeight="1"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AE603" s="160"/>
    </row>
    <row r="604" spans="3:31" ht="15.75" customHeight="1"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AE604" s="160"/>
    </row>
    <row r="605" spans="3:31" ht="15.75" customHeight="1"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AE605" s="160"/>
    </row>
    <row r="606" spans="3:31" ht="15.75" customHeight="1"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AE606" s="160"/>
    </row>
    <row r="607" spans="3:31" ht="15.75" customHeight="1"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AE607" s="160"/>
    </row>
    <row r="608" spans="3:31" ht="15.75" customHeight="1"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AE608" s="160"/>
    </row>
    <row r="609" spans="3:31" ht="15.75" customHeight="1"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AE609" s="160"/>
    </row>
    <row r="610" spans="3:31" ht="15.75" customHeight="1"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AE610" s="160"/>
    </row>
    <row r="611" spans="3:31" ht="15.75" customHeight="1"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AE611" s="160"/>
    </row>
    <row r="612" spans="3:31" ht="15.75" customHeight="1"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AE612" s="160"/>
    </row>
    <row r="613" spans="3:31" ht="15.75" customHeight="1"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AE613" s="160"/>
    </row>
    <row r="614" spans="3:31" ht="15.75" customHeight="1"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AE614" s="160"/>
    </row>
    <row r="615" spans="3:31" ht="15.75" customHeight="1"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AE615" s="160"/>
    </row>
    <row r="616" spans="3:31" ht="15.75" customHeight="1"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AE616" s="160"/>
    </row>
    <row r="617" spans="3:31" ht="15.75" customHeight="1"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AE617" s="160"/>
    </row>
    <row r="618" spans="3:31" ht="15.75" customHeight="1"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AE618" s="160"/>
    </row>
    <row r="619" spans="3:31" ht="15.75" customHeight="1"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AE619" s="160"/>
    </row>
    <row r="620" spans="3:31" ht="15.75" customHeight="1"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AE620" s="160"/>
    </row>
    <row r="621" spans="3:31" ht="15.75" customHeight="1"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AE621" s="160"/>
    </row>
    <row r="622" spans="3:31" ht="15.75" customHeight="1"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AE622" s="160"/>
    </row>
    <row r="623" spans="3:31" ht="15.75" customHeight="1"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AE623" s="160"/>
    </row>
    <row r="624" spans="3:31" ht="15.75" customHeight="1"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AE624" s="160"/>
    </row>
    <row r="625" spans="3:31" ht="15.75" customHeight="1"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AE625" s="160"/>
    </row>
    <row r="626" spans="3:31" ht="15.75" customHeight="1"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AE626" s="160"/>
    </row>
    <row r="627" spans="3:31" ht="15.75" customHeight="1"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AE627" s="160"/>
    </row>
    <row r="628" spans="3:31" ht="15.75" customHeight="1"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AE628" s="160"/>
    </row>
    <row r="629" spans="3:31" ht="15.75" customHeight="1"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AE629" s="160"/>
    </row>
    <row r="630" spans="3:31" ht="15.75" customHeight="1"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AE630" s="160"/>
    </row>
    <row r="631" spans="3:31" ht="15.75" customHeight="1"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AE631" s="160"/>
    </row>
    <row r="632" spans="3:31" ht="15.75" customHeight="1"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AE632" s="160"/>
    </row>
    <row r="633" spans="3:31" ht="15.75" customHeight="1"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AE633" s="160"/>
    </row>
    <row r="634" spans="3:31" ht="15.75" customHeight="1"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AE634" s="160"/>
    </row>
    <row r="635" spans="3:31" ht="15.75" customHeight="1"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AE635" s="160"/>
    </row>
    <row r="636" spans="3:31" ht="15.75" customHeight="1"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AE636" s="160"/>
    </row>
    <row r="637" spans="3:31" ht="15.75" customHeight="1"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AE637" s="160"/>
    </row>
    <row r="638" spans="3:31" ht="15.75" customHeight="1"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AE638" s="160"/>
    </row>
    <row r="639" spans="3:31" ht="15.75" customHeight="1"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AE639" s="160"/>
    </row>
    <row r="640" spans="3:31" ht="15.75" customHeight="1"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AE640" s="160"/>
    </row>
    <row r="641" spans="3:31" ht="15.75" customHeight="1"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AE641" s="160"/>
    </row>
    <row r="642" spans="3:31" ht="15.75" customHeight="1"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AE642" s="160"/>
    </row>
    <row r="643" spans="3:31" ht="15.75" customHeight="1"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AE643" s="160"/>
    </row>
    <row r="644" spans="3:31" ht="15.75" customHeight="1"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AE644" s="160"/>
    </row>
    <row r="645" spans="3:31" ht="15.75" customHeight="1"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AE645" s="160"/>
    </row>
    <row r="646" spans="3:31" ht="15.75" customHeight="1"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AE646" s="160"/>
    </row>
    <row r="647" spans="3:31" ht="15.75" customHeight="1"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AE647" s="160"/>
    </row>
    <row r="648" spans="3:31" ht="15.75" customHeight="1"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AE648" s="160"/>
    </row>
    <row r="649" spans="3:31" ht="15.75" customHeight="1"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AE649" s="160"/>
    </row>
    <row r="650" spans="3:31" ht="15.75" customHeight="1"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AE650" s="160"/>
    </row>
    <row r="651" spans="3:31" ht="15.75" customHeight="1"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AE651" s="160"/>
    </row>
    <row r="652" spans="3:31" ht="15.75" customHeight="1"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AE652" s="160"/>
    </row>
    <row r="653" spans="3:31" ht="15.75" customHeight="1"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AE653" s="160"/>
    </row>
    <row r="654" spans="3:31" ht="15.75" customHeight="1"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AE654" s="160"/>
    </row>
    <row r="655" spans="3:31" ht="15.75" customHeight="1"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AE655" s="160"/>
    </row>
    <row r="656" spans="3:31" ht="15.75" customHeight="1"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AE656" s="160"/>
    </row>
    <row r="657" spans="3:31" ht="15.75" customHeight="1"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AE657" s="160"/>
    </row>
    <row r="658" spans="3:31" ht="15.75" customHeight="1"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AE658" s="160"/>
    </row>
    <row r="659" spans="3:31" ht="15.75" customHeight="1"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AE659" s="160"/>
    </row>
    <row r="660" spans="3:31" ht="15.75" customHeight="1"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AE660" s="160"/>
    </row>
    <row r="661" spans="3:31" ht="15.75" customHeight="1"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AE661" s="160"/>
    </row>
    <row r="662" spans="3:31" ht="15.75" customHeight="1"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AE662" s="160"/>
    </row>
    <row r="663" spans="3:31" ht="15.75" customHeight="1"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AE663" s="160"/>
    </row>
    <row r="664" spans="3:31" ht="15.75" customHeight="1"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AE664" s="160"/>
    </row>
    <row r="665" spans="3:31" ht="15.75" customHeight="1"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AE665" s="160"/>
    </row>
    <row r="666" spans="3:31" ht="15.75" customHeight="1"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AE666" s="160"/>
    </row>
    <row r="667" spans="3:31" ht="15.75" customHeight="1"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AE667" s="160"/>
    </row>
    <row r="668" spans="3:31" ht="15.75" customHeight="1"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AE668" s="160"/>
    </row>
    <row r="669" spans="3:31" ht="15.75" customHeight="1"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AE669" s="160"/>
    </row>
    <row r="670" spans="3:31" ht="15.75" customHeight="1"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AE670" s="160"/>
    </row>
    <row r="671" spans="3:31" ht="15.75" customHeight="1"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AE671" s="160"/>
    </row>
    <row r="672" spans="3:31" ht="15.75" customHeight="1"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AE672" s="160"/>
    </row>
    <row r="673" spans="3:31" ht="15.75" customHeight="1"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AE673" s="160"/>
    </row>
    <row r="674" spans="3:31" ht="15.75" customHeight="1"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AE674" s="160"/>
    </row>
    <row r="675" spans="3:31" ht="15.75" customHeight="1"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AE675" s="160"/>
    </row>
    <row r="676" spans="3:31" ht="15.75" customHeight="1"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AE676" s="160"/>
    </row>
    <row r="677" spans="3:31" ht="15.75" customHeight="1"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AE677" s="160"/>
    </row>
    <row r="678" spans="3:31" ht="15.75" customHeight="1"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AE678" s="160"/>
    </row>
    <row r="679" spans="3:31" ht="15.75" customHeight="1"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AE679" s="160"/>
    </row>
    <row r="680" spans="3:31" ht="15.75" customHeight="1"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AE680" s="160"/>
    </row>
    <row r="681" spans="3:31" ht="15.75" customHeight="1"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AE681" s="160"/>
    </row>
    <row r="682" spans="3:31" ht="15.75" customHeight="1"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AE682" s="160"/>
    </row>
    <row r="683" spans="3:31" ht="15.75" customHeight="1"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AE683" s="160"/>
    </row>
    <row r="684" spans="3:31" ht="15.75" customHeight="1"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AE684" s="160"/>
    </row>
    <row r="685" spans="3:31" ht="15.75" customHeight="1"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AE685" s="160"/>
    </row>
    <row r="686" spans="3:31" ht="15.75" customHeight="1"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AE686" s="160"/>
    </row>
    <row r="687" spans="3:31" ht="15.75" customHeight="1"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AE687" s="160"/>
    </row>
    <row r="688" spans="3:31" ht="15.75" customHeight="1"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AE688" s="160"/>
    </row>
    <row r="689" spans="3:31" ht="15.75" customHeight="1"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AE689" s="160"/>
    </row>
    <row r="690" spans="3:31" ht="15.75" customHeight="1"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AE690" s="160"/>
    </row>
    <row r="691" spans="3:31" ht="15.75" customHeight="1"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AE691" s="160"/>
    </row>
    <row r="692" spans="3:31" ht="15.75" customHeight="1"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AE692" s="160"/>
    </row>
    <row r="693" spans="3:31" ht="15.75" customHeight="1"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AE693" s="160"/>
    </row>
    <row r="694" spans="3:31" ht="15.75" customHeight="1"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AE694" s="160"/>
    </row>
    <row r="695" spans="3:31" ht="15.75" customHeight="1"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AE695" s="160"/>
    </row>
    <row r="696" spans="3:31" ht="15.75" customHeight="1"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AE696" s="160"/>
    </row>
    <row r="697" spans="3:31" ht="15.75" customHeight="1"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AE697" s="160"/>
    </row>
    <row r="698" spans="3:31" ht="15.75" customHeight="1"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AE698" s="160"/>
    </row>
    <row r="699" spans="3:31" ht="15.75" customHeight="1"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AE699" s="160"/>
    </row>
    <row r="700" spans="3:31" ht="15.75" customHeight="1"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AE700" s="160"/>
    </row>
    <row r="701" spans="3:31" ht="15.75" customHeight="1"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AE701" s="160"/>
    </row>
    <row r="702" spans="3:31" ht="15.75" customHeight="1"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AE702" s="160"/>
    </row>
    <row r="703" spans="3:31" ht="15.75" customHeight="1"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AE703" s="160"/>
    </row>
    <row r="704" spans="3:31" ht="15.75" customHeight="1"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AE704" s="160"/>
    </row>
    <row r="705" spans="3:31" ht="15.75" customHeight="1"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AE705" s="160"/>
    </row>
    <row r="706" spans="3:31" ht="15.75" customHeight="1"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AE706" s="160"/>
    </row>
    <row r="707" spans="3:31" ht="15.75" customHeight="1"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AE707" s="160"/>
    </row>
    <row r="708" spans="3:31" ht="15.75" customHeight="1"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AE708" s="160"/>
    </row>
    <row r="709" spans="3:31" ht="15.75" customHeight="1"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AE709" s="160"/>
    </row>
    <row r="710" spans="3:31" ht="15.75" customHeight="1"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AE710" s="160"/>
    </row>
    <row r="711" spans="3:31" ht="15.75" customHeight="1"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AE711" s="160"/>
    </row>
    <row r="712" spans="3:31" ht="15.75" customHeight="1"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AE712" s="160"/>
    </row>
    <row r="713" spans="3:31" ht="15.75" customHeight="1"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AE713" s="160"/>
    </row>
    <row r="714" spans="3:31" ht="15.75" customHeight="1"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AE714" s="160"/>
    </row>
    <row r="715" spans="3:31" ht="15.75" customHeight="1"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AE715" s="160"/>
    </row>
    <row r="716" spans="3:31" ht="15.75" customHeight="1"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AE716" s="160"/>
    </row>
    <row r="717" spans="3:31" ht="15.75" customHeight="1"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AE717" s="160"/>
    </row>
    <row r="718" spans="3:31" ht="15.75" customHeight="1"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AE718" s="160"/>
    </row>
    <row r="719" spans="3:31" ht="15.75" customHeight="1"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AE719" s="160"/>
    </row>
    <row r="720" spans="3:31" ht="15.75" customHeight="1"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AE720" s="160"/>
    </row>
    <row r="721" spans="3:31" ht="15.75" customHeight="1"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AE721" s="160"/>
    </row>
    <row r="722" spans="3:31" ht="15.75" customHeight="1"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AE722" s="160"/>
    </row>
    <row r="723" spans="3:31" ht="15.75" customHeight="1"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AE723" s="160"/>
    </row>
    <row r="724" spans="3:31" ht="15.75" customHeight="1"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AE724" s="160"/>
    </row>
    <row r="725" spans="3:31" ht="15.75" customHeight="1"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AE725" s="160"/>
    </row>
    <row r="726" spans="3:31" ht="15.75" customHeight="1"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AE726" s="160"/>
    </row>
    <row r="727" spans="3:31" ht="15.75" customHeight="1"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AE727" s="160"/>
    </row>
    <row r="728" spans="3:31" ht="15.75" customHeight="1"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AE728" s="160"/>
    </row>
    <row r="729" spans="3:31" ht="15.75" customHeight="1"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AE729" s="160"/>
    </row>
    <row r="730" spans="3:31" ht="15.75" customHeight="1"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AE730" s="160"/>
    </row>
    <row r="731" spans="3:31" ht="15.75" customHeight="1"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AE731" s="160"/>
    </row>
    <row r="732" spans="3:31" ht="15.75" customHeight="1"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AE732" s="160"/>
    </row>
    <row r="733" spans="3:31" ht="15.75" customHeight="1"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AE733" s="160"/>
    </row>
    <row r="734" spans="3:31" ht="15.75" customHeight="1"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AE734" s="160"/>
    </row>
    <row r="735" spans="3:31" ht="15.75" customHeight="1"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AE735" s="160"/>
    </row>
    <row r="736" spans="3:31" ht="15.75" customHeight="1"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AE736" s="160"/>
    </row>
    <row r="737" spans="3:31" ht="15.75" customHeight="1"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AE737" s="160"/>
    </row>
    <row r="738" spans="3:31" ht="15.75" customHeight="1"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AE738" s="160"/>
    </row>
    <row r="739" spans="3:31" ht="15.75" customHeight="1"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AE739" s="160"/>
    </row>
    <row r="740" spans="3:31" ht="15.75" customHeight="1"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AE740" s="160"/>
    </row>
    <row r="741" spans="3:31" ht="15.75" customHeight="1"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AE741" s="160"/>
    </row>
    <row r="742" spans="3:31" ht="15.75" customHeight="1"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AE742" s="160"/>
    </row>
    <row r="743" spans="3:31" ht="15.75" customHeight="1"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AE743" s="160"/>
    </row>
    <row r="744" spans="3:31" ht="15.75" customHeight="1"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AE744" s="160"/>
    </row>
    <row r="745" spans="3:31" ht="15.75" customHeight="1"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AE745" s="160"/>
    </row>
    <row r="746" spans="3:31" ht="15.75" customHeight="1"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AE746" s="160"/>
    </row>
    <row r="747" spans="3:31" ht="15.75" customHeight="1"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AE747" s="160"/>
    </row>
    <row r="748" spans="3:31" ht="15.75" customHeight="1"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AE748" s="160"/>
    </row>
    <row r="749" spans="3:31" ht="15.75" customHeight="1"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AE749" s="160"/>
    </row>
    <row r="750" spans="3:31" ht="15.75" customHeight="1"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AE750" s="160"/>
    </row>
    <row r="751" spans="3:31" ht="15.75" customHeight="1"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AE751" s="160"/>
    </row>
    <row r="752" spans="3:31" ht="15.75" customHeight="1"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AE752" s="160"/>
    </row>
    <row r="753" spans="3:31" ht="15.75" customHeight="1"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AE753" s="160"/>
    </row>
    <row r="754" spans="3:31" ht="15.75" customHeight="1"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AE754" s="160"/>
    </row>
    <row r="755" spans="3:31" ht="15.75" customHeight="1"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AE755" s="160"/>
    </row>
    <row r="756" spans="3:31" ht="15.75" customHeight="1"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AE756" s="160"/>
    </row>
    <row r="757" spans="3:31" ht="15.75" customHeight="1"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AE757" s="160"/>
    </row>
    <row r="758" spans="3:31" ht="15.75" customHeight="1"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AE758" s="160"/>
    </row>
    <row r="759" spans="3:31" ht="15.75" customHeight="1"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AE759" s="160"/>
    </row>
    <row r="760" spans="3:31" ht="15.75" customHeight="1"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AE760" s="160"/>
    </row>
    <row r="761" spans="3:31" ht="15.75" customHeight="1"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AE761" s="160"/>
    </row>
    <row r="762" spans="3:31" ht="15.75" customHeight="1"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AE762" s="160"/>
    </row>
    <row r="763" spans="3:31" ht="15.75" customHeight="1"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AE763" s="160"/>
    </row>
    <row r="764" spans="3:31" ht="15.75" customHeight="1"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AE764" s="160"/>
    </row>
    <row r="765" spans="3:31" ht="15.75" customHeight="1"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AE765" s="160"/>
    </row>
    <row r="766" spans="3:31" ht="15.75" customHeight="1"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AE766" s="160"/>
    </row>
    <row r="767" spans="3:31" ht="15.75" customHeight="1"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AE767" s="160"/>
    </row>
    <row r="768" spans="3:31" ht="15.75" customHeight="1"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AE768" s="160"/>
    </row>
    <row r="769" spans="3:31" ht="15.75" customHeight="1"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AE769" s="160"/>
    </row>
    <row r="770" spans="3:31" ht="15.75" customHeight="1"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AE770" s="160"/>
    </row>
    <row r="771" spans="3:31" ht="15.75" customHeight="1"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AE771" s="160"/>
    </row>
    <row r="772" spans="3:31" ht="15.75" customHeight="1"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AE772" s="160"/>
    </row>
    <row r="773" spans="3:31" ht="15.75" customHeight="1"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AE773" s="160"/>
    </row>
    <row r="774" spans="3:31" ht="15.75" customHeight="1"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AE774" s="160"/>
    </row>
    <row r="775" spans="3:31" ht="15.75" customHeight="1"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AE775" s="160"/>
    </row>
    <row r="776" spans="3:31" ht="15.75" customHeight="1"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AE776" s="160"/>
    </row>
    <row r="777" spans="3:31" ht="15.75" customHeight="1"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AE777" s="160"/>
    </row>
    <row r="778" spans="3:31" ht="15.75" customHeight="1"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AE778" s="160"/>
    </row>
    <row r="779" spans="3:31" ht="15.75" customHeight="1"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AE779" s="160"/>
    </row>
    <row r="780" spans="3:31" ht="15.75" customHeight="1"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AE780" s="160"/>
    </row>
    <row r="781" spans="3:31" ht="15.75" customHeight="1"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AE781" s="160"/>
    </row>
    <row r="782" spans="3:31" ht="15.75" customHeight="1"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AE782" s="160"/>
    </row>
    <row r="783" spans="3:31" ht="15.75" customHeight="1"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AE783" s="160"/>
    </row>
    <row r="784" spans="3:31" ht="15.75" customHeight="1"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AE784" s="160"/>
    </row>
    <row r="785" spans="3:31" ht="15.75" customHeight="1"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AE785" s="160"/>
    </row>
    <row r="786" spans="3:31" ht="15.75" customHeight="1"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AE786" s="160"/>
    </row>
    <row r="787" spans="3:31" ht="15.75" customHeight="1"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AE787" s="160"/>
    </row>
    <row r="788" spans="3:31" ht="15.75" customHeight="1"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AE788" s="160"/>
    </row>
    <row r="789" spans="3:31" ht="15.75" customHeight="1"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AE789" s="160"/>
    </row>
    <row r="790" spans="3:31" ht="15.75" customHeight="1"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AE790" s="160"/>
    </row>
    <row r="791" spans="3:31" ht="15.75" customHeight="1"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AE791" s="160"/>
    </row>
    <row r="792" spans="3:31" ht="15.75" customHeight="1"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AE792" s="160"/>
    </row>
    <row r="793" spans="3:31" ht="15.75" customHeight="1"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AE793" s="160"/>
    </row>
    <row r="794" spans="3:31" ht="15.75" customHeight="1"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AE794" s="160"/>
    </row>
    <row r="795" spans="3:31" ht="15.75" customHeight="1"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AE795" s="160"/>
    </row>
    <row r="796" spans="3:31" ht="15.75" customHeight="1"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AE796" s="160"/>
    </row>
    <row r="797" spans="3:31" ht="15.75" customHeight="1"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AE797" s="160"/>
    </row>
    <row r="798" spans="3:31" ht="15.75" customHeight="1"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AE798" s="160"/>
    </row>
    <row r="799" spans="3:31" ht="15.75" customHeight="1"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AE799" s="160"/>
    </row>
    <row r="800" spans="3:31" ht="15.75" customHeight="1"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AE800" s="160"/>
    </row>
    <row r="801" spans="3:31" ht="15.75" customHeight="1"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AE801" s="160"/>
    </row>
    <row r="802" spans="3:31" ht="15.75" customHeight="1"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AE802" s="160"/>
    </row>
    <row r="803" spans="3:31" ht="15.75" customHeight="1"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AE803" s="160"/>
    </row>
    <row r="804" spans="3:31" ht="15.75" customHeight="1"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AE804" s="160"/>
    </row>
    <row r="805" spans="3:31" ht="15.75" customHeight="1"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AE805" s="160"/>
    </row>
    <row r="806" spans="3:31" ht="15.75" customHeight="1"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AE806" s="160"/>
    </row>
    <row r="807" spans="3:31" ht="15.75" customHeight="1"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AE807" s="160"/>
    </row>
    <row r="808" spans="3:31" ht="15.75" customHeight="1"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AE808" s="160"/>
    </row>
    <row r="809" spans="3:31" ht="15.75" customHeight="1"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AE809" s="160"/>
    </row>
    <row r="810" spans="3:31" ht="15.75" customHeight="1"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AE810" s="160"/>
    </row>
    <row r="811" spans="3:31" ht="15.75" customHeight="1"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AE811" s="160"/>
    </row>
    <row r="812" spans="3:31" ht="15.75" customHeight="1"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AE812" s="160"/>
    </row>
    <row r="813" spans="3:31" ht="15.75" customHeight="1"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AE813" s="160"/>
    </row>
    <row r="814" spans="3:31" ht="15.75" customHeight="1"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AE814" s="160"/>
    </row>
    <row r="815" spans="3:31" ht="15.75" customHeight="1"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AE815" s="160"/>
    </row>
    <row r="816" spans="3:31" ht="15.75" customHeight="1"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AE816" s="160"/>
    </row>
    <row r="817" spans="3:31" ht="15.75" customHeight="1"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AE817" s="160"/>
    </row>
    <row r="818" spans="3:31" ht="15.75" customHeight="1"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AE818" s="160"/>
    </row>
    <row r="819" spans="3:31" ht="15.75" customHeight="1"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AE819" s="160"/>
    </row>
    <row r="820" spans="3:31" ht="15.75" customHeight="1"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AE820" s="160"/>
    </row>
    <row r="821" spans="3:31" ht="15.75" customHeight="1"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AE821" s="160"/>
    </row>
    <row r="822" spans="3:31" ht="15.75" customHeight="1"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AE822" s="160"/>
    </row>
    <row r="823" spans="3:31" ht="15.75" customHeight="1"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AE823" s="160"/>
    </row>
    <row r="824" spans="3:31" ht="15.75" customHeight="1"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AE824" s="160"/>
    </row>
    <row r="825" spans="3:31" ht="15.75" customHeight="1"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AE825" s="160"/>
    </row>
    <row r="826" spans="3:31" ht="15.75" customHeight="1"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AE826" s="160"/>
    </row>
    <row r="827" spans="3:31" ht="15.75" customHeight="1"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AE827" s="160"/>
    </row>
    <row r="828" spans="3:31" ht="15.75" customHeight="1"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AE828" s="160"/>
    </row>
    <row r="829" spans="3:31" ht="15.75" customHeight="1"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AE829" s="160"/>
    </row>
    <row r="830" spans="3:31" ht="15.75" customHeight="1"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AE830" s="160"/>
    </row>
    <row r="831" spans="3:31" ht="15.75" customHeight="1"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AE831" s="160"/>
    </row>
    <row r="832" spans="3:31" ht="15.75" customHeight="1"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AE832" s="160"/>
    </row>
    <row r="833" spans="3:31" ht="15.75" customHeight="1"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AE833" s="160"/>
    </row>
    <row r="834" spans="3:31" ht="15.75" customHeight="1"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AE834" s="160"/>
    </row>
    <row r="835" spans="3:31" ht="15.75" customHeight="1"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AE835" s="160"/>
    </row>
    <row r="836" spans="3:31" ht="15.75" customHeight="1"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AE836" s="160"/>
    </row>
    <row r="837" spans="3:31" ht="15.75" customHeight="1"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AE837" s="160"/>
    </row>
    <row r="838" spans="3:31" ht="15.75" customHeight="1"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AE838" s="160"/>
    </row>
    <row r="839" spans="3:31" ht="15.75" customHeight="1"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AE839" s="160"/>
    </row>
    <row r="840" spans="3:31" ht="15.75" customHeight="1"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AE840" s="160"/>
    </row>
    <row r="841" spans="3:31" ht="15.75" customHeight="1"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AE841" s="160"/>
    </row>
    <row r="842" spans="3:31" ht="15.75" customHeight="1"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AE842" s="160"/>
    </row>
    <row r="843" spans="3:31" ht="15.75" customHeight="1"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AE843" s="160"/>
    </row>
    <row r="844" spans="3:31" ht="15.75" customHeight="1"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AE844" s="160"/>
    </row>
    <row r="845" spans="3:31" ht="15.75" customHeight="1"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AE845" s="160"/>
    </row>
    <row r="846" spans="3:31" ht="15.75" customHeight="1"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AE846" s="160"/>
    </row>
    <row r="847" spans="3:31" ht="15.75" customHeight="1"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AE847" s="160"/>
    </row>
    <row r="848" spans="3:31" ht="15.75" customHeight="1"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AE848" s="160"/>
    </row>
    <row r="849" spans="3:31" ht="15.75" customHeight="1"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AE849" s="160"/>
    </row>
    <row r="850" spans="3:31" ht="15.75" customHeight="1"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AE850" s="160"/>
    </row>
    <row r="851" spans="3:31" ht="15.75" customHeight="1"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AE851" s="160"/>
    </row>
    <row r="852" spans="3:31" ht="15.75" customHeight="1"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AE852" s="160"/>
    </row>
    <row r="853" spans="3:31" ht="15.75" customHeight="1"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AE853" s="160"/>
    </row>
    <row r="854" spans="3:31" ht="15.75" customHeight="1"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AE854" s="160"/>
    </row>
    <row r="855" spans="3:31" ht="15.75" customHeight="1"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AE855" s="160"/>
    </row>
    <row r="856" spans="3:31" ht="15.75" customHeight="1"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AE856" s="160"/>
    </row>
    <row r="857" spans="3:31" ht="15.75" customHeight="1"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AE857" s="160"/>
    </row>
    <row r="858" spans="3:31" ht="15.75" customHeight="1"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AE858" s="160"/>
    </row>
    <row r="859" spans="3:31" ht="15.75" customHeight="1"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AE859" s="160"/>
    </row>
    <row r="860" spans="3:31" ht="15.75" customHeight="1"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AE860" s="160"/>
    </row>
    <row r="861" spans="3:31" ht="15.75" customHeight="1"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AE861" s="160"/>
    </row>
    <row r="862" spans="3:31" ht="15.75" customHeight="1"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AE862" s="160"/>
    </row>
    <row r="863" spans="3:31" ht="15.75" customHeight="1"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AE863" s="160"/>
    </row>
    <row r="864" spans="3:31" ht="15.75" customHeight="1"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AE864" s="160"/>
    </row>
    <row r="865" spans="3:31" ht="15.75" customHeight="1"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AE865" s="160"/>
    </row>
    <row r="866" spans="3:31" ht="15.75" customHeight="1"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AE866" s="160"/>
    </row>
    <row r="867" spans="3:31" ht="15.75" customHeight="1"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AE867" s="160"/>
    </row>
    <row r="868" spans="3:31" ht="15.75" customHeight="1"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AE868" s="160"/>
    </row>
    <row r="869" spans="3:31" ht="15.75" customHeight="1"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AE869" s="160"/>
    </row>
    <row r="870" spans="3:31" ht="15.75" customHeight="1"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AE870" s="160"/>
    </row>
    <row r="871" spans="3:31" ht="15.75" customHeight="1"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AE871" s="160"/>
    </row>
    <row r="872" spans="3:31" ht="15.75" customHeight="1"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AE872" s="160"/>
    </row>
    <row r="873" spans="3:31" ht="15.75" customHeight="1"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AE873" s="160"/>
    </row>
    <row r="874" spans="3:31" ht="15.75" customHeight="1"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AE874" s="160"/>
    </row>
    <row r="875" spans="3:31" ht="15.75" customHeight="1"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AE875" s="160"/>
    </row>
    <row r="876" spans="3:31" ht="15.75" customHeight="1"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AE876" s="160"/>
    </row>
    <row r="877" spans="3:31" ht="15.75" customHeight="1"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AE877" s="160"/>
    </row>
    <row r="878" spans="3:31" ht="15.75" customHeight="1"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AE878" s="160"/>
    </row>
    <row r="879" spans="3:31" ht="15.75" customHeight="1"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AE879" s="160"/>
    </row>
    <row r="880" spans="3:31" ht="15.75" customHeight="1"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AE880" s="160"/>
    </row>
    <row r="881" spans="3:31" ht="15.75" customHeight="1"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AE881" s="160"/>
    </row>
    <row r="882" spans="3:31" ht="15.75" customHeight="1"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AE882" s="160"/>
    </row>
    <row r="883" spans="3:31" ht="15.75" customHeight="1"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AE883" s="160"/>
    </row>
    <row r="884" spans="3:31" ht="15.75" customHeight="1"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AE884" s="160"/>
    </row>
    <row r="885" spans="3:31" ht="15.75" customHeight="1"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AE885" s="160"/>
    </row>
    <row r="886" spans="3:31" ht="15.75" customHeight="1"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AE886" s="160"/>
    </row>
    <row r="887" spans="3:31" ht="15.75" customHeight="1"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AE887" s="160"/>
    </row>
    <row r="888" spans="3:31" ht="15.75" customHeight="1"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AE888" s="160"/>
    </row>
    <row r="889" spans="3:31" ht="15.75" customHeight="1"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AE889" s="160"/>
    </row>
    <row r="890" spans="3:31" ht="15.75" customHeight="1"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AE890" s="160"/>
    </row>
    <row r="891" spans="3:31" ht="15.75" customHeight="1"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AE891" s="160"/>
    </row>
    <row r="892" spans="3:31" ht="15.75" customHeight="1"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AE892" s="160"/>
    </row>
    <row r="893" spans="3:31" ht="15.75" customHeight="1"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AE893" s="160"/>
    </row>
    <row r="894" spans="3:31" ht="15.75" customHeight="1"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AE894" s="160"/>
    </row>
    <row r="895" spans="3:31" ht="15.75" customHeight="1"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AE895" s="160"/>
    </row>
    <row r="896" spans="3:31" ht="15.75" customHeight="1"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AE896" s="160"/>
    </row>
    <row r="897" spans="3:31" ht="15.75" customHeight="1"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AE897" s="160"/>
    </row>
    <row r="898" spans="3:31" ht="15.75" customHeight="1"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AE898" s="160"/>
    </row>
    <row r="899" spans="3:31" ht="15.75" customHeight="1"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AE899" s="160"/>
    </row>
    <row r="900" spans="3:31" ht="15.75" customHeight="1"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AE900" s="160"/>
    </row>
    <row r="901" spans="3:31" ht="15.75" customHeight="1"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AE901" s="160"/>
    </row>
    <row r="902" spans="3:31" ht="15.75" customHeight="1"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AE902" s="160"/>
    </row>
    <row r="903" spans="3:31" ht="15.75" customHeight="1"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AE903" s="160"/>
    </row>
    <row r="904" spans="3:31" ht="15.75" customHeight="1"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AE904" s="160"/>
    </row>
    <row r="905" spans="3:31" ht="15.75" customHeight="1"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AE905" s="160"/>
    </row>
    <row r="906" spans="3:31" ht="15.75" customHeight="1"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AE906" s="160"/>
    </row>
    <row r="907" spans="3:31" ht="15.75" customHeight="1"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AE907" s="160"/>
    </row>
    <row r="908" spans="3:31" ht="15.75" customHeight="1"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AE908" s="160"/>
    </row>
    <row r="909" spans="3:31" ht="15.75" customHeight="1"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AE909" s="160"/>
    </row>
    <row r="910" spans="3:31" ht="15.75" customHeight="1"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AE910" s="160"/>
    </row>
    <row r="911" spans="3:31" ht="15.75" customHeight="1"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AE911" s="160"/>
    </row>
    <row r="912" spans="3:31" ht="15.75" customHeight="1"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AE912" s="160"/>
    </row>
    <row r="913" spans="3:31" ht="15.75" customHeight="1"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AE913" s="160"/>
    </row>
    <row r="914" spans="3:31" ht="15.75" customHeight="1"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AE914" s="160"/>
    </row>
    <row r="915" spans="3:31" ht="15.75" customHeight="1"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AE915" s="160"/>
    </row>
    <row r="916" spans="3:31" ht="15.75" customHeight="1"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AE916" s="160"/>
    </row>
    <row r="917" spans="3:31" ht="15.75" customHeight="1"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AE917" s="160"/>
    </row>
    <row r="918" spans="3:31" ht="15.75" customHeight="1"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AE918" s="160"/>
    </row>
    <row r="919" spans="3:31" ht="15.75" customHeight="1"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AE919" s="160"/>
    </row>
    <row r="920" spans="3:31" ht="15.75" customHeight="1"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AE920" s="160"/>
    </row>
    <row r="921" spans="3:31" ht="15.75" customHeight="1"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AE921" s="160"/>
    </row>
    <row r="922" spans="3:31" ht="15.75" customHeight="1"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AE922" s="160"/>
    </row>
    <row r="923" spans="3:31" ht="15.75" customHeight="1"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AE923" s="160"/>
    </row>
    <row r="924" spans="3:31" ht="15.75" customHeight="1"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AE924" s="160"/>
    </row>
    <row r="925" spans="3:31" ht="15.75" customHeight="1"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AE925" s="160"/>
    </row>
    <row r="926" spans="3:31" ht="15.75" customHeight="1"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AE926" s="160"/>
    </row>
    <row r="927" spans="3:31" ht="15.75" customHeight="1"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AE927" s="160"/>
    </row>
    <row r="928" spans="3:31" ht="15.75" customHeight="1"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AE928" s="160"/>
    </row>
    <row r="929" spans="3:31" ht="15.75" customHeight="1"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AE929" s="160"/>
    </row>
    <row r="930" spans="3:31" ht="15.75" customHeight="1"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AE930" s="160"/>
    </row>
    <row r="931" spans="3:31" ht="15.75" customHeight="1"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AE931" s="160"/>
    </row>
    <row r="932" spans="3:31" ht="15.75" customHeight="1"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AE932" s="160"/>
    </row>
    <row r="933" spans="3:31" ht="15.75" customHeight="1"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AE933" s="160"/>
    </row>
    <row r="934" spans="3:31" ht="15.75" customHeight="1"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AE934" s="160"/>
    </row>
    <row r="935" spans="3:31" ht="15.75" customHeight="1"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AE935" s="160"/>
    </row>
    <row r="936" spans="3:31" ht="15.75" customHeight="1"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AE936" s="160"/>
    </row>
    <row r="937" spans="3:31" ht="15.75" customHeight="1"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AE937" s="160"/>
    </row>
    <row r="938" spans="3:31" ht="15.75" customHeight="1"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AE938" s="160"/>
    </row>
    <row r="939" spans="3:31" ht="15.75" customHeight="1"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AE939" s="160"/>
    </row>
    <row r="940" spans="3:31" ht="15.75" customHeight="1"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AE940" s="160"/>
    </row>
    <row r="941" spans="3:31" ht="15.75" customHeight="1"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AE941" s="160"/>
    </row>
    <row r="942" spans="3:31" ht="15.75" customHeight="1"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AE942" s="160"/>
    </row>
    <row r="943" spans="3:31" ht="15.75" customHeight="1"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AE943" s="160"/>
    </row>
    <row r="944" spans="3:31" ht="15.75" customHeight="1"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AE944" s="160"/>
    </row>
    <row r="945" spans="3:31" ht="15.75" customHeight="1"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AE945" s="160"/>
    </row>
    <row r="946" spans="3:31" ht="15.75" customHeight="1"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AE946" s="160"/>
    </row>
    <row r="947" spans="3:31" ht="15.75" customHeight="1"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AE947" s="160"/>
    </row>
    <row r="948" spans="3:31" ht="15.75" customHeight="1"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AE948" s="160"/>
    </row>
    <row r="949" spans="3:31" ht="15.75" customHeight="1"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AE949" s="160"/>
    </row>
    <row r="950" spans="3:31" ht="15.75" customHeight="1"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AE950" s="160"/>
    </row>
    <row r="951" spans="3:31" ht="15.75" customHeight="1"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AE951" s="160"/>
    </row>
    <row r="952" spans="3:31" ht="15.75" customHeight="1"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AE952" s="160"/>
    </row>
    <row r="953" spans="3:31" ht="15.75" customHeight="1"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AE953" s="160"/>
    </row>
    <row r="954" spans="3:31" ht="15.75" customHeight="1"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AE954" s="160"/>
    </row>
    <row r="955" spans="3:31" ht="15.75" customHeight="1"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AE955" s="160"/>
    </row>
    <row r="956" spans="3:31" ht="15.75" customHeight="1"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AE956" s="160"/>
    </row>
    <row r="957" spans="3:31" ht="15.75" customHeight="1"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AE957" s="160"/>
    </row>
    <row r="958" spans="3:31" ht="15.75" customHeight="1"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AE958" s="160"/>
    </row>
    <row r="959" spans="3:31" ht="15.75" customHeight="1"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AE959" s="160"/>
    </row>
    <row r="960" spans="3:31" ht="15.75" customHeight="1"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AE960" s="160"/>
    </row>
    <row r="961" spans="3:31" ht="15.75" customHeight="1"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AE961" s="160"/>
    </row>
    <row r="962" spans="3:31" ht="15.75" customHeight="1"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AE962" s="160"/>
    </row>
    <row r="963" spans="3:31" ht="15.75" customHeight="1"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AE963" s="160"/>
    </row>
    <row r="964" spans="3:31" ht="15.75" customHeight="1"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AE964" s="160"/>
    </row>
    <row r="965" spans="3:31" ht="15.75" customHeight="1"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AE965" s="160"/>
    </row>
    <row r="966" spans="3:31" ht="15.75" customHeight="1"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AE966" s="160"/>
    </row>
    <row r="967" spans="3:31" ht="15.75" customHeight="1"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AE967" s="160"/>
    </row>
    <row r="968" spans="3:31" ht="15.75" customHeight="1"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AE968" s="160"/>
    </row>
    <row r="969" spans="3:31" ht="15.75" customHeight="1"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AE969" s="160"/>
    </row>
    <row r="970" spans="3:31" ht="15.75" customHeight="1"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AE970" s="160"/>
    </row>
    <row r="971" spans="3:31" ht="15.75" customHeight="1"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AE971" s="160"/>
    </row>
    <row r="972" spans="3:31" ht="15.75" customHeight="1"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AE972" s="160"/>
    </row>
    <row r="973" spans="3:31" ht="15.75" customHeight="1"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AE973" s="160"/>
    </row>
    <row r="974" spans="3:31" ht="15.75" customHeight="1"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AE974" s="160"/>
    </row>
    <row r="975" spans="3:31" ht="15.75" customHeight="1"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AE975" s="160"/>
    </row>
    <row r="976" spans="3:31" ht="15.75" customHeight="1"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AE976" s="160"/>
    </row>
    <row r="977" spans="3:31" ht="15.75" customHeight="1"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AE977" s="160"/>
    </row>
    <row r="978" spans="3:31" ht="15.75" customHeight="1"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AE978" s="160"/>
    </row>
    <row r="979" spans="3:31" ht="15.75" customHeight="1"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AE979" s="160"/>
    </row>
    <row r="980" spans="3:31" ht="15.75" customHeight="1"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AE980" s="160"/>
    </row>
    <row r="981" spans="3:31" ht="15.75" customHeight="1"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AE981" s="160"/>
    </row>
    <row r="982" spans="3:31" ht="15.75" customHeight="1"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AE982" s="160"/>
    </row>
    <row r="983" spans="3:31" ht="15.75" customHeight="1"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AE983" s="160"/>
    </row>
    <row r="984" spans="3:31" ht="15.75" customHeight="1"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AE984" s="160"/>
    </row>
    <row r="985" spans="3:31" ht="15.75" customHeight="1"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AE985" s="160"/>
    </row>
    <row r="986" spans="3:31" ht="15.75" customHeight="1"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AE986" s="160"/>
    </row>
    <row r="987" spans="3:31" ht="15.75" customHeight="1"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AE987" s="160"/>
    </row>
    <row r="988" spans="3:31" ht="15.75" customHeight="1"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AE988" s="160"/>
    </row>
    <row r="989" spans="3:31" ht="15.75" customHeight="1"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AE989" s="160"/>
    </row>
    <row r="990" spans="3:31" ht="15.75" customHeight="1"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AE990" s="160"/>
    </row>
    <row r="991" spans="3:31" ht="15.75" customHeight="1"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AE991" s="160"/>
    </row>
    <row r="992" spans="3:31" ht="15.75" customHeight="1"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AE992" s="160"/>
    </row>
    <row r="993" spans="3:31" ht="15.75" customHeight="1"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AE993" s="160"/>
    </row>
    <row r="994" spans="3:31" ht="15.75" customHeight="1"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AE994" s="160"/>
    </row>
    <row r="995" spans="3:31" ht="15.75" customHeight="1"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AE995" s="160"/>
    </row>
    <row r="996" spans="3:31" ht="15.75" customHeight="1"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AE996" s="160"/>
    </row>
    <row r="997" spans="3:31" ht="15.75" customHeight="1"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AE997" s="160"/>
    </row>
    <row r="998" spans="3:31" ht="15.75" customHeight="1"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AE998" s="160"/>
    </row>
    <row r="999" spans="3:31" ht="15.75" customHeight="1"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AE999" s="160"/>
    </row>
    <row r="1000" spans="3:31" ht="15.75" customHeight="1"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AE1000" s="160"/>
    </row>
  </sheetData>
  <mergeCells count="71">
    <mergeCell ref="A38:B38"/>
    <mergeCell ref="A32:B32"/>
    <mergeCell ref="A33:B33"/>
    <mergeCell ref="A34:B34"/>
    <mergeCell ref="A35:B35"/>
    <mergeCell ref="A36:B36"/>
    <mergeCell ref="A37:B37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A5:AA6"/>
    <mergeCell ref="AB5:AB6"/>
    <mergeCell ref="AC5:AC6"/>
    <mergeCell ref="AD5:AD6"/>
    <mergeCell ref="AE5:AE6"/>
    <mergeCell ref="W5:W6"/>
    <mergeCell ref="X5:X6"/>
    <mergeCell ref="H5:H6"/>
    <mergeCell ref="I5:I6"/>
    <mergeCell ref="J5:J6"/>
    <mergeCell ref="K5:K6"/>
    <mergeCell ref="L5:L6"/>
    <mergeCell ref="M5:M6"/>
    <mergeCell ref="S5:S6"/>
    <mergeCell ref="T5:T6"/>
    <mergeCell ref="O5:O6"/>
    <mergeCell ref="Q5:Q6"/>
    <mergeCell ref="R5:R6"/>
    <mergeCell ref="A7:B7"/>
    <mergeCell ref="U5:U6"/>
    <mergeCell ref="V5:V6"/>
    <mergeCell ref="A4:G4"/>
    <mergeCell ref="H4:J4"/>
    <mergeCell ref="K4:L4"/>
    <mergeCell ref="Q4:AE4"/>
    <mergeCell ref="A5:B6"/>
    <mergeCell ref="C5:C6"/>
    <mergeCell ref="D5:D6"/>
    <mergeCell ref="E5:E6"/>
    <mergeCell ref="F5:F6"/>
    <mergeCell ref="G5:G6"/>
    <mergeCell ref="Y5:Y6"/>
    <mergeCell ref="Z5:Z6"/>
    <mergeCell ref="N5:N6"/>
    <mergeCell ref="H1:J1"/>
    <mergeCell ref="K1:L1"/>
    <mergeCell ref="H2:J2"/>
    <mergeCell ref="K2:L2"/>
    <mergeCell ref="H3:J3"/>
    <mergeCell ref="K3:L3"/>
  </mergeCells>
  <pageMargins left="0.7" right="0.7" top="0.75" bottom="0.75" header="0" footer="0"/>
  <pageSetup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11BE-129B-4135-95C4-8E5B6FFF2DD9}">
  <sheetPr codeName="Лист18"/>
  <dimension ref="A1:J35"/>
  <sheetViews>
    <sheetView topLeftCell="A13" workbookViewId="0">
      <selection activeCell="B32" sqref="B32:F34"/>
    </sheetView>
  </sheetViews>
  <sheetFormatPr defaultRowHeight="15"/>
  <cols>
    <col min="1" max="16384" width="8.796875" style="2"/>
  </cols>
  <sheetData>
    <row r="1" spans="1:10" ht="21">
      <c r="A1" s="153">
        <f>J35</f>
        <v>8064</v>
      </c>
      <c r="B1" s="201" t="s">
        <v>185</v>
      </c>
      <c r="C1" s="201"/>
      <c r="D1" s="201"/>
      <c r="E1" s="201"/>
      <c r="F1" s="201"/>
      <c r="G1" s="201"/>
      <c r="H1" s="201"/>
    </row>
    <row r="2" spans="1:10" ht="28.9" customHeight="1">
      <c r="A2" s="202" t="s">
        <v>0</v>
      </c>
      <c r="B2" s="204" t="s">
        <v>1</v>
      </c>
      <c r="C2" s="205"/>
      <c r="D2" s="202" t="s">
        <v>148</v>
      </c>
      <c r="E2" s="202" t="s">
        <v>149</v>
      </c>
      <c r="F2" s="4" t="s">
        <v>4</v>
      </c>
      <c r="G2" s="202" t="s">
        <v>11</v>
      </c>
      <c r="H2" s="202" t="s">
        <v>12</v>
      </c>
      <c r="I2" s="202" t="s">
        <v>13</v>
      </c>
      <c r="J2" s="202" t="s">
        <v>18</v>
      </c>
    </row>
    <row r="3" spans="1:10" ht="30">
      <c r="A3" s="203"/>
      <c r="B3" s="206"/>
      <c r="C3" s="207"/>
      <c r="D3" s="203"/>
      <c r="E3" s="203"/>
      <c r="F3" s="5" t="s">
        <v>158</v>
      </c>
      <c r="G3" s="203"/>
      <c r="H3" s="203"/>
      <c r="I3" s="203"/>
      <c r="J3" s="203"/>
    </row>
    <row r="4" spans="1:10">
      <c r="A4" s="6">
        <v>1</v>
      </c>
      <c r="B4" s="199">
        <v>46054</v>
      </c>
      <c r="C4" s="200"/>
      <c r="D4" s="121"/>
      <c r="E4" s="80"/>
      <c r="F4" s="183">
        <v>24</v>
      </c>
      <c r="G4" s="79">
        <f>SUM(D4*120)</f>
        <v>0</v>
      </c>
      <c r="H4" s="79">
        <f>SUM(E4*120)</f>
        <v>0</v>
      </c>
      <c r="I4" s="79">
        <f>SUM(F4*12)</f>
        <v>288</v>
      </c>
      <c r="J4" s="79">
        <f>SUM(G4:I4)</f>
        <v>288</v>
      </c>
    </row>
    <row r="5" spans="1:10">
      <c r="A5" s="6">
        <v>2</v>
      </c>
      <c r="B5" s="199">
        <v>46055</v>
      </c>
      <c r="C5" s="200"/>
      <c r="D5" s="121"/>
      <c r="E5" s="80"/>
      <c r="F5" s="183">
        <v>24</v>
      </c>
      <c r="G5" s="79">
        <f t="shared" ref="G5:G33" si="0">SUM(D5*120)</f>
        <v>0</v>
      </c>
      <c r="H5" s="79">
        <f t="shared" ref="H5:H33" si="1">SUM(E5*120)</f>
        <v>0</v>
      </c>
      <c r="I5" s="79">
        <f t="shared" ref="I5:I33" si="2">SUM(F5*12)</f>
        <v>288</v>
      </c>
      <c r="J5" s="79">
        <f t="shared" ref="J5:J34" si="3">SUM(G5:I5)</f>
        <v>288</v>
      </c>
    </row>
    <row r="6" spans="1:10">
      <c r="A6" s="6">
        <v>3</v>
      </c>
      <c r="B6" s="199">
        <v>46056</v>
      </c>
      <c r="C6" s="200"/>
      <c r="D6" s="121"/>
      <c r="E6" s="80"/>
      <c r="F6" s="183">
        <v>24</v>
      </c>
      <c r="G6" s="79">
        <f t="shared" si="0"/>
        <v>0</v>
      </c>
      <c r="H6" s="79">
        <f t="shared" si="1"/>
        <v>0</v>
      </c>
      <c r="I6" s="79">
        <f t="shared" si="2"/>
        <v>288</v>
      </c>
      <c r="J6" s="79">
        <f t="shared" si="3"/>
        <v>288</v>
      </c>
    </row>
    <row r="7" spans="1:10">
      <c r="A7" s="6">
        <v>4</v>
      </c>
      <c r="B7" s="199">
        <v>46057</v>
      </c>
      <c r="C7" s="200"/>
      <c r="D7" s="121"/>
      <c r="E7" s="80"/>
      <c r="F7" s="183">
        <v>24</v>
      </c>
      <c r="G7" s="79">
        <f t="shared" si="0"/>
        <v>0</v>
      </c>
      <c r="H7" s="79">
        <f t="shared" si="1"/>
        <v>0</v>
      </c>
      <c r="I7" s="79">
        <f t="shared" si="2"/>
        <v>288</v>
      </c>
      <c r="J7" s="79">
        <f t="shared" si="3"/>
        <v>288</v>
      </c>
    </row>
    <row r="8" spans="1:10">
      <c r="A8" s="6">
        <v>5</v>
      </c>
      <c r="B8" s="199">
        <v>46058</v>
      </c>
      <c r="C8" s="200"/>
      <c r="D8" s="121"/>
      <c r="E8" s="80"/>
      <c r="F8" s="183">
        <v>24</v>
      </c>
      <c r="G8" s="79">
        <f t="shared" si="0"/>
        <v>0</v>
      </c>
      <c r="H8" s="79">
        <f t="shared" si="1"/>
        <v>0</v>
      </c>
      <c r="I8" s="79">
        <f t="shared" si="2"/>
        <v>288</v>
      </c>
      <c r="J8" s="79">
        <f t="shared" si="3"/>
        <v>288</v>
      </c>
    </row>
    <row r="9" spans="1:10">
      <c r="A9" s="6">
        <v>6</v>
      </c>
      <c r="B9" s="199">
        <v>46059</v>
      </c>
      <c r="C9" s="200"/>
      <c r="D9" s="121"/>
      <c r="E9" s="80"/>
      <c r="F9" s="183">
        <v>24</v>
      </c>
      <c r="G9" s="79">
        <f t="shared" si="0"/>
        <v>0</v>
      </c>
      <c r="H9" s="79">
        <f t="shared" si="1"/>
        <v>0</v>
      </c>
      <c r="I9" s="79">
        <f t="shared" si="2"/>
        <v>288</v>
      </c>
      <c r="J9" s="79">
        <f t="shared" si="3"/>
        <v>288</v>
      </c>
    </row>
    <row r="10" spans="1:10">
      <c r="A10" s="6">
        <v>7</v>
      </c>
      <c r="B10" s="199">
        <v>46060</v>
      </c>
      <c r="C10" s="200"/>
      <c r="D10" s="121"/>
      <c r="E10" s="80"/>
      <c r="F10" s="183">
        <v>24</v>
      </c>
      <c r="G10" s="79">
        <f t="shared" si="0"/>
        <v>0</v>
      </c>
      <c r="H10" s="79">
        <f t="shared" si="1"/>
        <v>0</v>
      </c>
      <c r="I10" s="79">
        <f t="shared" si="2"/>
        <v>288</v>
      </c>
      <c r="J10" s="79">
        <f t="shared" si="3"/>
        <v>288</v>
      </c>
    </row>
    <row r="11" spans="1:10">
      <c r="A11" s="6">
        <v>8</v>
      </c>
      <c r="B11" s="199">
        <v>46061</v>
      </c>
      <c r="C11" s="200"/>
      <c r="D11" s="121"/>
      <c r="E11" s="80"/>
      <c r="F11" s="183">
        <v>24</v>
      </c>
      <c r="G11" s="79">
        <f t="shared" si="0"/>
        <v>0</v>
      </c>
      <c r="H11" s="79">
        <f t="shared" si="1"/>
        <v>0</v>
      </c>
      <c r="I11" s="79">
        <f t="shared" si="2"/>
        <v>288</v>
      </c>
      <c r="J11" s="79">
        <f t="shared" si="3"/>
        <v>288</v>
      </c>
    </row>
    <row r="12" spans="1:10">
      <c r="A12" s="6">
        <v>9</v>
      </c>
      <c r="B12" s="199">
        <v>46062</v>
      </c>
      <c r="C12" s="200"/>
      <c r="D12" s="121"/>
      <c r="E12" s="80"/>
      <c r="F12" s="183">
        <v>24</v>
      </c>
      <c r="G12" s="79">
        <f t="shared" si="0"/>
        <v>0</v>
      </c>
      <c r="H12" s="79">
        <f t="shared" si="1"/>
        <v>0</v>
      </c>
      <c r="I12" s="79">
        <f t="shared" si="2"/>
        <v>288</v>
      </c>
      <c r="J12" s="79">
        <f t="shared" si="3"/>
        <v>288</v>
      </c>
    </row>
    <row r="13" spans="1:10">
      <c r="A13" s="6">
        <v>10</v>
      </c>
      <c r="B13" s="199">
        <v>46063</v>
      </c>
      <c r="C13" s="200"/>
      <c r="D13" s="121"/>
      <c r="E13" s="80"/>
      <c r="F13" s="183">
        <v>24</v>
      </c>
      <c r="G13" s="79">
        <f t="shared" si="0"/>
        <v>0</v>
      </c>
      <c r="H13" s="79">
        <f t="shared" si="1"/>
        <v>0</v>
      </c>
      <c r="I13" s="79">
        <f t="shared" si="2"/>
        <v>288</v>
      </c>
      <c r="J13" s="79">
        <f t="shared" si="3"/>
        <v>288</v>
      </c>
    </row>
    <row r="14" spans="1:10">
      <c r="A14" s="6">
        <v>11</v>
      </c>
      <c r="B14" s="199">
        <v>46064</v>
      </c>
      <c r="C14" s="200"/>
      <c r="D14" s="121"/>
      <c r="E14" s="80"/>
      <c r="F14" s="183">
        <v>24</v>
      </c>
      <c r="G14" s="79">
        <f t="shared" si="0"/>
        <v>0</v>
      </c>
      <c r="H14" s="79">
        <f t="shared" si="1"/>
        <v>0</v>
      </c>
      <c r="I14" s="79">
        <f t="shared" si="2"/>
        <v>288</v>
      </c>
      <c r="J14" s="79">
        <f t="shared" si="3"/>
        <v>288</v>
      </c>
    </row>
    <row r="15" spans="1:10">
      <c r="A15" s="6">
        <v>12</v>
      </c>
      <c r="B15" s="199">
        <v>46065</v>
      </c>
      <c r="C15" s="200"/>
      <c r="D15" s="121"/>
      <c r="E15" s="80"/>
      <c r="F15" s="183">
        <v>24</v>
      </c>
      <c r="G15" s="79">
        <f t="shared" si="0"/>
        <v>0</v>
      </c>
      <c r="H15" s="79">
        <f t="shared" si="1"/>
        <v>0</v>
      </c>
      <c r="I15" s="79">
        <f t="shared" si="2"/>
        <v>288</v>
      </c>
      <c r="J15" s="79">
        <f t="shared" si="3"/>
        <v>288</v>
      </c>
    </row>
    <row r="16" spans="1:10">
      <c r="A16" s="6">
        <v>13</v>
      </c>
      <c r="B16" s="199">
        <v>46066</v>
      </c>
      <c r="C16" s="200"/>
      <c r="D16" s="121"/>
      <c r="E16" s="80"/>
      <c r="F16" s="183">
        <v>24</v>
      </c>
      <c r="G16" s="79">
        <f t="shared" si="0"/>
        <v>0</v>
      </c>
      <c r="H16" s="79">
        <f t="shared" si="1"/>
        <v>0</v>
      </c>
      <c r="I16" s="79">
        <f t="shared" si="2"/>
        <v>288</v>
      </c>
      <c r="J16" s="79">
        <f t="shared" si="3"/>
        <v>288</v>
      </c>
    </row>
    <row r="17" spans="1:10">
      <c r="A17" s="6">
        <v>14</v>
      </c>
      <c r="B17" s="199">
        <v>46067</v>
      </c>
      <c r="C17" s="200"/>
      <c r="D17" s="121"/>
      <c r="E17" s="80"/>
      <c r="F17" s="183">
        <v>24</v>
      </c>
      <c r="G17" s="79">
        <f t="shared" si="0"/>
        <v>0</v>
      </c>
      <c r="H17" s="79">
        <f t="shared" si="1"/>
        <v>0</v>
      </c>
      <c r="I17" s="79">
        <f t="shared" si="2"/>
        <v>288</v>
      </c>
      <c r="J17" s="79">
        <f t="shared" si="3"/>
        <v>288</v>
      </c>
    </row>
    <row r="18" spans="1:10">
      <c r="A18" s="6">
        <v>15</v>
      </c>
      <c r="B18" s="199">
        <v>46068</v>
      </c>
      <c r="C18" s="200"/>
      <c r="D18" s="121"/>
      <c r="E18" s="80"/>
      <c r="F18" s="183">
        <v>24</v>
      </c>
      <c r="G18" s="79">
        <f t="shared" si="0"/>
        <v>0</v>
      </c>
      <c r="H18" s="79">
        <f t="shared" si="1"/>
        <v>0</v>
      </c>
      <c r="I18" s="79">
        <f t="shared" si="2"/>
        <v>288</v>
      </c>
      <c r="J18" s="79">
        <f t="shared" si="3"/>
        <v>288</v>
      </c>
    </row>
    <row r="19" spans="1:10">
      <c r="A19" s="6">
        <v>16</v>
      </c>
      <c r="B19" s="199">
        <v>46069</v>
      </c>
      <c r="C19" s="200"/>
      <c r="D19" s="121"/>
      <c r="E19" s="80"/>
      <c r="F19" s="183">
        <v>24</v>
      </c>
      <c r="G19" s="79">
        <f t="shared" si="0"/>
        <v>0</v>
      </c>
      <c r="H19" s="79">
        <f t="shared" si="1"/>
        <v>0</v>
      </c>
      <c r="I19" s="79">
        <f t="shared" si="2"/>
        <v>288</v>
      </c>
      <c r="J19" s="79">
        <f t="shared" si="3"/>
        <v>288</v>
      </c>
    </row>
    <row r="20" spans="1:10">
      <c r="A20" s="6">
        <v>17</v>
      </c>
      <c r="B20" s="199">
        <v>46070</v>
      </c>
      <c r="C20" s="200"/>
      <c r="D20" s="121"/>
      <c r="E20" s="80"/>
      <c r="F20" s="183">
        <v>24</v>
      </c>
      <c r="G20" s="79">
        <f t="shared" si="0"/>
        <v>0</v>
      </c>
      <c r="H20" s="79">
        <f t="shared" si="1"/>
        <v>0</v>
      </c>
      <c r="I20" s="79">
        <f t="shared" si="2"/>
        <v>288</v>
      </c>
      <c r="J20" s="79">
        <f t="shared" si="3"/>
        <v>288</v>
      </c>
    </row>
    <row r="21" spans="1:10">
      <c r="A21" s="6">
        <v>18</v>
      </c>
      <c r="B21" s="199">
        <v>46071</v>
      </c>
      <c r="C21" s="200"/>
      <c r="D21" s="121"/>
      <c r="E21" s="80"/>
      <c r="F21" s="183">
        <v>24</v>
      </c>
      <c r="G21" s="79">
        <f t="shared" si="0"/>
        <v>0</v>
      </c>
      <c r="H21" s="79">
        <f t="shared" si="1"/>
        <v>0</v>
      </c>
      <c r="I21" s="79">
        <f t="shared" si="2"/>
        <v>288</v>
      </c>
      <c r="J21" s="79">
        <f t="shared" si="3"/>
        <v>288</v>
      </c>
    </row>
    <row r="22" spans="1:10">
      <c r="A22" s="6">
        <v>19</v>
      </c>
      <c r="B22" s="199">
        <v>46072</v>
      </c>
      <c r="C22" s="200"/>
      <c r="D22" s="121"/>
      <c r="E22" s="80"/>
      <c r="F22" s="183">
        <v>24</v>
      </c>
      <c r="G22" s="79">
        <f t="shared" si="0"/>
        <v>0</v>
      </c>
      <c r="H22" s="79">
        <f t="shared" si="1"/>
        <v>0</v>
      </c>
      <c r="I22" s="79">
        <f t="shared" si="2"/>
        <v>288</v>
      </c>
      <c r="J22" s="79">
        <f t="shared" si="3"/>
        <v>288</v>
      </c>
    </row>
    <row r="23" spans="1:10">
      <c r="A23" s="6">
        <v>20</v>
      </c>
      <c r="B23" s="199">
        <v>46073</v>
      </c>
      <c r="C23" s="200"/>
      <c r="D23" s="121"/>
      <c r="E23" s="80"/>
      <c r="F23" s="183">
        <v>24</v>
      </c>
      <c r="G23" s="79">
        <f t="shared" si="0"/>
        <v>0</v>
      </c>
      <c r="H23" s="79">
        <f t="shared" si="1"/>
        <v>0</v>
      </c>
      <c r="I23" s="79">
        <f t="shared" si="2"/>
        <v>288</v>
      </c>
      <c r="J23" s="79">
        <f t="shared" si="3"/>
        <v>288</v>
      </c>
    </row>
    <row r="24" spans="1:10">
      <c r="A24" s="6">
        <v>21</v>
      </c>
      <c r="B24" s="199">
        <v>46074</v>
      </c>
      <c r="C24" s="200"/>
      <c r="D24" s="121"/>
      <c r="E24" s="80"/>
      <c r="F24" s="183">
        <v>24</v>
      </c>
      <c r="G24" s="79">
        <f t="shared" si="0"/>
        <v>0</v>
      </c>
      <c r="H24" s="79">
        <f t="shared" si="1"/>
        <v>0</v>
      </c>
      <c r="I24" s="79">
        <f t="shared" si="2"/>
        <v>288</v>
      </c>
      <c r="J24" s="79">
        <f t="shared" si="3"/>
        <v>288</v>
      </c>
    </row>
    <row r="25" spans="1:10">
      <c r="A25" s="6">
        <v>22</v>
      </c>
      <c r="B25" s="199">
        <v>46075</v>
      </c>
      <c r="C25" s="200"/>
      <c r="D25" s="121"/>
      <c r="E25" s="80"/>
      <c r="F25" s="183">
        <v>24</v>
      </c>
      <c r="G25" s="79">
        <f t="shared" si="0"/>
        <v>0</v>
      </c>
      <c r="H25" s="79">
        <f t="shared" si="1"/>
        <v>0</v>
      </c>
      <c r="I25" s="79">
        <f t="shared" si="2"/>
        <v>288</v>
      </c>
      <c r="J25" s="79">
        <f t="shared" si="3"/>
        <v>288</v>
      </c>
    </row>
    <row r="26" spans="1:10">
      <c r="A26" s="6">
        <v>23</v>
      </c>
      <c r="B26" s="199">
        <v>46076</v>
      </c>
      <c r="C26" s="200"/>
      <c r="D26" s="121"/>
      <c r="E26" s="80"/>
      <c r="F26" s="183">
        <v>24</v>
      </c>
      <c r="G26" s="79">
        <f t="shared" si="0"/>
        <v>0</v>
      </c>
      <c r="H26" s="79">
        <f t="shared" si="1"/>
        <v>0</v>
      </c>
      <c r="I26" s="79">
        <f t="shared" si="2"/>
        <v>288</v>
      </c>
      <c r="J26" s="79">
        <f t="shared" si="3"/>
        <v>288</v>
      </c>
    </row>
    <row r="27" spans="1:10">
      <c r="A27" s="6">
        <v>24</v>
      </c>
      <c r="B27" s="199">
        <v>46077</v>
      </c>
      <c r="C27" s="200"/>
      <c r="D27" s="121"/>
      <c r="E27" s="80"/>
      <c r="F27" s="183">
        <v>24</v>
      </c>
      <c r="G27" s="79">
        <f t="shared" si="0"/>
        <v>0</v>
      </c>
      <c r="H27" s="79">
        <f t="shared" si="1"/>
        <v>0</v>
      </c>
      <c r="I27" s="79">
        <f t="shared" si="2"/>
        <v>288</v>
      </c>
      <c r="J27" s="79">
        <f t="shared" si="3"/>
        <v>288</v>
      </c>
    </row>
    <row r="28" spans="1:10">
      <c r="A28" s="6">
        <v>25</v>
      </c>
      <c r="B28" s="199">
        <v>46078</v>
      </c>
      <c r="C28" s="200"/>
      <c r="D28" s="121"/>
      <c r="E28" s="80"/>
      <c r="F28" s="183">
        <v>24</v>
      </c>
      <c r="G28" s="79">
        <f t="shared" si="0"/>
        <v>0</v>
      </c>
      <c r="H28" s="79">
        <f t="shared" si="1"/>
        <v>0</v>
      </c>
      <c r="I28" s="79">
        <f t="shared" si="2"/>
        <v>288</v>
      </c>
      <c r="J28" s="79">
        <f t="shared" si="3"/>
        <v>288</v>
      </c>
    </row>
    <row r="29" spans="1:10">
      <c r="A29" s="6">
        <v>26</v>
      </c>
      <c r="B29" s="199">
        <v>46079</v>
      </c>
      <c r="C29" s="200"/>
      <c r="D29" s="121"/>
      <c r="E29" s="80"/>
      <c r="F29" s="183">
        <v>24</v>
      </c>
      <c r="G29" s="79">
        <f t="shared" si="0"/>
        <v>0</v>
      </c>
      <c r="H29" s="79">
        <f t="shared" si="1"/>
        <v>0</v>
      </c>
      <c r="I29" s="79">
        <f t="shared" si="2"/>
        <v>288</v>
      </c>
      <c r="J29" s="79">
        <f t="shared" si="3"/>
        <v>288</v>
      </c>
    </row>
    <row r="30" spans="1:10">
      <c r="A30" s="6">
        <v>27</v>
      </c>
      <c r="B30" s="199">
        <v>46080</v>
      </c>
      <c r="C30" s="200"/>
      <c r="D30" s="121"/>
      <c r="E30" s="80"/>
      <c r="F30" s="183">
        <v>24</v>
      </c>
      <c r="G30" s="79">
        <f t="shared" si="0"/>
        <v>0</v>
      </c>
      <c r="H30" s="79">
        <f t="shared" si="1"/>
        <v>0</v>
      </c>
      <c r="I30" s="79">
        <f t="shared" si="2"/>
        <v>288</v>
      </c>
      <c r="J30" s="79">
        <f t="shared" si="3"/>
        <v>288</v>
      </c>
    </row>
    <row r="31" spans="1:10">
      <c r="A31" s="6">
        <v>28</v>
      </c>
      <c r="B31" s="199">
        <v>46081</v>
      </c>
      <c r="C31" s="200"/>
      <c r="D31" s="121"/>
      <c r="E31" s="80"/>
      <c r="F31" s="183">
        <v>24</v>
      </c>
      <c r="G31" s="79">
        <f t="shared" si="0"/>
        <v>0</v>
      </c>
      <c r="H31" s="79">
        <f t="shared" si="1"/>
        <v>0</v>
      </c>
      <c r="I31" s="79">
        <f t="shared" si="2"/>
        <v>288</v>
      </c>
      <c r="J31" s="79">
        <f t="shared" si="3"/>
        <v>288</v>
      </c>
    </row>
    <row r="32" spans="1:10">
      <c r="A32" s="6">
        <v>29</v>
      </c>
      <c r="B32" s="199"/>
      <c r="C32" s="200"/>
      <c r="D32" s="121"/>
      <c r="E32" s="80"/>
      <c r="F32" s="183"/>
      <c r="G32" s="79">
        <f t="shared" si="0"/>
        <v>0</v>
      </c>
      <c r="H32" s="79">
        <f t="shared" si="1"/>
        <v>0</v>
      </c>
      <c r="I32" s="79">
        <f t="shared" si="2"/>
        <v>0</v>
      </c>
      <c r="J32" s="79">
        <f t="shared" si="3"/>
        <v>0</v>
      </c>
    </row>
    <row r="33" spans="1:10">
      <c r="A33" s="6">
        <v>30</v>
      </c>
      <c r="B33" s="199"/>
      <c r="C33" s="200"/>
      <c r="D33" s="121"/>
      <c r="E33" s="80"/>
      <c r="F33" s="183"/>
      <c r="G33" s="79">
        <f t="shared" si="0"/>
        <v>0</v>
      </c>
      <c r="H33" s="79">
        <f t="shared" si="1"/>
        <v>0</v>
      </c>
      <c r="I33" s="79">
        <f t="shared" si="2"/>
        <v>0</v>
      </c>
      <c r="J33" s="79">
        <f t="shared" si="3"/>
        <v>0</v>
      </c>
    </row>
    <row r="34" spans="1:10">
      <c r="A34" s="6">
        <v>31</v>
      </c>
      <c r="B34" s="199"/>
      <c r="C34" s="200"/>
      <c r="D34" s="121"/>
      <c r="E34" s="80"/>
      <c r="F34" s="183"/>
      <c r="G34" s="79">
        <f t="shared" ref="G34" si="4">SUM(D34*120)</f>
        <v>0</v>
      </c>
      <c r="H34" s="79">
        <f t="shared" ref="H34" si="5">SUM(E34*120)</f>
        <v>0</v>
      </c>
      <c r="I34" s="79">
        <f t="shared" ref="I34" si="6">SUM(F34*12)</f>
        <v>0</v>
      </c>
      <c r="J34" s="79">
        <f t="shared" si="3"/>
        <v>0</v>
      </c>
    </row>
    <row r="35" spans="1:10">
      <c r="D35" s="79"/>
      <c r="E35" s="79"/>
      <c r="F35" s="79"/>
      <c r="G35" s="79">
        <f>SUM(G4:G34)</f>
        <v>0</v>
      </c>
      <c r="H35" s="79">
        <f>SUM(H4:H34)</f>
        <v>0</v>
      </c>
      <c r="I35" s="79">
        <f>SUM(I4:I34)</f>
        <v>8064</v>
      </c>
      <c r="J35" s="156">
        <f>SUM(J4:J34)</f>
        <v>8064</v>
      </c>
    </row>
  </sheetData>
  <mergeCells count="40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I2:I3"/>
    <mergeCell ref="J2:J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:H1"/>
    <mergeCell ref="A2:A3"/>
    <mergeCell ref="B2:C3"/>
    <mergeCell ref="D2:D3"/>
    <mergeCell ref="E2:E3"/>
    <mergeCell ref="G2:G3"/>
    <mergeCell ref="H2:H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90D5-56E8-45F0-A46A-4C2EF4BEB4C6}">
  <sheetPr codeName="Лист19"/>
  <dimension ref="A2:F21"/>
  <sheetViews>
    <sheetView workbookViewId="0">
      <selection activeCell="F11" sqref="F11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1.5" style="2" customWidth="1"/>
    <col min="7" max="16384" width="8.796875" style="2"/>
  </cols>
  <sheetData>
    <row r="2" spans="1:6" ht="21">
      <c r="A2" s="77" t="str">
        <f ca="1">IF(DAY(TODAY())&gt;27,"Акт  №    от  " &amp; TEXT(TODAY(),"ДД ММММ ГГГГ"),"Акт  №    от  " &amp; TEXT(TODAY()-DAY(TODAY()),"ДД ММММ ГГГГ"))</f>
        <v>Акт  №    от  31 Март 2026</v>
      </c>
    </row>
    <row r="3" spans="1:6">
      <c r="A3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3" s="22"/>
      <c r="C3" s="22"/>
    </row>
    <row r="4" spans="1:6" ht="15" customHeight="1">
      <c r="A4" s="22" t="s">
        <v>142</v>
      </c>
      <c r="B4" s="22"/>
      <c r="C4" s="22"/>
    </row>
    <row r="5" spans="1:6">
      <c r="A5" s="2" t="s">
        <v>119</v>
      </c>
    </row>
    <row r="6" spans="1:6">
      <c r="A6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8" spans="1:6">
      <c r="A8" s="79" t="s">
        <v>0</v>
      </c>
      <c r="B8" s="79" t="s">
        <v>79</v>
      </c>
      <c r="C8" s="79" t="s">
        <v>80</v>
      </c>
      <c r="D8" s="79" t="s">
        <v>81</v>
      </c>
      <c r="E8" s="79" t="s">
        <v>82</v>
      </c>
      <c r="F8" s="79" t="s">
        <v>83</v>
      </c>
    </row>
    <row r="9" spans="1:6" ht="15.75">
      <c r="A9" s="80">
        <v>1</v>
      </c>
      <c r="B9" s="114" t="s">
        <v>186</v>
      </c>
      <c r="C9" s="80" t="s">
        <v>187</v>
      </c>
      <c r="D9" s="184">
        <v>59.625</v>
      </c>
      <c r="E9" s="185">
        <v>950</v>
      </c>
      <c r="F9" s="185">
        <f>D9*E9</f>
        <v>56643.75</v>
      </c>
    </row>
    <row r="10" spans="1:6" ht="15.75">
      <c r="A10" s="80">
        <v>2</v>
      </c>
      <c r="B10" s="113" t="s">
        <v>8</v>
      </c>
      <c r="C10" s="80" t="s">
        <v>187</v>
      </c>
      <c r="D10" s="184">
        <f>D9</f>
        <v>59.625</v>
      </c>
      <c r="E10" s="185">
        <v>120</v>
      </c>
      <c r="F10" s="185">
        <f t="shared" ref="F10:F11" si="0">D10*E10</f>
        <v>7155</v>
      </c>
    </row>
    <row r="11" spans="1:6" ht="15.75">
      <c r="A11" s="80">
        <v>3</v>
      </c>
      <c r="B11" s="113" t="s">
        <v>188</v>
      </c>
      <c r="C11" s="80" t="s">
        <v>189</v>
      </c>
      <c r="D11" s="184">
        <v>53</v>
      </c>
      <c r="E11" s="185">
        <v>830</v>
      </c>
      <c r="F11" s="185">
        <f t="shared" si="0"/>
        <v>43990</v>
      </c>
    </row>
    <row r="12" spans="1:6" ht="15.75">
      <c r="A12" s="2" t="s">
        <v>84</v>
      </c>
      <c r="F12" s="185">
        <f>SUM(F9:F11)</f>
        <v>107788.75</v>
      </c>
    </row>
    <row r="13" spans="1:6" ht="15.75">
      <c r="A13" s="2" t="s">
        <v>85</v>
      </c>
      <c r="F13" s="185">
        <f>F12</f>
        <v>107788.75</v>
      </c>
    </row>
    <row r="14" spans="1:6" ht="15.75">
      <c r="A14" s="2" t="s">
        <v>86</v>
      </c>
      <c r="F14" s="185">
        <f>F13*1.22</f>
        <v>131502.27499999999</v>
      </c>
    </row>
    <row r="15" spans="1:6">
      <c r="A15" s="2" t="s">
        <v>87</v>
      </c>
    </row>
    <row r="16" spans="1:6">
      <c r="A16" s="2" t="s">
        <v>88</v>
      </c>
    </row>
    <row r="19" spans="1:4" ht="15" customHeight="1">
      <c r="A19" s="2" t="s">
        <v>90</v>
      </c>
      <c r="D19" s="2" t="s">
        <v>141</v>
      </c>
    </row>
    <row r="21" spans="1:4">
      <c r="A21" s="2" t="s">
        <v>130</v>
      </c>
      <c r="D21" s="2" t="s">
        <v>94</v>
      </c>
    </row>
  </sheetData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DB5D-0394-4B76-86C5-4D2C2283296F}">
  <sheetPr codeName="Лист20"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"г. Казань_Приволжская"</f>
        <v>Акт  №    от  31 Март 2026г. Казань_Приволжская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7">
      <c r="A5" s="22" t="s">
        <v>131</v>
      </c>
      <c r="B5" s="22"/>
      <c r="C5" s="22"/>
    </row>
    <row r="6" spans="1:7">
      <c r="A6" s="2" t="s">
        <v>119</v>
      </c>
    </row>
    <row r="7" spans="1:7">
      <c r="A7" s="2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132</v>
      </c>
      <c r="G9" s="79" t="s">
        <v>133</v>
      </c>
    </row>
    <row r="10" spans="1:7" ht="15.75">
      <c r="A10" s="80">
        <v>1</v>
      </c>
      <c r="B10" s="79" t="s">
        <v>134</v>
      </c>
      <c r="C10" s="80" t="s">
        <v>135</v>
      </c>
      <c r="D10" s="6">
        <v>12</v>
      </c>
      <c r="E10" s="86">
        <v>2000</v>
      </c>
      <c r="F10" s="86">
        <f>SUM(D10*E10)</f>
        <v>24000</v>
      </c>
      <c r="G10" s="86">
        <f>F10*1.22</f>
        <v>29280</v>
      </c>
    </row>
    <row r="11" spans="1:7" ht="15.75">
      <c r="A11" s="80">
        <v>2</v>
      </c>
      <c r="B11" s="79" t="s">
        <v>136</v>
      </c>
      <c r="C11" s="80" t="s">
        <v>135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7"/>
      <c r="C12" s="117"/>
      <c r="D12" s="118"/>
      <c r="E12" s="76"/>
      <c r="F12" s="86">
        <f>SUM(F10:F11)</f>
        <v>24000</v>
      </c>
      <c r="G12" s="86">
        <f>SUM(G10:G11)</f>
        <v>29280</v>
      </c>
    </row>
    <row r="13" spans="1:7">
      <c r="A13" s="22" t="s">
        <v>137</v>
      </c>
      <c r="B13" s="22" t="s">
        <v>190</v>
      </c>
      <c r="C13" s="22"/>
      <c r="D13" s="22"/>
    </row>
    <row r="14" spans="1:7">
      <c r="A14" s="22" t="s">
        <v>139</v>
      </c>
      <c r="B14" s="22" t="str">
        <f>B13</f>
        <v>двадцать четыре тысячи рублей ноль копеек</v>
      </c>
      <c r="C14" s="22"/>
      <c r="D14" s="22"/>
    </row>
    <row r="15" spans="1:7">
      <c r="A15" s="22" t="s">
        <v>86</v>
      </c>
      <c r="B15" s="22" t="s">
        <v>191</v>
      </c>
      <c r="F15" s="119"/>
      <c r="G15" s="119"/>
    </row>
    <row r="16" spans="1:7">
      <c r="A16" s="2" t="s">
        <v>87</v>
      </c>
    </row>
    <row r="17" spans="1:4">
      <c r="A17" s="2" t="s">
        <v>88</v>
      </c>
    </row>
    <row r="20" spans="1:4">
      <c r="A20" s="2" t="s">
        <v>90</v>
      </c>
      <c r="D20" s="2" t="s">
        <v>141</v>
      </c>
    </row>
    <row r="22" spans="1:4">
      <c r="A22" s="2" t="s">
        <v>130</v>
      </c>
      <c r="D22" s="2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64F4-DBEA-47E9-9FBE-5927E7AF3080}">
  <sheetPr codeName="Лист21">
    <pageSetUpPr fitToPage="1"/>
  </sheetPr>
  <dimension ref="A3:G22"/>
  <sheetViews>
    <sheetView topLeftCell="A2" workbookViewId="0">
      <selection activeCell="G10" sqref="G10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 г. Казань_Автосервисная"</f>
        <v>Акт  №    от  31 Март 2026 г. Казань_Автосервисная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7">
      <c r="A5" s="22" t="s">
        <v>131</v>
      </c>
      <c r="B5" s="22"/>
      <c r="C5" s="22"/>
    </row>
    <row r="6" spans="1:7">
      <c r="A6" s="2" t="s">
        <v>119</v>
      </c>
    </row>
    <row r="7" spans="1:7">
      <c r="A7" s="2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132</v>
      </c>
      <c r="G9" s="79" t="s">
        <v>133</v>
      </c>
    </row>
    <row r="10" spans="1:7" ht="15.75">
      <c r="A10" s="80">
        <v>1</v>
      </c>
      <c r="B10" s="79" t="s">
        <v>134</v>
      </c>
      <c r="C10" s="80" t="s">
        <v>135</v>
      </c>
      <c r="D10" s="6">
        <v>32</v>
      </c>
      <c r="E10" s="86">
        <v>2000</v>
      </c>
      <c r="F10" s="86">
        <f>SUM(D10*E10)</f>
        <v>64000</v>
      </c>
      <c r="G10" s="86">
        <f>F10*1.22</f>
        <v>78080</v>
      </c>
    </row>
    <row r="11" spans="1:7" ht="15.75">
      <c r="A11" s="80">
        <v>2</v>
      </c>
      <c r="B11" s="79" t="s">
        <v>136</v>
      </c>
      <c r="C11" s="80" t="s">
        <v>135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7"/>
      <c r="C12" s="117"/>
      <c r="D12" s="118"/>
      <c r="E12" s="76"/>
      <c r="F12" s="86">
        <f>SUM(F10:F11)</f>
        <v>64000</v>
      </c>
      <c r="G12" s="86">
        <f>SUM(G10:G11)</f>
        <v>78080</v>
      </c>
    </row>
    <row r="13" spans="1:7">
      <c r="A13" s="22" t="s">
        <v>137</v>
      </c>
      <c r="B13" s="22" t="s">
        <v>192</v>
      </c>
      <c r="C13" s="22"/>
      <c r="D13" s="22"/>
    </row>
    <row r="14" spans="1:7">
      <c r="A14" s="22" t="s">
        <v>139</v>
      </c>
      <c r="B14" s="22" t="str">
        <f>B13</f>
        <v>шестьдесят четыре рублей ноль копеек</v>
      </c>
      <c r="C14" s="22"/>
      <c r="D14" s="22"/>
    </row>
    <row r="15" spans="1:7">
      <c r="A15" s="22" t="s">
        <v>86</v>
      </c>
      <c r="B15" s="22" t="s">
        <v>193</v>
      </c>
      <c r="F15" s="119"/>
      <c r="G15" s="119"/>
    </row>
    <row r="16" spans="1:7">
      <c r="A16" s="2" t="s">
        <v>87</v>
      </c>
    </row>
    <row r="17" spans="1:4">
      <c r="A17" s="2" t="s">
        <v>88</v>
      </c>
    </row>
    <row r="20" spans="1:4">
      <c r="A20" s="2" t="s">
        <v>90</v>
      </c>
      <c r="D20" s="2" t="s">
        <v>141</v>
      </c>
    </row>
    <row r="22" spans="1:4">
      <c r="A22" s="2" t="s">
        <v>130</v>
      </c>
      <c r="D22" s="2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0628-7421-4E9D-88C4-E3F82033F2D7}">
  <sheetPr codeName="Лист22"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 г. Екатеринбург"</f>
        <v>Акт  №    от  31 Март 2026 г. Екатеринбург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7">
      <c r="A5" s="22" t="s">
        <v>131</v>
      </c>
      <c r="B5" s="22"/>
      <c r="C5" s="22"/>
    </row>
    <row r="6" spans="1:7">
      <c r="A6" s="2" t="s">
        <v>119</v>
      </c>
    </row>
    <row r="7" spans="1:7">
      <c r="A7" s="2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Март 2026 г. По 31 Март 2026  г. ХРАНИТЕЛЬ оказал ПОКЛАЖЕДАТЕЛЮ следующие услуги (работы):</v>
      </c>
    </row>
    <row r="9" spans="1:7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132</v>
      </c>
      <c r="G9" s="79" t="s">
        <v>133</v>
      </c>
    </row>
    <row r="10" spans="1:7" ht="15.75">
      <c r="A10" s="80">
        <v>1</v>
      </c>
      <c r="B10" s="79" t="s">
        <v>134</v>
      </c>
      <c r="C10" s="80" t="s">
        <v>135</v>
      </c>
      <c r="D10" s="6">
        <v>76</v>
      </c>
      <c r="E10" s="86">
        <v>2000</v>
      </c>
      <c r="F10" s="86">
        <f>SUM(D10*E10)</f>
        <v>152000</v>
      </c>
      <c r="G10" s="86">
        <f>F10*1.22</f>
        <v>185440</v>
      </c>
    </row>
    <row r="11" spans="1:7" ht="15.75">
      <c r="A11" s="80">
        <v>2</v>
      </c>
      <c r="B11" s="79" t="s">
        <v>136</v>
      </c>
      <c r="C11" s="80" t="s">
        <v>135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7"/>
      <c r="C12" s="117"/>
      <c r="D12" s="118"/>
      <c r="E12" s="76"/>
      <c r="F12" s="86">
        <f>SUM(F10:F11)</f>
        <v>152000</v>
      </c>
      <c r="G12" s="86">
        <f>SUM(G10:G11)</f>
        <v>185440</v>
      </c>
    </row>
    <row r="13" spans="1:7">
      <c r="A13" s="22" t="s">
        <v>137</v>
      </c>
      <c r="B13" s="22" t="s">
        <v>194</v>
      </c>
      <c r="C13" s="22"/>
      <c r="D13" s="22"/>
    </row>
    <row r="14" spans="1:7">
      <c r="A14" s="22" t="s">
        <v>139</v>
      </c>
      <c r="B14" s="22" t="str">
        <f>B13</f>
        <v>сто пятьдесят две тысячи рублей ноль копеек</v>
      </c>
      <c r="C14" s="22"/>
      <c r="D14" s="22"/>
    </row>
    <row r="15" spans="1:7">
      <c r="A15" s="22" t="s">
        <v>86</v>
      </c>
      <c r="B15" s="22" t="s">
        <v>195</v>
      </c>
      <c r="F15" s="119"/>
      <c r="G15" s="119"/>
    </row>
    <row r="16" spans="1:7">
      <c r="A16" s="2" t="s">
        <v>87</v>
      </c>
    </row>
    <row r="17" spans="1:4">
      <c r="A17" s="2" t="s">
        <v>88</v>
      </c>
    </row>
    <row r="20" spans="1:4">
      <c r="A20" s="2" t="s">
        <v>90</v>
      </c>
      <c r="D20" s="2" t="s">
        <v>141</v>
      </c>
    </row>
    <row r="22" spans="1:4">
      <c r="A22" s="2" t="s">
        <v>130</v>
      </c>
      <c r="D22" s="2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FA67-3EF7-4D54-BDFC-A99D1169BA4D}">
  <sheetPr codeName="Лист23">
    <pageSetUpPr fitToPage="1"/>
  </sheetPr>
  <dimension ref="A1:T37"/>
  <sheetViews>
    <sheetView workbookViewId="0">
      <selection activeCell="G5" sqref="G5:G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196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148</v>
      </c>
      <c r="E3" s="202" t="s">
        <v>149</v>
      </c>
      <c r="F3" s="4" t="s">
        <v>4</v>
      </c>
      <c r="G3" s="202" t="s">
        <v>197</v>
      </c>
      <c r="H3" s="202" t="s">
        <v>198</v>
      </c>
      <c r="I3" s="202" t="s">
        <v>7</v>
      </c>
      <c r="J3" s="202" t="s">
        <v>8</v>
      </c>
      <c r="K3" s="202" t="s">
        <v>199</v>
      </c>
      <c r="L3" s="202" t="s">
        <v>200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30">
      <c r="A4" s="203"/>
      <c r="B4" s="206"/>
      <c r="C4" s="207"/>
      <c r="D4" s="203"/>
      <c r="E4" s="203"/>
      <c r="F4" s="5" t="s">
        <v>158</v>
      </c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6">
        <v>1</v>
      </c>
      <c r="B5" s="199" t="s">
        <v>201</v>
      </c>
      <c r="C5" s="200"/>
      <c r="D5" s="186">
        <v>0</v>
      </c>
      <c r="E5" s="186">
        <v>0</v>
      </c>
      <c r="F5" s="187">
        <v>88</v>
      </c>
      <c r="G5" s="188">
        <v>0</v>
      </c>
      <c r="H5" s="188">
        <v>0</v>
      </c>
      <c r="I5" s="11">
        <v>0</v>
      </c>
      <c r="J5" s="11">
        <v>0</v>
      </c>
      <c r="K5" s="11">
        <v>0</v>
      </c>
      <c r="L5" s="189">
        <v>0</v>
      </c>
      <c r="M5" s="189">
        <v>0</v>
      </c>
      <c r="N5" s="189">
        <v>0</v>
      </c>
      <c r="O5" s="189">
        <v>1754.72</v>
      </c>
      <c r="P5" s="189">
        <v>0</v>
      </c>
      <c r="Q5" s="189">
        <v>0</v>
      </c>
      <c r="R5" s="189">
        <v>0</v>
      </c>
      <c r="S5" s="189">
        <v>0</v>
      </c>
      <c r="T5" s="189">
        <v>1754.72</v>
      </c>
    </row>
    <row r="6" spans="1:20">
      <c r="A6" s="13">
        <v>2</v>
      </c>
      <c r="B6" s="199" t="s">
        <v>202</v>
      </c>
      <c r="C6" s="200"/>
      <c r="D6" s="186">
        <v>0</v>
      </c>
      <c r="E6" s="186">
        <v>0</v>
      </c>
      <c r="F6" s="187">
        <v>88</v>
      </c>
      <c r="G6" s="188">
        <v>0</v>
      </c>
      <c r="H6" s="188">
        <v>0</v>
      </c>
      <c r="I6" s="11">
        <v>0</v>
      </c>
      <c r="J6" s="11">
        <v>0</v>
      </c>
      <c r="K6" s="11">
        <v>0</v>
      </c>
      <c r="L6" s="189">
        <v>0</v>
      </c>
      <c r="M6" s="189">
        <v>0</v>
      </c>
      <c r="N6" s="189">
        <v>0</v>
      </c>
      <c r="O6" s="189">
        <v>1754.72</v>
      </c>
      <c r="P6" s="189">
        <v>0</v>
      </c>
      <c r="Q6" s="189">
        <v>0</v>
      </c>
      <c r="R6" s="189">
        <v>0</v>
      </c>
      <c r="S6" s="189">
        <v>0</v>
      </c>
      <c r="T6" s="189">
        <v>1754.72</v>
      </c>
    </row>
    <row r="7" spans="1:20">
      <c r="A7" s="13">
        <v>3</v>
      </c>
      <c r="B7" s="199" t="s">
        <v>203</v>
      </c>
      <c r="C7" s="200"/>
      <c r="D7" s="186">
        <v>0</v>
      </c>
      <c r="E7" s="186">
        <v>0</v>
      </c>
      <c r="F7" s="187">
        <v>88</v>
      </c>
      <c r="G7" s="188">
        <v>0</v>
      </c>
      <c r="H7" s="188">
        <v>0</v>
      </c>
      <c r="I7" s="11">
        <v>0</v>
      </c>
      <c r="J7" s="11">
        <v>0</v>
      </c>
      <c r="K7" s="11">
        <v>0</v>
      </c>
      <c r="L7" s="189">
        <v>0</v>
      </c>
      <c r="M7" s="189">
        <v>0</v>
      </c>
      <c r="N7" s="189">
        <v>0</v>
      </c>
      <c r="O7" s="189">
        <v>1754.72</v>
      </c>
      <c r="P7" s="189">
        <v>0</v>
      </c>
      <c r="Q7" s="189">
        <v>0</v>
      </c>
      <c r="R7" s="189">
        <v>0</v>
      </c>
      <c r="S7" s="189">
        <v>0</v>
      </c>
      <c r="T7" s="189">
        <v>1754.72</v>
      </c>
    </row>
    <row r="8" spans="1:20">
      <c r="A8" s="13">
        <v>4</v>
      </c>
      <c r="B8" s="199" t="s">
        <v>204</v>
      </c>
      <c r="C8" s="200"/>
      <c r="D8" s="186">
        <v>0</v>
      </c>
      <c r="E8" s="186">
        <v>0</v>
      </c>
      <c r="F8" s="187">
        <v>88</v>
      </c>
      <c r="G8" s="188">
        <v>0</v>
      </c>
      <c r="H8" s="188">
        <v>0</v>
      </c>
      <c r="I8" s="11">
        <v>0</v>
      </c>
      <c r="J8" s="11">
        <v>0</v>
      </c>
      <c r="K8" s="11">
        <v>0</v>
      </c>
      <c r="L8" s="189">
        <v>0</v>
      </c>
      <c r="M8" s="189">
        <v>0</v>
      </c>
      <c r="N8" s="189">
        <v>0</v>
      </c>
      <c r="O8" s="189">
        <v>1754.72</v>
      </c>
      <c r="P8" s="189">
        <v>0</v>
      </c>
      <c r="Q8" s="189">
        <v>0</v>
      </c>
      <c r="R8" s="189">
        <v>0</v>
      </c>
      <c r="S8" s="189">
        <v>0</v>
      </c>
      <c r="T8" s="189">
        <v>1754.72</v>
      </c>
    </row>
    <row r="9" spans="1:20">
      <c r="A9" s="13">
        <v>5</v>
      </c>
      <c r="B9" s="199" t="s">
        <v>205</v>
      </c>
      <c r="C9" s="200"/>
      <c r="D9" s="186">
        <v>0</v>
      </c>
      <c r="E9" s="186">
        <v>0</v>
      </c>
      <c r="F9" s="187">
        <v>88</v>
      </c>
      <c r="G9" s="188">
        <v>0</v>
      </c>
      <c r="H9" s="188">
        <v>0</v>
      </c>
      <c r="I9" s="11">
        <v>0</v>
      </c>
      <c r="J9" s="11">
        <v>0</v>
      </c>
      <c r="K9" s="11">
        <v>0</v>
      </c>
      <c r="L9" s="189">
        <v>0</v>
      </c>
      <c r="M9" s="189">
        <v>0</v>
      </c>
      <c r="N9" s="189">
        <v>0</v>
      </c>
      <c r="O9" s="189">
        <v>1754.72</v>
      </c>
      <c r="P9" s="189">
        <v>0</v>
      </c>
      <c r="Q9" s="189">
        <v>0</v>
      </c>
      <c r="R9" s="189">
        <v>0</v>
      </c>
      <c r="S9" s="189">
        <v>0</v>
      </c>
      <c r="T9" s="189">
        <v>1754.72</v>
      </c>
    </row>
    <row r="10" spans="1:20">
      <c r="A10" s="13">
        <v>6</v>
      </c>
      <c r="B10" s="199" t="s">
        <v>206</v>
      </c>
      <c r="C10" s="200"/>
      <c r="D10" s="186">
        <v>0</v>
      </c>
      <c r="E10" s="186">
        <v>0</v>
      </c>
      <c r="F10" s="187">
        <v>88</v>
      </c>
      <c r="G10" s="188">
        <v>0</v>
      </c>
      <c r="H10" s="188">
        <v>0</v>
      </c>
      <c r="I10" s="11">
        <v>0</v>
      </c>
      <c r="J10" s="11">
        <v>0</v>
      </c>
      <c r="K10" s="11">
        <v>0</v>
      </c>
      <c r="L10" s="189">
        <v>0</v>
      </c>
      <c r="M10" s="189">
        <v>0</v>
      </c>
      <c r="N10" s="189">
        <v>0</v>
      </c>
      <c r="O10" s="189">
        <v>1754.72</v>
      </c>
      <c r="P10" s="189">
        <v>0</v>
      </c>
      <c r="Q10" s="189">
        <v>0</v>
      </c>
      <c r="R10" s="189">
        <v>0</v>
      </c>
      <c r="S10" s="189">
        <v>0</v>
      </c>
      <c r="T10" s="189">
        <v>1754.72</v>
      </c>
    </row>
    <row r="11" spans="1:20">
      <c r="A11" s="13">
        <v>7</v>
      </c>
      <c r="B11" s="199" t="s">
        <v>207</v>
      </c>
      <c r="C11" s="200"/>
      <c r="D11" s="186">
        <v>0</v>
      </c>
      <c r="E11" s="186">
        <v>0</v>
      </c>
      <c r="F11" s="187">
        <v>88</v>
      </c>
      <c r="G11" s="188">
        <v>0</v>
      </c>
      <c r="H11" s="188">
        <v>0</v>
      </c>
      <c r="I11" s="11">
        <v>0</v>
      </c>
      <c r="J11" s="11">
        <v>0</v>
      </c>
      <c r="K11" s="11">
        <v>0</v>
      </c>
      <c r="L11" s="189">
        <v>0</v>
      </c>
      <c r="M11" s="189">
        <v>0</v>
      </c>
      <c r="N11" s="189">
        <v>0</v>
      </c>
      <c r="O11" s="189">
        <v>1754.72</v>
      </c>
      <c r="P11" s="189">
        <v>0</v>
      </c>
      <c r="Q11" s="189">
        <v>0</v>
      </c>
      <c r="R11" s="189">
        <v>0</v>
      </c>
      <c r="S11" s="189">
        <v>0</v>
      </c>
      <c r="T11" s="189">
        <v>1754.72</v>
      </c>
    </row>
    <row r="12" spans="1:20">
      <c r="A12" s="13">
        <v>8</v>
      </c>
      <c r="B12" s="199" t="s">
        <v>208</v>
      </c>
      <c r="C12" s="200"/>
      <c r="D12" s="186">
        <v>0</v>
      </c>
      <c r="E12" s="186">
        <v>5</v>
      </c>
      <c r="F12" s="187">
        <v>83</v>
      </c>
      <c r="G12" s="188">
        <v>0</v>
      </c>
      <c r="H12" s="188">
        <v>0</v>
      </c>
      <c r="I12" s="11">
        <v>0</v>
      </c>
      <c r="J12" s="11">
        <v>0</v>
      </c>
      <c r="K12" s="11">
        <v>0</v>
      </c>
      <c r="L12" s="189">
        <v>0</v>
      </c>
      <c r="M12" s="189">
        <v>0</v>
      </c>
      <c r="N12" s="189">
        <v>756.25</v>
      </c>
      <c r="O12" s="189">
        <v>1655.02</v>
      </c>
      <c r="P12" s="189">
        <v>0</v>
      </c>
      <c r="Q12" s="189">
        <v>0</v>
      </c>
      <c r="R12" s="189">
        <v>0</v>
      </c>
      <c r="S12" s="189">
        <v>0</v>
      </c>
      <c r="T12" s="189">
        <v>2411.27</v>
      </c>
    </row>
    <row r="13" spans="1:20">
      <c r="A13" s="13">
        <v>9</v>
      </c>
      <c r="B13" s="199" t="s">
        <v>209</v>
      </c>
      <c r="C13" s="200"/>
      <c r="D13" s="186">
        <v>0</v>
      </c>
      <c r="E13" s="186">
        <v>0</v>
      </c>
      <c r="F13" s="187">
        <v>83</v>
      </c>
      <c r="G13" s="188">
        <v>0</v>
      </c>
      <c r="H13" s="188">
        <v>0</v>
      </c>
      <c r="I13" s="11">
        <v>0</v>
      </c>
      <c r="J13" s="11">
        <v>0</v>
      </c>
      <c r="K13" s="11">
        <v>0</v>
      </c>
      <c r="L13" s="189">
        <v>0</v>
      </c>
      <c r="M13" s="189">
        <v>0</v>
      </c>
      <c r="N13" s="189">
        <v>0</v>
      </c>
      <c r="O13" s="189">
        <v>1655.02</v>
      </c>
      <c r="P13" s="189">
        <v>0</v>
      </c>
      <c r="Q13" s="189">
        <v>0</v>
      </c>
      <c r="R13" s="189">
        <v>0</v>
      </c>
      <c r="S13" s="189">
        <v>0</v>
      </c>
      <c r="T13" s="189">
        <v>1655.02</v>
      </c>
    </row>
    <row r="14" spans="1:20">
      <c r="A14" s="13">
        <v>10</v>
      </c>
      <c r="B14" s="199" t="s">
        <v>210</v>
      </c>
      <c r="C14" s="200"/>
      <c r="D14" s="186">
        <v>0</v>
      </c>
      <c r="E14" s="186">
        <v>0</v>
      </c>
      <c r="F14" s="187">
        <v>83</v>
      </c>
      <c r="G14" s="188">
        <v>0</v>
      </c>
      <c r="H14" s="188">
        <v>0</v>
      </c>
      <c r="I14" s="11">
        <v>0</v>
      </c>
      <c r="J14" s="11">
        <v>0</v>
      </c>
      <c r="K14" s="11">
        <v>0</v>
      </c>
      <c r="L14" s="189">
        <v>0</v>
      </c>
      <c r="M14" s="189">
        <v>0</v>
      </c>
      <c r="N14" s="189">
        <v>0</v>
      </c>
      <c r="O14" s="189">
        <v>1655.02</v>
      </c>
      <c r="P14" s="189">
        <v>0</v>
      </c>
      <c r="Q14" s="189">
        <v>0</v>
      </c>
      <c r="R14" s="189">
        <v>0</v>
      </c>
      <c r="S14" s="189">
        <v>0</v>
      </c>
      <c r="T14" s="189">
        <v>1655.02</v>
      </c>
    </row>
    <row r="15" spans="1:20">
      <c r="A15" s="13">
        <v>11</v>
      </c>
      <c r="B15" s="199" t="s">
        <v>211</v>
      </c>
      <c r="C15" s="200"/>
      <c r="D15" s="186">
        <v>0</v>
      </c>
      <c r="E15" s="186">
        <v>0</v>
      </c>
      <c r="F15" s="187">
        <v>83</v>
      </c>
      <c r="G15" s="188">
        <v>0</v>
      </c>
      <c r="H15" s="188">
        <v>0</v>
      </c>
      <c r="I15" s="11">
        <v>0</v>
      </c>
      <c r="J15" s="11">
        <v>0</v>
      </c>
      <c r="K15" s="11">
        <v>0</v>
      </c>
      <c r="L15" s="189">
        <v>0</v>
      </c>
      <c r="M15" s="189">
        <v>0</v>
      </c>
      <c r="N15" s="189">
        <v>0</v>
      </c>
      <c r="O15" s="189">
        <v>1655.02</v>
      </c>
      <c r="P15" s="189">
        <v>0</v>
      </c>
      <c r="Q15" s="189">
        <v>0</v>
      </c>
      <c r="R15" s="189">
        <v>0</v>
      </c>
      <c r="S15" s="189">
        <v>0</v>
      </c>
      <c r="T15" s="189">
        <v>1655.02</v>
      </c>
    </row>
    <row r="16" spans="1:20">
      <c r="A16" s="13">
        <v>12</v>
      </c>
      <c r="B16" s="199" t="s">
        <v>212</v>
      </c>
      <c r="C16" s="200"/>
      <c r="D16" s="186">
        <v>0</v>
      </c>
      <c r="E16" s="186">
        <v>0</v>
      </c>
      <c r="F16" s="187">
        <v>83</v>
      </c>
      <c r="G16" s="188">
        <v>0</v>
      </c>
      <c r="H16" s="188">
        <v>0</v>
      </c>
      <c r="I16" s="11">
        <v>0</v>
      </c>
      <c r="J16" s="11">
        <v>0</v>
      </c>
      <c r="K16" s="11">
        <v>0</v>
      </c>
      <c r="L16" s="189">
        <v>0</v>
      </c>
      <c r="M16" s="189">
        <v>0</v>
      </c>
      <c r="N16" s="189">
        <v>0</v>
      </c>
      <c r="O16" s="189">
        <v>1655.02</v>
      </c>
      <c r="P16" s="189">
        <v>0</v>
      </c>
      <c r="Q16" s="189">
        <v>0</v>
      </c>
      <c r="R16" s="189">
        <v>0</v>
      </c>
      <c r="S16" s="189">
        <v>0</v>
      </c>
      <c r="T16" s="189">
        <v>1655.02</v>
      </c>
    </row>
    <row r="17" spans="1:20">
      <c r="A17" s="13">
        <v>13</v>
      </c>
      <c r="B17" s="199" t="s">
        <v>213</v>
      </c>
      <c r="C17" s="200"/>
      <c r="D17" s="186">
        <v>0</v>
      </c>
      <c r="E17" s="186">
        <v>16</v>
      </c>
      <c r="F17" s="187">
        <v>67</v>
      </c>
      <c r="G17" s="188">
        <v>0</v>
      </c>
      <c r="H17" s="188">
        <v>0</v>
      </c>
      <c r="I17" s="11">
        <v>0</v>
      </c>
      <c r="J17" s="11">
        <v>0</v>
      </c>
      <c r="K17" s="11">
        <v>0</v>
      </c>
      <c r="L17" s="189">
        <v>0</v>
      </c>
      <c r="M17" s="189">
        <v>0</v>
      </c>
      <c r="N17" s="189">
        <v>2420</v>
      </c>
      <c r="O17" s="189">
        <v>1335.98</v>
      </c>
      <c r="P17" s="189">
        <v>0</v>
      </c>
      <c r="Q17" s="189">
        <v>0</v>
      </c>
      <c r="R17" s="189">
        <v>0</v>
      </c>
      <c r="S17" s="189">
        <v>0</v>
      </c>
      <c r="T17" s="189">
        <v>3755.98</v>
      </c>
    </row>
    <row r="18" spans="1:20">
      <c r="A18" s="13">
        <v>14</v>
      </c>
      <c r="B18" s="199" t="s">
        <v>214</v>
      </c>
      <c r="C18" s="200"/>
      <c r="D18" s="186">
        <v>0</v>
      </c>
      <c r="E18" s="186">
        <v>0</v>
      </c>
      <c r="F18" s="187">
        <v>67</v>
      </c>
      <c r="G18" s="188">
        <v>0</v>
      </c>
      <c r="H18" s="188">
        <v>0</v>
      </c>
      <c r="I18" s="11">
        <v>0</v>
      </c>
      <c r="J18" s="11">
        <v>0</v>
      </c>
      <c r="K18" s="11">
        <v>0</v>
      </c>
      <c r="L18" s="189">
        <v>0</v>
      </c>
      <c r="M18" s="189">
        <v>0</v>
      </c>
      <c r="N18" s="189">
        <v>0</v>
      </c>
      <c r="O18" s="189">
        <v>1335.98</v>
      </c>
      <c r="P18" s="189">
        <v>0</v>
      </c>
      <c r="Q18" s="189">
        <v>0</v>
      </c>
      <c r="R18" s="189">
        <v>0</v>
      </c>
      <c r="S18" s="189">
        <v>0</v>
      </c>
      <c r="T18" s="189">
        <v>1335.98</v>
      </c>
    </row>
    <row r="19" spans="1:20">
      <c r="A19" s="13">
        <v>15</v>
      </c>
      <c r="B19" s="199" t="s">
        <v>215</v>
      </c>
      <c r="C19" s="200"/>
      <c r="D19" s="186">
        <v>0</v>
      </c>
      <c r="E19" s="186">
        <v>0</v>
      </c>
      <c r="F19" s="187">
        <v>67</v>
      </c>
      <c r="G19" s="188">
        <v>0</v>
      </c>
      <c r="H19" s="188">
        <v>0</v>
      </c>
      <c r="I19" s="11">
        <v>0</v>
      </c>
      <c r="J19" s="11">
        <v>0</v>
      </c>
      <c r="K19" s="11">
        <v>0</v>
      </c>
      <c r="L19" s="189">
        <v>0</v>
      </c>
      <c r="M19" s="189">
        <v>0</v>
      </c>
      <c r="N19" s="189">
        <v>0</v>
      </c>
      <c r="O19" s="189">
        <v>1335.98</v>
      </c>
      <c r="P19" s="189">
        <v>0</v>
      </c>
      <c r="Q19" s="189">
        <v>0</v>
      </c>
      <c r="R19" s="189">
        <v>0</v>
      </c>
      <c r="S19" s="189">
        <v>0</v>
      </c>
      <c r="T19" s="189">
        <v>1335.98</v>
      </c>
    </row>
    <row r="20" spans="1:20">
      <c r="A20" s="13">
        <v>16</v>
      </c>
      <c r="B20" s="199" t="s">
        <v>216</v>
      </c>
      <c r="C20" s="200"/>
      <c r="D20" s="186">
        <v>0</v>
      </c>
      <c r="E20" s="186">
        <v>0</v>
      </c>
      <c r="F20" s="187">
        <v>67</v>
      </c>
      <c r="G20" s="188">
        <v>0</v>
      </c>
      <c r="H20" s="188">
        <v>0</v>
      </c>
      <c r="I20" s="11">
        <v>0</v>
      </c>
      <c r="J20" s="11">
        <v>0</v>
      </c>
      <c r="K20" s="11">
        <v>0</v>
      </c>
      <c r="L20" s="189">
        <v>0</v>
      </c>
      <c r="M20" s="189">
        <v>0</v>
      </c>
      <c r="N20" s="189">
        <v>0</v>
      </c>
      <c r="O20" s="189">
        <v>1335.98</v>
      </c>
      <c r="P20" s="189">
        <v>0</v>
      </c>
      <c r="Q20" s="189">
        <v>0</v>
      </c>
      <c r="R20" s="189">
        <v>0</v>
      </c>
      <c r="S20" s="189">
        <v>0</v>
      </c>
      <c r="T20" s="189">
        <v>1335.98</v>
      </c>
    </row>
    <row r="21" spans="1:20">
      <c r="A21" s="13">
        <v>17</v>
      </c>
      <c r="B21" s="199" t="s">
        <v>217</v>
      </c>
      <c r="C21" s="200"/>
      <c r="D21" s="186">
        <v>0</v>
      </c>
      <c r="E21" s="186">
        <v>16</v>
      </c>
      <c r="F21" s="187">
        <v>51</v>
      </c>
      <c r="G21" s="188">
        <v>0</v>
      </c>
      <c r="H21" s="188">
        <v>0</v>
      </c>
      <c r="I21" s="11">
        <v>0</v>
      </c>
      <c r="J21" s="11">
        <v>0</v>
      </c>
      <c r="K21" s="11">
        <v>0</v>
      </c>
      <c r="L21" s="189">
        <v>0</v>
      </c>
      <c r="M21" s="189">
        <v>0</v>
      </c>
      <c r="N21" s="189">
        <v>2420</v>
      </c>
      <c r="O21" s="189">
        <v>1016.94</v>
      </c>
      <c r="P21" s="189">
        <v>0</v>
      </c>
      <c r="Q21" s="189">
        <v>0</v>
      </c>
      <c r="R21" s="189">
        <v>0</v>
      </c>
      <c r="S21" s="189">
        <v>0</v>
      </c>
      <c r="T21" s="189">
        <v>3436.94</v>
      </c>
    </row>
    <row r="22" spans="1:20">
      <c r="A22" s="13">
        <v>18</v>
      </c>
      <c r="B22" s="199" t="s">
        <v>218</v>
      </c>
      <c r="C22" s="200"/>
      <c r="D22" s="186">
        <v>0</v>
      </c>
      <c r="E22" s="186">
        <v>16</v>
      </c>
      <c r="F22" s="187">
        <v>35</v>
      </c>
      <c r="G22" s="188">
        <v>0</v>
      </c>
      <c r="H22" s="188">
        <v>0</v>
      </c>
      <c r="I22" s="11">
        <v>0</v>
      </c>
      <c r="J22" s="11">
        <v>0</v>
      </c>
      <c r="K22" s="11">
        <v>0</v>
      </c>
      <c r="L22" s="189">
        <v>0</v>
      </c>
      <c r="M22" s="189">
        <v>0</v>
      </c>
      <c r="N22" s="189">
        <v>2420</v>
      </c>
      <c r="O22" s="189">
        <v>697.9</v>
      </c>
      <c r="P22" s="189">
        <v>0</v>
      </c>
      <c r="Q22" s="189">
        <v>0</v>
      </c>
      <c r="R22" s="189">
        <v>0</v>
      </c>
      <c r="S22" s="189">
        <v>0</v>
      </c>
      <c r="T22" s="189">
        <v>3117.9</v>
      </c>
    </row>
    <row r="23" spans="1:20">
      <c r="A23" s="13">
        <v>19</v>
      </c>
      <c r="B23" s="199" t="s">
        <v>219</v>
      </c>
      <c r="C23" s="200"/>
      <c r="D23" s="186">
        <v>0</v>
      </c>
      <c r="E23" s="186">
        <v>0</v>
      </c>
      <c r="F23" s="187">
        <v>35</v>
      </c>
      <c r="G23" s="188">
        <v>0</v>
      </c>
      <c r="H23" s="188">
        <v>0</v>
      </c>
      <c r="I23" s="11">
        <v>0</v>
      </c>
      <c r="J23" s="11">
        <v>0</v>
      </c>
      <c r="K23" s="11">
        <v>0</v>
      </c>
      <c r="L23" s="189">
        <v>0</v>
      </c>
      <c r="M23" s="189">
        <v>0</v>
      </c>
      <c r="N23" s="189">
        <v>0</v>
      </c>
      <c r="O23" s="189">
        <v>697.9</v>
      </c>
      <c r="P23" s="189">
        <v>0</v>
      </c>
      <c r="Q23" s="189">
        <v>0</v>
      </c>
      <c r="R23" s="189">
        <v>0</v>
      </c>
      <c r="S23" s="189">
        <v>0</v>
      </c>
      <c r="T23" s="189">
        <v>697.9</v>
      </c>
    </row>
    <row r="24" spans="1:20">
      <c r="A24" s="13">
        <v>20</v>
      </c>
      <c r="B24" s="199" t="s">
        <v>220</v>
      </c>
      <c r="C24" s="200"/>
      <c r="D24" s="186">
        <v>0</v>
      </c>
      <c r="E24" s="186">
        <v>16</v>
      </c>
      <c r="F24" s="187">
        <v>19</v>
      </c>
      <c r="G24" s="188">
        <v>0</v>
      </c>
      <c r="H24" s="188">
        <v>0</v>
      </c>
      <c r="I24" s="11">
        <v>0</v>
      </c>
      <c r="J24" s="11">
        <v>0</v>
      </c>
      <c r="K24" s="11">
        <v>0</v>
      </c>
      <c r="L24" s="189">
        <v>0</v>
      </c>
      <c r="M24" s="189">
        <v>0</v>
      </c>
      <c r="N24" s="189">
        <v>2420</v>
      </c>
      <c r="O24" s="189">
        <v>378.86</v>
      </c>
      <c r="P24" s="189">
        <v>0</v>
      </c>
      <c r="Q24" s="189">
        <v>0</v>
      </c>
      <c r="R24" s="189">
        <v>0</v>
      </c>
      <c r="S24" s="189">
        <v>0</v>
      </c>
      <c r="T24" s="189">
        <v>2798.86</v>
      </c>
    </row>
    <row r="25" spans="1:20">
      <c r="A25" s="13">
        <v>21</v>
      </c>
      <c r="B25" s="199" t="s">
        <v>221</v>
      </c>
      <c r="C25" s="200"/>
      <c r="D25" s="186">
        <v>0</v>
      </c>
      <c r="E25" s="186">
        <v>0</v>
      </c>
      <c r="F25" s="187">
        <v>19</v>
      </c>
      <c r="G25" s="188">
        <v>0</v>
      </c>
      <c r="H25" s="188">
        <v>0</v>
      </c>
      <c r="I25" s="11">
        <v>0</v>
      </c>
      <c r="J25" s="11">
        <v>0</v>
      </c>
      <c r="K25" s="11">
        <v>0</v>
      </c>
      <c r="L25" s="189">
        <v>0</v>
      </c>
      <c r="M25" s="189">
        <v>0</v>
      </c>
      <c r="N25" s="189">
        <v>0</v>
      </c>
      <c r="O25" s="189">
        <v>378.86</v>
      </c>
      <c r="P25" s="189">
        <v>0</v>
      </c>
      <c r="Q25" s="189">
        <v>0</v>
      </c>
      <c r="R25" s="189">
        <v>0</v>
      </c>
      <c r="S25" s="189">
        <v>0</v>
      </c>
      <c r="T25" s="189">
        <v>378.86</v>
      </c>
    </row>
    <row r="26" spans="1:20">
      <c r="A26" s="13">
        <v>22</v>
      </c>
      <c r="B26" s="199" t="s">
        <v>222</v>
      </c>
      <c r="C26" s="200"/>
      <c r="D26" s="186">
        <v>0</v>
      </c>
      <c r="E26" s="186">
        <v>0</v>
      </c>
      <c r="F26" s="187">
        <v>19</v>
      </c>
      <c r="G26" s="188">
        <v>0</v>
      </c>
      <c r="H26" s="188">
        <v>0</v>
      </c>
      <c r="I26" s="11">
        <v>0</v>
      </c>
      <c r="J26" s="11">
        <v>0</v>
      </c>
      <c r="K26" s="11">
        <v>0</v>
      </c>
      <c r="L26" s="189">
        <v>0</v>
      </c>
      <c r="M26" s="189">
        <v>0</v>
      </c>
      <c r="N26" s="189">
        <v>0</v>
      </c>
      <c r="O26" s="189">
        <v>378.86</v>
      </c>
      <c r="P26" s="189">
        <v>0</v>
      </c>
      <c r="Q26" s="189">
        <v>0</v>
      </c>
      <c r="R26" s="189">
        <v>0</v>
      </c>
      <c r="S26" s="189">
        <v>0</v>
      </c>
      <c r="T26" s="189">
        <v>378.86</v>
      </c>
    </row>
    <row r="27" spans="1:20">
      <c r="A27" s="13">
        <v>23</v>
      </c>
      <c r="B27" s="199" t="s">
        <v>223</v>
      </c>
      <c r="C27" s="200"/>
      <c r="D27" s="186">
        <v>0</v>
      </c>
      <c r="E27" s="186">
        <v>0</v>
      </c>
      <c r="F27" s="187">
        <v>19</v>
      </c>
      <c r="G27" s="188">
        <v>0</v>
      </c>
      <c r="H27" s="188">
        <v>0</v>
      </c>
      <c r="I27" s="11">
        <v>0</v>
      </c>
      <c r="J27" s="11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378.86</v>
      </c>
      <c r="P27" s="189">
        <v>0</v>
      </c>
      <c r="Q27" s="189">
        <v>0</v>
      </c>
      <c r="R27" s="189">
        <v>0</v>
      </c>
      <c r="S27" s="189">
        <v>0</v>
      </c>
      <c r="T27" s="189">
        <v>378.86</v>
      </c>
    </row>
    <row r="28" spans="1:20">
      <c r="A28" s="13">
        <v>24</v>
      </c>
      <c r="B28" s="199" t="s">
        <v>224</v>
      </c>
      <c r="C28" s="200"/>
      <c r="D28" s="186">
        <v>0</v>
      </c>
      <c r="E28" s="186">
        <v>0</v>
      </c>
      <c r="F28" s="187">
        <v>19</v>
      </c>
      <c r="G28" s="188">
        <v>0</v>
      </c>
      <c r="H28" s="188">
        <v>0</v>
      </c>
      <c r="I28" s="11">
        <v>0</v>
      </c>
      <c r="J28" s="11">
        <v>0</v>
      </c>
      <c r="K28" s="11">
        <v>0</v>
      </c>
      <c r="L28" s="189">
        <v>0</v>
      </c>
      <c r="M28" s="189">
        <v>0</v>
      </c>
      <c r="N28" s="189">
        <v>0</v>
      </c>
      <c r="O28" s="189">
        <v>378.86</v>
      </c>
      <c r="P28" s="189">
        <v>0</v>
      </c>
      <c r="Q28" s="189">
        <v>0</v>
      </c>
      <c r="R28" s="189">
        <v>0</v>
      </c>
      <c r="S28" s="189">
        <v>0</v>
      </c>
      <c r="T28" s="189">
        <v>378.86</v>
      </c>
    </row>
    <row r="29" spans="1:20">
      <c r="A29" s="13">
        <v>25</v>
      </c>
      <c r="B29" s="199" t="s">
        <v>225</v>
      </c>
      <c r="C29" s="200"/>
      <c r="D29" s="186">
        <v>0</v>
      </c>
      <c r="E29" s="186">
        <v>0</v>
      </c>
      <c r="F29" s="187">
        <v>19</v>
      </c>
      <c r="G29" s="188">
        <v>0</v>
      </c>
      <c r="H29" s="188">
        <v>0</v>
      </c>
      <c r="I29" s="11">
        <v>0</v>
      </c>
      <c r="J29" s="11">
        <v>0</v>
      </c>
      <c r="K29" s="11">
        <v>0</v>
      </c>
      <c r="L29" s="189">
        <v>0</v>
      </c>
      <c r="M29" s="189">
        <v>0</v>
      </c>
      <c r="N29" s="189">
        <v>0</v>
      </c>
      <c r="O29" s="189">
        <v>378.86</v>
      </c>
      <c r="P29" s="189">
        <v>0</v>
      </c>
      <c r="Q29" s="189">
        <v>0</v>
      </c>
      <c r="R29" s="189">
        <v>0</v>
      </c>
      <c r="S29" s="189">
        <v>0</v>
      </c>
      <c r="T29" s="189">
        <v>378.86</v>
      </c>
    </row>
    <row r="30" spans="1:20">
      <c r="A30" s="13">
        <v>26</v>
      </c>
      <c r="B30" s="199" t="s">
        <v>226</v>
      </c>
      <c r="C30" s="200"/>
      <c r="D30" s="186">
        <v>0</v>
      </c>
      <c r="E30" s="186">
        <v>16</v>
      </c>
      <c r="F30" s="187">
        <v>3</v>
      </c>
      <c r="G30" s="188">
        <v>0</v>
      </c>
      <c r="H30" s="188">
        <v>0</v>
      </c>
      <c r="I30" s="11">
        <v>0</v>
      </c>
      <c r="J30" s="11">
        <v>0</v>
      </c>
      <c r="K30" s="11">
        <v>0</v>
      </c>
      <c r="L30" s="189">
        <v>0</v>
      </c>
      <c r="M30" s="189">
        <v>0</v>
      </c>
      <c r="N30" s="189">
        <v>2420</v>
      </c>
      <c r="O30" s="189">
        <v>59.82</v>
      </c>
      <c r="P30" s="189">
        <v>0</v>
      </c>
      <c r="Q30" s="189">
        <v>0</v>
      </c>
      <c r="R30" s="189">
        <v>0</v>
      </c>
      <c r="S30" s="189">
        <v>0</v>
      </c>
      <c r="T30" s="189">
        <v>2479.8200000000002</v>
      </c>
    </row>
    <row r="31" spans="1:20">
      <c r="A31" s="13">
        <v>27</v>
      </c>
      <c r="B31" s="199" t="s">
        <v>227</v>
      </c>
      <c r="C31" s="200"/>
      <c r="D31" s="186">
        <v>0</v>
      </c>
      <c r="E31" s="186">
        <v>0</v>
      </c>
      <c r="F31" s="187">
        <v>3</v>
      </c>
      <c r="G31" s="188">
        <v>0</v>
      </c>
      <c r="H31" s="188">
        <v>0</v>
      </c>
      <c r="I31" s="11">
        <v>0</v>
      </c>
      <c r="J31" s="11">
        <v>0</v>
      </c>
      <c r="K31" s="11">
        <v>0</v>
      </c>
      <c r="L31" s="189">
        <v>0</v>
      </c>
      <c r="M31" s="189">
        <v>0</v>
      </c>
      <c r="N31" s="189">
        <v>0</v>
      </c>
      <c r="O31" s="189">
        <v>59.82</v>
      </c>
      <c r="P31" s="189">
        <v>0</v>
      </c>
      <c r="Q31" s="189">
        <v>0</v>
      </c>
      <c r="R31" s="189">
        <v>0</v>
      </c>
      <c r="S31" s="189">
        <v>0</v>
      </c>
      <c r="T31" s="189">
        <v>59.82</v>
      </c>
    </row>
    <row r="32" spans="1:20">
      <c r="A32" s="13">
        <v>28</v>
      </c>
      <c r="B32" s="199" t="s">
        <v>228</v>
      </c>
      <c r="C32" s="200"/>
      <c r="D32" s="186">
        <v>0</v>
      </c>
      <c r="E32" s="186">
        <v>0</v>
      </c>
      <c r="F32" s="187">
        <v>3</v>
      </c>
      <c r="G32" s="188">
        <v>0</v>
      </c>
      <c r="H32" s="188">
        <v>0</v>
      </c>
      <c r="I32" s="11">
        <v>0</v>
      </c>
      <c r="J32" s="11">
        <v>0</v>
      </c>
      <c r="K32" s="11">
        <v>0</v>
      </c>
      <c r="L32" s="189">
        <v>0</v>
      </c>
      <c r="M32" s="189">
        <v>0</v>
      </c>
      <c r="N32" s="189">
        <v>0</v>
      </c>
      <c r="O32" s="189">
        <v>59.82</v>
      </c>
      <c r="P32" s="189">
        <v>0</v>
      </c>
      <c r="Q32" s="189">
        <v>0</v>
      </c>
      <c r="R32" s="189">
        <v>0</v>
      </c>
      <c r="S32" s="189">
        <v>0</v>
      </c>
      <c r="T32" s="189">
        <v>59.82</v>
      </c>
    </row>
    <row r="33" spans="1:20">
      <c r="A33" s="13">
        <v>29</v>
      </c>
      <c r="B33" s="199"/>
      <c r="C33" s="200"/>
      <c r="D33" s="186">
        <v>0</v>
      </c>
      <c r="E33" s="186">
        <v>0</v>
      </c>
      <c r="F33" s="187">
        <v>0</v>
      </c>
      <c r="G33" s="188">
        <v>0</v>
      </c>
      <c r="H33" s="188">
        <v>0</v>
      </c>
      <c r="I33" s="11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86">
        <v>0</v>
      </c>
      <c r="E34" s="186">
        <v>0</v>
      </c>
      <c r="F34" s="187">
        <v>0</v>
      </c>
      <c r="G34" s="188">
        <v>0</v>
      </c>
      <c r="H34" s="188">
        <v>0</v>
      </c>
      <c r="I34" s="11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86">
        <v>0</v>
      </c>
      <c r="E35" s="186">
        <v>0</v>
      </c>
      <c r="F35" s="187">
        <v>0</v>
      </c>
      <c r="G35" s="188">
        <v>0</v>
      </c>
      <c r="H35" s="188">
        <v>0</v>
      </c>
      <c r="I35" s="11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20">
        <v>0</v>
      </c>
      <c r="E36" s="20">
        <v>85</v>
      </c>
      <c r="F36" s="20">
        <v>1543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190">
        <v>0</v>
      </c>
      <c r="M36" s="190">
        <v>0</v>
      </c>
      <c r="N36" s="190">
        <v>12856.25</v>
      </c>
      <c r="O36" s="190">
        <v>30767.42</v>
      </c>
      <c r="P36" s="190">
        <v>0</v>
      </c>
      <c r="Q36" s="190">
        <v>0</v>
      </c>
      <c r="R36" s="190">
        <v>0</v>
      </c>
      <c r="S36" s="190">
        <v>0</v>
      </c>
      <c r="T36" s="190">
        <v>43623.67</v>
      </c>
    </row>
    <row r="37" spans="1:20">
      <c r="R37" s="22"/>
      <c r="S37" s="22"/>
      <c r="T37" s="191">
        <v>53220.88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F86C-DEFF-4914-94BF-CDD314A4246C}">
  <sheetPr codeName="Лист24">
    <pageSetUpPr fitToPage="1"/>
  </sheetPr>
  <dimension ref="A1:T37"/>
  <sheetViews>
    <sheetView topLeftCell="A9" workbookViewId="0">
      <selection activeCell="R5" sqref="R5:S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229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148</v>
      </c>
      <c r="E3" s="202" t="s">
        <v>149</v>
      </c>
      <c r="F3" s="4" t="s">
        <v>4</v>
      </c>
      <c r="G3" s="202" t="s">
        <v>197</v>
      </c>
      <c r="H3" s="202" t="s">
        <v>198</v>
      </c>
      <c r="I3" s="202" t="s">
        <v>7</v>
      </c>
      <c r="J3" s="202" t="s">
        <v>8</v>
      </c>
      <c r="K3" s="202" t="s">
        <v>199</v>
      </c>
      <c r="L3" s="202" t="s">
        <v>200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30">
      <c r="A4" s="203"/>
      <c r="B4" s="206"/>
      <c r="C4" s="207"/>
      <c r="D4" s="203"/>
      <c r="E4" s="203"/>
      <c r="F4" s="5" t="s">
        <v>158</v>
      </c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6">
        <v>1</v>
      </c>
      <c r="B5" s="199" t="s">
        <v>201</v>
      </c>
      <c r="C5" s="200"/>
      <c r="D5" s="186">
        <v>30</v>
      </c>
      <c r="E5" s="186">
        <v>51</v>
      </c>
      <c r="F5" s="187">
        <v>4523</v>
      </c>
      <c r="G5" s="188">
        <v>509</v>
      </c>
      <c r="H5" s="188">
        <v>544</v>
      </c>
      <c r="I5" s="11">
        <v>0</v>
      </c>
      <c r="J5" s="11">
        <v>0</v>
      </c>
      <c r="K5" s="11">
        <v>0</v>
      </c>
      <c r="L5" s="189">
        <v>0</v>
      </c>
      <c r="M5" s="189">
        <v>4537.5</v>
      </c>
      <c r="N5" s="189">
        <v>7713.75</v>
      </c>
      <c r="O5" s="189">
        <v>90188.62</v>
      </c>
      <c r="P5" s="189">
        <v>10149.459999999999</v>
      </c>
      <c r="Q5" s="189">
        <v>82280</v>
      </c>
      <c r="R5" s="189">
        <v>0</v>
      </c>
      <c r="S5" s="189">
        <v>0</v>
      </c>
      <c r="T5" s="189">
        <v>194869.33</v>
      </c>
    </row>
    <row r="6" spans="1:20">
      <c r="A6" s="13">
        <v>2</v>
      </c>
      <c r="B6" s="199" t="s">
        <v>202</v>
      </c>
      <c r="C6" s="200"/>
      <c r="D6" s="186">
        <v>30</v>
      </c>
      <c r="E6" s="186">
        <v>110</v>
      </c>
      <c r="F6" s="187">
        <v>4443</v>
      </c>
      <c r="G6" s="188">
        <v>589</v>
      </c>
      <c r="H6" s="188">
        <v>485</v>
      </c>
      <c r="I6" s="11">
        <v>0</v>
      </c>
      <c r="J6" s="11">
        <v>0</v>
      </c>
      <c r="K6" s="11">
        <v>0</v>
      </c>
      <c r="L6" s="189">
        <v>0</v>
      </c>
      <c r="M6" s="189">
        <v>4537.5</v>
      </c>
      <c r="N6" s="189">
        <v>16637.5</v>
      </c>
      <c r="O6" s="189">
        <v>88593.42</v>
      </c>
      <c r="P6" s="189">
        <v>11744.66</v>
      </c>
      <c r="Q6" s="189">
        <v>73356.25</v>
      </c>
      <c r="R6" s="189">
        <v>0</v>
      </c>
      <c r="S6" s="189">
        <v>0</v>
      </c>
      <c r="T6" s="189">
        <v>194869.33</v>
      </c>
    </row>
    <row r="7" spans="1:20">
      <c r="A7" s="13">
        <v>3</v>
      </c>
      <c r="B7" s="199" t="s">
        <v>203</v>
      </c>
      <c r="C7" s="200"/>
      <c r="D7" s="186">
        <v>0</v>
      </c>
      <c r="E7" s="186">
        <v>64</v>
      </c>
      <c r="F7" s="187">
        <v>4379</v>
      </c>
      <c r="G7" s="188">
        <v>653</v>
      </c>
      <c r="H7" s="188">
        <v>561</v>
      </c>
      <c r="I7" s="11">
        <v>0</v>
      </c>
      <c r="J7" s="11">
        <v>0</v>
      </c>
      <c r="K7" s="11">
        <v>0</v>
      </c>
      <c r="L7" s="189">
        <v>0</v>
      </c>
      <c r="M7" s="189">
        <v>0</v>
      </c>
      <c r="N7" s="189">
        <v>9680</v>
      </c>
      <c r="O7" s="189">
        <v>87317.26</v>
      </c>
      <c r="P7" s="189">
        <v>13020.82</v>
      </c>
      <c r="Q7" s="189">
        <v>84851.25</v>
      </c>
      <c r="R7" s="189">
        <v>0</v>
      </c>
      <c r="S7" s="189">
        <v>0</v>
      </c>
      <c r="T7" s="189">
        <v>194869.33</v>
      </c>
    </row>
    <row r="8" spans="1:20">
      <c r="A8" s="13">
        <v>4</v>
      </c>
      <c r="B8" s="199" t="s">
        <v>204</v>
      </c>
      <c r="C8" s="200"/>
      <c r="D8" s="186">
        <v>189</v>
      </c>
      <c r="E8" s="186">
        <v>96</v>
      </c>
      <c r="F8" s="187">
        <v>4472</v>
      </c>
      <c r="G8" s="188">
        <v>560</v>
      </c>
      <c r="H8" s="188">
        <v>340</v>
      </c>
      <c r="I8" s="11">
        <v>0</v>
      </c>
      <c r="J8" s="11">
        <v>0</v>
      </c>
      <c r="K8" s="11">
        <v>0</v>
      </c>
      <c r="L8" s="189">
        <v>0</v>
      </c>
      <c r="M8" s="189">
        <v>28586.25</v>
      </c>
      <c r="N8" s="189">
        <v>14520</v>
      </c>
      <c r="O8" s="189">
        <v>89171.68</v>
      </c>
      <c r="P8" s="189">
        <v>11166.4</v>
      </c>
      <c r="Q8" s="189">
        <v>51425</v>
      </c>
      <c r="R8" s="189">
        <v>0</v>
      </c>
      <c r="S8" s="189">
        <v>0</v>
      </c>
      <c r="T8" s="189">
        <v>194869.33</v>
      </c>
    </row>
    <row r="9" spans="1:20">
      <c r="A9" s="13">
        <v>5</v>
      </c>
      <c r="B9" s="199" t="s">
        <v>205</v>
      </c>
      <c r="C9" s="200"/>
      <c r="D9" s="186">
        <v>327</v>
      </c>
      <c r="E9" s="186">
        <v>122</v>
      </c>
      <c r="F9" s="187">
        <v>4677</v>
      </c>
      <c r="G9" s="188">
        <v>355</v>
      </c>
      <c r="H9" s="188">
        <v>176</v>
      </c>
      <c r="I9" s="11">
        <v>0</v>
      </c>
      <c r="J9" s="11">
        <v>0</v>
      </c>
      <c r="K9" s="11">
        <v>0</v>
      </c>
      <c r="L9" s="189">
        <v>0</v>
      </c>
      <c r="M9" s="189">
        <v>49458.75</v>
      </c>
      <c r="N9" s="189">
        <v>18452.5</v>
      </c>
      <c r="O9" s="189">
        <v>93259.38</v>
      </c>
      <c r="P9" s="189">
        <v>7078.7</v>
      </c>
      <c r="Q9" s="189">
        <v>26620</v>
      </c>
      <c r="R9" s="189">
        <v>0</v>
      </c>
      <c r="S9" s="189">
        <v>0</v>
      </c>
      <c r="T9" s="189">
        <v>194869.33</v>
      </c>
    </row>
    <row r="10" spans="1:20">
      <c r="A10" s="13">
        <v>6</v>
      </c>
      <c r="B10" s="199" t="s">
        <v>206</v>
      </c>
      <c r="C10" s="200"/>
      <c r="D10" s="186">
        <v>177</v>
      </c>
      <c r="E10" s="186">
        <v>76</v>
      </c>
      <c r="F10" s="187">
        <v>4778</v>
      </c>
      <c r="G10" s="188">
        <v>254</v>
      </c>
      <c r="H10" s="188">
        <v>372</v>
      </c>
      <c r="I10" s="11">
        <v>0</v>
      </c>
      <c r="J10" s="11">
        <v>0</v>
      </c>
      <c r="K10" s="11">
        <v>0</v>
      </c>
      <c r="L10" s="189">
        <v>0</v>
      </c>
      <c r="M10" s="189">
        <v>26771.25</v>
      </c>
      <c r="N10" s="189">
        <v>11495</v>
      </c>
      <c r="O10" s="189">
        <v>95273.32</v>
      </c>
      <c r="P10" s="189">
        <v>5064.76</v>
      </c>
      <c r="Q10" s="189">
        <v>56265</v>
      </c>
      <c r="R10" s="189">
        <v>0</v>
      </c>
      <c r="S10" s="189">
        <v>0</v>
      </c>
      <c r="T10" s="189">
        <v>194869.33</v>
      </c>
    </row>
    <row r="11" spans="1:20">
      <c r="A11" s="13">
        <v>7</v>
      </c>
      <c r="B11" s="199" t="s">
        <v>207</v>
      </c>
      <c r="C11" s="200"/>
      <c r="D11" s="186">
        <v>127</v>
      </c>
      <c r="E11" s="186">
        <v>64</v>
      </c>
      <c r="F11" s="187">
        <v>4841</v>
      </c>
      <c r="G11" s="188">
        <v>191</v>
      </c>
      <c r="H11" s="188">
        <v>434</v>
      </c>
      <c r="I11" s="11">
        <v>0</v>
      </c>
      <c r="J11" s="11">
        <v>0</v>
      </c>
      <c r="K11" s="11">
        <v>0</v>
      </c>
      <c r="L11" s="189">
        <v>0</v>
      </c>
      <c r="M11" s="189">
        <v>19208.75</v>
      </c>
      <c r="N11" s="189">
        <v>9680</v>
      </c>
      <c r="O11" s="189">
        <v>96529.54</v>
      </c>
      <c r="P11" s="189">
        <v>3808.54</v>
      </c>
      <c r="Q11" s="189">
        <v>65642.5</v>
      </c>
      <c r="R11" s="189">
        <v>0</v>
      </c>
      <c r="S11" s="189">
        <v>0</v>
      </c>
      <c r="T11" s="189">
        <v>194869.33</v>
      </c>
    </row>
    <row r="12" spans="1:20">
      <c r="A12" s="13">
        <v>8</v>
      </c>
      <c r="B12" s="199" t="s">
        <v>208</v>
      </c>
      <c r="C12" s="200"/>
      <c r="D12" s="186">
        <v>172</v>
      </c>
      <c r="E12" s="186">
        <v>88</v>
      </c>
      <c r="F12" s="187">
        <v>4925</v>
      </c>
      <c r="G12" s="188">
        <v>107</v>
      </c>
      <c r="H12" s="188">
        <v>365</v>
      </c>
      <c r="I12" s="11">
        <v>0</v>
      </c>
      <c r="J12" s="11">
        <v>0</v>
      </c>
      <c r="K12" s="11">
        <v>0</v>
      </c>
      <c r="L12" s="189">
        <v>0</v>
      </c>
      <c r="M12" s="189">
        <v>26015</v>
      </c>
      <c r="N12" s="189">
        <v>13310</v>
      </c>
      <c r="O12" s="189">
        <v>98204.5</v>
      </c>
      <c r="P12" s="189">
        <v>2133.58</v>
      </c>
      <c r="Q12" s="189">
        <v>55206.25</v>
      </c>
      <c r="R12" s="189">
        <v>0</v>
      </c>
      <c r="S12" s="189">
        <v>0</v>
      </c>
      <c r="T12" s="189">
        <v>194869.33</v>
      </c>
    </row>
    <row r="13" spans="1:20">
      <c r="A13" s="13">
        <v>9</v>
      </c>
      <c r="B13" s="199" t="s">
        <v>209</v>
      </c>
      <c r="C13" s="200"/>
      <c r="D13" s="186">
        <v>192</v>
      </c>
      <c r="E13" s="186">
        <v>140</v>
      </c>
      <c r="F13" s="187">
        <v>4977</v>
      </c>
      <c r="G13" s="188">
        <v>55</v>
      </c>
      <c r="H13" s="188">
        <v>293</v>
      </c>
      <c r="I13" s="11">
        <v>0</v>
      </c>
      <c r="J13" s="11">
        <v>0</v>
      </c>
      <c r="K13" s="11">
        <v>0</v>
      </c>
      <c r="L13" s="189">
        <v>0</v>
      </c>
      <c r="M13" s="189">
        <v>29040</v>
      </c>
      <c r="N13" s="189">
        <v>21175</v>
      </c>
      <c r="O13" s="189">
        <v>99241.38</v>
      </c>
      <c r="P13" s="189">
        <v>1096.7</v>
      </c>
      <c r="Q13" s="189">
        <v>44316.25</v>
      </c>
      <c r="R13" s="189">
        <v>0</v>
      </c>
      <c r="S13" s="189">
        <v>0</v>
      </c>
      <c r="T13" s="189">
        <v>194869.33</v>
      </c>
    </row>
    <row r="14" spans="1:20">
      <c r="A14" s="13">
        <v>10</v>
      </c>
      <c r="B14" s="199" t="s">
        <v>210</v>
      </c>
      <c r="C14" s="200"/>
      <c r="D14" s="186">
        <v>211</v>
      </c>
      <c r="E14" s="186">
        <v>202</v>
      </c>
      <c r="F14" s="187">
        <v>4986</v>
      </c>
      <c r="G14" s="188">
        <v>46</v>
      </c>
      <c r="H14" s="188">
        <v>212</v>
      </c>
      <c r="I14" s="11">
        <v>0</v>
      </c>
      <c r="J14" s="11">
        <v>0</v>
      </c>
      <c r="K14" s="11">
        <v>0</v>
      </c>
      <c r="L14" s="189">
        <v>0</v>
      </c>
      <c r="M14" s="189">
        <v>31913.75</v>
      </c>
      <c r="N14" s="189">
        <v>30552.5</v>
      </c>
      <c r="O14" s="189">
        <v>99420.84</v>
      </c>
      <c r="P14" s="189">
        <v>917.24</v>
      </c>
      <c r="Q14" s="189">
        <v>32065</v>
      </c>
      <c r="R14" s="189">
        <v>0</v>
      </c>
      <c r="S14" s="189">
        <v>0</v>
      </c>
      <c r="T14" s="189">
        <v>194869.33</v>
      </c>
    </row>
    <row r="15" spans="1:20">
      <c r="A15" s="13">
        <v>11</v>
      </c>
      <c r="B15" s="199" t="s">
        <v>211</v>
      </c>
      <c r="C15" s="200"/>
      <c r="D15" s="186">
        <v>198</v>
      </c>
      <c r="E15" s="186">
        <v>115</v>
      </c>
      <c r="F15" s="187">
        <v>5069</v>
      </c>
      <c r="G15" s="188">
        <v>0</v>
      </c>
      <c r="H15" s="188">
        <v>312</v>
      </c>
      <c r="I15" s="11">
        <v>0</v>
      </c>
      <c r="J15" s="11">
        <v>0</v>
      </c>
      <c r="K15" s="11">
        <v>0</v>
      </c>
      <c r="L15" s="189">
        <v>0</v>
      </c>
      <c r="M15" s="189">
        <v>29947.5</v>
      </c>
      <c r="N15" s="189">
        <v>17393.75</v>
      </c>
      <c r="O15" s="189">
        <v>101075.86</v>
      </c>
      <c r="P15" s="189">
        <v>0</v>
      </c>
      <c r="Q15" s="189">
        <v>47190</v>
      </c>
      <c r="R15" s="189">
        <v>0</v>
      </c>
      <c r="S15" s="189">
        <v>0</v>
      </c>
      <c r="T15" s="189">
        <v>195607.11</v>
      </c>
    </row>
    <row r="16" spans="1:20">
      <c r="A16" s="13">
        <v>12</v>
      </c>
      <c r="B16" s="199" t="s">
        <v>212</v>
      </c>
      <c r="C16" s="200"/>
      <c r="D16" s="186">
        <v>39</v>
      </c>
      <c r="E16" s="186">
        <v>131</v>
      </c>
      <c r="F16" s="187">
        <v>4977</v>
      </c>
      <c r="G16" s="188">
        <v>55</v>
      </c>
      <c r="H16" s="188">
        <v>455</v>
      </c>
      <c r="I16" s="11">
        <v>0</v>
      </c>
      <c r="J16" s="11">
        <v>0</v>
      </c>
      <c r="K16" s="11">
        <v>0</v>
      </c>
      <c r="L16" s="189">
        <v>0</v>
      </c>
      <c r="M16" s="189">
        <v>5898.75</v>
      </c>
      <c r="N16" s="189">
        <v>19813.75</v>
      </c>
      <c r="O16" s="189">
        <v>99241.38</v>
      </c>
      <c r="P16" s="189">
        <v>1096.7</v>
      </c>
      <c r="Q16" s="189">
        <v>68818.75</v>
      </c>
      <c r="R16" s="189">
        <v>0</v>
      </c>
      <c r="S16" s="189">
        <v>0</v>
      </c>
      <c r="T16" s="189">
        <v>194869.33</v>
      </c>
    </row>
    <row r="17" spans="1:20">
      <c r="A17" s="13">
        <v>13</v>
      </c>
      <c r="B17" s="199" t="s">
        <v>213</v>
      </c>
      <c r="C17" s="200"/>
      <c r="D17" s="186">
        <v>45</v>
      </c>
      <c r="E17" s="186">
        <v>83</v>
      </c>
      <c r="F17" s="187">
        <v>4939</v>
      </c>
      <c r="G17" s="188">
        <v>93</v>
      </c>
      <c r="H17" s="188">
        <v>497</v>
      </c>
      <c r="I17" s="11">
        <v>0</v>
      </c>
      <c r="J17" s="11">
        <v>0</v>
      </c>
      <c r="K17" s="11">
        <v>0</v>
      </c>
      <c r="L17" s="189">
        <v>0</v>
      </c>
      <c r="M17" s="189">
        <v>6806.25</v>
      </c>
      <c r="N17" s="189">
        <v>12553.75</v>
      </c>
      <c r="O17" s="189">
        <v>98483.66</v>
      </c>
      <c r="P17" s="189">
        <v>1854.42</v>
      </c>
      <c r="Q17" s="189">
        <v>75171.25</v>
      </c>
      <c r="R17" s="189">
        <v>0</v>
      </c>
      <c r="S17" s="189">
        <v>0</v>
      </c>
      <c r="T17" s="189">
        <v>194869.33</v>
      </c>
    </row>
    <row r="18" spans="1:20">
      <c r="A18" s="13">
        <v>14</v>
      </c>
      <c r="B18" s="199" t="s">
        <v>214</v>
      </c>
      <c r="C18" s="200"/>
      <c r="D18" s="186">
        <v>16</v>
      </c>
      <c r="E18" s="186">
        <v>39</v>
      </c>
      <c r="F18" s="187">
        <v>4916</v>
      </c>
      <c r="G18" s="188">
        <v>116</v>
      </c>
      <c r="H18" s="188">
        <v>570</v>
      </c>
      <c r="I18" s="11">
        <v>0</v>
      </c>
      <c r="J18" s="11">
        <v>0</v>
      </c>
      <c r="K18" s="11">
        <v>0</v>
      </c>
      <c r="L18" s="189">
        <v>0</v>
      </c>
      <c r="M18" s="189">
        <v>2420</v>
      </c>
      <c r="N18" s="189">
        <v>5898.75</v>
      </c>
      <c r="O18" s="189">
        <v>98025.04</v>
      </c>
      <c r="P18" s="189">
        <v>2313.04</v>
      </c>
      <c r="Q18" s="189">
        <v>86212.5</v>
      </c>
      <c r="R18" s="189">
        <v>0</v>
      </c>
      <c r="S18" s="189">
        <v>0</v>
      </c>
      <c r="T18" s="189">
        <v>194869.33</v>
      </c>
    </row>
    <row r="19" spans="1:20">
      <c r="A19" s="13">
        <v>15</v>
      </c>
      <c r="B19" s="199" t="s">
        <v>215</v>
      </c>
      <c r="C19" s="200"/>
      <c r="D19" s="186">
        <v>16</v>
      </c>
      <c r="E19" s="186">
        <v>47</v>
      </c>
      <c r="F19" s="187">
        <v>4885</v>
      </c>
      <c r="G19" s="188">
        <v>147</v>
      </c>
      <c r="H19" s="188">
        <v>562</v>
      </c>
      <c r="I19" s="11">
        <v>0</v>
      </c>
      <c r="J19" s="11">
        <v>0</v>
      </c>
      <c r="K19" s="11">
        <v>0</v>
      </c>
      <c r="L19" s="189">
        <v>0</v>
      </c>
      <c r="M19" s="189">
        <v>2420</v>
      </c>
      <c r="N19" s="189">
        <v>7108.75</v>
      </c>
      <c r="O19" s="189">
        <v>97406.9</v>
      </c>
      <c r="P19" s="189">
        <v>2931.18</v>
      </c>
      <c r="Q19" s="189">
        <v>85002.5</v>
      </c>
      <c r="R19" s="189">
        <v>0</v>
      </c>
      <c r="S19" s="189">
        <v>0</v>
      </c>
      <c r="T19" s="189">
        <v>194869.33</v>
      </c>
    </row>
    <row r="20" spans="1:20">
      <c r="A20" s="13">
        <v>16</v>
      </c>
      <c r="B20" s="199" t="s">
        <v>216</v>
      </c>
      <c r="C20" s="200"/>
      <c r="D20" s="186">
        <v>45</v>
      </c>
      <c r="E20" s="186">
        <v>176</v>
      </c>
      <c r="F20" s="187">
        <v>4754</v>
      </c>
      <c r="G20" s="188">
        <v>278</v>
      </c>
      <c r="H20" s="188">
        <v>404</v>
      </c>
      <c r="I20" s="11">
        <v>0</v>
      </c>
      <c r="J20" s="11">
        <v>0</v>
      </c>
      <c r="K20" s="11">
        <v>0</v>
      </c>
      <c r="L20" s="189">
        <v>0</v>
      </c>
      <c r="M20" s="189">
        <v>6806.25</v>
      </c>
      <c r="N20" s="189">
        <v>26620</v>
      </c>
      <c r="O20" s="189">
        <v>94794.76</v>
      </c>
      <c r="P20" s="189">
        <v>5543.32</v>
      </c>
      <c r="Q20" s="189">
        <v>61105</v>
      </c>
      <c r="R20" s="189">
        <v>0</v>
      </c>
      <c r="S20" s="189">
        <v>0</v>
      </c>
      <c r="T20" s="189">
        <v>194869.33</v>
      </c>
    </row>
    <row r="21" spans="1:20">
      <c r="A21" s="13">
        <v>17</v>
      </c>
      <c r="B21" s="199" t="s">
        <v>217</v>
      </c>
      <c r="C21" s="200"/>
      <c r="D21" s="186">
        <v>30</v>
      </c>
      <c r="E21" s="186">
        <v>123</v>
      </c>
      <c r="F21" s="187">
        <v>4661</v>
      </c>
      <c r="G21" s="188">
        <v>371</v>
      </c>
      <c r="H21" s="188">
        <v>472</v>
      </c>
      <c r="I21" s="11">
        <v>0</v>
      </c>
      <c r="J21" s="11">
        <v>0</v>
      </c>
      <c r="K21" s="11">
        <v>0</v>
      </c>
      <c r="L21" s="189">
        <v>0</v>
      </c>
      <c r="M21" s="189">
        <v>4537.5</v>
      </c>
      <c r="N21" s="189">
        <v>18603.75</v>
      </c>
      <c r="O21" s="189">
        <v>92940.34</v>
      </c>
      <c r="P21" s="189">
        <v>7397.74</v>
      </c>
      <c r="Q21" s="189">
        <v>71390</v>
      </c>
      <c r="R21" s="189">
        <v>0</v>
      </c>
      <c r="S21" s="189">
        <v>0</v>
      </c>
      <c r="T21" s="189">
        <v>194869.33</v>
      </c>
    </row>
    <row r="22" spans="1:20">
      <c r="A22" s="13">
        <v>18</v>
      </c>
      <c r="B22" s="199" t="s">
        <v>218</v>
      </c>
      <c r="C22" s="200"/>
      <c r="D22" s="186">
        <v>0</v>
      </c>
      <c r="E22" s="186">
        <v>134</v>
      </c>
      <c r="F22" s="187">
        <v>4527</v>
      </c>
      <c r="G22" s="188">
        <v>505</v>
      </c>
      <c r="H22" s="188">
        <v>491</v>
      </c>
      <c r="I22" s="11">
        <v>0</v>
      </c>
      <c r="J22" s="11">
        <v>0</v>
      </c>
      <c r="K22" s="11">
        <v>0</v>
      </c>
      <c r="L22" s="189">
        <v>0</v>
      </c>
      <c r="M22" s="189">
        <v>0</v>
      </c>
      <c r="N22" s="189">
        <v>20267.5</v>
      </c>
      <c r="O22" s="189">
        <v>90268.38</v>
      </c>
      <c r="P22" s="189">
        <v>10069.700000000001</v>
      </c>
      <c r="Q22" s="189">
        <v>74263.75</v>
      </c>
      <c r="R22" s="189">
        <v>0</v>
      </c>
      <c r="S22" s="189">
        <v>0</v>
      </c>
      <c r="T22" s="189">
        <v>194869.33</v>
      </c>
    </row>
    <row r="23" spans="1:20">
      <c r="A23" s="13">
        <v>19</v>
      </c>
      <c r="B23" s="199" t="s">
        <v>219</v>
      </c>
      <c r="C23" s="200"/>
      <c r="D23" s="186">
        <v>94</v>
      </c>
      <c r="E23" s="186">
        <v>146</v>
      </c>
      <c r="F23" s="187">
        <v>4475</v>
      </c>
      <c r="G23" s="188">
        <v>557</v>
      </c>
      <c r="H23" s="188">
        <v>385</v>
      </c>
      <c r="I23" s="11">
        <v>0</v>
      </c>
      <c r="J23" s="11">
        <v>0</v>
      </c>
      <c r="K23" s="11">
        <v>0</v>
      </c>
      <c r="L23" s="189">
        <v>0</v>
      </c>
      <c r="M23" s="189">
        <v>14217.5</v>
      </c>
      <c r="N23" s="189">
        <v>22082.5</v>
      </c>
      <c r="O23" s="189">
        <v>89231.5</v>
      </c>
      <c r="P23" s="189">
        <v>11106.58</v>
      </c>
      <c r="Q23" s="189">
        <v>58231.25</v>
      </c>
      <c r="R23" s="189">
        <v>0</v>
      </c>
      <c r="S23" s="189">
        <v>0</v>
      </c>
      <c r="T23" s="189">
        <v>194869.33</v>
      </c>
    </row>
    <row r="24" spans="1:20">
      <c r="A24" s="13">
        <v>20</v>
      </c>
      <c r="B24" s="199" t="s">
        <v>220</v>
      </c>
      <c r="C24" s="200"/>
      <c r="D24" s="186">
        <v>63</v>
      </c>
      <c r="E24" s="186">
        <v>99</v>
      </c>
      <c r="F24" s="187">
        <v>4439</v>
      </c>
      <c r="G24" s="188">
        <v>593</v>
      </c>
      <c r="H24" s="188">
        <v>463</v>
      </c>
      <c r="I24" s="11">
        <v>1.35</v>
      </c>
      <c r="J24" s="11">
        <v>1.35</v>
      </c>
      <c r="K24" s="11">
        <v>0</v>
      </c>
      <c r="L24" s="189">
        <v>0</v>
      </c>
      <c r="M24" s="189">
        <v>9528.75</v>
      </c>
      <c r="N24" s="189">
        <v>14973.75</v>
      </c>
      <c r="O24" s="189">
        <v>88513.66</v>
      </c>
      <c r="P24" s="189">
        <v>11824.42</v>
      </c>
      <c r="Q24" s="189">
        <v>70028.75</v>
      </c>
      <c r="R24" s="189">
        <v>337.5</v>
      </c>
      <c r="S24" s="189">
        <v>189</v>
      </c>
      <c r="T24" s="189">
        <v>195395.83</v>
      </c>
    </row>
    <row r="25" spans="1:20">
      <c r="A25" s="13">
        <v>21</v>
      </c>
      <c r="B25" s="199" t="s">
        <v>221</v>
      </c>
      <c r="C25" s="200"/>
      <c r="D25" s="186">
        <v>112</v>
      </c>
      <c r="E25" s="186">
        <v>32</v>
      </c>
      <c r="F25" s="187">
        <v>4519</v>
      </c>
      <c r="G25" s="188">
        <v>513</v>
      </c>
      <c r="H25" s="188">
        <v>481</v>
      </c>
      <c r="I25" s="11">
        <v>0</v>
      </c>
      <c r="J25" s="11">
        <v>0</v>
      </c>
      <c r="K25" s="11">
        <v>0</v>
      </c>
      <c r="L25" s="189">
        <v>0</v>
      </c>
      <c r="M25" s="189">
        <v>16940</v>
      </c>
      <c r="N25" s="189">
        <v>4840</v>
      </c>
      <c r="O25" s="189">
        <v>90108.86</v>
      </c>
      <c r="P25" s="189">
        <v>10229.219999999999</v>
      </c>
      <c r="Q25" s="189">
        <v>72751.25</v>
      </c>
      <c r="R25" s="189">
        <v>0</v>
      </c>
      <c r="S25" s="189">
        <v>0</v>
      </c>
      <c r="T25" s="189">
        <v>194869.33</v>
      </c>
    </row>
    <row r="26" spans="1:20">
      <c r="A26" s="13">
        <v>22</v>
      </c>
      <c r="B26" s="199" t="s">
        <v>222</v>
      </c>
      <c r="C26" s="200"/>
      <c r="D26" s="186">
        <v>176</v>
      </c>
      <c r="E26" s="186">
        <v>32</v>
      </c>
      <c r="F26" s="187">
        <v>4663</v>
      </c>
      <c r="G26" s="188">
        <v>369</v>
      </c>
      <c r="H26" s="188">
        <v>417</v>
      </c>
      <c r="I26" s="11">
        <v>0</v>
      </c>
      <c r="J26" s="11">
        <v>0</v>
      </c>
      <c r="K26" s="11">
        <v>0</v>
      </c>
      <c r="L26" s="189">
        <v>0</v>
      </c>
      <c r="M26" s="189">
        <v>26620</v>
      </c>
      <c r="N26" s="189">
        <v>4840</v>
      </c>
      <c r="O26" s="189">
        <v>92980.22</v>
      </c>
      <c r="P26" s="189">
        <v>7357.86</v>
      </c>
      <c r="Q26" s="189">
        <v>63071.25</v>
      </c>
      <c r="R26" s="189">
        <v>0</v>
      </c>
      <c r="S26" s="189">
        <v>0</v>
      </c>
      <c r="T26" s="189">
        <v>194869.33</v>
      </c>
    </row>
    <row r="27" spans="1:20">
      <c r="A27" s="13">
        <v>23</v>
      </c>
      <c r="B27" s="199" t="s">
        <v>223</v>
      </c>
      <c r="C27" s="200"/>
      <c r="D27" s="186">
        <v>272</v>
      </c>
      <c r="E27" s="186">
        <v>80</v>
      </c>
      <c r="F27" s="187">
        <v>4855</v>
      </c>
      <c r="G27" s="188">
        <v>177</v>
      </c>
      <c r="H27" s="188">
        <v>273</v>
      </c>
      <c r="I27" s="11">
        <v>0</v>
      </c>
      <c r="J27" s="11">
        <v>0</v>
      </c>
      <c r="K27" s="11">
        <v>0</v>
      </c>
      <c r="L27" s="189">
        <v>0</v>
      </c>
      <c r="M27" s="189">
        <v>41140</v>
      </c>
      <c r="N27" s="189">
        <v>12100</v>
      </c>
      <c r="O27" s="189">
        <v>96808.7</v>
      </c>
      <c r="P27" s="189">
        <v>3529.38</v>
      </c>
      <c r="Q27" s="189">
        <v>41291.25</v>
      </c>
      <c r="R27" s="189">
        <v>0</v>
      </c>
      <c r="S27" s="189">
        <v>0</v>
      </c>
      <c r="T27" s="189">
        <v>194869.33</v>
      </c>
    </row>
    <row r="28" spans="1:20">
      <c r="A28" s="13">
        <v>24</v>
      </c>
      <c r="B28" s="199" t="s">
        <v>224</v>
      </c>
      <c r="C28" s="200"/>
      <c r="D28" s="186">
        <v>32</v>
      </c>
      <c r="E28" s="186">
        <v>88</v>
      </c>
      <c r="F28" s="187">
        <v>4799</v>
      </c>
      <c r="G28" s="188">
        <v>233</v>
      </c>
      <c r="H28" s="188">
        <v>505</v>
      </c>
      <c r="I28" s="11">
        <v>0</v>
      </c>
      <c r="J28" s="11">
        <v>0</v>
      </c>
      <c r="K28" s="11">
        <v>0</v>
      </c>
      <c r="L28" s="189">
        <v>0</v>
      </c>
      <c r="M28" s="189">
        <v>4840</v>
      </c>
      <c r="N28" s="189">
        <v>13310</v>
      </c>
      <c r="O28" s="189">
        <v>95692.06</v>
      </c>
      <c r="P28" s="189">
        <v>4646.0200000000004</v>
      </c>
      <c r="Q28" s="189">
        <v>76381.25</v>
      </c>
      <c r="R28" s="189">
        <v>0</v>
      </c>
      <c r="S28" s="189">
        <v>0</v>
      </c>
      <c r="T28" s="189">
        <v>194869.33</v>
      </c>
    </row>
    <row r="29" spans="1:20">
      <c r="A29" s="13">
        <v>25</v>
      </c>
      <c r="B29" s="199" t="s">
        <v>225</v>
      </c>
      <c r="C29" s="200"/>
      <c r="D29" s="186">
        <v>63</v>
      </c>
      <c r="E29" s="186">
        <v>129</v>
      </c>
      <c r="F29" s="187">
        <v>4733</v>
      </c>
      <c r="G29" s="188">
        <v>299</v>
      </c>
      <c r="H29" s="188">
        <v>433</v>
      </c>
      <c r="I29" s="11">
        <v>0</v>
      </c>
      <c r="J29" s="11">
        <v>0</v>
      </c>
      <c r="K29" s="11">
        <v>0</v>
      </c>
      <c r="L29" s="189">
        <v>0</v>
      </c>
      <c r="M29" s="189">
        <v>9528.75</v>
      </c>
      <c r="N29" s="189">
        <v>19511.25</v>
      </c>
      <c r="O29" s="189">
        <v>94376.02</v>
      </c>
      <c r="P29" s="189">
        <v>5962.06</v>
      </c>
      <c r="Q29" s="189">
        <v>65491.25</v>
      </c>
      <c r="R29" s="189">
        <v>0</v>
      </c>
      <c r="S29" s="189">
        <v>0</v>
      </c>
      <c r="T29" s="189">
        <v>194869.33</v>
      </c>
    </row>
    <row r="30" spans="1:20">
      <c r="A30" s="13">
        <v>26</v>
      </c>
      <c r="B30" s="199" t="s">
        <v>226</v>
      </c>
      <c r="C30" s="200"/>
      <c r="D30" s="186">
        <v>127</v>
      </c>
      <c r="E30" s="186">
        <v>164</v>
      </c>
      <c r="F30" s="187">
        <v>4696</v>
      </c>
      <c r="G30" s="188">
        <v>336</v>
      </c>
      <c r="H30" s="188">
        <v>334</v>
      </c>
      <c r="I30" s="11">
        <v>21.143000000000001</v>
      </c>
      <c r="J30" s="11">
        <v>21.143000000000001</v>
      </c>
      <c r="K30" s="11">
        <v>0</v>
      </c>
      <c r="L30" s="189">
        <v>0</v>
      </c>
      <c r="M30" s="189">
        <v>19208.75</v>
      </c>
      <c r="N30" s="189">
        <v>24805</v>
      </c>
      <c r="O30" s="189">
        <v>93638.24</v>
      </c>
      <c r="P30" s="189">
        <v>6699.84</v>
      </c>
      <c r="Q30" s="189">
        <v>50517.5</v>
      </c>
      <c r="R30" s="189">
        <v>5285.75</v>
      </c>
      <c r="S30" s="189">
        <v>2960.02</v>
      </c>
      <c r="T30" s="189">
        <v>203115.1</v>
      </c>
    </row>
    <row r="31" spans="1:20">
      <c r="A31" s="13">
        <v>27</v>
      </c>
      <c r="B31" s="199" t="s">
        <v>227</v>
      </c>
      <c r="C31" s="200"/>
      <c r="D31" s="186">
        <v>189</v>
      </c>
      <c r="E31" s="186">
        <v>77</v>
      </c>
      <c r="F31" s="187">
        <v>4808</v>
      </c>
      <c r="G31" s="188">
        <v>224</v>
      </c>
      <c r="H31" s="188">
        <v>359</v>
      </c>
      <c r="I31" s="11">
        <v>0</v>
      </c>
      <c r="J31" s="11">
        <v>0</v>
      </c>
      <c r="K31" s="11">
        <v>0</v>
      </c>
      <c r="L31" s="189">
        <v>0</v>
      </c>
      <c r="M31" s="189">
        <v>28586.25</v>
      </c>
      <c r="N31" s="189">
        <v>11646.25</v>
      </c>
      <c r="O31" s="189">
        <v>95871.52</v>
      </c>
      <c r="P31" s="189">
        <v>4466.5600000000004</v>
      </c>
      <c r="Q31" s="189">
        <v>54298.75</v>
      </c>
      <c r="R31" s="189">
        <v>0</v>
      </c>
      <c r="S31" s="189">
        <v>0</v>
      </c>
      <c r="T31" s="189">
        <v>194869.33</v>
      </c>
    </row>
    <row r="32" spans="1:20">
      <c r="A32" s="13">
        <v>28</v>
      </c>
      <c r="B32" s="199" t="s">
        <v>228</v>
      </c>
      <c r="C32" s="200"/>
      <c r="D32" s="186">
        <v>159</v>
      </c>
      <c r="E32" s="186">
        <v>67</v>
      </c>
      <c r="F32" s="187">
        <v>4900</v>
      </c>
      <c r="G32" s="188">
        <v>132</v>
      </c>
      <c r="H32" s="188">
        <v>399</v>
      </c>
      <c r="I32" s="11">
        <v>0</v>
      </c>
      <c r="J32" s="11">
        <v>0</v>
      </c>
      <c r="K32" s="11">
        <v>0</v>
      </c>
      <c r="L32" s="189">
        <v>0</v>
      </c>
      <c r="M32" s="189">
        <v>24048.75</v>
      </c>
      <c r="N32" s="189">
        <v>10133.75</v>
      </c>
      <c r="O32" s="189">
        <v>97706</v>
      </c>
      <c r="P32" s="189">
        <v>2632.08</v>
      </c>
      <c r="Q32" s="189">
        <v>60348.75</v>
      </c>
      <c r="R32" s="189">
        <v>0</v>
      </c>
      <c r="S32" s="189">
        <v>0</v>
      </c>
      <c r="T32" s="189">
        <v>194869.33</v>
      </c>
    </row>
    <row r="33" spans="1:20">
      <c r="A33" s="13">
        <v>29</v>
      </c>
      <c r="B33" s="199"/>
      <c r="C33" s="200"/>
      <c r="D33" s="186">
        <v>0</v>
      </c>
      <c r="E33" s="186">
        <v>0</v>
      </c>
      <c r="F33" s="187">
        <v>0</v>
      </c>
      <c r="G33" s="188">
        <v>0</v>
      </c>
      <c r="H33" s="188">
        <v>0</v>
      </c>
      <c r="I33" s="11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86">
        <v>0</v>
      </c>
      <c r="E34" s="186">
        <v>0</v>
      </c>
      <c r="F34" s="187">
        <v>0</v>
      </c>
      <c r="G34" s="188">
        <v>0</v>
      </c>
      <c r="H34" s="188">
        <v>0</v>
      </c>
      <c r="I34" s="11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86">
        <v>0</v>
      </c>
      <c r="E35" s="186">
        <v>0</v>
      </c>
      <c r="F35" s="187">
        <v>0</v>
      </c>
      <c r="G35" s="188">
        <v>0</v>
      </c>
      <c r="H35" s="188">
        <v>0</v>
      </c>
      <c r="I35" s="11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20">
        <v>3131</v>
      </c>
      <c r="E36" s="20">
        <v>2775</v>
      </c>
      <c r="F36" s="20">
        <v>132616</v>
      </c>
      <c r="G36" s="20">
        <v>8317</v>
      </c>
      <c r="H36" s="20">
        <v>11594</v>
      </c>
      <c r="I36" s="20">
        <v>22.493000000000002</v>
      </c>
      <c r="J36" s="20">
        <v>22.493000000000002</v>
      </c>
      <c r="K36" s="20">
        <v>0</v>
      </c>
      <c r="L36" s="190">
        <v>0</v>
      </c>
      <c r="M36" s="190">
        <v>473563.75</v>
      </c>
      <c r="N36" s="190">
        <v>419718.75</v>
      </c>
      <c r="O36" s="190">
        <v>2644363.04</v>
      </c>
      <c r="P36" s="190">
        <v>165840.98000000001</v>
      </c>
      <c r="Q36" s="190">
        <v>1753592.5</v>
      </c>
      <c r="R36" s="190">
        <v>5623.25</v>
      </c>
      <c r="S36" s="190">
        <v>3149.02</v>
      </c>
      <c r="T36" s="190">
        <v>5465851.29</v>
      </c>
    </row>
    <row r="37" spans="1:20">
      <c r="R37" s="22"/>
      <c r="S37" s="22"/>
      <c r="T37" s="191">
        <v>6668338.5700000003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63FC-CBAB-4725-8764-65E7FD11F1B0}">
  <sheetPr codeName="Лист25">
    <pageSetUpPr fitToPage="1"/>
  </sheetPr>
  <dimension ref="A1:T37"/>
  <sheetViews>
    <sheetView workbookViewId="0">
      <selection activeCell="G5" sqref="G5:G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230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148</v>
      </c>
      <c r="E3" s="202" t="s">
        <v>149</v>
      </c>
      <c r="F3" s="4" t="s">
        <v>4</v>
      </c>
      <c r="G3" s="202" t="s">
        <v>197</v>
      </c>
      <c r="H3" s="202" t="s">
        <v>198</v>
      </c>
      <c r="I3" s="202" t="s">
        <v>7</v>
      </c>
      <c r="J3" s="202" t="s">
        <v>8</v>
      </c>
      <c r="K3" s="202" t="s">
        <v>199</v>
      </c>
      <c r="L3" s="202" t="s">
        <v>200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30">
      <c r="A4" s="203"/>
      <c r="B4" s="206"/>
      <c r="C4" s="207"/>
      <c r="D4" s="203"/>
      <c r="E4" s="203"/>
      <c r="F4" s="5" t="s">
        <v>158</v>
      </c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2">
        <v>0</v>
      </c>
      <c r="E5" s="192">
        <v>16</v>
      </c>
      <c r="F5" s="193">
        <v>161</v>
      </c>
      <c r="G5" s="188">
        <v>0</v>
      </c>
      <c r="H5" s="188">
        <v>0</v>
      </c>
      <c r="I5" s="11">
        <v>0</v>
      </c>
      <c r="J5" s="11">
        <v>0</v>
      </c>
      <c r="K5" s="11">
        <v>0</v>
      </c>
      <c r="L5" s="189">
        <v>0</v>
      </c>
      <c r="M5" s="189">
        <v>0</v>
      </c>
      <c r="N5" s="189">
        <v>2420</v>
      </c>
      <c r="O5" s="189">
        <v>3210.34</v>
      </c>
      <c r="P5" s="189">
        <v>0</v>
      </c>
      <c r="Q5" s="189">
        <v>0</v>
      </c>
      <c r="R5" s="189">
        <v>0</v>
      </c>
      <c r="S5" s="189">
        <v>0</v>
      </c>
      <c r="T5" s="189">
        <v>5630.34</v>
      </c>
    </row>
    <row r="6" spans="1:20">
      <c r="A6" s="13">
        <v>2</v>
      </c>
      <c r="B6" s="199" t="s">
        <v>202</v>
      </c>
      <c r="C6" s="200"/>
      <c r="D6" s="192">
        <v>0</v>
      </c>
      <c r="E6" s="192">
        <v>0</v>
      </c>
      <c r="F6" s="193">
        <v>161</v>
      </c>
      <c r="G6" s="188">
        <v>0</v>
      </c>
      <c r="H6" s="188">
        <v>0</v>
      </c>
      <c r="I6" s="11">
        <v>0</v>
      </c>
      <c r="J6" s="11">
        <v>0</v>
      </c>
      <c r="K6" s="11">
        <v>0</v>
      </c>
      <c r="L6" s="189">
        <v>0</v>
      </c>
      <c r="M6" s="189">
        <v>0</v>
      </c>
      <c r="N6" s="189">
        <v>0</v>
      </c>
      <c r="O6" s="189">
        <v>3210.34</v>
      </c>
      <c r="P6" s="189">
        <v>0</v>
      </c>
      <c r="Q6" s="189">
        <v>0</v>
      </c>
      <c r="R6" s="189">
        <v>0</v>
      </c>
      <c r="S6" s="189">
        <v>0</v>
      </c>
      <c r="T6" s="189">
        <v>3210.34</v>
      </c>
    </row>
    <row r="7" spans="1:20">
      <c r="A7" s="13">
        <v>3</v>
      </c>
      <c r="B7" s="199" t="s">
        <v>203</v>
      </c>
      <c r="C7" s="200"/>
      <c r="D7" s="192">
        <v>16</v>
      </c>
      <c r="E7" s="192">
        <v>16</v>
      </c>
      <c r="F7" s="193">
        <v>161</v>
      </c>
      <c r="G7" s="188">
        <v>0</v>
      </c>
      <c r="H7" s="188">
        <v>0</v>
      </c>
      <c r="I7" s="11">
        <v>0</v>
      </c>
      <c r="J7" s="11">
        <v>0</v>
      </c>
      <c r="K7" s="11">
        <v>0</v>
      </c>
      <c r="L7" s="189">
        <v>0</v>
      </c>
      <c r="M7" s="189">
        <v>2420</v>
      </c>
      <c r="N7" s="189">
        <v>2420</v>
      </c>
      <c r="O7" s="189">
        <v>3210.34</v>
      </c>
      <c r="P7" s="189">
        <v>0</v>
      </c>
      <c r="Q7" s="189">
        <v>0</v>
      </c>
      <c r="R7" s="189">
        <v>0</v>
      </c>
      <c r="S7" s="189">
        <v>0</v>
      </c>
      <c r="T7" s="189">
        <v>8050.34</v>
      </c>
    </row>
    <row r="8" spans="1:20">
      <c r="A8" s="13">
        <v>4</v>
      </c>
      <c r="B8" s="199" t="s">
        <v>204</v>
      </c>
      <c r="C8" s="200"/>
      <c r="D8" s="192">
        <v>0</v>
      </c>
      <c r="E8" s="192">
        <v>16</v>
      </c>
      <c r="F8" s="193">
        <v>145</v>
      </c>
      <c r="G8" s="188">
        <v>0</v>
      </c>
      <c r="H8" s="188">
        <v>0</v>
      </c>
      <c r="I8" s="11">
        <v>0</v>
      </c>
      <c r="J8" s="11">
        <v>0</v>
      </c>
      <c r="K8" s="11">
        <v>0</v>
      </c>
      <c r="L8" s="189">
        <v>0</v>
      </c>
      <c r="M8" s="189">
        <v>0</v>
      </c>
      <c r="N8" s="189">
        <v>2420</v>
      </c>
      <c r="O8" s="189">
        <v>2891.3</v>
      </c>
      <c r="P8" s="189">
        <v>0</v>
      </c>
      <c r="Q8" s="189">
        <v>0</v>
      </c>
      <c r="R8" s="189">
        <v>0</v>
      </c>
      <c r="S8" s="189">
        <v>0</v>
      </c>
      <c r="T8" s="189">
        <v>5311.3</v>
      </c>
    </row>
    <row r="9" spans="1:20">
      <c r="A9" s="13">
        <v>5</v>
      </c>
      <c r="B9" s="199" t="s">
        <v>205</v>
      </c>
      <c r="C9" s="200"/>
      <c r="D9" s="192">
        <v>0</v>
      </c>
      <c r="E9" s="192">
        <v>32</v>
      </c>
      <c r="F9" s="193">
        <v>113</v>
      </c>
      <c r="G9" s="188">
        <v>0</v>
      </c>
      <c r="H9" s="188">
        <v>0</v>
      </c>
      <c r="I9" s="11">
        <v>0</v>
      </c>
      <c r="J9" s="11">
        <v>0</v>
      </c>
      <c r="K9" s="11">
        <v>0</v>
      </c>
      <c r="L9" s="189">
        <v>0</v>
      </c>
      <c r="M9" s="189">
        <v>0</v>
      </c>
      <c r="N9" s="189">
        <v>4840</v>
      </c>
      <c r="O9" s="189">
        <v>2253.2199999999998</v>
      </c>
      <c r="P9" s="189">
        <v>0</v>
      </c>
      <c r="Q9" s="189">
        <v>0</v>
      </c>
      <c r="R9" s="189">
        <v>0</v>
      </c>
      <c r="S9" s="189">
        <v>0</v>
      </c>
      <c r="T9" s="189">
        <v>7093.22</v>
      </c>
    </row>
    <row r="10" spans="1:20">
      <c r="A10" s="13">
        <v>6</v>
      </c>
      <c r="B10" s="199" t="s">
        <v>206</v>
      </c>
      <c r="C10" s="200"/>
      <c r="D10" s="192">
        <v>0</v>
      </c>
      <c r="E10" s="192">
        <v>0</v>
      </c>
      <c r="F10" s="193">
        <v>113</v>
      </c>
      <c r="G10" s="188">
        <v>0</v>
      </c>
      <c r="H10" s="188">
        <v>0</v>
      </c>
      <c r="I10" s="11">
        <v>0</v>
      </c>
      <c r="J10" s="11">
        <v>0</v>
      </c>
      <c r="K10" s="11">
        <v>0</v>
      </c>
      <c r="L10" s="189">
        <v>0</v>
      </c>
      <c r="M10" s="189">
        <v>0</v>
      </c>
      <c r="N10" s="189">
        <v>0</v>
      </c>
      <c r="O10" s="189">
        <v>2253.2199999999998</v>
      </c>
      <c r="P10" s="189">
        <v>0</v>
      </c>
      <c r="Q10" s="189">
        <v>0</v>
      </c>
      <c r="R10" s="189">
        <v>0</v>
      </c>
      <c r="S10" s="189">
        <v>0</v>
      </c>
      <c r="T10" s="189">
        <v>2253.2199999999998</v>
      </c>
    </row>
    <row r="11" spans="1:20">
      <c r="A11" s="13">
        <v>7</v>
      </c>
      <c r="B11" s="199" t="s">
        <v>207</v>
      </c>
      <c r="C11" s="200"/>
      <c r="D11" s="192">
        <v>0</v>
      </c>
      <c r="E11" s="192">
        <v>0</v>
      </c>
      <c r="F11" s="193">
        <v>113</v>
      </c>
      <c r="G11" s="188">
        <v>0</v>
      </c>
      <c r="H11" s="188">
        <v>0</v>
      </c>
      <c r="I11" s="11">
        <v>0</v>
      </c>
      <c r="J11" s="11">
        <v>0</v>
      </c>
      <c r="K11" s="11">
        <v>0</v>
      </c>
      <c r="L11" s="189">
        <v>0</v>
      </c>
      <c r="M11" s="189">
        <v>0</v>
      </c>
      <c r="N11" s="189">
        <v>0</v>
      </c>
      <c r="O11" s="189">
        <v>2253.2199999999998</v>
      </c>
      <c r="P11" s="189">
        <v>0</v>
      </c>
      <c r="Q11" s="189">
        <v>0</v>
      </c>
      <c r="R11" s="189">
        <v>0</v>
      </c>
      <c r="S11" s="189">
        <v>0</v>
      </c>
      <c r="T11" s="189">
        <v>2253.2199999999998</v>
      </c>
    </row>
    <row r="12" spans="1:20">
      <c r="A12" s="13">
        <v>8</v>
      </c>
      <c r="B12" s="199" t="s">
        <v>208</v>
      </c>
      <c r="C12" s="200"/>
      <c r="D12" s="192">
        <v>0</v>
      </c>
      <c r="E12" s="192">
        <v>0</v>
      </c>
      <c r="F12" s="193">
        <v>113</v>
      </c>
      <c r="G12" s="188">
        <v>0</v>
      </c>
      <c r="H12" s="188">
        <v>0</v>
      </c>
      <c r="I12" s="11">
        <v>0</v>
      </c>
      <c r="J12" s="11">
        <v>0</v>
      </c>
      <c r="K12" s="11">
        <v>0</v>
      </c>
      <c r="L12" s="189">
        <v>0</v>
      </c>
      <c r="M12" s="189">
        <v>0</v>
      </c>
      <c r="N12" s="189">
        <v>0</v>
      </c>
      <c r="O12" s="189">
        <v>2253.2199999999998</v>
      </c>
      <c r="P12" s="189">
        <v>0</v>
      </c>
      <c r="Q12" s="189">
        <v>0</v>
      </c>
      <c r="R12" s="189">
        <v>0</v>
      </c>
      <c r="S12" s="189">
        <v>0</v>
      </c>
      <c r="T12" s="189">
        <v>2253.2199999999998</v>
      </c>
    </row>
    <row r="13" spans="1:20">
      <c r="A13" s="13">
        <v>9</v>
      </c>
      <c r="B13" s="199" t="s">
        <v>209</v>
      </c>
      <c r="C13" s="200"/>
      <c r="D13" s="192">
        <v>48</v>
      </c>
      <c r="E13" s="192">
        <v>0</v>
      </c>
      <c r="F13" s="193">
        <v>161</v>
      </c>
      <c r="G13" s="188">
        <v>0</v>
      </c>
      <c r="H13" s="188">
        <v>0</v>
      </c>
      <c r="I13" s="11">
        <v>0</v>
      </c>
      <c r="J13" s="11">
        <v>0</v>
      </c>
      <c r="K13" s="11">
        <v>0</v>
      </c>
      <c r="L13" s="189">
        <v>0</v>
      </c>
      <c r="M13" s="189">
        <v>7260</v>
      </c>
      <c r="N13" s="189">
        <v>0</v>
      </c>
      <c r="O13" s="189">
        <v>3210.34</v>
      </c>
      <c r="P13" s="189">
        <v>0</v>
      </c>
      <c r="Q13" s="189">
        <v>0</v>
      </c>
      <c r="R13" s="189">
        <v>0</v>
      </c>
      <c r="S13" s="189">
        <v>0</v>
      </c>
      <c r="T13" s="189">
        <v>10470.34</v>
      </c>
    </row>
    <row r="14" spans="1:20">
      <c r="A14" s="13">
        <v>10</v>
      </c>
      <c r="B14" s="199" t="s">
        <v>210</v>
      </c>
      <c r="C14" s="200"/>
      <c r="D14" s="192">
        <v>32</v>
      </c>
      <c r="E14" s="192">
        <v>16</v>
      </c>
      <c r="F14" s="193">
        <v>177</v>
      </c>
      <c r="G14" s="188">
        <v>0</v>
      </c>
      <c r="H14" s="188">
        <v>0</v>
      </c>
      <c r="I14" s="11">
        <v>0</v>
      </c>
      <c r="J14" s="11">
        <v>0</v>
      </c>
      <c r="K14" s="11">
        <v>0</v>
      </c>
      <c r="L14" s="189">
        <v>0</v>
      </c>
      <c r="M14" s="189">
        <v>4840</v>
      </c>
      <c r="N14" s="189">
        <v>2420</v>
      </c>
      <c r="O14" s="189">
        <v>3529.38</v>
      </c>
      <c r="P14" s="189">
        <v>0</v>
      </c>
      <c r="Q14" s="189">
        <v>0</v>
      </c>
      <c r="R14" s="189">
        <v>0</v>
      </c>
      <c r="S14" s="189">
        <v>0</v>
      </c>
      <c r="T14" s="189">
        <v>10789.38</v>
      </c>
    </row>
    <row r="15" spans="1:20">
      <c r="A15" s="13">
        <v>11</v>
      </c>
      <c r="B15" s="199" t="s">
        <v>211</v>
      </c>
      <c r="C15" s="200"/>
      <c r="D15" s="192">
        <v>0</v>
      </c>
      <c r="E15" s="192">
        <v>80</v>
      </c>
      <c r="F15" s="193">
        <v>97</v>
      </c>
      <c r="G15" s="188">
        <v>0</v>
      </c>
      <c r="H15" s="188">
        <v>0</v>
      </c>
      <c r="I15" s="11">
        <v>0</v>
      </c>
      <c r="J15" s="11">
        <v>0</v>
      </c>
      <c r="K15" s="11">
        <v>0</v>
      </c>
      <c r="L15" s="189">
        <v>0</v>
      </c>
      <c r="M15" s="189">
        <v>0</v>
      </c>
      <c r="N15" s="189">
        <v>12100</v>
      </c>
      <c r="O15" s="189">
        <v>1934.18</v>
      </c>
      <c r="P15" s="189">
        <v>0</v>
      </c>
      <c r="Q15" s="189">
        <v>0</v>
      </c>
      <c r="R15" s="189">
        <v>0</v>
      </c>
      <c r="S15" s="189">
        <v>0</v>
      </c>
      <c r="T15" s="189">
        <v>14034.18</v>
      </c>
    </row>
    <row r="16" spans="1:20">
      <c r="A16" s="13">
        <v>12</v>
      </c>
      <c r="B16" s="199" t="s">
        <v>212</v>
      </c>
      <c r="C16" s="200"/>
      <c r="D16" s="192">
        <v>0</v>
      </c>
      <c r="E16" s="192">
        <v>2</v>
      </c>
      <c r="F16" s="193">
        <v>95</v>
      </c>
      <c r="G16" s="188">
        <v>0</v>
      </c>
      <c r="H16" s="188">
        <v>0</v>
      </c>
      <c r="I16" s="11">
        <v>0</v>
      </c>
      <c r="J16" s="11">
        <v>0</v>
      </c>
      <c r="K16" s="11">
        <v>0</v>
      </c>
      <c r="L16" s="189">
        <v>0</v>
      </c>
      <c r="M16" s="189">
        <v>0</v>
      </c>
      <c r="N16" s="189">
        <v>302.5</v>
      </c>
      <c r="O16" s="189">
        <v>1894.3</v>
      </c>
      <c r="P16" s="189">
        <v>0</v>
      </c>
      <c r="Q16" s="189">
        <v>0</v>
      </c>
      <c r="R16" s="189">
        <v>0</v>
      </c>
      <c r="S16" s="189">
        <v>0</v>
      </c>
      <c r="T16" s="189">
        <v>2196.8000000000002</v>
      </c>
    </row>
    <row r="17" spans="1:20">
      <c r="A17" s="13">
        <v>13</v>
      </c>
      <c r="B17" s="199" t="s">
        <v>213</v>
      </c>
      <c r="C17" s="200"/>
      <c r="D17" s="192">
        <v>0</v>
      </c>
      <c r="E17" s="192">
        <v>0</v>
      </c>
      <c r="F17" s="193">
        <v>95</v>
      </c>
      <c r="G17" s="188">
        <v>0</v>
      </c>
      <c r="H17" s="188">
        <v>0</v>
      </c>
      <c r="I17" s="11">
        <v>0</v>
      </c>
      <c r="J17" s="11">
        <v>0</v>
      </c>
      <c r="K17" s="11">
        <v>0</v>
      </c>
      <c r="L17" s="189">
        <v>0</v>
      </c>
      <c r="M17" s="189">
        <v>0</v>
      </c>
      <c r="N17" s="189">
        <v>0</v>
      </c>
      <c r="O17" s="189">
        <v>1894.3</v>
      </c>
      <c r="P17" s="189">
        <v>0</v>
      </c>
      <c r="Q17" s="189">
        <v>0</v>
      </c>
      <c r="R17" s="189">
        <v>0</v>
      </c>
      <c r="S17" s="189">
        <v>0</v>
      </c>
      <c r="T17" s="189">
        <v>1894.3</v>
      </c>
    </row>
    <row r="18" spans="1:20">
      <c r="A18" s="13">
        <v>14</v>
      </c>
      <c r="B18" s="199" t="s">
        <v>214</v>
      </c>
      <c r="C18" s="200"/>
      <c r="D18" s="192">
        <v>0</v>
      </c>
      <c r="E18" s="192">
        <v>14</v>
      </c>
      <c r="F18" s="193">
        <v>81</v>
      </c>
      <c r="G18" s="188">
        <v>0</v>
      </c>
      <c r="H18" s="188">
        <v>0</v>
      </c>
      <c r="I18" s="11">
        <v>0</v>
      </c>
      <c r="J18" s="11">
        <v>0</v>
      </c>
      <c r="K18" s="11">
        <v>0</v>
      </c>
      <c r="L18" s="189">
        <v>0</v>
      </c>
      <c r="M18" s="189">
        <v>0</v>
      </c>
      <c r="N18" s="189">
        <v>2117.5</v>
      </c>
      <c r="O18" s="189">
        <v>1615.14</v>
      </c>
      <c r="P18" s="189">
        <v>0</v>
      </c>
      <c r="Q18" s="189">
        <v>0</v>
      </c>
      <c r="R18" s="189">
        <v>0</v>
      </c>
      <c r="S18" s="189">
        <v>0</v>
      </c>
      <c r="T18" s="189">
        <v>3732.64</v>
      </c>
    </row>
    <row r="19" spans="1:20">
      <c r="A19" s="13">
        <v>15</v>
      </c>
      <c r="B19" s="199" t="s">
        <v>215</v>
      </c>
      <c r="C19" s="200"/>
      <c r="D19" s="192">
        <v>16</v>
      </c>
      <c r="E19" s="192">
        <v>0</v>
      </c>
      <c r="F19" s="193">
        <v>97</v>
      </c>
      <c r="G19" s="188">
        <v>0</v>
      </c>
      <c r="H19" s="188">
        <v>0</v>
      </c>
      <c r="I19" s="11">
        <v>0</v>
      </c>
      <c r="J19" s="11">
        <v>0</v>
      </c>
      <c r="K19" s="11">
        <v>0</v>
      </c>
      <c r="L19" s="189">
        <v>0</v>
      </c>
      <c r="M19" s="189">
        <v>2420</v>
      </c>
      <c r="N19" s="189">
        <v>0</v>
      </c>
      <c r="O19" s="189">
        <v>1934.18</v>
      </c>
      <c r="P19" s="189">
        <v>0</v>
      </c>
      <c r="Q19" s="189">
        <v>0</v>
      </c>
      <c r="R19" s="189">
        <v>0</v>
      </c>
      <c r="S19" s="189">
        <v>0</v>
      </c>
      <c r="T19" s="189">
        <v>4354.18</v>
      </c>
    </row>
    <row r="20" spans="1:20">
      <c r="A20" s="13">
        <v>16</v>
      </c>
      <c r="B20" s="199" t="s">
        <v>216</v>
      </c>
      <c r="C20" s="200"/>
      <c r="D20" s="192">
        <v>80</v>
      </c>
      <c r="E20" s="192">
        <v>16</v>
      </c>
      <c r="F20" s="193">
        <v>161</v>
      </c>
      <c r="G20" s="188">
        <v>0</v>
      </c>
      <c r="H20" s="188">
        <v>0</v>
      </c>
      <c r="I20" s="11">
        <v>0</v>
      </c>
      <c r="J20" s="11">
        <v>0</v>
      </c>
      <c r="K20" s="11">
        <v>0</v>
      </c>
      <c r="L20" s="189">
        <v>0</v>
      </c>
      <c r="M20" s="189">
        <v>12100</v>
      </c>
      <c r="N20" s="189">
        <v>2420</v>
      </c>
      <c r="O20" s="189">
        <v>3210.34</v>
      </c>
      <c r="P20" s="189">
        <v>0</v>
      </c>
      <c r="Q20" s="189">
        <v>0</v>
      </c>
      <c r="R20" s="189">
        <v>0</v>
      </c>
      <c r="S20" s="189">
        <v>0</v>
      </c>
      <c r="T20" s="189">
        <v>17730.34</v>
      </c>
    </row>
    <row r="21" spans="1:20">
      <c r="A21" s="13">
        <v>17</v>
      </c>
      <c r="B21" s="199" t="s">
        <v>217</v>
      </c>
      <c r="C21" s="200"/>
      <c r="D21" s="192">
        <v>32</v>
      </c>
      <c r="E21" s="192">
        <v>0</v>
      </c>
      <c r="F21" s="193">
        <v>193</v>
      </c>
      <c r="G21" s="188">
        <v>0</v>
      </c>
      <c r="H21" s="188">
        <v>0</v>
      </c>
      <c r="I21" s="11">
        <v>0</v>
      </c>
      <c r="J21" s="11">
        <v>0</v>
      </c>
      <c r="K21" s="11">
        <v>0</v>
      </c>
      <c r="L21" s="189">
        <v>0</v>
      </c>
      <c r="M21" s="189">
        <v>4840</v>
      </c>
      <c r="N21" s="189">
        <v>0</v>
      </c>
      <c r="O21" s="189">
        <v>3848.42</v>
      </c>
      <c r="P21" s="189">
        <v>0</v>
      </c>
      <c r="Q21" s="189">
        <v>0</v>
      </c>
      <c r="R21" s="189">
        <v>0</v>
      </c>
      <c r="S21" s="189">
        <v>0</v>
      </c>
      <c r="T21" s="189">
        <v>8688.42</v>
      </c>
    </row>
    <row r="22" spans="1:20">
      <c r="A22" s="13">
        <v>18</v>
      </c>
      <c r="B22" s="199" t="s">
        <v>218</v>
      </c>
      <c r="C22" s="200"/>
      <c r="D22" s="192">
        <v>32</v>
      </c>
      <c r="E22" s="192">
        <v>16</v>
      </c>
      <c r="F22" s="193">
        <v>209</v>
      </c>
      <c r="G22" s="188">
        <v>0</v>
      </c>
      <c r="H22" s="188">
        <v>0</v>
      </c>
      <c r="I22" s="11">
        <v>0</v>
      </c>
      <c r="J22" s="11">
        <v>0</v>
      </c>
      <c r="K22" s="11">
        <v>0</v>
      </c>
      <c r="L22" s="189">
        <v>0</v>
      </c>
      <c r="M22" s="189">
        <v>4840</v>
      </c>
      <c r="N22" s="189">
        <v>2420</v>
      </c>
      <c r="O22" s="189">
        <v>4167.46</v>
      </c>
      <c r="P22" s="189">
        <v>0</v>
      </c>
      <c r="Q22" s="189">
        <v>0</v>
      </c>
      <c r="R22" s="189">
        <v>0</v>
      </c>
      <c r="S22" s="189">
        <v>0</v>
      </c>
      <c r="T22" s="189">
        <v>11427.46</v>
      </c>
    </row>
    <row r="23" spans="1:20">
      <c r="A23" s="13">
        <v>19</v>
      </c>
      <c r="B23" s="199" t="s">
        <v>219</v>
      </c>
      <c r="C23" s="200"/>
      <c r="D23" s="192">
        <v>16</v>
      </c>
      <c r="E23" s="192">
        <v>32</v>
      </c>
      <c r="F23" s="193">
        <v>193</v>
      </c>
      <c r="G23" s="188">
        <v>0</v>
      </c>
      <c r="H23" s="188">
        <v>0</v>
      </c>
      <c r="I23" s="11">
        <v>0</v>
      </c>
      <c r="J23" s="11">
        <v>0</v>
      </c>
      <c r="K23" s="11">
        <v>0</v>
      </c>
      <c r="L23" s="189">
        <v>0</v>
      </c>
      <c r="M23" s="189">
        <v>2420</v>
      </c>
      <c r="N23" s="189">
        <v>4840</v>
      </c>
      <c r="O23" s="189">
        <v>3848.42</v>
      </c>
      <c r="P23" s="189">
        <v>0</v>
      </c>
      <c r="Q23" s="189">
        <v>0</v>
      </c>
      <c r="R23" s="189">
        <v>0</v>
      </c>
      <c r="S23" s="189">
        <v>0</v>
      </c>
      <c r="T23" s="189">
        <v>11108.42</v>
      </c>
    </row>
    <row r="24" spans="1:20">
      <c r="A24" s="13">
        <v>20</v>
      </c>
      <c r="B24" s="199" t="s">
        <v>220</v>
      </c>
      <c r="C24" s="200"/>
      <c r="D24" s="192">
        <v>0</v>
      </c>
      <c r="E24" s="192">
        <v>16</v>
      </c>
      <c r="F24" s="193">
        <v>177</v>
      </c>
      <c r="G24" s="188">
        <v>0</v>
      </c>
      <c r="H24" s="188">
        <v>0</v>
      </c>
      <c r="I24" s="11">
        <v>0</v>
      </c>
      <c r="J24" s="11">
        <v>0</v>
      </c>
      <c r="K24" s="11">
        <v>0</v>
      </c>
      <c r="L24" s="189">
        <v>0</v>
      </c>
      <c r="M24" s="189">
        <v>0</v>
      </c>
      <c r="N24" s="189">
        <v>2420</v>
      </c>
      <c r="O24" s="189">
        <v>3529.38</v>
      </c>
      <c r="P24" s="189">
        <v>0</v>
      </c>
      <c r="Q24" s="189">
        <v>0</v>
      </c>
      <c r="R24" s="189">
        <v>0</v>
      </c>
      <c r="S24" s="189">
        <v>0</v>
      </c>
      <c r="T24" s="189">
        <v>5949.38</v>
      </c>
    </row>
    <row r="25" spans="1:20">
      <c r="A25" s="13">
        <v>21</v>
      </c>
      <c r="B25" s="199" t="s">
        <v>221</v>
      </c>
      <c r="C25" s="200"/>
      <c r="D25" s="192">
        <v>0</v>
      </c>
      <c r="E25" s="192">
        <v>0</v>
      </c>
      <c r="F25" s="193">
        <v>177</v>
      </c>
      <c r="G25" s="188">
        <v>0</v>
      </c>
      <c r="H25" s="188">
        <v>0</v>
      </c>
      <c r="I25" s="11">
        <v>0</v>
      </c>
      <c r="J25" s="11">
        <v>0</v>
      </c>
      <c r="K25" s="11">
        <v>0</v>
      </c>
      <c r="L25" s="189">
        <v>0</v>
      </c>
      <c r="M25" s="189">
        <v>0</v>
      </c>
      <c r="N25" s="189">
        <v>0</v>
      </c>
      <c r="O25" s="189">
        <v>3529.38</v>
      </c>
      <c r="P25" s="189">
        <v>0</v>
      </c>
      <c r="Q25" s="189">
        <v>0</v>
      </c>
      <c r="R25" s="189">
        <v>0</v>
      </c>
      <c r="S25" s="189">
        <v>0</v>
      </c>
      <c r="T25" s="189">
        <v>3529.38</v>
      </c>
    </row>
    <row r="26" spans="1:20">
      <c r="A26" s="13">
        <v>22</v>
      </c>
      <c r="B26" s="199" t="s">
        <v>222</v>
      </c>
      <c r="C26" s="200"/>
      <c r="D26" s="192">
        <v>0</v>
      </c>
      <c r="E26" s="192">
        <v>0</v>
      </c>
      <c r="F26" s="193">
        <v>177</v>
      </c>
      <c r="G26" s="188">
        <v>0</v>
      </c>
      <c r="H26" s="188">
        <v>0</v>
      </c>
      <c r="I26" s="11">
        <v>0</v>
      </c>
      <c r="J26" s="11">
        <v>0</v>
      </c>
      <c r="K26" s="11">
        <v>0</v>
      </c>
      <c r="L26" s="189">
        <v>0</v>
      </c>
      <c r="M26" s="189">
        <v>0</v>
      </c>
      <c r="N26" s="189">
        <v>0</v>
      </c>
      <c r="O26" s="189">
        <v>3529.38</v>
      </c>
      <c r="P26" s="189">
        <v>0</v>
      </c>
      <c r="Q26" s="189">
        <v>0</v>
      </c>
      <c r="R26" s="189">
        <v>0</v>
      </c>
      <c r="S26" s="189">
        <v>0</v>
      </c>
      <c r="T26" s="189">
        <v>3529.38</v>
      </c>
    </row>
    <row r="27" spans="1:20">
      <c r="A27" s="13">
        <v>23</v>
      </c>
      <c r="B27" s="199" t="s">
        <v>223</v>
      </c>
      <c r="C27" s="200"/>
      <c r="D27" s="192">
        <v>0</v>
      </c>
      <c r="E27" s="192">
        <v>0</v>
      </c>
      <c r="F27" s="193">
        <v>177</v>
      </c>
      <c r="G27" s="188">
        <v>0</v>
      </c>
      <c r="H27" s="188">
        <v>0</v>
      </c>
      <c r="I27" s="11">
        <v>0</v>
      </c>
      <c r="J27" s="11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3529.38</v>
      </c>
      <c r="P27" s="189">
        <v>0</v>
      </c>
      <c r="Q27" s="189">
        <v>0</v>
      </c>
      <c r="R27" s="189">
        <v>0</v>
      </c>
      <c r="S27" s="189">
        <v>0</v>
      </c>
      <c r="T27" s="189">
        <v>3529.38</v>
      </c>
    </row>
    <row r="28" spans="1:20">
      <c r="A28" s="13">
        <v>24</v>
      </c>
      <c r="B28" s="199" t="s">
        <v>224</v>
      </c>
      <c r="C28" s="200"/>
      <c r="D28" s="192">
        <v>16</v>
      </c>
      <c r="E28" s="192">
        <v>0</v>
      </c>
      <c r="F28" s="193">
        <v>193</v>
      </c>
      <c r="G28" s="188">
        <v>0</v>
      </c>
      <c r="H28" s="188">
        <v>0</v>
      </c>
      <c r="I28" s="11">
        <v>0</v>
      </c>
      <c r="J28" s="11">
        <v>0</v>
      </c>
      <c r="K28" s="11">
        <v>0</v>
      </c>
      <c r="L28" s="189">
        <v>0</v>
      </c>
      <c r="M28" s="189">
        <v>2420</v>
      </c>
      <c r="N28" s="189">
        <v>0</v>
      </c>
      <c r="O28" s="189">
        <v>3848.42</v>
      </c>
      <c r="P28" s="189">
        <v>0</v>
      </c>
      <c r="Q28" s="189">
        <v>0</v>
      </c>
      <c r="R28" s="189">
        <v>0</v>
      </c>
      <c r="S28" s="189">
        <v>0</v>
      </c>
      <c r="T28" s="189">
        <v>6268.42</v>
      </c>
    </row>
    <row r="29" spans="1:20">
      <c r="A29" s="13">
        <v>25</v>
      </c>
      <c r="B29" s="199" t="s">
        <v>225</v>
      </c>
      <c r="C29" s="200"/>
      <c r="D29" s="192">
        <v>0</v>
      </c>
      <c r="E29" s="192">
        <v>0</v>
      </c>
      <c r="F29" s="193">
        <v>193</v>
      </c>
      <c r="G29" s="188">
        <v>0</v>
      </c>
      <c r="H29" s="188">
        <v>0</v>
      </c>
      <c r="I29" s="11">
        <v>0</v>
      </c>
      <c r="J29" s="11">
        <v>0</v>
      </c>
      <c r="K29" s="11">
        <v>0</v>
      </c>
      <c r="L29" s="189">
        <v>0</v>
      </c>
      <c r="M29" s="189">
        <v>0</v>
      </c>
      <c r="N29" s="189">
        <v>0</v>
      </c>
      <c r="O29" s="189">
        <v>3848.42</v>
      </c>
      <c r="P29" s="189">
        <v>0</v>
      </c>
      <c r="Q29" s="189">
        <v>0</v>
      </c>
      <c r="R29" s="189">
        <v>0</v>
      </c>
      <c r="S29" s="189">
        <v>0</v>
      </c>
      <c r="T29" s="189">
        <v>3848.42</v>
      </c>
    </row>
    <row r="30" spans="1:20">
      <c r="A30" s="13">
        <v>26</v>
      </c>
      <c r="B30" s="199" t="s">
        <v>226</v>
      </c>
      <c r="C30" s="200"/>
      <c r="D30" s="192">
        <v>0</v>
      </c>
      <c r="E30" s="192">
        <v>48</v>
      </c>
      <c r="F30" s="193">
        <v>145</v>
      </c>
      <c r="G30" s="188">
        <v>0</v>
      </c>
      <c r="H30" s="188">
        <v>0</v>
      </c>
      <c r="I30" s="11">
        <v>0</v>
      </c>
      <c r="J30" s="11">
        <v>0</v>
      </c>
      <c r="K30" s="11">
        <v>0</v>
      </c>
      <c r="L30" s="189">
        <v>0</v>
      </c>
      <c r="M30" s="189">
        <v>0</v>
      </c>
      <c r="N30" s="189">
        <v>7260</v>
      </c>
      <c r="O30" s="189">
        <v>2891.3</v>
      </c>
      <c r="P30" s="189">
        <v>0</v>
      </c>
      <c r="Q30" s="189">
        <v>0</v>
      </c>
      <c r="R30" s="189">
        <v>0</v>
      </c>
      <c r="S30" s="189">
        <v>0</v>
      </c>
      <c r="T30" s="189">
        <v>10151.299999999999</v>
      </c>
    </row>
    <row r="31" spans="1:20">
      <c r="A31" s="13">
        <v>27</v>
      </c>
      <c r="B31" s="199" t="s">
        <v>227</v>
      </c>
      <c r="C31" s="200"/>
      <c r="D31" s="192">
        <v>0</v>
      </c>
      <c r="E31" s="192">
        <v>32</v>
      </c>
      <c r="F31" s="193">
        <v>113</v>
      </c>
      <c r="G31" s="188">
        <v>0</v>
      </c>
      <c r="H31" s="188">
        <v>0</v>
      </c>
      <c r="I31" s="11">
        <v>0</v>
      </c>
      <c r="J31" s="11">
        <v>0</v>
      </c>
      <c r="K31" s="11">
        <v>0</v>
      </c>
      <c r="L31" s="189">
        <v>0</v>
      </c>
      <c r="M31" s="189">
        <v>0</v>
      </c>
      <c r="N31" s="189">
        <v>4840</v>
      </c>
      <c r="O31" s="189">
        <v>2253.2199999999998</v>
      </c>
      <c r="P31" s="189">
        <v>0</v>
      </c>
      <c r="Q31" s="189">
        <v>0</v>
      </c>
      <c r="R31" s="189">
        <v>0</v>
      </c>
      <c r="S31" s="189">
        <v>0</v>
      </c>
      <c r="T31" s="189">
        <v>7093.22</v>
      </c>
    </row>
    <row r="32" spans="1:20">
      <c r="A32" s="13">
        <v>28</v>
      </c>
      <c r="B32" s="199" t="s">
        <v>228</v>
      </c>
      <c r="C32" s="200"/>
      <c r="D32" s="192">
        <v>0</v>
      </c>
      <c r="E32" s="192">
        <v>0</v>
      </c>
      <c r="F32" s="193">
        <v>113</v>
      </c>
      <c r="G32" s="188">
        <v>0</v>
      </c>
      <c r="H32" s="188">
        <v>0</v>
      </c>
      <c r="I32" s="11">
        <v>0</v>
      </c>
      <c r="J32" s="11">
        <v>0</v>
      </c>
      <c r="K32" s="11">
        <v>0</v>
      </c>
      <c r="L32" s="189">
        <v>0</v>
      </c>
      <c r="M32" s="189">
        <v>0</v>
      </c>
      <c r="N32" s="189">
        <v>0</v>
      </c>
      <c r="O32" s="189">
        <v>2253.2199999999998</v>
      </c>
      <c r="P32" s="189">
        <v>0</v>
      </c>
      <c r="Q32" s="189">
        <v>0</v>
      </c>
      <c r="R32" s="189">
        <v>0</v>
      </c>
      <c r="S32" s="189">
        <v>0</v>
      </c>
      <c r="T32" s="189">
        <v>2253.2199999999998</v>
      </c>
    </row>
    <row r="33" spans="1:20">
      <c r="A33" s="13">
        <v>29</v>
      </c>
      <c r="B33" s="199"/>
      <c r="C33" s="200"/>
      <c r="D33" s="192">
        <v>0</v>
      </c>
      <c r="E33" s="192">
        <v>0</v>
      </c>
      <c r="F33" s="193">
        <v>0</v>
      </c>
      <c r="G33" s="188">
        <v>0</v>
      </c>
      <c r="H33" s="188">
        <v>0</v>
      </c>
      <c r="I33" s="11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2">
        <v>0</v>
      </c>
      <c r="E34" s="192">
        <v>0</v>
      </c>
      <c r="F34" s="193">
        <v>0</v>
      </c>
      <c r="G34" s="188">
        <v>0</v>
      </c>
      <c r="H34" s="188">
        <v>0</v>
      </c>
      <c r="I34" s="11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2">
        <v>0</v>
      </c>
      <c r="E35" s="192">
        <v>0</v>
      </c>
      <c r="F35" s="193">
        <v>0</v>
      </c>
      <c r="G35" s="188">
        <v>0</v>
      </c>
      <c r="H35" s="188">
        <v>0</v>
      </c>
      <c r="I35" s="11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20">
        <v>288</v>
      </c>
      <c r="E36" s="20">
        <v>352</v>
      </c>
      <c r="F36" s="20">
        <v>4104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190">
        <v>0</v>
      </c>
      <c r="M36" s="190">
        <v>43560</v>
      </c>
      <c r="N36" s="190">
        <v>53240</v>
      </c>
      <c r="O36" s="190">
        <v>81833.759999999995</v>
      </c>
      <c r="P36" s="190">
        <v>0</v>
      </c>
      <c r="Q36" s="190">
        <v>0</v>
      </c>
      <c r="R36" s="190">
        <v>0</v>
      </c>
      <c r="S36" s="190">
        <v>0</v>
      </c>
      <c r="T36" s="190">
        <v>178633.76</v>
      </c>
    </row>
    <row r="37" spans="1:20">
      <c r="R37" s="22"/>
      <c r="S37" s="22"/>
      <c r="T37" s="191">
        <v>217933.19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4E7B-59A3-4131-9D9D-2A5B0229E08A}">
  <sheetPr codeName="Лист26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231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148</v>
      </c>
      <c r="E3" s="202" t="s">
        <v>149</v>
      </c>
      <c r="F3" s="4" t="s">
        <v>4</v>
      </c>
      <c r="G3" s="202" t="s">
        <v>232</v>
      </c>
      <c r="H3" s="202" t="s">
        <v>233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30">
      <c r="A4" s="203"/>
      <c r="B4" s="206"/>
      <c r="C4" s="207"/>
      <c r="D4" s="203"/>
      <c r="E4" s="203"/>
      <c r="F4" s="5" t="s">
        <v>158</v>
      </c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234</v>
      </c>
      <c r="C5" s="200"/>
      <c r="D5" s="192">
        <v>0</v>
      </c>
      <c r="E5" s="192">
        <v>0</v>
      </c>
      <c r="F5" s="193">
        <v>14</v>
      </c>
      <c r="G5" s="188">
        <v>0</v>
      </c>
      <c r="H5" s="188">
        <v>0</v>
      </c>
      <c r="I5" s="11">
        <v>0</v>
      </c>
      <c r="J5" s="11">
        <v>0</v>
      </c>
      <c r="K5" s="11"/>
      <c r="L5" s="189">
        <v>0</v>
      </c>
      <c r="M5" s="189">
        <v>0</v>
      </c>
      <c r="N5" s="189">
        <v>0</v>
      </c>
      <c r="O5" s="189">
        <v>279.16000000000003</v>
      </c>
      <c r="P5" s="189">
        <v>0</v>
      </c>
      <c r="Q5" s="189">
        <v>0</v>
      </c>
      <c r="R5" s="189">
        <v>0</v>
      </c>
      <c r="S5" s="189">
        <v>0</v>
      </c>
      <c r="T5" s="189">
        <v>279.16000000000003</v>
      </c>
    </row>
    <row r="6" spans="1:20">
      <c r="A6" s="13">
        <v>2</v>
      </c>
      <c r="B6" s="199" t="s">
        <v>235</v>
      </c>
      <c r="C6" s="200"/>
      <c r="D6" s="192">
        <v>0</v>
      </c>
      <c r="E6" s="192">
        <v>0</v>
      </c>
      <c r="F6" s="193">
        <v>14</v>
      </c>
      <c r="G6" s="188">
        <v>0</v>
      </c>
      <c r="H6" s="188">
        <v>0</v>
      </c>
      <c r="I6" s="11">
        <v>0</v>
      </c>
      <c r="J6" s="11">
        <v>0</v>
      </c>
      <c r="K6" s="11"/>
      <c r="L6" s="189">
        <v>0</v>
      </c>
      <c r="M6" s="189">
        <v>0</v>
      </c>
      <c r="N6" s="189">
        <v>0</v>
      </c>
      <c r="O6" s="189">
        <v>279.16000000000003</v>
      </c>
      <c r="P6" s="189">
        <v>0</v>
      </c>
      <c r="Q6" s="189">
        <v>0</v>
      </c>
      <c r="R6" s="189">
        <v>0</v>
      </c>
      <c r="S6" s="189">
        <v>0</v>
      </c>
      <c r="T6" s="189">
        <v>279.16000000000003</v>
      </c>
    </row>
    <row r="7" spans="1:20">
      <c r="A7" s="13">
        <v>3</v>
      </c>
      <c r="B7" s="199" t="s">
        <v>236</v>
      </c>
      <c r="C7" s="200"/>
      <c r="D7" s="192">
        <v>0</v>
      </c>
      <c r="E7" s="192">
        <v>0</v>
      </c>
      <c r="F7" s="193">
        <v>14</v>
      </c>
      <c r="G7" s="188">
        <v>0</v>
      </c>
      <c r="H7" s="188">
        <v>0</v>
      </c>
      <c r="I7" s="11">
        <v>0</v>
      </c>
      <c r="J7" s="11">
        <v>0</v>
      </c>
      <c r="K7" s="11"/>
      <c r="L7" s="189">
        <v>0</v>
      </c>
      <c r="M7" s="189">
        <v>0</v>
      </c>
      <c r="N7" s="189">
        <v>0</v>
      </c>
      <c r="O7" s="189">
        <v>279.16000000000003</v>
      </c>
      <c r="P7" s="189">
        <v>0</v>
      </c>
      <c r="Q7" s="189">
        <v>0</v>
      </c>
      <c r="R7" s="189">
        <v>0</v>
      </c>
      <c r="S7" s="189">
        <v>0</v>
      </c>
      <c r="T7" s="189">
        <v>279.16000000000003</v>
      </c>
    </row>
    <row r="8" spans="1:20">
      <c r="A8" s="13">
        <v>4</v>
      </c>
      <c r="B8" s="199" t="s">
        <v>237</v>
      </c>
      <c r="C8" s="200"/>
      <c r="D8" s="192">
        <v>0</v>
      </c>
      <c r="E8" s="192">
        <v>0</v>
      </c>
      <c r="F8" s="193">
        <v>14</v>
      </c>
      <c r="G8" s="188">
        <v>0</v>
      </c>
      <c r="H8" s="188">
        <v>0</v>
      </c>
      <c r="I8" s="11">
        <v>0</v>
      </c>
      <c r="J8" s="11">
        <v>0</v>
      </c>
      <c r="K8" s="11"/>
      <c r="L8" s="189">
        <v>0</v>
      </c>
      <c r="M8" s="189">
        <v>0</v>
      </c>
      <c r="N8" s="189">
        <v>0</v>
      </c>
      <c r="O8" s="189">
        <v>279.16000000000003</v>
      </c>
      <c r="P8" s="189">
        <v>0</v>
      </c>
      <c r="Q8" s="189">
        <v>0</v>
      </c>
      <c r="R8" s="189">
        <v>0</v>
      </c>
      <c r="S8" s="189">
        <v>0</v>
      </c>
      <c r="T8" s="189">
        <v>279.16000000000003</v>
      </c>
    </row>
    <row r="9" spans="1:20">
      <c r="A9" s="13">
        <v>5</v>
      </c>
      <c r="B9" s="199" t="s">
        <v>238</v>
      </c>
      <c r="C9" s="200"/>
      <c r="D9" s="192">
        <v>0</v>
      </c>
      <c r="E9" s="192">
        <v>14</v>
      </c>
      <c r="F9" s="193">
        <v>0</v>
      </c>
      <c r="G9" s="188">
        <v>0</v>
      </c>
      <c r="H9" s="188">
        <v>0</v>
      </c>
      <c r="I9" s="11">
        <v>0</v>
      </c>
      <c r="J9" s="11">
        <v>0</v>
      </c>
      <c r="K9" s="11"/>
      <c r="L9" s="189">
        <v>0</v>
      </c>
      <c r="M9" s="189">
        <v>0</v>
      </c>
      <c r="N9" s="189">
        <v>2117.5</v>
      </c>
      <c r="O9" s="189">
        <v>0</v>
      </c>
      <c r="P9" s="189">
        <v>0</v>
      </c>
      <c r="Q9" s="189">
        <v>0</v>
      </c>
      <c r="R9" s="189">
        <v>0</v>
      </c>
      <c r="S9" s="189">
        <v>0</v>
      </c>
      <c r="T9" s="189">
        <v>2117.5</v>
      </c>
    </row>
    <row r="10" spans="1:20">
      <c r="A10" s="13">
        <v>6</v>
      </c>
      <c r="B10" s="199" t="s">
        <v>239</v>
      </c>
      <c r="C10" s="200"/>
      <c r="D10" s="192">
        <v>0</v>
      </c>
      <c r="E10" s="192">
        <v>0</v>
      </c>
      <c r="F10" s="193">
        <v>0</v>
      </c>
      <c r="G10" s="188">
        <v>0</v>
      </c>
      <c r="H10" s="188">
        <v>0</v>
      </c>
      <c r="I10" s="11">
        <v>0</v>
      </c>
      <c r="J10" s="11">
        <v>0</v>
      </c>
      <c r="K10" s="11"/>
      <c r="L10" s="189">
        <v>0</v>
      </c>
      <c r="M10" s="189">
        <v>0</v>
      </c>
      <c r="N10" s="189">
        <v>0</v>
      </c>
      <c r="O10" s="189">
        <v>0</v>
      </c>
      <c r="P10" s="189">
        <v>0</v>
      </c>
      <c r="Q10" s="189">
        <v>0</v>
      </c>
      <c r="R10" s="189">
        <v>0</v>
      </c>
      <c r="S10" s="189">
        <v>0</v>
      </c>
      <c r="T10" s="189">
        <v>0</v>
      </c>
    </row>
    <row r="11" spans="1:20">
      <c r="A11" s="13">
        <v>7</v>
      </c>
      <c r="B11" s="199" t="s">
        <v>240</v>
      </c>
      <c r="C11" s="200"/>
      <c r="D11" s="192">
        <v>0</v>
      </c>
      <c r="E11" s="192">
        <v>0</v>
      </c>
      <c r="F11" s="193">
        <v>0</v>
      </c>
      <c r="G11" s="188">
        <v>0</v>
      </c>
      <c r="H11" s="188">
        <v>0</v>
      </c>
      <c r="I11" s="11">
        <v>0</v>
      </c>
      <c r="J11" s="11">
        <v>0</v>
      </c>
      <c r="K11" s="11"/>
      <c r="L11" s="189">
        <v>0</v>
      </c>
      <c r="M11" s="189">
        <v>0</v>
      </c>
      <c r="N11" s="189">
        <v>0</v>
      </c>
      <c r="O11" s="189">
        <v>0</v>
      </c>
      <c r="P11" s="189">
        <v>0</v>
      </c>
      <c r="Q11" s="189">
        <v>0</v>
      </c>
      <c r="R11" s="189">
        <v>0</v>
      </c>
      <c r="S11" s="189">
        <v>0</v>
      </c>
      <c r="T11" s="189">
        <v>0</v>
      </c>
    </row>
    <row r="12" spans="1:20">
      <c r="A12" s="13">
        <v>8</v>
      </c>
      <c r="B12" s="199" t="s">
        <v>241</v>
      </c>
      <c r="C12" s="200"/>
      <c r="D12" s="192">
        <v>0</v>
      </c>
      <c r="E12" s="192">
        <v>0</v>
      </c>
      <c r="F12" s="193">
        <v>0</v>
      </c>
      <c r="G12" s="188">
        <v>0</v>
      </c>
      <c r="H12" s="188">
        <v>0</v>
      </c>
      <c r="I12" s="11">
        <v>0</v>
      </c>
      <c r="J12" s="11">
        <v>0</v>
      </c>
      <c r="K12" s="11"/>
      <c r="L12" s="189">
        <v>0</v>
      </c>
      <c r="M12" s="189">
        <v>0</v>
      </c>
      <c r="N12" s="189">
        <v>0</v>
      </c>
      <c r="O12" s="189">
        <v>0</v>
      </c>
      <c r="P12" s="189">
        <v>0</v>
      </c>
      <c r="Q12" s="189">
        <v>0</v>
      </c>
      <c r="R12" s="189">
        <v>0</v>
      </c>
      <c r="S12" s="189">
        <v>0</v>
      </c>
      <c r="T12" s="189">
        <v>0</v>
      </c>
    </row>
    <row r="13" spans="1:20">
      <c r="A13" s="13">
        <v>9</v>
      </c>
      <c r="B13" s="199" t="s">
        <v>242</v>
      </c>
      <c r="C13" s="200"/>
      <c r="D13" s="192">
        <v>0</v>
      </c>
      <c r="E13" s="192">
        <v>0</v>
      </c>
      <c r="F13" s="193">
        <v>0</v>
      </c>
      <c r="G13" s="188">
        <v>0</v>
      </c>
      <c r="H13" s="188">
        <v>0</v>
      </c>
      <c r="I13" s="11">
        <v>0</v>
      </c>
      <c r="J13" s="11">
        <v>0</v>
      </c>
      <c r="K13" s="11"/>
      <c r="L13" s="189">
        <v>0</v>
      </c>
      <c r="M13" s="189">
        <v>0</v>
      </c>
      <c r="N13" s="189">
        <v>0</v>
      </c>
      <c r="O13" s="189">
        <v>0</v>
      </c>
      <c r="P13" s="189">
        <v>0</v>
      </c>
      <c r="Q13" s="189">
        <v>0</v>
      </c>
      <c r="R13" s="189">
        <v>0</v>
      </c>
      <c r="S13" s="189">
        <v>0</v>
      </c>
      <c r="T13" s="189">
        <v>0</v>
      </c>
    </row>
    <row r="14" spans="1:20">
      <c r="A14" s="13">
        <v>10</v>
      </c>
      <c r="B14" s="199" t="s">
        <v>243</v>
      </c>
      <c r="C14" s="200"/>
      <c r="D14" s="192">
        <v>0</v>
      </c>
      <c r="E14" s="192">
        <v>0</v>
      </c>
      <c r="F14" s="193">
        <v>0</v>
      </c>
      <c r="G14" s="188">
        <v>0</v>
      </c>
      <c r="H14" s="188">
        <v>0</v>
      </c>
      <c r="I14" s="11">
        <v>0</v>
      </c>
      <c r="J14" s="11">
        <v>0</v>
      </c>
      <c r="K14" s="11"/>
      <c r="L14" s="189">
        <v>0</v>
      </c>
      <c r="M14" s="189">
        <v>0</v>
      </c>
      <c r="N14" s="189">
        <v>0</v>
      </c>
      <c r="O14" s="189">
        <v>0</v>
      </c>
      <c r="P14" s="189">
        <v>0</v>
      </c>
      <c r="Q14" s="189">
        <v>0</v>
      </c>
      <c r="R14" s="189">
        <v>0</v>
      </c>
      <c r="S14" s="189">
        <v>0</v>
      </c>
      <c r="T14" s="189">
        <v>0</v>
      </c>
    </row>
    <row r="15" spans="1:20">
      <c r="A15" s="13">
        <v>11</v>
      </c>
      <c r="B15" s="199" t="s">
        <v>244</v>
      </c>
      <c r="C15" s="200"/>
      <c r="D15" s="192">
        <v>15</v>
      </c>
      <c r="E15" s="192">
        <v>0</v>
      </c>
      <c r="F15" s="193">
        <v>15</v>
      </c>
      <c r="G15" s="188">
        <v>0</v>
      </c>
      <c r="H15" s="188">
        <v>0</v>
      </c>
      <c r="I15" s="11">
        <v>0</v>
      </c>
      <c r="J15" s="11">
        <v>0</v>
      </c>
      <c r="K15" s="11"/>
      <c r="L15" s="189">
        <v>0</v>
      </c>
      <c r="M15" s="189">
        <v>2268.75</v>
      </c>
      <c r="N15" s="189">
        <v>0</v>
      </c>
      <c r="O15" s="189">
        <v>299.10000000000002</v>
      </c>
      <c r="P15" s="189">
        <v>0</v>
      </c>
      <c r="Q15" s="189">
        <v>0</v>
      </c>
      <c r="R15" s="189">
        <v>0</v>
      </c>
      <c r="S15" s="189">
        <v>0</v>
      </c>
      <c r="T15" s="189">
        <v>2567.85</v>
      </c>
    </row>
    <row r="16" spans="1:20">
      <c r="A16" s="13">
        <v>12</v>
      </c>
      <c r="B16" s="199" t="s">
        <v>245</v>
      </c>
      <c r="C16" s="200"/>
      <c r="D16" s="192">
        <v>30</v>
      </c>
      <c r="E16" s="192">
        <v>0</v>
      </c>
      <c r="F16" s="193">
        <v>45</v>
      </c>
      <c r="G16" s="188">
        <v>0</v>
      </c>
      <c r="H16" s="188">
        <v>0</v>
      </c>
      <c r="I16" s="11">
        <v>0</v>
      </c>
      <c r="J16" s="11">
        <v>0</v>
      </c>
      <c r="K16" s="11"/>
      <c r="L16" s="189">
        <v>0</v>
      </c>
      <c r="M16" s="189">
        <v>4537.5</v>
      </c>
      <c r="N16" s="189">
        <v>0</v>
      </c>
      <c r="O16" s="189">
        <v>897.3</v>
      </c>
      <c r="P16" s="189">
        <v>0</v>
      </c>
      <c r="Q16" s="189">
        <v>0</v>
      </c>
      <c r="R16" s="189">
        <v>0</v>
      </c>
      <c r="S16" s="189">
        <v>0</v>
      </c>
      <c r="T16" s="189">
        <v>5434.8</v>
      </c>
    </row>
    <row r="17" spans="1:20">
      <c r="A17" s="13">
        <v>13</v>
      </c>
      <c r="B17" s="199" t="s">
        <v>246</v>
      </c>
      <c r="C17" s="200"/>
      <c r="D17" s="192">
        <v>15</v>
      </c>
      <c r="E17" s="192">
        <v>0</v>
      </c>
      <c r="F17" s="193">
        <v>60</v>
      </c>
      <c r="G17" s="188">
        <v>0</v>
      </c>
      <c r="H17" s="188">
        <v>0</v>
      </c>
      <c r="I17" s="11">
        <v>0</v>
      </c>
      <c r="J17" s="11">
        <v>0</v>
      </c>
      <c r="K17" s="11"/>
      <c r="L17" s="189">
        <v>0</v>
      </c>
      <c r="M17" s="189">
        <v>2268.75</v>
      </c>
      <c r="N17" s="189">
        <v>0</v>
      </c>
      <c r="O17" s="189">
        <v>1196.4000000000001</v>
      </c>
      <c r="P17" s="189">
        <v>0</v>
      </c>
      <c r="Q17" s="189">
        <v>0</v>
      </c>
      <c r="R17" s="189">
        <v>0</v>
      </c>
      <c r="S17" s="189">
        <v>0</v>
      </c>
      <c r="T17" s="189">
        <v>3465.15</v>
      </c>
    </row>
    <row r="18" spans="1:20">
      <c r="A18" s="13">
        <v>14</v>
      </c>
      <c r="B18" s="199" t="s">
        <v>247</v>
      </c>
      <c r="C18" s="200"/>
      <c r="D18" s="192">
        <v>0</v>
      </c>
      <c r="E18" s="192">
        <v>0</v>
      </c>
      <c r="F18" s="193">
        <v>60</v>
      </c>
      <c r="G18" s="188">
        <v>0</v>
      </c>
      <c r="H18" s="188">
        <v>0</v>
      </c>
      <c r="I18" s="11">
        <v>0</v>
      </c>
      <c r="J18" s="11">
        <v>0</v>
      </c>
      <c r="K18" s="11"/>
      <c r="L18" s="189">
        <v>0</v>
      </c>
      <c r="M18" s="189">
        <v>0</v>
      </c>
      <c r="N18" s="189">
        <v>0</v>
      </c>
      <c r="O18" s="189">
        <v>1196.4000000000001</v>
      </c>
      <c r="P18" s="189">
        <v>0</v>
      </c>
      <c r="Q18" s="189">
        <v>0</v>
      </c>
      <c r="R18" s="189">
        <v>0</v>
      </c>
      <c r="S18" s="189">
        <v>0</v>
      </c>
      <c r="T18" s="189">
        <v>1196.4000000000001</v>
      </c>
    </row>
    <row r="19" spans="1:20">
      <c r="A19" s="13">
        <v>15</v>
      </c>
      <c r="B19" s="199" t="s">
        <v>248</v>
      </c>
      <c r="C19" s="200"/>
      <c r="D19" s="192">
        <v>0</v>
      </c>
      <c r="E19" s="192">
        <v>0</v>
      </c>
      <c r="F19" s="193">
        <v>60</v>
      </c>
      <c r="G19" s="188">
        <v>0</v>
      </c>
      <c r="H19" s="188">
        <v>0</v>
      </c>
      <c r="I19" s="11">
        <v>0</v>
      </c>
      <c r="J19" s="11">
        <v>0</v>
      </c>
      <c r="K19" s="11"/>
      <c r="L19" s="189">
        <v>0</v>
      </c>
      <c r="M19" s="189">
        <v>0</v>
      </c>
      <c r="N19" s="189">
        <v>0</v>
      </c>
      <c r="O19" s="189">
        <v>1196.4000000000001</v>
      </c>
      <c r="P19" s="189">
        <v>0</v>
      </c>
      <c r="Q19" s="189">
        <v>0</v>
      </c>
      <c r="R19" s="189">
        <v>0</v>
      </c>
      <c r="S19" s="189">
        <v>0</v>
      </c>
      <c r="T19" s="189">
        <v>1196.4000000000001</v>
      </c>
    </row>
    <row r="20" spans="1:20">
      <c r="A20" s="13">
        <v>16</v>
      </c>
      <c r="B20" s="199" t="s">
        <v>249</v>
      </c>
      <c r="C20" s="200"/>
      <c r="D20" s="192">
        <v>0</v>
      </c>
      <c r="E20" s="192">
        <v>0</v>
      </c>
      <c r="F20" s="193">
        <v>60</v>
      </c>
      <c r="G20" s="188">
        <v>0</v>
      </c>
      <c r="H20" s="188">
        <v>0</v>
      </c>
      <c r="I20" s="11">
        <v>0</v>
      </c>
      <c r="J20" s="11">
        <v>0</v>
      </c>
      <c r="K20" s="11"/>
      <c r="L20" s="189">
        <v>0</v>
      </c>
      <c r="M20" s="189">
        <v>0</v>
      </c>
      <c r="N20" s="189">
        <v>0</v>
      </c>
      <c r="O20" s="189">
        <v>1196.4000000000001</v>
      </c>
      <c r="P20" s="189">
        <v>0</v>
      </c>
      <c r="Q20" s="189">
        <v>0</v>
      </c>
      <c r="R20" s="189">
        <v>0</v>
      </c>
      <c r="S20" s="189">
        <v>0</v>
      </c>
      <c r="T20" s="189">
        <v>1196.4000000000001</v>
      </c>
    </row>
    <row r="21" spans="1:20">
      <c r="A21" s="13">
        <v>17</v>
      </c>
      <c r="B21" s="199" t="s">
        <v>250</v>
      </c>
      <c r="C21" s="200"/>
      <c r="D21" s="192">
        <v>15</v>
      </c>
      <c r="E21" s="192">
        <v>0</v>
      </c>
      <c r="F21" s="193">
        <v>75</v>
      </c>
      <c r="G21" s="188">
        <v>0</v>
      </c>
      <c r="H21" s="188">
        <v>0</v>
      </c>
      <c r="I21" s="11">
        <v>0</v>
      </c>
      <c r="J21" s="11">
        <v>0</v>
      </c>
      <c r="K21" s="11"/>
      <c r="L21" s="189">
        <v>0</v>
      </c>
      <c r="M21" s="189">
        <v>2268.75</v>
      </c>
      <c r="N21" s="189">
        <v>0</v>
      </c>
      <c r="O21" s="189">
        <v>1495.5</v>
      </c>
      <c r="P21" s="189">
        <v>0</v>
      </c>
      <c r="Q21" s="189">
        <v>0</v>
      </c>
      <c r="R21" s="189">
        <v>0</v>
      </c>
      <c r="S21" s="189">
        <v>0</v>
      </c>
      <c r="T21" s="189">
        <v>3764.25</v>
      </c>
    </row>
    <row r="22" spans="1:20">
      <c r="A22" s="13">
        <v>18</v>
      </c>
      <c r="B22" s="199" t="s">
        <v>251</v>
      </c>
      <c r="C22" s="200"/>
      <c r="D22" s="192">
        <v>15</v>
      </c>
      <c r="E22" s="192">
        <v>0</v>
      </c>
      <c r="F22" s="193">
        <v>90</v>
      </c>
      <c r="G22" s="188">
        <v>0</v>
      </c>
      <c r="H22" s="188">
        <v>0</v>
      </c>
      <c r="I22" s="11">
        <v>0</v>
      </c>
      <c r="J22" s="11">
        <v>0</v>
      </c>
      <c r="K22" s="11"/>
      <c r="L22" s="189">
        <v>0</v>
      </c>
      <c r="M22" s="189">
        <v>2268.75</v>
      </c>
      <c r="N22" s="189">
        <v>0</v>
      </c>
      <c r="O22" s="189">
        <v>1794.6</v>
      </c>
      <c r="P22" s="189">
        <v>0</v>
      </c>
      <c r="Q22" s="189">
        <v>0</v>
      </c>
      <c r="R22" s="189">
        <v>0</v>
      </c>
      <c r="S22" s="189">
        <v>0</v>
      </c>
      <c r="T22" s="189">
        <v>4063.35</v>
      </c>
    </row>
    <row r="23" spans="1:20">
      <c r="A23" s="13">
        <v>19</v>
      </c>
      <c r="B23" s="199" t="s">
        <v>252</v>
      </c>
      <c r="C23" s="200"/>
      <c r="D23" s="192">
        <v>0</v>
      </c>
      <c r="E23" s="192">
        <v>0</v>
      </c>
      <c r="F23" s="193">
        <v>90</v>
      </c>
      <c r="G23" s="188">
        <v>0</v>
      </c>
      <c r="H23" s="188">
        <v>0</v>
      </c>
      <c r="I23" s="11">
        <v>0</v>
      </c>
      <c r="J23" s="11">
        <v>0</v>
      </c>
      <c r="K23" s="11"/>
      <c r="L23" s="189">
        <v>0</v>
      </c>
      <c r="M23" s="189">
        <v>0</v>
      </c>
      <c r="N23" s="189">
        <v>0</v>
      </c>
      <c r="O23" s="189">
        <v>1794.6</v>
      </c>
      <c r="P23" s="189">
        <v>0</v>
      </c>
      <c r="Q23" s="189">
        <v>0</v>
      </c>
      <c r="R23" s="189">
        <v>0</v>
      </c>
      <c r="S23" s="189">
        <v>0</v>
      </c>
      <c r="T23" s="189">
        <v>1794.6</v>
      </c>
    </row>
    <row r="24" spans="1:20">
      <c r="A24" s="13">
        <v>20</v>
      </c>
      <c r="B24" s="199" t="s">
        <v>253</v>
      </c>
      <c r="C24" s="200"/>
      <c r="D24" s="192">
        <v>0</v>
      </c>
      <c r="E24" s="192">
        <v>0</v>
      </c>
      <c r="F24" s="193">
        <v>90</v>
      </c>
      <c r="G24" s="188">
        <v>0</v>
      </c>
      <c r="H24" s="188">
        <v>0</v>
      </c>
      <c r="I24" s="11">
        <v>0</v>
      </c>
      <c r="J24" s="11">
        <v>0</v>
      </c>
      <c r="K24" s="11"/>
      <c r="L24" s="189">
        <v>0</v>
      </c>
      <c r="M24" s="189">
        <v>0</v>
      </c>
      <c r="N24" s="189">
        <v>0</v>
      </c>
      <c r="O24" s="189">
        <v>1794.6</v>
      </c>
      <c r="P24" s="189">
        <v>0</v>
      </c>
      <c r="Q24" s="189">
        <v>0</v>
      </c>
      <c r="R24" s="189">
        <v>0</v>
      </c>
      <c r="S24" s="189">
        <v>0</v>
      </c>
      <c r="T24" s="189">
        <v>1794.6</v>
      </c>
    </row>
    <row r="25" spans="1:20">
      <c r="A25" s="13">
        <v>21</v>
      </c>
      <c r="B25" s="199" t="s">
        <v>254</v>
      </c>
      <c r="C25" s="200"/>
      <c r="D25" s="192">
        <v>0</v>
      </c>
      <c r="E25" s="192">
        <v>0</v>
      </c>
      <c r="F25" s="193">
        <v>90</v>
      </c>
      <c r="G25" s="188">
        <v>0</v>
      </c>
      <c r="H25" s="188">
        <v>0</v>
      </c>
      <c r="I25" s="11">
        <v>0</v>
      </c>
      <c r="J25" s="11">
        <v>0</v>
      </c>
      <c r="K25" s="11"/>
      <c r="L25" s="189">
        <v>0</v>
      </c>
      <c r="M25" s="189">
        <v>0</v>
      </c>
      <c r="N25" s="189">
        <v>0</v>
      </c>
      <c r="O25" s="189">
        <v>1794.6</v>
      </c>
      <c r="P25" s="189">
        <v>0</v>
      </c>
      <c r="Q25" s="189">
        <v>0</v>
      </c>
      <c r="R25" s="189">
        <v>0</v>
      </c>
      <c r="S25" s="189">
        <v>0</v>
      </c>
      <c r="T25" s="189">
        <v>1794.6</v>
      </c>
    </row>
    <row r="26" spans="1:20">
      <c r="A26" s="13">
        <v>22</v>
      </c>
      <c r="B26" s="199" t="s">
        <v>255</v>
      </c>
      <c r="C26" s="200"/>
      <c r="D26" s="192">
        <v>0</v>
      </c>
      <c r="E26" s="192">
        <v>0</v>
      </c>
      <c r="F26" s="193">
        <v>90</v>
      </c>
      <c r="G26" s="188">
        <v>0</v>
      </c>
      <c r="H26" s="188">
        <v>0</v>
      </c>
      <c r="I26" s="11">
        <v>0</v>
      </c>
      <c r="J26" s="11">
        <v>0</v>
      </c>
      <c r="K26" s="11"/>
      <c r="L26" s="189">
        <v>0</v>
      </c>
      <c r="M26" s="189">
        <v>0</v>
      </c>
      <c r="N26" s="189">
        <v>0</v>
      </c>
      <c r="O26" s="189">
        <v>1794.6</v>
      </c>
      <c r="P26" s="189">
        <v>0</v>
      </c>
      <c r="Q26" s="189">
        <v>0</v>
      </c>
      <c r="R26" s="189">
        <v>0</v>
      </c>
      <c r="S26" s="189">
        <v>0</v>
      </c>
      <c r="T26" s="189">
        <v>1794.6</v>
      </c>
    </row>
    <row r="27" spans="1:20">
      <c r="A27" s="13">
        <v>23</v>
      </c>
      <c r="B27" s="199" t="s">
        <v>256</v>
      </c>
      <c r="C27" s="200"/>
      <c r="D27" s="192">
        <v>0</v>
      </c>
      <c r="E27" s="192">
        <v>0</v>
      </c>
      <c r="F27" s="193">
        <v>90</v>
      </c>
      <c r="G27" s="188">
        <v>0</v>
      </c>
      <c r="H27" s="188">
        <v>0</v>
      </c>
      <c r="I27" s="11">
        <v>0</v>
      </c>
      <c r="J27" s="11">
        <v>0</v>
      </c>
      <c r="K27" s="11"/>
      <c r="L27" s="189">
        <v>0</v>
      </c>
      <c r="M27" s="189">
        <v>0</v>
      </c>
      <c r="N27" s="189">
        <v>0</v>
      </c>
      <c r="O27" s="189">
        <v>1794.6</v>
      </c>
      <c r="P27" s="189">
        <v>0</v>
      </c>
      <c r="Q27" s="189">
        <v>0</v>
      </c>
      <c r="R27" s="189">
        <v>0</v>
      </c>
      <c r="S27" s="189">
        <v>0</v>
      </c>
      <c r="T27" s="189">
        <v>1794.6</v>
      </c>
    </row>
    <row r="28" spans="1:20">
      <c r="A28" s="13">
        <v>24</v>
      </c>
      <c r="B28" s="199" t="s">
        <v>257</v>
      </c>
      <c r="C28" s="200"/>
      <c r="D28" s="192">
        <v>0</v>
      </c>
      <c r="E28" s="192">
        <v>45</v>
      </c>
      <c r="F28" s="193">
        <v>45</v>
      </c>
      <c r="G28" s="188">
        <v>0</v>
      </c>
      <c r="H28" s="188">
        <v>0</v>
      </c>
      <c r="I28" s="11">
        <v>0</v>
      </c>
      <c r="J28" s="11">
        <v>0</v>
      </c>
      <c r="K28" s="11"/>
      <c r="L28" s="189">
        <v>0</v>
      </c>
      <c r="M28" s="189">
        <v>0</v>
      </c>
      <c r="N28" s="189">
        <v>6806.25</v>
      </c>
      <c r="O28" s="189">
        <v>897.3</v>
      </c>
      <c r="P28" s="189">
        <v>0</v>
      </c>
      <c r="Q28" s="189">
        <v>0</v>
      </c>
      <c r="R28" s="189">
        <v>0</v>
      </c>
      <c r="S28" s="189">
        <v>0</v>
      </c>
      <c r="T28" s="189">
        <v>7703.55</v>
      </c>
    </row>
    <row r="29" spans="1:20">
      <c r="A29" s="13">
        <v>25</v>
      </c>
      <c r="B29" s="199" t="s">
        <v>258</v>
      </c>
      <c r="C29" s="200"/>
      <c r="D29" s="192">
        <v>0</v>
      </c>
      <c r="E29" s="192">
        <v>0</v>
      </c>
      <c r="F29" s="193">
        <v>45</v>
      </c>
      <c r="G29" s="188">
        <v>0</v>
      </c>
      <c r="H29" s="188">
        <v>0</v>
      </c>
      <c r="I29" s="11">
        <v>0</v>
      </c>
      <c r="J29" s="11">
        <v>0</v>
      </c>
      <c r="K29" s="11"/>
      <c r="L29" s="189">
        <v>0</v>
      </c>
      <c r="M29" s="189">
        <v>0</v>
      </c>
      <c r="N29" s="189">
        <v>0</v>
      </c>
      <c r="O29" s="189">
        <v>897.3</v>
      </c>
      <c r="P29" s="189">
        <v>0</v>
      </c>
      <c r="Q29" s="189">
        <v>0</v>
      </c>
      <c r="R29" s="189">
        <v>0</v>
      </c>
      <c r="S29" s="189">
        <v>0</v>
      </c>
      <c r="T29" s="189">
        <v>897.3</v>
      </c>
    </row>
    <row r="30" spans="1:20">
      <c r="A30" s="13">
        <v>26</v>
      </c>
      <c r="B30" s="199" t="s">
        <v>259</v>
      </c>
      <c r="C30" s="200"/>
      <c r="D30" s="192">
        <v>15</v>
      </c>
      <c r="E30" s="192">
        <v>30</v>
      </c>
      <c r="F30" s="193">
        <v>30</v>
      </c>
      <c r="G30" s="188">
        <v>0</v>
      </c>
      <c r="H30" s="188">
        <v>0</v>
      </c>
      <c r="I30" s="11">
        <v>0</v>
      </c>
      <c r="J30" s="11">
        <v>0</v>
      </c>
      <c r="K30" s="11"/>
      <c r="L30" s="189">
        <v>0</v>
      </c>
      <c r="M30" s="189">
        <v>2268.75</v>
      </c>
      <c r="N30" s="189">
        <v>4537.5</v>
      </c>
      <c r="O30" s="189">
        <v>598.20000000000005</v>
      </c>
      <c r="P30" s="189">
        <v>0</v>
      </c>
      <c r="Q30" s="189">
        <v>0</v>
      </c>
      <c r="R30" s="189">
        <v>0</v>
      </c>
      <c r="S30" s="189">
        <v>0</v>
      </c>
      <c r="T30" s="189">
        <v>7404.45</v>
      </c>
    </row>
    <row r="31" spans="1:20">
      <c r="A31" s="13">
        <v>27</v>
      </c>
      <c r="B31" s="199" t="s">
        <v>260</v>
      </c>
      <c r="C31" s="200"/>
      <c r="D31" s="192">
        <v>15</v>
      </c>
      <c r="E31" s="192">
        <v>0</v>
      </c>
      <c r="F31" s="193">
        <v>45</v>
      </c>
      <c r="G31" s="188">
        <v>0</v>
      </c>
      <c r="H31" s="188">
        <v>0</v>
      </c>
      <c r="I31" s="11">
        <v>0</v>
      </c>
      <c r="J31" s="11">
        <v>0</v>
      </c>
      <c r="K31" s="11"/>
      <c r="L31" s="189">
        <v>0</v>
      </c>
      <c r="M31" s="189">
        <v>2268.75</v>
      </c>
      <c r="N31" s="189">
        <v>0</v>
      </c>
      <c r="O31" s="189">
        <v>897.3</v>
      </c>
      <c r="P31" s="189">
        <v>0</v>
      </c>
      <c r="Q31" s="189">
        <v>0</v>
      </c>
      <c r="R31" s="189">
        <v>0</v>
      </c>
      <c r="S31" s="189">
        <v>0</v>
      </c>
      <c r="T31" s="189">
        <v>3166.05</v>
      </c>
    </row>
    <row r="32" spans="1:20">
      <c r="A32" s="13">
        <v>28</v>
      </c>
      <c r="B32" s="199" t="s">
        <v>261</v>
      </c>
      <c r="C32" s="200"/>
      <c r="D32" s="192">
        <v>30</v>
      </c>
      <c r="E32" s="192">
        <v>0</v>
      </c>
      <c r="F32" s="193">
        <v>75</v>
      </c>
      <c r="G32" s="188">
        <v>0</v>
      </c>
      <c r="H32" s="188">
        <v>0</v>
      </c>
      <c r="I32" s="11">
        <v>0</v>
      </c>
      <c r="J32" s="11">
        <v>0</v>
      </c>
      <c r="K32" s="11"/>
      <c r="L32" s="189">
        <v>0</v>
      </c>
      <c r="M32" s="189">
        <v>4537.5</v>
      </c>
      <c r="N32" s="189">
        <v>0</v>
      </c>
      <c r="O32" s="189">
        <v>1495.5</v>
      </c>
      <c r="P32" s="189">
        <v>0</v>
      </c>
      <c r="Q32" s="189">
        <v>0</v>
      </c>
      <c r="R32" s="189">
        <v>0</v>
      </c>
      <c r="S32" s="189">
        <v>0</v>
      </c>
      <c r="T32" s="189">
        <v>6033</v>
      </c>
    </row>
    <row r="33" spans="1:20">
      <c r="A33" s="13">
        <v>29</v>
      </c>
      <c r="B33" s="199"/>
      <c r="C33" s="200"/>
      <c r="D33" s="192">
        <v>0</v>
      </c>
      <c r="E33" s="192">
        <v>0</v>
      </c>
      <c r="F33" s="193">
        <v>0</v>
      </c>
      <c r="G33" s="188">
        <v>0</v>
      </c>
      <c r="H33" s="188">
        <v>0</v>
      </c>
      <c r="I33" s="11">
        <v>0</v>
      </c>
      <c r="J33" s="11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2">
        <v>0</v>
      </c>
      <c r="E34" s="192">
        <v>0</v>
      </c>
      <c r="F34" s="193">
        <v>0</v>
      </c>
      <c r="G34" s="188">
        <v>0</v>
      </c>
      <c r="H34" s="188">
        <v>0</v>
      </c>
      <c r="I34" s="11">
        <v>0</v>
      </c>
      <c r="J34" s="11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2">
        <v>0</v>
      </c>
      <c r="E35" s="192">
        <v>0</v>
      </c>
      <c r="F35" s="193">
        <v>0</v>
      </c>
      <c r="G35" s="188">
        <v>0</v>
      </c>
      <c r="H35" s="188">
        <v>0</v>
      </c>
      <c r="I35" s="11">
        <v>0</v>
      </c>
      <c r="J35" s="11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20">
        <v>150</v>
      </c>
      <c r="E36" s="20">
        <v>89</v>
      </c>
      <c r="F36" s="20">
        <v>1211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190">
        <v>0</v>
      </c>
      <c r="M36" s="190">
        <v>22687.5</v>
      </c>
      <c r="N36" s="190">
        <v>13461.25</v>
      </c>
      <c r="O36" s="190">
        <v>24147.34</v>
      </c>
      <c r="P36" s="190">
        <v>0</v>
      </c>
      <c r="Q36" s="190">
        <v>0</v>
      </c>
      <c r="R36" s="190">
        <v>0</v>
      </c>
      <c r="S36" s="190">
        <v>0</v>
      </c>
      <c r="T36" s="190">
        <v>60296.09</v>
      </c>
    </row>
    <row r="37" spans="1:20">
      <c r="R37" s="22"/>
      <c r="S37" s="22"/>
      <c r="T37" s="191">
        <v>72355.31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43FE-C3AD-42F5-92D5-8C53A0F62A7A}">
  <sheetPr codeName="Лист27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262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148</v>
      </c>
      <c r="E3" s="202" t="s">
        <v>149</v>
      </c>
      <c r="F3" s="4" t="s">
        <v>4</v>
      </c>
      <c r="G3" s="202" t="s">
        <v>232</v>
      </c>
      <c r="H3" s="202" t="s">
        <v>233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30">
      <c r="A4" s="203"/>
      <c r="B4" s="206"/>
      <c r="C4" s="207"/>
      <c r="D4" s="203"/>
      <c r="E4" s="203"/>
      <c r="F4" s="5" t="s">
        <v>158</v>
      </c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234</v>
      </c>
      <c r="C5" s="200"/>
      <c r="D5" s="192">
        <v>0</v>
      </c>
      <c r="E5" s="192">
        <v>0</v>
      </c>
      <c r="F5" s="193">
        <v>1841</v>
      </c>
      <c r="G5" s="188">
        <v>5079</v>
      </c>
      <c r="H5" s="188">
        <v>600</v>
      </c>
      <c r="I5" s="11">
        <v>0</v>
      </c>
      <c r="J5" s="11">
        <v>0</v>
      </c>
      <c r="K5" s="11"/>
      <c r="L5" s="189">
        <v>0</v>
      </c>
      <c r="M5" s="189">
        <v>0</v>
      </c>
      <c r="N5" s="189">
        <v>0</v>
      </c>
      <c r="O5" s="189">
        <v>36709.54</v>
      </c>
      <c r="P5" s="189">
        <v>101275.26</v>
      </c>
      <c r="Q5" s="189">
        <v>90750</v>
      </c>
      <c r="R5" s="189">
        <v>0</v>
      </c>
      <c r="S5" s="189">
        <v>0</v>
      </c>
      <c r="T5" s="189">
        <v>228734.8</v>
      </c>
    </row>
    <row r="6" spans="1:20">
      <c r="A6" s="13">
        <v>2</v>
      </c>
      <c r="B6" s="199" t="s">
        <v>235</v>
      </c>
      <c r="C6" s="200"/>
      <c r="D6" s="192">
        <v>0</v>
      </c>
      <c r="E6" s="192">
        <v>0</v>
      </c>
      <c r="F6" s="193">
        <v>1841</v>
      </c>
      <c r="G6" s="188">
        <v>5079</v>
      </c>
      <c r="H6" s="188">
        <v>600</v>
      </c>
      <c r="I6" s="11">
        <v>0</v>
      </c>
      <c r="J6" s="11">
        <v>0</v>
      </c>
      <c r="K6" s="11"/>
      <c r="L6" s="189">
        <v>0</v>
      </c>
      <c r="M6" s="189">
        <v>0</v>
      </c>
      <c r="N6" s="189">
        <v>0</v>
      </c>
      <c r="O6" s="189">
        <v>36709.54</v>
      </c>
      <c r="P6" s="189">
        <v>101275.26</v>
      </c>
      <c r="Q6" s="189">
        <v>90750</v>
      </c>
      <c r="R6" s="189">
        <v>0</v>
      </c>
      <c r="S6" s="189">
        <v>0</v>
      </c>
      <c r="T6" s="189">
        <v>228734.8</v>
      </c>
    </row>
    <row r="7" spans="1:20">
      <c r="A7" s="13">
        <v>3</v>
      </c>
      <c r="B7" s="199" t="s">
        <v>236</v>
      </c>
      <c r="C7" s="200"/>
      <c r="D7" s="192">
        <v>0</v>
      </c>
      <c r="E7" s="192">
        <v>0</v>
      </c>
      <c r="F7" s="193">
        <v>1841</v>
      </c>
      <c r="G7" s="188">
        <v>5079</v>
      </c>
      <c r="H7" s="188">
        <v>600</v>
      </c>
      <c r="I7" s="11">
        <v>0</v>
      </c>
      <c r="J7" s="11">
        <v>0</v>
      </c>
      <c r="K7" s="11"/>
      <c r="L7" s="189">
        <v>0</v>
      </c>
      <c r="M7" s="189">
        <v>0</v>
      </c>
      <c r="N7" s="189">
        <v>0</v>
      </c>
      <c r="O7" s="189">
        <v>36709.54</v>
      </c>
      <c r="P7" s="189">
        <v>101275.26</v>
      </c>
      <c r="Q7" s="189">
        <v>90750</v>
      </c>
      <c r="R7" s="189">
        <v>0</v>
      </c>
      <c r="S7" s="189">
        <v>0</v>
      </c>
      <c r="T7" s="189">
        <v>228734.8</v>
      </c>
    </row>
    <row r="8" spans="1:20">
      <c r="A8" s="13">
        <v>4</v>
      </c>
      <c r="B8" s="199" t="s">
        <v>237</v>
      </c>
      <c r="C8" s="200"/>
      <c r="D8" s="192">
        <v>0</v>
      </c>
      <c r="E8" s="192">
        <v>42</v>
      </c>
      <c r="F8" s="193">
        <v>1799</v>
      </c>
      <c r="G8" s="188">
        <v>5121</v>
      </c>
      <c r="H8" s="188">
        <v>558</v>
      </c>
      <c r="I8" s="11">
        <v>0</v>
      </c>
      <c r="J8" s="11">
        <v>0</v>
      </c>
      <c r="K8" s="11"/>
      <c r="L8" s="189">
        <v>0</v>
      </c>
      <c r="M8" s="189">
        <v>0</v>
      </c>
      <c r="N8" s="189">
        <v>6352.5</v>
      </c>
      <c r="O8" s="189">
        <v>35872.06</v>
      </c>
      <c r="P8" s="189">
        <v>102112.74</v>
      </c>
      <c r="Q8" s="189">
        <v>84397.5</v>
      </c>
      <c r="R8" s="189">
        <v>0</v>
      </c>
      <c r="S8" s="189">
        <v>0</v>
      </c>
      <c r="T8" s="189">
        <v>228734.8</v>
      </c>
    </row>
    <row r="9" spans="1:20">
      <c r="A9" s="13">
        <v>5</v>
      </c>
      <c r="B9" s="199" t="s">
        <v>238</v>
      </c>
      <c r="C9" s="200"/>
      <c r="D9" s="192">
        <v>0</v>
      </c>
      <c r="E9" s="192">
        <v>60</v>
      </c>
      <c r="F9" s="193">
        <v>1739</v>
      </c>
      <c r="G9" s="188">
        <v>5181</v>
      </c>
      <c r="H9" s="188">
        <v>540</v>
      </c>
      <c r="I9" s="11">
        <v>0</v>
      </c>
      <c r="J9" s="11">
        <v>0</v>
      </c>
      <c r="K9" s="11"/>
      <c r="L9" s="189">
        <v>0</v>
      </c>
      <c r="M9" s="189">
        <v>0</v>
      </c>
      <c r="N9" s="189">
        <v>9075</v>
      </c>
      <c r="O9" s="189">
        <v>34675.660000000003</v>
      </c>
      <c r="P9" s="189">
        <v>103309.14</v>
      </c>
      <c r="Q9" s="189">
        <v>81675</v>
      </c>
      <c r="R9" s="189">
        <v>0</v>
      </c>
      <c r="S9" s="189">
        <v>0</v>
      </c>
      <c r="T9" s="189">
        <v>228734.8</v>
      </c>
    </row>
    <row r="10" spans="1:20">
      <c r="A10" s="13">
        <v>6</v>
      </c>
      <c r="B10" s="199" t="s">
        <v>239</v>
      </c>
      <c r="C10" s="200"/>
      <c r="D10" s="192">
        <v>0</v>
      </c>
      <c r="E10" s="192">
        <v>45</v>
      </c>
      <c r="F10" s="193">
        <v>1694</v>
      </c>
      <c r="G10" s="188">
        <v>5226</v>
      </c>
      <c r="H10" s="188">
        <v>555</v>
      </c>
      <c r="I10" s="11">
        <v>0</v>
      </c>
      <c r="J10" s="11">
        <v>0</v>
      </c>
      <c r="K10" s="11"/>
      <c r="L10" s="189">
        <v>0</v>
      </c>
      <c r="M10" s="189">
        <v>0</v>
      </c>
      <c r="N10" s="189">
        <v>6806.25</v>
      </c>
      <c r="O10" s="189">
        <v>33778.36</v>
      </c>
      <c r="P10" s="189">
        <v>104206.44</v>
      </c>
      <c r="Q10" s="189">
        <v>83943.75</v>
      </c>
      <c r="R10" s="189">
        <v>0</v>
      </c>
      <c r="S10" s="189">
        <v>0</v>
      </c>
      <c r="T10" s="189">
        <v>228734.8</v>
      </c>
    </row>
    <row r="11" spans="1:20">
      <c r="A11" s="13">
        <v>7</v>
      </c>
      <c r="B11" s="199" t="s">
        <v>240</v>
      </c>
      <c r="C11" s="200"/>
      <c r="D11" s="192">
        <v>0</v>
      </c>
      <c r="E11" s="192">
        <v>18</v>
      </c>
      <c r="F11" s="193">
        <v>1676</v>
      </c>
      <c r="G11" s="188">
        <v>5244</v>
      </c>
      <c r="H11" s="188">
        <v>582</v>
      </c>
      <c r="I11" s="11">
        <v>0</v>
      </c>
      <c r="J11" s="11">
        <v>0</v>
      </c>
      <c r="K11" s="11"/>
      <c r="L11" s="189">
        <v>0</v>
      </c>
      <c r="M11" s="189">
        <v>0</v>
      </c>
      <c r="N11" s="189">
        <v>2722.5</v>
      </c>
      <c r="O11" s="189">
        <v>33419.440000000002</v>
      </c>
      <c r="P11" s="189">
        <v>104565.36</v>
      </c>
      <c r="Q11" s="189">
        <v>88027.5</v>
      </c>
      <c r="R11" s="189">
        <v>0</v>
      </c>
      <c r="S11" s="189">
        <v>0</v>
      </c>
      <c r="T11" s="189">
        <v>228734.8</v>
      </c>
    </row>
    <row r="12" spans="1:20">
      <c r="A12" s="13">
        <v>8</v>
      </c>
      <c r="B12" s="199" t="s">
        <v>241</v>
      </c>
      <c r="C12" s="200"/>
      <c r="D12" s="192">
        <v>15</v>
      </c>
      <c r="E12" s="192">
        <v>30</v>
      </c>
      <c r="F12" s="193">
        <v>1661</v>
      </c>
      <c r="G12" s="188">
        <v>5259</v>
      </c>
      <c r="H12" s="188">
        <v>555</v>
      </c>
      <c r="I12" s="11">
        <v>0</v>
      </c>
      <c r="J12" s="11">
        <v>0</v>
      </c>
      <c r="K12" s="11"/>
      <c r="L12" s="189">
        <v>0</v>
      </c>
      <c r="M12" s="189">
        <v>2268.75</v>
      </c>
      <c r="N12" s="189">
        <v>4537.5</v>
      </c>
      <c r="O12" s="189">
        <v>33120.339999999997</v>
      </c>
      <c r="P12" s="189">
        <v>104864.46</v>
      </c>
      <c r="Q12" s="189">
        <v>83943.75</v>
      </c>
      <c r="R12" s="189">
        <v>0</v>
      </c>
      <c r="S12" s="189">
        <v>0</v>
      </c>
      <c r="T12" s="189">
        <v>228734.8</v>
      </c>
    </row>
    <row r="13" spans="1:20">
      <c r="A13" s="13">
        <v>9</v>
      </c>
      <c r="B13" s="199" t="s">
        <v>242</v>
      </c>
      <c r="C13" s="200"/>
      <c r="D13" s="192">
        <v>45</v>
      </c>
      <c r="E13" s="192">
        <v>0</v>
      </c>
      <c r="F13" s="193">
        <v>1706</v>
      </c>
      <c r="G13" s="188">
        <v>5214</v>
      </c>
      <c r="H13" s="188">
        <v>555</v>
      </c>
      <c r="I13" s="11">
        <v>0</v>
      </c>
      <c r="J13" s="11">
        <v>0</v>
      </c>
      <c r="K13" s="11"/>
      <c r="L13" s="189">
        <v>0</v>
      </c>
      <c r="M13" s="189">
        <v>6806.25</v>
      </c>
      <c r="N13" s="189">
        <v>0</v>
      </c>
      <c r="O13" s="189">
        <v>34017.64</v>
      </c>
      <c r="P13" s="189">
        <v>103967.16</v>
      </c>
      <c r="Q13" s="189">
        <v>83943.75</v>
      </c>
      <c r="R13" s="189">
        <v>0</v>
      </c>
      <c r="S13" s="189">
        <v>0</v>
      </c>
      <c r="T13" s="189">
        <v>228734.8</v>
      </c>
    </row>
    <row r="14" spans="1:20">
      <c r="A14" s="13">
        <v>10</v>
      </c>
      <c r="B14" s="199" t="s">
        <v>243</v>
      </c>
      <c r="C14" s="200"/>
      <c r="D14" s="192">
        <v>60</v>
      </c>
      <c r="E14" s="192">
        <v>16</v>
      </c>
      <c r="F14" s="193">
        <v>1750</v>
      </c>
      <c r="G14" s="188">
        <v>5170</v>
      </c>
      <c r="H14" s="188">
        <v>524</v>
      </c>
      <c r="I14" s="11">
        <v>0</v>
      </c>
      <c r="J14" s="11">
        <v>0</v>
      </c>
      <c r="K14" s="11"/>
      <c r="L14" s="189">
        <v>0</v>
      </c>
      <c r="M14" s="189">
        <v>9075</v>
      </c>
      <c r="N14" s="189">
        <v>2420</v>
      </c>
      <c r="O14" s="189">
        <v>34895</v>
      </c>
      <c r="P14" s="189">
        <v>103089.8</v>
      </c>
      <c r="Q14" s="189">
        <v>79255</v>
      </c>
      <c r="R14" s="189">
        <v>0</v>
      </c>
      <c r="S14" s="189">
        <v>0</v>
      </c>
      <c r="T14" s="189">
        <v>228734.8</v>
      </c>
    </row>
    <row r="15" spans="1:20">
      <c r="A15" s="13">
        <v>11</v>
      </c>
      <c r="B15" s="199" t="s">
        <v>244</v>
      </c>
      <c r="C15" s="200"/>
      <c r="D15" s="192">
        <v>120</v>
      </c>
      <c r="E15" s="192">
        <v>15</v>
      </c>
      <c r="F15" s="193">
        <v>1855</v>
      </c>
      <c r="G15" s="188">
        <v>5065</v>
      </c>
      <c r="H15" s="188">
        <v>465</v>
      </c>
      <c r="I15" s="11">
        <v>0</v>
      </c>
      <c r="J15" s="11">
        <v>0</v>
      </c>
      <c r="K15" s="11"/>
      <c r="L15" s="189">
        <v>0</v>
      </c>
      <c r="M15" s="189">
        <v>18150</v>
      </c>
      <c r="N15" s="189">
        <v>2268.75</v>
      </c>
      <c r="O15" s="189">
        <v>36988.699999999997</v>
      </c>
      <c r="P15" s="189">
        <v>100996.1</v>
      </c>
      <c r="Q15" s="189">
        <v>70331.25</v>
      </c>
      <c r="R15" s="189">
        <v>0</v>
      </c>
      <c r="S15" s="189">
        <v>0</v>
      </c>
      <c r="T15" s="189">
        <v>228734.8</v>
      </c>
    </row>
    <row r="16" spans="1:20">
      <c r="A16" s="13">
        <v>12</v>
      </c>
      <c r="B16" s="199" t="s">
        <v>245</v>
      </c>
      <c r="C16" s="200"/>
      <c r="D16" s="192">
        <v>30</v>
      </c>
      <c r="E16" s="192">
        <v>15</v>
      </c>
      <c r="F16" s="193">
        <v>1870</v>
      </c>
      <c r="G16" s="188">
        <v>5050</v>
      </c>
      <c r="H16" s="188">
        <v>555</v>
      </c>
      <c r="I16" s="11">
        <v>0</v>
      </c>
      <c r="J16" s="11">
        <v>0</v>
      </c>
      <c r="K16" s="11"/>
      <c r="L16" s="189">
        <v>0</v>
      </c>
      <c r="M16" s="189">
        <v>4537.5</v>
      </c>
      <c r="N16" s="189">
        <v>2268.75</v>
      </c>
      <c r="O16" s="189">
        <v>37287.800000000003</v>
      </c>
      <c r="P16" s="189">
        <v>100697</v>
      </c>
      <c r="Q16" s="189">
        <v>83943.75</v>
      </c>
      <c r="R16" s="189">
        <v>0</v>
      </c>
      <c r="S16" s="189">
        <v>0</v>
      </c>
      <c r="T16" s="189">
        <v>228734.8</v>
      </c>
    </row>
    <row r="17" spans="1:20">
      <c r="A17" s="13">
        <v>13</v>
      </c>
      <c r="B17" s="199" t="s">
        <v>246</v>
      </c>
      <c r="C17" s="200"/>
      <c r="D17" s="192">
        <v>91</v>
      </c>
      <c r="E17" s="192">
        <v>37</v>
      </c>
      <c r="F17" s="193">
        <v>1924</v>
      </c>
      <c r="G17" s="188">
        <v>4996</v>
      </c>
      <c r="H17" s="188">
        <v>472</v>
      </c>
      <c r="I17" s="11">
        <v>5.5</v>
      </c>
      <c r="J17" s="11">
        <v>5.5</v>
      </c>
      <c r="K17" s="11"/>
      <c r="L17" s="189">
        <v>0</v>
      </c>
      <c r="M17" s="189">
        <v>13763.75</v>
      </c>
      <c r="N17" s="189">
        <v>5596.25</v>
      </c>
      <c r="O17" s="189">
        <v>38364.559999999998</v>
      </c>
      <c r="P17" s="189">
        <v>99620.24</v>
      </c>
      <c r="Q17" s="189">
        <v>71390</v>
      </c>
      <c r="R17" s="189">
        <v>4537.5</v>
      </c>
      <c r="S17" s="189">
        <v>660</v>
      </c>
      <c r="T17" s="189">
        <v>233932.3</v>
      </c>
    </row>
    <row r="18" spans="1:20">
      <c r="A18" s="13">
        <v>14</v>
      </c>
      <c r="B18" s="199" t="s">
        <v>247</v>
      </c>
      <c r="C18" s="200"/>
      <c r="D18" s="192">
        <v>15</v>
      </c>
      <c r="E18" s="192">
        <v>15</v>
      </c>
      <c r="F18" s="193">
        <v>1924</v>
      </c>
      <c r="G18" s="188">
        <v>4996</v>
      </c>
      <c r="H18" s="188">
        <v>570</v>
      </c>
      <c r="I18" s="11">
        <v>0</v>
      </c>
      <c r="J18" s="11">
        <v>0</v>
      </c>
      <c r="K18" s="11"/>
      <c r="L18" s="189">
        <v>0</v>
      </c>
      <c r="M18" s="189">
        <v>2268.75</v>
      </c>
      <c r="N18" s="189">
        <v>2268.75</v>
      </c>
      <c r="O18" s="189">
        <v>38364.559999999998</v>
      </c>
      <c r="P18" s="189">
        <v>99620.24</v>
      </c>
      <c r="Q18" s="189">
        <v>86212.5</v>
      </c>
      <c r="R18" s="189">
        <v>0</v>
      </c>
      <c r="S18" s="189">
        <v>0</v>
      </c>
      <c r="T18" s="189">
        <v>228734.8</v>
      </c>
    </row>
    <row r="19" spans="1:20">
      <c r="A19" s="13">
        <v>15</v>
      </c>
      <c r="B19" s="199" t="s">
        <v>248</v>
      </c>
      <c r="C19" s="200"/>
      <c r="D19" s="192">
        <v>90</v>
      </c>
      <c r="E19" s="192">
        <v>0</v>
      </c>
      <c r="F19" s="193">
        <v>2014</v>
      </c>
      <c r="G19" s="188">
        <v>4906</v>
      </c>
      <c r="H19" s="188">
        <v>510</v>
      </c>
      <c r="I19" s="11">
        <v>0</v>
      </c>
      <c r="J19" s="11">
        <v>0</v>
      </c>
      <c r="K19" s="11"/>
      <c r="L19" s="189">
        <v>0</v>
      </c>
      <c r="M19" s="189">
        <v>13612.5</v>
      </c>
      <c r="N19" s="189">
        <v>0</v>
      </c>
      <c r="O19" s="189">
        <v>40159.160000000003</v>
      </c>
      <c r="P19" s="189">
        <v>97825.64</v>
      </c>
      <c r="Q19" s="189">
        <v>77137.5</v>
      </c>
      <c r="R19" s="189">
        <v>0</v>
      </c>
      <c r="S19" s="189">
        <v>0</v>
      </c>
      <c r="T19" s="189">
        <v>228734.8</v>
      </c>
    </row>
    <row r="20" spans="1:20">
      <c r="A20" s="13">
        <v>16</v>
      </c>
      <c r="B20" s="199" t="s">
        <v>249</v>
      </c>
      <c r="C20" s="200"/>
      <c r="D20" s="192">
        <v>135</v>
      </c>
      <c r="E20" s="192">
        <v>15</v>
      </c>
      <c r="F20" s="193">
        <v>2134</v>
      </c>
      <c r="G20" s="188">
        <v>4786</v>
      </c>
      <c r="H20" s="188">
        <v>450</v>
      </c>
      <c r="I20" s="11">
        <v>0</v>
      </c>
      <c r="J20" s="11">
        <v>0</v>
      </c>
      <c r="K20" s="11"/>
      <c r="L20" s="189">
        <v>0</v>
      </c>
      <c r="M20" s="189">
        <v>20418.75</v>
      </c>
      <c r="N20" s="189">
        <v>2268.75</v>
      </c>
      <c r="O20" s="189">
        <v>42551.96</v>
      </c>
      <c r="P20" s="189">
        <v>95432.84</v>
      </c>
      <c r="Q20" s="189">
        <v>68062.5</v>
      </c>
      <c r="R20" s="189">
        <v>0</v>
      </c>
      <c r="S20" s="189">
        <v>0</v>
      </c>
      <c r="T20" s="189">
        <v>228734.8</v>
      </c>
    </row>
    <row r="21" spans="1:20">
      <c r="A21" s="13">
        <v>17</v>
      </c>
      <c r="B21" s="199" t="s">
        <v>250</v>
      </c>
      <c r="C21" s="200"/>
      <c r="D21" s="192">
        <v>120</v>
      </c>
      <c r="E21" s="192">
        <v>16</v>
      </c>
      <c r="F21" s="193">
        <v>2238</v>
      </c>
      <c r="G21" s="188">
        <v>4682</v>
      </c>
      <c r="H21" s="188">
        <v>464</v>
      </c>
      <c r="I21" s="11">
        <v>0</v>
      </c>
      <c r="J21" s="11">
        <v>0</v>
      </c>
      <c r="K21" s="11"/>
      <c r="L21" s="189">
        <v>0</v>
      </c>
      <c r="M21" s="189">
        <v>18150</v>
      </c>
      <c r="N21" s="189">
        <v>2420</v>
      </c>
      <c r="O21" s="189">
        <v>44625.72</v>
      </c>
      <c r="P21" s="189">
        <v>93359.08</v>
      </c>
      <c r="Q21" s="189">
        <v>70180</v>
      </c>
      <c r="R21" s="189">
        <v>0</v>
      </c>
      <c r="S21" s="189">
        <v>0</v>
      </c>
      <c r="T21" s="189">
        <v>228734.8</v>
      </c>
    </row>
    <row r="22" spans="1:20">
      <c r="A22" s="13">
        <v>18</v>
      </c>
      <c r="B22" s="199" t="s">
        <v>251</v>
      </c>
      <c r="C22" s="200"/>
      <c r="D22" s="192">
        <v>75</v>
      </c>
      <c r="E22" s="192">
        <v>30</v>
      </c>
      <c r="F22" s="193">
        <v>2283</v>
      </c>
      <c r="G22" s="188">
        <v>4637</v>
      </c>
      <c r="H22" s="188">
        <v>495</v>
      </c>
      <c r="I22" s="11">
        <v>0</v>
      </c>
      <c r="J22" s="11">
        <v>0</v>
      </c>
      <c r="K22" s="11"/>
      <c r="L22" s="189">
        <v>0</v>
      </c>
      <c r="M22" s="189">
        <v>11343.75</v>
      </c>
      <c r="N22" s="189">
        <v>4537.5</v>
      </c>
      <c r="O22" s="189">
        <v>45523.02</v>
      </c>
      <c r="P22" s="189">
        <v>92461.78</v>
      </c>
      <c r="Q22" s="189">
        <v>74868.75</v>
      </c>
      <c r="R22" s="189">
        <v>0</v>
      </c>
      <c r="S22" s="189">
        <v>0</v>
      </c>
      <c r="T22" s="189">
        <v>228734.8</v>
      </c>
    </row>
    <row r="23" spans="1:20">
      <c r="A23" s="13">
        <v>19</v>
      </c>
      <c r="B23" s="199" t="s">
        <v>252</v>
      </c>
      <c r="C23" s="200"/>
      <c r="D23" s="192">
        <v>105</v>
      </c>
      <c r="E23" s="192">
        <v>39</v>
      </c>
      <c r="F23" s="193">
        <v>2349</v>
      </c>
      <c r="G23" s="188">
        <v>4571</v>
      </c>
      <c r="H23" s="188">
        <v>456</v>
      </c>
      <c r="I23" s="11">
        <v>0</v>
      </c>
      <c r="J23" s="11">
        <v>0</v>
      </c>
      <c r="K23" s="11"/>
      <c r="L23" s="189">
        <v>0</v>
      </c>
      <c r="M23" s="189">
        <v>15881.25</v>
      </c>
      <c r="N23" s="189">
        <v>5898.75</v>
      </c>
      <c r="O23" s="189">
        <v>46839.06</v>
      </c>
      <c r="P23" s="189">
        <v>91145.74</v>
      </c>
      <c r="Q23" s="189">
        <v>68970</v>
      </c>
      <c r="R23" s="189">
        <v>0</v>
      </c>
      <c r="S23" s="189">
        <v>0</v>
      </c>
      <c r="T23" s="189">
        <v>228734.8</v>
      </c>
    </row>
    <row r="24" spans="1:20">
      <c r="A24" s="13">
        <v>20</v>
      </c>
      <c r="B24" s="199" t="s">
        <v>253</v>
      </c>
      <c r="C24" s="200"/>
      <c r="D24" s="192">
        <v>255</v>
      </c>
      <c r="E24" s="192">
        <v>32</v>
      </c>
      <c r="F24" s="193">
        <v>2572</v>
      </c>
      <c r="G24" s="188">
        <v>4348</v>
      </c>
      <c r="H24" s="188">
        <v>313</v>
      </c>
      <c r="I24" s="11">
        <v>0</v>
      </c>
      <c r="J24" s="11">
        <v>0</v>
      </c>
      <c r="K24" s="11"/>
      <c r="L24" s="189">
        <v>0</v>
      </c>
      <c r="M24" s="189">
        <v>38568.75</v>
      </c>
      <c r="N24" s="189">
        <v>4840</v>
      </c>
      <c r="O24" s="189">
        <v>51285.68</v>
      </c>
      <c r="P24" s="189">
        <v>86699.12</v>
      </c>
      <c r="Q24" s="189">
        <v>47341.25</v>
      </c>
      <c r="R24" s="189">
        <v>0</v>
      </c>
      <c r="S24" s="189">
        <v>0</v>
      </c>
      <c r="T24" s="189">
        <v>228734.8</v>
      </c>
    </row>
    <row r="25" spans="1:20">
      <c r="A25" s="13">
        <v>21</v>
      </c>
      <c r="B25" s="199" t="s">
        <v>254</v>
      </c>
      <c r="C25" s="200"/>
      <c r="D25" s="192">
        <v>390</v>
      </c>
      <c r="E25" s="192">
        <v>16</v>
      </c>
      <c r="F25" s="193">
        <v>2946</v>
      </c>
      <c r="G25" s="188">
        <v>3974</v>
      </c>
      <c r="H25" s="188">
        <v>194</v>
      </c>
      <c r="I25" s="11">
        <v>0</v>
      </c>
      <c r="J25" s="11">
        <v>0</v>
      </c>
      <c r="K25" s="11"/>
      <c r="L25" s="189">
        <v>0</v>
      </c>
      <c r="M25" s="189">
        <v>58987.5</v>
      </c>
      <c r="N25" s="189">
        <v>2420</v>
      </c>
      <c r="O25" s="189">
        <v>58743.24</v>
      </c>
      <c r="P25" s="189">
        <v>79241.56</v>
      </c>
      <c r="Q25" s="189">
        <v>29342.5</v>
      </c>
      <c r="R25" s="189">
        <v>0</v>
      </c>
      <c r="S25" s="189">
        <v>0</v>
      </c>
      <c r="T25" s="189">
        <v>228734.8</v>
      </c>
    </row>
    <row r="26" spans="1:20">
      <c r="A26" s="13">
        <v>22</v>
      </c>
      <c r="B26" s="199" t="s">
        <v>255</v>
      </c>
      <c r="C26" s="200"/>
      <c r="D26" s="192">
        <v>495</v>
      </c>
      <c r="E26" s="192">
        <v>2</v>
      </c>
      <c r="F26" s="193">
        <v>3439</v>
      </c>
      <c r="G26" s="188">
        <v>3481</v>
      </c>
      <c r="H26" s="188">
        <v>103</v>
      </c>
      <c r="I26" s="11">
        <v>0</v>
      </c>
      <c r="J26" s="11">
        <v>0</v>
      </c>
      <c r="K26" s="11"/>
      <c r="L26" s="189">
        <v>0</v>
      </c>
      <c r="M26" s="189">
        <v>74868.75</v>
      </c>
      <c r="N26" s="189">
        <v>302.5</v>
      </c>
      <c r="O26" s="189">
        <v>68573.66</v>
      </c>
      <c r="P26" s="189">
        <v>69411.14</v>
      </c>
      <c r="Q26" s="189">
        <v>15578.75</v>
      </c>
      <c r="R26" s="189">
        <v>0</v>
      </c>
      <c r="S26" s="189">
        <v>0</v>
      </c>
      <c r="T26" s="189">
        <v>228734.8</v>
      </c>
    </row>
    <row r="27" spans="1:20">
      <c r="A27" s="13">
        <v>23</v>
      </c>
      <c r="B27" s="199" t="s">
        <v>256</v>
      </c>
      <c r="C27" s="200"/>
      <c r="D27" s="192">
        <v>240</v>
      </c>
      <c r="E27" s="192">
        <v>45</v>
      </c>
      <c r="F27" s="193">
        <v>3634</v>
      </c>
      <c r="G27" s="188">
        <v>3286</v>
      </c>
      <c r="H27" s="188">
        <v>315</v>
      </c>
      <c r="I27" s="11">
        <v>0</v>
      </c>
      <c r="J27" s="11">
        <v>0</v>
      </c>
      <c r="K27" s="11"/>
      <c r="L27" s="189">
        <v>0</v>
      </c>
      <c r="M27" s="189">
        <v>36300</v>
      </c>
      <c r="N27" s="189">
        <v>6806.25</v>
      </c>
      <c r="O27" s="189">
        <v>72461.960000000006</v>
      </c>
      <c r="P27" s="189">
        <v>65522.84</v>
      </c>
      <c r="Q27" s="189">
        <v>47643.75</v>
      </c>
      <c r="R27" s="189">
        <v>0</v>
      </c>
      <c r="S27" s="189">
        <v>0</v>
      </c>
      <c r="T27" s="189">
        <v>228734.8</v>
      </c>
    </row>
    <row r="28" spans="1:20">
      <c r="A28" s="13">
        <v>24</v>
      </c>
      <c r="B28" s="199" t="s">
        <v>257</v>
      </c>
      <c r="C28" s="200"/>
      <c r="D28" s="192">
        <v>450</v>
      </c>
      <c r="E28" s="192">
        <v>60</v>
      </c>
      <c r="F28" s="193">
        <v>4024</v>
      </c>
      <c r="G28" s="188">
        <v>2896</v>
      </c>
      <c r="H28" s="188">
        <v>90</v>
      </c>
      <c r="I28" s="11">
        <v>8.25</v>
      </c>
      <c r="J28" s="11">
        <v>15.125</v>
      </c>
      <c r="K28" s="11"/>
      <c r="L28" s="189">
        <v>0</v>
      </c>
      <c r="M28" s="189">
        <v>68062.5</v>
      </c>
      <c r="N28" s="189">
        <v>9075</v>
      </c>
      <c r="O28" s="189">
        <v>80238.559999999998</v>
      </c>
      <c r="P28" s="189">
        <v>57746.239999999998</v>
      </c>
      <c r="Q28" s="189">
        <v>13612.5</v>
      </c>
      <c r="R28" s="189">
        <v>6806.25</v>
      </c>
      <c r="S28" s="189">
        <v>1815</v>
      </c>
      <c r="T28" s="189">
        <v>237356.05</v>
      </c>
    </row>
    <row r="29" spans="1:20">
      <c r="A29" s="13">
        <v>25</v>
      </c>
      <c r="B29" s="199" t="s">
        <v>258</v>
      </c>
      <c r="C29" s="200"/>
      <c r="D29" s="192">
        <v>285</v>
      </c>
      <c r="E29" s="192">
        <v>139</v>
      </c>
      <c r="F29" s="193">
        <v>4170</v>
      </c>
      <c r="G29" s="188">
        <v>2750</v>
      </c>
      <c r="H29" s="188">
        <v>176</v>
      </c>
      <c r="I29" s="11">
        <v>4.125</v>
      </c>
      <c r="J29" s="11">
        <v>5.5</v>
      </c>
      <c r="K29" s="11"/>
      <c r="L29" s="189">
        <v>0</v>
      </c>
      <c r="M29" s="189">
        <v>43106.25</v>
      </c>
      <c r="N29" s="189">
        <v>21023.75</v>
      </c>
      <c r="O29" s="189">
        <v>83149.8</v>
      </c>
      <c r="P29" s="189">
        <v>54835</v>
      </c>
      <c r="Q29" s="189">
        <v>26620</v>
      </c>
      <c r="R29" s="189">
        <v>3403.13</v>
      </c>
      <c r="S29" s="189">
        <v>660</v>
      </c>
      <c r="T29" s="189">
        <v>232797.93</v>
      </c>
    </row>
    <row r="30" spans="1:20">
      <c r="A30" s="13">
        <v>26</v>
      </c>
      <c r="B30" s="199" t="s">
        <v>259</v>
      </c>
      <c r="C30" s="200"/>
      <c r="D30" s="192">
        <v>705</v>
      </c>
      <c r="E30" s="192">
        <v>120</v>
      </c>
      <c r="F30" s="193">
        <v>4755</v>
      </c>
      <c r="G30" s="188">
        <v>2165</v>
      </c>
      <c r="H30" s="188">
        <v>0</v>
      </c>
      <c r="I30" s="11">
        <v>0</v>
      </c>
      <c r="J30" s="11">
        <v>0</v>
      </c>
      <c r="K30" s="11"/>
      <c r="L30" s="189">
        <v>0</v>
      </c>
      <c r="M30" s="189">
        <v>106631.25</v>
      </c>
      <c r="N30" s="189">
        <v>18150</v>
      </c>
      <c r="O30" s="189">
        <v>94814.7</v>
      </c>
      <c r="P30" s="189">
        <v>43170.1</v>
      </c>
      <c r="Q30" s="189">
        <v>0</v>
      </c>
      <c r="R30" s="189">
        <v>0</v>
      </c>
      <c r="S30" s="189">
        <v>0</v>
      </c>
      <c r="T30" s="189">
        <v>262766.05</v>
      </c>
    </row>
    <row r="31" spans="1:20">
      <c r="A31" s="13">
        <v>27</v>
      </c>
      <c r="B31" s="199" t="s">
        <v>260</v>
      </c>
      <c r="C31" s="200"/>
      <c r="D31" s="192">
        <v>225</v>
      </c>
      <c r="E31" s="192">
        <v>152</v>
      </c>
      <c r="F31" s="193">
        <v>4828</v>
      </c>
      <c r="G31" s="188">
        <v>2092</v>
      </c>
      <c r="H31" s="188">
        <v>223</v>
      </c>
      <c r="I31" s="11">
        <v>0</v>
      </c>
      <c r="J31" s="11">
        <v>0</v>
      </c>
      <c r="K31" s="11"/>
      <c r="L31" s="189">
        <v>0</v>
      </c>
      <c r="M31" s="189">
        <v>34031.25</v>
      </c>
      <c r="N31" s="189">
        <v>22990</v>
      </c>
      <c r="O31" s="189">
        <v>96270.32</v>
      </c>
      <c r="P31" s="189">
        <v>41714.480000000003</v>
      </c>
      <c r="Q31" s="189">
        <v>33728.75</v>
      </c>
      <c r="R31" s="189">
        <v>0</v>
      </c>
      <c r="S31" s="189">
        <v>0</v>
      </c>
      <c r="T31" s="189">
        <v>228734.8</v>
      </c>
    </row>
    <row r="32" spans="1:20">
      <c r="A32" s="13">
        <v>28</v>
      </c>
      <c r="B32" s="199" t="s">
        <v>261</v>
      </c>
      <c r="C32" s="200"/>
      <c r="D32" s="192">
        <v>615</v>
      </c>
      <c r="E32" s="192">
        <v>240</v>
      </c>
      <c r="F32" s="193">
        <v>5203</v>
      </c>
      <c r="G32" s="188">
        <v>1717</v>
      </c>
      <c r="H32" s="188">
        <v>0</v>
      </c>
      <c r="I32" s="11">
        <v>0</v>
      </c>
      <c r="J32" s="11">
        <v>0</v>
      </c>
      <c r="K32" s="11"/>
      <c r="L32" s="189">
        <v>0</v>
      </c>
      <c r="M32" s="189">
        <v>93018.75</v>
      </c>
      <c r="N32" s="189">
        <v>36300</v>
      </c>
      <c r="O32" s="189">
        <v>103747.82</v>
      </c>
      <c r="P32" s="189">
        <v>34236.980000000003</v>
      </c>
      <c r="Q32" s="189">
        <v>0</v>
      </c>
      <c r="R32" s="189">
        <v>0</v>
      </c>
      <c r="S32" s="189">
        <v>0</v>
      </c>
      <c r="T32" s="189">
        <v>267303.55</v>
      </c>
    </row>
    <row r="33" spans="1:20">
      <c r="A33" s="13">
        <v>29</v>
      </c>
      <c r="B33" s="199"/>
      <c r="C33" s="200"/>
      <c r="D33" s="192">
        <v>0</v>
      </c>
      <c r="E33" s="192">
        <v>0</v>
      </c>
      <c r="F33" s="193">
        <v>0</v>
      </c>
      <c r="G33" s="188">
        <v>0</v>
      </c>
      <c r="H33" s="188">
        <v>0</v>
      </c>
      <c r="I33" s="11">
        <v>0</v>
      </c>
      <c r="J33" s="11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2">
        <v>0</v>
      </c>
      <c r="E34" s="192">
        <v>0</v>
      </c>
      <c r="F34" s="193">
        <v>0</v>
      </c>
      <c r="G34" s="188">
        <v>0</v>
      </c>
      <c r="H34" s="188">
        <v>0</v>
      </c>
      <c r="I34" s="11">
        <v>0</v>
      </c>
      <c r="J34" s="11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2">
        <v>0</v>
      </c>
      <c r="E35" s="192">
        <v>0</v>
      </c>
      <c r="F35" s="193">
        <v>0</v>
      </c>
      <c r="G35" s="188">
        <v>0</v>
      </c>
      <c r="H35" s="188">
        <v>0</v>
      </c>
      <c r="I35" s="11">
        <v>0</v>
      </c>
      <c r="J35" s="11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20">
        <v>4561</v>
      </c>
      <c r="E36" s="20">
        <v>1199</v>
      </c>
      <c r="F36" s="20">
        <v>71710</v>
      </c>
      <c r="G36" s="20">
        <v>122050</v>
      </c>
      <c r="H36" s="20">
        <v>11520</v>
      </c>
      <c r="I36" s="20">
        <v>17.875</v>
      </c>
      <c r="J36" s="20">
        <v>26.125</v>
      </c>
      <c r="K36" s="20">
        <v>0</v>
      </c>
      <c r="L36" s="190">
        <v>0</v>
      </c>
      <c r="M36" s="190">
        <v>689851.25</v>
      </c>
      <c r="N36" s="190">
        <v>181348.75</v>
      </c>
      <c r="O36" s="190">
        <v>1429897.4</v>
      </c>
      <c r="P36" s="190">
        <v>2433677</v>
      </c>
      <c r="Q36" s="190">
        <v>1742400</v>
      </c>
      <c r="R36" s="190">
        <v>14746.88</v>
      </c>
      <c r="S36" s="190">
        <v>3135</v>
      </c>
      <c r="T36" s="190">
        <v>6495056.2800000003</v>
      </c>
    </row>
    <row r="37" spans="1:20">
      <c r="R37" s="22"/>
      <c r="S37" s="22"/>
      <c r="T37" s="191">
        <v>7794067.5300000003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6AAF-AB95-4706-9ACE-4BDCBA72EB76}">
  <sheetPr codeName="Лист28">
    <pageSetUpPr fitToPage="1"/>
  </sheetPr>
  <dimension ref="A1:T37"/>
  <sheetViews>
    <sheetView workbookViewId="0">
      <selection activeCell="Q9" sqref="Q9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1" t="s">
        <v>263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148</v>
      </c>
      <c r="E3" s="202" t="s">
        <v>149</v>
      </c>
      <c r="F3" s="4" t="s">
        <v>4</v>
      </c>
      <c r="G3" s="202" t="s">
        <v>232</v>
      </c>
      <c r="H3" s="202" t="s">
        <v>233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30">
      <c r="A4" s="203"/>
      <c r="B4" s="206"/>
      <c r="C4" s="207"/>
      <c r="D4" s="203"/>
      <c r="E4" s="203"/>
      <c r="F4" s="5" t="s">
        <v>158</v>
      </c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234</v>
      </c>
      <c r="C5" s="200"/>
      <c r="D5" s="192">
        <v>0</v>
      </c>
      <c r="E5" s="192">
        <v>0</v>
      </c>
      <c r="F5" s="193">
        <v>76</v>
      </c>
      <c r="G5" s="188">
        <v>0</v>
      </c>
      <c r="H5" s="188">
        <v>0</v>
      </c>
      <c r="I5" s="11">
        <v>0</v>
      </c>
      <c r="J5" s="11">
        <v>0</v>
      </c>
      <c r="K5" s="11"/>
      <c r="L5" s="189">
        <v>0</v>
      </c>
      <c r="M5" s="189">
        <v>0</v>
      </c>
      <c r="N5" s="189">
        <v>0</v>
      </c>
      <c r="O5" s="189">
        <v>1515.44</v>
      </c>
      <c r="P5" s="189">
        <v>0</v>
      </c>
      <c r="Q5" s="189">
        <v>0</v>
      </c>
      <c r="R5" s="189">
        <v>0</v>
      </c>
      <c r="S5" s="189">
        <v>0</v>
      </c>
      <c r="T5" s="189">
        <v>1515.44</v>
      </c>
    </row>
    <row r="6" spans="1:20">
      <c r="A6" s="13">
        <v>2</v>
      </c>
      <c r="B6" s="199" t="s">
        <v>235</v>
      </c>
      <c r="C6" s="200"/>
      <c r="D6" s="192">
        <v>0</v>
      </c>
      <c r="E6" s="192">
        <v>0</v>
      </c>
      <c r="F6" s="193">
        <v>76</v>
      </c>
      <c r="G6" s="188">
        <v>0</v>
      </c>
      <c r="H6" s="188">
        <v>0</v>
      </c>
      <c r="I6" s="11">
        <v>0</v>
      </c>
      <c r="J6" s="11">
        <v>0</v>
      </c>
      <c r="K6" s="11"/>
      <c r="L6" s="189">
        <v>0</v>
      </c>
      <c r="M6" s="189">
        <v>0</v>
      </c>
      <c r="N6" s="189">
        <v>0</v>
      </c>
      <c r="O6" s="189">
        <v>1515.44</v>
      </c>
      <c r="P6" s="189">
        <v>0</v>
      </c>
      <c r="Q6" s="189">
        <v>0</v>
      </c>
      <c r="R6" s="189">
        <v>0</v>
      </c>
      <c r="S6" s="189">
        <v>0</v>
      </c>
      <c r="T6" s="189">
        <v>1515.44</v>
      </c>
    </row>
    <row r="7" spans="1:20">
      <c r="A7" s="13">
        <v>3</v>
      </c>
      <c r="B7" s="199" t="s">
        <v>236</v>
      </c>
      <c r="C7" s="200"/>
      <c r="D7" s="192">
        <v>0</v>
      </c>
      <c r="E7" s="192">
        <v>0</v>
      </c>
      <c r="F7" s="193">
        <v>76</v>
      </c>
      <c r="G7" s="188">
        <v>0</v>
      </c>
      <c r="H7" s="188">
        <v>0</v>
      </c>
      <c r="I7" s="11">
        <v>0</v>
      </c>
      <c r="J7" s="11">
        <v>0</v>
      </c>
      <c r="K7" s="11"/>
      <c r="L7" s="189">
        <v>0</v>
      </c>
      <c r="M7" s="189">
        <v>0</v>
      </c>
      <c r="N7" s="189">
        <v>0</v>
      </c>
      <c r="O7" s="189">
        <v>1515.44</v>
      </c>
      <c r="P7" s="189">
        <v>0</v>
      </c>
      <c r="Q7" s="189">
        <v>0</v>
      </c>
      <c r="R7" s="189">
        <v>0</v>
      </c>
      <c r="S7" s="189">
        <v>0</v>
      </c>
      <c r="T7" s="189">
        <v>1515.44</v>
      </c>
    </row>
    <row r="8" spans="1:20">
      <c r="A8" s="13">
        <v>4</v>
      </c>
      <c r="B8" s="199" t="s">
        <v>237</v>
      </c>
      <c r="C8" s="200"/>
      <c r="D8" s="192">
        <v>0</v>
      </c>
      <c r="E8" s="192">
        <v>0</v>
      </c>
      <c r="F8" s="193">
        <v>76</v>
      </c>
      <c r="G8" s="188">
        <v>0</v>
      </c>
      <c r="H8" s="188">
        <v>0</v>
      </c>
      <c r="I8" s="11">
        <v>0</v>
      </c>
      <c r="J8" s="11">
        <v>0</v>
      </c>
      <c r="K8" s="11"/>
      <c r="L8" s="189">
        <v>0</v>
      </c>
      <c r="M8" s="189">
        <v>0</v>
      </c>
      <c r="N8" s="189">
        <v>0</v>
      </c>
      <c r="O8" s="189">
        <v>1515.44</v>
      </c>
      <c r="P8" s="189">
        <v>0</v>
      </c>
      <c r="Q8" s="189">
        <v>0</v>
      </c>
      <c r="R8" s="189">
        <v>0</v>
      </c>
      <c r="S8" s="189">
        <v>0</v>
      </c>
      <c r="T8" s="189">
        <v>1515.44</v>
      </c>
    </row>
    <row r="9" spans="1:20">
      <c r="A9" s="13">
        <v>5</v>
      </c>
      <c r="B9" s="199" t="s">
        <v>238</v>
      </c>
      <c r="C9" s="200"/>
      <c r="D9" s="192">
        <v>0</v>
      </c>
      <c r="E9" s="192">
        <v>0</v>
      </c>
      <c r="F9" s="193">
        <v>76</v>
      </c>
      <c r="G9" s="188">
        <v>0</v>
      </c>
      <c r="H9" s="188">
        <v>0</v>
      </c>
      <c r="I9" s="11">
        <v>0</v>
      </c>
      <c r="J9" s="11">
        <v>0</v>
      </c>
      <c r="K9" s="11"/>
      <c r="L9" s="189">
        <v>0</v>
      </c>
      <c r="M9" s="189">
        <v>0</v>
      </c>
      <c r="N9" s="189">
        <v>0</v>
      </c>
      <c r="O9" s="189">
        <v>1515.44</v>
      </c>
      <c r="P9" s="189">
        <v>0</v>
      </c>
      <c r="Q9" s="189">
        <v>0</v>
      </c>
      <c r="R9" s="189">
        <v>0</v>
      </c>
      <c r="S9" s="189">
        <v>0</v>
      </c>
      <c r="T9" s="189">
        <v>1515.44</v>
      </c>
    </row>
    <row r="10" spans="1:20">
      <c r="A10" s="13">
        <v>6</v>
      </c>
      <c r="B10" s="199" t="s">
        <v>239</v>
      </c>
      <c r="C10" s="200"/>
      <c r="D10" s="192">
        <v>0</v>
      </c>
      <c r="E10" s="192">
        <v>15</v>
      </c>
      <c r="F10" s="193">
        <v>61</v>
      </c>
      <c r="G10" s="188">
        <v>0</v>
      </c>
      <c r="H10" s="188">
        <v>0</v>
      </c>
      <c r="I10" s="11">
        <v>0</v>
      </c>
      <c r="J10" s="11">
        <v>0</v>
      </c>
      <c r="K10" s="11"/>
      <c r="L10" s="189">
        <v>0</v>
      </c>
      <c r="M10" s="189">
        <v>0</v>
      </c>
      <c r="N10" s="189">
        <v>2268.75</v>
      </c>
      <c r="O10" s="189">
        <v>1216.3399999999999</v>
      </c>
      <c r="P10" s="189">
        <v>0</v>
      </c>
      <c r="Q10" s="189">
        <v>0</v>
      </c>
      <c r="R10" s="189">
        <v>0</v>
      </c>
      <c r="S10" s="189">
        <v>0</v>
      </c>
      <c r="T10" s="189">
        <v>3485.09</v>
      </c>
    </row>
    <row r="11" spans="1:20">
      <c r="A11" s="13">
        <v>7</v>
      </c>
      <c r="B11" s="199" t="s">
        <v>240</v>
      </c>
      <c r="C11" s="200"/>
      <c r="D11" s="192">
        <v>0</v>
      </c>
      <c r="E11" s="192">
        <v>15</v>
      </c>
      <c r="F11" s="193">
        <v>46</v>
      </c>
      <c r="G11" s="188">
        <v>0</v>
      </c>
      <c r="H11" s="188">
        <v>0</v>
      </c>
      <c r="I11" s="11">
        <v>0</v>
      </c>
      <c r="J11" s="11">
        <v>0</v>
      </c>
      <c r="K11" s="11"/>
      <c r="L11" s="189">
        <v>0</v>
      </c>
      <c r="M11" s="189">
        <v>0</v>
      </c>
      <c r="N11" s="189">
        <v>2268.75</v>
      </c>
      <c r="O11" s="189">
        <v>917.24</v>
      </c>
      <c r="P11" s="189">
        <v>0</v>
      </c>
      <c r="Q11" s="189">
        <v>0</v>
      </c>
      <c r="R11" s="189">
        <v>0</v>
      </c>
      <c r="S11" s="189">
        <v>0</v>
      </c>
      <c r="T11" s="189">
        <v>3185.99</v>
      </c>
    </row>
    <row r="12" spans="1:20">
      <c r="A12" s="13">
        <v>8</v>
      </c>
      <c r="B12" s="199" t="s">
        <v>241</v>
      </c>
      <c r="C12" s="200"/>
      <c r="D12" s="192">
        <v>0</v>
      </c>
      <c r="E12" s="192">
        <v>0</v>
      </c>
      <c r="F12" s="193">
        <v>46</v>
      </c>
      <c r="G12" s="188">
        <v>0</v>
      </c>
      <c r="H12" s="188">
        <v>0</v>
      </c>
      <c r="I12" s="11">
        <v>0</v>
      </c>
      <c r="J12" s="11">
        <v>0</v>
      </c>
      <c r="K12" s="11"/>
      <c r="L12" s="189">
        <v>0</v>
      </c>
      <c r="M12" s="189">
        <v>0</v>
      </c>
      <c r="N12" s="189">
        <v>0</v>
      </c>
      <c r="O12" s="189">
        <v>917.24</v>
      </c>
      <c r="P12" s="189">
        <v>0</v>
      </c>
      <c r="Q12" s="189">
        <v>0</v>
      </c>
      <c r="R12" s="189">
        <v>0</v>
      </c>
      <c r="S12" s="189">
        <v>0</v>
      </c>
      <c r="T12" s="189">
        <v>917.24</v>
      </c>
    </row>
    <row r="13" spans="1:20">
      <c r="A13" s="13">
        <v>9</v>
      </c>
      <c r="B13" s="199" t="s">
        <v>242</v>
      </c>
      <c r="C13" s="200"/>
      <c r="D13" s="192">
        <v>0</v>
      </c>
      <c r="E13" s="192">
        <v>0</v>
      </c>
      <c r="F13" s="193">
        <v>46</v>
      </c>
      <c r="G13" s="188">
        <v>0</v>
      </c>
      <c r="H13" s="188">
        <v>0</v>
      </c>
      <c r="I13" s="11">
        <v>0</v>
      </c>
      <c r="J13" s="11">
        <v>0</v>
      </c>
      <c r="K13" s="11"/>
      <c r="L13" s="189">
        <v>0</v>
      </c>
      <c r="M13" s="189">
        <v>0</v>
      </c>
      <c r="N13" s="189">
        <v>0</v>
      </c>
      <c r="O13" s="189">
        <v>917.24</v>
      </c>
      <c r="P13" s="189">
        <v>0</v>
      </c>
      <c r="Q13" s="189">
        <v>0</v>
      </c>
      <c r="R13" s="189">
        <v>0</v>
      </c>
      <c r="S13" s="189">
        <v>0</v>
      </c>
      <c r="T13" s="189">
        <v>917.24</v>
      </c>
    </row>
    <row r="14" spans="1:20">
      <c r="A14" s="13">
        <v>10</v>
      </c>
      <c r="B14" s="199" t="s">
        <v>243</v>
      </c>
      <c r="C14" s="200"/>
      <c r="D14" s="192">
        <v>0</v>
      </c>
      <c r="E14" s="192">
        <v>0</v>
      </c>
      <c r="F14" s="193">
        <v>46</v>
      </c>
      <c r="G14" s="188">
        <v>0</v>
      </c>
      <c r="H14" s="188">
        <v>0</v>
      </c>
      <c r="I14" s="11">
        <v>0</v>
      </c>
      <c r="J14" s="11">
        <v>0</v>
      </c>
      <c r="K14" s="11"/>
      <c r="L14" s="189">
        <v>0</v>
      </c>
      <c r="M14" s="189">
        <v>0</v>
      </c>
      <c r="N14" s="189">
        <v>0</v>
      </c>
      <c r="O14" s="189">
        <v>917.24</v>
      </c>
      <c r="P14" s="189">
        <v>0</v>
      </c>
      <c r="Q14" s="189">
        <v>0</v>
      </c>
      <c r="R14" s="189">
        <v>0</v>
      </c>
      <c r="S14" s="189">
        <v>0</v>
      </c>
      <c r="T14" s="189">
        <v>917.24</v>
      </c>
    </row>
    <row r="15" spans="1:20">
      <c r="A15" s="13">
        <v>11</v>
      </c>
      <c r="B15" s="199" t="s">
        <v>244</v>
      </c>
      <c r="C15" s="200"/>
      <c r="D15" s="192">
        <v>0</v>
      </c>
      <c r="E15" s="192">
        <v>0</v>
      </c>
      <c r="F15" s="193">
        <v>46</v>
      </c>
      <c r="G15" s="188">
        <v>0</v>
      </c>
      <c r="H15" s="188">
        <v>0</v>
      </c>
      <c r="I15" s="11">
        <v>0</v>
      </c>
      <c r="J15" s="11">
        <v>0</v>
      </c>
      <c r="K15" s="11"/>
      <c r="L15" s="189">
        <v>0</v>
      </c>
      <c r="M15" s="189">
        <v>0</v>
      </c>
      <c r="N15" s="189">
        <v>0</v>
      </c>
      <c r="O15" s="189">
        <v>917.24</v>
      </c>
      <c r="P15" s="189">
        <v>0</v>
      </c>
      <c r="Q15" s="189">
        <v>0</v>
      </c>
      <c r="R15" s="189">
        <v>0</v>
      </c>
      <c r="S15" s="189">
        <v>0</v>
      </c>
      <c r="T15" s="189">
        <v>917.24</v>
      </c>
    </row>
    <row r="16" spans="1:20">
      <c r="A16" s="13">
        <v>12</v>
      </c>
      <c r="B16" s="199" t="s">
        <v>245</v>
      </c>
      <c r="C16" s="200"/>
      <c r="D16" s="192">
        <v>0</v>
      </c>
      <c r="E16" s="192">
        <v>0</v>
      </c>
      <c r="F16" s="193">
        <v>46</v>
      </c>
      <c r="G16" s="188">
        <v>0</v>
      </c>
      <c r="H16" s="188">
        <v>0</v>
      </c>
      <c r="I16" s="11">
        <v>0</v>
      </c>
      <c r="J16" s="11">
        <v>0</v>
      </c>
      <c r="K16" s="11"/>
      <c r="L16" s="189">
        <v>0</v>
      </c>
      <c r="M16" s="189">
        <v>0</v>
      </c>
      <c r="N16" s="189">
        <v>0</v>
      </c>
      <c r="O16" s="189">
        <v>917.24</v>
      </c>
      <c r="P16" s="189">
        <v>0</v>
      </c>
      <c r="Q16" s="189">
        <v>0</v>
      </c>
      <c r="R16" s="189">
        <v>0</v>
      </c>
      <c r="S16" s="189">
        <v>0</v>
      </c>
      <c r="T16" s="189">
        <v>917.24</v>
      </c>
    </row>
    <row r="17" spans="1:20">
      <c r="A17" s="13">
        <v>13</v>
      </c>
      <c r="B17" s="199" t="s">
        <v>246</v>
      </c>
      <c r="C17" s="200"/>
      <c r="D17" s="192">
        <v>0</v>
      </c>
      <c r="E17" s="192">
        <v>0</v>
      </c>
      <c r="F17" s="193">
        <v>46</v>
      </c>
      <c r="G17" s="188">
        <v>0</v>
      </c>
      <c r="H17" s="188">
        <v>0</v>
      </c>
      <c r="I17" s="11">
        <v>0</v>
      </c>
      <c r="J17" s="11">
        <v>0</v>
      </c>
      <c r="K17" s="11"/>
      <c r="L17" s="189">
        <v>0</v>
      </c>
      <c r="M17" s="189">
        <v>0</v>
      </c>
      <c r="N17" s="189">
        <v>0</v>
      </c>
      <c r="O17" s="189">
        <v>917.24</v>
      </c>
      <c r="P17" s="189">
        <v>0</v>
      </c>
      <c r="Q17" s="189">
        <v>0</v>
      </c>
      <c r="R17" s="189">
        <v>0</v>
      </c>
      <c r="S17" s="189">
        <v>0</v>
      </c>
      <c r="T17" s="189">
        <v>917.24</v>
      </c>
    </row>
    <row r="18" spans="1:20">
      <c r="A18" s="13">
        <v>14</v>
      </c>
      <c r="B18" s="199" t="s">
        <v>247</v>
      </c>
      <c r="C18" s="200"/>
      <c r="D18" s="192">
        <v>0</v>
      </c>
      <c r="E18" s="192">
        <v>0</v>
      </c>
      <c r="F18" s="193">
        <v>46</v>
      </c>
      <c r="G18" s="188">
        <v>0</v>
      </c>
      <c r="H18" s="188">
        <v>0</v>
      </c>
      <c r="I18" s="11">
        <v>0</v>
      </c>
      <c r="J18" s="11">
        <v>0</v>
      </c>
      <c r="K18" s="11"/>
      <c r="L18" s="189">
        <v>0</v>
      </c>
      <c r="M18" s="189">
        <v>0</v>
      </c>
      <c r="N18" s="189">
        <v>0</v>
      </c>
      <c r="O18" s="189">
        <v>917.24</v>
      </c>
      <c r="P18" s="189">
        <v>0</v>
      </c>
      <c r="Q18" s="189">
        <v>0</v>
      </c>
      <c r="R18" s="189">
        <v>0</v>
      </c>
      <c r="S18" s="189">
        <v>0</v>
      </c>
      <c r="T18" s="189">
        <v>917.24</v>
      </c>
    </row>
    <row r="19" spans="1:20">
      <c r="A19" s="13">
        <v>15</v>
      </c>
      <c r="B19" s="199" t="s">
        <v>248</v>
      </c>
      <c r="C19" s="200"/>
      <c r="D19" s="192">
        <v>0</v>
      </c>
      <c r="E19" s="192">
        <v>0</v>
      </c>
      <c r="F19" s="193">
        <v>46</v>
      </c>
      <c r="G19" s="188">
        <v>0</v>
      </c>
      <c r="H19" s="188">
        <v>0</v>
      </c>
      <c r="I19" s="11">
        <v>0</v>
      </c>
      <c r="J19" s="11">
        <v>0</v>
      </c>
      <c r="K19" s="11"/>
      <c r="L19" s="189">
        <v>0</v>
      </c>
      <c r="M19" s="189">
        <v>0</v>
      </c>
      <c r="N19" s="189">
        <v>0</v>
      </c>
      <c r="O19" s="189">
        <v>917.24</v>
      </c>
      <c r="P19" s="189">
        <v>0</v>
      </c>
      <c r="Q19" s="189">
        <v>0</v>
      </c>
      <c r="R19" s="189">
        <v>0</v>
      </c>
      <c r="S19" s="189">
        <v>0</v>
      </c>
      <c r="T19" s="189">
        <v>917.24</v>
      </c>
    </row>
    <row r="20" spans="1:20">
      <c r="A20" s="13">
        <v>16</v>
      </c>
      <c r="B20" s="199" t="s">
        <v>249</v>
      </c>
      <c r="C20" s="200"/>
      <c r="D20" s="192">
        <v>0</v>
      </c>
      <c r="E20" s="192">
        <v>0</v>
      </c>
      <c r="F20" s="193">
        <v>46</v>
      </c>
      <c r="G20" s="188">
        <v>0</v>
      </c>
      <c r="H20" s="188">
        <v>0</v>
      </c>
      <c r="I20" s="11">
        <v>0</v>
      </c>
      <c r="J20" s="11">
        <v>0</v>
      </c>
      <c r="K20" s="11"/>
      <c r="L20" s="189">
        <v>0</v>
      </c>
      <c r="M20" s="189">
        <v>0</v>
      </c>
      <c r="N20" s="189">
        <v>0</v>
      </c>
      <c r="O20" s="189">
        <v>917.24</v>
      </c>
      <c r="P20" s="189">
        <v>0</v>
      </c>
      <c r="Q20" s="189">
        <v>0</v>
      </c>
      <c r="R20" s="189">
        <v>0</v>
      </c>
      <c r="S20" s="189">
        <v>0</v>
      </c>
      <c r="T20" s="189">
        <v>917.24</v>
      </c>
    </row>
    <row r="21" spans="1:20">
      <c r="A21" s="13">
        <v>17</v>
      </c>
      <c r="B21" s="199" t="s">
        <v>250</v>
      </c>
      <c r="C21" s="200"/>
      <c r="D21" s="192">
        <v>0</v>
      </c>
      <c r="E21" s="192">
        <v>0</v>
      </c>
      <c r="F21" s="193">
        <v>46</v>
      </c>
      <c r="G21" s="188">
        <v>0</v>
      </c>
      <c r="H21" s="188">
        <v>0</v>
      </c>
      <c r="I21" s="11">
        <v>0</v>
      </c>
      <c r="J21" s="11">
        <v>0</v>
      </c>
      <c r="K21" s="11"/>
      <c r="L21" s="189">
        <v>0</v>
      </c>
      <c r="M21" s="189">
        <v>0</v>
      </c>
      <c r="N21" s="189">
        <v>0</v>
      </c>
      <c r="O21" s="189">
        <v>917.24</v>
      </c>
      <c r="P21" s="189">
        <v>0</v>
      </c>
      <c r="Q21" s="189">
        <v>0</v>
      </c>
      <c r="R21" s="189">
        <v>0</v>
      </c>
      <c r="S21" s="189">
        <v>0</v>
      </c>
      <c r="T21" s="189">
        <v>917.24</v>
      </c>
    </row>
    <row r="22" spans="1:20">
      <c r="A22" s="13">
        <v>18</v>
      </c>
      <c r="B22" s="199" t="s">
        <v>251</v>
      </c>
      <c r="C22" s="200"/>
      <c r="D22" s="192">
        <v>0</v>
      </c>
      <c r="E22" s="192">
        <v>0</v>
      </c>
      <c r="F22" s="193">
        <v>46</v>
      </c>
      <c r="G22" s="188">
        <v>0</v>
      </c>
      <c r="H22" s="188">
        <v>0</v>
      </c>
      <c r="I22" s="11">
        <v>0</v>
      </c>
      <c r="J22" s="11">
        <v>0</v>
      </c>
      <c r="K22" s="11"/>
      <c r="L22" s="189">
        <v>0</v>
      </c>
      <c r="M22" s="189">
        <v>0</v>
      </c>
      <c r="N22" s="189">
        <v>0</v>
      </c>
      <c r="O22" s="189">
        <v>917.24</v>
      </c>
      <c r="P22" s="189">
        <v>0</v>
      </c>
      <c r="Q22" s="189">
        <v>0</v>
      </c>
      <c r="R22" s="189">
        <v>0</v>
      </c>
      <c r="S22" s="189">
        <v>0</v>
      </c>
      <c r="T22" s="189">
        <v>917.24</v>
      </c>
    </row>
    <row r="23" spans="1:20">
      <c r="A23" s="13">
        <v>19</v>
      </c>
      <c r="B23" s="199" t="s">
        <v>252</v>
      </c>
      <c r="C23" s="200"/>
      <c r="D23" s="192">
        <v>0</v>
      </c>
      <c r="E23" s="192">
        <v>0</v>
      </c>
      <c r="F23" s="193">
        <v>46</v>
      </c>
      <c r="G23" s="188">
        <v>0</v>
      </c>
      <c r="H23" s="188">
        <v>0</v>
      </c>
      <c r="I23" s="11">
        <v>0</v>
      </c>
      <c r="J23" s="11">
        <v>0</v>
      </c>
      <c r="K23" s="11"/>
      <c r="L23" s="189">
        <v>0</v>
      </c>
      <c r="M23" s="189">
        <v>0</v>
      </c>
      <c r="N23" s="189">
        <v>0</v>
      </c>
      <c r="O23" s="189">
        <v>917.24</v>
      </c>
      <c r="P23" s="189">
        <v>0</v>
      </c>
      <c r="Q23" s="189">
        <v>0</v>
      </c>
      <c r="R23" s="189">
        <v>0</v>
      </c>
      <c r="S23" s="189">
        <v>0</v>
      </c>
      <c r="T23" s="189">
        <v>917.24</v>
      </c>
    </row>
    <row r="24" spans="1:20">
      <c r="A24" s="13">
        <v>20</v>
      </c>
      <c r="B24" s="199" t="s">
        <v>253</v>
      </c>
      <c r="C24" s="200"/>
      <c r="D24" s="192">
        <v>0</v>
      </c>
      <c r="E24" s="192">
        <v>0</v>
      </c>
      <c r="F24" s="193">
        <v>46</v>
      </c>
      <c r="G24" s="188">
        <v>0</v>
      </c>
      <c r="H24" s="188">
        <v>0</v>
      </c>
      <c r="I24" s="11">
        <v>0</v>
      </c>
      <c r="J24" s="11">
        <v>0</v>
      </c>
      <c r="K24" s="11"/>
      <c r="L24" s="189">
        <v>0</v>
      </c>
      <c r="M24" s="189">
        <v>0</v>
      </c>
      <c r="N24" s="189">
        <v>0</v>
      </c>
      <c r="O24" s="189">
        <v>917.24</v>
      </c>
      <c r="P24" s="189">
        <v>0</v>
      </c>
      <c r="Q24" s="189">
        <v>0</v>
      </c>
      <c r="R24" s="189">
        <v>0</v>
      </c>
      <c r="S24" s="189">
        <v>0</v>
      </c>
      <c r="T24" s="189">
        <v>917.24</v>
      </c>
    </row>
    <row r="25" spans="1:20">
      <c r="A25" s="13">
        <v>21</v>
      </c>
      <c r="B25" s="199" t="s">
        <v>254</v>
      </c>
      <c r="C25" s="200"/>
      <c r="D25" s="192">
        <v>0</v>
      </c>
      <c r="E25" s="192">
        <v>0</v>
      </c>
      <c r="F25" s="193">
        <v>46</v>
      </c>
      <c r="G25" s="188">
        <v>0</v>
      </c>
      <c r="H25" s="188">
        <v>0</v>
      </c>
      <c r="I25" s="11">
        <v>0</v>
      </c>
      <c r="J25" s="11">
        <v>0</v>
      </c>
      <c r="K25" s="11"/>
      <c r="L25" s="189">
        <v>0</v>
      </c>
      <c r="M25" s="189">
        <v>0</v>
      </c>
      <c r="N25" s="189">
        <v>0</v>
      </c>
      <c r="O25" s="189">
        <v>917.24</v>
      </c>
      <c r="P25" s="189">
        <v>0</v>
      </c>
      <c r="Q25" s="189">
        <v>0</v>
      </c>
      <c r="R25" s="189">
        <v>0</v>
      </c>
      <c r="S25" s="189">
        <v>0</v>
      </c>
      <c r="T25" s="189">
        <v>917.24</v>
      </c>
    </row>
    <row r="26" spans="1:20">
      <c r="A26" s="13">
        <v>22</v>
      </c>
      <c r="B26" s="199" t="s">
        <v>255</v>
      </c>
      <c r="C26" s="200"/>
      <c r="D26" s="192">
        <v>0</v>
      </c>
      <c r="E26" s="192">
        <v>0</v>
      </c>
      <c r="F26" s="193">
        <v>46</v>
      </c>
      <c r="G26" s="188">
        <v>0</v>
      </c>
      <c r="H26" s="188">
        <v>0</v>
      </c>
      <c r="I26" s="11">
        <v>0</v>
      </c>
      <c r="J26" s="11">
        <v>0</v>
      </c>
      <c r="K26" s="11"/>
      <c r="L26" s="189">
        <v>0</v>
      </c>
      <c r="M26" s="189">
        <v>0</v>
      </c>
      <c r="N26" s="189">
        <v>0</v>
      </c>
      <c r="O26" s="189">
        <v>917.24</v>
      </c>
      <c r="P26" s="189">
        <v>0</v>
      </c>
      <c r="Q26" s="189">
        <v>0</v>
      </c>
      <c r="R26" s="189">
        <v>0</v>
      </c>
      <c r="S26" s="189">
        <v>0</v>
      </c>
      <c r="T26" s="189">
        <v>917.24</v>
      </c>
    </row>
    <row r="27" spans="1:20">
      <c r="A27" s="13">
        <v>23</v>
      </c>
      <c r="B27" s="199" t="s">
        <v>256</v>
      </c>
      <c r="C27" s="200"/>
      <c r="D27" s="192">
        <v>0</v>
      </c>
      <c r="E27" s="192">
        <v>0</v>
      </c>
      <c r="F27" s="193">
        <v>46</v>
      </c>
      <c r="G27" s="188">
        <v>0</v>
      </c>
      <c r="H27" s="188">
        <v>0</v>
      </c>
      <c r="I27" s="11">
        <v>0</v>
      </c>
      <c r="J27" s="11">
        <v>0</v>
      </c>
      <c r="K27" s="11"/>
      <c r="L27" s="189">
        <v>0</v>
      </c>
      <c r="M27" s="189">
        <v>0</v>
      </c>
      <c r="N27" s="189">
        <v>0</v>
      </c>
      <c r="O27" s="189">
        <v>917.24</v>
      </c>
      <c r="P27" s="189">
        <v>0</v>
      </c>
      <c r="Q27" s="189">
        <v>0</v>
      </c>
      <c r="R27" s="189">
        <v>0</v>
      </c>
      <c r="S27" s="189">
        <v>0</v>
      </c>
      <c r="T27" s="189">
        <v>917.24</v>
      </c>
    </row>
    <row r="28" spans="1:20">
      <c r="A28" s="13">
        <v>24</v>
      </c>
      <c r="B28" s="199" t="s">
        <v>257</v>
      </c>
      <c r="C28" s="200"/>
      <c r="D28" s="192">
        <v>0</v>
      </c>
      <c r="E28" s="192">
        <v>0</v>
      </c>
      <c r="F28" s="193">
        <v>46</v>
      </c>
      <c r="G28" s="188">
        <v>0</v>
      </c>
      <c r="H28" s="188">
        <v>0</v>
      </c>
      <c r="I28" s="11">
        <v>0</v>
      </c>
      <c r="J28" s="11">
        <v>0</v>
      </c>
      <c r="K28" s="11"/>
      <c r="L28" s="189">
        <v>0</v>
      </c>
      <c r="M28" s="189">
        <v>0</v>
      </c>
      <c r="N28" s="189">
        <v>0</v>
      </c>
      <c r="O28" s="189">
        <v>917.24</v>
      </c>
      <c r="P28" s="189">
        <v>0</v>
      </c>
      <c r="Q28" s="189">
        <v>0</v>
      </c>
      <c r="R28" s="189">
        <v>0</v>
      </c>
      <c r="S28" s="189">
        <v>0</v>
      </c>
      <c r="T28" s="189">
        <v>917.24</v>
      </c>
    </row>
    <row r="29" spans="1:20">
      <c r="A29" s="13">
        <v>25</v>
      </c>
      <c r="B29" s="199" t="s">
        <v>258</v>
      </c>
      <c r="C29" s="200"/>
      <c r="D29" s="192">
        <v>0</v>
      </c>
      <c r="E29" s="192">
        <v>0</v>
      </c>
      <c r="F29" s="193">
        <v>46</v>
      </c>
      <c r="G29" s="188">
        <v>0</v>
      </c>
      <c r="H29" s="188">
        <v>0</v>
      </c>
      <c r="I29" s="11">
        <v>0</v>
      </c>
      <c r="J29" s="11">
        <v>0</v>
      </c>
      <c r="K29" s="11"/>
      <c r="L29" s="189">
        <v>0</v>
      </c>
      <c r="M29" s="189">
        <v>0</v>
      </c>
      <c r="N29" s="189">
        <v>0</v>
      </c>
      <c r="O29" s="189">
        <v>917.24</v>
      </c>
      <c r="P29" s="189">
        <v>0</v>
      </c>
      <c r="Q29" s="189">
        <v>0</v>
      </c>
      <c r="R29" s="189">
        <v>0</v>
      </c>
      <c r="S29" s="189">
        <v>0</v>
      </c>
      <c r="T29" s="189">
        <v>917.24</v>
      </c>
    </row>
    <row r="30" spans="1:20">
      <c r="A30" s="13">
        <v>26</v>
      </c>
      <c r="B30" s="199" t="s">
        <v>259</v>
      </c>
      <c r="C30" s="200"/>
      <c r="D30" s="192">
        <v>0</v>
      </c>
      <c r="E30" s="192">
        <v>0</v>
      </c>
      <c r="F30" s="193">
        <v>46</v>
      </c>
      <c r="G30" s="188">
        <v>0</v>
      </c>
      <c r="H30" s="188">
        <v>0</v>
      </c>
      <c r="I30" s="11">
        <v>0</v>
      </c>
      <c r="J30" s="11">
        <v>0</v>
      </c>
      <c r="K30" s="11"/>
      <c r="L30" s="189">
        <v>0</v>
      </c>
      <c r="M30" s="189">
        <v>0</v>
      </c>
      <c r="N30" s="189">
        <v>0</v>
      </c>
      <c r="O30" s="189">
        <v>917.24</v>
      </c>
      <c r="P30" s="189">
        <v>0</v>
      </c>
      <c r="Q30" s="189">
        <v>0</v>
      </c>
      <c r="R30" s="189">
        <v>0</v>
      </c>
      <c r="S30" s="189">
        <v>0</v>
      </c>
      <c r="T30" s="189">
        <v>917.24</v>
      </c>
    </row>
    <row r="31" spans="1:20">
      <c r="A31" s="13">
        <v>27</v>
      </c>
      <c r="B31" s="199" t="s">
        <v>260</v>
      </c>
      <c r="C31" s="200"/>
      <c r="D31" s="192">
        <v>0</v>
      </c>
      <c r="E31" s="192">
        <v>0</v>
      </c>
      <c r="F31" s="193">
        <v>46</v>
      </c>
      <c r="G31" s="188">
        <v>0</v>
      </c>
      <c r="H31" s="188">
        <v>0</v>
      </c>
      <c r="I31" s="11">
        <v>0</v>
      </c>
      <c r="J31" s="11">
        <v>0</v>
      </c>
      <c r="K31" s="11"/>
      <c r="L31" s="189">
        <v>0</v>
      </c>
      <c r="M31" s="189">
        <v>0</v>
      </c>
      <c r="N31" s="189">
        <v>0</v>
      </c>
      <c r="O31" s="189">
        <v>917.24</v>
      </c>
      <c r="P31" s="189">
        <v>0</v>
      </c>
      <c r="Q31" s="189">
        <v>0</v>
      </c>
      <c r="R31" s="189">
        <v>0</v>
      </c>
      <c r="S31" s="189">
        <v>0</v>
      </c>
      <c r="T31" s="189">
        <v>917.24</v>
      </c>
    </row>
    <row r="32" spans="1:20">
      <c r="A32" s="13">
        <v>28</v>
      </c>
      <c r="B32" s="199" t="s">
        <v>261</v>
      </c>
      <c r="C32" s="200"/>
      <c r="D32" s="192">
        <v>0</v>
      </c>
      <c r="E32" s="192">
        <v>0</v>
      </c>
      <c r="F32" s="193">
        <v>46</v>
      </c>
      <c r="G32" s="188">
        <v>0</v>
      </c>
      <c r="H32" s="188">
        <v>0</v>
      </c>
      <c r="I32" s="11">
        <v>0</v>
      </c>
      <c r="J32" s="11">
        <v>0</v>
      </c>
      <c r="K32" s="11"/>
      <c r="L32" s="189">
        <v>0</v>
      </c>
      <c r="M32" s="189">
        <v>0</v>
      </c>
      <c r="N32" s="189">
        <v>0</v>
      </c>
      <c r="O32" s="189">
        <v>917.24</v>
      </c>
      <c r="P32" s="189">
        <v>0</v>
      </c>
      <c r="Q32" s="189">
        <v>0</v>
      </c>
      <c r="R32" s="189">
        <v>0</v>
      </c>
      <c r="S32" s="189">
        <v>0</v>
      </c>
      <c r="T32" s="189">
        <v>917.24</v>
      </c>
    </row>
    <row r="33" spans="1:20">
      <c r="A33" s="13">
        <v>29</v>
      </c>
      <c r="B33" s="199"/>
      <c r="C33" s="200"/>
      <c r="D33" s="192">
        <v>0</v>
      </c>
      <c r="E33" s="192">
        <v>0</v>
      </c>
      <c r="F33" s="193">
        <v>0</v>
      </c>
      <c r="G33" s="188">
        <v>0</v>
      </c>
      <c r="H33" s="188">
        <v>0</v>
      </c>
      <c r="I33" s="11">
        <v>0</v>
      </c>
      <c r="J33" s="11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2">
        <v>0</v>
      </c>
      <c r="E34" s="192">
        <v>0</v>
      </c>
      <c r="F34" s="193">
        <v>0</v>
      </c>
      <c r="G34" s="188">
        <v>0</v>
      </c>
      <c r="H34" s="188">
        <v>0</v>
      </c>
      <c r="I34" s="11">
        <v>0</v>
      </c>
      <c r="J34" s="11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2">
        <v>0</v>
      </c>
      <c r="E35" s="192">
        <v>0</v>
      </c>
      <c r="F35" s="193">
        <v>0</v>
      </c>
      <c r="G35" s="188">
        <v>0</v>
      </c>
      <c r="H35" s="188">
        <v>0</v>
      </c>
      <c r="I35" s="11">
        <v>0</v>
      </c>
      <c r="J35" s="11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20">
        <v>0</v>
      </c>
      <c r="E36" s="20">
        <v>30</v>
      </c>
      <c r="F36" s="20">
        <v>1453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190">
        <v>0</v>
      </c>
      <c r="M36" s="190">
        <v>0</v>
      </c>
      <c r="N36" s="190">
        <v>4537.5</v>
      </c>
      <c r="O36" s="190">
        <v>28972.82</v>
      </c>
      <c r="P36" s="190">
        <v>0</v>
      </c>
      <c r="Q36" s="190">
        <v>0</v>
      </c>
      <c r="R36" s="190">
        <v>0</v>
      </c>
      <c r="S36" s="190">
        <v>0</v>
      </c>
      <c r="T36" s="190">
        <v>33510.32</v>
      </c>
    </row>
    <row r="37" spans="1:20">
      <c r="R37" s="22"/>
      <c r="S37" s="22"/>
      <c r="T37" s="191">
        <v>40212.379999999997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E3B8-45A4-43BD-B9E7-CF4D786FA075}">
  <sheetPr codeName="Лист29">
    <pageSetUpPr fitToPage="1"/>
  </sheetPr>
  <dimension ref="A1:T37"/>
  <sheetViews>
    <sheetView topLeftCell="A19" workbookViewId="0">
      <selection activeCell="M23" sqref="M23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264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265</v>
      </c>
      <c r="H3" s="202" t="s">
        <v>266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3.85</v>
      </c>
      <c r="G5" s="195">
        <v>0</v>
      </c>
      <c r="H5" s="195">
        <v>0</v>
      </c>
      <c r="I5" s="10">
        <v>0</v>
      </c>
      <c r="J5" s="11">
        <v>0</v>
      </c>
      <c r="K5" s="11">
        <v>0</v>
      </c>
      <c r="L5" s="189">
        <v>0</v>
      </c>
      <c r="M5" s="189">
        <v>0</v>
      </c>
      <c r="N5" s="189">
        <v>0</v>
      </c>
      <c r="O5" s="189">
        <v>61.87</v>
      </c>
      <c r="P5" s="189">
        <v>0</v>
      </c>
      <c r="Q5" s="189">
        <v>0</v>
      </c>
      <c r="R5" s="189">
        <v>0</v>
      </c>
      <c r="S5" s="189">
        <v>0</v>
      </c>
      <c r="T5" s="189">
        <v>61.87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3.85</v>
      </c>
      <c r="G6" s="195">
        <v>0</v>
      </c>
      <c r="H6" s="195">
        <v>0</v>
      </c>
      <c r="I6" s="10">
        <v>0</v>
      </c>
      <c r="J6" s="11">
        <v>0</v>
      </c>
      <c r="K6" s="11">
        <v>0</v>
      </c>
      <c r="L6" s="189">
        <v>0</v>
      </c>
      <c r="M6" s="189">
        <v>0</v>
      </c>
      <c r="N6" s="189">
        <v>0</v>
      </c>
      <c r="O6" s="189">
        <v>61.87</v>
      </c>
      <c r="P6" s="189">
        <v>0</v>
      </c>
      <c r="Q6" s="189">
        <v>0</v>
      </c>
      <c r="R6" s="189">
        <v>0</v>
      </c>
      <c r="S6" s="189">
        <v>0</v>
      </c>
      <c r="T6" s="189">
        <v>61.87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3.85</v>
      </c>
      <c r="G7" s="195">
        <v>0</v>
      </c>
      <c r="H7" s="195">
        <v>0</v>
      </c>
      <c r="I7" s="10">
        <v>0</v>
      </c>
      <c r="J7" s="11">
        <v>0</v>
      </c>
      <c r="K7" s="11">
        <v>0</v>
      </c>
      <c r="L7" s="189">
        <v>0</v>
      </c>
      <c r="M7" s="189">
        <v>0</v>
      </c>
      <c r="N7" s="189">
        <v>0</v>
      </c>
      <c r="O7" s="189">
        <v>61.87</v>
      </c>
      <c r="P7" s="189">
        <v>0</v>
      </c>
      <c r="Q7" s="189">
        <v>0</v>
      </c>
      <c r="R7" s="189">
        <v>0</v>
      </c>
      <c r="S7" s="189">
        <v>0</v>
      </c>
      <c r="T7" s="189">
        <v>61.87</v>
      </c>
    </row>
    <row r="8" spans="1:20">
      <c r="A8" s="13">
        <v>4</v>
      </c>
      <c r="B8" s="199" t="s">
        <v>204</v>
      </c>
      <c r="C8" s="200"/>
      <c r="D8" s="194">
        <v>0</v>
      </c>
      <c r="E8" s="194">
        <v>0</v>
      </c>
      <c r="F8" s="194">
        <v>3.85</v>
      </c>
      <c r="G8" s="195">
        <v>0</v>
      </c>
      <c r="H8" s="195">
        <v>0</v>
      </c>
      <c r="I8" s="10">
        <v>0</v>
      </c>
      <c r="J8" s="11">
        <v>0</v>
      </c>
      <c r="K8" s="11">
        <v>0</v>
      </c>
      <c r="L8" s="189">
        <v>0</v>
      </c>
      <c r="M8" s="189">
        <v>0</v>
      </c>
      <c r="N8" s="189">
        <v>0</v>
      </c>
      <c r="O8" s="189">
        <v>61.87</v>
      </c>
      <c r="P8" s="189">
        <v>0</v>
      </c>
      <c r="Q8" s="189">
        <v>0</v>
      </c>
      <c r="R8" s="189">
        <v>0</v>
      </c>
      <c r="S8" s="189">
        <v>0</v>
      </c>
      <c r="T8" s="189">
        <v>61.87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3.85</v>
      </c>
      <c r="G9" s="195">
        <v>0</v>
      </c>
      <c r="H9" s="195">
        <v>0</v>
      </c>
      <c r="I9" s="10">
        <v>0</v>
      </c>
      <c r="J9" s="11">
        <v>0</v>
      </c>
      <c r="K9" s="11">
        <v>0</v>
      </c>
      <c r="L9" s="189">
        <v>0</v>
      </c>
      <c r="M9" s="189">
        <v>0</v>
      </c>
      <c r="N9" s="189">
        <v>0</v>
      </c>
      <c r="O9" s="189">
        <v>61.87</v>
      </c>
      <c r="P9" s="189">
        <v>0</v>
      </c>
      <c r="Q9" s="189">
        <v>0</v>
      </c>
      <c r="R9" s="189">
        <v>0</v>
      </c>
      <c r="S9" s="189">
        <v>0</v>
      </c>
      <c r="T9" s="189">
        <v>61.87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3.85</v>
      </c>
      <c r="G10" s="195">
        <v>0</v>
      </c>
      <c r="H10" s="195">
        <v>0</v>
      </c>
      <c r="I10" s="10">
        <v>0</v>
      </c>
      <c r="J10" s="11">
        <v>0</v>
      </c>
      <c r="K10" s="11">
        <v>0</v>
      </c>
      <c r="L10" s="189">
        <v>0</v>
      </c>
      <c r="M10" s="189">
        <v>0</v>
      </c>
      <c r="N10" s="189">
        <v>0</v>
      </c>
      <c r="O10" s="189">
        <v>61.87</v>
      </c>
      <c r="P10" s="189">
        <v>0</v>
      </c>
      <c r="Q10" s="189">
        <v>0</v>
      </c>
      <c r="R10" s="189">
        <v>0</v>
      </c>
      <c r="S10" s="189">
        <v>0</v>
      </c>
      <c r="T10" s="189">
        <v>61.87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3.85</v>
      </c>
      <c r="G11" s="195">
        <v>0</v>
      </c>
      <c r="H11" s="195">
        <v>0</v>
      </c>
      <c r="I11" s="10">
        <v>0</v>
      </c>
      <c r="J11" s="11">
        <v>0</v>
      </c>
      <c r="K11" s="11">
        <v>0</v>
      </c>
      <c r="L11" s="189">
        <v>0</v>
      </c>
      <c r="M11" s="189">
        <v>0</v>
      </c>
      <c r="N11" s="189">
        <v>0</v>
      </c>
      <c r="O11" s="189">
        <v>61.87</v>
      </c>
      <c r="P11" s="189">
        <v>0</v>
      </c>
      <c r="Q11" s="189">
        <v>0</v>
      </c>
      <c r="R11" s="189">
        <v>0</v>
      </c>
      <c r="S11" s="189">
        <v>0</v>
      </c>
      <c r="T11" s="189">
        <v>61.87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3.85</v>
      </c>
      <c r="G12" s="195">
        <v>0</v>
      </c>
      <c r="H12" s="195">
        <v>0</v>
      </c>
      <c r="I12" s="10">
        <v>0</v>
      </c>
      <c r="J12" s="11">
        <v>0</v>
      </c>
      <c r="K12" s="11">
        <v>0</v>
      </c>
      <c r="L12" s="189">
        <v>0</v>
      </c>
      <c r="M12" s="189">
        <v>0</v>
      </c>
      <c r="N12" s="189">
        <v>0</v>
      </c>
      <c r="O12" s="189">
        <v>61.87</v>
      </c>
      <c r="P12" s="189">
        <v>0</v>
      </c>
      <c r="Q12" s="189">
        <v>0</v>
      </c>
      <c r="R12" s="189">
        <v>0</v>
      </c>
      <c r="S12" s="189">
        <v>0</v>
      </c>
      <c r="T12" s="189">
        <v>61.87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3.85</v>
      </c>
      <c r="G13" s="195">
        <v>0</v>
      </c>
      <c r="H13" s="195">
        <v>0</v>
      </c>
      <c r="I13" s="10">
        <v>0</v>
      </c>
      <c r="J13" s="11">
        <v>0</v>
      </c>
      <c r="K13" s="11">
        <v>0</v>
      </c>
      <c r="L13" s="189">
        <v>0</v>
      </c>
      <c r="M13" s="189">
        <v>0</v>
      </c>
      <c r="N13" s="189">
        <v>0</v>
      </c>
      <c r="O13" s="189">
        <v>61.87</v>
      </c>
      <c r="P13" s="189">
        <v>0</v>
      </c>
      <c r="Q13" s="189">
        <v>0</v>
      </c>
      <c r="R13" s="189">
        <v>0</v>
      </c>
      <c r="S13" s="189">
        <v>0</v>
      </c>
      <c r="T13" s="189">
        <v>61.87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3.85</v>
      </c>
      <c r="G14" s="195">
        <v>0</v>
      </c>
      <c r="H14" s="195">
        <v>0</v>
      </c>
      <c r="I14" s="10">
        <v>0</v>
      </c>
      <c r="J14" s="11">
        <v>0</v>
      </c>
      <c r="K14" s="11">
        <v>0</v>
      </c>
      <c r="L14" s="189">
        <v>0</v>
      </c>
      <c r="M14" s="189">
        <v>0</v>
      </c>
      <c r="N14" s="189">
        <v>0</v>
      </c>
      <c r="O14" s="189">
        <v>61.87</v>
      </c>
      <c r="P14" s="189">
        <v>0</v>
      </c>
      <c r="Q14" s="189">
        <v>0</v>
      </c>
      <c r="R14" s="189">
        <v>0</v>
      </c>
      <c r="S14" s="189">
        <v>0</v>
      </c>
      <c r="T14" s="189">
        <v>61.87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3.85</v>
      </c>
      <c r="G15" s="195">
        <v>0</v>
      </c>
      <c r="H15" s="195">
        <v>0</v>
      </c>
      <c r="I15" s="10">
        <v>0</v>
      </c>
      <c r="J15" s="11">
        <v>0</v>
      </c>
      <c r="K15" s="11">
        <v>0</v>
      </c>
      <c r="L15" s="189">
        <v>0</v>
      </c>
      <c r="M15" s="189">
        <v>0</v>
      </c>
      <c r="N15" s="189">
        <v>0</v>
      </c>
      <c r="O15" s="189">
        <v>61.87</v>
      </c>
      <c r="P15" s="189">
        <v>0</v>
      </c>
      <c r="Q15" s="189">
        <v>0</v>
      </c>
      <c r="R15" s="189">
        <v>0</v>
      </c>
      <c r="S15" s="189">
        <v>0</v>
      </c>
      <c r="T15" s="189">
        <v>61.87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3.85</v>
      </c>
      <c r="G16" s="195">
        <v>0</v>
      </c>
      <c r="H16" s="195">
        <v>0</v>
      </c>
      <c r="I16" s="10">
        <v>0</v>
      </c>
      <c r="J16" s="11">
        <v>0</v>
      </c>
      <c r="K16" s="11">
        <v>0</v>
      </c>
      <c r="L16" s="189">
        <v>0</v>
      </c>
      <c r="M16" s="189">
        <v>0</v>
      </c>
      <c r="N16" s="189">
        <v>0</v>
      </c>
      <c r="O16" s="189">
        <v>61.87</v>
      </c>
      <c r="P16" s="189">
        <v>0</v>
      </c>
      <c r="Q16" s="189">
        <v>0</v>
      </c>
      <c r="R16" s="189">
        <v>0</v>
      </c>
      <c r="S16" s="189">
        <v>0</v>
      </c>
      <c r="T16" s="189">
        <v>61.87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3.85</v>
      </c>
      <c r="G17" s="195">
        <v>0</v>
      </c>
      <c r="H17" s="195">
        <v>0</v>
      </c>
      <c r="I17" s="10">
        <v>0</v>
      </c>
      <c r="J17" s="11">
        <v>0</v>
      </c>
      <c r="K17" s="11">
        <v>0</v>
      </c>
      <c r="L17" s="189">
        <v>0</v>
      </c>
      <c r="M17" s="189">
        <v>0</v>
      </c>
      <c r="N17" s="189">
        <v>0</v>
      </c>
      <c r="O17" s="189">
        <v>61.87</v>
      </c>
      <c r="P17" s="189">
        <v>0</v>
      </c>
      <c r="Q17" s="189">
        <v>0</v>
      </c>
      <c r="R17" s="189">
        <v>0</v>
      </c>
      <c r="S17" s="189">
        <v>0</v>
      </c>
      <c r="T17" s="189">
        <v>61.87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3.85</v>
      </c>
      <c r="G18" s="195">
        <v>0</v>
      </c>
      <c r="H18" s="195">
        <v>0</v>
      </c>
      <c r="I18" s="10">
        <v>0</v>
      </c>
      <c r="J18" s="11">
        <v>0</v>
      </c>
      <c r="K18" s="11">
        <v>0</v>
      </c>
      <c r="L18" s="189">
        <v>0</v>
      </c>
      <c r="M18" s="189">
        <v>0</v>
      </c>
      <c r="N18" s="189">
        <v>0</v>
      </c>
      <c r="O18" s="189">
        <v>61.87</v>
      </c>
      <c r="P18" s="189">
        <v>0</v>
      </c>
      <c r="Q18" s="189">
        <v>0</v>
      </c>
      <c r="R18" s="189">
        <v>0</v>
      </c>
      <c r="S18" s="189">
        <v>0</v>
      </c>
      <c r="T18" s="189">
        <v>61.87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3.85</v>
      </c>
      <c r="G19" s="195">
        <v>0</v>
      </c>
      <c r="H19" s="195">
        <v>0</v>
      </c>
      <c r="I19" s="10">
        <v>0</v>
      </c>
      <c r="J19" s="11">
        <v>0</v>
      </c>
      <c r="K19" s="11">
        <v>0</v>
      </c>
      <c r="L19" s="189">
        <v>0</v>
      </c>
      <c r="M19" s="189">
        <v>0</v>
      </c>
      <c r="N19" s="189">
        <v>0</v>
      </c>
      <c r="O19" s="189">
        <v>61.87</v>
      </c>
      <c r="P19" s="189">
        <v>0</v>
      </c>
      <c r="Q19" s="189">
        <v>0</v>
      </c>
      <c r="R19" s="189">
        <v>0</v>
      </c>
      <c r="S19" s="189">
        <v>0</v>
      </c>
      <c r="T19" s="189">
        <v>61.87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3.85</v>
      </c>
      <c r="G20" s="195">
        <v>0</v>
      </c>
      <c r="H20" s="195">
        <v>0</v>
      </c>
      <c r="I20" s="10">
        <v>0</v>
      </c>
      <c r="J20" s="11">
        <v>0</v>
      </c>
      <c r="K20" s="11">
        <v>0</v>
      </c>
      <c r="L20" s="189">
        <v>0</v>
      </c>
      <c r="M20" s="189">
        <v>0</v>
      </c>
      <c r="N20" s="189">
        <v>0</v>
      </c>
      <c r="O20" s="189">
        <v>61.87</v>
      </c>
      <c r="P20" s="189">
        <v>0</v>
      </c>
      <c r="Q20" s="189">
        <v>0</v>
      </c>
      <c r="R20" s="189">
        <v>0</v>
      </c>
      <c r="S20" s="189">
        <v>0</v>
      </c>
      <c r="T20" s="189">
        <v>61.87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3.85</v>
      </c>
      <c r="G21" s="195">
        <v>0</v>
      </c>
      <c r="H21" s="195">
        <v>0</v>
      </c>
      <c r="I21" s="10">
        <v>0</v>
      </c>
      <c r="J21" s="11">
        <v>0</v>
      </c>
      <c r="K21" s="11">
        <v>0</v>
      </c>
      <c r="L21" s="189">
        <v>0</v>
      </c>
      <c r="M21" s="189">
        <v>0</v>
      </c>
      <c r="N21" s="189">
        <v>0</v>
      </c>
      <c r="O21" s="189">
        <v>61.87</v>
      </c>
      <c r="P21" s="189">
        <v>0</v>
      </c>
      <c r="Q21" s="189">
        <v>0</v>
      </c>
      <c r="R21" s="189">
        <v>0</v>
      </c>
      <c r="S21" s="189">
        <v>0</v>
      </c>
      <c r="T21" s="189">
        <v>61.87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3.85</v>
      </c>
      <c r="G22" s="195">
        <v>0</v>
      </c>
      <c r="H22" s="195">
        <v>0</v>
      </c>
      <c r="I22" s="10">
        <v>0</v>
      </c>
      <c r="J22" s="11">
        <v>0</v>
      </c>
      <c r="K22" s="11">
        <v>0</v>
      </c>
      <c r="L22" s="189">
        <v>0</v>
      </c>
      <c r="M22" s="189">
        <v>0</v>
      </c>
      <c r="N22" s="189">
        <v>0</v>
      </c>
      <c r="O22" s="189">
        <v>61.87</v>
      </c>
      <c r="P22" s="189">
        <v>0</v>
      </c>
      <c r="Q22" s="189">
        <v>0</v>
      </c>
      <c r="R22" s="189">
        <v>0</v>
      </c>
      <c r="S22" s="189">
        <v>0</v>
      </c>
      <c r="T22" s="189">
        <v>61.87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3.85</v>
      </c>
      <c r="G23" s="195">
        <v>0</v>
      </c>
      <c r="H23" s="195">
        <v>0</v>
      </c>
      <c r="I23" s="10">
        <v>0</v>
      </c>
      <c r="J23" s="11">
        <v>0</v>
      </c>
      <c r="K23" s="11">
        <v>0</v>
      </c>
      <c r="L23" s="189">
        <v>0</v>
      </c>
      <c r="M23" s="189">
        <v>0</v>
      </c>
      <c r="N23" s="189">
        <v>0</v>
      </c>
      <c r="O23" s="189">
        <v>61.87</v>
      </c>
      <c r="P23" s="189">
        <v>0</v>
      </c>
      <c r="Q23" s="189">
        <v>0</v>
      </c>
      <c r="R23" s="189">
        <v>0</v>
      </c>
      <c r="S23" s="189">
        <v>0</v>
      </c>
      <c r="T23" s="189">
        <v>61.87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3.85</v>
      </c>
      <c r="G24" s="195">
        <v>0</v>
      </c>
      <c r="H24" s="195">
        <v>0</v>
      </c>
      <c r="I24" s="10">
        <v>0</v>
      </c>
      <c r="J24" s="11">
        <v>0</v>
      </c>
      <c r="K24" s="11">
        <v>0</v>
      </c>
      <c r="L24" s="189">
        <v>0</v>
      </c>
      <c r="M24" s="189">
        <v>0</v>
      </c>
      <c r="N24" s="189">
        <v>0</v>
      </c>
      <c r="O24" s="189">
        <v>61.87</v>
      </c>
      <c r="P24" s="189">
        <v>0</v>
      </c>
      <c r="Q24" s="189">
        <v>0</v>
      </c>
      <c r="R24" s="189">
        <v>0</v>
      </c>
      <c r="S24" s="189">
        <v>0</v>
      </c>
      <c r="T24" s="189">
        <v>61.87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3.85</v>
      </c>
      <c r="G25" s="195">
        <v>0</v>
      </c>
      <c r="H25" s="195">
        <v>0</v>
      </c>
      <c r="I25" s="10">
        <v>0</v>
      </c>
      <c r="J25" s="11">
        <v>0</v>
      </c>
      <c r="K25" s="11">
        <v>0</v>
      </c>
      <c r="L25" s="189">
        <v>0</v>
      </c>
      <c r="M25" s="189">
        <v>0</v>
      </c>
      <c r="N25" s="189">
        <v>0</v>
      </c>
      <c r="O25" s="189">
        <v>61.87</v>
      </c>
      <c r="P25" s="189">
        <v>0</v>
      </c>
      <c r="Q25" s="189">
        <v>0</v>
      </c>
      <c r="R25" s="189">
        <v>0</v>
      </c>
      <c r="S25" s="189">
        <v>0</v>
      </c>
      <c r="T25" s="189">
        <v>61.87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3.85</v>
      </c>
      <c r="G26" s="195">
        <v>0</v>
      </c>
      <c r="H26" s="195">
        <v>0</v>
      </c>
      <c r="I26" s="10">
        <v>0</v>
      </c>
      <c r="J26" s="11">
        <v>0</v>
      </c>
      <c r="K26" s="11">
        <v>0</v>
      </c>
      <c r="L26" s="189">
        <v>0</v>
      </c>
      <c r="M26" s="189">
        <v>0</v>
      </c>
      <c r="N26" s="189">
        <v>0</v>
      </c>
      <c r="O26" s="189">
        <v>61.87</v>
      </c>
      <c r="P26" s="189">
        <v>0</v>
      </c>
      <c r="Q26" s="189">
        <v>0</v>
      </c>
      <c r="R26" s="189">
        <v>0</v>
      </c>
      <c r="S26" s="189">
        <v>0</v>
      </c>
      <c r="T26" s="189">
        <v>61.87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3.85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61.87</v>
      </c>
      <c r="P27" s="189">
        <v>0</v>
      </c>
      <c r="Q27" s="189">
        <v>0</v>
      </c>
      <c r="R27" s="189">
        <v>0</v>
      </c>
      <c r="S27" s="189">
        <v>0</v>
      </c>
      <c r="T27" s="189">
        <v>61.87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3.85</v>
      </c>
      <c r="G28" s="195">
        <v>0</v>
      </c>
      <c r="H28" s="195">
        <v>0</v>
      </c>
      <c r="I28" s="10">
        <v>0</v>
      </c>
      <c r="J28" s="11">
        <v>0</v>
      </c>
      <c r="K28" s="11">
        <v>0</v>
      </c>
      <c r="L28" s="189">
        <v>0</v>
      </c>
      <c r="M28" s="189">
        <v>0</v>
      </c>
      <c r="N28" s="189">
        <v>0</v>
      </c>
      <c r="O28" s="189">
        <v>61.87</v>
      </c>
      <c r="P28" s="189">
        <v>0</v>
      </c>
      <c r="Q28" s="189">
        <v>0</v>
      </c>
      <c r="R28" s="189">
        <v>0</v>
      </c>
      <c r="S28" s="189">
        <v>0</v>
      </c>
      <c r="T28" s="189">
        <v>61.87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3.85</v>
      </c>
      <c r="G29" s="195">
        <v>0</v>
      </c>
      <c r="H29" s="195">
        <v>0</v>
      </c>
      <c r="I29" s="10">
        <v>0</v>
      </c>
      <c r="J29" s="11">
        <v>0</v>
      </c>
      <c r="K29" s="11">
        <v>0</v>
      </c>
      <c r="L29" s="189">
        <v>0</v>
      </c>
      <c r="M29" s="189">
        <v>0</v>
      </c>
      <c r="N29" s="189">
        <v>0</v>
      </c>
      <c r="O29" s="189">
        <v>61.87</v>
      </c>
      <c r="P29" s="189">
        <v>0</v>
      </c>
      <c r="Q29" s="189">
        <v>0</v>
      </c>
      <c r="R29" s="189">
        <v>0</v>
      </c>
      <c r="S29" s="189">
        <v>0</v>
      </c>
      <c r="T29" s="189">
        <v>61.87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3.85</v>
      </c>
      <c r="G30" s="195">
        <v>0</v>
      </c>
      <c r="H30" s="195">
        <v>0</v>
      </c>
      <c r="I30" s="10">
        <v>0</v>
      </c>
      <c r="J30" s="11">
        <v>0</v>
      </c>
      <c r="K30" s="11">
        <v>0</v>
      </c>
      <c r="L30" s="189">
        <v>0</v>
      </c>
      <c r="M30" s="189">
        <v>0</v>
      </c>
      <c r="N30" s="189">
        <v>0</v>
      </c>
      <c r="O30" s="189">
        <v>61.87</v>
      </c>
      <c r="P30" s="189">
        <v>0</v>
      </c>
      <c r="Q30" s="189">
        <v>0</v>
      </c>
      <c r="R30" s="189">
        <v>0</v>
      </c>
      <c r="S30" s="189">
        <v>0</v>
      </c>
      <c r="T30" s="189">
        <v>61.87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3.85</v>
      </c>
      <c r="G31" s="195">
        <v>0</v>
      </c>
      <c r="H31" s="195">
        <v>0</v>
      </c>
      <c r="I31" s="10">
        <v>0</v>
      </c>
      <c r="J31" s="11">
        <v>0</v>
      </c>
      <c r="K31" s="11">
        <v>0</v>
      </c>
      <c r="L31" s="189">
        <v>0</v>
      </c>
      <c r="M31" s="189">
        <v>0</v>
      </c>
      <c r="N31" s="189">
        <v>0</v>
      </c>
      <c r="O31" s="189">
        <v>61.87</v>
      </c>
      <c r="P31" s="189">
        <v>0</v>
      </c>
      <c r="Q31" s="189">
        <v>0</v>
      </c>
      <c r="R31" s="189">
        <v>0</v>
      </c>
      <c r="S31" s="189">
        <v>0</v>
      </c>
      <c r="T31" s="189">
        <v>61.87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3.85</v>
      </c>
      <c r="G32" s="195">
        <v>0</v>
      </c>
      <c r="H32" s="195">
        <v>0</v>
      </c>
      <c r="I32" s="10">
        <v>0</v>
      </c>
      <c r="J32" s="11">
        <v>0</v>
      </c>
      <c r="K32" s="11">
        <v>0</v>
      </c>
      <c r="L32" s="189">
        <v>0</v>
      </c>
      <c r="M32" s="189">
        <v>0</v>
      </c>
      <c r="N32" s="189">
        <v>0</v>
      </c>
      <c r="O32" s="189">
        <v>61.87</v>
      </c>
      <c r="P32" s="189">
        <v>0</v>
      </c>
      <c r="Q32" s="189">
        <v>0</v>
      </c>
      <c r="R32" s="189">
        <v>0</v>
      </c>
      <c r="S32" s="189">
        <v>0</v>
      </c>
      <c r="T32" s="189">
        <v>61.87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0</v>
      </c>
      <c r="E36" s="19">
        <v>0</v>
      </c>
      <c r="F36" s="19">
        <v>107.79999999999995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0">
        <v>0</v>
      </c>
      <c r="M36" s="190">
        <v>0</v>
      </c>
      <c r="N36" s="190">
        <v>0</v>
      </c>
      <c r="O36" s="190">
        <v>1732.35</v>
      </c>
      <c r="P36" s="190">
        <v>0</v>
      </c>
      <c r="Q36" s="190">
        <v>0</v>
      </c>
      <c r="R36" s="190">
        <v>0</v>
      </c>
      <c r="S36" s="190">
        <v>0</v>
      </c>
      <c r="T36" s="190">
        <v>1732.35</v>
      </c>
    </row>
    <row r="37" spans="1:20">
      <c r="R37" s="22"/>
      <c r="S37" s="22"/>
      <c r="T37" s="191">
        <v>2113.46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9FBD-438A-4960-BD8D-05C6093D2C8E}">
  <sheetPr codeName="Лист30">
    <pageSetUpPr fitToPage="1"/>
  </sheetPr>
  <dimension ref="A1:T37"/>
  <sheetViews>
    <sheetView workbookViewId="0">
      <selection activeCell="I5" sqref="I5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268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265</v>
      </c>
      <c r="H3" s="202" t="s">
        <v>266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404.995</v>
      </c>
      <c r="E5" s="194">
        <v>90</v>
      </c>
      <c r="F5" s="194">
        <v>8704.6560000000009</v>
      </c>
      <c r="G5" s="195">
        <v>1795.3439999999991</v>
      </c>
      <c r="H5" s="195">
        <v>505.005</v>
      </c>
      <c r="I5" s="10">
        <v>1.4750000000000001</v>
      </c>
      <c r="J5" s="11">
        <v>1.4750000000000001</v>
      </c>
      <c r="K5" s="11">
        <v>0.02</v>
      </c>
      <c r="L5" s="189">
        <v>3</v>
      </c>
      <c r="M5" s="189">
        <v>38474.53</v>
      </c>
      <c r="N5" s="189">
        <v>8550</v>
      </c>
      <c r="O5" s="189">
        <v>139883.82</v>
      </c>
      <c r="P5" s="189">
        <v>28851.18</v>
      </c>
      <c r="Q5" s="189">
        <v>47975.48</v>
      </c>
      <c r="R5" s="189">
        <v>1475</v>
      </c>
      <c r="S5" s="189">
        <v>295</v>
      </c>
      <c r="T5" s="189">
        <v>265508</v>
      </c>
    </row>
    <row r="6" spans="1:20">
      <c r="A6" s="13">
        <v>2</v>
      </c>
      <c r="B6" s="199" t="s">
        <v>202</v>
      </c>
      <c r="C6" s="200"/>
      <c r="D6" s="194">
        <v>405</v>
      </c>
      <c r="E6" s="194">
        <v>22.5</v>
      </c>
      <c r="F6" s="194">
        <v>9087.1560000000009</v>
      </c>
      <c r="G6" s="195">
        <v>1412.8439999999991</v>
      </c>
      <c r="H6" s="195">
        <v>572.5</v>
      </c>
      <c r="I6" s="10">
        <v>0</v>
      </c>
      <c r="J6" s="11">
        <v>0</v>
      </c>
      <c r="K6" s="11">
        <v>0</v>
      </c>
      <c r="L6" s="189">
        <v>0</v>
      </c>
      <c r="M6" s="189">
        <v>38475</v>
      </c>
      <c r="N6" s="189">
        <v>2137.5</v>
      </c>
      <c r="O6" s="189">
        <v>146030.6</v>
      </c>
      <c r="P6" s="189">
        <v>22704.400000000001</v>
      </c>
      <c r="Q6" s="189">
        <v>54387.5</v>
      </c>
      <c r="R6" s="189">
        <v>0</v>
      </c>
      <c r="S6" s="189">
        <v>0</v>
      </c>
      <c r="T6" s="189">
        <v>263735</v>
      </c>
    </row>
    <row r="7" spans="1:20">
      <c r="A7" s="13">
        <v>3</v>
      </c>
      <c r="B7" s="199" t="s">
        <v>203</v>
      </c>
      <c r="C7" s="200"/>
      <c r="D7" s="194">
        <v>337.5</v>
      </c>
      <c r="E7" s="194">
        <v>45</v>
      </c>
      <c r="F7" s="194">
        <v>9379.6560000000009</v>
      </c>
      <c r="G7" s="195">
        <v>1120.3439999999991</v>
      </c>
      <c r="H7" s="195">
        <v>617.5</v>
      </c>
      <c r="I7" s="10">
        <v>0</v>
      </c>
      <c r="J7" s="11">
        <v>0</v>
      </c>
      <c r="K7" s="11">
        <v>0</v>
      </c>
      <c r="L7" s="189">
        <v>0</v>
      </c>
      <c r="M7" s="189">
        <v>32062.5</v>
      </c>
      <c r="N7" s="189">
        <v>4275</v>
      </c>
      <c r="O7" s="189">
        <v>150731.07</v>
      </c>
      <c r="P7" s="189">
        <v>18003.93</v>
      </c>
      <c r="Q7" s="189">
        <v>58662.5</v>
      </c>
      <c r="R7" s="189">
        <v>0</v>
      </c>
      <c r="S7" s="189">
        <v>0</v>
      </c>
      <c r="T7" s="189">
        <v>263735</v>
      </c>
    </row>
    <row r="8" spans="1:20">
      <c r="A8" s="13">
        <v>4</v>
      </c>
      <c r="B8" s="199" t="s">
        <v>204</v>
      </c>
      <c r="C8" s="200"/>
      <c r="D8" s="194">
        <v>358.5</v>
      </c>
      <c r="E8" s="194">
        <v>68.25</v>
      </c>
      <c r="F8" s="194">
        <v>9669.9060000000009</v>
      </c>
      <c r="G8" s="195">
        <v>830.09399999999914</v>
      </c>
      <c r="H8" s="195">
        <v>573.25</v>
      </c>
      <c r="I8" s="10">
        <v>1.45</v>
      </c>
      <c r="J8" s="11">
        <v>1.45</v>
      </c>
      <c r="K8" s="11">
        <v>4.5999999999999999E-2</v>
      </c>
      <c r="L8" s="189">
        <v>6.9</v>
      </c>
      <c r="M8" s="189">
        <v>34057.5</v>
      </c>
      <c r="N8" s="189">
        <v>6483.75</v>
      </c>
      <c r="O8" s="189">
        <v>155395.39000000001</v>
      </c>
      <c r="P8" s="189">
        <v>13339.61</v>
      </c>
      <c r="Q8" s="189">
        <v>54458.75</v>
      </c>
      <c r="R8" s="189">
        <v>1450</v>
      </c>
      <c r="S8" s="189">
        <v>290</v>
      </c>
      <c r="T8" s="189">
        <v>265481.90000000002</v>
      </c>
    </row>
    <row r="9" spans="1:20">
      <c r="A9" s="13">
        <v>5</v>
      </c>
      <c r="B9" s="199" t="s">
        <v>205</v>
      </c>
      <c r="C9" s="200"/>
      <c r="D9" s="194">
        <v>493.99599999999998</v>
      </c>
      <c r="E9" s="194">
        <v>67.5</v>
      </c>
      <c r="F9" s="194">
        <v>10096.402</v>
      </c>
      <c r="G9" s="195">
        <v>403.59799999999996</v>
      </c>
      <c r="H9" s="195">
        <v>438.50400000000002</v>
      </c>
      <c r="I9" s="10">
        <v>0</v>
      </c>
      <c r="J9" s="11">
        <v>0</v>
      </c>
      <c r="K9" s="11">
        <v>0</v>
      </c>
      <c r="L9" s="189">
        <v>0</v>
      </c>
      <c r="M9" s="189">
        <v>46929.62</v>
      </c>
      <c r="N9" s="189">
        <v>6412.5</v>
      </c>
      <c r="O9" s="189">
        <v>162249.18</v>
      </c>
      <c r="P9" s="189">
        <v>6485.82</v>
      </c>
      <c r="Q9" s="189">
        <v>41657.879999999997</v>
      </c>
      <c r="R9" s="189">
        <v>0</v>
      </c>
      <c r="S9" s="189">
        <v>0</v>
      </c>
      <c r="T9" s="189">
        <v>263735</v>
      </c>
    </row>
    <row r="10" spans="1:20">
      <c r="A10" s="13">
        <v>6</v>
      </c>
      <c r="B10" s="199" t="s">
        <v>206</v>
      </c>
      <c r="C10" s="200"/>
      <c r="D10" s="194">
        <v>517.5</v>
      </c>
      <c r="E10" s="194">
        <v>160.375</v>
      </c>
      <c r="F10" s="194">
        <v>10451.944</v>
      </c>
      <c r="G10" s="195">
        <v>48.056000000000495</v>
      </c>
      <c r="H10" s="195">
        <v>322.125</v>
      </c>
      <c r="I10" s="10">
        <v>0</v>
      </c>
      <c r="J10" s="11">
        <v>0</v>
      </c>
      <c r="K10" s="11">
        <v>0</v>
      </c>
      <c r="L10" s="189">
        <v>0</v>
      </c>
      <c r="M10" s="189">
        <v>49162.5</v>
      </c>
      <c r="N10" s="189">
        <v>15235.63</v>
      </c>
      <c r="O10" s="189">
        <v>167962.74</v>
      </c>
      <c r="P10" s="189">
        <v>772.26</v>
      </c>
      <c r="Q10" s="189">
        <v>30601.88</v>
      </c>
      <c r="R10" s="189">
        <v>0</v>
      </c>
      <c r="S10" s="189">
        <v>0</v>
      </c>
      <c r="T10" s="189">
        <v>263735</v>
      </c>
    </row>
    <row r="11" spans="1:20">
      <c r="A11" s="13">
        <v>7</v>
      </c>
      <c r="B11" s="199" t="s">
        <v>207</v>
      </c>
      <c r="C11" s="200"/>
      <c r="D11" s="194">
        <v>381</v>
      </c>
      <c r="E11" s="194">
        <v>180</v>
      </c>
      <c r="F11" s="194">
        <v>10652.944</v>
      </c>
      <c r="G11" s="195">
        <v>0</v>
      </c>
      <c r="H11" s="195">
        <v>439</v>
      </c>
      <c r="I11" s="10">
        <v>1.5</v>
      </c>
      <c r="J11" s="11">
        <v>1.45</v>
      </c>
      <c r="K11" s="11">
        <v>0</v>
      </c>
      <c r="L11" s="189">
        <v>0</v>
      </c>
      <c r="M11" s="189">
        <v>36195</v>
      </c>
      <c r="N11" s="189">
        <v>17100</v>
      </c>
      <c r="O11" s="189">
        <v>171192.81</v>
      </c>
      <c r="P11" s="189">
        <v>0</v>
      </c>
      <c r="Q11" s="189">
        <v>41705</v>
      </c>
      <c r="R11" s="189">
        <v>1500</v>
      </c>
      <c r="S11" s="189">
        <v>290</v>
      </c>
      <c r="T11" s="189">
        <v>267982.81</v>
      </c>
    </row>
    <row r="12" spans="1:20">
      <c r="A12" s="13">
        <v>8</v>
      </c>
      <c r="B12" s="199" t="s">
        <v>208</v>
      </c>
      <c r="C12" s="200"/>
      <c r="D12" s="194">
        <v>291</v>
      </c>
      <c r="E12" s="194">
        <v>157.5</v>
      </c>
      <c r="F12" s="194">
        <v>10786.444</v>
      </c>
      <c r="G12" s="195">
        <v>0</v>
      </c>
      <c r="H12" s="195">
        <v>551.5</v>
      </c>
      <c r="I12" s="10">
        <v>0</v>
      </c>
      <c r="J12" s="11">
        <v>0</v>
      </c>
      <c r="K12" s="11">
        <v>0</v>
      </c>
      <c r="L12" s="189">
        <v>0</v>
      </c>
      <c r="M12" s="189">
        <v>27645</v>
      </c>
      <c r="N12" s="189">
        <v>14962.5</v>
      </c>
      <c r="O12" s="189">
        <v>173338.16</v>
      </c>
      <c r="P12" s="189">
        <v>0</v>
      </c>
      <c r="Q12" s="189">
        <v>52392.5</v>
      </c>
      <c r="R12" s="189">
        <v>0</v>
      </c>
      <c r="S12" s="189">
        <v>0</v>
      </c>
      <c r="T12" s="189">
        <v>268338.15999999997</v>
      </c>
    </row>
    <row r="13" spans="1:20">
      <c r="A13" s="13">
        <v>9</v>
      </c>
      <c r="B13" s="199" t="s">
        <v>209</v>
      </c>
      <c r="C13" s="200"/>
      <c r="D13" s="194">
        <v>225</v>
      </c>
      <c r="E13" s="194">
        <v>180</v>
      </c>
      <c r="F13" s="194">
        <v>10831.444</v>
      </c>
      <c r="G13" s="195">
        <v>0</v>
      </c>
      <c r="H13" s="195">
        <v>595</v>
      </c>
      <c r="I13" s="10">
        <v>0</v>
      </c>
      <c r="J13" s="11">
        <v>0</v>
      </c>
      <c r="K13" s="11">
        <v>0</v>
      </c>
      <c r="L13" s="189">
        <v>0</v>
      </c>
      <c r="M13" s="189">
        <v>21375</v>
      </c>
      <c r="N13" s="189">
        <v>17100</v>
      </c>
      <c r="O13" s="189">
        <v>174061.31</v>
      </c>
      <c r="P13" s="189">
        <v>0</v>
      </c>
      <c r="Q13" s="189">
        <v>56525</v>
      </c>
      <c r="R13" s="189">
        <v>0</v>
      </c>
      <c r="S13" s="189">
        <v>0</v>
      </c>
      <c r="T13" s="189">
        <v>269061.31</v>
      </c>
    </row>
    <row r="14" spans="1:20">
      <c r="A14" s="13">
        <v>10</v>
      </c>
      <c r="B14" s="199" t="s">
        <v>210</v>
      </c>
      <c r="C14" s="200"/>
      <c r="D14" s="194">
        <v>337.5</v>
      </c>
      <c r="E14" s="194">
        <v>152.5</v>
      </c>
      <c r="F14" s="194">
        <v>11016.444</v>
      </c>
      <c r="G14" s="195">
        <v>0</v>
      </c>
      <c r="H14" s="195">
        <v>510</v>
      </c>
      <c r="I14" s="10">
        <v>4.4749999999999996</v>
      </c>
      <c r="J14" s="11">
        <v>4.4749999999999996</v>
      </c>
      <c r="K14" s="11">
        <v>0</v>
      </c>
      <c r="L14" s="189">
        <v>0</v>
      </c>
      <c r="M14" s="189">
        <v>32062.5</v>
      </c>
      <c r="N14" s="189">
        <v>14487.5</v>
      </c>
      <c r="O14" s="189">
        <v>177034.26</v>
      </c>
      <c r="P14" s="189">
        <v>0</v>
      </c>
      <c r="Q14" s="189">
        <v>48450</v>
      </c>
      <c r="R14" s="189">
        <v>4475</v>
      </c>
      <c r="S14" s="189">
        <v>895</v>
      </c>
      <c r="T14" s="189">
        <v>277404.26</v>
      </c>
    </row>
    <row r="15" spans="1:20">
      <c r="A15" s="13">
        <v>11</v>
      </c>
      <c r="B15" s="199" t="s">
        <v>211</v>
      </c>
      <c r="C15" s="200"/>
      <c r="D15" s="194">
        <v>582.99900000000002</v>
      </c>
      <c r="E15" s="194">
        <v>159</v>
      </c>
      <c r="F15" s="194">
        <v>11440.442999999999</v>
      </c>
      <c r="G15" s="195">
        <v>0</v>
      </c>
      <c r="H15" s="195">
        <v>258.00099999999998</v>
      </c>
      <c r="I15" s="10">
        <v>11.999000000000001</v>
      </c>
      <c r="J15" s="11">
        <v>11.924999999999999</v>
      </c>
      <c r="K15" s="11">
        <v>2.4E-2</v>
      </c>
      <c r="L15" s="189">
        <v>3.6</v>
      </c>
      <c r="M15" s="189">
        <v>55384.91</v>
      </c>
      <c r="N15" s="189">
        <v>15105</v>
      </c>
      <c r="O15" s="189">
        <v>183847.92</v>
      </c>
      <c r="P15" s="189">
        <v>0</v>
      </c>
      <c r="Q15" s="189">
        <v>24510.1</v>
      </c>
      <c r="R15" s="189">
        <v>11999</v>
      </c>
      <c r="S15" s="189">
        <v>2385</v>
      </c>
      <c r="T15" s="189">
        <v>293235.52</v>
      </c>
    </row>
    <row r="16" spans="1:20">
      <c r="A16" s="13">
        <v>12</v>
      </c>
      <c r="B16" s="199" t="s">
        <v>212</v>
      </c>
      <c r="C16" s="200"/>
      <c r="D16" s="194">
        <v>556.99599999999998</v>
      </c>
      <c r="E16" s="194">
        <v>179.625</v>
      </c>
      <c r="F16" s="194">
        <v>11817.814</v>
      </c>
      <c r="G16" s="195">
        <v>0</v>
      </c>
      <c r="H16" s="195">
        <v>263.37900000000002</v>
      </c>
      <c r="I16" s="10">
        <v>1.45</v>
      </c>
      <c r="J16" s="11">
        <v>1.45</v>
      </c>
      <c r="K16" s="11">
        <v>4.5999999999999999E-2</v>
      </c>
      <c r="L16" s="189">
        <v>6.9</v>
      </c>
      <c r="M16" s="189">
        <v>52914.62</v>
      </c>
      <c r="N16" s="189">
        <v>17064.38</v>
      </c>
      <c r="O16" s="189">
        <v>189912.27</v>
      </c>
      <c r="P16" s="189">
        <v>0</v>
      </c>
      <c r="Q16" s="189">
        <v>25021.01</v>
      </c>
      <c r="R16" s="189">
        <v>1450</v>
      </c>
      <c r="S16" s="189">
        <v>290</v>
      </c>
      <c r="T16" s="189">
        <v>286659.17</v>
      </c>
    </row>
    <row r="17" spans="1:20">
      <c r="A17" s="13">
        <v>13</v>
      </c>
      <c r="B17" s="199" t="s">
        <v>213</v>
      </c>
      <c r="C17" s="200"/>
      <c r="D17" s="194">
        <v>111</v>
      </c>
      <c r="E17" s="194">
        <v>223.5</v>
      </c>
      <c r="F17" s="194">
        <v>11705.314</v>
      </c>
      <c r="G17" s="195">
        <v>0</v>
      </c>
      <c r="H17" s="195">
        <v>665.5</v>
      </c>
      <c r="I17" s="10">
        <v>0</v>
      </c>
      <c r="J17" s="11">
        <v>0</v>
      </c>
      <c r="K17" s="11">
        <v>0</v>
      </c>
      <c r="L17" s="189">
        <v>0</v>
      </c>
      <c r="M17" s="189">
        <v>10545</v>
      </c>
      <c r="N17" s="189">
        <v>21232.5</v>
      </c>
      <c r="O17" s="189">
        <v>188104.4</v>
      </c>
      <c r="P17" s="189">
        <v>0</v>
      </c>
      <c r="Q17" s="189">
        <v>63222.5</v>
      </c>
      <c r="R17" s="189">
        <v>0</v>
      </c>
      <c r="S17" s="189">
        <v>0</v>
      </c>
      <c r="T17" s="189">
        <v>283104.40000000002</v>
      </c>
    </row>
    <row r="18" spans="1:20">
      <c r="A18" s="13">
        <v>14</v>
      </c>
      <c r="B18" s="199" t="s">
        <v>214</v>
      </c>
      <c r="C18" s="200"/>
      <c r="D18" s="194">
        <v>22.5</v>
      </c>
      <c r="E18" s="194">
        <v>160.125</v>
      </c>
      <c r="F18" s="194">
        <v>11567.689</v>
      </c>
      <c r="G18" s="195">
        <v>0</v>
      </c>
      <c r="H18" s="195">
        <v>817.375</v>
      </c>
      <c r="I18" s="10">
        <v>1.35</v>
      </c>
      <c r="J18" s="11">
        <v>1.35</v>
      </c>
      <c r="K18" s="11">
        <v>0.02</v>
      </c>
      <c r="L18" s="189">
        <v>3</v>
      </c>
      <c r="M18" s="189">
        <v>2137.5</v>
      </c>
      <c r="N18" s="189">
        <v>15211.88</v>
      </c>
      <c r="O18" s="189">
        <v>185892.76</v>
      </c>
      <c r="P18" s="189">
        <v>0</v>
      </c>
      <c r="Q18" s="189">
        <v>77650.63</v>
      </c>
      <c r="R18" s="189">
        <v>1350</v>
      </c>
      <c r="S18" s="189">
        <v>270</v>
      </c>
      <c r="T18" s="189">
        <v>282515.76</v>
      </c>
    </row>
    <row r="19" spans="1:20">
      <c r="A19" s="13">
        <v>15</v>
      </c>
      <c r="B19" s="199" t="s">
        <v>215</v>
      </c>
      <c r="C19" s="200"/>
      <c r="D19" s="194">
        <v>224.5</v>
      </c>
      <c r="E19" s="194">
        <v>247.5</v>
      </c>
      <c r="F19" s="194">
        <v>11544.689</v>
      </c>
      <c r="G19" s="195">
        <v>0</v>
      </c>
      <c r="H19" s="195">
        <v>528</v>
      </c>
      <c r="I19" s="10">
        <v>0</v>
      </c>
      <c r="J19" s="11">
        <v>0</v>
      </c>
      <c r="K19" s="11">
        <v>0</v>
      </c>
      <c r="L19" s="189">
        <v>0</v>
      </c>
      <c r="M19" s="189">
        <v>21327.5</v>
      </c>
      <c r="N19" s="189">
        <v>23512.5</v>
      </c>
      <c r="O19" s="189">
        <v>185523.15</v>
      </c>
      <c r="P19" s="189">
        <v>0</v>
      </c>
      <c r="Q19" s="189">
        <v>50160</v>
      </c>
      <c r="R19" s="189">
        <v>0</v>
      </c>
      <c r="S19" s="189">
        <v>0</v>
      </c>
      <c r="T19" s="189">
        <v>280523.15000000002</v>
      </c>
    </row>
    <row r="20" spans="1:20">
      <c r="A20" s="13">
        <v>16</v>
      </c>
      <c r="B20" s="199" t="s">
        <v>216</v>
      </c>
      <c r="C20" s="200"/>
      <c r="D20" s="194">
        <v>225</v>
      </c>
      <c r="E20" s="194">
        <v>291</v>
      </c>
      <c r="F20" s="194">
        <v>11478.689</v>
      </c>
      <c r="G20" s="195">
        <v>0</v>
      </c>
      <c r="H20" s="195">
        <v>484</v>
      </c>
      <c r="I20" s="10">
        <v>0</v>
      </c>
      <c r="J20" s="11">
        <v>0</v>
      </c>
      <c r="K20" s="11">
        <v>0</v>
      </c>
      <c r="L20" s="189">
        <v>0</v>
      </c>
      <c r="M20" s="189">
        <v>21375</v>
      </c>
      <c r="N20" s="189">
        <v>27645</v>
      </c>
      <c r="O20" s="189">
        <v>184462.53</v>
      </c>
      <c r="P20" s="189">
        <v>0</v>
      </c>
      <c r="Q20" s="189">
        <v>45980</v>
      </c>
      <c r="R20" s="189">
        <v>0</v>
      </c>
      <c r="S20" s="189">
        <v>0</v>
      </c>
      <c r="T20" s="189">
        <v>279462.53000000003</v>
      </c>
    </row>
    <row r="21" spans="1:20">
      <c r="A21" s="13">
        <v>17</v>
      </c>
      <c r="B21" s="199" t="s">
        <v>217</v>
      </c>
      <c r="C21" s="200"/>
      <c r="D21" s="194">
        <v>135</v>
      </c>
      <c r="E21" s="194">
        <v>247</v>
      </c>
      <c r="F21" s="194">
        <v>11366.689</v>
      </c>
      <c r="G21" s="195">
        <v>0</v>
      </c>
      <c r="H21" s="195">
        <v>618</v>
      </c>
      <c r="I21" s="10">
        <v>0</v>
      </c>
      <c r="J21" s="11">
        <v>0</v>
      </c>
      <c r="K21" s="11">
        <v>0</v>
      </c>
      <c r="L21" s="189">
        <v>0</v>
      </c>
      <c r="M21" s="189">
        <v>12825</v>
      </c>
      <c r="N21" s="189">
        <v>23465</v>
      </c>
      <c r="O21" s="189">
        <v>182662.69</v>
      </c>
      <c r="P21" s="189">
        <v>0</v>
      </c>
      <c r="Q21" s="189">
        <v>58710</v>
      </c>
      <c r="R21" s="189">
        <v>0</v>
      </c>
      <c r="S21" s="189">
        <v>0</v>
      </c>
      <c r="T21" s="189">
        <v>277662.69</v>
      </c>
    </row>
    <row r="22" spans="1:20">
      <c r="A22" s="13">
        <v>18</v>
      </c>
      <c r="B22" s="199" t="s">
        <v>218</v>
      </c>
      <c r="C22" s="200"/>
      <c r="D22" s="194">
        <v>179.49799999999999</v>
      </c>
      <c r="E22" s="194">
        <v>407.42500000000001</v>
      </c>
      <c r="F22" s="194">
        <v>11138.762000000001</v>
      </c>
      <c r="G22" s="195">
        <v>0</v>
      </c>
      <c r="H22" s="195">
        <v>413.07700000000006</v>
      </c>
      <c r="I22" s="10">
        <v>1.4750000000000001</v>
      </c>
      <c r="J22" s="11">
        <v>1.4750000000000001</v>
      </c>
      <c r="K22" s="11">
        <v>2.3E-2</v>
      </c>
      <c r="L22" s="189">
        <v>3.45</v>
      </c>
      <c r="M22" s="189">
        <v>17052.310000000001</v>
      </c>
      <c r="N22" s="189">
        <v>38705.379999999997</v>
      </c>
      <c r="O22" s="189">
        <v>178999.91</v>
      </c>
      <c r="P22" s="189">
        <v>0</v>
      </c>
      <c r="Q22" s="189">
        <v>39242.32</v>
      </c>
      <c r="R22" s="189">
        <v>1475</v>
      </c>
      <c r="S22" s="189">
        <v>295</v>
      </c>
      <c r="T22" s="189">
        <v>275773.36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339</v>
      </c>
      <c r="F23" s="194">
        <v>10799.762000000001</v>
      </c>
      <c r="G23" s="195">
        <v>0</v>
      </c>
      <c r="H23" s="195">
        <v>661</v>
      </c>
      <c r="I23" s="10">
        <v>0</v>
      </c>
      <c r="J23" s="11">
        <v>0</v>
      </c>
      <c r="K23" s="11">
        <v>0</v>
      </c>
      <c r="L23" s="189">
        <v>0</v>
      </c>
      <c r="M23" s="189">
        <v>0</v>
      </c>
      <c r="N23" s="189">
        <v>32205</v>
      </c>
      <c r="O23" s="189">
        <v>173552.18</v>
      </c>
      <c r="P23" s="189">
        <v>0</v>
      </c>
      <c r="Q23" s="189">
        <v>62795</v>
      </c>
      <c r="R23" s="189">
        <v>0</v>
      </c>
      <c r="S23" s="189">
        <v>0</v>
      </c>
      <c r="T23" s="189">
        <v>268552.18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410</v>
      </c>
      <c r="F24" s="194">
        <v>10389.762000000001</v>
      </c>
      <c r="G24" s="195">
        <v>110.23799999999937</v>
      </c>
      <c r="H24" s="195">
        <v>590</v>
      </c>
      <c r="I24" s="10">
        <v>0</v>
      </c>
      <c r="J24" s="11">
        <v>0</v>
      </c>
      <c r="K24" s="11">
        <v>0</v>
      </c>
      <c r="L24" s="189">
        <v>0</v>
      </c>
      <c r="M24" s="189">
        <v>0</v>
      </c>
      <c r="N24" s="189">
        <v>38950</v>
      </c>
      <c r="O24" s="189">
        <v>166963.48000000001</v>
      </c>
      <c r="P24" s="189">
        <v>1771.52</v>
      </c>
      <c r="Q24" s="189">
        <v>56050</v>
      </c>
      <c r="R24" s="189">
        <v>0</v>
      </c>
      <c r="S24" s="189">
        <v>0</v>
      </c>
      <c r="T24" s="189">
        <v>263735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312.5</v>
      </c>
      <c r="F25" s="194">
        <v>10077.262000000001</v>
      </c>
      <c r="G25" s="195">
        <v>422.73799999999937</v>
      </c>
      <c r="H25" s="195">
        <v>687.5</v>
      </c>
      <c r="I25" s="10">
        <v>0</v>
      </c>
      <c r="J25" s="11">
        <v>0</v>
      </c>
      <c r="K25" s="11">
        <v>0</v>
      </c>
      <c r="L25" s="189">
        <v>0</v>
      </c>
      <c r="M25" s="189">
        <v>0</v>
      </c>
      <c r="N25" s="189">
        <v>29687.5</v>
      </c>
      <c r="O25" s="189">
        <v>161941.6</v>
      </c>
      <c r="P25" s="189">
        <v>6793.4</v>
      </c>
      <c r="Q25" s="189">
        <v>65312.5</v>
      </c>
      <c r="R25" s="189">
        <v>0</v>
      </c>
      <c r="S25" s="189">
        <v>0</v>
      </c>
      <c r="T25" s="189">
        <v>263735</v>
      </c>
    </row>
    <row r="26" spans="1:20">
      <c r="A26" s="13">
        <v>22</v>
      </c>
      <c r="B26" s="199" t="s">
        <v>222</v>
      </c>
      <c r="C26" s="200"/>
      <c r="D26" s="194">
        <v>66.5</v>
      </c>
      <c r="E26" s="194">
        <v>324</v>
      </c>
      <c r="F26" s="194">
        <v>9819.7620000000006</v>
      </c>
      <c r="G26" s="195">
        <v>680.23799999999937</v>
      </c>
      <c r="H26" s="195">
        <v>609.5</v>
      </c>
      <c r="I26" s="10">
        <v>0</v>
      </c>
      <c r="J26" s="11">
        <v>0</v>
      </c>
      <c r="K26" s="11">
        <v>0</v>
      </c>
      <c r="L26" s="189">
        <v>0</v>
      </c>
      <c r="M26" s="189">
        <v>6317.5</v>
      </c>
      <c r="N26" s="189">
        <v>30780</v>
      </c>
      <c r="O26" s="189">
        <v>157803.57999999999</v>
      </c>
      <c r="P26" s="189">
        <v>10931.42</v>
      </c>
      <c r="Q26" s="189">
        <v>57902.5</v>
      </c>
      <c r="R26" s="189">
        <v>0</v>
      </c>
      <c r="S26" s="189">
        <v>0</v>
      </c>
      <c r="T26" s="189">
        <v>263735</v>
      </c>
    </row>
    <row r="27" spans="1:20">
      <c r="A27" s="13">
        <v>23</v>
      </c>
      <c r="B27" s="199" t="s">
        <v>223</v>
      </c>
      <c r="C27" s="200"/>
      <c r="D27" s="194">
        <v>488.988</v>
      </c>
      <c r="E27" s="194">
        <v>112</v>
      </c>
      <c r="F27" s="194">
        <v>10196.75</v>
      </c>
      <c r="G27" s="195">
        <v>303.25</v>
      </c>
      <c r="H27" s="195">
        <v>399.012</v>
      </c>
      <c r="I27" s="10">
        <v>1.3</v>
      </c>
      <c r="J27" s="11">
        <v>1.3</v>
      </c>
      <c r="K27" s="11">
        <v>3.7999999999999999E-2</v>
      </c>
      <c r="L27" s="189">
        <v>5.7</v>
      </c>
      <c r="M27" s="189">
        <v>46453.86</v>
      </c>
      <c r="N27" s="189">
        <v>10640</v>
      </c>
      <c r="O27" s="189">
        <v>163861.76999999999</v>
      </c>
      <c r="P27" s="189">
        <v>4873.2299999999996</v>
      </c>
      <c r="Q27" s="189">
        <v>37906.14</v>
      </c>
      <c r="R27" s="189">
        <v>1300</v>
      </c>
      <c r="S27" s="189">
        <v>260</v>
      </c>
      <c r="T27" s="189">
        <v>265300.7</v>
      </c>
    </row>
    <row r="28" spans="1:20">
      <c r="A28" s="13">
        <v>24</v>
      </c>
      <c r="B28" s="199" t="s">
        <v>224</v>
      </c>
      <c r="C28" s="200"/>
      <c r="D28" s="194">
        <v>468.98</v>
      </c>
      <c r="E28" s="194">
        <v>112.3</v>
      </c>
      <c r="F28" s="194">
        <v>10553.43</v>
      </c>
      <c r="G28" s="195">
        <v>0</v>
      </c>
      <c r="H28" s="195">
        <v>418.72</v>
      </c>
      <c r="I28" s="10">
        <v>1.45</v>
      </c>
      <c r="J28" s="11">
        <v>1.45</v>
      </c>
      <c r="K28" s="11">
        <v>0.03</v>
      </c>
      <c r="L28" s="189">
        <v>4.5</v>
      </c>
      <c r="M28" s="189">
        <v>44553.1</v>
      </c>
      <c r="N28" s="189">
        <v>10668.5</v>
      </c>
      <c r="O28" s="189">
        <v>169593.62</v>
      </c>
      <c r="P28" s="189">
        <v>0</v>
      </c>
      <c r="Q28" s="189">
        <v>39778.400000000001</v>
      </c>
      <c r="R28" s="189">
        <v>1450</v>
      </c>
      <c r="S28" s="189">
        <v>290</v>
      </c>
      <c r="T28" s="189">
        <v>266338.12</v>
      </c>
    </row>
    <row r="29" spans="1:20">
      <c r="A29" s="13">
        <v>25</v>
      </c>
      <c r="B29" s="199" t="s">
        <v>225</v>
      </c>
      <c r="C29" s="200"/>
      <c r="D29" s="194">
        <v>537.48199999999997</v>
      </c>
      <c r="E29" s="194">
        <v>494.6</v>
      </c>
      <c r="F29" s="194">
        <v>10596.312</v>
      </c>
      <c r="G29" s="195">
        <v>0</v>
      </c>
      <c r="H29" s="195">
        <v>0</v>
      </c>
      <c r="I29" s="10">
        <v>2.8250000000000002</v>
      </c>
      <c r="J29" s="11">
        <v>2.8250000000000002</v>
      </c>
      <c r="K29" s="11">
        <v>3.2000000000000001E-2</v>
      </c>
      <c r="L29" s="189">
        <v>4.8</v>
      </c>
      <c r="M29" s="189">
        <v>51060.79</v>
      </c>
      <c r="N29" s="189">
        <v>46987</v>
      </c>
      <c r="O29" s="189">
        <v>170282.73</v>
      </c>
      <c r="P29" s="189">
        <v>0</v>
      </c>
      <c r="Q29" s="189">
        <v>0</v>
      </c>
      <c r="R29" s="189">
        <v>2825</v>
      </c>
      <c r="S29" s="189">
        <v>565</v>
      </c>
      <c r="T29" s="189">
        <v>271725.32</v>
      </c>
    </row>
    <row r="30" spans="1:20">
      <c r="A30" s="13">
        <v>26</v>
      </c>
      <c r="B30" s="199" t="s">
        <v>226</v>
      </c>
      <c r="C30" s="200"/>
      <c r="D30" s="194">
        <v>290.48899999999998</v>
      </c>
      <c r="E30" s="194">
        <v>557</v>
      </c>
      <c r="F30" s="194">
        <v>10329.800999999999</v>
      </c>
      <c r="G30" s="195">
        <v>170.19900000000052</v>
      </c>
      <c r="H30" s="195">
        <v>152.51100000000002</v>
      </c>
      <c r="I30" s="10">
        <v>2.95</v>
      </c>
      <c r="J30" s="11">
        <v>2.95</v>
      </c>
      <c r="K30" s="11">
        <v>2.95</v>
      </c>
      <c r="L30" s="189">
        <v>442.5</v>
      </c>
      <c r="M30" s="189">
        <v>27596.46</v>
      </c>
      <c r="N30" s="189">
        <v>52915</v>
      </c>
      <c r="O30" s="189">
        <v>165999.9</v>
      </c>
      <c r="P30" s="189">
        <v>2735.1</v>
      </c>
      <c r="Q30" s="189">
        <v>14488.55</v>
      </c>
      <c r="R30" s="189">
        <v>2950</v>
      </c>
      <c r="S30" s="189">
        <v>590</v>
      </c>
      <c r="T30" s="189">
        <v>267717.5</v>
      </c>
    </row>
    <row r="31" spans="1:20">
      <c r="A31" s="13">
        <v>27</v>
      </c>
      <c r="B31" s="199" t="s">
        <v>227</v>
      </c>
      <c r="C31" s="200"/>
      <c r="D31" s="194">
        <v>424</v>
      </c>
      <c r="E31" s="194">
        <v>628.5</v>
      </c>
      <c r="F31" s="194">
        <v>10125.300999999999</v>
      </c>
      <c r="G31" s="195">
        <v>374.69900000000052</v>
      </c>
      <c r="H31" s="195">
        <v>0</v>
      </c>
      <c r="I31" s="10">
        <v>0</v>
      </c>
      <c r="J31" s="11">
        <v>0</v>
      </c>
      <c r="K31" s="11">
        <v>0</v>
      </c>
      <c r="L31" s="189">
        <v>0</v>
      </c>
      <c r="M31" s="189">
        <v>40280</v>
      </c>
      <c r="N31" s="189">
        <v>59707.5</v>
      </c>
      <c r="O31" s="189">
        <v>162713.59</v>
      </c>
      <c r="P31" s="189">
        <v>6021.41</v>
      </c>
      <c r="Q31" s="189">
        <v>0</v>
      </c>
      <c r="R31" s="189">
        <v>0</v>
      </c>
      <c r="S31" s="189">
        <v>0</v>
      </c>
      <c r="T31" s="189">
        <v>268722.5</v>
      </c>
    </row>
    <row r="32" spans="1:20">
      <c r="A32" s="13">
        <v>28</v>
      </c>
      <c r="B32" s="199" t="s">
        <v>228</v>
      </c>
      <c r="C32" s="200"/>
      <c r="D32" s="194">
        <v>648.97400000000005</v>
      </c>
      <c r="E32" s="194">
        <v>876.5</v>
      </c>
      <c r="F32" s="194">
        <v>9897.7749999999996</v>
      </c>
      <c r="G32" s="195">
        <v>602.22500000000036</v>
      </c>
      <c r="H32" s="195">
        <v>0</v>
      </c>
      <c r="I32" s="10">
        <v>5.65</v>
      </c>
      <c r="J32" s="11">
        <v>5.65</v>
      </c>
      <c r="K32" s="11">
        <v>7.3999999999999996E-2</v>
      </c>
      <c r="L32" s="189">
        <v>11.1</v>
      </c>
      <c r="M32" s="189">
        <v>61652.53</v>
      </c>
      <c r="N32" s="189">
        <v>83267.5</v>
      </c>
      <c r="O32" s="189">
        <v>159057.24</v>
      </c>
      <c r="P32" s="189">
        <v>9677.76</v>
      </c>
      <c r="Q32" s="189">
        <v>0</v>
      </c>
      <c r="R32" s="189">
        <v>5650</v>
      </c>
      <c r="S32" s="189">
        <v>1130</v>
      </c>
      <c r="T32" s="189">
        <v>320446.13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8714.896999999999</v>
      </c>
      <c r="E36" s="19">
        <v>7205.2000000000007</v>
      </c>
      <c r="F36" s="19">
        <v>295523.00199999998</v>
      </c>
      <c r="G36" s="19">
        <v>8273.8669999999966</v>
      </c>
      <c r="H36" s="19">
        <v>12689.958999999999</v>
      </c>
      <c r="I36" s="19">
        <v>39.349000000000004</v>
      </c>
      <c r="J36" s="19">
        <v>39.225000000000001</v>
      </c>
      <c r="K36" s="19">
        <v>3.3029999999999999</v>
      </c>
      <c r="L36" s="190">
        <v>495.45</v>
      </c>
      <c r="M36" s="190">
        <v>827915.22</v>
      </c>
      <c r="N36" s="190">
        <v>684494</v>
      </c>
      <c r="O36" s="190">
        <v>4749054.6399999997</v>
      </c>
      <c r="P36" s="190">
        <v>132961.04</v>
      </c>
      <c r="Q36" s="190">
        <v>1205546.1100000001</v>
      </c>
      <c r="R36" s="190">
        <v>39349</v>
      </c>
      <c r="S36" s="190">
        <v>7845</v>
      </c>
      <c r="T36" s="190">
        <v>7647660.4500000002</v>
      </c>
    </row>
    <row r="37" spans="1:20">
      <c r="R37" s="22"/>
      <c r="S37" s="22"/>
      <c r="T37" s="191">
        <v>9330145.75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AFC3-98A0-4CB8-BFE7-1D7F94D9E13F}">
  <sheetPr codeName="Лист31">
    <pageSetUpPr fitToPage="1"/>
  </sheetPr>
  <dimension ref="A1:T37"/>
  <sheetViews>
    <sheetView topLeftCell="A19" workbookViewId="0">
      <selection activeCell="M23" sqref="M23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269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265</v>
      </c>
      <c r="H3" s="202" t="s">
        <v>266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44</v>
      </c>
      <c r="E5" s="194">
        <v>0</v>
      </c>
      <c r="F5" s="194">
        <v>211.32499999999999</v>
      </c>
      <c r="G5" s="195">
        <v>0</v>
      </c>
      <c r="H5" s="195">
        <v>0</v>
      </c>
      <c r="I5" s="10">
        <v>0</v>
      </c>
      <c r="J5" s="11">
        <v>0</v>
      </c>
      <c r="K5" s="11">
        <v>0</v>
      </c>
      <c r="L5" s="189">
        <v>0</v>
      </c>
      <c r="M5" s="189">
        <v>4180</v>
      </c>
      <c r="N5" s="189">
        <v>0</v>
      </c>
      <c r="O5" s="189">
        <v>3395.99</v>
      </c>
      <c r="P5" s="189">
        <v>0</v>
      </c>
      <c r="Q5" s="189">
        <v>0</v>
      </c>
      <c r="R5" s="189">
        <v>0</v>
      </c>
      <c r="S5" s="189">
        <v>0</v>
      </c>
      <c r="T5" s="189">
        <v>7575.99</v>
      </c>
    </row>
    <row r="6" spans="1:20">
      <c r="A6" s="13">
        <v>2</v>
      </c>
      <c r="B6" s="199" t="s">
        <v>202</v>
      </c>
      <c r="C6" s="200"/>
      <c r="D6" s="194">
        <v>22</v>
      </c>
      <c r="E6" s="194">
        <v>0</v>
      </c>
      <c r="F6" s="194">
        <v>233.32499999999999</v>
      </c>
      <c r="G6" s="195">
        <v>0</v>
      </c>
      <c r="H6" s="195">
        <v>0</v>
      </c>
      <c r="I6" s="10">
        <v>0</v>
      </c>
      <c r="J6" s="11">
        <v>0</v>
      </c>
      <c r="K6" s="11">
        <v>0</v>
      </c>
      <c r="L6" s="189">
        <v>0</v>
      </c>
      <c r="M6" s="189">
        <v>2090</v>
      </c>
      <c r="N6" s="189">
        <v>0</v>
      </c>
      <c r="O6" s="189">
        <v>3749.53</v>
      </c>
      <c r="P6" s="189">
        <v>0</v>
      </c>
      <c r="Q6" s="189">
        <v>0</v>
      </c>
      <c r="R6" s="189">
        <v>0</v>
      </c>
      <c r="S6" s="189">
        <v>0</v>
      </c>
      <c r="T6" s="189">
        <v>5839.53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233.32499999999999</v>
      </c>
      <c r="G7" s="195">
        <v>0</v>
      </c>
      <c r="H7" s="195">
        <v>0</v>
      </c>
      <c r="I7" s="10">
        <v>0</v>
      </c>
      <c r="J7" s="11">
        <v>0</v>
      </c>
      <c r="K7" s="11">
        <v>0</v>
      </c>
      <c r="L7" s="189">
        <v>0</v>
      </c>
      <c r="M7" s="189">
        <v>0</v>
      </c>
      <c r="N7" s="189">
        <v>0</v>
      </c>
      <c r="O7" s="189">
        <v>3749.53</v>
      </c>
      <c r="P7" s="189">
        <v>0</v>
      </c>
      <c r="Q7" s="189">
        <v>0</v>
      </c>
      <c r="R7" s="189">
        <v>0</v>
      </c>
      <c r="S7" s="189">
        <v>0</v>
      </c>
      <c r="T7" s="189">
        <v>3749.53</v>
      </c>
    </row>
    <row r="8" spans="1:20">
      <c r="A8" s="13">
        <v>4</v>
      </c>
      <c r="B8" s="199" t="s">
        <v>204</v>
      </c>
      <c r="C8" s="200"/>
      <c r="D8" s="194">
        <v>22</v>
      </c>
      <c r="E8" s="194">
        <v>0</v>
      </c>
      <c r="F8" s="194">
        <v>255.32499999999999</v>
      </c>
      <c r="G8" s="195">
        <v>0</v>
      </c>
      <c r="H8" s="195">
        <v>0</v>
      </c>
      <c r="I8" s="10">
        <v>0</v>
      </c>
      <c r="J8" s="11">
        <v>0</v>
      </c>
      <c r="K8" s="11">
        <v>0</v>
      </c>
      <c r="L8" s="189">
        <v>0</v>
      </c>
      <c r="M8" s="189">
        <v>2090</v>
      </c>
      <c r="N8" s="189">
        <v>0</v>
      </c>
      <c r="O8" s="189">
        <v>4103.07</v>
      </c>
      <c r="P8" s="189">
        <v>0</v>
      </c>
      <c r="Q8" s="189">
        <v>0</v>
      </c>
      <c r="R8" s="189">
        <v>0</v>
      </c>
      <c r="S8" s="189">
        <v>0</v>
      </c>
      <c r="T8" s="189">
        <v>6193.07</v>
      </c>
    </row>
    <row r="9" spans="1:20">
      <c r="A9" s="13">
        <v>5</v>
      </c>
      <c r="B9" s="199" t="s">
        <v>205</v>
      </c>
      <c r="C9" s="200"/>
      <c r="D9" s="194">
        <v>22</v>
      </c>
      <c r="E9" s="194">
        <v>0</v>
      </c>
      <c r="F9" s="194">
        <v>277.32499999999999</v>
      </c>
      <c r="G9" s="195">
        <v>0</v>
      </c>
      <c r="H9" s="195">
        <v>0</v>
      </c>
      <c r="I9" s="10">
        <v>0</v>
      </c>
      <c r="J9" s="11">
        <v>0</v>
      </c>
      <c r="K9" s="11">
        <v>0</v>
      </c>
      <c r="L9" s="189">
        <v>0</v>
      </c>
      <c r="M9" s="189">
        <v>2090</v>
      </c>
      <c r="N9" s="189">
        <v>0</v>
      </c>
      <c r="O9" s="189">
        <v>4456.6099999999997</v>
      </c>
      <c r="P9" s="189">
        <v>0</v>
      </c>
      <c r="Q9" s="189">
        <v>0</v>
      </c>
      <c r="R9" s="189">
        <v>0</v>
      </c>
      <c r="S9" s="189">
        <v>0</v>
      </c>
      <c r="T9" s="189">
        <v>6546.61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22</v>
      </c>
      <c r="F10" s="194">
        <v>255.07499999999999</v>
      </c>
      <c r="G10" s="195">
        <v>0</v>
      </c>
      <c r="H10" s="195">
        <v>0</v>
      </c>
      <c r="I10" s="10">
        <v>0</v>
      </c>
      <c r="J10" s="11">
        <v>0</v>
      </c>
      <c r="K10" s="11">
        <v>0</v>
      </c>
      <c r="L10" s="189">
        <v>0</v>
      </c>
      <c r="M10" s="189">
        <v>0</v>
      </c>
      <c r="N10" s="189">
        <v>2090</v>
      </c>
      <c r="O10" s="189">
        <v>4099.0600000000004</v>
      </c>
      <c r="P10" s="189">
        <v>0</v>
      </c>
      <c r="Q10" s="189">
        <v>0</v>
      </c>
      <c r="R10" s="189">
        <v>0</v>
      </c>
      <c r="S10" s="189">
        <v>0</v>
      </c>
      <c r="T10" s="189">
        <v>6189.06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44</v>
      </c>
      <c r="F11" s="194">
        <v>211.07499999999999</v>
      </c>
      <c r="G11" s="195">
        <v>0</v>
      </c>
      <c r="H11" s="195">
        <v>0</v>
      </c>
      <c r="I11" s="10">
        <v>0</v>
      </c>
      <c r="J11" s="11">
        <v>0</v>
      </c>
      <c r="K11" s="11">
        <v>0</v>
      </c>
      <c r="L11" s="189">
        <v>0</v>
      </c>
      <c r="M11" s="189">
        <v>0</v>
      </c>
      <c r="N11" s="189">
        <v>4180</v>
      </c>
      <c r="O11" s="189">
        <v>3391.98</v>
      </c>
      <c r="P11" s="189">
        <v>0</v>
      </c>
      <c r="Q11" s="189">
        <v>0</v>
      </c>
      <c r="R11" s="189">
        <v>0</v>
      </c>
      <c r="S11" s="189">
        <v>0</v>
      </c>
      <c r="T11" s="189">
        <v>7571.98</v>
      </c>
    </row>
    <row r="12" spans="1:20">
      <c r="A12" s="13">
        <v>8</v>
      </c>
      <c r="B12" s="199" t="s">
        <v>208</v>
      </c>
      <c r="C12" s="200"/>
      <c r="D12" s="194">
        <v>22</v>
      </c>
      <c r="E12" s="194">
        <v>0</v>
      </c>
      <c r="F12" s="194">
        <v>233.07499999999999</v>
      </c>
      <c r="G12" s="195">
        <v>0</v>
      </c>
      <c r="H12" s="195">
        <v>0</v>
      </c>
      <c r="I12" s="10">
        <v>0</v>
      </c>
      <c r="J12" s="11">
        <v>0</v>
      </c>
      <c r="K12" s="11">
        <v>0</v>
      </c>
      <c r="L12" s="189">
        <v>0</v>
      </c>
      <c r="M12" s="189">
        <v>2090</v>
      </c>
      <c r="N12" s="189">
        <v>0</v>
      </c>
      <c r="O12" s="189">
        <v>3745.52</v>
      </c>
      <c r="P12" s="189">
        <v>0</v>
      </c>
      <c r="Q12" s="189">
        <v>0</v>
      </c>
      <c r="R12" s="189">
        <v>0</v>
      </c>
      <c r="S12" s="189">
        <v>0</v>
      </c>
      <c r="T12" s="189">
        <v>5835.52</v>
      </c>
    </row>
    <row r="13" spans="1:20">
      <c r="A13" s="13">
        <v>9</v>
      </c>
      <c r="B13" s="199" t="s">
        <v>209</v>
      </c>
      <c r="C13" s="200"/>
      <c r="D13" s="194">
        <v>66</v>
      </c>
      <c r="E13" s="194">
        <v>22</v>
      </c>
      <c r="F13" s="194">
        <v>277.07499999999999</v>
      </c>
      <c r="G13" s="195">
        <v>0</v>
      </c>
      <c r="H13" s="195">
        <v>0</v>
      </c>
      <c r="I13" s="10">
        <v>0</v>
      </c>
      <c r="J13" s="11">
        <v>0</v>
      </c>
      <c r="K13" s="11">
        <v>0</v>
      </c>
      <c r="L13" s="189">
        <v>0</v>
      </c>
      <c r="M13" s="189">
        <v>6270</v>
      </c>
      <c r="N13" s="189">
        <v>2090</v>
      </c>
      <c r="O13" s="189">
        <v>4452.6000000000004</v>
      </c>
      <c r="P13" s="189">
        <v>0</v>
      </c>
      <c r="Q13" s="189">
        <v>0</v>
      </c>
      <c r="R13" s="189">
        <v>0</v>
      </c>
      <c r="S13" s="189">
        <v>0</v>
      </c>
      <c r="T13" s="189">
        <v>12812.6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44</v>
      </c>
      <c r="F14" s="194">
        <v>233.07499999999999</v>
      </c>
      <c r="G14" s="195">
        <v>0</v>
      </c>
      <c r="H14" s="195">
        <v>0</v>
      </c>
      <c r="I14" s="10">
        <v>0</v>
      </c>
      <c r="J14" s="11">
        <v>0</v>
      </c>
      <c r="K14" s="11">
        <v>0</v>
      </c>
      <c r="L14" s="189">
        <v>0</v>
      </c>
      <c r="M14" s="189">
        <v>0</v>
      </c>
      <c r="N14" s="189">
        <v>4180</v>
      </c>
      <c r="O14" s="189">
        <v>3745.52</v>
      </c>
      <c r="P14" s="189">
        <v>0</v>
      </c>
      <c r="Q14" s="189">
        <v>0</v>
      </c>
      <c r="R14" s="189">
        <v>0</v>
      </c>
      <c r="S14" s="189">
        <v>0</v>
      </c>
      <c r="T14" s="189">
        <v>7925.52</v>
      </c>
    </row>
    <row r="15" spans="1:20">
      <c r="A15" s="13">
        <v>11</v>
      </c>
      <c r="B15" s="199" t="s">
        <v>211</v>
      </c>
      <c r="C15" s="200"/>
      <c r="D15" s="194">
        <v>44</v>
      </c>
      <c r="E15" s="194">
        <v>0</v>
      </c>
      <c r="F15" s="194">
        <v>277.07499999999999</v>
      </c>
      <c r="G15" s="195">
        <v>0</v>
      </c>
      <c r="H15" s="195">
        <v>0</v>
      </c>
      <c r="I15" s="10">
        <v>0</v>
      </c>
      <c r="J15" s="11">
        <v>0</v>
      </c>
      <c r="K15" s="11">
        <v>0</v>
      </c>
      <c r="L15" s="189">
        <v>0</v>
      </c>
      <c r="M15" s="189">
        <v>4180</v>
      </c>
      <c r="N15" s="189">
        <v>0</v>
      </c>
      <c r="O15" s="189">
        <v>4452.6000000000004</v>
      </c>
      <c r="P15" s="189">
        <v>0</v>
      </c>
      <c r="Q15" s="189">
        <v>0</v>
      </c>
      <c r="R15" s="189">
        <v>0</v>
      </c>
      <c r="S15" s="189">
        <v>0</v>
      </c>
      <c r="T15" s="189">
        <v>8632.6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26.125</v>
      </c>
      <c r="F16" s="194">
        <v>250.95</v>
      </c>
      <c r="G16" s="195">
        <v>0</v>
      </c>
      <c r="H16" s="195">
        <v>0</v>
      </c>
      <c r="I16" s="10">
        <v>0</v>
      </c>
      <c r="J16" s="11">
        <v>0</v>
      </c>
      <c r="K16" s="11">
        <v>0</v>
      </c>
      <c r="L16" s="189">
        <v>0</v>
      </c>
      <c r="M16" s="189">
        <v>0</v>
      </c>
      <c r="N16" s="189">
        <v>2481.88</v>
      </c>
      <c r="O16" s="189">
        <v>4032.77</v>
      </c>
      <c r="P16" s="189">
        <v>0</v>
      </c>
      <c r="Q16" s="189">
        <v>0</v>
      </c>
      <c r="R16" s="189">
        <v>0</v>
      </c>
      <c r="S16" s="189">
        <v>0</v>
      </c>
      <c r="T16" s="189">
        <v>6514.64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250.95</v>
      </c>
      <c r="G17" s="195">
        <v>0</v>
      </c>
      <c r="H17" s="195">
        <v>0</v>
      </c>
      <c r="I17" s="10">
        <v>0</v>
      </c>
      <c r="J17" s="11">
        <v>0</v>
      </c>
      <c r="K17" s="11">
        <v>0</v>
      </c>
      <c r="L17" s="189">
        <v>0</v>
      </c>
      <c r="M17" s="189">
        <v>0</v>
      </c>
      <c r="N17" s="189">
        <v>0</v>
      </c>
      <c r="O17" s="189">
        <v>4032.77</v>
      </c>
      <c r="P17" s="189">
        <v>0</v>
      </c>
      <c r="Q17" s="189">
        <v>0</v>
      </c>
      <c r="R17" s="189">
        <v>0</v>
      </c>
      <c r="S17" s="189">
        <v>0</v>
      </c>
      <c r="T17" s="189">
        <v>4032.77</v>
      </c>
    </row>
    <row r="18" spans="1:20">
      <c r="A18" s="13">
        <v>14</v>
      </c>
      <c r="B18" s="199" t="s">
        <v>214</v>
      </c>
      <c r="C18" s="200"/>
      <c r="D18" s="194">
        <v>22</v>
      </c>
      <c r="E18" s="194">
        <v>22</v>
      </c>
      <c r="F18" s="194">
        <v>250.95</v>
      </c>
      <c r="G18" s="195">
        <v>0</v>
      </c>
      <c r="H18" s="195">
        <v>0</v>
      </c>
      <c r="I18" s="10">
        <v>0</v>
      </c>
      <c r="J18" s="11">
        <v>0</v>
      </c>
      <c r="K18" s="11">
        <v>0</v>
      </c>
      <c r="L18" s="189">
        <v>0</v>
      </c>
      <c r="M18" s="189">
        <v>2090</v>
      </c>
      <c r="N18" s="189">
        <v>2090</v>
      </c>
      <c r="O18" s="189">
        <v>4032.77</v>
      </c>
      <c r="P18" s="189">
        <v>0</v>
      </c>
      <c r="Q18" s="189">
        <v>0</v>
      </c>
      <c r="R18" s="189">
        <v>0</v>
      </c>
      <c r="S18" s="189">
        <v>0</v>
      </c>
      <c r="T18" s="189">
        <v>8212.77</v>
      </c>
    </row>
    <row r="19" spans="1:20">
      <c r="A19" s="13">
        <v>15</v>
      </c>
      <c r="B19" s="199" t="s">
        <v>215</v>
      </c>
      <c r="C19" s="200"/>
      <c r="D19" s="194">
        <v>132</v>
      </c>
      <c r="E19" s="194">
        <v>0</v>
      </c>
      <c r="F19" s="194">
        <v>382.95</v>
      </c>
      <c r="G19" s="195">
        <v>0</v>
      </c>
      <c r="H19" s="195">
        <v>0</v>
      </c>
      <c r="I19" s="10">
        <v>0</v>
      </c>
      <c r="J19" s="11">
        <v>0</v>
      </c>
      <c r="K19" s="11">
        <v>0</v>
      </c>
      <c r="L19" s="189">
        <v>0</v>
      </c>
      <c r="M19" s="189">
        <v>12540</v>
      </c>
      <c r="N19" s="189">
        <v>0</v>
      </c>
      <c r="O19" s="189">
        <v>6154.01</v>
      </c>
      <c r="P19" s="189">
        <v>0</v>
      </c>
      <c r="Q19" s="189">
        <v>0</v>
      </c>
      <c r="R19" s="189">
        <v>0</v>
      </c>
      <c r="S19" s="189">
        <v>0</v>
      </c>
      <c r="T19" s="189">
        <v>18694.009999999998</v>
      </c>
    </row>
    <row r="20" spans="1:20">
      <c r="A20" s="13">
        <v>16</v>
      </c>
      <c r="B20" s="199" t="s">
        <v>216</v>
      </c>
      <c r="C20" s="200"/>
      <c r="D20" s="194">
        <v>22</v>
      </c>
      <c r="E20" s="194">
        <v>0</v>
      </c>
      <c r="F20" s="194">
        <v>404.95</v>
      </c>
      <c r="G20" s="195">
        <v>0</v>
      </c>
      <c r="H20" s="195">
        <v>0</v>
      </c>
      <c r="I20" s="10">
        <v>0</v>
      </c>
      <c r="J20" s="11">
        <v>0</v>
      </c>
      <c r="K20" s="11">
        <v>0</v>
      </c>
      <c r="L20" s="189">
        <v>0</v>
      </c>
      <c r="M20" s="189">
        <v>2090</v>
      </c>
      <c r="N20" s="189">
        <v>0</v>
      </c>
      <c r="O20" s="189">
        <v>6507.55</v>
      </c>
      <c r="P20" s="189">
        <v>0</v>
      </c>
      <c r="Q20" s="189">
        <v>0</v>
      </c>
      <c r="R20" s="189">
        <v>0</v>
      </c>
      <c r="S20" s="189">
        <v>0</v>
      </c>
      <c r="T20" s="189">
        <v>8597.5499999999993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404.95</v>
      </c>
      <c r="G21" s="195">
        <v>0</v>
      </c>
      <c r="H21" s="195">
        <v>0</v>
      </c>
      <c r="I21" s="10">
        <v>0</v>
      </c>
      <c r="J21" s="11">
        <v>0</v>
      </c>
      <c r="K21" s="11">
        <v>0</v>
      </c>
      <c r="L21" s="189">
        <v>0</v>
      </c>
      <c r="M21" s="189">
        <v>0</v>
      </c>
      <c r="N21" s="189">
        <v>0</v>
      </c>
      <c r="O21" s="189">
        <v>6507.55</v>
      </c>
      <c r="P21" s="189">
        <v>0</v>
      </c>
      <c r="Q21" s="189">
        <v>0</v>
      </c>
      <c r="R21" s="189">
        <v>0</v>
      </c>
      <c r="S21" s="189">
        <v>0</v>
      </c>
      <c r="T21" s="189">
        <v>6507.55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404.95</v>
      </c>
      <c r="G22" s="195">
        <v>0</v>
      </c>
      <c r="H22" s="195">
        <v>0</v>
      </c>
      <c r="I22" s="10">
        <v>0</v>
      </c>
      <c r="J22" s="11">
        <v>0</v>
      </c>
      <c r="K22" s="11">
        <v>0</v>
      </c>
      <c r="L22" s="189">
        <v>0</v>
      </c>
      <c r="M22" s="189">
        <v>0</v>
      </c>
      <c r="N22" s="189">
        <v>0</v>
      </c>
      <c r="O22" s="189">
        <v>6507.55</v>
      </c>
      <c r="P22" s="189">
        <v>0</v>
      </c>
      <c r="Q22" s="189">
        <v>0</v>
      </c>
      <c r="R22" s="189">
        <v>0</v>
      </c>
      <c r="S22" s="189">
        <v>0</v>
      </c>
      <c r="T22" s="189">
        <v>6507.55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22</v>
      </c>
      <c r="F23" s="194">
        <v>382.95</v>
      </c>
      <c r="G23" s="195">
        <v>0</v>
      </c>
      <c r="H23" s="195">
        <v>0</v>
      </c>
      <c r="I23" s="10">
        <v>0</v>
      </c>
      <c r="J23" s="11">
        <v>0</v>
      </c>
      <c r="K23" s="11">
        <v>0</v>
      </c>
      <c r="L23" s="189">
        <v>0</v>
      </c>
      <c r="M23" s="189">
        <v>0</v>
      </c>
      <c r="N23" s="189">
        <v>2090</v>
      </c>
      <c r="O23" s="189">
        <v>6154.01</v>
      </c>
      <c r="P23" s="189">
        <v>0</v>
      </c>
      <c r="Q23" s="189">
        <v>0</v>
      </c>
      <c r="R23" s="189">
        <v>0</v>
      </c>
      <c r="S23" s="189">
        <v>0</v>
      </c>
      <c r="T23" s="189">
        <v>8244.01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382.95</v>
      </c>
      <c r="G24" s="195">
        <v>0</v>
      </c>
      <c r="H24" s="195">
        <v>0</v>
      </c>
      <c r="I24" s="10">
        <v>0</v>
      </c>
      <c r="J24" s="11">
        <v>0</v>
      </c>
      <c r="K24" s="11">
        <v>0</v>
      </c>
      <c r="L24" s="189">
        <v>0</v>
      </c>
      <c r="M24" s="189">
        <v>0</v>
      </c>
      <c r="N24" s="189">
        <v>0</v>
      </c>
      <c r="O24" s="189">
        <v>6154.01</v>
      </c>
      <c r="P24" s="189">
        <v>0</v>
      </c>
      <c r="Q24" s="189">
        <v>0</v>
      </c>
      <c r="R24" s="189">
        <v>0</v>
      </c>
      <c r="S24" s="189">
        <v>0</v>
      </c>
      <c r="T24" s="189">
        <v>6154.01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22</v>
      </c>
      <c r="F25" s="194">
        <v>360.95</v>
      </c>
      <c r="G25" s="195">
        <v>0</v>
      </c>
      <c r="H25" s="195">
        <v>0</v>
      </c>
      <c r="I25" s="10">
        <v>0</v>
      </c>
      <c r="J25" s="11">
        <v>0</v>
      </c>
      <c r="K25" s="11">
        <v>0</v>
      </c>
      <c r="L25" s="189">
        <v>0</v>
      </c>
      <c r="M25" s="189">
        <v>0</v>
      </c>
      <c r="N25" s="189">
        <v>2090</v>
      </c>
      <c r="O25" s="189">
        <v>5800.47</v>
      </c>
      <c r="P25" s="189">
        <v>0</v>
      </c>
      <c r="Q25" s="189">
        <v>0</v>
      </c>
      <c r="R25" s="189">
        <v>0</v>
      </c>
      <c r="S25" s="189">
        <v>0</v>
      </c>
      <c r="T25" s="189">
        <v>7890.47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22</v>
      </c>
      <c r="F26" s="194">
        <v>338.95</v>
      </c>
      <c r="G26" s="195">
        <v>0</v>
      </c>
      <c r="H26" s="195">
        <v>0</v>
      </c>
      <c r="I26" s="10">
        <v>0</v>
      </c>
      <c r="J26" s="11">
        <v>0</v>
      </c>
      <c r="K26" s="11">
        <v>0</v>
      </c>
      <c r="L26" s="189">
        <v>0</v>
      </c>
      <c r="M26" s="189">
        <v>0</v>
      </c>
      <c r="N26" s="189">
        <v>2090</v>
      </c>
      <c r="O26" s="189">
        <v>5446.93</v>
      </c>
      <c r="P26" s="189">
        <v>0</v>
      </c>
      <c r="Q26" s="189">
        <v>0</v>
      </c>
      <c r="R26" s="189">
        <v>0</v>
      </c>
      <c r="S26" s="189">
        <v>0</v>
      </c>
      <c r="T26" s="189">
        <v>7536.93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338.95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5446.93</v>
      </c>
      <c r="P27" s="189">
        <v>0</v>
      </c>
      <c r="Q27" s="189">
        <v>0</v>
      </c>
      <c r="R27" s="189">
        <v>0</v>
      </c>
      <c r="S27" s="189">
        <v>0</v>
      </c>
      <c r="T27" s="189">
        <v>5446.93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338.95</v>
      </c>
      <c r="G28" s="195">
        <v>0</v>
      </c>
      <c r="H28" s="195">
        <v>0</v>
      </c>
      <c r="I28" s="10">
        <v>0</v>
      </c>
      <c r="J28" s="11">
        <v>0</v>
      </c>
      <c r="K28" s="11">
        <v>0</v>
      </c>
      <c r="L28" s="189">
        <v>0</v>
      </c>
      <c r="M28" s="189">
        <v>0</v>
      </c>
      <c r="N28" s="189">
        <v>0</v>
      </c>
      <c r="O28" s="189">
        <v>5446.93</v>
      </c>
      <c r="P28" s="189">
        <v>0</v>
      </c>
      <c r="Q28" s="189">
        <v>0</v>
      </c>
      <c r="R28" s="189">
        <v>0</v>
      </c>
      <c r="S28" s="189">
        <v>0</v>
      </c>
      <c r="T28" s="189">
        <v>5446.93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338.95</v>
      </c>
      <c r="G29" s="195">
        <v>0</v>
      </c>
      <c r="H29" s="195">
        <v>0</v>
      </c>
      <c r="I29" s="10">
        <v>0</v>
      </c>
      <c r="J29" s="11">
        <v>0</v>
      </c>
      <c r="K29" s="11">
        <v>0</v>
      </c>
      <c r="L29" s="189">
        <v>0</v>
      </c>
      <c r="M29" s="189">
        <v>0</v>
      </c>
      <c r="N29" s="189">
        <v>0</v>
      </c>
      <c r="O29" s="189">
        <v>5446.93</v>
      </c>
      <c r="P29" s="189">
        <v>0</v>
      </c>
      <c r="Q29" s="189">
        <v>0</v>
      </c>
      <c r="R29" s="189">
        <v>0</v>
      </c>
      <c r="S29" s="189">
        <v>0</v>
      </c>
      <c r="T29" s="189">
        <v>5446.93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338.95</v>
      </c>
      <c r="G30" s="195">
        <v>0</v>
      </c>
      <c r="H30" s="195">
        <v>0</v>
      </c>
      <c r="I30" s="10">
        <v>0</v>
      </c>
      <c r="J30" s="11">
        <v>0</v>
      </c>
      <c r="K30" s="11">
        <v>0</v>
      </c>
      <c r="L30" s="189">
        <v>0</v>
      </c>
      <c r="M30" s="189">
        <v>0</v>
      </c>
      <c r="N30" s="189">
        <v>0</v>
      </c>
      <c r="O30" s="189">
        <v>5446.93</v>
      </c>
      <c r="P30" s="189">
        <v>0</v>
      </c>
      <c r="Q30" s="189">
        <v>0</v>
      </c>
      <c r="R30" s="189">
        <v>0</v>
      </c>
      <c r="S30" s="189">
        <v>0</v>
      </c>
      <c r="T30" s="189">
        <v>5446.93</v>
      </c>
    </row>
    <row r="31" spans="1:20">
      <c r="A31" s="13">
        <v>27</v>
      </c>
      <c r="B31" s="199" t="s">
        <v>227</v>
      </c>
      <c r="C31" s="200"/>
      <c r="D31" s="194">
        <v>22</v>
      </c>
      <c r="E31" s="194">
        <v>22</v>
      </c>
      <c r="F31" s="194">
        <v>338.95</v>
      </c>
      <c r="G31" s="195">
        <v>0</v>
      </c>
      <c r="H31" s="195">
        <v>0</v>
      </c>
      <c r="I31" s="10">
        <v>0</v>
      </c>
      <c r="J31" s="11">
        <v>0</v>
      </c>
      <c r="K31" s="11">
        <v>0</v>
      </c>
      <c r="L31" s="189">
        <v>0</v>
      </c>
      <c r="M31" s="189">
        <v>2090</v>
      </c>
      <c r="N31" s="189">
        <v>2090</v>
      </c>
      <c r="O31" s="189">
        <v>5446.93</v>
      </c>
      <c r="P31" s="189">
        <v>0</v>
      </c>
      <c r="Q31" s="189">
        <v>0</v>
      </c>
      <c r="R31" s="189">
        <v>0</v>
      </c>
      <c r="S31" s="189">
        <v>0</v>
      </c>
      <c r="T31" s="189">
        <v>9626.93</v>
      </c>
    </row>
    <row r="32" spans="1:20">
      <c r="A32" s="13">
        <v>28</v>
      </c>
      <c r="B32" s="199" t="s">
        <v>228</v>
      </c>
      <c r="C32" s="200"/>
      <c r="D32" s="194">
        <v>66</v>
      </c>
      <c r="E32" s="194">
        <v>44</v>
      </c>
      <c r="F32" s="194">
        <v>360.95</v>
      </c>
      <c r="G32" s="195">
        <v>0</v>
      </c>
      <c r="H32" s="195">
        <v>0</v>
      </c>
      <c r="I32" s="10">
        <v>0</v>
      </c>
      <c r="J32" s="11">
        <v>0</v>
      </c>
      <c r="K32" s="11">
        <v>0</v>
      </c>
      <c r="L32" s="189">
        <v>0</v>
      </c>
      <c r="M32" s="189">
        <v>6270</v>
      </c>
      <c r="N32" s="189">
        <v>4180</v>
      </c>
      <c r="O32" s="189">
        <v>5800.47</v>
      </c>
      <c r="P32" s="189">
        <v>0</v>
      </c>
      <c r="Q32" s="189">
        <v>0</v>
      </c>
      <c r="R32" s="189">
        <v>0</v>
      </c>
      <c r="S32" s="189">
        <v>0</v>
      </c>
      <c r="T32" s="189">
        <v>16250.47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506</v>
      </c>
      <c r="E36" s="19">
        <v>312.125</v>
      </c>
      <c r="F36" s="19">
        <v>8569.2249999999985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0">
        <v>0</v>
      </c>
      <c r="M36" s="190">
        <v>48070</v>
      </c>
      <c r="N36" s="190">
        <v>29651.88</v>
      </c>
      <c r="O36" s="190">
        <v>137707.45000000001</v>
      </c>
      <c r="P36" s="190">
        <v>0</v>
      </c>
      <c r="Q36" s="190">
        <v>0</v>
      </c>
      <c r="R36" s="190">
        <v>0</v>
      </c>
      <c r="S36" s="190">
        <v>0</v>
      </c>
      <c r="T36" s="190">
        <v>215429.32</v>
      </c>
    </row>
    <row r="37" spans="1:20">
      <c r="R37" s="22"/>
      <c r="S37" s="22"/>
      <c r="T37" s="191">
        <v>262823.77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F274-AC4B-4AF5-9EB2-47F6F238116E}">
  <sheetPr codeName="Лист32">
    <pageSetUpPr fitToPage="1"/>
  </sheetPr>
  <dimension ref="A1:T37"/>
  <sheetViews>
    <sheetView topLeftCell="A10" workbookViewId="0">
      <selection activeCell="T38" sqref="T38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10.79687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270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265</v>
      </c>
      <c r="H3" s="202" t="s">
        <v>266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271</v>
      </c>
      <c r="C5" s="200"/>
      <c r="D5" s="194">
        <v>0</v>
      </c>
      <c r="E5" s="194">
        <v>0</v>
      </c>
      <c r="F5" s="194">
        <v>177.39400000000001</v>
      </c>
      <c r="G5" s="195"/>
      <c r="H5" s="195"/>
      <c r="I5" s="10"/>
      <c r="J5" s="11"/>
      <c r="K5" s="11"/>
      <c r="L5" s="189">
        <v>0</v>
      </c>
      <c r="M5" s="189">
        <v>0</v>
      </c>
      <c r="N5" s="189">
        <v>0</v>
      </c>
      <c r="O5" s="189">
        <v>2850.72</v>
      </c>
      <c r="P5" s="189">
        <v>0</v>
      </c>
      <c r="Q5" s="189">
        <v>0</v>
      </c>
      <c r="R5" s="189">
        <v>0</v>
      </c>
      <c r="S5" s="189">
        <v>0</v>
      </c>
      <c r="T5" s="189">
        <v>2850.72</v>
      </c>
    </row>
    <row r="6" spans="1:20">
      <c r="A6" s="13">
        <v>2</v>
      </c>
      <c r="B6" s="199" t="s">
        <v>272</v>
      </c>
      <c r="C6" s="200"/>
      <c r="D6" s="194">
        <v>0</v>
      </c>
      <c r="E6" s="194">
        <v>0</v>
      </c>
      <c r="F6" s="194">
        <v>177.39400000000001</v>
      </c>
      <c r="G6" s="195"/>
      <c r="H6" s="195"/>
      <c r="I6" s="10"/>
      <c r="J6" s="11"/>
      <c r="K6" s="11"/>
      <c r="L6" s="189">
        <v>0</v>
      </c>
      <c r="M6" s="189">
        <v>0</v>
      </c>
      <c r="N6" s="189">
        <v>0</v>
      </c>
      <c r="O6" s="189">
        <v>2850.72</v>
      </c>
      <c r="P6" s="189">
        <v>0</v>
      </c>
      <c r="Q6" s="189">
        <v>0</v>
      </c>
      <c r="R6" s="189">
        <v>0</v>
      </c>
      <c r="S6" s="189">
        <v>0</v>
      </c>
      <c r="T6" s="189">
        <v>2850.72</v>
      </c>
    </row>
    <row r="7" spans="1:20">
      <c r="A7" s="13">
        <v>3</v>
      </c>
      <c r="B7" s="199" t="s">
        <v>273</v>
      </c>
      <c r="C7" s="200"/>
      <c r="D7" s="194">
        <v>0</v>
      </c>
      <c r="E7" s="194">
        <v>0</v>
      </c>
      <c r="F7" s="194">
        <v>177.39400000000001</v>
      </c>
      <c r="G7" s="195"/>
      <c r="H7" s="195"/>
      <c r="I7" s="10"/>
      <c r="J7" s="11"/>
      <c r="K7" s="11"/>
      <c r="L7" s="189">
        <v>0</v>
      </c>
      <c r="M7" s="189">
        <v>0</v>
      </c>
      <c r="N7" s="189">
        <v>0</v>
      </c>
      <c r="O7" s="189">
        <v>2850.72</v>
      </c>
      <c r="P7" s="189">
        <v>0</v>
      </c>
      <c r="Q7" s="189">
        <v>0</v>
      </c>
      <c r="R7" s="189">
        <v>0</v>
      </c>
      <c r="S7" s="189">
        <v>0</v>
      </c>
      <c r="T7" s="189">
        <v>2850.72</v>
      </c>
    </row>
    <row r="8" spans="1:20">
      <c r="A8" s="13">
        <v>4</v>
      </c>
      <c r="B8" s="199" t="s">
        <v>274</v>
      </c>
      <c r="C8" s="200"/>
      <c r="D8" s="194">
        <v>0</v>
      </c>
      <c r="E8" s="194">
        <v>0</v>
      </c>
      <c r="F8" s="194">
        <v>177.39400000000001</v>
      </c>
      <c r="G8" s="195"/>
      <c r="H8" s="195"/>
      <c r="I8" s="10"/>
      <c r="J8" s="11"/>
      <c r="K8" s="11"/>
      <c r="L8" s="189">
        <v>0</v>
      </c>
      <c r="M8" s="189">
        <v>0</v>
      </c>
      <c r="N8" s="189">
        <v>0</v>
      </c>
      <c r="O8" s="189">
        <v>2850.72</v>
      </c>
      <c r="P8" s="189">
        <v>0</v>
      </c>
      <c r="Q8" s="189">
        <v>0</v>
      </c>
      <c r="R8" s="189">
        <v>0</v>
      </c>
      <c r="S8" s="189">
        <v>0</v>
      </c>
      <c r="T8" s="189">
        <v>2850.72</v>
      </c>
    </row>
    <row r="9" spans="1:20">
      <c r="A9" s="13">
        <v>5</v>
      </c>
      <c r="B9" s="199" t="s">
        <v>275</v>
      </c>
      <c r="C9" s="200"/>
      <c r="D9" s="194">
        <v>0</v>
      </c>
      <c r="E9" s="194">
        <v>0</v>
      </c>
      <c r="F9" s="194">
        <v>177.39400000000001</v>
      </c>
      <c r="G9" s="195"/>
      <c r="H9" s="195"/>
      <c r="I9" s="10"/>
      <c r="J9" s="11"/>
      <c r="K9" s="11"/>
      <c r="L9" s="189">
        <v>0</v>
      </c>
      <c r="M9" s="189">
        <v>0</v>
      </c>
      <c r="N9" s="189">
        <v>0</v>
      </c>
      <c r="O9" s="189">
        <v>2850.72</v>
      </c>
      <c r="P9" s="189">
        <v>0</v>
      </c>
      <c r="Q9" s="189">
        <v>0</v>
      </c>
      <c r="R9" s="189">
        <v>0</v>
      </c>
      <c r="S9" s="189">
        <v>0</v>
      </c>
      <c r="T9" s="189">
        <v>2850.72</v>
      </c>
    </row>
    <row r="10" spans="1:20">
      <c r="A10" s="13">
        <v>6</v>
      </c>
      <c r="B10" s="199" t="s">
        <v>276</v>
      </c>
      <c r="C10" s="200"/>
      <c r="D10" s="194">
        <v>0</v>
      </c>
      <c r="E10" s="194">
        <v>0</v>
      </c>
      <c r="F10" s="194">
        <v>177.39400000000001</v>
      </c>
      <c r="G10" s="195"/>
      <c r="H10" s="195"/>
      <c r="I10" s="10"/>
      <c r="J10" s="11"/>
      <c r="K10" s="11"/>
      <c r="L10" s="189">
        <v>0</v>
      </c>
      <c r="M10" s="189">
        <v>0</v>
      </c>
      <c r="N10" s="189">
        <v>0</v>
      </c>
      <c r="O10" s="189">
        <v>2850.72</v>
      </c>
      <c r="P10" s="189">
        <v>0</v>
      </c>
      <c r="Q10" s="189">
        <v>0</v>
      </c>
      <c r="R10" s="189">
        <v>0</v>
      </c>
      <c r="S10" s="189">
        <v>0</v>
      </c>
      <c r="T10" s="189">
        <v>2850.72</v>
      </c>
    </row>
    <row r="11" spans="1:20">
      <c r="A11" s="13">
        <v>7</v>
      </c>
      <c r="B11" s="199" t="s">
        <v>277</v>
      </c>
      <c r="C11" s="200"/>
      <c r="D11" s="194">
        <v>0</v>
      </c>
      <c r="E11" s="194">
        <v>0</v>
      </c>
      <c r="F11" s="194">
        <v>177.39400000000001</v>
      </c>
      <c r="G11" s="195"/>
      <c r="H11" s="195"/>
      <c r="I11" s="10"/>
      <c r="J11" s="11"/>
      <c r="K11" s="11"/>
      <c r="L11" s="189">
        <v>0</v>
      </c>
      <c r="M11" s="189">
        <v>0</v>
      </c>
      <c r="N11" s="189">
        <v>0</v>
      </c>
      <c r="O11" s="189">
        <v>2850.72</v>
      </c>
      <c r="P11" s="189">
        <v>0</v>
      </c>
      <c r="Q11" s="189">
        <v>0</v>
      </c>
      <c r="R11" s="189">
        <v>0</v>
      </c>
      <c r="S11" s="189">
        <v>0</v>
      </c>
      <c r="T11" s="189">
        <v>2850.72</v>
      </c>
    </row>
    <row r="12" spans="1:20">
      <c r="A12" s="13">
        <v>8</v>
      </c>
      <c r="B12" s="199" t="s">
        <v>278</v>
      </c>
      <c r="C12" s="200"/>
      <c r="D12" s="194">
        <v>0</v>
      </c>
      <c r="E12" s="194">
        <v>0</v>
      </c>
      <c r="F12" s="194">
        <v>177.39400000000001</v>
      </c>
      <c r="G12" s="195"/>
      <c r="H12" s="195"/>
      <c r="I12" s="10"/>
      <c r="J12" s="11"/>
      <c r="K12" s="11"/>
      <c r="L12" s="189">
        <v>0</v>
      </c>
      <c r="M12" s="189">
        <v>0</v>
      </c>
      <c r="N12" s="189">
        <v>0</v>
      </c>
      <c r="O12" s="189">
        <v>2850.72</v>
      </c>
      <c r="P12" s="189">
        <v>0</v>
      </c>
      <c r="Q12" s="189">
        <v>0</v>
      </c>
      <c r="R12" s="189">
        <v>0</v>
      </c>
      <c r="S12" s="189">
        <v>0</v>
      </c>
      <c r="T12" s="189">
        <v>2850.72</v>
      </c>
    </row>
    <row r="13" spans="1:20">
      <c r="A13" s="13">
        <v>9</v>
      </c>
      <c r="B13" s="199" t="s">
        <v>279</v>
      </c>
      <c r="C13" s="200"/>
      <c r="D13" s="194">
        <v>0</v>
      </c>
      <c r="E13" s="194">
        <v>0</v>
      </c>
      <c r="F13" s="194">
        <v>177.39400000000001</v>
      </c>
      <c r="G13" s="195"/>
      <c r="H13" s="195"/>
      <c r="I13" s="10"/>
      <c r="J13" s="11"/>
      <c r="K13" s="11"/>
      <c r="L13" s="189">
        <v>0</v>
      </c>
      <c r="M13" s="189">
        <v>0</v>
      </c>
      <c r="N13" s="189">
        <v>0</v>
      </c>
      <c r="O13" s="189">
        <v>2850.72</v>
      </c>
      <c r="P13" s="189">
        <v>0</v>
      </c>
      <c r="Q13" s="189">
        <v>0</v>
      </c>
      <c r="R13" s="189">
        <v>0</v>
      </c>
      <c r="S13" s="189">
        <v>0</v>
      </c>
      <c r="T13" s="189">
        <v>2850.72</v>
      </c>
    </row>
    <row r="14" spans="1:20">
      <c r="A14" s="13">
        <v>10</v>
      </c>
      <c r="B14" s="199" t="s">
        <v>280</v>
      </c>
      <c r="C14" s="200"/>
      <c r="D14" s="194">
        <v>0</v>
      </c>
      <c r="E14" s="194">
        <v>0</v>
      </c>
      <c r="F14" s="194">
        <v>177.39400000000001</v>
      </c>
      <c r="G14" s="195"/>
      <c r="H14" s="195"/>
      <c r="I14" s="10"/>
      <c r="J14" s="11"/>
      <c r="K14" s="11"/>
      <c r="L14" s="189">
        <v>0</v>
      </c>
      <c r="M14" s="189">
        <v>0</v>
      </c>
      <c r="N14" s="189">
        <v>0</v>
      </c>
      <c r="O14" s="189">
        <v>2850.72</v>
      </c>
      <c r="P14" s="189">
        <v>0</v>
      </c>
      <c r="Q14" s="189">
        <v>0</v>
      </c>
      <c r="R14" s="189">
        <v>0</v>
      </c>
      <c r="S14" s="189">
        <v>0</v>
      </c>
      <c r="T14" s="189">
        <v>2850.72</v>
      </c>
    </row>
    <row r="15" spans="1:20">
      <c r="A15" s="13">
        <v>11</v>
      </c>
      <c r="B15" s="199" t="s">
        <v>281</v>
      </c>
      <c r="C15" s="200"/>
      <c r="D15" s="194">
        <v>0</v>
      </c>
      <c r="E15" s="194">
        <v>0</v>
      </c>
      <c r="F15" s="194">
        <v>177.39400000000001</v>
      </c>
      <c r="G15" s="195"/>
      <c r="H15" s="195"/>
      <c r="I15" s="10"/>
      <c r="J15" s="11"/>
      <c r="K15" s="11"/>
      <c r="L15" s="189">
        <v>0</v>
      </c>
      <c r="M15" s="189">
        <v>0</v>
      </c>
      <c r="N15" s="189">
        <v>0</v>
      </c>
      <c r="O15" s="189">
        <v>2850.72</v>
      </c>
      <c r="P15" s="189">
        <v>0</v>
      </c>
      <c r="Q15" s="189">
        <v>0</v>
      </c>
      <c r="R15" s="189">
        <v>0</v>
      </c>
      <c r="S15" s="189">
        <v>0</v>
      </c>
      <c r="T15" s="189">
        <v>2850.72</v>
      </c>
    </row>
    <row r="16" spans="1:20">
      <c r="A16" s="13">
        <v>12</v>
      </c>
      <c r="B16" s="199" t="s">
        <v>282</v>
      </c>
      <c r="C16" s="200"/>
      <c r="D16" s="194">
        <v>0</v>
      </c>
      <c r="E16" s="194">
        <v>0</v>
      </c>
      <c r="F16" s="194">
        <v>177.39400000000001</v>
      </c>
      <c r="G16" s="195"/>
      <c r="H16" s="195"/>
      <c r="I16" s="10"/>
      <c r="J16" s="11"/>
      <c r="K16" s="11"/>
      <c r="L16" s="189">
        <v>0</v>
      </c>
      <c r="M16" s="189">
        <v>0</v>
      </c>
      <c r="N16" s="189">
        <v>0</v>
      </c>
      <c r="O16" s="189">
        <v>2850.72</v>
      </c>
      <c r="P16" s="189">
        <v>0</v>
      </c>
      <c r="Q16" s="189">
        <v>0</v>
      </c>
      <c r="R16" s="189">
        <v>0</v>
      </c>
      <c r="S16" s="189">
        <v>0</v>
      </c>
      <c r="T16" s="189">
        <v>2850.72</v>
      </c>
    </row>
    <row r="17" spans="1:20">
      <c r="A17" s="13">
        <v>13</v>
      </c>
      <c r="B17" s="199" t="s">
        <v>283</v>
      </c>
      <c r="C17" s="200"/>
      <c r="D17" s="194">
        <v>0</v>
      </c>
      <c r="E17" s="194">
        <v>0</v>
      </c>
      <c r="F17" s="194">
        <v>177.39400000000001</v>
      </c>
      <c r="G17" s="195"/>
      <c r="H17" s="195"/>
      <c r="I17" s="10"/>
      <c r="J17" s="11"/>
      <c r="K17" s="11"/>
      <c r="L17" s="189">
        <v>0</v>
      </c>
      <c r="M17" s="189">
        <v>0</v>
      </c>
      <c r="N17" s="189">
        <v>0</v>
      </c>
      <c r="O17" s="189">
        <v>2850.72</v>
      </c>
      <c r="P17" s="189">
        <v>0</v>
      </c>
      <c r="Q17" s="189">
        <v>0</v>
      </c>
      <c r="R17" s="189">
        <v>0</v>
      </c>
      <c r="S17" s="189">
        <v>0</v>
      </c>
      <c r="T17" s="189">
        <v>2850.72</v>
      </c>
    </row>
    <row r="18" spans="1:20">
      <c r="A18" s="13">
        <v>14</v>
      </c>
      <c r="B18" s="199" t="s">
        <v>284</v>
      </c>
      <c r="C18" s="200"/>
      <c r="D18" s="194">
        <v>0</v>
      </c>
      <c r="E18" s="194">
        <v>0</v>
      </c>
      <c r="F18" s="194">
        <v>177.39400000000001</v>
      </c>
      <c r="G18" s="195"/>
      <c r="H18" s="195"/>
      <c r="I18" s="10"/>
      <c r="J18" s="11"/>
      <c r="K18" s="11"/>
      <c r="L18" s="189">
        <v>0</v>
      </c>
      <c r="M18" s="189">
        <v>0</v>
      </c>
      <c r="N18" s="189">
        <v>0</v>
      </c>
      <c r="O18" s="189">
        <v>2850.72</v>
      </c>
      <c r="P18" s="189">
        <v>0</v>
      </c>
      <c r="Q18" s="189">
        <v>0</v>
      </c>
      <c r="R18" s="189">
        <v>0</v>
      </c>
      <c r="S18" s="189">
        <v>0</v>
      </c>
      <c r="T18" s="189">
        <v>2850.72</v>
      </c>
    </row>
    <row r="19" spans="1:20">
      <c r="A19" s="13">
        <v>15</v>
      </c>
      <c r="B19" s="199" t="s">
        <v>285</v>
      </c>
      <c r="C19" s="200"/>
      <c r="D19" s="194">
        <v>0</v>
      </c>
      <c r="E19" s="194">
        <v>0</v>
      </c>
      <c r="F19" s="194">
        <v>177.39400000000001</v>
      </c>
      <c r="G19" s="195"/>
      <c r="H19" s="195"/>
      <c r="I19" s="10"/>
      <c r="J19" s="11"/>
      <c r="K19" s="11"/>
      <c r="L19" s="189">
        <v>0</v>
      </c>
      <c r="M19" s="189">
        <v>0</v>
      </c>
      <c r="N19" s="189">
        <v>0</v>
      </c>
      <c r="O19" s="189">
        <v>2850.72</v>
      </c>
      <c r="P19" s="189">
        <v>0</v>
      </c>
      <c r="Q19" s="189">
        <v>0</v>
      </c>
      <c r="R19" s="189">
        <v>0</v>
      </c>
      <c r="S19" s="189">
        <v>0</v>
      </c>
      <c r="T19" s="189">
        <v>2850.72</v>
      </c>
    </row>
    <row r="20" spans="1:20">
      <c r="A20" s="13">
        <v>16</v>
      </c>
      <c r="B20" s="199" t="s">
        <v>286</v>
      </c>
      <c r="C20" s="200"/>
      <c r="D20" s="194">
        <v>0</v>
      </c>
      <c r="E20" s="194">
        <v>0</v>
      </c>
      <c r="F20" s="194">
        <v>177.39400000000001</v>
      </c>
      <c r="G20" s="195"/>
      <c r="H20" s="195"/>
      <c r="I20" s="10"/>
      <c r="J20" s="11"/>
      <c r="K20" s="11"/>
      <c r="L20" s="189">
        <v>0</v>
      </c>
      <c r="M20" s="189">
        <v>0</v>
      </c>
      <c r="N20" s="189">
        <v>0</v>
      </c>
      <c r="O20" s="189">
        <v>2850.72</v>
      </c>
      <c r="P20" s="189">
        <v>0</v>
      </c>
      <c r="Q20" s="189">
        <v>0</v>
      </c>
      <c r="R20" s="189">
        <v>0</v>
      </c>
      <c r="S20" s="189">
        <v>0</v>
      </c>
      <c r="T20" s="189">
        <v>2850.72</v>
      </c>
    </row>
    <row r="21" spans="1:20">
      <c r="A21" s="13">
        <v>17</v>
      </c>
      <c r="B21" s="199" t="s">
        <v>287</v>
      </c>
      <c r="C21" s="200"/>
      <c r="D21" s="194">
        <v>0</v>
      </c>
      <c r="E21" s="194">
        <v>0</v>
      </c>
      <c r="F21" s="194">
        <v>177.39400000000001</v>
      </c>
      <c r="G21" s="195"/>
      <c r="H21" s="195"/>
      <c r="I21" s="10"/>
      <c r="J21" s="11"/>
      <c r="K21" s="11"/>
      <c r="L21" s="189">
        <v>0</v>
      </c>
      <c r="M21" s="189">
        <v>0</v>
      </c>
      <c r="N21" s="189">
        <v>0</v>
      </c>
      <c r="O21" s="189">
        <v>2850.72</v>
      </c>
      <c r="P21" s="189">
        <v>0</v>
      </c>
      <c r="Q21" s="189">
        <v>0</v>
      </c>
      <c r="R21" s="189">
        <v>0</v>
      </c>
      <c r="S21" s="189">
        <v>0</v>
      </c>
      <c r="T21" s="189">
        <v>2850.72</v>
      </c>
    </row>
    <row r="22" spans="1:20">
      <c r="A22" s="13">
        <v>18</v>
      </c>
      <c r="B22" s="199" t="s">
        <v>288</v>
      </c>
      <c r="C22" s="200"/>
      <c r="D22" s="194">
        <v>0</v>
      </c>
      <c r="E22" s="194">
        <v>0</v>
      </c>
      <c r="F22" s="194">
        <v>177.39400000000001</v>
      </c>
      <c r="G22" s="195"/>
      <c r="H22" s="195"/>
      <c r="I22" s="10"/>
      <c r="J22" s="11"/>
      <c r="K22" s="11"/>
      <c r="L22" s="189">
        <v>0</v>
      </c>
      <c r="M22" s="189">
        <v>0</v>
      </c>
      <c r="N22" s="189">
        <v>0</v>
      </c>
      <c r="O22" s="189">
        <v>2850.72</v>
      </c>
      <c r="P22" s="189">
        <v>0</v>
      </c>
      <c r="Q22" s="189">
        <v>0</v>
      </c>
      <c r="R22" s="189">
        <v>0</v>
      </c>
      <c r="S22" s="189">
        <v>0</v>
      </c>
      <c r="T22" s="189">
        <v>2850.72</v>
      </c>
    </row>
    <row r="23" spans="1:20">
      <c r="A23" s="13">
        <v>19</v>
      </c>
      <c r="B23" s="199" t="s">
        <v>289</v>
      </c>
      <c r="C23" s="200"/>
      <c r="D23" s="194">
        <v>0</v>
      </c>
      <c r="E23" s="194">
        <v>0</v>
      </c>
      <c r="F23" s="194">
        <v>177.39400000000001</v>
      </c>
      <c r="G23" s="195"/>
      <c r="H23" s="195"/>
      <c r="I23" s="10"/>
      <c r="J23" s="11"/>
      <c r="K23" s="11"/>
      <c r="L23" s="189">
        <v>0</v>
      </c>
      <c r="M23" s="189">
        <v>0</v>
      </c>
      <c r="N23" s="189">
        <v>0</v>
      </c>
      <c r="O23" s="189">
        <v>2850.72</v>
      </c>
      <c r="P23" s="189">
        <v>0</v>
      </c>
      <c r="Q23" s="189">
        <v>0</v>
      </c>
      <c r="R23" s="189">
        <v>0</v>
      </c>
      <c r="S23" s="189">
        <v>0</v>
      </c>
      <c r="T23" s="189">
        <v>2850.72</v>
      </c>
    </row>
    <row r="24" spans="1:20">
      <c r="A24" s="13">
        <v>20</v>
      </c>
      <c r="B24" s="199" t="s">
        <v>290</v>
      </c>
      <c r="C24" s="200"/>
      <c r="D24" s="194">
        <v>0</v>
      </c>
      <c r="E24" s="194">
        <v>0</v>
      </c>
      <c r="F24" s="194">
        <v>177.39400000000001</v>
      </c>
      <c r="G24" s="195"/>
      <c r="H24" s="195"/>
      <c r="I24" s="10"/>
      <c r="J24" s="11"/>
      <c r="K24" s="11"/>
      <c r="L24" s="189">
        <v>0</v>
      </c>
      <c r="M24" s="189">
        <v>0</v>
      </c>
      <c r="N24" s="189">
        <v>0</v>
      </c>
      <c r="O24" s="189">
        <v>2850.72</v>
      </c>
      <c r="P24" s="189">
        <v>0</v>
      </c>
      <c r="Q24" s="189">
        <v>0</v>
      </c>
      <c r="R24" s="189">
        <v>0</v>
      </c>
      <c r="S24" s="189">
        <v>0</v>
      </c>
      <c r="T24" s="189">
        <v>2850.72</v>
      </c>
    </row>
    <row r="25" spans="1:20">
      <c r="A25" s="13">
        <v>21</v>
      </c>
      <c r="B25" s="199" t="s">
        <v>291</v>
      </c>
      <c r="C25" s="200"/>
      <c r="D25" s="194">
        <v>0</v>
      </c>
      <c r="E25" s="194">
        <v>0</v>
      </c>
      <c r="F25" s="194">
        <v>177.39400000000001</v>
      </c>
      <c r="G25" s="195"/>
      <c r="H25" s="195"/>
      <c r="I25" s="10"/>
      <c r="J25" s="11"/>
      <c r="K25" s="11"/>
      <c r="L25" s="189">
        <v>0</v>
      </c>
      <c r="M25" s="189">
        <v>0</v>
      </c>
      <c r="N25" s="189">
        <v>0</v>
      </c>
      <c r="O25" s="189">
        <v>2850.72</v>
      </c>
      <c r="P25" s="189">
        <v>0</v>
      </c>
      <c r="Q25" s="189">
        <v>0</v>
      </c>
      <c r="R25" s="189">
        <v>0</v>
      </c>
      <c r="S25" s="189">
        <v>0</v>
      </c>
      <c r="T25" s="189">
        <v>2850.72</v>
      </c>
    </row>
    <row r="26" spans="1:20">
      <c r="A26" s="13">
        <v>22</v>
      </c>
      <c r="B26" s="199" t="s">
        <v>292</v>
      </c>
      <c r="C26" s="200"/>
      <c r="D26" s="194">
        <v>0</v>
      </c>
      <c r="E26" s="194">
        <v>0</v>
      </c>
      <c r="F26" s="194">
        <v>177.39400000000001</v>
      </c>
      <c r="G26" s="195"/>
      <c r="H26" s="195"/>
      <c r="I26" s="10"/>
      <c r="J26" s="11"/>
      <c r="K26" s="11"/>
      <c r="L26" s="189">
        <v>0</v>
      </c>
      <c r="M26" s="189">
        <v>0</v>
      </c>
      <c r="N26" s="189">
        <v>0</v>
      </c>
      <c r="O26" s="189">
        <v>2850.72</v>
      </c>
      <c r="P26" s="189">
        <v>0</v>
      </c>
      <c r="Q26" s="189">
        <v>0</v>
      </c>
      <c r="R26" s="189">
        <v>0</v>
      </c>
      <c r="S26" s="189">
        <v>0</v>
      </c>
      <c r="T26" s="189">
        <v>2850.72</v>
      </c>
    </row>
    <row r="27" spans="1:20">
      <c r="A27" s="13">
        <v>23</v>
      </c>
      <c r="B27" s="199" t="s">
        <v>293</v>
      </c>
      <c r="C27" s="200"/>
      <c r="D27" s="194">
        <v>0</v>
      </c>
      <c r="E27" s="194">
        <v>0</v>
      </c>
      <c r="F27" s="194">
        <v>177.39400000000001</v>
      </c>
      <c r="G27" s="195"/>
      <c r="H27" s="195"/>
      <c r="I27" s="10"/>
      <c r="J27" s="11"/>
      <c r="K27" s="11"/>
      <c r="L27" s="189">
        <v>0</v>
      </c>
      <c r="M27" s="189">
        <v>0</v>
      </c>
      <c r="N27" s="189">
        <v>0</v>
      </c>
      <c r="O27" s="189">
        <v>2850.72</v>
      </c>
      <c r="P27" s="189">
        <v>0</v>
      </c>
      <c r="Q27" s="189">
        <v>0</v>
      </c>
      <c r="R27" s="189">
        <v>0</v>
      </c>
      <c r="S27" s="189">
        <v>0</v>
      </c>
      <c r="T27" s="189">
        <v>2850.72</v>
      </c>
    </row>
    <row r="28" spans="1:20">
      <c r="A28" s="13">
        <v>24</v>
      </c>
      <c r="B28" s="199" t="s">
        <v>294</v>
      </c>
      <c r="C28" s="200"/>
      <c r="D28" s="194">
        <v>0</v>
      </c>
      <c r="E28" s="194">
        <v>0</v>
      </c>
      <c r="F28" s="194">
        <v>177.39400000000001</v>
      </c>
      <c r="G28" s="195"/>
      <c r="H28" s="195"/>
      <c r="I28" s="10"/>
      <c r="J28" s="11"/>
      <c r="K28" s="11"/>
      <c r="L28" s="189">
        <v>0</v>
      </c>
      <c r="M28" s="189">
        <v>0</v>
      </c>
      <c r="N28" s="189">
        <v>0</v>
      </c>
      <c r="O28" s="189">
        <v>2850.72</v>
      </c>
      <c r="P28" s="189">
        <v>0</v>
      </c>
      <c r="Q28" s="189">
        <v>0</v>
      </c>
      <c r="R28" s="189">
        <v>0</v>
      </c>
      <c r="S28" s="189">
        <v>0</v>
      </c>
      <c r="T28" s="189">
        <v>2850.72</v>
      </c>
    </row>
    <row r="29" spans="1:20">
      <c r="A29" s="13">
        <v>25</v>
      </c>
      <c r="B29" s="199" t="s">
        <v>295</v>
      </c>
      <c r="C29" s="200"/>
      <c r="D29" s="194">
        <v>0</v>
      </c>
      <c r="E29" s="194">
        <v>0</v>
      </c>
      <c r="F29" s="194">
        <v>177.39400000000001</v>
      </c>
      <c r="G29" s="195"/>
      <c r="H29" s="195"/>
      <c r="I29" s="10"/>
      <c r="J29" s="11"/>
      <c r="K29" s="11"/>
      <c r="L29" s="189">
        <v>0</v>
      </c>
      <c r="M29" s="189">
        <v>0</v>
      </c>
      <c r="N29" s="189">
        <v>0</v>
      </c>
      <c r="O29" s="189">
        <v>2850.72</v>
      </c>
      <c r="P29" s="189">
        <v>0</v>
      </c>
      <c r="Q29" s="189">
        <v>0</v>
      </c>
      <c r="R29" s="189">
        <v>0</v>
      </c>
      <c r="S29" s="189">
        <v>0</v>
      </c>
      <c r="T29" s="189">
        <v>2850.72</v>
      </c>
    </row>
    <row r="30" spans="1:20">
      <c r="A30" s="13">
        <v>26</v>
      </c>
      <c r="B30" s="199" t="s">
        <v>296</v>
      </c>
      <c r="C30" s="200"/>
      <c r="D30" s="194">
        <v>0</v>
      </c>
      <c r="E30" s="194">
        <v>0</v>
      </c>
      <c r="F30" s="194">
        <v>177.39400000000001</v>
      </c>
      <c r="G30" s="195"/>
      <c r="H30" s="195"/>
      <c r="I30" s="10"/>
      <c r="J30" s="11"/>
      <c r="K30" s="11"/>
      <c r="L30" s="189">
        <v>0</v>
      </c>
      <c r="M30" s="189">
        <v>0</v>
      </c>
      <c r="N30" s="189">
        <v>0</v>
      </c>
      <c r="O30" s="189">
        <v>2850.72</v>
      </c>
      <c r="P30" s="189">
        <v>0</v>
      </c>
      <c r="Q30" s="189">
        <v>0</v>
      </c>
      <c r="R30" s="189">
        <v>0</v>
      </c>
      <c r="S30" s="189">
        <v>0</v>
      </c>
      <c r="T30" s="189">
        <v>2850.72</v>
      </c>
    </row>
    <row r="31" spans="1:20">
      <c r="A31" s="13">
        <v>27</v>
      </c>
      <c r="B31" s="199" t="s">
        <v>297</v>
      </c>
      <c r="C31" s="200"/>
      <c r="D31" s="194">
        <v>0</v>
      </c>
      <c r="E31" s="194">
        <v>0</v>
      </c>
      <c r="F31" s="194">
        <v>177.39400000000001</v>
      </c>
      <c r="G31" s="195"/>
      <c r="H31" s="195"/>
      <c r="I31" s="10"/>
      <c r="J31" s="11"/>
      <c r="K31" s="11"/>
      <c r="L31" s="189">
        <v>0</v>
      </c>
      <c r="M31" s="189">
        <v>0</v>
      </c>
      <c r="N31" s="189">
        <v>0</v>
      </c>
      <c r="O31" s="189">
        <v>2850.72</v>
      </c>
      <c r="P31" s="189">
        <v>0</v>
      </c>
      <c r="Q31" s="189">
        <v>0</v>
      </c>
      <c r="R31" s="189">
        <v>0</v>
      </c>
      <c r="S31" s="189">
        <v>0</v>
      </c>
      <c r="T31" s="189">
        <v>2850.72</v>
      </c>
    </row>
    <row r="32" spans="1:20">
      <c r="A32" s="13">
        <v>28</v>
      </c>
      <c r="B32" s="199" t="s">
        <v>298</v>
      </c>
      <c r="C32" s="200"/>
      <c r="D32" s="194">
        <v>0</v>
      </c>
      <c r="E32" s="194">
        <v>0</v>
      </c>
      <c r="F32" s="194">
        <v>177.39400000000001</v>
      </c>
      <c r="G32" s="195"/>
      <c r="H32" s="195"/>
      <c r="I32" s="10"/>
      <c r="J32" s="11"/>
      <c r="K32" s="11"/>
      <c r="L32" s="189">
        <v>0</v>
      </c>
      <c r="M32" s="189">
        <v>0</v>
      </c>
      <c r="N32" s="189">
        <v>0</v>
      </c>
      <c r="O32" s="189">
        <v>2850.72</v>
      </c>
      <c r="P32" s="189">
        <v>0</v>
      </c>
      <c r="Q32" s="189">
        <v>0</v>
      </c>
      <c r="R32" s="189">
        <v>0</v>
      </c>
      <c r="S32" s="189">
        <v>0</v>
      </c>
      <c r="T32" s="189">
        <v>2850.72</v>
      </c>
    </row>
    <row r="33" spans="1:20">
      <c r="A33" s="13">
        <v>29</v>
      </c>
      <c r="B33" s="199" t="s">
        <v>299</v>
      </c>
      <c r="C33" s="200"/>
      <c r="D33" s="194">
        <v>0</v>
      </c>
      <c r="E33" s="194">
        <v>0</v>
      </c>
      <c r="F33" s="194">
        <v>177.39400000000001</v>
      </c>
      <c r="G33" s="195"/>
      <c r="H33" s="195"/>
      <c r="I33" s="10"/>
      <c r="J33" s="11"/>
      <c r="K33" s="11"/>
      <c r="L33" s="189">
        <v>0</v>
      </c>
      <c r="M33" s="189">
        <v>0</v>
      </c>
      <c r="N33" s="189">
        <v>0</v>
      </c>
      <c r="O33" s="189">
        <v>2850.72</v>
      </c>
      <c r="P33" s="189">
        <v>0</v>
      </c>
      <c r="Q33" s="189">
        <v>0</v>
      </c>
      <c r="R33" s="189">
        <v>0</v>
      </c>
      <c r="S33" s="189">
        <v>0</v>
      </c>
      <c r="T33" s="189">
        <v>2850.72</v>
      </c>
    </row>
    <row r="34" spans="1:20">
      <c r="A34" s="13">
        <v>30</v>
      </c>
      <c r="B34" s="199" t="s">
        <v>300</v>
      </c>
      <c r="C34" s="200"/>
      <c r="D34" s="194">
        <v>0</v>
      </c>
      <c r="E34" s="194">
        <v>0</v>
      </c>
      <c r="F34" s="194">
        <v>177.39400000000001</v>
      </c>
      <c r="G34" s="195"/>
      <c r="H34" s="195"/>
      <c r="I34" s="10"/>
      <c r="J34" s="11"/>
      <c r="K34" s="11"/>
      <c r="L34" s="189">
        <v>0</v>
      </c>
      <c r="M34" s="189">
        <v>0</v>
      </c>
      <c r="N34" s="189">
        <v>0</v>
      </c>
      <c r="O34" s="189">
        <v>2850.72</v>
      </c>
      <c r="P34" s="189">
        <v>0</v>
      </c>
      <c r="Q34" s="189">
        <v>0</v>
      </c>
      <c r="R34" s="189">
        <v>0</v>
      </c>
      <c r="S34" s="189">
        <v>0</v>
      </c>
      <c r="T34" s="189">
        <v>2850.72</v>
      </c>
    </row>
    <row r="35" spans="1:20">
      <c r="A35" s="13">
        <v>31</v>
      </c>
      <c r="B35" s="199" t="s">
        <v>301</v>
      </c>
      <c r="C35" s="200"/>
      <c r="D35" s="194">
        <v>0</v>
      </c>
      <c r="E35" s="194">
        <v>0</v>
      </c>
      <c r="F35" s="194">
        <v>177.39400000000001</v>
      </c>
      <c r="G35" s="195"/>
      <c r="H35" s="195"/>
      <c r="I35" s="10"/>
      <c r="J35" s="11"/>
      <c r="K35" s="11"/>
      <c r="L35" s="189">
        <v>0</v>
      </c>
      <c r="M35" s="189">
        <v>0</v>
      </c>
      <c r="N35" s="189">
        <v>0</v>
      </c>
      <c r="O35" s="189">
        <v>2850.72</v>
      </c>
      <c r="P35" s="189">
        <v>0</v>
      </c>
      <c r="Q35" s="189">
        <v>0</v>
      </c>
      <c r="R35" s="189">
        <v>0</v>
      </c>
      <c r="S35" s="189">
        <v>0</v>
      </c>
      <c r="T35" s="189">
        <v>2850.72</v>
      </c>
    </row>
    <row r="36" spans="1:20">
      <c r="D36" s="19">
        <v>0</v>
      </c>
      <c r="E36" s="19">
        <v>0</v>
      </c>
      <c r="F36" s="19">
        <v>5499.2140000000045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0">
        <v>0</v>
      </c>
      <c r="M36" s="190">
        <v>0</v>
      </c>
      <c r="N36" s="190">
        <v>0</v>
      </c>
      <c r="O36" s="190">
        <v>88372.37</v>
      </c>
      <c r="P36" s="190">
        <v>0</v>
      </c>
      <c r="Q36" s="190">
        <v>0</v>
      </c>
      <c r="R36" s="190">
        <v>0</v>
      </c>
      <c r="S36" s="190">
        <v>0</v>
      </c>
      <c r="T36" s="190">
        <v>88372.37</v>
      </c>
    </row>
    <row r="37" spans="1:20">
      <c r="R37" s="22"/>
      <c r="S37" s="22"/>
      <c r="T37" s="191">
        <v>107814.29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75BD-C687-4204-B1B2-B2345564362B}">
  <sheetPr codeName="Лист33">
    <pageSetUpPr fitToPage="1"/>
  </sheetPr>
  <dimension ref="A1:T37"/>
  <sheetViews>
    <sheetView topLeftCell="B6" workbookViewId="0">
      <selection activeCell="I5" sqref="I5:J35"/>
    </sheetView>
  </sheetViews>
  <sheetFormatPr defaultRowHeight="15"/>
  <cols>
    <col min="1" max="3" width="8.796875" style="2"/>
    <col min="4" max="5" width="8.09765625" style="2" customWidth="1"/>
    <col min="6" max="6" width="8.796875" style="2" customWidth="1"/>
    <col min="7" max="7" width="7.8984375" style="2" customWidth="1"/>
    <col min="8" max="8" width="7.5976562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302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303</v>
      </c>
      <c r="H3" s="202" t="s">
        <v>304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261.5</v>
      </c>
      <c r="E5" s="194">
        <v>106.875</v>
      </c>
      <c r="F5" s="194">
        <v>11812.808000000001</v>
      </c>
      <c r="G5" s="195">
        <v>0</v>
      </c>
      <c r="H5" s="195">
        <v>331.625</v>
      </c>
      <c r="I5" s="10">
        <v>0</v>
      </c>
      <c r="J5" s="10">
        <v>0</v>
      </c>
      <c r="K5" s="11"/>
      <c r="L5" s="189">
        <v>0</v>
      </c>
      <c r="M5" s="189">
        <v>28393.67</v>
      </c>
      <c r="N5" s="189">
        <v>11604.49</v>
      </c>
      <c r="O5" s="189">
        <v>134902.26999999999</v>
      </c>
      <c r="P5" s="189">
        <v>0</v>
      </c>
      <c r="Q5" s="189">
        <v>36007.839999999997</v>
      </c>
      <c r="R5" s="189">
        <v>0</v>
      </c>
      <c r="S5" s="189">
        <v>0</v>
      </c>
      <c r="T5" s="189">
        <v>210908.27</v>
      </c>
    </row>
    <row r="6" spans="1:20">
      <c r="A6" s="13">
        <v>2</v>
      </c>
      <c r="B6" s="199" t="s">
        <v>202</v>
      </c>
      <c r="C6" s="200"/>
      <c r="D6" s="194">
        <v>242</v>
      </c>
      <c r="E6" s="194">
        <v>65.375</v>
      </c>
      <c r="F6" s="194">
        <v>11989.433000000001</v>
      </c>
      <c r="G6" s="195">
        <v>0</v>
      </c>
      <c r="H6" s="195">
        <v>392.625</v>
      </c>
      <c r="I6" s="10">
        <v>0</v>
      </c>
      <c r="J6" s="10">
        <v>0</v>
      </c>
      <c r="K6" s="11"/>
      <c r="L6" s="189">
        <v>0</v>
      </c>
      <c r="M6" s="189">
        <v>26276.36</v>
      </c>
      <c r="N6" s="189">
        <v>7098.42</v>
      </c>
      <c r="O6" s="189">
        <v>136919.32</v>
      </c>
      <c r="P6" s="189">
        <v>0</v>
      </c>
      <c r="Q6" s="189">
        <v>42631.22</v>
      </c>
      <c r="R6" s="189">
        <v>0</v>
      </c>
      <c r="S6" s="189">
        <v>0</v>
      </c>
      <c r="T6" s="189">
        <v>212925.32</v>
      </c>
    </row>
    <row r="7" spans="1:20">
      <c r="A7" s="13">
        <v>3</v>
      </c>
      <c r="B7" s="199" t="s">
        <v>203</v>
      </c>
      <c r="C7" s="200"/>
      <c r="D7" s="194">
        <v>453.875</v>
      </c>
      <c r="E7" s="194">
        <v>87.875</v>
      </c>
      <c r="F7" s="194">
        <v>12355.433000000001</v>
      </c>
      <c r="G7" s="195">
        <v>0</v>
      </c>
      <c r="H7" s="195">
        <v>158.25</v>
      </c>
      <c r="I7" s="10">
        <v>0</v>
      </c>
      <c r="J7" s="10">
        <v>0</v>
      </c>
      <c r="K7" s="11"/>
      <c r="L7" s="189">
        <v>0</v>
      </c>
      <c r="M7" s="189">
        <v>49281.75</v>
      </c>
      <c r="N7" s="189">
        <v>9541.4699999999993</v>
      </c>
      <c r="O7" s="189">
        <v>141099.04</v>
      </c>
      <c r="P7" s="189">
        <v>0</v>
      </c>
      <c r="Q7" s="189">
        <v>17182.79</v>
      </c>
      <c r="R7" s="189">
        <v>0</v>
      </c>
      <c r="S7" s="189">
        <v>0</v>
      </c>
      <c r="T7" s="189">
        <v>217105.04</v>
      </c>
    </row>
    <row r="8" spans="1:20">
      <c r="A8" s="13">
        <v>4</v>
      </c>
      <c r="B8" s="199" t="s">
        <v>204</v>
      </c>
      <c r="C8" s="200"/>
      <c r="D8" s="194">
        <v>258.375</v>
      </c>
      <c r="E8" s="194">
        <v>65.375</v>
      </c>
      <c r="F8" s="194">
        <v>12548.433000000001</v>
      </c>
      <c r="G8" s="195">
        <v>0</v>
      </c>
      <c r="H8" s="195">
        <v>376.25</v>
      </c>
      <c r="I8" s="10">
        <v>0</v>
      </c>
      <c r="J8" s="10">
        <v>0</v>
      </c>
      <c r="K8" s="11"/>
      <c r="L8" s="189">
        <v>0</v>
      </c>
      <c r="M8" s="189">
        <v>28054.36</v>
      </c>
      <c r="N8" s="189">
        <v>7098.42</v>
      </c>
      <c r="O8" s="189">
        <v>143303.1</v>
      </c>
      <c r="P8" s="189">
        <v>0</v>
      </c>
      <c r="Q8" s="189">
        <v>40853.230000000003</v>
      </c>
      <c r="R8" s="189">
        <v>0</v>
      </c>
      <c r="S8" s="189">
        <v>0</v>
      </c>
      <c r="T8" s="189">
        <v>219309.1</v>
      </c>
    </row>
    <row r="9" spans="1:20">
      <c r="A9" s="13">
        <v>5</v>
      </c>
      <c r="B9" s="199" t="s">
        <v>205</v>
      </c>
      <c r="C9" s="200"/>
      <c r="D9" s="194">
        <v>260.85000000000002</v>
      </c>
      <c r="E9" s="194">
        <v>64.75</v>
      </c>
      <c r="F9" s="194">
        <v>12744.532999999999</v>
      </c>
      <c r="G9" s="195">
        <v>0</v>
      </c>
      <c r="H9" s="195">
        <v>374.4</v>
      </c>
      <c r="I9" s="10">
        <v>1.1000000000000001</v>
      </c>
      <c r="J9" s="10">
        <v>1.1000000000000001</v>
      </c>
      <c r="K9" s="11"/>
      <c r="L9" s="189">
        <v>0</v>
      </c>
      <c r="M9" s="189">
        <v>28323.09</v>
      </c>
      <c r="N9" s="189">
        <v>7030.56</v>
      </c>
      <c r="O9" s="189">
        <v>145542.57</v>
      </c>
      <c r="P9" s="189">
        <v>0</v>
      </c>
      <c r="Q9" s="189">
        <v>40652.35</v>
      </c>
      <c r="R9" s="189">
        <v>1045</v>
      </c>
      <c r="S9" s="189">
        <v>132</v>
      </c>
      <c r="T9" s="189">
        <v>222725.57</v>
      </c>
    </row>
    <row r="10" spans="1:20">
      <c r="A10" s="13">
        <v>6</v>
      </c>
      <c r="B10" s="199" t="s">
        <v>206</v>
      </c>
      <c r="C10" s="200"/>
      <c r="D10" s="194">
        <v>259.625</v>
      </c>
      <c r="E10" s="194">
        <v>235.25</v>
      </c>
      <c r="F10" s="194">
        <v>12768.907999999999</v>
      </c>
      <c r="G10" s="195">
        <v>0</v>
      </c>
      <c r="H10" s="195">
        <v>205.125</v>
      </c>
      <c r="I10" s="10">
        <v>0</v>
      </c>
      <c r="J10" s="10">
        <v>0</v>
      </c>
      <c r="K10" s="11"/>
      <c r="L10" s="189">
        <v>0</v>
      </c>
      <c r="M10" s="189">
        <v>28190.080000000002</v>
      </c>
      <c r="N10" s="189">
        <v>25543.45</v>
      </c>
      <c r="O10" s="189">
        <v>145820.93</v>
      </c>
      <c r="P10" s="189">
        <v>0</v>
      </c>
      <c r="Q10" s="189">
        <v>22272.47</v>
      </c>
      <c r="R10" s="189">
        <v>0</v>
      </c>
      <c r="S10" s="189">
        <v>0</v>
      </c>
      <c r="T10" s="189">
        <v>221826.93</v>
      </c>
    </row>
    <row r="11" spans="1:20">
      <c r="A11" s="13">
        <v>7</v>
      </c>
      <c r="B11" s="199" t="s">
        <v>207</v>
      </c>
      <c r="C11" s="200"/>
      <c r="D11" s="194">
        <v>258.875</v>
      </c>
      <c r="E11" s="194">
        <v>260.875</v>
      </c>
      <c r="F11" s="194">
        <v>12766.907999999999</v>
      </c>
      <c r="G11" s="195">
        <v>0</v>
      </c>
      <c r="H11" s="195">
        <v>180.25</v>
      </c>
      <c r="I11" s="10">
        <v>0</v>
      </c>
      <c r="J11" s="10">
        <v>0</v>
      </c>
      <c r="K11" s="11"/>
      <c r="L11" s="189">
        <v>0</v>
      </c>
      <c r="M11" s="189">
        <v>28108.65</v>
      </c>
      <c r="N11" s="189">
        <v>28325.81</v>
      </c>
      <c r="O11" s="189">
        <v>145798.09</v>
      </c>
      <c r="P11" s="189">
        <v>0</v>
      </c>
      <c r="Q11" s="189">
        <v>19571.55</v>
      </c>
      <c r="R11" s="189">
        <v>0</v>
      </c>
      <c r="S11" s="189">
        <v>0</v>
      </c>
      <c r="T11" s="189">
        <v>221804.09</v>
      </c>
    </row>
    <row r="12" spans="1:20">
      <c r="A12" s="13">
        <v>8</v>
      </c>
      <c r="B12" s="199" t="s">
        <v>208</v>
      </c>
      <c r="C12" s="200"/>
      <c r="D12" s="194">
        <v>171.625</v>
      </c>
      <c r="E12" s="194">
        <v>239.5</v>
      </c>
      <c r="F12" s="194">
        <v>12699.032999999999</v>
      </c>
      <c r="G12" s="195">
        <v>0</v>
      </c>
      <c r="H12" s="195">
        <v>288.875</v>
      </c>
      <c r="I12" s="10">
        <v>0</v>
      </c>
      <c r="J12" s="10">
        <v>0</v>
      </c>
      <c r="K12" s="11"/>
      <c r="L12" s="189">
        <v>0</v>
      </c>
      <c r="M12" s="189">
        <v>18635.04</v>
      </c>
      <c r="N12" s="189">
        <v>26004.91</v>
      </c>
      <c r="O12" s="189">
        <v>145022.96</v>
      </c>
      <c r="P12" s="189">
        <v>0</v>
      </c>
      <c r="Q12" s="189">
        <v>31366.05</v>
      </c>
      <c r="R12" s="189">
        <v>0</v>
      </c>
      <c r="S12" s="189">
        <v>0</v>
      </c>
      <c r="T12" s="189">
        <v>221028.96</v>
      </c>
    </row>
    <row r="13" spans="1:20">
      <c r="A13" s="13">
        <v>9</v>
      </c>
      <c r="B13" s="199" t="s">
        <v>209</v>
      </c>
      <c r="C13" s="200"/>
      <c r="D13" s="194">
        <v>216</v>
      </c>
      <c r="E13" s="194">
        <v>240.32499999999999</v>
      </c>
      <c r="F13" s="194">
        <v>12674.708000000001</v>
      </c>
      <c r="G13" s="195">
        <v>0</v>
      </c>
      <c r="H13" s="195">
        <v>243.67500000000001</v>
      </c>
      <c r="I13" s="10">
        <v>0</v>
      </c>
      <c r="J13" s="10">
        <v>0</v>
      </c>
      <c r="K13" s="11"/>
      <c r="L13" s="189">
        <v>0</v>
      </c>
      <c r="M13" s="189">
        <v>23453.279999999999</v>
      </c>
      <c r="N13" s="189">
        <v>26094.49</v>
      </c>
      <c r="O13" s="189">
        <v>144745.17000000001</v>
      </c>
      <c r="P13" s="189">
        <v>0</v>
      </c>
      <c r="Q13" s="189">
        <v>26458.23</v>
      </c>
      <c r="R13" s="189">
        <v>0</v>
      </c>
      <c r="S13" s="189">
        <v>0</v>
      </c>
      <c r="T13" s="189">
        <v>220751.17</v>
      </c>
    </row>
    <row r="14" spans="1:20">
      <c r="A14" s="13">
        <v>10</v>
      </c>
      <c r="B14" s="199" t="s">
        <v>210</v>
      </c>
      <c r="C14" s="200"/>
      <c r="D14" s="194">
        <v>174.125</v>
      </c>
      <c r="E14" s="194">
        <v>367.625</v>
      </c>
      <c r="F14" s="194">
        <v>12481.208000000001</v>
      </c>
      <c r="G14" s="195">
        <v>0</v>
      </c>
      <c r="H14" s="195">
        <v>158.25</v>
      </c>
      <c r="I14" s="10">
        <v>0</v>
      </c>
      <c r="J14" s="10">
        <v>0</v>
      </c>
      <c r="K14" s="11"/>
      <c r="L14" s="189">
        <v>0</v>
      </c>
      <c r="M14" s="189">
        <v>18906.490000000002</v>
      </c>
      <c r="N14" s="189">
        <v>39916.720000000001</v>
      </c>
      <c r="O14" s="189">
        <v>142535.4</v>
      </c>
      <c r="P14" s="189">
        <v>0</v>
      </c>
      <c r="Q14" s="189">
        <v>17182.79</v>
      </c>
      <c r="R14" s="189">
        <v>0</v>
      </c>
      <c r="S14" s="189">
        <v>0</v>
      </c>
      <c r="T14" s="189">
        <v>218541.4</v>
      </c>
    </row>
    <row r="15" spans="1:20">
      <c r="A15" s="13">
        <v>11</v>
      </c>
      <c r="B15" s="199" t="s">
        <v>211</v>
      </c>
      <c r="C15" s="200"/>
      <c r="D15" s="194">
        <v>283.5</v>
      </c>
      <c r="E15" s="194">
        <v>284.75</v>
      </c>
      <c r="F15" s="194">
        <v>12479.958000000001</v>
      </c>
      <c r="G15" s="195">
        <v>0</v>
      </c>
      <c r="H15" s="195">
        <v>131.75</v>
      </c>
      <c r="I15" s="10">
        <v>0</v>
      </c>
      <c r="J15" s="10">
        <v>0</v>
      </c>
      <c r="K15" s="11"/>
      <c r="L15" s="189">
        <v>0</v>
      </c>
      <c r="M15" s="189">
        <v>30782.43</v>
      </c>
      <c r="N15" s="189">
        <v>30918.16</v>
      </c>
      <c r="O15" s="189">
        <v>142521.12</v>
      </c>
      <c r="P15" s="189">
        <v>0</v>
      </c>
      <c r="Q15" s="189">
        <v>14305.42</v>
      </c>
      <c r="R15" s="189">
        <v>0</v>
      </c>
      <c r="S15" s="189">
        <v>0</v>
      </c>
      <c r="T15" s="189">
        <v>218527.12</v>
      </c>
    </row>
    <row r="16" spans="1:20">
      <c r="A16" s="13">
        <v>12</v>
      </c>
      <c r="B16" s="199" t="s">
        <v>212</v>
      </c>
      <c r="C16" s="200"/>
      <c r="D16" s="194">
        <v>194.875</v>
      </c>
      <c r="E16" s="194">
        <v>217.22499999999999</v>
      </c>
      <c r="F16" s="194">
        <v>12457.608</v>
      </c>
      <c r="G16" s="195">
        <v>0</v>
      </c>
      <c r="H16" s="195">
        <v>287.89999999999998</v>
      </c>
      <c r="I16" s="10">
        <v>0</v>
      </c>
      <c r="J16" s="10">
        <v>0</v>
      </c>
      <c r="K16" s="14"/>
      <c r="L16" s="189">
        <v>0</v>
      </c>
      <c r="M16" s="189">
        <v>21159.53</v>
      </c>
      <c r="N16" s="189">
        <v>23586.29</v>
      </c>
      <c r="O16" s="189">
        <v>142265.88</v>
      </c>
      <c r="P16" s="189">
        <v>0</v>
      </c>
      <c r="Q16" s="189">
        <v>31260.18</v>
      </c>
      <c r="R16" s="189">
        <v>0</v>
      </c>
      <c r="S16" s="189">
        <v>0</v>
      </c>
      <c r="T16" s="189">
        <v>218271.88</v>
      </c>
    </row>
    <row r="17" spans="1:20">
      <c r="A17" s="13">
        <v>13</v>
      </c>
      <c r="B17" s="199" t="s">
        <v>213</v>
      </c>
      <c r="C17" s="200"/>
      <c r="D17" s="194">
        <v>110</v>
      </c>
      <c r="E17" s="194">
        <v>153.47499999999999</v>
      </c>
      <c r="F17" s="194">
        <v>12414.133</v>
      </c>
      <c r="G17" s="195">
        <v>0</v>
      </c>
      <c r="H17" s="195">
        <v>436.52499999999998</v>
      </c>
      <c r="I17" s="10">
        <v>0</v>
      </c>
      <c r="J17" s="10">
        <v>0</v>
      </c>
      <c r="K17" s="11"/>
      <c r="L17" s="189">
        <v>0</v>
      </c>
      <c r="M17" s="189">
        <v>11943.8</v>
      </c>
      <c r="N17" s="189">
        <v>16664.32</v>
      </c>
      <c r="O17" s="189">
        <v>141769.4</v>
      </c>
      <c r="P17" s="189">
        <v>0</v>
      </c>
      <c r="Q17" s="189">
        <v>47397.88</v>
      </c>
      <c r="R17" s="189">
        <v>0</v>
      </c>
      <c r="S17" s="189">
        <v>0</v>
      </c>
      <c r="T17" s="189">
        <v>217775.4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214.125</v>
      </c>
      <c r="F18" s="194">
        <v>12200.008</v>
      </c>
      <c r="G18" s="195">
        <v>0</v>
      </c>
      <c r="H18" s="195">
        <v>485.875</v>
      </c>
      <c r="I18" s="10">
        <v>0</v>
      </c>
      <c r="J18" s="10">
        <v>0</v>
      </c>
      <c r="K18" s="11"/>
      <c r="L18" s="189">
        <v>0</v>
      </c>
      <c r="M18" s="189">
        <v>0</v>
      </c>
      <c r="N18" s="189">
        <v>23249.69</v>
      </c>
      <c r="O18" s="189">
        <v>139324.09</v>
      </c>
      <c r="P18" s="189">
        <v>0</v>
      </c>
      <c r="Q18" s="189">
        <v>52756.31</v>
      </c>
      <c r="R18" s="189">
        <v>0</v>
      </c>
      <c r="S18" s="189">
        <v>0</v>
      </c>
      <c r="T18" s="189">
        <v>215330.09</v>
      </c>
    </row>
    <row r="19" spans="1:20">
      <c r="A19" s="13">
        <v>15</v>
      </c>
      <c r="B19" s="199" t="s">
        <v>215</v>
      </c>
      <c r="C19" s="200"/>
      <c r="D19" s="194">
        <v>66</v>
      </c>
      <c r="E19" s="194">
        <v>78.375</v>
      </c>
      <c r="F19" s="194">
        <v>12187.633</v>
      </c>
      <c r="G19" s="195">
        <v>0</v>
      </c>
      <c r="H19" s="195">
        <v>555.625</v>
      </c>
      <c r="I19" s="10">
        <v>0</v>
      </c>
      <c r="J19" s="10">
        <v>0</v>
      </c>
      <c r="K19" s="11"/>
      <c r="L19" s="189">
        <v>0</v>
      </c>
      <c r="M19" s="189">
        <v>7166.28</v>
      </c>
      <c r="N19" s="189">
        <v>8509.9599999999991</v>
      </c>
      <c r="O19" s="189">
        <v>139182.76999999999</v>
      </c>
      <c r="P19" s="189">
        <v>0</v>
      </c>
      <c r="Q19" s="189">
        <v>60329.760000000002</v>
      </c>
      <c r="R19" s="189">
        <v>0</v>
      </c>
      <c r="S19" s="189">
        <v>0</v>
      </c>
      <c r="T19" s="189">
        <v>215188.77</v>
      </c>
    </row>
    <row r="20" spans="1:20">
      <c r="A20" s="13">
        <v>16</v>
      </c>
      <c r="B20" s="199" t="s">
        <v>216</v>
      </c>
      <c r="C20" s="200"/>
      <c r="D20" s="194">
        <v>154.5</v>
      </c>
      <c r="E20" s="194">
        <v>349.5</v>
      </c>
      <c r="F20" s="194">
        <v>11992.633</v>
      </c>
      <c r="G20" s="195">
        <v>0</v>
      </c>
      <c r="H20" s="195">
        <v>196</v>
      </c>
      <c r="I20" s="10">
        <v>0</v>
      </c>
      <c r="J20" s="10">
        <v>0</v>
      </c>
      <c r="K20" s="11"/>
      <c r="L20" s="189">
        <v>0</v>
      </c>
      <c r="M20" s="189">
        <v>16775.61</v>
      </c>
      <c r="N20" s="189">
        <v>37948.71</v>
      </c>
      <c r="O20" s="189">
        <v>136955.87</v>
      </c>
      <c r="P20" s="189">
        <v>0</v>
      </c>
      <c r="Q20" s="189">
        <v>21281.68</v>
      </c>
      <c r="R20" s="189">
        <v>0</v>
      </c>
      <c r="S20" s="189">
        <v>0</v>
      </c>
      <c r="T20" s="189">
        <v>212961.87</v>
      </c>
    </row>
    <row r="21" spans="1:20">
      <c r="A21" s="13">
        <v>17</v>
      </c>
      <c r="B21" s="199" t="s">
        <v>217</v>
      </c>
      <c r="C21" s="200"/>
      <c r="D21" s="194">
        <v>156</v>
      </c>
      <c r="E21" s="194">
        <v>350.8</v>
      </c>
      <c r="F21" s="194">
        <v>11797.833000000001</v>
      </c>
      <c r="G21" s="195">
        <v>0</v>
      </c>
      <c r="H21" s="195">
        <v>193.2</v>
      </c>
      <c r="I21" s="10">
        <v>0</v>
      </c>
      <c r="J21" s="10">
        <v>0</v>
      </c>
      <c r="K21" s="11"/>
      <c r="L21" s="189">
        <v>0</v>
      </c>
      <c r="M21" s="189">
        <v>16938.48</v>
      </c>
      <c r="N21" s="189">
        <v>38089.86</v>
      </c>
      <c r="O21" s="189">
        <v>134731.25</v>
      </c>
      <c r="P21" s="189">
        <v>0</v>
      </c>
      <c r="Q21" s="189">
        <v>20977.66</v>
      </c>
      <c r="R21" s="189">
        <v>0</v>
      </c>
      <c r="S21" s="189">
        <v>0</v>
      </c>
      <c r="T21" s="189">
        <v>210737.25</v>
      </c>
    </row>
    <row r="22" spans="1:20">
      <c r="A22" s="13">
        <v>18</v>
      </c>
      <c r="B22" s="199" t="s">
        <v>218</v>
      </c>
      <c r="C22" s="200"/>
      <c r="D22" s="194">
        <v>290.5</v>
      </c>
      <c r="E22" s="194">
        <v>262.27499999999998</v>
      </c>
      <c r="F22" s="194">
        <v>11826.058000000001</v>
      </c>
      <c r="G22" s="195">
        <v>0</v>
      </c>
      <c r="H22" s="195">
        <v>147.22500000000002</v>
      </c>
      <c r="I22" s="10">
        <v>0</v>
      </c>
      <c r="J22" s="10">
        <v>0</v>
      </c>
      <c r="K22" s="11"/>
      <c r="L22" s="189">
        <v>0</v>
      </c>
      <c r="M22" s="189">
        <v>31542.49</v>
      </c>
      <c r="N22" s="189">
        <v>28477.82</v>
      </c>
      <c r="O22" s="189">
        <v>135053.57999999999</v>
      </c>
      <c r="P22" s="189">
        <v>0</v>
      </c>
      <c r="Q22" s="189">
        <v>15985.69</v>
      </c>
      <c r="R22" s="189">
        <v>0</v>
      </c>
      <c r="S22" s="189">
        <v>0</v>
      </c>
      <c r="T22" s="189">
        <v>211059.58</v>
      </c>
    </row>
    <row r="23" spans="1:20">
      <c r="A23" s="13">
        <v>19</v>
      </c>
      <c r="B23" s="199" t="s">
        <v>219</v>
      </c>
      <c r="C23" s="200"/>
      <c r="D23" s="194">
        <v>67</v>
      </c>
      <c r="E23" s="194">
        <v>409.42500000000001</v>
      </c>
      <c r="F23" s="194">
        <v>11483.633</v>
      </c>
      <c r="G23" s="195">
        <v>0</v>
      </c>
      <c r="H23" s="195">
        <v>223.57499999999999</v>
      </c>
      <c r="I23" s="10">
        <v>0</v>
      </c>
      <c r="J23" s="10">
        <v>0</v>
      </c>
      <c r="K23" s="11"/>
      <c r="L23" s="189">
        <v>0</v>
      </c>
      <c r="M23" s="189">
        <v>7274.86</v>
      </c>
      <c r="N23" s="189">
        <v>44455.37</v>
      </c>
      <c r="O23" s="189">
        <v>131143.09</v>
      </c>
      <c r="P23" s="189">
        <v>0</v>
      </c>
      <c r="Q23" s="189">
        <v>24275.77</v>
      </c>
      <c r="R23" s="189">
        <v>0</v>
      </c>
      <c r="S23" s="189">
        <v>0</v>
      </c>
      <c r="T23" s="189">
        <v>207149.09</v>
      </c>
    </row>
    <row r="24" spans="1:20">
      <c r="A24" s="13">
        <v>20</v>
      </c>
      <c r="B24" s="199" t="s">
        <v>220</v>
      </c>
      <c r="C24" s="200"/>
      <c r="D24" s="194">
        <v>22</v>
      </c>
      <c r="E24" s="194">
        <v>225</v>
      </c>
      <c r="F24" s="194">
        <v>11280.633</v>
      </c>
      <c r="G24" s="195">
        <v>0</v>
      </c>
      <c r="H24" s="195">
        <v>453</v>
      </c>
      <c r="I24" s="10">
        <v>0</v>
      </c>
      <c r="J24" s="10">
        <v>0</v>
      </c>
      <c r="K24" s="11"/>
      <c r="L24" s="189">
        <v>0</v>
      </c>
      <c r="M24" s="189">
        <v>2388.7600000000002</v>
      </c>
      <c r="N24" s="189">
        <v>24430.5</v>
      </c>
      <c r="O24" s="189">
        <v>128824.83</v>
      </c>
      <c r="P24" s="189">
        <v>0</v>
      </c>
      <c r="Q24" s="189">
        <v>49186.74</v>
      </c>
      <c r="R24" s="189">
        <v>0</v>
      </c>
      <c r="S24" s="189">
        <v>0</v>
      </c>
      <c r="T24" s="189">
        <v>204830.83</v>
      </c>
    </row>
    <row r="25" spans="1:20">
      <c r="A25" s="13">
        <v>21</v>
      </c>
      <c r="B25" s="199" t="s">
        <v>221</v>
      </c>
      <c r="C25" s="200"/>
      <c r="D25" s="194">
        <v>154</v>
      </c>
      <c r="E25" s="194">
        <v>282.125</v>
      </c>
      <c r="F25" s="194">
        <v>11152.508</v>
      </c>
      <c r="G25" s="195">
        <v>0</v>
      </c>
      <c r="H25" s="195">
        <v>263.875</v>
      </c>
      <c r="I25" s="10">
        <v>0</v>
      </c>
      <c r="J25" s="10">
        <v>0</v>
      </c>
      <c r="K25" s="11"/>
      <c r="L25" s="189">
        <v>0</v>
      </c>
      <c r="M25" s="189">
        <v>16721.32</v>
      </c>
      <c r="N25" s="189">
        <v>30633.13</v>
      </c>
      <c r="O25" s="189">
        <v>127361.64</v>
      </c>
      <c r="P25" s="189">
        <v>0</v>
      </c>
      <c r="Q25" s="189">
        <v>28651.55</v>
      </c>
      <c r="R25" s="189">
        <v>0</v>
      </c>
      <c r="S25" s="189">
        <v>0</v>
      </c>
      <c r="T25" s="189">
        <v>203367.64</v>
      </c>
    </row>
    <row r="26" spans="1:20">
      <c r="A26" s="13">
        <v>22</v>
      </c>
      <c r="B26" s="199" t="s">
        <v>222</v>
      </c>
      <c r="C26" s="200"/>
      <c r="D26" s="194">
        <v>132</v>
      </c>
      <c r="E26" s="194">
        <v>196.125</v>
      </c>
      <c r="F26" s="194">
        <v>11088.383</v>
      </c>
      <c r="G26" s="195">
        <v>0</v>
      </c>
      <c r="H26" s="195">
        <v>371.875</v>
      </c>
      <c r="I26" s="10">
        <v>0</v>
      </c>
      <c r="J26" s="10">
        <v>0</v>
      </c>
      <c r="K26" s="11"/>
      <c r="L26" s="189">
        <v>0</v>
      </c>
      <c r="M26" s="189">
        <v>14332.56</v>
      </c>
      <c r="N26" s="189">
        <v>21295.25</v>
      </c>
      <c r="O26" s="189">
        <v>126629.33</v>
      </c>
      <c r="P26" s="189">
        <v>0</v>
      </c>
      <c r="Q26" s="189">
        <v>40378.19</v>
      </c>
      <c r="R26" s="189">
        <v>0</v>
      </c>
      <c r="S26" s="189">
        <v>0</v>
      </c>
      <c r="T26" s="189">
        <v>202635.33</v>
      </c>
    </row>
    <row r="27" spans="1:20">
      <c r="A27" s="13">
        <v>23</v>
      </c>
      <c r="B27" s="199" t="s">
        <v>223</v>
      </c>
      <c r="C27" s="200"/>
      <c r="D27" s="194">
        <v>220</v>
      </c>
      <c r="E27" s="194">
        <v>108.125</v>
      </c>
      <c r="F27" s="194">
        <v>11200.258</v>
      </c>
      <c r="G27" s="195">
        <v>0</v>
      </c>
      <c r="H27" s="195">
        <v>371.875</v>
      </c>
      <c r="I27" s="10">
        <v>22</v>
      </c>
      <c r="J27" s="10">
        <v>22</v>
      </c>
      <c r="K27" s="11"/>
      <c r="L27" s="189">
        <v>0</v>
      </c>
      <c r="M27" s="189">
        <v>23887.599999999999</v>
      </c>
      <c r="N27" s="189">
        <v>11740.21</v>
      </c>
      <c r="O27" s="189">
        <v>127906.95</v>
      </c>
      <c r="P27" s="189">
        <v>0</v>
      </c>
      <c r="Q27" s="189">
        <v>40378.19</v>
      </c>
      <c r="R27" s="189">
        <v>20900</v>
      </c>
      <c r="S27" s="189">
        <v>2640</v>
      </c>
      <c r="T27" s="189">
        <v>227452.95</v>
      </c>
    </row>
    <row r="28" spans="1:20">
      <c r="A28" s="13">
        <v>24</v>
      </c>
      <c r="B28" s="199" t="s">
        <v>224</v>
      </c>
      <c r="C28" s="200"/>
      <c r="D28" s="194">
        <v>110.125</v>
      </c>
      <c r="E28" s="194">
        <v>273.125</v>
      </c>
      <c r="F28" s="194">
        <v>11037.258</v>
      </c>
      <c r="G28" s="195">
        <v>0</v>
      </c>
      <c r="H28" s="195">
        <v>316.75</v>
      </c>
      <c r="I28" s="10">
        <v>0</v>
      </c>
      <c r="J28" s="10">
        <v>0</v>
      </c>
      <c r="K28" s="11"/>
      <c r="L28" s="189">
        <v>0</v>
      </c>
      <c r="M28" s="189">
        <v>11957.37</v>
      </c>
      <c r="N28" s="189">
        <v>29655.91</v>
      </c>
      <c r="O28" s="189">
        <v>126045.49</v>
      </c>
      <c r="P28" s="189">
        <v>0</v>
      </c>
      <c r="Q28" s="189">
        <v>34392.720000000001</v>
      </c>
      <c r="R28" s="189">
        <v>0</v>
      </c>
      <c r="S28" s="189">
        <v>0</v>
      </c>
      <c r="T28" s="189">
        <v>202051.49</v>
      </c>
    </row>
    <row r="29" spans="1:20">
      <c r="A29" s="13">
        <v>25</v>
      </c>
      <c r="B29" s="199" t="s">
        <v>225</v>
      </c>
      <c r="C29" s="200"/>
      <c r="D29" s="194">
        <v>264.5</v>
      </c>
      <c r="E29" s="194">
        <v>219.1</v>
      </c>
      <c r="F29" s="194">
        <v>11082.657999999999</v>
      </c>
      <c r="G29" s="195">
        <v>0</v>
      </c>
      <c r="H29" s="195">
        <v>216.39999999999998</v>
      </c>
      <c r="I29" s="10">
        <v>0</v>
      </c>
      <c r="J29" s="10">
        <v>0</v>
      </c>
      <c r="K29" s="11"/>
      <c r="L29" s="189">
        <v>0</v>
      </c>
      <c r="M29" s="189">
        <v>28719.41</v>
      </c>
      <c r="N29" s="189">
        <v>23789.88</v>
      </c>
      <c r="O29" s="189">
        <v>126563.95</v>
      </c>
      <c r="P29" s="189">
        <v>0</v>
      </c>
      <c r="Q29" s="189">
        <v>23496.71</v>
      </c>
      <c r="R29" s="189">
        <v>0</v>
      </c>
      <c r="S29" s="189">
        <v>0</v>
      </c>
      <c r="T29" s="189">
        <v>202569.95</v>
      </c>
    </row>
    <row r="30" spans="1:20">
      <c r="A30" s="13">
        <v>26</v>
      </c>
      <c r="B30" s="199" t="s">
        <v>226</v>
      </c>
      <c r="C30" s="200"/>
      <c r="D30" s="194">
        <v>88</v>
      </c>
      <c r="E30" s="194">
        <v>241.5</v>
      </c>
      <c r="F30" s="194">
        <v>10929.157999999999</v>
      </c>
      <c r="G30" s="195">
        <v>0</v>
      </c>
      <c r="H30" s="195">
        <v>370.5</v>
      </c>
      <c r="I30" s="10">
        <v>0</v>
      </c>
      <c r="J30" s="10">
        <v>0</v>
      </c>
      <c r="K30" s="11"/>
      <c r="L30" s="189">
        <v>0</v>
      </c>
      <c r="M30" s="189">
        <v>9555.0400000000009</v>
      </c>
      <c r="N30" s="189">
        <v>26222.07</v>
      </c>
      <c r="O30" s="189">
        <v>124810.98</v>
      </c>
      <c r="P30" s="189">
        <v>0</v>
      </c>
      <c r="Q30" s="189">
        <v>40228.89</v>
      </c>
      <c r="R30" s="189">
        <v>0</v>
      </c>
      <c r="S30" s="189">
        <v>0</v>
      </c>
      <c r="T30" s="189">
        <v>200816.98</v>
      </c>
    </row>
    <row r="31" spans="1:20">
      <c r="A31" s="13">
        <v>27</v>
      </c>
      <c r="B31" s="199" t="s">
        <v>227</v>
      </c>
      <c r="C31" s="200"/>
      <c r="D31" s="194">
        <v>88</v>
      </c>
      <c r="E31" s="194">
        <v>155.75</v>
      </c>
      <c r="F31" s="194">
        <v>10861.407999999999</v>
      </c>
      <c r="G31" s="195">
        <v>0</v>
      </c>
      <c r="H31" s="195">
        <v>456.25</v>
      </c>
      <c r="I31" s="10">
        <v>0</v>
      </c>
      <c r="J31" s="10">
        <v>0</v>
      </c>
      <c r="K31" s="11"/>
      <c r="L31" s="189">
        <v>0</v>
      </c>
      <c r="M31" s="189">
        <v>9555.0400000000009</v>
      </c>
      <c r="N31" s="189">
        <v>16911.34</v>
      </c>
      <c r="O31" s="189">
        <v>124037.28</v>
      </c>
      <c r="P31" s="189">
        <v>0</v>
      </c>
      <c r="Q31" s="189">
        <v>49539.63</v>
      </c>
      <c r="R31" s="189">
        <v>0</v>
      </c>
      <c r="S31" s="189">
        <v>0</v>
      </c>
      <c r="T31" s="189">
        <v>200043.28</v>
      </c>
    </row>
    <row r="32" spans="1:20">
      <c r="A32" s="13">
        <v>28</v>
      </c>
      <c r="B32" s="199" t="s">
        <v>228</v>
      </c>
      <c r="C32" s="200"/>
      <c r="D32" s="194">
        <v>66</v>
      </c>
      <c r="E32" s="194">
        <v>682.75</v>
      </c>
      <c r="F32" s="194">
        <v>10244.657999999999</v>
      </c>
      <c r="G32" s="195">
        <v>0</v>
      </c>
      <c r="H32" s="195">
        <v>0</v>
      </c>
      <c r="I32" s="10">
        <v>0</v>
      </c>
      <c r="J32" s="10">
        <v>0</v>
      </c>
      <c r="K32" s="11"/>
      <c r="L32" s="189">
        <v>0</v>
      </c>
      <c r="M32" s="189">
        <v>7166.28</v>
      </c>
      <c r="N32" s="189">
        <v>74133</v>
      </c>
      <c r="O32" s="189">
        <v>116993.99</v>
      </c>
      <c r="P32" s="189">
        <v>0</v>
      </c>
      <c r="Q32" s="189">
        <v>0</v>
      </c>
      <c r="R32" s="189">
        <v>0</v>
      </c>
      <c r="S32" s="189">
        <v>0</v>
      </c>
      <c r="T32" s="189">
        <v>198293.27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0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0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5023.8500000000004</v>
      </c>
      <c r="E36" s="19">
        <v>6437.3750000000009</v>
      </c>
      <c r="F36" s="19">
        <v>332557.82399999991</v>
      </c>
      <c r="G36" s="19">
        <v>0</v>
      </c>
      <c r="H36" s="19">
        <v>8187.5249999999996</v>
      </c>
      <c r="I36" s="19">
        <v>23.1</v>
      </c>
      <c r="J36" s="19">
        <v>23.1</v>
      </c>
      <c r="K36" s="20">
        <v>0</v>
      </c>
      <c r="L36" s="190">
        <v>0</v>
      </c>
      <c r="M36" s="190">
        <v>545489.63</v>
      </c>
      <c r="N36" s="190">
        <v>698970.18</v>
      </c>
      <c r="O36" s="190">
        <v>3797810.35</v>
      </c>
      <c r="P36" s="190">
        <v>0</v>
      </c>
      <c r="Q36" s="190">
        <v>889001.46</v>
      </c>
      <c r="R36" s="190">
        <v>21945</v>
      </c>
      <c r="S36" s="190">
        <v>2772</v>
      </c>
      <c r="T36" s="190">
        <v>5955988.6299999999</v>
      </c>
    </row>
    <row r="37" spans="1:20">
      <c r="R37" s="22"/>
      <c r="S37" s="22"/>
      <c r="T37" s="191">
        <v>7266306.1200000001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0E3B-7972-4A4A-B55F-DA1011BE32A8}">
  <sheetPr codeName="Лист34">
    <pageSetUpPr fitToPage="1"/>
  </sheetPr>
  <dimension ref="A1:T37"/>
  <sheetViews>
    <sheetView topLeftCell="A13" workbookViewId="0">
      <selection activeCell="T37" sqref="T37"/>
    </sheetView>
  </sheetViews>
  <sheetFormatPr defaultRowHeight="15"/>
  <cols>
    <col min="1" max="3" width="8.796875" style="2"/>
    <col min="4" max="5" width="8.09765625" style="2" customWidth="1"/>
    <col min="6" max="6" width="8.796875" style="2" customWidth="1"/>
    <col min="7" max="7" width="7.8984375" style="2" customWidth="1"/>
    <col min="8" max="8" width="7.5976562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305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303</v>
      </c>
      <c r="H3" s="202" t="s">
        <v>306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630.625</v>
      </c>
      <c r="G5" s="195">
        <v>0</v>
      </c>
      <c r="H5" s="195">
        <v>0</v>
      </c>
      <c r="I5" s="10">
        <v>0</v>
      </c>
      <c r="J5" s="10">
        <v>0</v>
      </c>
      <c r="K5" s="11"/>
      <c r="L5" s="189">
        <v>0</v>
      </c>
      <c r="M5" s="189">
        <v>0</v>
      </c>
      <c r="N5" s="189">
        <v>0</v>
      </c>
      <c r="O5" s="189">
        <v>7201.74</v>
      </c>
      <c r="P5" s="189">
        <v>0</v>
      </c>
      <c r="Q5" s="189">
        <v>0</v>
      </c>
      <c r="R5" s="189">
        <v>0</v>
      </c>
      <c r="S5" s="189">
        <v>0</v>
      </c>
      <c r="T5" s="189">
        <v>7201.74</v>
      </c>
    </row>
    <row r="6" spans="1:20">
      <c r="A6" s="13">
        <v>2</v>
      </c>
      <c r="B6" s="199" t="s">
        <v>202</v>
      </c>
      <c r="C6" s="200"/>
      <c r="D6" s="194">
        <v>88</v>
      </c>
      <c r="E6" s="194">
        <v>0</v>
      </c>
      <c r="F6" s="194">
        <v>718.625</v>
      </c>
      <c r="G6" s="195">
        <v>0</v>
      </c>
      <c r="H6" s="195">
        <v>0</v>
      </c>
      <c r="I6" s="10">
        <v>0</v>
      </c>
      <c r="J6" s="10">
        <v>0</v>
      </c>
      <c r="K6" s="11"/>
      <c r="L6" s="189">
        <v>0</v>
      </c>
      <c r="M6" s="189">
        <v>9555.0400000000009</v>
      </c>
      <c r="N6" s="189">
        <v>0</v>
      </c>
      <c r="O6" s="189">
        <v>8206.7000000000007</v>
      </c>
      <c r="P6" s="189">
        <v>0</v>
      </c>
      <c r="Q6" s="189">
        <v>0</v>
      </c>
      <c r="R6" s="189">
        <v>0</v>
      </c>
      <c r="S6" s="189">
        <v>0</v>
      </c>
      <c r="T6" s="189">
        <v>17761.740000000002</v>
      </c>
    </row>
    <row r="7" spans="1:20">
      <c r="A7" s="13">
        <v>3</v>
      </c>
      <c r="B7" s="199" t="s">
        <v>203</v>
      </c>
      <c r="C7" s="200"/>
      <c r="D7" s="194">
        <v>66</v>
      </c>
      <c r="E7" s="194">
        <v>66</v>
      </c>
      <c r="F7" s="194">
        <v>718.625</v>
      </c>
      <c r="G7" s="195">
        <v>0</v>
      </c>
      <c r="H7" s="195">
        <v>0</v>
      </c>
      <c r="I7" s="10">
        <v>0</v>
      </c>
      <c r="J7" s="10">
        <v>0</v>
      </c>
      <c r="K7" s="11"/>
      <c r="L7" s="189">
        <v>0</v>
      </c>
      <c r="M7" s="189">
        <v>7166.28</v>
      </c>
      <c r="N7" s="189">
        <v>7166.28</v>
      </c>
      <c r="O7" s="189">
        <v>8206.7000000000007</v>
      </c>
      <c r="P7" s="189">
        <v>0</v>
      </c>
      <c r="Q7" s="189">
        <v>0</v>
      </c>
      <c r="R7" s="189">
        <v>0</v>
      </c>
      <c r="S7" s="189">
        <v>0</v>
      </c>
      <c r="T7" s="189">
        <v>22539.26</v>
      </c>
    </row>
    <row r="8" spans="1:20">
      <c r="A8" s="13">
        <v>4</v>
      </c>
      <c r="B8" s="199" t="s">
        <v>204</v>
      </c>
      <c r="C8" s="200"/>
      <c r="D8" s="194">
        <v>44.5</v>
      </c>
      <c r="E8" s="194">
        <v>43.25</v>
      </c>
      <c r="F8" s="194">
        <v>719.875</v>
      </c>
      <c r="G8" s="195">
        <v>0</v>
      </c>
      <c r="H8" s="195">
        <v>0</v>
      </c>
      <c r="I8" s="10">
        <v>0</v>
      </c>
      <c r="J8" s="10">
        <v>0</v>
      </c>
      <c r="K8" s="11"/>
      <c r="L8" s="189">
        <v>0</v>
      </c>
      <c r="M8" s="189">
        <v>4831.8100000000004</v>
      </c>
      <c r="N8" s="189">
        <v>4696.09</v>
      </c>
      <c r="O8" s="189">
        <v>8220.9699999999993</v>
      </c>
      <c r="P8" s="189">
        <v>0</v>
      </c>
      <c r="Q8" s="189">
        <v>0</v>
      </c>
      <c r="R8" s="189">
        <v>0</v>
      </c>
      <c r="S8" s="189">
        <v>0</v>
      </c>
      <c r="T8" s="189">
        <v>17748.87</v>
      </c>
    </row>
    <row r="9" spans="1:20">
      <c r="A9" s="13">
        <v>5</v>
      </c>
      <c r="B9" s="199" t="s">
        <v>205</v>
      </c>
      <c r="C9" s="200"/>
      <c r="D9" s="194">
        <v>110</v>
      </c>
      <c r="E9" s="194">
        <v>43.25</v>
      </c>
      <c r="F9" s="194">
        <v>786.625</v>
      </c>
      <c r="G9" s="195">
        <v>0</v>
      </c>
      <c r="H9" s="195">
        <v>0</v>
      </c>
      <c r="I9" s="10">
        <v>0</v>
      </c>
      <c r="J9" s="10">
        <v>0</v>
      </c>
      <c r="K9" s="11"/>
      <c r="L9" s="189">
        <v>0</v>
      </c>
      <c r="M9" s="189">
        <v>11943.8</v>
      </c>
      <c r="N9" s="189">
        <v>4696.09</v>
      </c>
      <c r="O9" s="189">
        <v>8983.26</v>
      </c>
      <c r="P9" s="189">
        <v>0</v>
      </c>
      <c r="Q9" s="189">
        <v>0</v>
      </c>
      <c r="R9" s="189">
        <v>0</v>
      </c>
      <c r="S9" s="189">
        <v>0</v>
      </c>
      <c r="T9" s="189">
        <v>25623.14</v>
      </c>
    </row>
    <row r="10" spans="1:20">
      <c r="A10" s="13">
        <v>6</v>
      </c>
      <c r="B10" s="199" t="s">
        <v>206</v>
      </c>
      <c r="C10" s="200"/>
      <c r="D10" s="194">
        <v>242</v>
      </c>
      <c r="E10" s="194">
        <v>22</v>
      </c>
      <c r="F10" s="194">
        <v>1006.625</v>
      </c>
      <c r="G10" s="195">
        <v>0</v>
      </c>
      <c r="H10" s="195">
        <v>0</v>
      </c>
      <c r="I10" s="10">
        <v>0</v>
      </c>
      <c r="J10" s="10">
        <v>0</v>
      </c>
      <c r="K10" s="11"/>
      <c r="L10" s="189">
        <v>0</v>
      </c>
      <c r="M10" s="189">
        <v>26276.36</v>
      </c>
      <c r="N10" s="189">
        <v>2388.7600000000002</v>
      </c>
      <c r="O10" s="189">
        <v>11495.66</v>
      </c>
      <c r="P10" s="189">
        <v>0</v>
      </c>
      <c r="Q10" s="189">
        <v>0</v>
      </c>
      <c r="R10" s="189">
        <v>0</v>
      </c>
      <c r="S10" s="189">
        <v>0</v>
      </c>
      <c r="T10" s="189">
        <v>40160.78</v>
      </c>
    </row>
    <row r="11" spans="1:20">
      <c r="A11" s="13">
        <v>7</v>
      </c>
      <c r="B11" s="199" t="s">
        <v>207</v>
      </c>
      <c r="C11" s="200"/>
      <c r="D11" s="194">
        <v>44</v>
      </c>
      <c r="E11" s="194">
        <v>22</v>
      </c>
      <c r="F11" s="194">
        <v>1028.625</v>
      </c>
      <c r="G11" s="195">
        <v>0</v>
      </c>
      <c r="H11" s="195">
        <v>0</v>
      </c>
      <c r="I11" s="10">
        <v>0</v>
      </c>
      <c r="J11" s="10">
        <v>0</v>
      </c>
      <c r="K11" s="11"/>
      <c r="L11" s="189">
        <v>0</v>
      </c>
      <c r="M11" s="189">
        <v>4777.5200000000004</v>
      </c>
      <c r="N11" s="189">
        <v>2388.7600000000002</v>
      </c>
      <c r="O11" s="189">
        <v>11746.9</v>
      </c>
      <c r="P11" s="189">
        <v>0</v>
      </c>
      <c r="Q11" s="189">
        <v>0</v>
      </c>
      <c r="R11" s="189">
        <v>0</v>
      </c>
      <c r="S11" s="189">
        <v>0</v>
      </c>
      <c r="T11" s="189">
        <v>18913.18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1028.625</v>
      </c>
      <c r="G12" s="195">
        <v>0</v>
      </c>
      <c r="H12" s="195">
        <v>0</v>
      </c>
      <c r="I12" s="10">
        <v>0</v>
      </c>
      <c r="J12" s="10">
        <v>0</v>
      </c>
      <c r="K12" s="11"/>
      <c r="L12" s="189">
        <v>0</v>
      </c>
      <c r="M12" s="189">
        <v>0</v>
      </c>
      <c r="N12" s="189">
        <v>0</v>
      </c>
      <c r="O12" s="189">
        <v>11746.9</v>
      </c>
      <c r="P12" s="189">
        <v>0</v>
      </c>
      <c r="Q12" s="189">
        <v>0</v>
      </c>
      <c r="R12" s="189">
        <v>0</v>
      </c>
      <c r="S12" s="189">
        <v>0</v>
      </c>
      <c r="T12" s="189">
        <v>11746.9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22.5</v>
      </c>
      <c r="F13" s="194">
        <v>1006.125</v>
      </c>
      <c r="G13" s="195">
        <v>0</v>
      </c>
      <c r="H13" s="195">
        <v>0</v>
      </c>
      <c r="I13" s="10">
        <v>0</v>
      </c>
      <c r="J13" s="10">
        <v>0</v>
      </c>
      <c r="K13" s="11"/>
      <c r="L13" s="189">
        <v>0</v>
      </c>
      <c r="M13" s="189">
        <v>0</v>
      </c>
      <c r="N13" s="189">
        <v>2443.0500000000002</v>
      </c>
      <c r="O13" s="189">
        <v>11489.95</v>
      </c>
      <c r="P13" s="189">
        <v>0</v>
      </c>
      <c r="Q13" s="189">
        <v>0</v>
      </c>
      <c r="R13" s="189">
        <v>0</v>
      </c>
      <c r="S13" s="189">
        <v>0</v>
      </c>
      <c r="T13" s="189">
        <v>13933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1006.125</v>
      </c>
      <c r="G14" s="195">
        <v>0</v>
      </c>
      <c r="H14" s="195">
        <v>0</v>
      </c>
      <c r="I14" s="10">
        <v>0</v>
      </c>
      <c r="J14" s="10">
        <v>0</v>
      </c>
      <c r="K14" s="11"/>
      <c r="L14" s="189">
        <v>0</v>
      </c>
      <c r="M14" s="189">
        <v>0</v>
      </c>
      <c r="N14" s="189">
        <v>0</v>
      </c>
      <c r="O14" s="189">
        <v>11489.95</v>
      </c>
      <c r="P14" s="189">
        <v>0</v>
      </c>
      <c r="Q14" s="189">
        <v>0</v>
      </c>
      <c r="R14" s="189">
        <v>0</v>
      </c>
      <c r="S14" s="189">
        <v>0</v>
      </c>
      <c r="T14" s="189">
        <v>11489.95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21.25</v>
      </c>
      <c r="F15" s="194">
        <v>984.875</v>
      </c>
      <c r="G15" s="195">
        <v>0</v>
      </c>
      <c r="H15" s="195">
        <v>0</v>
      </c>
      <c r="I15" s="10">
        <v>0</v>
      </c>
      <c r="J15" s="10">
        <v>0</v>
      </c>
      <c r="K15" s="11"/>
      <c r="L15" s="189">
        <v>0</v>
      </c>
      <c r="M15" s="189">
        <v>0</v>
      </c>
      <c r="N15" s="189">
        <v>2307.33</v>
      </c>
      <c r="O15" s="189">
        <v>11247.27</v>
      </c>
      <c r="P15" s="189">
        <v>0</v>
      </c>
      <c r="Q15" s="189">
        <v>0</v>
      </c>
      <c r="R15" s="189">
        <v>0</v>
      </c>
      <c r="S15" s="189">
        <v>0</v>
      </c>
      <c r="T15" s="189">
        <v>13554.6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21.375</v>
      </c>
      <c r="F16" s="194">
        <v>963.5</v>
      </c>
      <c r="G16" s="195">
        <v>0</v>
      </c>
      <c r="H16" s="195">
        <v>0</v>
      </c>
      <c r="I16" s="10">
        <v>0</v>
      </c>
      <c r="J16" s="10">
        <v>0</v>
      </c>
      <c r="K16" s="14"/>
      <c r="L16" s="189">
        <v>0</v>
      </c>
      <c r="M16" s="189">
        <v>0</v>
      </c>
      <c r="N16" s="189">
        <v>2320.9</v>
      </c>
      <c r="O16" s="189">
        <v>11003.17</v>
      </c>
      <c r="P16" s="189">
        <v>0</v>
      </c>
      <c r="Q16" s="189">
        <v>0</v>
      </c>
      <c r="R16" s="189">
        <v>0</v>
      </c>
      <c r="S16" s="189">
        <v>0</v>
      </c>
      <c r="T16" s="189">
        <v>13324.07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963.5</v>
      </c>
      <c r="G17" s="195">
        <v>0</v>
      </c>
      <c r="H17" s="195">
        <v>0</v>
      </c>
      <c r="I17" s="10">
        <v>0</v>
      </c>
      <c r="J17" s="10">
        <v>0</v>
      </c>
      <c r="K17" s="11"/>
      <c r="L17" s="189">
        <v>0</v>
      </c>
      <c r="M17" s="189">
        <v>0</v>
      </c>
      <c r="N17" s="189">
        <v>0</v>
      </c>
      <c r="O17" s="189">
        <v>11003.17</v>
      </c>
      <c r="P17" s="189">
        <v>0</v>
      </c>
      <c r="Q17" s="189">
        <v>0</v>
      </c>
      <c r="R17" s="189">
        <v>0</v>
      </c>
      <c r="S17" s="189">
        <v>0</v>
      </c>
      <c r="T17" s="189">
        <v>11003.17</v>
      </c>
    </row>
    <row r="18" spans="1:20">
      <c r="A18" s="13">
        <v>14</v>
      </c>
      <c r="B18" s="199" t="s">
        <v>214</v>
      </c>
      <c r="C18" s="200"/>
      <c r="D18" s="194">
        <v>44</v>
      </c>
      <c r="E18" s="194">
        <v>0</v>
      </c>
      <c r="F18" s="194">
        <v>1007.5</v>
      </c>
      <c r="G18" s="195">
        <v>0</v>
      </c>
      <c r="H18" s="195">
        <v>0</v>
      </c>
      <c r="I18" s="10">
        <v>0</v>
      </c>
      <c r="J18" s="10">
        <v>0</v>
      </c>
      <c r="K18" s="11"/>
      <c r="L18" s="189">
        <v>0</v>
      </c>
      <c r="M18" s="189">
        <v>4777.5200000000004</v>
      </c>
      <c r="N18" s="189">
        <v>0</v>
      </c>
      <c r="O18" s="189">
        <v>11505.65</v>
      </c>
      <c r="P18" s="189">
        <v>0</v>
      </c>
      <c r="Q18" s="189">
        <v>0</v>
      </c>
      <c r="R18" s="189">
        <v>0</v>
      </c>
      <c r="S18" s="189">
        <v>0</v>
      </c>
      <c r="T18" s="189">
        <v>16283.17</v>
      </c>
    </row>
    <row r="19" spans="1:20">
      <c r="A19" s="13">
        <v>15</v>
      </c>
      <c r="B19" s="199" t="s">
        <v>215</v>
      </c>
      <c r="C19" s="200"/>
      <c r="D19" s="194">
        <v>66</v>
      </c>
      <c r="E19" s="194">
        <v>0</v>
      </c>
      <c r="F19" s="194">
        <v>1073.5</v>
      </c>
      <c r="G19" s="195">
        <v>0</v>
      </c>
      <c r="H19" s="195">
        <v>0</v>
      </c>
      <c r="I19" s="10">
        <v>0</v>
      </c>
      <c r="J19" s="10">
        <v>0</v>
      </c>
      <c r="K19" s="11"/>
      <c r="L19" s="189">
        <v>0</v>
      </c>
      <c r="M19" s="189">
        <v>7166.28</v>
      </c>
      <c r="N19" s="189">
        <v>0</v>
      </c>
      <c r="O19" s="189">
        <v>12259.37</v>
      </c>
      <c r="P19" s="189">
        <v>0</v>
      </c>
      <c r="Q19" s="189">
        <v>0</v>
      </c>
      <c r="R19" s="189">
        <v>0</v>
      </c>
      <c r="S19" s="189">
        <v>0</v>
      </c>
      <c r="T19" s="189">
        <v>19425.650000000001</v>
      </c>
    </row>
    <row r="20" spans="1:20">
      <c r="A20" s="13">
        <v>16</v>
      </c>
      <c r="B20" s="199" t="s">
        <v>216</v>
      </c>
      <c r="C20" s="200"/>
      <c r="D20" s="194">
        <v>88</v>
      </c>
      <c r="E20" s="194">
        <v>0</v>
      </c>
      <c r="F20" s="194">
        <v>1161.5</v>
      </c>
      <c r="G20" s="195">
        <v>0</v>
      </c>
      <c r="H20" s="195">
        <v>0</v>
      </c>
      <c r="I20" s="10">
        <v>0</v>
      </c>
      <c r="J20" s="10">
        <v>0</v>
      </c>
      <c r="K20" s="11"/>
      <c r="L20" s="189">
        <v>0</v>
      </c>
      <c r="M20" s="189">
        <v>9555.0400000000009</v>
      </c>
      <c r="N20" s="189">
        <v>0</v>
      </c>
      <c r="O20" s="189">
        <v>13264.33</v>
      </c>
      <c r="P20" s="189">
        <v>0</v>
      </c>
      <c r="Q20" s="189">
        <v>0</v>
      </c>
      <c r="R20" s="189">
        <v>0</v>
      </c>
      <c r="S20" s="189">
        <v>0</v>
      </c>
      <c r="T20" s="189">
        <v>22819.37</v>
      </c>
    </row>
    <row r="21" spans="1:20">
      <c r="A21" s="13">
        <v>17</v>
      </c>
      <c r="B21" s="199" t="s">
        <v>217</v>
      </c>
      <c r="C21" s="200"/>
      <c r="D21" s="194">
        <v>132</v>
      </c>
      <c r="E21" s="194">
        <v>0</v>
      </c>
      <c r="F21" s="194">
        <v>1293.5</v>
      </c>
      <c r="G21" s="195">
        <v>0</v>
      </c>
      <c r="H21" s="195">
        <v>0</v>
      </c>
      <c r="I21" s="10">
        <v>0</v>
      </c>
      <c r="J21" s="10">
        <v>0</v>
      </c>
      <c r="K21" s="11"/>
      <c r="L21" s="189">
        <v>0</v>
      </c>
      <c r="M21" s="189">
        <v>14332.56</v>
      </c>
      <c r="N21" s="189">
        <v>0</v>
      </c>
      <c r="O21" s="189">
        <v>14771.77</v>
      </c>
      <c r="P21" s="189">
        <v>0</v>
      </c>
      <c r="Q21" s="189">
        <v>0</v>
      </c>
      <c r="R21" s="189">
        <v>0</v>
      </c>
      <c r="S21" s="189">
        <v>0</v>
      </c>
      <c r="T21" s="189">
        <v>29104.33</v>
      </c>
    </row>
    <row r="22" spans="1:20">
      <c r="A22" s="13">
        <v>18</v>
      </c>
      <c r="B22" s="199" t="s">
        <v>218</v>
      </c>
      <c r="C22" s="200"/>
      <c r="D22" s="194">
        <v>44</v>
      </c>
      <c r="E22" s="194">
        <v>0</v>
      </c>
      <c r="F22" s="194">
        <v>1337.5</v>
      </c>
      <c r="G22" s="195">
        <v>0</v>
      </c>
      <c r="H22" s="195">
        <v>0</v>
      </c>
      <c r="I22" s="10">
        <v>0</v>
      </c>
      <c r="J22" s="10">
        <v>0</v>
      </c>
      <c r="K22" s="11"/>
      <c r="L22" s="189">
        <v>0</v>
      </c>
      <c r="M22" s="189">
        <v>4777.5200000000004</v>
      </c>
      <c r="N22" s="189">
        <v>0</v>
      </c>
      <c r="O22" s="189">
        <v>15274.25</v>
      </c>
      <c r="P22" s="189">
        <v>0</v>
      </c>
      <c r="Q22" s="189">
        <v>0</v>
      </c>
      <c r="R22" s="189">
        <v>0</v>
      </c>
      <c r="S22" s="189">
        <v>0</v>
      </c>
      <c r="T22" s="189">
        <v>20051.77</v>
      </c>
    </row>
    <row r="23" spans="1:20">
      <c r="A23" s="13">
        <v>19</v>
      </c>
      <c r="B23" s="199" t="s">
        <v>219</v>
      </c>
      <c r="C23" s="200"/>
      <c r="D23" s="194">
        <v>44</v>
      </c>
      <c r="E23" s="194">
        <v>22</v>
      </c>
      <c r="F23" s="194">
        <v>1359.5</v>
      </c>
      <c r="G23" s="195">
        <v>0</v>
      </c>
      <c r="H23" s="195">
        <v>0</v>
      </c>
      <c r="I23" s="10">
        <v>0</v>
      </c>
      <c r="J23" s="10">
        <v>0</v>
      </c>
      <c r="K23" s="11"/>
      <c r="L23" s="189">
        <v>0</v>
      </c>
      <c r="M23" s="189">
        <v>4777.5200000000004</v>
      </c>
      <c r="N23" s="189">
        <v>2388.7600000000002</v>
      </c>
      <c r="O23" s="189">
        <v>15525.49</v>
      </c>
      <c r="P23" s="189">
        <v>0</v>
      </c>
      <c r="Q23" s="189">
        <v>0</v>
      </c>
      <c r="R23" s="189">
        <v>0</v>
      </c>
      <c r="S23" s="189">
        <v>0</v>
      </c>
      <c r="T23" s="189">
        <v>22691.77</v>
      </c>
    </row>
    <row r="24" spans="1:20">
      <c r="A24" s="13">
        <v>20</v>
      </c>
      <c r="B24" s="199" t="s">
        <v>220</v>
      </c>
      <c r="C24" s="200"/>
      <c r="D24" s="194">
        <v>22</v>
      </c>
      <c r="E24" s="194">
        <v>0</v>
      </c>
      <c r="F24" s="194">
        <v>1381.5</v>
      </c>
      <c r="G24" s="195">
        <v>0</v>
      </c>
      <c r="H24" s="195">
        <v>0</v>
      </c>
      <c r="I24" s="10">
        <v>0</v>
      </c>
      <c r="J24" s="10">
        <v>0</v>
      </c>
      <c r="K24" s="11"/>
      <c r="L24" s="189">
        <v>0</v>
      </c>
      <c r="M24" s="189">
        <v>2388.7600000000002</v>
      </c>
      <c r="N24" s="189">
        <v>0</v>
      </c>
      <c r="O24" s="189">
        <v>15776.73</v>
      </c>
      <c r="P24" s="189">
        <v>0</v>
      </c>
      <c r="Q24" s="189">
        <v>0</v>
      </c>
      <c r="R24" s="189">
        <v>0</v>
      </c>
      <c r="S24" s="189">
        <v>0</v>
      </c>
      <c r="T24" s="189">
        <v>18165.490000000002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44</v>
      </c>
      <c r="F25" s="194">
        <v>1337.5</v>
      </c>
      <c r="G25" s="195">
        <v>0</v>
      </c>
      <c r="H25" s="195">
        <v>0</v>
      </c>
      <c r="I25" s="10">
        <v>0</v>
      </c>
      <c r="J25" s="10">
        <v>0</v>
      </c>
      <c r="K25" s="11"/>
      <c r="L25" s="189">
        <v>0</v>
      </c>
      <c r="M25" s="189">
        <v>0</v>
      </c>
      <c r="N25" s="189">
        <v>4777.5200000000004</v>
      </c>
      <c r="O25" s="189">
        <v>15274.25</v>
      </c>
      <c r="P25" s="189">
        <v>0</v>
      </c>
      <c r="Q25" s="189">
        <v>0</v>
      </c>
      <c r="R25" s="189">
        <v>0</v>
      </c>
      <c r="S25" s="189">
        <v>0</v>
      </c>
      <c r="T25" s="189">
        <v>20051.77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66</v>
      </c>
      <c r="F26" s="194">
        <v>1271.5</v>
      </c>
      <c r="G26" s="195">
        <v>0</v>
      </c>
      <c r="H26" s="195">
        <v>0</v>
      </c>
      <c r="I26" s="10">
        <v>0</v>
      </c>
      <c r="J26" s="10">
        <v>0</v>
      </c>
      <c r="K26" s="11"/>
      <c r="L26" s="189">
        <v>0</v>
      </c>
      <c r="M26" s="189">
        <v>0</v>
      </c>
      <c r="N26" s="189">
        <v>7166.28</v>
      </c>
      <c r="O26" s="189">
        <v>14520.53</v>
      </c>
      <c r="P26" s="189">
        <v>0</v>
      </c>
      <c r="Q26" s="189">
        <v>0</v>
      </c>
      <c r="R26" s="189">
        <v>0</v>
      </c>
      <c r="S26" s="189">
        <v>0</v>
      </c>
      <c r="T26" s="189">
        <v>21686.81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66</v>
      </c>
      <c r="F27" s="194">
        <v>1205.5</v>
      </c>
      <c r="G27" s="195">
        <v>0</v>
      </c>
      <c r="H27" s="195">
        <v>0</v>
      </c>
      <c r="I27" s="10">
        <v>0</v>
      </c>
      <c r="J27" s="10">
        <v>0</v>
      </c>
      <c r="K27" s="11"/>
      <c r="L27" s="189">
        <v>0</v>
      </c>
      <c r="M27" s="189">
        <v>0</v>
      </c>
      <c r="N27" s="189">
        <v>7166.28</v>
      </c>
      <c r="O27" s="189">
        <v>13766.81</v>
      </c>
      <c r="P27" s="189">
        <v>0</v>
      </c>
      <c r="Q27" s="189">
        <v>0</v>
      </c>
      <c r="R27" s="189">
        <v>0</v>
      </c>
      <c r="S27" s="189">
        <v>0</v>
      </c>
      <c r="T27" s="189">
        <v>20933.09</v>
      </c>
    </row>
    <row r="28" spans="1:20">
      <c r="A28" s="13">
        <v>24</v>
      </c>
      <c r="B28" s="199" t="s">
        <v>224</v>
      </c>
      <c r="C28" s="200"/>
      <c r="D28" s="194">
        <v>22</v>
      </c>
      <c r="E28" s="194">
        <v>44</v>
      </c>
      <c r="F28" s="194">
        <v>1183.5</v>
      </c>
      <c r="G28" s="195">
        <v>0</v>
      </c>
      <c r="H28" s="195">
        <v>0</v>
      </c>
      <c r="I28" s="10">
        <v>0</v>
      </c>
      <c r="J28" s="10">
        <v>0</v>
      </c>
      <c r="K28" s="11"/>
      <c r="L28" s="189">
        <v>0</v>
      </c>
      <c r="M28" s="189">
        <v>2388.7600000000002</v>
      </c>
      <c r="N28" s="189">
        <v>4777.5200000000004</v>
      </c>
      <c r="O28" s="189">
        <v>13515.57</v>
      </c>
      <c r="P28" s="189">
        <v>0</v>
      </c>
      <c r="Q28" s="189">
        <v>0</v>
      </c>
      <c r="R28" s="189">
        <v>0</v>
      </c>
      <c r="S28" s="189">
        <v>0</v>
      </c>
      <c r="T28" s="189">
        <v>20681.849999999999</v>
      </c>
    </row>
    <row r="29" spans="1:20">
      <c r="A29" s="13">
        <v>25</v>
      </c>
      <c r="B29" s="199" t="s">
        <v>225</v>
      </c>
      <c r="C29" s="200"/>
      <c r="D29" s="194">
        <v>66</v>
      </c>
      <c r="E29" s="194">
        <v>66</v>
      </c>
      <c r="F29" s="194">
        <v>1183.5</v>
      </c>
      <c r="G29" s="195">
        <v>0</v>
      </c>
      <c r="H29" s="195">
        <v>0</v>
      </c>
      <c r="I29" s="10">
        <v>0</v>
      </c>
      <c r="J29" s="10">
        <v>0</v>
      </c>
      <c r="K29" s="11"/>
      <c r="L29" s="189">
        <v>0</v>
      </c>
      <c r="M29" s="189">
        <v>7166.28</v>
      </c>
      <c r="N29" s="189">
        <v>7166.28</v>
      </c>
      <c r="O29" s="189">
        <v>13515.57</v>
      </c>
      <c r="P29" s="189">
        <v>0</v>
      </c>
      <c r="Q29" s="189">
        <v>0</v>
      </c>
      <c r="R29" s="189">
        <v>0</v>
      </c>
      <c r="S29" s="189">
        <v>0</v>
      </c>
      <c r="T29" s="189">
        <v>27848.13</v>
      </c>
    </row>
    <row r="30" spans="1:20">
      <c r="A30" s="13">
        <v>26</v>
      </c>
      <c r="B30" s="199" t="s">
        <v>226</v>
      </c>
      <c r="C30" s="200"/>
      <c r="D30" s="194">
        <v>22</v>
      </c>
      <c r="E30" s="194">
        <v>44</v>
      </c>
      <c r="F30" s="194">
        <v>1161.5</v>
      </c>
      <c r="G30" s="195">
        <v>0</v>
      </c>
      <c r="H30" s="195">
        <v>0</v>
      </c>
      <c r="I30" s="10">
        <v>0</v>
      </c>
      <c r="J30" s="10">
        <v>0</v>
      </c>
      <c r="K30" s="11"/>
      <c r="L30" s="189">
        <v>0</v>
      </c>
      <c r="M30" s="189">
        <v>2388.7600000000002</v>
      </c>
      <c r="N30" s="189">
        <v>4777.5200000000004</v>
      </c>
      <c r="O30" s="189">
        <v>13264.33</v>
      </c>
      <c r="P30" s="189">
        <v>0</v>
      </c>
      <c r="Q30" s="189">
        <v>0</v>
      </c>
      <c r="R30" s="189">
        <v>0</v>
      </c>
      <c r="S30" s="189">
        <v>0</v>
      </c>
      <c r="T30" s="189">
        <v>20430.61</v>
      </c>
    </row>
    <row r="31" spans="1:20">
      <c r="A31" s="13">
        <v>27</v>
      </c>
      <c r="B31" s="199" t="s">
        <v>227</v>
      </c>
      <c r="C31" s="200"/>
      <c r="D31" s="194">
        <v>22</v>
      </c>
      <c r="E31" s="194">
        <v>44</v>
      </c>
      <c r="F31" s="194">
        <v>1139.5</v>
      </c>
      <c r="G31" s="195">
        <v>0</v>
      </c>
      <c r="H31" s="195">
        <v>0</v>
      </c>
      <c r="I31" s="10">
        <v>0</v>
      </c>
      <c r="J31" s="10">
        <v>0</v>
      </c>
      <c r="K31" s="11"/>
      <c r="L31" s="189">
        <v>0</v>
      </c>
      <c r="M31" s="189">
        <v>2388.7600000000002</v>
      </c>
      <c r="N31" s="189">
        <v>4777.5200000000004</v>
      </c>
      <c r="O31" s="189">
        <v>13013.09</v>
      </c>
      <c r="P31" s="189">
        <v>0</v>
      </c>
      <c r="Q31" s="189">
        <v>0</v>
      </c>
      <c r="R31" s="189">
        <v>0</v>
      </c>
      <c r="S31" s="189">
        <v>0</v>
      </c>
      <c r="T31" s="189">
        <v>20179.37</v>
      </c>
    </row>
    <row r="32" spans="1:20">
      <c r="A32" s="13">
        <v>28</v>
      </c>
      <c r="B32" s="199" t="s">
        <v>228</v>
      </c>
      <c r="C32" s="200"/>
      <c r="D32" s="194">
        <v>396</v>
      </c>
      <c r="E32" s="194">
        <v>44</v>
      </c>
      <c r="F32" s="194">
        <v>1491.5</v>
      </c>
      <c r="G32" s="195">
        <v>0</v>
      </c>
      <c r="H32" s="195">
        <v>0</v>
      </c>
      <c r="I32" s="10">
        <v>0</v>
      </c>
      <c r="J32" s="10">
        <v>0</v>
      </c>
      <c r="K32" s="11"/>
      <c r="L32" s="189">
        <v>0</v>
      </c>
      <c r="M32" s="189">
        <v>42997.68</v>
      </c>
      <c r="N32" s="189">
        <v>4777.5200000000004</v>
      </c>
      <c r="O32" s="189">
        <v>17032.93</v>
      </c>
      <c r="P32" s="189">
        <v>0</v>
      </c>
      <c r="Q32" s="189">
        <v>0</v>
      </c>
      <c r="R32" s="189">
        <v>0</v>
      </c>
      <c r="S32" s="189">
        <v>0</v>
      </c>
      <c r="T32" s="189">
        <v>64808.13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0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0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1562.5</v>
      </c>
      <c r="E36" s="19">
        <v>701.625</v>
      </c>
      <c r="F36" s="19">
        <v>30150.875</v>
      </c>
      <c r="G36" s="19">
        <v>0</v>
      </c>
      <c r="H36" s="19">
        <v>0</v>
      </c>
      <c r="I36" s="19">
        <v>0</v>
      </c>
      <c r="J36" s="19">
        <v>0</v>
      </c>
      <c r="K36" s="20">
        <v>0</v>
      </c>
      <c r="L36" s="190">
        <v>0</v>
      </c>
      <c r="M36" s="190">
        <v>169656.25</v>
      </c>
      <c r="N36" s="190">
        <v>76182.44</v>
      </c>
      <c r="O36" s="190">
        <v>344322.99</v>
      </c>
      <c r="P36" s="190">
        <v>0</v>
      </c>
      <c r="Q36" s="190">
        <v>0</v>
      </c>
      <c r="R36" s="190">
        <v>0</v>
      </c>
      <c r="S36" s="190">
        <v>0</v>
      </c>
      <c r="T36" s="190">
        <v>590161.68999999994</v>
      </c>
    </row>
    <row r="37" spans="1:20">
      <c r="R37" s="22"/>
      <c r="S37" s="22"/>
      <c r="T37" s="191">
        <v>719997.26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7FEB-960E-4112-8B44-66BEDB2642D3}">
  <sheetPr codeName="Лист35">
    <pageSetUpPr fitToPage="1"/>
  </sheetPr>
  <dimension ref="A1:T37"/>
  <sheetViews>
    <sheetView topLeftCell="A13" workbookViewId="0">
      <selection activeCell="O37" sqref="O37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8984375" style="2" customWidth="1"/>
    <col min="14" max="14" width="9.5" style="2" customWidth="1"/>
    <col min="15" max="15" width="12.296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307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308</v>
      </c>
      <c r="H3" s="202" t="s">
        <v>6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309</v>
      </c>
      <c r="N3" s="202" t="s">
        <v>310</v>
      </c>
      <c r="O3" s="202" t="s">
        <v>311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110</v>
      </c>
      <c r="E5" s="194">
        <v>22</v>
      </c>
      <c r="F5" s="194">
        <v>11475.662</v>
      </c>
      <c r="G5" s="195">
        <v>0</v>
      </c>
      <c r="H5" s="195">
        <v>0</v>
      </c>
      <c r="I5" s="10">
        <v>0</v>
      </c>
      <c r="J5" s="11">
        <v>0</v>
      </c>
      <c r="K5" s="11"/>
      <c r="L5" s="189">
        <v>0</v>
      </c>
      <c r="M5" s="189">
        <v>0</v>
      </c>
      <c r="N5" s="189">
        <v>0</v>
      </c>
      <c r="O5" s="189">
        <v>0</v>
      </c>
      <c r="P5" s="189">
        <v>0</v>
      </c>
      <c r="Q5" s="189">
        <v>0</v>
      </c>
      <c r="R5" s="189">
        <v>0</v>
      </c>
      <c r="S5" s="189">
        <v>0</v>
      </c>
      <c r="T5" s="189">
        <v>0</v>
      </c>
    </row>
    <row r="6" spans="1:20">
      <c r="A6" s="13">
        <v>2</v>
      </c>
      <c r="B6" s="199" t="s">
        <v>202</v>
      </c>
      <c r="C6" s="200"/>
      <c r="D6" s="194">
        <v>264</v>
      </c>
      <c r="E6" s="194">
        <v>46.75</v>
      </c>
      <c r="F6" s="194">
        <v>11692.912</v>
      </c>
      <c r="G6" s="195">
        <v>0</v>
      </c>
      <c r="H6" s="195">
        <v>0</v>
      </c>
      <c r="I6" s="10">
        <v>0</v>
      </c>
      <c r="J6" s="11">
        <v>0</v>
      </c>
      <c r="K6" s="11"/>
      <c r="L6" s="189">
        <v>0</v>
      </c>
      <c r="M6" s="189">
        <v>0</v>
      </c>
      <c r="N6" s="189">
        <v>0</v>
      </c>
      <c r="O6" s="189">
        <v>0</v>
      </c>
      <c r="P6" s="189">
        <v>0</v>
      </c>
      <c r="Q6" s="189">
        <v>0</v>
      </c>
      <c r="R6" s="189">
        <v>0</v>
      </c>
      <c r="S6" s="189">
        <v>0</v>
      </c>
      <c r="T6" s="189">
        <v>0</v>
      </c>
    </row>
    <row r="7" spans="1:20">
      <c r="A7" s="13">
        <v>3</v>
      </c>
      <c r="B7" s="199" t="s">
        <v>203</v>
      </c>
      <c r="C7" s="200"/>
      <c r="D7" s="194">
        <v>286</v>
      </c>
      <c r="E7" s="194">
        <v>66</v>
      </c>
      <c r="F7" s="194">
        <v>11912.912</v>
      </c>
      <c r="G7" s="195">
        <v>0</v>
      </c>
      <c r="H7" s="195">
        <v>0</v>
      </c>
      <c r="I7" s="10">
        <v>0</v>
      </c>
      <c r="J7" s="11">
        <v>0</v>
      </c>
      <c r="K7" s="11"/>
      <c r="L7" s="189">
        <v>0</v>
      </c>
      <c r="M7" s="189">
        <v>0</v>
      </c>
      <c r="N7" s="189">
        <v>0</v>
      </c>
      <c r="O7" s="189">
        <v>0</v>
      </c>
      <c r="P7" s="189">
        <v>0</v>
      </c>
      <c r="Q7" s="189">
        <v>0</v>
      </c>
      <c r="R7" s="189">
        <v>0</v>
      </c>
      <c r="S7" s="189">
        <v>0</v>
      </c>
      <c r="T7" s="189">
        <v>0</v>
      </c>
    </row>
    <row r="8" spans="1:20">
      <c r="A8" s="13">
        <v>4</v>
      </c>
      <c r="B8" s="199" t="s">
        <v>204</v>
      </c>
      <c r="C8" s="200"/>
      <c r="D8" s="194">
        <v>176</v>
      </c>
      <c r="E8" s="194">
        <v>30.25</v>
      </c>
      <c r="F8" s="194">
        <v>12058.662</v>
      </c>
      <c r="G8" s="195">
        <v>0</v>
      </c>
      <c r="H8" s="195">
        <v>0</v>
      </c>
      <c r="I8" s="10">
        <v>0</v>
      </c>
      <c r="J8" s="11">
        <v>0</v>
      </c>
      <c r="K8" s="11"/>
      <c r="L8" s="189">
        <v>0</v>
      </c>
      <c r="M8" s="189">
        <v>0</v>
      </c>
      <c r="N8" s="189">
        <v>0</v>
      </c>
      <c r="O8" s="189">
        <v>0</v>
      </c>
      <c r="P8" s="189">
        <v>0</v>
      </c>
      <c r="Q8" s="189">
        <v>0</v>
      </c>
      <c r="R8" s="189">
        <v>0</v>
      </c>
      <c r="S8" s="189">
        <v>0</v>
      </c>
      <c r="T8" s="189">
        <v>0</v>
      </c>
    </row>
    <row r="9" spans="1:20">
      <c r="A9" s="13">
        <v>5</v>
      </c>
      <c r="B9" s="199" t="s">
        <v>205</v>
      </c>
      <c r="C9" s="200"/>
      <c r="D9" s="194">
        <v>352</v>
      </c>
      <c r="E9" s="194">
        <v>44.75</v>
      </c>
      <c r="F9" s="194">
        <v>12365.912</v>
      </c>
      <c r="G9" s="195">
        <v>0</v>
      </c>
      <c r="H9" s="195">
        <v>0</v>
      </c>
      <c r="I9" s="10">
        <v>0</v>
      </c>
      <c r="J9" s="11">
        <v>0</v>
      </c>
      <c r="K9" s="11"/>
      <c r="L9" s="189">
        <v>0</v>
      </c>
      <c r="M9" s="189">
        <v>0</v>
      </c>
      <c r="N9" s="189">
        <v>0</v>
      </c>
      <c r="O9" s="189">
        <v>0</v>
      </c>
      <c r="P9" s="189">
        <v>0</v>
      </c>
      <c r="Q9" s="189">
        <v>0</v>
      </c>
      <c r="R9" s="189">
        <v>0</v>
      </c>
      <c r="S9" s="189">
        <v>0</v>
      </c>
      <c r="T9" s="189">
        <v>0</v>
      </c>
    </row>
    <row r="10" spans="1:20">
      <c r="A10" s="13">
        <v>6</v>
      </c>
      <c r="B10" s="199" t="s">
        <v>206</v>
      </c>
      <c r="C10" s="200"/>
      <c r="D10" s="194">
        <v>44</v>
      </c>
      <c r="E10" s="194">
        <v>0</v>
      </c>
      <c r="F10" s="194">
        <v>12409.912</v>
      </c>
      <c r="G10" s="195">
        <v>0</v>
      </c>
      <c r="H10" s="195">
        <v>0</v>
      </c>
      <c r="I10" s="10">
        <v>0</v>
      </c>
      <c r="J10" s="11">
        <v>0</v>
      </c>
      <c r="K10" s="11"/>
      <c r="L10" s="189">
        <v>0</v>
      </c>
      <c r="M10" s="189">
        <v>0</v>
      </c>
      <c r="N10" s="189">
        <v>0</v>
      </c>
      <c r="O10" s="189">
        <v>0</v>
      </c>
      <c r="P10" s="189">
        <v>0</v>
      </c>
      <c r="Q10" s="189">
        <v>0</v>
      </c>
      <c r="R10" s="189">
        <v>0</v>
      </c>
      <c r="S10" s="189">
        <v>0</v>
      </c>
      <c r="T10" s="189">
        <v>0</v>
      </c>
    </row>
    <row r="11" spans="1:20">
      <c r="A11" s="13">
        <v>7</v>
      </c>
      <c r="B11" s="199" t="s">
        <v>207</v>
      </c>
      <c r="C11" s="200"/>
      <c r="D11" s="194">
        <v>132</v>
      </c>
      <c r="E11" s="194">
        <v>21.375</v>
      </c>
      <c r="F11" s="194">
        <v>12520.537</v>
      </c>
      <c r="G11" s="195">
        <v>0</v>
      </c>
      <c r="H11" s="195">
        <v>0</v>
      </c>
      <c r="I11" s="10">
        <v>0</v>
      </c>
      <c r="J11" s="11">
        <v>0</v>
      </c>
      <c r="K11" s="11"/>
      <c r="L11" s="189">
        <v>0</v>
      </c>
      <c r="M11" s="189">
        <v>0</v>
      </c>
      <c r="N11" s="189">
        <v>0</v>
      </c>
      <c r="O11" s="189">
        <v>0</v>
      </c>
      <c r="P11" s="189">
        <v>0</v>
      </c>
      <c r="Q11" s="189">
        <v>0</v>
      </c>
      <c r="R11" s="189">
        <v>0</v>
      </c>
      <c r="S11" s="189">
        <v>0</v>
      </c>
      <c r="T11" s="189">
        <v>0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87.375</v>
      </c>
      <c r="F12" s="194">
        <v>12433.162</v>
      </c>
      <c r="G12" s="195">
        <v>0</v>
      </c>
      <c r="H12" s="195">
        <v>0</v>
      </c>
      <c r="I12" s="10">
        <v>0</v>
      </c>
      <c r="J12" s="11">
        <v>0</v>
      </c>
      <c r="K12" s="11"/>
      <c r="L12" s="189">
        <v>0</v>
      </c>
      <c r="M12" s="189">
        <v>0</v>
      </c>
      <c r="N12" s="189">
        <v>0</v>
      </c>
      <c r="O12" s="189">
        <v>0</v>
      </c>
      <c r="P12" s="189">
        <v>0</v>
      </c>
      <c r="Q12" s="189">
        <v>0</v>
      </c>
      <c r="R12" s="189">
        <v>0</v>
      </c>
      <c r="S12" s="189">
        <v>0</v>
      </c>
      <c r="T12" s="189">
        <v>0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66</v>
      </c>
      <c r="F13" s="194">
        <v>12367.162</v>
      </c>
      <c r="G13" s="195">
        <v>0</v>
      </c>
      <c r="H13" s="195">
        <v>0</v>
      </c>
      <c r="I13" s="10">
        <v>0</v>
      </c>
      <c r="J13" s="11">
        <v>0</v>
      </c>
      <c r="K13" s="11"/>
      <c r="L13" s="189">
        <v>0</v>
      </c>
      <c r="M13" s="189">
        <v>0</v>
      </c>
      <c r="N13" s="189">
        <v>0</v>
      </c>
      <c r="O13" s="189">
        <v>0</v>
      </c>
      <c r="P13" s="189">
        <v>0</v>
      </c>
      <c r="Q13" s="189">
        <v>0</v>
      </c>
      <c r="R13" s="189">
        <v>0</v>
      </c>
      <c r="S13" s="189">
        <v>0</v>
      </c>
      <c r="T13" s="189">
        <v>0</v>
      </c>
    </row>
    <row r="14" spans="1:20">
      <c r="A14" s="13">
        <v>10</v>
      </c>
      <c r="B14" s="199" t="s">
        <v>210</v>
      </c>
      <c r="C14" s="200"/>
      <c r="D14" s="194">
        <v>132</v>
      </c>
      <c r="E14" s="194">
        <v>250.375</v>
      </c>
      <c r="F14" s="194">
        <v>12248.787</v>
      </c>
      <c r="G14" s="195">
        <v>0</v>
      </c>
      <c r="H14" s="195">
        <v>0</v>
      </c>
      <c r="I14" s="10">
        <v>0</v>
      </c>
      <c r="J14" s="11">
        <v>0</v>
      </c>
      <c r="K14" s="11"/>
      <c r="L14" s="189">
        <v>0</v>
      </c>
      <c r="M14" s="189">
        <v>0</v>
      </c>
      <c r="N14" s="189">
        <v>0</v>
      </c>
      <c r="O14" s="189">
        <v>0</v>
      </c>
      <c r="P14" s="189">
        <v>0</v>
      </c>
      <c r="Q14" s="189">
        <v>0</v>
      </c>
      <c r="R14" s="189">
        <v>0</v>
      </c>
      <c r="S14" s="189">
        <v>0</v>
      </c>
      <c r="T14" s="189">
        <v>0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132</v>
      </c>
      <c r="F15" s="194">
        <v>12116.787</v>
      </c>
      <c r="G15" s="195">
        <v>0</v>
      </c>
      <c r="H15" s="195">
        <v>0</v>
      </c>
      <c r="I15" s="10">
        <v>0</v>
      </c>
      <c r="J15" s="11">
        <v>0</v>
      </c>
      <c r="K15" s="11"/>
      <c r="L15" s="189">
        <v>0</v>
      </c>
      <c r="M15" s="189">
        <v>0</v>
      </c>
      <c r="N15" s="189">
        <v>0</v>
      </c>
      <c r="O15" s="189">
        <v>0</v>
      </c>
      <c r="P15" s="189">
        <v>0</v>
      </c>
      <c r="Q15" s="189">
        <v>0</v>
      </c>
      <c r="R15" s="189">
        <v>0</v>
      </c>
      <c r="S15" s="189">
        <v>0</v>
      </c>
      <c r="T15" s="189">
        <v>0</v>
      </c>
    </row>
    <row r="16" spans="1:20">
      <c r="A16" s="13">
        <v>12</v>
      </c>
      <c r="B16" s="199" t="s">
        <v>212</v>
      </c>
      <c r="C16" s="200"/>
      <c r="D16" s="194">
        <v>242</v>
      </c>
      <c r="E16" s="194">
        <v>22</v>
      </c>
      <c r="F16" s="194">
        <v>12336.787</v>
      </c>
      <c r="G16" s="195">
        <v>0</v>
      </c>
      <c r="H16" s="195">
        <v>0</v>
      </c>
      <c r="I16" s="10">
        <v>0</v>
      </c>
      <c r="J16" s="11">
        <v>0</v>
      </c>
      <c r="K16" s="14"/>
      <c r="L16" s="189">
        <v>0</v>
      </c>
      <c r="M16" s="189">
        <v>0</v>
      </c>
      <c r="N16" s="189">
        <v>0</v>
      </c>
      <c r="O16" s="189">
        <v>0</v>
      </c>
      <c r="P16" s="189">
        <v>0</v>
      </c>
      <c r="Q16" s="189">
        <v>0</v>
      </c>
      <c r="R16" s="189">
        <v>0</v>
      </c>
      <c r="S16" s="189">
        <v>0</v>
      </c>
      <c r="T16" s="189">
        <v>0</v>
      </c>
    </row>
    <row r="17" spans="1:20">
      <c r="A17" s="13">
        <v>13</v>
      </c>
      <c r="B17" s="199" t="s">
        <v>213</v>
      </c>
      <c r="C17" s="200"/>
      <c r="D17" s="194">
        <v>88</v>
      </c>
      <c r="E17" s="194">
        <v>88</v>
      </c>
      <c r="F17" s="194">
        <v>12336.787</v>
      </c>
      <c r="G17" s="195">
        <v>0</v>
      </c>
      <c r="H17" s="195">
        <v>0</v>
      </c>
      <c r="I17" s="10">
        <v>0</v>
      </c>
      <c r="J17" s="11">
        <v>0</v>
      </c>
      <c r="K17" s="11"/>
      <c r="L17" s="189">
        <v>0</v>
      </c>
      <c r="M17" s="189">
        <v>0</v>
      </c>
      <c r="N17" s="189">
        <v>0</v>
      </c>
      <c r="O17" s="189">
        <v>0</v>
      </c>
      <c r="P17" s="189">
        <v>0</v>
      </c>
      <c r="Q17" s="189">
        <v>0</v>
      </c>
      <c r="R17" s="189">
        <v>0</v>
      </c>
      <c r="S17" s="189">
        <v>0</v>
      </c>
      <c r="T17" s="189">
        <v>0</v>
      </c>
    </row>
    <row r="18" spans="1:20">
      <c r="A18" s="13">
        <v>14</v>
      </c>
      <c r="B18" s="199" t="s">
        <v>214</v>
      </c>
      <c r="C18" s="200"/>
      <c r="D18" s="194">
        <v>176</v>
      </c>
      <c r="E18" s="194">
        <v>110</v>
      </c>
      <c r="F18" s="194">
        <v>12402.787</v>
      </c>
      <c r="G18" s="195">
        <v>0</v>
      </c>
      <c r="H18" s="195">
        <v>0</v>
      </c>
      <c r="I18" s="10">
        <v>0</v>
      </c>
      <c r="J18" s="11">
        <v>0</v>
      </c>
      <c r="K18" s="11"/>
      <c r="L18" s="189">
        <v>0</v>
      </c>
      <c r="M18" s="189">
        <v>0</v>
      </c>
      <c r="N18" s="189">
        <v>0</v>
      </c>
      <c r="O18" s="189">
        <v>0</v>
      </c>
      <c r="P18" s="189">
        <v>0</v>
      </c>
      <c r="Q18" s="189">
        <v>0</v>
      </c>
      <c r="R18" s="189">
        <v>0</v>
      </c>
      <c r="S18" s="189">
        <v>0</v>
      </c>
      <c r="T18" s="189">
        <v>0</v>
      </c>
    </row>
    <row r="19" spans="1:20">
      <c r="A19" s="13">
        <v>15</v>
      </c>
      <c r="B19" s="199" t="s">
        <v>215</v>
      </c>
      <c r="C19" s="200"/>
      <c r="D19" s="194">
        <v>110</v>
      </c>
      <c r="E19" s="194">
        <v>109.375</v>
      </c>
      <c r="F19" s="194">
        <v>12403.412</v>
      </c>
      <c r="G19" s="195">
        <v>0</v>
      </c>
      <c r="H19" s="195">
        <v>0</v>
      </c>
      <c r="I19" s="10">
        <v>0</v>
      </c>
      <c r="J19" s="11">
        <v>0</v>
      </c>
      <c r="K19" s="11"/>
      <c r="L19" s="189">
        <v>0</v>
      </c>
      <c r="M19" s="189">
        <v>0</v>
      </c>
      <c r="N19" s="189">
        <v>0</v>
      </c>
      <c r="O19" s="189">
        <v>0</v>
      </c>
      <c r="P19" s="189">
        <v>0</v>
      </c>
      <c r="Q19" s="189">
        <v>0</v>
      </c>
      <c r="R19" s="189">
        <v>0</v>
      </c>
      <c r="S19" s="189">
        <v>0</v>
      </c>
      <c r="T19" s="189">
        <v>0</v>
      </c>
    </row>
    <row r="20" spans="1:20">
      <c r="A20" s="13">
        <v>16</v>
      </c>
      <c r="B20" s="199" t="s">
        <v>216</v>
      </c>
      <c r="C20" s="200"/>
      <c r="D20" s="194">
        <v>440</v>
      </c>
      <c r="E20" s="194">
        <v>110</v>
      </c>
      <c r="F20" s="194">
        <v>12733.412</v>
      </c>
      <c r="G20" s="195">
        <v>0</v>
      </c>
      <c r="H20" s="195">
        <v>0</v>
      </c>
      <c r="I20" s="10">
        <v>0</v>
      </c>
      <c r="J20" s="11">
        <v>0</v>
      </c>
      <c r="K20" s="11"/>
      <c r="L20" s="189">
        <v>0</v>
      </c>
      <c r="M20" s="189">
        <v>0</v>
      </c>
      <c r="N20" s="189">
        <v>0</v>
      </c>
      <c r="O20" s="189">
        <v>0</v>
      </c>
      <c r="P20" s="189">
        <v>0</v>
      </c>
      <c r="Q20" s="189">
        <v>0</v>
      </c>
      <c r="R20" s="189">
        <v>0</v>
      </c>
      <c r="S20" s="189">
        <v>0</v>
      </c>
      <c r="T20" s="189">
        <v>0</v>
      </c>
    </row>
    <row r="21" spans="1:20">
      <c r="A21" s="13">
        <v>17</v>
      </c>
      <c r="B21" s="199" t="s">
        <v>217</v>
      </c>
      <c r="C21" s="200"/>
      <c r="D21" s="194">
        <v>220</v>
      </c>
      <c r="E21" s="194">
        <v>88</v>
      </c>
      <c r="F21" s="194">
        <v>12865.412</v>
      </c>
      <c r="G21" s="195">
        <v>0</v>
      </c>
      <c r="H21" s="195">
        <v>0</v>
      </c>
      <c r="I21" s="10">
        <v>0</v>
      </c>
      <c r="J21" s="11">
        <v>0</v>
      </c>
      <c r="K21" s="11"/>
      <c r="L21" s="189">
        <v>0</v>
      </c>
      <c r="M21" s="189">
        <v>0</v>
      </c>
      <c r="N21" s="189">
        <v>0</v>
      </c>
      <c r="O21" s="189">
        <v>0</v>
      </c>
      <c r="P21" s="189">
        <v>0</v>
      </c>
      <c r="Q21" s="189">
        <v>0</v>
      </c>
      <c r="R21" s="189">
        <v>0</v>
      </c>
      <c r="S21" s="189">
        <v>0</v>
      </c>
      <c r="T21" s="189">
        <v>0</v>
      </c>
    </row>
    <row r="22" spans="1:20">
      <c r="A22" s="13">
        <v>18</v>
      </c>
      <c r="B22" s="199" t="s">
        <v>218</v>
      </c>
      <c r="C22" s="200"/>
      <c r="D22" s="194">
        <v>110</v>
      </c>
      <c r="E22" s="194">
        <v>160.875</v>
      </c>
      <c r="F22" s="194">
        <v>12814.537</v>
      </c>
      <c r="G22" s="195">
        <v>0</v>
      </c>
      <c r="H22" s="195">
        <v>0</v>
      </c>
      <c r="I22" s="10">
        <v>0</v>
      </c>
      <c r="J22" s="11">
        <v>0</v>
      </c>
      <c r="K22" s="11"/>
      <c r="L22" s="189">
        <v>0</v>
      </c>
      <c r="M22" s="189">
        <v>0</v>
      </c>
      <c r="N22" s="189">
        <v>0</v>
      </c>
      <c r="O22" s="189">
        <v>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</row>
    <row r="23" spans="1:20">
      <c r="A23" s="13">
        <v>19</v>
      </c>
      <c r="B23" s="199" t="s">
        <v>219</v>
      </c>
      <c r="C23" s="200"/>
      <c r="D23" s="194">
        <v>286</v>
      </c>
      <c r="E23" s="194">
        <v>134.75</v>
      </c>
      <c r="F23" s="194">
        <v>12965.787</v>
      </c>
      <c r="G23" s="195">
        <v>0</v>
      </c>
      <c r="H23" s="195">
        <v>0</v>
      </c>
      <c r="I23" s="10">
        <v>0</v>
      </c>
      <c r="J23" s="11">
        <v>0</v>
      </c>
      <c r="K23" s="11"/>
      <c r="L23" s="189">
        <v>0</v>
      </c>
      <c r="M23" s="189">
        <v>0</v>
      </c>
      <c r="N23" s="189">
        <v>0</v>
      </c>
      <c r="O23" s="189">
        <v>0</v>
      </c>
      <c r="P23" s="189">
        <v>0</v>
      </c>
      <c r="Q23" s="189">
        <v>0</v>
      </c>
      <c r="R23" s="189">
        <v>0</v>
      </c>
      <c r="S23" s="189">
        <v>0</v>
      </c>
      <c r="T23" s="189">
        <v>0</v>
      </c>
    </row>
    <row r="24" spans="1:20">
      <c r="A24" s="13">
        <v>20</v>
      </c>
      <c r="B24" s="199" t="s">
        <v>220</v>
      </c>
      <c r="C24" s="200"/>
      <c r="D24" s="194">
        <v>396</v>
      </c>
      <c r="E24" s="194">
        <v>59.125</v>
      </c>
      <c r="F24" s="194">
        <v>13302.662</v>
      </c>
      <c r="G24" s="195">
        <v>0</v>
      </c>
      <c r="H24" s="195">
        <v>0</v>
      </c>
      <c r="I24" s="10">
        <v>0</v>
      </c>
      <c r="J24" s="11">
        <v>0</v>
      </c>
      <c r="K24" s="11"/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0</v>
      </c>
      <c r="R24" s="189">
        <v>0</v>
      </c>
      <c r="S24" s="189">
        <v>0</v>
      </c>
      <c r="T24" s="189">
        <v>0</v>
      </c>
    </row>
    <row r="25" spans="1:20">
      <c r="A25" s="13">
        <v>21</v>
      </c>
      <c r="B25" s="199" t="s">
        <v>221</v>
      </c>
      <c r="C25" s="200"/>
      <c r="D25" s="194">
        <v>110</v>
      </c>
      <c r="E25" s="194">
        <v>88</v>
      </c>
      <c r="F25" s="194">
        <v>13324.662</v>
      </c>
      <c r="G25" s="195">
        <v>0</v>
      </c>
      <c r="H25" s="195">
        <v>0</v>
      </c>
      <c r="I25" s="10">
        <v>0</v>
      </c>
      <c r="J25" s="11">
        <v>0</v>
      </c>
      <c r="K25" s="11"/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89">
        <v>0</v>
      </c>
      <c r="R25" s="189">
        <v>0</v>
      </c>
      <c r="S25" s="189">
        <v>0</v>
      </c>
      <c r="T25" s="189">
        <v>0</v>
      </c>
    </row>
    <row r="26" spans="1:20">
      <c r="A26" s="13">
        <v>22</v>
      </c>
      <c r="B26" s="199" t="s">
        <v>222</v>
      </c>
      <c r="C26" s="200"/>
      <c r="D26" s="194">
        <v>88</v>
      </c>
      <c r="E26" s="194">
        <v>44</v>
      </c>
      <c r="F26" s="194">
        <v>13368.662</v>
      </c>
      <c r="G26" s="195">
        <v>0</v>
      </c>
      <c r="H26" s="195">
        <v>0</v>
      </c>
      <c r="I26" s="10">
        <v>0</v>
      </c>
      <c r="J26" s="11">
        <v>0</v>
      </c>
      <c r="K26" s="11"/>
      <c r="L26" s="189">
        <v>0</v>
      </c>
      <c r="M26" s="189">
        <v>0</v>
      </c>
      <c r="N26" s="189">
        <v>0</v>
      </c>
      <c r="O26" s="189">
        <v>0</v>
      </c>
      <c r="P26" s="189">
        <v>0</v>
      </c>
      <c r="Q26" s="189">
        <v>0</v>
      </c>
      <c r="R26" s="189">
        <v>0</v>
      </c>
      <c r="S26" s="189">
        <v>0</v>
      </c>
      <c r="T26" s="189">
        <v>0</v>
      </c>
    </row>
    <row r="27" spans="1:20">
      <c r="A27" s="13">
        <v>23</v>
      </c>
      <c r="B27" s="199" t="s">
        <v>223</v>
      </c>
      <c r="C27" s="200"/>
      <c r="D27" s="194">
        <v>308</v>
      </c>
      <c r="E27" s="194">
        <v>198</v>
      </c>
      <c r="F27" s="194">
        <v>13478.662</v>
      </c>
      <c r="G27" s="195">
        <v>0</v>
      </c>
      <c r="H27" s="195">
        <v>0</v>
      </c>
      <c r="I27" s="10">
        <v>0</v>
      </c>
      <c r="J27" s="11">
        <v>0</v>
      </c>
      <c r="K27" s="11"/>
      <c r="L27" s="189">
        <v>0</v>
      </c>
      <c r="M27" s="189">
        <v>0</v>
      </c>
      <c r="N27" s="189">
        <v>0</v>
      </c>
      <c r="O27" s="189">
        <v>0</v>
      </c>
      <c r="P27" s="189">
        <v>0</v>
      </c>
      <c r="Q27" s="189">
        <v>0</v>
      </c>
      <c r="R27" s="189">
        <v>0</v>
      </c>
      <c r="S27" s="189">
        <v>0</v>
      </c>
      <c r="T27" s="189">
        <v>0</v>
      </c>
    </row>
    <row r="28" spans="1:20">
      <c r="A28" s="13">
        <v>24</v>
      </c>
      <c r="B28" s="199" t="s">
        <v>224</v>
      </c>
      <c r="C28" s="200"/>
      <c r="D28" s="194">
        <v>176</v>
      </c>
      <c r="E28" s="194">
        <v>66</v>
      </c>
      <c r="F28" s="194">
        <v>13588.662</v>
      </c>
      <c r="G28" s="195">
        <v>0</v>
      </c>
      <c r="H28" s="195">
        <v>0</v>
      </c>
      <c r="I28" s="10">
        <v>0</v>
      </c>
      <c r="J28" s="11">
        <v>0</v>
      </c>
      <c r="K28" s="11"/>
      <c r="L28" s="189">
        <v>0</v>
      </c>
      <c r="M28" s="189">
        <v>0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  <c r="S28" s="189">
        <v>0</v>
      </c>
      <c r="T28" s="189">
        <v>0</v>
      </c>
    </row>
    <row r="29" spans="1:20">
      <c r="A29" s="13">
        <v>25</v>
      </c>
      <c r="B29" s="199" t="s">
        <v>225</v>
      </c>
      <c r="C29" s="200"/>
      <c r="D29" s="194">
        <v>110</v>
      </c>
      <c r="E29" s="194">
        <v>136.125</v>
      </c>
      <c r="F29" s="194">
        <v>13562.537</v>
      </c>
      <c r="G29" s="195">
        <v>0</v>
      </c>
      <c r="H29" s="195">
        <v>0</v>
      </c>
      <c r="I29" s="10">
        <v>0</v>
      </c>
      <c r="J29" s="11">
        <v>0</v>
      </c>
      <c r="K29" s="11"/>
      <c r="L29" s="189">
        <v>0</v>
      </c>
      <c r="M29" s="189">
        <v>0</v>
      </c>
      <c r="N29" s="189">
        <v>0</v>
      </c>
      <c r="O29" s="189">
        <v>0</v>
      </c>
      <c r="P29" s="189">
        <v>0</v>
      </c>
      <c r="Q29" s="189">
        <v>0</v>
      </c>
      <c r="R29" s="189">
        <v>0</v>
      </c>
      <c r="S29" s="189">
        <v>0</v>
      </c>
      <c r="T29" s="189">
        <v>0</v>
      </c>
    </row>
    <row r="30" spans="1:20">
      <c r="A30" s="13">
        <v>26</v>
      </c>
      <c r="B30" s="199" t="s">
        <v>226</v>
      </c>
      <c r="C30" s="200"/>
      <c r="D30" s="194">
        <v>286</v>
      </c>
      <c r="E30" s="194">
        <v>189.75</v>
      </c>
      <c r="F30" s="194">
        <v>13658.787</v>
      </c>
      <c r="G30" s="195">
        <v>0</v>
      </c>
      <c r="H30" s="195">
        <v>0</v>
      </c>
      <c r="I30" s="10">
        <v>0</v>
      </c>
      <c r="J30" s="11">
        <v>0</v>
      </c>
      <c r="K30" s="11"/>
      <c r="L30" s="189">
        <v>0</v>
      </c>
      <c r="M30" s="189">
        <v>0</v>
      </c>
      <c r="N30" s="189">
        <v>0</v>
      </c>
      <c r="O30" s="189">
        <v>0</v>
      </c>
      <c r="P30" s="189">
        <v>0</v>
      </c>
      <c r="Q30" s="189">
        <v>0</v>
      </c>
      <c r="R30" s="189">
        <v>0</v>
      </c>
      <c r="S30" s="189">
        <v>0</v>
      </c>
      <c r="T30" s="189">
        <v>0</v>
      </c>
    </row>
    <row r="31" spans="1:20">
      <c r="A31" s="13">
        <v>27</v>
      </c>
      <c r="B31" s="199" t="s">
        <v>227</v>
      </c>
      <c r="C31" s="200"/>
      <c r="D31" s="194">
        <v>44</v>
      </c>
      <c r="E31" s="194">
        <v>173.35</v>
      </c>
      <c r="F31" s="194">
        <v>13529.437</v>
      </c>
      <c r="G31" s="195">
        <v>0</v>
      </c>
      <c r="H31" s="195">
        <v>0</v>
      </c>
      <c r="I31" s="10">
        <v>0</v>
      </c>
      <c r="J31" s="11">
        <v>0</v>
      </c>
      <c r="K31" s="11"/>
      <c r="L31" s="189">
        <v>0</v>
      </c>
      <c r="M31" s="189">
        <v>0</v>
      </c>
      <c r="N31" s="189">
        <v>0</v>
      </c>
      <c r="O31" s="189">
        <v>0</v>
      </c>
      <c r="P31" s="189">
        <v>0</v>
      </c>
      <c r="Q31" s="189">
        <v>0</v>
      </c>
      <c r="R31" s="189">
        <v>0</v>
      </c>
      <c r="S31" s="189">
        <v>0</v>
      </c>
      <c r="T31" s="189">
        <v>0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63.55</v>
      </c>
      <c r="F32" s="194">
        <v>13465.887000000001</v>
      </c>
      <c r="G32" s="195">
        <v>0</v>
      </c>
      <c r="H32" s="195">
        <v>0</v>
      </c>
      <c r="I32" s="10">
        <v>0</v>
      </c>
      <c r="J32" s="11">
        <v>0</v>
      </c>
      <c r="K32" s="11"/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0</v>
      </c>
      <c r="R32" s="189">
        <v>0</v>
      </c>
      <c r="S32" s="189">
        <v>0</v>
      </c>
      <c r="T32" s="189">
        <v>0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4686</v>
      </c>
      <c r="E36" s="19">
        <v>2607.7750000000001</v>
      </c>
      <c r="F36" s="19">
        <v>355741.28600000008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0">
        <v>0</v>
      </c>
      <c r="M36" s="190">
        <v>1172376</v>
      </c>
      <c r="N36" s="190">
        <v>1172376</v>
      </c>
      <c r="O36" s="190">
        <v>12771125.390000001</v>
      </c>
      <c r="P36" s="190">
        <v>0</v>
      </c>
      <c r="Q36" s="190">
        <v>0</v>
      </c>
      <c r="R36" s="190">
        <v>0</v>
      </c>
      <c r="S36" s="190">
        <v>0</v>
      </c>
      <c r="T36" s="190">
        <v>15115877.390000001</v>
      </c>
    </row>
    <row r="37" spans="1:20">
      <c r="R37" s="22"/>
      <c r="S37" s="22"/>
      <c r="T37" s="191">
        <v>18441370.41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926A-751F-4824-A971-368EA7B787C3}">
  <sheetPr codeName="Лист36">
    <pageSetUpPr fitToPage="1"/>
  </sheetPr>
  <dimension ref="A1:T37"/>
  <sheetViews>
    <sheetView topLeftCell="A13" workbookViewId="0">
      <selection activeCell="O37" sqref="O37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8984375" style="2" customWidth="1"/>
    <col min="14" max="14" width="9.5" style="2" customWidth="1"/>
    <col min="15" max="15" width="12.296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312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308</v>
      </c>
      <c r="H3" s="202" t="s">
        <v>6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309</v>
      </c>
      <c r="N3" s="202" t="s">
        <v>310</v>
      </c>
      <c r="O3" s="202" t="s">
        <v>311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10.5</v>
      </c>
      <c r="G5" s="195">
        <v>0</v>
      </c>
      <c r="H5" s="195">
        <v>0</v>
      </c>
      <c r="I5" s="10">
        <v>0</v>
      </c>
      <c r="J5" s="11">
        <v>0</v>
      </c>
      <c r="K5" s="11"/>
      <c r="L5" s="189">
        <v>0</v>
      </c>
      <c r="M5" s="189">
        <v>0</v>
      </c>
      <c r="N5" s="189">
        <v>0</v>
      </c>
      <c r="O5" s="189">
        <v>0</v>
      </c>
      <c r="P5" s="189">
        <v>0</v>
      </c>
      <c r="Q5" s="189">
        <v>0</v>
      </c>
      <c r="R5" s="189">
        <v>0</v>
      </c>
      <c r="S5" s="189">
        <v>0</v>
      </c>
      <c r="T5" s="189">
        <v>0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10.5</v>
      </c>
      <c r="G6" s="195">
        <v>0</v>
      </c>
      <c r="H6" s="195">
        <v>0</v>
      </c>
      <c r="I6" s="10">
        <v>0</v>
      </c>
      <c r="J6" s="11">
        <v>0</v>
      </c>
      <c r="K6" s="11"/>
      <c r="L6" s="189">
        <v>0</v>
      </c>
      <c r="M6" s="189">
        <v>0</v>
      </c>
      <c r="N6" s="189">
        <v>0</v>
      </c>
      <c r="O6" s="189">
        <v>0</v>
      </c>
      <c r="P6" s="189">
        <v>0</v>
      </c>
      <c r="Q6" s="189">
        <v>0</v>
      </c>
      <c r="R6" s="189">
        <v>0</v>
      </c>
      <c r="S6" s="189">
        <v>0</v>
      </c>
      <c r="T6" s="189">
        <v>0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10.5</v>
      </c>
      <c r="G7" s="195">
        <v>0</v>
      </c>
      <c r="H7" s="195">
        <v>0</v>
      </c>
      <c r="I7" s="10">
        <v>0</v>
      </c>
      <c r="J7" s="11">
        <v>0</v>
      </c>
      <c r="K7" s="11"/>
      <c r="L7" s="189">
        <v>0</v>
      </c>
      <c r="M7" s="189">
        <v>0</v>
      </c>
      <c r="N7" s="189">
        <v>0</v>
      </c>
      <c r="O7" s="189">
        <v>0</v>
      </c>
      <c r="P7" s="189">
        <v>0</v>
      </c>
      <c r="Q7" s="189">
        <v>0</v>
      </c>
      <c r="R7" s="189">
        <v>0</v>
      </c>
      <c r="S7" s="189">
        <v>0</v>
      </c>
      <c r="T7" s="189">
        <v>0</v>
      </c>
    </row>
    <row r="8" spans="1:20">
      <c r="A8" s="13">
        <v>4</v>
      </c>
      <c r="B8" s="199" t="s">
        <v>204</v>
      </c>
      <c r="C8" s="200"/>
      <c r="D8" s="194">
        <v>0</v>
      </c>
      <c r="E8" s="194">
        <v>0</v>
      </c>
      <c r="F8" s="194">
        <v>10.5</v>
      </c>
      <c r="G8" s="195">
        <v>0</v>
      </c>
      <c r="H8" s="195">
        <v>0</v>
      </c>
      <c r="I8" s="10">
        <v>0</v>
      </c>
      <c r="J8" s="11">
        <v>0</v>
      </c>
      <c r="K8" s="11"/>
      <c r="L8" s="189">
        <v>0</v>
      </c>
      <c r="M8" s="189">
        <v>0</v>
      </c>
      <c r="N8" s="189">
        <v>0</v>
      </c>
      <c r="O8" s="189">
        <v>0</v>
      </c>
      <c r="P8" s="189">
        <v>0</v>
      </c>
      <c r="Q8" s="189">
        <v>0</v>
      </c>
      <c r="R8" s="189">
        <v>0</v>
      </c>
      <c r="S8" s="189">
        <v>0</v>
      </c>
      <c r="T8" s="189">
        <v>0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10.5</v>
      </c>
      <c r="G9" s="195">
        <v>0</v>
      </c>
      <c r="H9" s="195">
        <v>0</v>
      </c>
      <c r="I9" s="10">
        <v>0</v>
      </c>
      <c r="J9" s="11">
        <v>0</v>
      </c>
      <c r="K9" s="11"/>
      <c r="L9" s="189">
        <v>0</v>
      </c>
      <c r="M9" s="189">
        <v>0</v>
      </c>
      <c r="N9" s="189">
        <v>0</v>
      </c>
      <c r="O9" s="189">
        <v>0</v>
      </c>
      <c r="P9" s="189">
        <v>0</v>
      </c>
      <c r="Q9" s="189">
        <v>0</v>
      </c>
      <c r="R9" s="189">
        <v>0</v>
      </c>
      <c r="S9" s="189">
        <v>0</v>
      </c>
      <c r="T9" s="189">
        <v>0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10.5</v>
      </c>
      <c r="G10" s="195">
        <v>0</v>
      </c>
      <c r="H10" s="195">
        <v>0</v>
      </c>
      <c r="I10" s="10">
        <v>0</v>
      </c>
      <c r="J10" s="11">
        <v>0</v>
      </c>
      <c r="K10" s="11"/>
      <c r="L10" s="189">
        <v>0</v>
      </c>
      <c r="M10" s="189">
        <v>0</v>
      </c>
      <c r="N10" s="189">
        <v>0</v>
      </c>
      <c r="O10" s="189">
        <v>0</v>
      </c>
      <c r="P10" s="189">
        <v>0</v>
      </c>
      <c r="Q10" s="189">
        <v>0</v>
      </c>
      <c r="R10" s="189">
        <v>0</v>
      </c>
      <c r="S10" s="189">
        <v>0</v>
      </c>
      <c r="T10" s="189">
        <v>0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10.5</v>
      </c>
      <c r="G11" s="195">
        <v>0</v>
      </c>
      <c r="H11" s="195">
        <v>0</v>
      </c>
      <c r="I11" s="10">
        <v>0</v>
      </c>
      <c r="J11" s="11">
        <v>0</v>
      </c>
      <c r="K11" s="11"/>
      <c r="L11" s="189">
        <v>0</v>
      </c>
      <c r="M11" s="189">
        <v>0</v>
      </c>
      <c r="N11" s="189">
        <v>0</v>
      </c>
      <c r="O11" s="189">
        <v>0</v>
      </c>
      <c r="P11" s="189">
        <v>0</v>
      </c>
      <c r="Q11" s="189">
        <v>0</v>
      </c>
      <c r="R11" s="189">
        <v>0</v>
      </c>
      <c r="S11" s="189">
        <v>0</v>
      </c>
      <c r="T11" s="189">
        <v>0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10.5</v>
      </c>
      <c r="G12" s="195">
        <v>0</v>
      </c>
      <c r="H12" s="195">
        <v>0</v>
      </c>
      <c r="I12" s="10">
        <v>0</v>
      </c>
      <c r="J12" s="11">
        <v>0</v>
      </c>
      <c r="K12" s="11"/>
      <c r="L12" s="189">
        <v>0</v>
      </c>
      <c r="M12" s="189">
        <v>0</v>
      </c>
      <c r="N12" s="189">
        <v>0</v>
      </c>
      <c r="O12" s="189">
        <v>0</v>
      </c>
      <c r="P12" s="189">
        <v>0</v>
      </c>
      <c r="Q12" s="189">
        <v>0</v>
      </c>
      <c r="R12" s="189">
        <v>0</v>
      </c>
      <c r="S12" s="189">
        <v>0</v>
      </c>
      <c r="T12" s="189">
        <v>0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10.5</v>
      </c>
      <c r="G13" s="195">
        <v>0</v>
      </c>
      <c r="H13" s="195">
        <v>0</v>
      </c>
      <c r="I13" s="10">
        <v>0</v>
      </c>
      <c r="J13" s="11">
        <v>0</v>
      </c>
      <c r="K13" s="11"/>
      <c r="L13" s="189">
        <v>0</v>
      </c>
      <c r="M13" s="189">
        <v>0</v>
      </c>
      <c r="N13" s="189">
        <v>0</v>
      </c>
      <c r="O13" s="189">
        <v>0</v>
      </c>
      <c r="P13" s="189">
        <v>0</v>
      </c>
      <c r="Q13" s="189">
        <v>0</v>
      </c>
      <c r="R13" s="189">
        <v>0</v>
      </c>
      <c r="S13" s="189">
        <v>0</v>
      </c>
      <c r="T13" s="189">
        <v>0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10.5</v>
      </c>
      <c r="G14" s="195">
        <v>0</v>
      </c>
      <c r="H14" s="195">
        <v>0</v>
      </c>
      <c r="I14" s="10">
        <v>0</v>
      </c>
      <c r="J14" s="11">
        <v>0</v>
      </c>
      <c r="K14" s="11"/>
      <c r="L14" s="189">
        <v>0</v>
      </c>
      <c r="M14" s="189">
        <v>0</v>
      </c>
      <c r="N14" s="189">
        <v>0</v>
      </c>
      <c r="O14" s="189">
        <v>0</v>
      </c>
      <c r="P14" s="189">
        <v>0</v>
      </c>
      <c r="Q14" s="189">
        <v>0</v>
      </c>
      <c r="R14" s="189">
        <v>0</v>
      </c>
      <c r="S14" s="189">
        <v>0</v>
      </c>
      <c r="T14" s="189">
        <v>0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10.5</v>
      </c>
      <c r="G15" s="195">
        <v>0</v>
      </c>
      <c r="H15" s="195">
        <v>0</v>
      </c>
      <c r="I15" s="10">
        <v>0</v>
      </c>
      <c r="J15" s="11">
        <v>0</v>
      </c>
      <c r="K15" s="11"/>
      <c r="L15" s="189">
        <v>0</v>
      </c>
      <c r="M15" s="189">
        <v>0</v>
      </c>
      <c r="N15" s="189">
        <v>0</v>
      </c>
      <c r="O15" s="189">
        <v>0</v>
      </c>
      <c r="P15" s="189">
        <v>0</v>
      </c>
      <c r="Q15" s="189">
        <v>0</v>
      </c>
      <c r="R15" s="189">
        <v>0</v>
      </c>
      <c r="S15" s="189">
        <v>0</v>
      </c>
      <c r="T15" s="189">
        <v>0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10.5</v>
      </c>
      <c r="G16" s="195">
        <v>0</v>
      </c>
      <c r="H16" s="195">
        <v>0</v>
      </c>
      <c r="I16" s="10">
        <v>0</v>
      </c>
      <c r="J16" s="11">
        <v>0</v>
      </c>
      <c r="K16" s="14"/>
      <c r="L16" s="189">
        <v>0</v>
      </c>
      <c r="M16" s="189">
        <v>0</v>
      </c>
      <c r="N16" s="189">
        <v>0</v>
      </c>
      <c r="O16" s="189">
        <v>0</v>
      </c>
      <c r="P16" s="189">
        <v>0</v>
      </c>
      <c r="Q16" s="189">
        <v>0</v>
      </c>
      <c r="R16" s="189">
        <v>0</v>
      </c>
      <c r="S16" s="189">
        <v>0</v>
      </c>
      <c r="T16" s="189">
        <v>0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10.5</v>
      </c>
      <c r="G17" s="195">
        <v>0</v>
      </c>
      <c r="H17" s="195">
        <v>0</v>
      </c>
      <c r="I17" s="10">
        <v>0</v>
      </c>
      <c r="J17" s="11">
        <v>0</v>
      </c>
      <c r="K17" s="11"/>
      <c r="L17" s="189">
        <v>0</v>
      </c>
      <c r="M17" s="189">
        <v>0</v>
      </c>
      <c r="N17" s="189">
        <v>0</v>
      </c>
      <c r="O17" s="189">
        <v>0</v>
      </c>
      <c r="P17" s="189">
        <v>0</v>
      </c>
      <c r="Q17" s="189">
        <v>0</v>
      </c>
      <c r="R17" s="189">
        <v>0</v>
      </c>
      <c r="S17" s="189">
        <v>0</v>
      </c>
      <c r="T17" s="189">
        <v>0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10.5</v>
      </c>
      <c r="G18" s="195">
        <v>0</v>
      </c>
      <c r="H18" s="195">
        <v>0</v>
      </c>
      <c r="I18" s="10">
        <v>0</v>
      </c>
      <c r="J18" s="11">
        <v>0</v>
      </c>
      <c r="K18" s="11"/>
      <c r="L18" s="189">
        <v>0</v>
      </c>
      <c r="M18" s="189">
        <v>0</v>
      </c>
      <c r="N18" s="189">
        <v>0</v>
      </c>
      <c r="O18" s="189">
        <v>0</v>
      </c>
      <c r="P18" s="189">
        <v>0</v>
      </c>
      <c r="Q18" s="189">
        <v>0</v>
      </c>
      <c r="R18" s="189">
        <v>0</v>
      </c>
      <c r="S18" s="189">
        <v>0</v>
      </c>
      <c r="T18" s="189">
        <v>0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10.5</v>
      </c>
      <c r="G19" s="195">
        <v>0</v>
      </c>
      <c r="H19" s="195">
        <v>0</v>
      </c>
      <c r="I19" s="10">
        <v>0</v>
      </c>
      <c r="J19" s="11">
        <v>0</v>
      </c>
      <c r="K19" s="11"/>
      <c r="L19" s="189">
        <v>0</v>
      </c>
      <c r="M19" s="189">
        <v>0</v>
      </c>
      <c r="N19" s="189">
        <v>0</v>
      </c>
      <c r="O19" s="189">
        <v>0</v>
      </c>
      <c r="P19" s="189">
        <v>0</v>
      </c>
      <c r="Q19" s="189">
        <v>0</v>
      </c>
      <c r="R19" s="189">
        <v>0</v>
      </c>
      <c r="S19" s="189">
        <v>0</v>
      </c>
      <c r="T19" s="189">
        <v>0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10.5</v>
      </c>
      <c r="G20" s="195">
        <v>0</v>
      </c>
      <c r="H20" s="195">
        <v>0</v>
      </c>
      <c r="I20" s="10">
        <v>0</v>
      </c>
      <c r="J20" s="11">
        <v>0</v>
      </c>
      <c r="K20" s="11"/>
      <c r="L20" s="189">
        <v>0</v>
      </c>
      <c r="M20" s="189">
        <v>0</v>
      </c>
      <c r="N20" s="189">
        <v>0</v>
      </c>
      <c r="O20" s="189">
        <v>0</v>
      </c>
      <c r="P20" s="189">
        <v>0</v>
      </c>
      <c r="Q20" s="189">
        <v>0</v>
      </c>
      <c r="R20" s="189">
        <v>0</v>
      </c>
      <c r="S20" s="189">
        <v>0</v>
      </c>
      <c r="T20" s="189">
        <v>0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10.5</v>
      </c>
      <c r="G21" s="195">
        <v>0</v>
      </c>
      <c r="H21" s="195">
        <v>0</v>
      </c>
      <c r="I21" s="10">
        <v>0</v>
      </c>
      <c r="J21" s="11">
        <v>0</v>
      </c>
      <c r="K21" s="11"/>
      <c r="L21" s="189">
        <v>0</v>
      </c>
      <c r="M21" s="189">
        <v>0</v>
      </c>
      <c r="N21" s="189">
        <v>0</v>
      </c>
      <c r="O21" s="189">
        <v>0</v>
      </c>
      <c r="P21" s="189">
        <v>0</v>
      </c>
      <c r="Q21" s="189">
        <v>0</v>
      </c>
      <c r="R21" s="189">
        <v>0</v>
      </c>
      <c r="S21" s="189">
        <v>0</v>
      </c>
      <c r="T21" s="189">
        <v>0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10.5</v>
      </c>
      <c r="G22" s="195">
        <v>0</v>
      </c>
      <c r="H22" s="195">
        <v>0</v>
      </c>
      <c r="I22" s="10">
        <v>0</v>
      </c>
      <c r="J22" s="11">
        <v>0</v>
      </c>
      <c r="K22" s="11"/>
      <c r="L22" s="189">
        <v>0</v>
      </c>
      <c r="M22" s="189">
        <v>0</v>
      </c>
      <c r="N22" s="189">
        <v>0</v>
      </c>
      <c r="O22" s="189">
        <v>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10.5</v>
      </c>
      <c r="G23" s="195">
        <v>0</v>
      </c>
      <c r="H23" s="195">
        <v>0</v>
      </c>
      <c r="I23" s="10">
        <v>0</v>
      </c>
      <c r="J23" s="11">
        <v>0</v>
      </c>
      <c r="K23" s="11"/>
      <c r="L23" s="189">
        <v>0</v>
      </c>
      <c r="M23" s="189">
        <v>0</v>
      </c>
      <c r="N23" s="189">
        <v>0</v>
      </c>
      <c r="O23" s="189">
        <v>0</v>
      </c>
      <c r="P23" s="189">
        <v>0</v>
      </c>
      <c r="Q23" s="189">
        <v>0</v>
      </c>
      <c r="R23" s="189">
        <v>0</v>
      </c>
      <c r="S23" s="189">
        <v>0</v>
      </c>
      <c r="T23" s="189">
        <v>0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10.5</v>
      </c>
      <c r="G24" s="195">
        <v>0</v>
      </c>
      <c r="H24" s="195">
        <v>0</v>
      </c>
      <c r="I24" s="10">
        <v>0</v>
      </c>
      <c r="J24" s="11">
        <v>0</v>
      </c>
      <c r="K24" s="11"/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0</v>
      </c>
      <c r="R24" s="189">
        <v>0</v>
      </c>
      <c r="S24" s="189">
        <v>0</v>
      </c>
      <c r="T24" s="189">
        <v>0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10.5</v>
      </c>
      <c r="G25" s="195">
        <v>0</v>
      </c>
      <c r="H25" s="195">
        <v>0</v>
      </c>
      <c r="I25" s="10">
        <v>0</v>
      </c>
      <c r="J25" s="11">
        <v>0</v>
      </c>
      <c r="K25" s="11"/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89">
        <v>0</v>
      </c>
      <c r="R25" s="189">
        <v>0</v>
      </c>
      <c r="S25" s="189">
        <v>0</v>
      </c>
      <c r="T25" s="189">
        <v>0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10.5</v>
      </c>
      <c r="G26" s="195">
        <v>0</v>
      </c>
      <c r="H26" s="195">
        <v>0</v>
      </c>
      <c r="I26" s="10">
        <v>0</v>
      </c>
      <c r="J26" s="11">
        <v>0</v>
      </c>
      <c r="K26" s="11"/>
      <c r="L26" s="189">
        <v>0</v>
      </c>
      <c r="M26" s="189">
        <v>0</v>
      </c>
      <c r="N26" s="189">
        <v>0</v>
      </c>
      <c r="O26" s="189">
        <v>0</v>
      </c>
      <c r="P26" s="189">
        <v>0</v>
      </c>
      <c r="Q26" s="189">
        <v>0</v>
      </c>
      <c r="R26" s="189">
        <v>0</v>
      </c>
      <c r="S26" s="189">
        <v>0</v>
      </c>
      <c r="T26" s="189">
        <v>0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10.5</v>
      </c>
      <c r="G27" s="195">
        <v>0</v>
      </c>
      <c r="H27" s="195">
        <v>0</v>
      </c>
      <c r="I27" s="10">
        <v>0</v>
      </c>
      <c r="J27" s="11">
        <v>0</v>
      </c>
      <c r="K27" s="11"/>
      <c r="L27" s="189">
        <v>0</v>
      </c>
      <c r="M27" s="189">
        <v>0</v>
      </c>
      <c r="N27" s="189">
        <v>0</v>
      </c>
      <c r="O27" s="189">
        <v>0</v>
      </c>
      <c r="P27" s="189">
        <v>0</v>
      </c>
      <c r="Q27" s="189">
        <v>0</v>
      </c>
      <c r="R27" s="189">
        <v>0</v>
      </c>
      <c r="S27" s="189">
        <v>0</v>
      </c>
      <c r="T27" s="189">
        <v>0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10.5</v>
      </c>
      <c r="G28" s="195">
        <v>0</v>
      </c>
      <c r="H28" s="195">
        <v>0</v>
      </c>
      <c r="I28" s="10">
        <v>0</v>
      </c>
      <c r="J28" s="11">
        <v>0</v>
      </c>
      <c r="K28" s="11"/>
      <c r="L28" s="189">
        <v>0</v>
      </c>
      <c r="M28" s="189">
        <v>0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  <c r="S28" s="189">
        <v>0</v>
      </c>
      <c r="T28" s="189">
        <v>0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10.5</v>
      </c>
      <c r="G29" s="195">
        <v>0</v>
      </c>
      <c r="H29" s="195">
        <v>0</v>
      </c>
      <c r="I29" s="10">
        <v>0</v>
      </c>
      <c r="J29" s="11">
        <v>0</v>
      </c>
      <c r="K29" s="11"/>
      <c r="L29" s="189">
        <v>0</v>
      </c>
      <c r="M29" s="189">
        <v>0</v>
      </c>
      <c r="N29" s="189">
        <v>0</v>
      </c>
      <c r="O29" s="189">
        <v>0</v>
      </c>
      <c r="P29" s="189">
        <v>0</v>
      </c>
      <c r="Q29" s="189">
        <v>0</v>
      </c>
      <c r="R29" s="189">
        <v>0</v>
      </c>
      <c r="S29" s="189">
        <v>0</v>
      </c>
      <c r="T29" s="189">
        <v>0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10.5</v>
      </c>
      <c r="G30" s="195">
        <v>0</v>
      </c>
      <c r="H30" s="195">
        <v>0</v>
      </c>
      <c r="I30" s="10">
        <v>0</v>
      </c>
      <c r="J30" s="11">
        <v>0</v>
      </c>
      <c r="K30" s="11"/>
      <c r="L30" s="189">
        <v>0</v>
      </c>
      <c r="M30" s="189">
        <v>0</v>
      </c>
      <c r="N30" s="189">
        <v>0</v>
      </c>
      <c r="O30" s="189">
        <v>0</v>
      </c>
      <c r="P30" s="189">
        <v>0</v>
      </c>
      <c r="Q30" s="189">
        <v>0</v>
      </c>
      <c r="R30" s="189">
        <v>0</v>
      </c>
      <c r="S30" s="189">
        <v>0</v>
      </c>
      <c r="T30" s="189">
        <v>0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10.5</v>
      </c>
      <c r="G31" s="195">
        <v>0</v>
      </c>
      <c r="H31" s="195">
        <v>0</v>
      </c>
      <c r="I31" s="10">
        <v>0</v>
      </c>
      <c r="J31" s="11">
        <v>0</v>
      </c>
      <c r="K31" s="11"/>
      <c r="L31" s="189">
        <v>0</v>
      </c>
      <c r="M31" s="189">
        <v>0</v>
      </c>
      <c r="N31" s="189">
        <v>0</v>
      </c>
      <c r="O31" s="189">
        <v>0</v>
      </c>
      <c r="P31" s="189">
        <v>0</v>
      </c>
      <c r="Q31" s="189">
        <v>0</v>
      </c>
      <c r="R31" s="189">
        <v>0</v>
      </c>
      <c r="S31" s="189">
        <v>0</v>
      </c>
      <c r="T31" s="189">
        <v>0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10.5</v>
      </c>
      <c r="G32" s="195">
        <v>0</v>
      </c>
      <c r="H32" s="195">
        <v>0</v>
      </c>
      <c r="I32" s="10">
        <v>0</v>
      </c>
      <c r="J32" s="11">
        <v>0</v>
      </c>
      <c r="K32" s="11"/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0</v>
      </c>
      <c r="R32" s="189">
        <v>0</v>
      </c>
      <c r="S32" s="189">
        <v>0</v>
      </c>
      <c r="T32" s="189">
        <v>0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0</v>
      </c>
      <c r="E36" s="19">
        <v>0</v>
      </c>
      <c r="F36" s="19">
        <v>294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0">
        <v>0</v>
      </c>
      <c r="M36" s="190">
        <v>0</v>
      </c>
      <c r="N36" s="190">
        <v>0</v>
      </c>
      <c r="O36" s="190">
        <v>10554.61</v>
      </c>
      <c r="P36" s="190">
        <v>0</v>
      </c>
      <c r="Q36" s="190">
        <v>0</v>
      </c>
      <c r="R36" s="190">
        <v>0</v>
      </c>
      <c r="S36" s="190">
        <v>0</v>
      </c>
      <c r="T36" s="190">
        <v>10554.61</v>
      </c>
    </row>
    <row r="37" spans="1:20">
      <c r="R37" s="22"/>
      <c r="S37" s="22"/>
      <c r="T37" s="191">
        <v>12876.63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11A8-61DE-434C-BEBE-2270C2B909A2}">
  <sheetPr codeName="Лист37">
    <pageSetUpPr fitToPage="1"/>
  </sheetPr>
  <dimension ref="A1:T37"/>
  <sheetViews>
    <sheetView topLeftCell="A16" workbookViewId="0">
      <selection activeCell="T37" sqref="T37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1.296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313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314</v>
      </c>
      <c r="H3" s="202" t="s">
        <v>315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44</v>
      </c>
      <c r="E5" s="194">
        <v>0</v>
      </c>
      <c r="F5" s="194">
        <v>6507.9250000000002</v>
      </c>
      <c r="G5" s="195">
        <v>0</v>
      </c>
      <c r="H5" s="195">
        <v>456</v>
      </c>
      <c r="I5" s="10">
        <v>0</v>
      </c>
      <c r="J5" s="11">
        <v>0</v>
      </c>
      <c r="K5" s="11">
        <v>0</v>
      </c>
      <c r="L5" s="189">
        <v>0</v>
      </c>
      <c r="M5" s="189">
        <v>5148</v>
      </c>
      <c r="N5" s="189">
        <v>0</v>
      </c>
      <c r="O5" s="189">
        <v>182221.9</v>
      </c>
      <c r="P5" s="189">
        <v>0</v>
      </c>
      <c r="Q5" s="189">
        <v>53352</v>
      </c>
      <c r="R5" s="189">
        <v>0</v>
      </c>
      <c r="S5" s="189">
        <v>0</v>
      </c>
      <c r="T5" s="189">
        <v>240721.9</v>
      </c>
    </row>
    <row r="6" spans="1:20">
      <c r="A6" s="13">
        <v>2</v>
      </c>
      <c r="B6" s="199" t="s">
        <v>202</v>
      </c>
      <c r="C6" s="200"/>
      <c r="D6" s="194">
        <v>66</v>
      </c>
      <c r="E6" s="194">
        <v>43.375</v>
      </c>
      <c r="F6" s="194">
        <v>6530.55</v>
      </c>
      <c r="G6" s="195">
        <v>0</v>
      </c>
      <c r="H6" s="195">
        <v>390.625</v>
      </c>
      <c r="I6" s="10">
        <v>0</v>
      </c>
      <c r="J6" s="11">
        <v>0</v>
      </c>
      <c r="K6" s="11">
        <v>0</v>
      </c>
      <c r="L6" s="189">
        <v>0</v>
      </c>
      <c r="M6" s="189">
        <v>7722</v>
      </c>
      <c r="N6" s="189">
        <v>5074.88</v>
      </c>
      <c r="O6" s="189">
        <v>182855.4</v>
      </c>
      <c r="P6" s="189">
        <v>0</v>
      </c>
      <c r="Q6" s="189">
        <v>45703.13</v>
      </c>
      <c r="R6" s="189">
        <v>0</v>
      </c>
      <c r="S6" s="189">
        <v>0</v>
      </c>
      <c r="T6" s="189">
        <v>241355.4</v>
      </c>
    </row>
    <row r="7" spans="1:20">
      <c r="A7" s="13">
        <v>3</v>
      </c>
      <c r="B7" s="199" t="s">
        <v>203</v>
      </c>
      <c r="C7" s="200"/>
      <c r="D7" s="194">
        <v>175.375</v>
      </c>
      <c r="E7" s="194">
        <v>43.375</v>
      </c>
      <c r="F7" s="194">
        <v>6662.55</v>
      </c>
      <c r="G7" s="195">
        <v>0</v>
      </c>
      <c r="H7" s="195">
        <v>281.25</v>
      </c>
      <c r="I7" s="10">
        <v>0</v>
      </c>
      <c r="J7" s="11">
        <v>0</v>
      </c>
      <c r="K7" s="11">
        <v>0</v>
      </c>
      <c r="L7" s="189">
        <v>0</v>
      </c>
      <c r="M7" s="189">
        <v>20518.88</v>
      </c>
      <c r="N7" s="189">
        <v>5074.88</v>
      </c>
      <c r="O7" s="189">
        <v>186551.4</v>
      </c>
      <c r="P7" s="189">
        <v>0</v>
      </c>
      <c r="Q7" s="189">
        <v>32906.25</v>
      </c>
      <c r="R7" s="189">
        <v>0</v>
      </c>
      <c r="S7" s="189">
        <v>0</v>
      </c>
      <c r="T7" s="189">
        <v>245051.4</v>
      </c>
    </row>
    <row r="8" spans="1:20">
      <c r="A8" s="13">
        <v>4</v>
      </c>
      <c r="B8" s="199" t="s">
        <v>204</v>
      </c>
      <c r="C8" s="200"/>
      <c r="D8" s="194">
        <v>237</v>
      </c>
      <c r="E8" s="194">
        <v>22</v>
      </c>
      <c r="F8" s="194">
        <v>6877.55</v>
      </c>
      <c r="G8" s="195">
        <v>0</v>
      </c>
      <c r="H8" s="195">
        <v>241</v>
      </c>
      <c r="I8" s="10">
        <v>0</v>
      </c>
      <c r="J8" s="11">
        <v>0</v>
      </c>
      <c r="K8" s="11">
        <v>0</v>
      </c>
      <c r="L8" s="189">
        <v>0</v>
      </c>
      <c r="M8" s="189">
        <v>27729</v>
      </c>
      <c r="N8" s="189">
        <v>2574</v>
      </c>
      <c r="O8" s="189">
        <v>192571.4</v>
      </c>
      <c r="P8" s="189">
        <v>0</v>
      </c>
      <c r="Q8" s="189">
        <v>28197</v>
      </c>
      <c r="R8" s="189">
        <v>0</v>
      </c>
      <c r="S8" s="189">
        <v>0</v>
      </c>
      <c r="T8" s="189">
        <v>251071.4</v>
      </c>
    </row>
    <row r="9" spans="1:20">
      <c r="A9" s="13">
        <v>5</v>
      </c>
      <c r="B9" s="199" t="s">
        <v>205</v>
      </c>
      <c r="C9" s="200"/>
      <c r="D9" s="194">
        <v>87.375</v>
      </c>
      <c r="E9" s="194">
        <v>109.375</v>
      </c>
      <c r="F9" s="194">
        <v>6855.55</v>
      </c>
      <c r="G9" s="195">
        <v>0</v>
      </c>
      <c r="H9" s="195">
        <v>303.25</v>
      </c>
      <c r="I9" s="10">
        <v>0</v>
      </c>
      <c r="J9" s="11">
        <v>0</v>
      </c>
      <c r="K9" s="11">
        <v>0</v>
      </c>
      <c r="L9" s="189">
        <v>0</v>
      </c>
      <c r="M9" s="189">
        <v>10222.879999999999</v>
      </c>
      <c r="N9" s="189">
        <v>12796.88</v>
      </c>
      <c r="O9" s="189">
        <v>191955.4</v>
      </c>
      <c r="P9" s="189">
        <v>0</v>
      </c>
      <c r="Q9" s="189">
        <v>35480.25</v>
      </c>
      <c r="R9" s="189">
        <v>0</v>
      </c>
      <c r="S9" s="189">
        <v>0</v>
      </c>
      <c r="T9" s="189">
        <v>250455.4</v>
      </c>
    </row>
    <row r="10" spans="1:20">
      <c r="A10" s="13">
        <v>6</v>
      </c>
      <c r="B10" s="199" t="s">
        <v>206</v>
      </c>
      <c r="C10" s="200"/>
      <c r="D10" s="194">
        <v>64.125</v>
      </c>
      <c r="E10" s="194">
        <v>137.625</v>
      </c>
      <c r="F10" s="194">
        <v>6782.05</v>
      </c>
      <c r="G10" s="195">
        <v>0</v>
      </c>
      <c r="H10" s="195">
        <v>298.25</v>
      </c>
      <c r="I10" s="10">
        <v>0</v>
      </c>
      <c r="J10" s="11">
        <v>0</v>
      </c>
      <c r="K10" s="11">
        <v>0</v>
      </c>
      <c r="L10" s="189">
        <v>0</v>
      </c>
      <c r="M10" s="189">
        <v>7502.63</v>
      </c>
      <c r="N10" s="189">
        <v>16102.13</v>
      </c>
      <c r="O10" s="189">
        <v>189897.4</v>
      </c>
      <c r="P10" s="189">
        <v>0</v>
      </c>
      <c r="Q10" s="189">
        <v>34895.25</v>
      </c>
      <c r="R10" s="189">
        <v>0</v>
      </c>
      <c r="S10" s="189">
        <v>0</v>
      </c>
      <c r="T10" s="189">
        <v>248397.4</v>
      </c>
    </row>
    <row r="11" spans="1:20">
      <c r="A11" s="13">
        <v>7</v>
      </c>
      <c r="B11" s="199" t="s">
        <v>207</v>
      </c>
      <c r="C11" s="200"/>
      <c r="D11" s="194">
        <v>22</v>
      </c>
      <c r="E11" s="194">
        <v>175.375</v>
      </c>
      <c r="F11" s="194">
        <v>6628.6750000000002</v>
      </c>
      <c r="G11" s="195">
        <v>0</v>
      </c>
      <c r="H11" s="195">
        <v>302.625</v>
      </c>
      <c r="I11" s="10">
        <v>0</v>
      </c>
      <c r="J11" s="11">
        <v>0</v>
      </c>
      <c r="K11" s="11">
        <v>0</v>
      </c>
      <c r="L11" s="189">
        <v>0</v>
      </c>
      <c r="M11" s="189">
        <v>2574</v>
      </c>
      <c r="N11" s="189">
        <v>20518.88</v>
      </c>
      <c r="O11" s="189">
        <v>185602.9</v>
      </c>
      <c r="P11" s="189">
        <v>0</v>
      </c>
      <c r="Q11" s="189">
        <v>35407.129999999997</v>
      </c>
      <c r="R11" s="189">
        <v>0</v>
      </c>
      <c r="S11" s="189">
        <v>0</v>
      </c>
      <c r="T11" s="189">
        <v>244102.9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22</v>
      </c>
      <c r="F12" s="194">
        <v>6606.6750000000002</v>
      </c>
      <c r="G12" s="195">
        <v>0</v>
      </c>
      <c r="H12" s="195">
        <v>478</v>
      </c>
      <c r="I12" s="10">
        <v>0</v>
      </c>
      <c r="J12" s="11">
        <v>0</v>
      </c>
      <c r="K12" s="11">
        <v>0</v>
      </c>
      <c r="L12" s="189">
        <v>0</v>
      </c>
      <c r="M12" s="189">
        <v>0</v>
      </c>
      <c r="N12" s="189">
        <v>2574</v>
      </c>
      <c r="O12" s="189">
        <v>184986.9</v>
      </c>
      <c r="P12" s="189">
        <v>0</v>
      </c>
      <c r="Q12" s="189">
        <v>55926</v>
      </c>
      <c r="R12" s="189">
        <v>0</v>
      </c>
      <c r="S12" s="189">
        <v>0</v>
      </c>
      <c r="T12" s="189">
        <v>243486.9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44</v>
      </c>
      <c r="F13" s="194">
        <v>6562.6750000000002</v>
      </c>
      <c r="G13" s="195">
        <v>0</v>
      </c>
      <c r="H13" s="195">
        <v>456</v>
      </c>
      <c r="I13" s="10">
        <v>0</v>
      </c>
      <c r="J13" s="11">
        <v>0</v>
      </c>
      <c r="K13" s="11">
        <v>0</v>
      </c>
      <c r="L13" s="189">
        <v>0</v>
      </c>
      <c r="M13" s="189">
        <v>0</v>
      </c>
      <c r="N13" s="189">
        <v>5148</v>
      </c>
      <c r="O13" s="189">
        <v>183754.9</v>
      </c>
      <c r="P13" s="189">
        <v>0</v>
      </c>
      <c r="Q13" s="189">
        <v>53352</v>
      </c>
      <c r="R13" s="189">
        <v>0</v>
      </c>
      <c r="S13" s="189">
        <v>0</v>
      </c>
      <c r="T13" s="189">
        <v>242254.9</v>
      </c>
    </row>
    <row r="14" spans="1:20">
      <c r="A14" s="13">
        <v>10</v>
      </c>
      <c r="B14" s="199" t="s">
        <v>210</v>
      </c>
      <c r="C14" s="200"/>
      <c r="D14" s="194">
        <v>22</v>
      </c>
      <c r="E14" s="194">
        <v>110</v>
      </c>
      <c r="F14" s="194">
        <v>6474.6750000000002</v>
      </c>
      <c r="G14" s="195">
        <v>0</v>
      </c>
      <c r="H14" s="195">
        <v>368</v>
      </c>
      <c r="I14" s="10">
        <v>0</v>
      </c>
      <c r="J14" s="11">
        <v>0</v>
      </c>
      <c r="K14" s="11">
        <v>0</v>
      </c>
      <c r="L14" s="189">
        <v>0</v>
      </c>
      <c r="M14" s="189">
        <v>2574</v>
      </c>
      <c r="N14" s="189">
        <v>12870</v>
      </c>
      <c r="O14" s="189">
        <v>181290.9</v>
      </c>
      <c r="P14" s="189">
        <v>0</v>
      </c>
      <c r="Q14" s="189">
        <v>43056</v>
      </c>
      <c r="R14" s="189">
        <v>0</v>
      </c>
      <c r="S14" s="189">
        <v>0</v>
      </c>
      <c r="T14" s="189">
        <v>239790.9</v>
      </c>
    </row>
    <row r="15" spans="1:20">
      <c r="A15" s="13">
        <v>11</v>
      </c>
      <c r="B15" s="199" t="s">
        <v>211</v>
      </c>
      <c r="C15" s="200"/>
      <c r="D15" s="194">
        <v>44</v>
      </c>
      <c r="E15" s="194">
        <v>87.375</v>
      </c>
      <c r="F15" s="194">
        <v>6431.3</v>
      </c>
      <c r="G15" s="195">
        <v>0</v>
      </c>
      <c r="H15" s="195">
        <v>368.625</v>
      </c>
      <c r="I15" s="10">
        <v>0</v>
      </c>
      <c r="J15" s="11">
        <v>0</v>
      </c>
      <c r="K15" s="11">
        <v>0</v>
      </c>
      <c r="L15" s="189">
        <v>0</v>
      </c>
      <c r="M15" s="189">
        <v>5148</v>
      </c>
      <c r="N15" s="189">
        <v>10222.879999999999</v>
      </c>
      <c r="O15" s="189">
        <v>180076.4</v>
      </c>
      <c r="P15" s="189">
        <v>0</v>
      </c>
      <c r="Q15" s="189">
        <v>43129.13</v>
      </c>
      <c r="R15" s="189">
        <v>0</v>
      </c>
      <c r="S15" s="189">
        <v>0</v>
      </c>
      <c r="T15" s="189">
        <v>238576.4</v>
      </c>
    </row>
    <row r="16" spans="1:20">
      <c r="A16" s="13">
        <v>12</v>
      </c>
      <c r="B16" s="199" t="s">
        <v>212</v>
      </c>
      <c r="C16" s="200"/>
      <c r="D16" s="194">
        <v>110</v>
      </c>
      <c r="E16" s="194">
        <v>154</v>
      </c>
      <c r="F16" s="194">
        <v>6387.3</v>
      </c>
      <c r="G16" s="195">
        <v>0</v>
      </c>
      <c r="H16" s="195">
        <v>236</v>
      </c>
      <c r="I16" s="10">
        <v>0</v>
      </c>
      <c r="J16" s="11">
        <v>0</v>
      </c>
      <c r="K16" s="11">
        <v>0</v>
      </c>
      <c r="L16" s="189">
        <v>0</v>
      </c>
      <c r="M16" s="189">
        <v>12870</v>
      </c>
      <c r="N16" s="189">
        <v>18018</v>
      </c>
      <c r="O16" s="189">
        <v>178844.4</v>
      </c>
      <c r="P16" s="189">
        <v>0</v>
      </c>
      <c r="Q16" s="189">
        <v>27612</v>
      </c>
      <c r="R16" s="189">
        <v>0</v>
      </c>
      <c r="S16" s="189">
        <v>0</v>
      </c>
      <c r="T16" s="189">
        <v>237344.4</v>
      </c>
    </row>
    <row r="17" spans="1:20">
      <c r="A17" s="13">
        <v>13</v>
      </c>
      <c r="B17" s="199" t="s">
        <v>213</v>
      </c>
      <c r="C17" s="200"/>
      <c r="D17" s="194">
        <v>132</v>
      </c>
      <c r="E17" s="194">
        <v>173.25</v>
      </c>
      <c r="F17" s="194">
        <v>6346.05</v>
      </c>
      <c r="G17" s="195">
        <v>0</v>
      </c>
      <c r="H17" s="195">
        <v>194.75</v>
      </c>
      <c r="I17" s="10">
        <v>0</v>
      </c>
      <c r="J17" s="11">
        <v>0</v>
      </c>
      <c r="K17" s="11">
        <v>0</v>
      </c>
      <c r="L17" s="189">
        <v>0</v>
      </c>
      <c r="M17" s="189">
        <v>15444</v>
      </c>
      <c r="N17" s="189">
        <v>20270.25</v>
      </c>
      <c r="O17" s="189">
        <v>177689.4</v>
      </c>
      <c r="P17" s="189">
        <v>0</v>
      </c>
      <c r="Q17" s="189">
        <v>22785.75</v>
      </c>
      <c r="R17" s="189">
        <v>0</v>
      </c>
      <c r="S17" s="189">
        <v>0</v>
      </c>
      <c r="T17" s="189">
        <v>236189.4</v>
      </c>
    </row>
    <row r="18" spans="1:20">
      <c r="A18" s="13">
        <v>14</v>
      </c>
      <c r="B18" s="199" t="s">
        <v>214</v>
      </c>
      <c r="C18" s="200"/>
      <c r="D18" s="194">
        <v>67</v>
      </c>
      <c r="E18" s="194">
        <v>22</v>
      </c>
      <c r="F18" s="194">
        <v>6391.05</v>
      </c>
      <c r="G18" s="195">
        <v>0</v>
      </c>
      <c r="H18" s="195">
        <v>411</v>
      </c>
      <c r="I18" s="10">
        <v>0</v>
      </c>
      <c r="J18" s="11">
        <v>0</v>
      </c>
      <c r="K18" s="11">
        <v>0</v>
      </c>
      <c r="L18" s="189">
        <v>0</v>
      </c>
      <c r="M18" s="189">
        <v>7839</v>
      </c>
      <c r="N18" s="189">
        <v>2574</v>
      </c>
      <c r="O18" s="189">
        <v>178949.4</v>
      </c>
      <c r="P18" s="189">
        <v>0</v>
      </c>
      <c r="Q18" s="189">
        <v>48087</v>
      </c>
      <c r="R18" s="189">
        <v>0</v>
      </c>
      <c r="S18" s="189">
        <v>0</v>
      </c>
      <c r="T18" s="189">
        <v>237449.4</v>
      </c>
    </row>
    <row r="19" spans="1:20">
      <c r="A19" s="13">
        <v>15</v>
      </c>
      <c r="B19" s="199" t="s">
        <v>215</v>
      </c>
      <c r="C19" s="200"/>
      <c r="D19" s="194">
        <v>310.5</v>
      </c>
      <c r="E19" s="194">
        <v>66</v>
      </c>
      <c r="F19" s="194">
        <v>6635.55</v>
      </c>
      <c r="G19" s="195">
        <v>0</v>
      </c>
      <c r="H19" s="195">
        <v>123.5</v>
      </c>
      <c r="I19" s="10">
        <v>0</v>
      </c>
      <c r="J19" s="11">
        <v>0</v>
      </c>
      <c r="K19" s="11">
        <v>0</v>
      </c>
      <c r="L19" s="189">
        <v>0</v>
      </c>
      <c r="M19" s="189">
        <v>36328.5</v>
      </c>
      <c r="N19" s="189">
        <v>7722</v>
      </c>
      <c r="O19" s="189">
        <v>185795.4</v>
      </c>
      <c r="P19" s="189">
        <v>0</v>
      </c>
      <c r="Q19" s="189">
        <v>14449.5</v>
      </c>
      <c r="R19" s="189">
        <v>0</v>
      </c>
      <c r="S19" s="189">
        <v>0</v>
      </c>
      <c r="T19" s="189">
        <v>244295.4</v>
      </c>
    </row>
    <row r="20" spans="1:20">
      <c r="A20" s="13">
        <v>16</v>
      </c>
      <c r="B20" s="199" t="s">
        <v>216</v>
      </c>
      <c r="C20" s="200"/>
      <c r="D20" s="194">
        <v>222</v>
      </c>
      <c r="E20" s="194">
        <v>66</v>
      </c>
      <c r="F20" s="194">
        <v>6791.55</v>
      </c>
      <c r="G20" s="195">
        <v>0</v>
      </c>
      <c r="H20" s="195">
        <v>212</v>
      </c>
      <c r="I20" s="10">
        <v>0</v>
      </c>
      <c r="J20" s="11">
        <v>0</v>
      </c>
      <c r="K20" s="11">
        <v>0</v>
      </c>
      <c r="L20" s="189">
        <v>0</v>
      </c>
      <c r="M20" s="189">
        <v>25974</v>
      </c>
      <c r="N20" s="189">
        <v>7722</v>
      </c>
      <c r="O20" s="189">
        <v>190163.4</v>
      </c>
      <c r="P20" s="189">
        <v>0</v>
      </c>
      <c r="Q20" s="189">
        <v>24804</v>
      </c>
      <c r="R20" s="189">
        <v>0</v>
      </c>
      <c r="S20" s="189">
        <v>0</v>
      </c>
      <c r="T20" s="189">
        <v>248663.4</v>
      </c>
    </row>
    <row r="21" spans="1:20">
      <c r="A21" s="13">
        <v>17</v>
      </c>
      <c r="B21" s="199" t="s">
        <v>217</v>
      </c>
      <c r="C21" s="200"/>
      <c r="D21" s="194">
        <v>67.5</v>
      </c>
      <c r="E21" s="194">
        <v>22</v>
      </c>
      <c r="F21" s="194">
        <v>6837.05</v>
      </c>
      <c r="G21" s="195">
        <v>0</v>
      </c>
      <c r="H21" s="195">
        <v>410.5</v>
      </c>
      <c r="I21" s="10">
        <v>0</v>
      </c>
      <c r="J21" s="11">
        <v>0</v>
      </c>
      <c r="K21" s="11">
        <v>0</v>
      </c>
      <c r="L21" s="189">
        <v>0</v>
      </c>
      <c r="M21" s="189">
        <v>7897.5</v>
      </c>
      <c r="N21" s="189">
        <v>2574</v>
      </c>
      <c r="O21" s="189">
        <v>191437.4</v>
      </c>
      <c r="P21" s="189">
        <v>0</v>
      </c>
      <c r="Q21" s="189">
        <v>48028.5</v>
      </c>
      <c r="R21" s="189">
        <v>0</v>
      </c>
      <c r="S21" s="189">
        <v>0</v>
      </c>
      <c r="T21" s="189">
        <v>249937.4</v>
      </c>
    </row>
    <row r="22" spans="1:20">
      <c r="A22" s="13">
        <v>18</v>
      </c>
      <c r="B22" s="199" t="s">
        <v>218</v>
      </c>
      <c r="C22" s="200"/>
      <c r="D22" s="194">
        <v>112</v>
      </c>
      <c r="E22" s="194">
        <v>195.07499999999999</v>
      </c>
      <c r="F22" s="194">
        <v>6753.9750000000004</v>
      </c>
      <c r="G22" s="195">
        <v>0</v>
      </c>
      <c r="H22" s="195">
        <v>192.92500000000001</v>
      </c>
      <c r="I22" s="10">
        <v>0</v>
      </c>
      <c r="J22" s="11">
        <v>0</v>
      </c>
      <c r="K22" s="11">
        <v>0</v>
      </c>
      <c r="L22" s="189">
        <v>0</v>
      </c>
      <c r="M22" s="189">
        <v>13104</v>
      </c>
      <c r="N22" s="189">
        <v>22823.78</v>
      </c>
      <c r="O22" s="189">
        <v>189111.3</v>
      </c>
      <c r="P22" s="189">
        <v>0</v>
      </c>
      <c r="Q22" s="189">
        <v>22572.23</v>
      </c>
      <c r="R22" s="189">
        <v>0</v>
      </c>
      <c r="S22" s="189">
        <v>0</v>
      </c>
      <c r="T22" s="189">
        <v>247611.3</v>
      </c>
    </row>
    <row r="23" spans="1:20">
      <c r="A23" s="13">
        <v>19</v>
      </c>
      <c r="B23" s="199" t="s">
        <v>219</v>
      </c>
      <c r="C23" s="200"/>
      <c r="D23" s="194">
        <v>110</v>
      </c>
      <c r="E23" s="194">
        <v>67.375</v>
      </c>
      <c r="F23" s="194">
        <v>6796.6</v>
      </c>
      <c r="G23" s="195">
        <v>0</v>
      </c>
      <c r="H23" s="195">
        <v>322.625</v>
      </c>
      <c r="I23" s="10">
        <v>0</v>
      </c>
      <c r="J23" s="11">
        <v>0</v>
      </c>
      <c r="K23" s="11">
        <v>0</v>
      </c>
      <c r="L23" s="189">
        <v>0</v>
      </c>
      <c r="M23" s="189">
        <v>12870</v>
      </c>
      <c r="N23" s="189">
        <v>7882.88</v>
      </c>
      <c r="O23" s="189">
        <v>190304.8</v>
      </c>
      <c r="P23" s="189">
        <v>0</v>
      </c>
      <c r="Q23" s="189">
        <v>37747.129999999997</v>
      </c>
      <c r="R23" s="189">
        <v>0</v>
      </c>
      <c r="S23" s="189">
        <v>0</v>
      </c>
      <c r="T23" s="189">
        <v>248804.8</v>
      </c>
    </row>
    <row r="24" spans="1:20">
      <c r="A24" s="13">
        <v>20</v>
      </c>
      <c r="B24" s="199" t="s">
        <v>220</v>
      </c>
      <c r="C24" s="200"/>
      <c r="D24" s="194">
        <v>154</v>
      </c>
      <c r="E24" s="194">
        <v>66</v>
      </c>
      <c r="F24" s="194">
        <v>6884.6</v>
      </c>
      <c r="G24" s="195">
        <v>0</v>
      </c>
      <c r="H24" s="195">
        <v>280</v>
      </c>
      <c r="I24" s="10">
        <v>0</v>
      </c>
      <c r="J24" s="11">
        <v>0</v>
      </c>
      <c r="K24" s="11">
        <v>0</v>
      </c>
      <c r="L24" s="189">
        <v>0</v>
      </c>
      <c r="M24" s="189">
        <v>18018</v>
      </c>
      <c r="N24" s="189">
        <v>7722</v>
      </c>
      <c r="O24" s="189">
        <v>192768.8</v>
      </c>
      <c r="P24" s="189">
        <v>0</v>
      </c>
      <c r="Q24" s="189">
        <v>32760</v>
      </c>
      <c r="R24" s="189">
        <v>0</v>
      </c>
      <c r="S24" s="189">
        <v>0</v>
      </c>
      <c r="T24" s="189">
        <v>251268.8</v>
      </c>
    </row>
    <row r="25" spans="1:20">
      <c r="A25" s="13">
        <v>21</v>
      </c>
      <c r="B25" s="199" t="s">
        <v>221</v>
      </c>
      <c r="C25" s="200"/>
      <c r="D25" s="194">
        <v>66</v>
      </c>
      <c r="E25" s="194">
        <v>22</v>
      </c>
      <c r="F25" s="194">
        <v>6928.6</v>
      </c>
      <c r="G25" s="195">
        <v>0</v>
      </c>
      <c r="H25" s="195">
        <v>412</v>
      </c>
      <c r="I25" s="10">
        <v>0</v>
      </c>
      <c r="J25" s="11">
        <v>0</v>
      </c>
      <c r="K25" s="11">
        <v>0</v>
      </c>
      <c r="L25" s="189">
        <v>0</v>
      </c>
      <c r="M25" s="189">
        <v>7722</v>
      </c>
      <c r="N25" s="189">
        <v>2574</v>
      </c>
      <c r="O25" s="189">
        <v>194000.8</v>
      </c>
      <c r="P25" s="189">
        <v>0</v>
      </c>
      <c r="Q25" s="189">
        <v>48204</v>
      </c>
      <c r="R25" s="189">
        <v>0</v>
      </c>
      <c r="S25" s="189">
        <v>0</v>
      </c>
      <c r="T25" s="189">
        <v>252500.8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154</v>
      </c>
      <c r="F26" s="194">
        <v>6774.6</v>
      </c>
      <c r="G26" s="195">
        <v>0</v>
      </c>
      <c r="H26" s="195">
        <v>346</v>
      </c>
      <c r="I26" s="10">
        <v>0</v>
      </c>
      <c r="J26" s="11">
        <v>0</v>
      </c>
      <c r="K26" s="11">
        <v>0</v>
      </c>
      <c r="L26" s="189">
        <v>0</v>
      </c>
      <c r="M26" s="189">
        <v>0</v>
      </c>
      <c r="N26" s="189">
        <v>18018</v>
      </c>
      <c r="O26" s="189">
        <v>189688.8</v>
      </c>
      <c r="P26" s="189">
        <v>0</v>
      </c>
      <c r="Q26" s="189">
        <v>40482</v>
      </c>
      <c r="R26" s="189">
        <v>0</v>
      </c>
      <c r="S26" s="189">
        <v>0</v>
      </c>
      <c r="T26" s="189">
        <v>248188.79999999999</v>
      </c>
    </row>
    <row r="27" spans="1:20">
      <c r="A27" s="13">
        <v>23</v>
      </c>
      <c r="B27" s="199" t="s">
        <v>223</v>
      </c>
      <c r="C27" s="200"/>
      <c r="D27" s="194">
        <v>22</v>
      </c>
      <c r="E27" s="194">
        <v>119.625</v>
      </c>
      <c r="F27" s="194">
        <v>6676.9750000000004</v>
      </c>
      <c r="G27" s="195">
        <v>0</v>
      </c>
      <c r="H27" s="195">
        <v>358.375</v>
      </c>
      <c r="I27" s="10">
        <v>0</v>
      </c>
      <c r="J27" s="11">
        <v>0</v>
      </c>
      <c r="K27" s="11">
        <v>0</v>
      </c>
      <c r="L27" s="189">
        <v>0</v>
      </c>
      <c r="M27" s="189">
        <v>2574</v>
      </c>
      <c r="N27" s="189">
        <v>13996.13</v>
      </c>
      <c r="O27" s="189">
        <v>186955.3</v>
      </c>
      <c r="P27" s="189">
        <v>0</v>
      </c>
      <c r="Q27" s="189">
        <v>41929.879999999997</v>
      </c>
      <c r="R27" s="189">
        <v>0</v>
      </c>
      <c r="S27" s="189">
        <v>0</v>
      </c>
      <c r="T27" s="189">
        <v>245455.3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94.875</v>
      </c>
      <c r="F28" s="194">
        <v>6582.1</v>
      </c>
      <c r="G28" s="195">
        <v>0</v>
      </c>
      <c r="H28" s="195">
        <v>405.125</v>
      </c>
      <c r="I28" s="10">
        <v>0</v>
      </c>
      <c r="J28" s="11">
        <v>0</v>
      </c>
      <c r="K28" s="11">
        <v>0</v>
      </c>
      <c r="L28" s="189">
        <v>0</v>
      </c>
      <c r="M28" s="189">
        <v>0</v>
      </c>
      <c r="N28" s="189">
        <v>11100.38</v>
      </c>
      <c r="O28" s="189">
        <v>184298.8</v>
      </c>
      <c r="P28" s="189">
        <v>0</v>
      </c>
      <c r="Q28" s="189">
        <v>47399.63</v>
      </c>
      <c r="R28" s="189">
        <v>0</v>
      </c>
      <c r="S28" s="189">
        <v>0</v>
      </c>
      <c r="T28" s="189">
        <v>242798.8</v>
      </c>
    </row>
    <row r="29" spans="1:20">
      <c r="A29" s="13">
        <v>25</v>
      </c>
      <c r="B29" s="199" t="s">
        <v>225</v>
      </c>
      <c r="C29" s="200"/>
      <c r="D29" s="194">
        <v>154</v>
      </c>
      <c r="E29" s="194">
        <v>99.15</v>
      </c>
      <c r="F29" s="194">
        <v>6636.95</v>
      </c>
      <c r="G29" s="195">
        <v>0</v>
      </c>
      <c r="H29" s="195">
        <v>246.85000000000002</v>
      </c>
      <c r="I29" s="10">
        <v>0</v>
      </c>
      <c r="J29" s="11">
        <v>0</v>
      </c>
      <c r="K29" s="11">
        <v>0</v>
      </c>
      <c r="L29" s="189">
        <v>0</v>
      </c>
      <c r="M29" s="189">
        <v>18018</v>
      </c>
      <c r="N29" s="189">
        <v>11600.55</v>
      </c>
      <c r="O29" s="189">
        <v>185834.6</v>
      </c>
      <c r="P29" s="189">
        <v>0</v>
      </c>
      <c r="Q29" s="189">
        <v>28881.45</v>
      </c>
      <c r="R29" s="189">
        <v>0</v>
      </c>
      <c r="S29" s="189">
        <v>0</v>
      </c>
      <c r="T29" s="189">
        <v>244334.6</v>
      </c>
    </row>
    <row r="30" spans="1:20">
      <c r="A30" s="13">
        <v>26</v>
      </c>
      <c r="B30" s="199" t="s">
        <v>226</v>
      </c>
      <c r="C30" s="200"/>
      <c r="D30" s="194">
        <v>22</v>
      </c>
      <c r="E30" s="194">
        <v>44</v>
      </c>
      <c r="F30" s="194">
        <v>6614.95</v>
      </c>
      <c r="G30" s="195">
        <v>0</v>
      </c>
      <c r="H30" s="195">
        <v>434</v>
      </c>
      <c r="I30" s="10">
        <v>0</v>
      </c>
      <c r="J30" s="11">
        <v>0</v>
      </c>
      <c r="K30" s="11">
        <v>0</v>
      </c>
      <c r="L30" s="189">
        <v>0</v>
      </c>
      <c r="M30" s="189">
        <v>2574</v>
      </c>
      <c r="N30" s="189">
        <v>5148</v>
      </c>
      <c r="O30" s="189">
        <v>185218.6</v>
      </c>
      <c r="P30" s="189">
        <v>0</v>
      </c>
      <c r="Q30" s="189">
        <v>50778</v>
      </c>
      <c r="R30" s="189">
        <v>0</v>
      </c>
      <c r="S30" s="189">
        <v>0</v>
      </c>
      <c r="T30" s="189">
        <v>243718.6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22.05</v>
      </c>
      <c r="F31" s="194">
        <v>6592.9</v>
      </c>
      <c r="G31" s="195">
        <v>0</v>
      </c>
      <c r="H31" s="195">
        <v>477.95</v>
      </c>
      <c r="I31" s="10">
        <v>0</v>
      </c>
      <c r="J31" s="11">
        <v>0</v>
      </c>
      <c r="K31" s="11">
        <v>0</v>
      </c>
      <c r="L31" s="189">
        <v>0</v>
      </c>
      <c r="M31" s="189">
        <v>0</v>
      </c>
      <c r="N31" s="189">
        <v>2579.85</v>
      </c>
      <c r="O31" s="189">
        <v>184601.2</v>
      </c>
      <c r="P31" s="189">
        <v>0</v>
      </c>
      <c r="Q31" s="189">
        <v>55920.15</v>
      </c>
      <c r="R31" s="189">
        <v>0</v>
      </c>
      <c r="S31" s="189">
        <v>0</v>
      </c>
      <c r="T31" s="189">
        <v>243101.2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57.75</v>
      </c>
      <c r="F32" s="194">
        <v>6535.15</v>
      </c>
      <c r="G32" s="195">
        <v>0</v>
      </c>
      <c r="H32" s="195">
        <v>442.25</v>
      </c>
      <c r="I32" s="10">
        <v>0</v>
      </c>
      <c r="J32" s="11">
        <v>0</v>
      </c>
      <c r="K32" s="11">
        <v>0</v>
      </c>
      <c r="L32" s="189">
        <v>0</v>
      </c>
      <c r="M32" s="189">
        <v>0</v>
      </c>
      <c r="N32" s="189">
        <v>6756.75</v>
      </c>
      <c r="O32" s="189">
        <v>182984.2</v>
      </c>
      <c r="P32" s="189">
        <v>0</v>
      </c>
      <c r="Q32" s="189">
        <v>51743.25</v>
      </c>
      <c r="R32" s="189">
        <v>0</v>
      </c>
      <c r="S32" s="189">
        <v>0</v>
      </c>
      <c r="T32" s="189">
        <v>241484.2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2310.875</v>
      </c>
      <c r="E36" s="19">
        <v>2239.65</v>
      </c>
      <c r="F36" s="19">
        <v>186086.12500000009</v>
      </c>
      <c r="G36" s="19">
        <v>0</v>
      </c>
      <c r="H36" s="19">
        <v>9449.4750000000022</v>
      </c>
      <c r="I36" s="19">
        <v>0</v>
      </c>
      <c r="J36" s="20">
        <v>0</v>
      </c>
      <c r="K36" s="20">
        <v>0</v>
      </c>
      <c r="L36" s="190">
        <v>0</v>
      </c>
      <c r="M36" s="190">
        <v>270372.38</v>
      </c>
      <c r="N36" s="190">
        <v>262039.05</v>
      </c>
      <c r="O36" s="190">
        <v>5210411.5</v>
      </c>
      <c r="P36" s="190">
        <v>0</v>
      </c>
      <c r="Q36" s="190">
        <v>1105588.58</v>
      </c>
      <c r="R36" s="190">
        <v>0</v>
      </c>
      <c r="S36" s="190">
        <v>0</v>
      </c>
      <c r="T36" s="190">
        <v>6848411.5</v>
      </c>
    </row>
    <row r="37" spans="1:20">
      <c r="R37" s="22"/>
      <c r="S37" s="22"/>
      <c r="T37" s="191">
        <v>8355062.0300000003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E7D5-8258-4915-9E45-1F031A4DF500}">
  <sheetPr codeName="Лист38">
    <pageSetUpPr fitToPage="1"/>
  </sheetPr>
  <dimension ref="A1:T37"/>
  <sheetViews>
    <sheetView topLeftCell="A19" workbookViewId="0">
      <selection activeCell="T37" sqref="T37"/>
    </sheetView>
  </sheetViews>
  <sheetFormatPr defaultRowHeight="15"/>
  <cols>
    <col min="1" max="3" width="8.796875" style="2"/>
    <col min="4" max="4" width="8.59765625" style="2" customWidth="1"/>
    <col min="5" max="5" width="8.09765625" style="2" customWidth="1"/>
    <col min="6" max="6" width="9" style="2" customWidth="1"/>
    <col min="7" max="7" width="6.69921875" style="2" bestFit="1" customWidth="1"/>
    <col min="8" max="8" width="6.5" style="2" bestFit="1" customWidth="1"/>
    <col min="9" max="9" width="7.296875" style="2" bestFit="1" customWidth="1"/>
    <col min="10" max="10" width="6.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316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317</v>
      </c>
      <c r="H3" s="202" t="s">
        <v>318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1.575</v>
      </c>
      <c r="G5" s="195"/>
      <c r="H5" s="195"/>
      <c r="I5" s="10">
        <v>0</v>
      </c>
      <c r="J5" s="10">
        <v>0</v>
      </c>
      <c r="K5" s="11"/>
      <c r="L5" s="189">
        <v>0</v>
      </c>
      <c r="M5" s="189">
        <v>0</v>
      </c>
      <c r="N5" s="189">
        <v>0</v>
      </c>
      <c r="O5" s="189">
        <v>22.84</v>
      </c>
      <c r="P5" s="189">
        <v>0</v>
      </c>
      <c r="Q5" s="189">
        <v>0</v>
      </c>
      <c r="R5" s="189">
        <v>0</v>
      </c>
      <c r="S5" s="189">
        <v>0</v>
      </c>
      <c r="T5" s="189">
        <v>22.84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1.575</v>
      </c>
      <c r="G6" s="195"/>
      <c r="H6" s="195"/>
      <c r="I6" s="10">
        <v>0</v>
      </c>
      <c r="J6" s="10">
        <v>0</v>
      </c>
      <c r="K6" s="11"/>
      <c r="L6" s="189">
        <v>0</v>
      </c>
      <c r="M6" s="189">
        <v>0</v>
      </c>
      <c r="N6" s="189">
        <v>0</v>
      </c>
      <c r="O6" s="189">
        <v>22.84</v>
      </c>
      <c r="P6" s="189">
        <v>0</v>
      </c>
      <c r="Q6" s="189">
        <v>0</v>
      </c>
      <c r="R6" s="189">
        <v>0</v>
      </c>
      <c r="S6" s="189">
        <v>0</v>
      </c>
      <c r="T6" s="189">
        <v>22.84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1.575</v>
      </c>
      <c r="G7" s="195"/>
      <c r="H7" s="195"/>
      <c r="I7" s="10">
        <v>0</v>
      </c>
      <c r="J7" s="10">
        <v>0</v>
      </c>
      <c r="K7" s="11"/>
      <c r="L7" s="189">
        <v>0</v>
      </c>
      <c r="M7" s="189">
        <v>0</v>
      </c>
      <c r="N7" s="189">
        <v>0</v>
      </c>
      <c r="O7" s="189">
        <v>22.84</v>
      </c>
      <c r="P7" s="189">
        <v>0</v>
      </c>
      <c r="Q7" s="189">
        <v>0</v>
      </c>
      <c r="R7" s="189">
        <v>0</v>
      </c>
      <c r="S7" s="189">
        <v>0</v>
      </c>
      <c r="T7" s="189">
        <v>22.84</v>
      </c>
    </row>
    <row r="8" spans="1:20">
      <c r="A8" s="13">
        <v>4</v>
      </c>
      <c r="B8" s="199" t="s">
        <v>204</v>
      </c>
      <c r="C8" s="200"/>
      <c r="D8" s="194">
        <v>0</v>
      </c>
      <c r="E8" s="194">
        <v>0</v>
      </c>
      <c r="F8" s="194">
        <v>1.575</v>
      </c>
      <c r="G8" s="195"/>
      <c r="H8" s="195"/>
      <c r="I8" s="10">
        <v>0</v>
      </c>
      <c r="J8" s="10">
        <v>0</v>
      </c>
      <c r="K8" s="11"/>
      <c r="L8" s="189">
        <v>0</v>
      </c>
      <c r="M8" s="189">
        <v>0</v>
      </c>
      <c r="N8" s="189">
        <v>0</v>
      </c>
      <c r="O8" s="189">
        <v>22.84</v>
      </c>
      <c r="P8" s="189">
        <v>0</v>
      </c>
      <c r="Q8" s="189">
        <v>0</v>
      </c>
      <c r="R8" s="189">
        <v>0</v>
      </c>
      <c r="S8" s="189">
        <v>0</v>
      </c>
      <c r="T8" s="189">
        <v>22.84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1.575</v>
      </c>
      <c r="G9" s="195"/>
      <c r="H9" s="195"/>
      <c r="I9" s="10">
        <v>0</v>
      </c>
      <c r="J9" s="10">
        <v>0</v>
      </c>
      <c r="K9" s="11"/>
      <c r="L9" s="189">
        <v>0</v>
      </c>
      <c r="M9" s="189">
        <v>0</v>
      </c>
      <c r="N9" s="189">
        <v>0</v>
      </c>
      <c r="O9" s="189">
        <v>22.84</v>
      </c>
      <c r="P9" s="189">
        <v>0</v>
      </c>
      <c r="Q9" s="189">
        <v>0</v>
      </c>
      <c r="R9" s="189">
        <v>0</v>
      </c>
      <c r="S9" s="189">
        <v>0</v>
      </c>
      <c r="T9" s="189">
        <v>22.84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1.575</v>
      </c>
      <c r="G10" s="195"/>
      <c r="H10" s="195"/>
      <c r="I10" s="10">
        <v>0</v>
      </c>
      <c r="J10" s="10">
        <v>0</v>
      </c>
      <c r="K10" s="11"/>
      <c r="L10" s="189">
        <v>0</v>
      </c>
      <c r="M10" s="189">
        <v>0</v>
      </c>
      <c r="N10" s="189">
        <v>0</v>
      </c>
      <c r="O10" s="189">
        <v>22.84</v>
      </c>
      <c r="P10" s="189">
        <v>0</v>
      </c>
      <c r="Q10" s="189">
        <v>0</v>
      </c>
      <c r="R10" s="189">
        <v>0</v>
      </c>
      <c r="S10" s="189">
        <v>0</v>
      </c>
      <c r="T10" s="189">
        <v>22.84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1.575</v>
      </c>
      <c r="G11" s="195"/>
      <c r="H11" s="195"/>
      <c r="I11" s="10">
        <v>0</v>
      </c>
      <c r="J11" s="10">
        <v>0</v>
      </c>
      <c r="K11" s="11"/>
      <c r="L11" s="189">
        <v>0</v>
      </c>
      <c r="M11" s="189">
        <v>0</v>
      </c>
      <c r="N11" s="189">
        <v>0</v>
      </c>
      <c r="O11" s="189">
        <v>22.84</v>
      </c>
      <c r="P11" s="189">
        <v>0</v>
      </c>
      <c r="Q11" s="189">
        <v>0</v>
      </c>
      <c r="R11" s="189">
        <v>0</v>
      </c>
      <c r="S11" s="189">
        <v>0</v>
      </c>
      <c r="T11" s="189">
        <v>22.84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1.575</v>
      </c>
      <c r="G12" s="195"/>
      <c r="H12" s="195"/>
      <c r="I12" s="10">
        <v>0</v>
      </c>
      <c r="J12" s="10">
        <v>0</v>
      </c>
      <c r="K12" s="11"/>
      <c r="L12" s="189">
        <v>0</v>
      </c>
      <c r="M12" s="189">
        <v>0</v>
      </c>
      <c r="N12" s="189">
        <v>0</v>
      </c>
      <c r="O12" s="189">
        <v>22.84</v>
      </c>
      <c r="P12" s="189">
        <v>0</v>
      </c>
      <c r="Q12" s="189">
        <v>0</v>
      </c>
      <c r="R12" s="189">
        <v>0</v>
      </c>
      <c r="S12" s="189">
        <v>0</v>
      </c>
      <c r="T12" s="189">
        <v>22.84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1.575</v>
      </c>
      <c r="G13" s="195"/>
      <c r="H13" s="195"/>
      <c r="I13" s="10">
        <v>0</v>
      </c>
      <c r="J13" s="10">
        <v>0</v>
      </c>
      <c r="K13" s="11"/>
      <c r="L13" s="189">
        <v>0</v>
      </c>
      <c r="M13" s="189">
        <v>0</v>
      </c>
      <c r="N13" s="189">
        <v>0</v>
      </c>
      <c r="O13" s="189">
        <v>22.84</v>
      </c>
      <c r="P13" s="189">
        <v>0</v>
      </c>
      <c r="Q13" s="189">
        <v>0</v>
      </c>
      <c r="R13" s="189">
        <v>0</v>
      </c>
      <c r="S13" s="189">
        <v>0</v>
      </c>
      <c r="T13" s="189">
        <v>22.84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1.575</v>
      </c>
      <c r="G14" s="195"/>
      <c r="H14" s="195"/>
      <c r="I14" s="10">
        <v>0</v>
      </c>
      <c r="J14" s="10">
        <v>0</v>
      </c>
      <c r="K14" s="11"/>
      <c r="L14" s="189">
        <v>0</v>
      </c>
      <c r="M14" s="189">
        <v>0</v>
      </c>
      <c r="N14" s="189">
        <v>0</v>
      </c>
      <c r="O14" s="189">
        <v>22.84</v>
      </c>
      <c r="P14" s="189">
        <v>0</v>
      </c>
      <c r="Q14" s="189">
        <v>0</v>
      </c>
      <c r="R14" s="189">
        <v>0</v>
      </c>
      <c r="S14" s="189">
        <v>0</v>
      </c>
      <c r="T14" s="189">
        <v>22.84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1.575</v>
      </c>
      <c r="G15" s="195"/>
      <c r="H15" s="195"/>
      <c r="I15" s="10">
        <v>0</v>
      </c>
      <c r="J15" s="10">
        <v>0</v>
      </c>
      <c r="K15" s="11"/>
      <c r="L15" s="189">
        <v>0</v>
      </c>
      <c r="M15" s="189">
        <v>0</v>
      </c>
      <c r="N15" s="189">
        <v>0</v>
      </c>
      <c r="O15" s="189">
        <v>22.84</v>
      </c>
      <c r="P15" s="189">
        <v>0</v>
      </c>
      <c r="Q15" s="189">
        <v>0</v>
      </c>
      <c r="R15" s="189">
        <v>0</v>
      </c>
      <c r="S15" s="189">
        <v>0</v>
      </c>
      <c r="T15" s="189">
        <v>22.84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1.575</v>
      </c>
      <c r="G16" s="195"/>
      <c r="H16" s="195"/>
      <c r="I16" s="10">
        <v>0</v>
      </c>
      <c r="J16" s="10">
        <v>0</v>
      </c>
      <c r="K16" s="14"/>
      <c r="L16" s="189">
        <v>0</v>
      </c>
      <c r="M16" s="189">
        <v>0</v>
      </c>
      <c r="N16" s="189">
        <v>0</v>
      </c>
      <c r="O16" s="189">
        <v>22.84</v>
      </c>
      <c r="P16" s="189">
        <v>0</v>
      </c>
      <c r="Q16" s="189">
        <v>0</v>
      </c>
      <c r="R16" s="189">
        <v>0</v>
      </c>
      <c r="S16" s="189">
        <v>0</v>
      </c>
      <c r="T16" s="189">
        <v>22.84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1.575</v>
      </c>
      <c r="G17" s="195"/>
      <c r="H17" s="195"/>
      <c r="I17" s="10">
        <v>0</v>
      </c>
      <c r="J17" s="10">
        <v>0</v>
      </c>
      <c r="K17" s="11"/>
      <c r="L17" s="189">
        <v>0</v>
      </c>
      <c r="M17" s="189">
        <v>0</v>
      </c>
      <c r="N17" s="189">
        <v>0</v>
      </c>
      <c r="O17" s="189">
        <v>22.84</v>
      </c>
      <c r="P17" s="189">
        <v>0</v>
      </c>
      <c r="Q17" s="189">
        <v>0</v>
      </c>
      <c r="R17" s="189">
        <v>0</v>
      </c>
      <c r="S17" s="189">
        <v>0</v>
      </c>
      <c r="T17" s="189">
        <v>22.84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1.575</v>
      </c>
      <c r="G18" s="195"/>
      <c r="H18" s="195"/>
      <c r="I18" s="10">
        <v>0</v>
      </c>
      <c r="J18" s="10">
        <v>0</v>
      </c>
      <c r="K18" s="11"/>
      <c r="L18" s="189">
        <v>0</v>
      </c>
      <c r="M18" s="189">
        <v>0</v>
      </c>
      <c r="N18" s="189">
        <v>0</v>
      </c>
      <c r="O18" s="189">
        <v>22.84</v>
      </c>
      <c r="P18" s="189">
        <v>0</v>
      </c>
      <c r="Q18" s="189">
        <v>0</v>
      </c>
      <c r="R18" s="189">
        <v>0</v>
      </c>
      <c r="S18" s="189">
        <v>0</v>
      </c>
      <c r="T18" s="189">
        <v>22.84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1.575</v>
      </c>
      <c r="G19" s="195"/>
      <c r="H19" s="195"/>
      <c r="I19" s="10">
        <v>0</v>
      </c>
      <c r="J19" s="10">
        <v>0</v>
      </c>
      <c r="K19" s="11"/>
      <c r="L19" s="189">
        <v>0</v>
      </c>
      <c r="M19" s="189">
        <v>0</v>
      </c>
      <c r="N19" s="189">
        <v>0</v>
      </c>
      <c r="O19" s="189">
        <v>22.84</v>
      </c>
      <c r="P19" s="189">
        <v>0</v>
      </c>
      <c r="Q19" s="189">
        <v>0</v>
      </c>
      <c r="R19" s="189">
        <v>0</v>
      </c>
      <c r="S19" s="189">
        <v>0</v>
      </c>
      <c r="T19" s="189">
        <v>22.84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1.575</v>
      </c>
      <c r="G20" s="195"/>
      <c r="H20" s="195"/>
      <c r="I20" s="10">
        <v>0</v>
      </c>
      <c r="J20" s="10">
        <v>0</v>
      </c>
      <c r="K20" s="11"/>
      <c r="L20" s="189">
        <v>0</v>
      </c>
      <c r="M20" s="189">
        <v>0</v>
      </c>
      <c r="N20" s="189">
        <v>0</v>
      </c>
      <c r="O20" s="189">
        <v>22.84</v>
      </c>
      <c r="P20" s="189">
        <v>0</v>
      </c>
      <c r="Q20" s="189">
        <v>0</v>
      </c>
      <c r="R20" s="189">
        <v>0</v>
      </c>
      <c r="S20" s="189">
        <v>0</v>
      </c>
      <c r="T20" s="189">
        <v>22.84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1.575</v>
      </c>
      <c r="G21" s="195"/>
      <c r="H21" s="195"/>
      <c r="I21" s="10">
        <v>0</v>
      </c>
      <c r="J21" s="10">
        <v>0</v>
      </c>
      <c r="K21" s="11"/>
      <c r="L21" s="189">
        <v>0</v>
      </c>
      <c r="M21" s="189">
        <v>0</v>
      </c>
      <c r="N21" s="189">
        <v>0</v>
      </c>
      <c r="O21" s="189">
        <v>22.84</v>
      </c>
      <c r="P21" s="189">
        <v>0</v>
      </c>
      <c r="Q21" s="189">
        <v>0</v>
      </c>
      <c r="R21" s="189">
        <v>0</v>
      </c>
      <c r="S21" s="189">
        <v>0</v>
      </c>
      <c r="T21" s="189">
        <v>22.84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1.575</v>
      </c>
      <c r="G22" s="195"/>
      <c r="H22" s="195"/>
      <c r="I22" s="10">
        <v>0</v>
      </c>
      <c r="J22" s="10">
        <v>0</v>
      </c>
      <c r="K22" s="11"/>
      <c r="L22" s="189">
        <v>0</v>
      </c>
      <c r="M22" s="189">
        <v>0</v>
      </c>
      <c r="N22" s="189">
        <v>0</v>
      </c>
      <c r="O22" s="189">
        <v>22.84</v>
      </c>
      <c r="P22" s="189">
        <v>0</v>
      </c>
      <c r="Q22" s="189">
        <v>0</v>
      </c>
      <c r="R22" s="189">
        <v>0</v>
      </c>
      <c r="S22" s="189">
        <v>0</v>
      </c>
      <c r="T22" s="189">
        <v>22.84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1.575</v>
      </c>
      <c r="G23" s="195"/>
      <c r="H23" s="195"/>
      <c r="I23" s="10">
        <v>0</v>
      </c>
      <c r="J23" s="10">
        <v>0</v>
      </c>
      <c r="K23" s="11"/>
      <c r="L23" s="189">
        <v>0</v>
      </c>
      <c r="M23" s="189">
        <v>0</v>
      </c>
      <c r="N23" s="189">
        <v>0</v>
      </c>
      <c r="O23" s="189">
        <v>22.84</v>
      </c>
      <c r="P23" s="189">
        <v>0</v>
      </c>
      <c r="Q23" s="189">
        <v>0</v>
      </c>
      <c r="R23" s="189">
        <v>0</v>
      </c>
      <c r="S23" s="189">
        <v>0</v>
      </c>
      <c r="T23" s="189">
        <v>22.84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1.575</v>
      </c>
      <c r="G24" s="195"/>
      <c r="H24" s="195"/>
      <c r="I24" s="10">
        <v>0</v>
      </c>
      <c r="J24" s="10">
        <v>0</v>
      </c>
      <c r="K24" s="11"/>
      <c r="L24" s="189">
        <v>0</v>
      </c>
      <c r="M24" s="189">
        <v>0</v>
      </c>
      <c r="N24" s="189">
        <v>0</v>
      </c>
      <c r="O24" s="189">
        <v>22.84</v>
      </c>
      <c r="P24" s="189">
        <v>0</v>
      </c>
      <c r="Q24" s="189">
        <v>0</v>
      </c>
      <c r="R24" s="189">
        <v>0</v>
      </c>
      <c r="S24" s="189">
        <v>0</v>
      </c>
      <c r="T24" s="189">
        <v>22.84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1.575</v>
      </c>
      <c r="G25" s="195"/>
      <c r="H25" s="195"/>
      <c r="I25" s="10">
        <v>0</v>
      </c>
      <c r="J25" s="10">
        <v>0</v>
      </c>
      <c r="K25" s="11"/>
      <c r="L25" s="189">
        <v>0</v>
      </c>
      <c r="M25" s="189">
        <v>0</v>
      </c>
      <c r="N25" s="189">
        <v>0</v>
      </c>
      <c r="O25" s="189">
        <v>22.84</v>
      </c>
      <c r="P25" s="189">
        <v>0</v>
      </c>
      <c r="Q25" s="189">
        <v>0</v>
      </c>
      <c r="R25" s="189">
        <v>0</v>
      </c>
      <c r="S25" s="189">
        <v>0</v>
      </c>
      <c r="T25" s="189">
        <v>22.84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1.575</v>
      </c>
      <c r="G26" s="195"/>
      <c r="H26" s="195"/>
      <c r="I26" s="10">
        <v>0</v>
      </c>
      <c r="J26" s="10">
        <v>0</v>
      </c>
      <c r="K26" s="11"/>
      <c r="L26" s="189">
        <v>0</v>
      </c>
      <c r="M26" s="189">
        <v>0</v>
      </c>
      <c r="N26" s="189">
        <v>0</v>
      </c>
      <c r="O26" s="189">
        <v>22.84</v>
      </c>
      <c r="P26" s="189">
        <v>0</v>
      </c>
      <c r="Q26" s="189">
        <v>0</v>
      </c>
      <c r="R26" s="189">
        <v>0</v>
      </c>
      <c r="S26" s="189">
        <v>0</v>
      </c>
      <c r="T26" s="189">
        <v>22.84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1.575</v>
      </c>
      <c r="G27" s="195"/>
      <c r="H27" s="195"/>
      <c r="I27" s="10">
        <v>0</v>
      </c>
      <c r="J27" s="10">
        <v>0</v>
      </c>
      <c r="K27" s="11"/>
      <c r="L27" s="189">
        <v>0</v>
      </c>
      <c r="M27" s="189">
        <v>0</v>
      </c>
      <c r="N27" s="189">
        <v>0</v>
      </c>
      <c r="O27" s="189">
        <v>22.84</v>
      </c>
      <c r="P27" s="189">
        <v>0</v>
      </c>
      <c r="Q27" s="189">
        <v>0</v>
      </c>
      <c r="R27" s="189">
        <v>0</v>
      </c>
      <c r="S27" s="189">
        <v>0</v>
      </c>
      <c r="T27" s="189">
        <v>22.84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1.575</v>
      </c>
      <c r="G28" s="195"/>
      <c r="H28" s="195"/>
      <c r="I28" s="10">
        <v>0</v>
      </c>
      <c r="J28" s="10">
        <v>0</v>
      </c>
      <c r="K28" s="11"/>
      <c r="L28" s="189">
        <v>0</v>
      </c>
      <c r="M28" s="189">
        <v>0</v>
      </c>
      <c r="N28" s="189">
        <v>0</v>
      </c>
      <c r="O28" s="189">
        <v>22.84</v>
      </c>
      <c r="P28" s="189">
        <v>0</v>
      </c>
      <c r="Q28" s="189">
        <v>0</v>
      </c>
      <c r="R28" s="189">
        <v>0</v>
      </c>
      <c r="S28" s="189">
        <v>0</v>
      </c>
      <c r="T28" s="189">
        <v>22.84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1.575</v>
      </c>
      <c r="G29" s="195"/>
      <c r="H29" s="195"/>
      <c r="I29" s="10">
        <v>0</v>
      </c>
      <c r="J29" s="10">
        <v>0</v>
      </c>
      <c r="K29" s="11"/>
      <c r="L29" s="189">
        <v>0</v>
      </c>
      <c r="M29" s="189">
        <v>0</v>
      </c>
      <c r="N29" s="189">
        <v>0</v>
      </c>
      <c r="O29" s="189">
        <v>22.84</v>
      </c>
      <c r="P29" s="189">
        <v>0</v>
      </c>
      <c r="Q29" s="189">
        <v>0</v>
      </c>
      <c r="R29" s="189">
        <v>0</v>
      </c>
      <c r="S29" s="189">
        <v>0</v>
      </c>
      <c r="T29" s="189">
        <v>22.84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1.575</v>
      </c>
      <c r="G30" s="195"/>
      <c r="H30" s="195"/>
      <c r="I30" s="10">
        <v>0</v>
      </c>
      <c r="J30" s="10">
        <v>0</v>
      </c>
      <c r="K30" s="11"/>
      <c r="L30" s="189">
        <v>0</v>
      </c>
      <c r="M30" s="189">
        <v>0</v>
      </c>
      <c r="N30" s="189">
        <v>0</v>
      </c>
      <c r="O30" s="189">
        <v>22.84</v>
      </c>
      <c r="P30" s="189">
        <v>0</v>
      </c>
      <c r="Q30" s="189">
        <v>0</v>
      </c>
      <c r="R30" s="189">
        <v>0</v>
      </c>
      <c r="S30" s="189">
        <v>0</v>
      </c>
      <c r="T30" s="189">
        <v>22.84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1.575</v>
      </c>
      <c r="G31" s="195"/>
      <c r="H31" s="195"/>
      <c r="I31" s="10">
        <v>0</v>
      </c>
      <c r="J31" s="10">
        <v>0</v>
      </c>
      <c r="K31" s="11"/>
      <c r="L31" s="189">
        <v>0</v>
      </c>
      <c r="M31" s="189">
        <v>0</v>
      </c>
      <c r="N31" s="189">
        <v>0</v>
      </c>
      <c r="O31" s="189">
        <v>22.84</v>
      </c>
      <c r="P31" s="189">
        <v>0</v>
      </c>
      <c r="Q31" s="189">
        <v>0</v>
      </c>
      <c r="R31" s="189">
        <v>0</v>
      </c>
      <c r="S31" s="189">
        <v>0</v>
      </c>
      <c r="T31" s="189">
        <v>22.84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1.575</v>
      </c>
      <c r="G32" s="195"/>
      <c r="H32" s="195"/>
      <c r="I32" s="10">
        <v>0</v>
      </c>
      <c r="J32" s="10">
        <v>0</v>
      </c>
      <c r="K32" s="11"/>
      <c r="L32" s="189">
        <v>0</v>
      </c>
      <c r="M32" s="189">
        <v>0</v>
      </c>
      <c r="N32" s="189">
        <v>0</v>
      </c>
      <c r="O32" s="189">
        <v>22.84</v>
      </c>
      <c r="P32" s="189">
        <v>0</v>
      </c>
      <c r="Q32" s="189">
        <v>0</v>
      </c>
      <c r="R32" s="189">
        <v>0</v>
      </c>
      <c r="S32" s="189">
        <v>0</v>
      </c>
      <c r="T32" s="189">
        <v>22.84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/>
      <c r="H33" s="195"/>
      <c r="I33" s="10">
        <v>0</v>
      </c>
      <c r="J33" s="10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/>
      <c r="H34" s="195"/>
      <c r="I34" s="10">
        <v>0</v>
      </c>
      <c r="J34" s="10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/>
      <c r="H35" s="195"/>
      <c r="I35" s="10">
        <v>0</v>
      </c>
      <c r="J35" s="10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0</v>
      </c>
      <c r="E36" s="19">
        <v>0</v>
      </c>
      <c r="F36" s="19">
        <v>44.100000000000009</v>
      </c>
      <c r="G36" s="19">
        <v>0</v>
      </c>
      <c r="H36" s="19">
        <v>0</v>
      </c>
      <c r="I36" s="19">
        <v>0</v>
      </c>
      <c r="J36" s="19">
        <v>0</v>
      </c>
      <c r="K36" s="20">
        <v>0</v>
      </c>
      <c r="L36" s="190">
        <v>0</v>
      </c>
      <c r="M36" s="190">
        <v>0</v>
      </c>
      <c r="N36" s="190">
        <v>0</v>
      </c>
      <c r="O36" s="190">
        <v>639.45000000000005</v>
      </c>
      <c r="P36" s="190">
        <v>0</v>
      </c>
      <c r="Q36" s="190">
        <v>0</v>
      </c>
      <c r="R36" s="190">
        <v>0</v>
      </c>
      <c r="S36" s="190">
        <v>0</v>
      </c>
      <c r="T36" s="190">
        <v>639.45000000000005</v>
      </c>
    </row>
    <row r="37" spans="1:20">
      <c r="R37" s="22"/>
      <c r="S37" s="22"/>
      <c r="T37" s="191">
        <v>780.13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E002-71FA-41A2-97F8-7BBD181ACEEE}">
  <sheetPr codeName="Лист39">
    <pageSetUpPr fitToPage="1"/>
  </sheetPr>
  <dimension ref="A1:T37"/>
  <sheetViews>
    <sheetView workbookViewId="0">
      <selection activeCell="I5" sqref="I5"/>
    </sheetView>
  </sheetViews>
  <sheetFormatPr defaultRowHeight="15"/>
  <cols>
    <col min="1" max="3" width="8.796875" style="2"/>
    <col min="4" max="4" width="7.5" style="2" customWidth="1"/>
    <col min="5" max="6" width="8.3984375" style="2" customWidth="1"/>
    <col min="7" max="7" width="8.296875" style="2" customWidth="1"/>
    <col min="8" max="8" width="8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319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320</v>
      </c>
      <c r="H3" s="202" t="s">
        <v>321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281</v>
      </c>
      <c r="E5" s="194">
        <v>44</v>
      </c>
      <c r="F5" s="194">
        <v>2943.93</v>
      </c>
      <c r="G5" s="195">
        <v>2256.0700000000002</v>
      </c>
      <c r="H5" s="195"/>
      <c r="I5" s="10">
        <v>0</v>
      </c>
      <c r="J5" s="10">
        <v>0</v>
      </c>
      <c r="K5" s="11">
        <v>0</v>
      </c>
      <c r="L5" s="189">
        <v>0</v>
      </c>
      <c r="M5" s="189">
        <v>32315</v>
      </c>
      <c r="N5" s="189">
        <v>5060</v>
      </c>
      <c r="O5" s="189">
        <v>42098.2</v>
      </c>
      <c r="P5" s="189">
        <v>32261.8</v>
      </c>
      <c r="Q5" s="189">
        <v>0</v>
      </c>
      <c r="R5" s="189">
        <v>0</v>
      </c>
      <c r="S5" s="189">
        <v>0</v>
      </c>
      <c r="T5" s="189">
        <v>111735</v>
      </c>
    </row>
    <row r="6" spans="1:20">
      <c r="A6" s="13">
        <v>2</v>
      </c>
      <c r="B6" s="199" t="s">
        <v>202</v>
      </c>
      <c r="C6" s="200"/>
      <c r="D6" s="194">
        <v>218</v>
      </c>
      <c r="E6" s="194">
        <v>77</v>
      </c>
      <c r="F6" s="194">
        <v>3084.93</v>
      </c>
      <c r="G6" s="195">
        <v>2115.0700000000002</v>
      </c>
      <c r="H6" s="195"/>
      <c r="I6" s="10">
        <v>0</v>
      </c>
      <c r="J6" s="10">
        <v>0</v>
      </c>
      <c r="K6" s="11">
        <v>0</v>
      </c>
      <c r="L6" s="189">
        <v>0</v>
      </c>
      <c r="M6" s="189">
        <v>25070</v>
      </c>
      <c r="N6" s="189">
        <v>8855</v>
      </c>
      <c r="O6" s="189">
        <v>44114.5</v>
      </c>
      <c r="P6" s="189">
        <v>30245.5</v>
      </c>
      <c r="Q6" s="189">
        <v>0</v>
      </c>
      <c r="R6" s="189">
        <v>0</v>
      </c>
      <c r="S6" s="189">
        <v>0</v>
      </c>
      <c r="T6" s="189">
        <v>108285</v>
      </c>
    </row>
    <row r="7" spans="1:20">
      <c r="A7" s="13">
        <v>3</v>
      </c>
      <c r="B7" s="199" t="s">
        <v>203</v>
      </c>
      <c r="C7" s="200"/>
      <c r="D7" s="194">
        <v>346.995</v>
      </c>
      <c r="E7" s="194">
        <v>20.625</v>
      </c>
      <c r="F7" s="194">
        <v>3411.3</v>
      </c>
      <c r="G7" s="195">
        <v>1788.6999999999998</v>
      </c>
      <c r="H7" s="195"/>
      <c r="I7" s="10">
        <v>23.375</v>
      </c>
      <c r="J7" s="10">
        <v>133.375</v>
      </c>
      <c r="K7" s="11">
        <v>0</v>
      </c>
      <c r="L7" s="189">
        <v>0</v>
      </c>
      <c r="M7" s="189">
        <v>39904.43</v>
      </c>
      <c r="N7" s="189">
        <v>2371.88</v>
      </c>
      <c r="O7" s="189">
        <v>48781.59</v>
      </c>
      <c r="P7" s="189">
        <v>25578.41</v>
      </c>
      <c r="Q7" s="189">
        <v>0</v>
      </c>
      <c r="R7" s="189">
        <v>22206.25</v>
      </c>
      <c r="S7" s="189">
        <v>16005</v>
      </c>
      <c r="T7" s="189">
        <v>154847.54999999999</v>
      </c>
    </row>
    <row r="8" spans="1:20">
      <c r="A8" s="13">
        <v>4</v>
      </c>
      <c r="B8" s="199" t="s">
        <v>204</v>
      </c>
      <c r="C8" s="200"/>
      <c r="D8" s="194">
        <v>149</v>
      </c>
      <c r="E8" s="194">
        <v>22</v>
      </c>
      <c r="F8" s="194">
        <v>3538.3</v>
      </c>
      <c r="G8" s="195">
        <v>1661.6999999999998</v>
      </c>
      <c r="H8" s="195"/>
      <c r="I8" s="10">
        <v>0</v>
      </c>
      <c r="J8" s="10">
        <v>0</v>
      </c>
      <c r="K8" s="11">
        <v>0</v>
      </c>
      <c r="L8" s="189">
        <v>0</v>
      </c>
      <c r="M8" s="189">
        <v>17135</v>
      </c>
      <c r="N8" s="189">
        <v>2530</v>
      </c>
      <c r="O8" s="189">
        <v>50597.69</v>
      </c>
      <c r="P8" s="189">
        <v>23762.31</v>
      </c>
      <c r="Q8" s="189">
        <v>0</v>
      </c>
      <c r="R8" s="189">
        <v>0</v>
      </c>
      <c r="S8" s="189">
        <v>0</v>
      </c>
      <c r="T8" s="189">
        <v>94025</v>
      </c>
    </row>
    <row r="9" spans="1:20">
      <c r="A9" s="13">
        <v>5</v>
      </c>
      <c r="B9" s="199" t="s">
        <v>205</v>
      </c>
      <c r="C9" s="200"/>
      <c r="D9" s="194">
        <v>22</v>
      </c>
      <c r="E9" s="194">
        <v>53.625</v>
      </c>
      <c r="F9" s="194">
        <v>3506.6750000000002</v>
      </c>
      <c r="G9" s="195">
        <v>1693.3249999999998</v>
      </c>
      <c r="H9" s="195"/>
      <c r="I9" s="10">
        <v>0</v>
      </c>
      <c r="J9" s="10">
        <v>0</v>
      </c>
      <c r="K9" s="11">
        <v>0</v>
      </c>
      <c r="L9" s="189">
        <v>0</v>
      </c>
      <c r="M9" s="189">
        <v>2530</v>
      </c>
      <c r="N9" s="189">
        <v>6166.88</v>
      </c>
      <c r="O9" s="189">
        <v>50145.45</v>
      </c>
      <c r="P9" s="189">
        <v>24214.55</v>
      </c>
      <c r="Q9" s="189">
        <v>0</v>
      </c>
      <c r="R9" s="189">
        <v>0</v>
      </c>
      <c r="S9" s="189">
        <v>0</v>
      </c>
      <c r="T9" s="189">
        <v>83056.88</v>
      </c>
    </row>
    <row r="10" spans="1:20">
      <c r="A10" s="13">
        <v>6</v>
      </c>
      <c r="B10" s="199" t="s">
        <v>206</v>
      </c>
      <c r="C10" s="200"/>
      <c r="D10" s="194">
        <v>346</v>
      </c>
      <c r="E10" s="194">
        <v>77</v>
      </c>
      <c r="F10" s="194">
        <v>3775.6759999999999</v>
      </c>
      <c r="G10" s="195">
        <v>1424.3240000000001</v>
      </c>
      <c r="H10" s="195"/>
      <c r="I10" s="10">
        <v>0.77500000000000002</v>
      </c>
      <c r="J10" s="10">
        <v>158.125</v>
      </c>
      <c r="K10" s="11">
        <v>0</v>
      </c>
      <c r="L10" s="189">
        <v>0</v>
      </c>
      <c r="M10" s="189">
        <v>39790</v>
      </c>
      <c r="N10" s="189">
        <v>8855</v>
      </c>
      <c r="O10" s="189">
        <v>53992.17</v>
      </c>
      <c r="P10" s="189">
        <v>20367.830000000002</v>
      </c>
      <c r="Q10" s="189">
        <v>0</v>
      </c>
      <c r="R10" s="189">
        <v>736.25</v>
      </c>
      <c r="S10" s="189">
        <v>18975</v>
      </c>
      <c r="T10" s="189">
        <v>142716.25</v>
      </c>
    </row>
    <row r="11" spans="1:20">
      <c r="A11" s="13">
        <v>7</v>
      </c>
      <c r="B11" s="199" t="s">
        <v>207</v>
      </c>
      <c r="C11" s="200"/>
      <c r="D11" s="194">
        <v>131</v>
      </c>
      <c r="E11" s="194">
        <v>0</v>
      </c>
      <c r="F11" s="194">
        <v>3906.6759999999999</v>
      </c>
      <c r="G11" s="195">
        <v>1293.3240000000001</v>
      </c>
      <c r="H11" s="195"/>
      <c r="I11" s="10">
        <v>0</v>
      </c>
      <c r="J11" s="10">
        <v>44</v>
      </c>
      <c r="K11" s="11">
        <v>0</v>
      </c>
      <c r="L11" s="189">
        <v>0</v>
      </c>
      <c r="M11" s="189">
        <v>15065</v>
      </c>
      <c r="N11" s="189">
        <v>0</v>
      </c>
      <c r="O11" s="189">
        <v>55865.47</v>
      </c>
      <c r="P11" s="189">
        <v>18494.53</v>
      </c>
      <c r="Q11" s="189">
        <v>0</v>
      </c>
      <c r="R11" s="189">
        <v>0</v>
      </c>
      <c r="S11" s="189">
        <v>5280</v>
      </c>
      <c r="T11" s="189">
        <v>94705</v>
      </c>
    </row>
    <row r="12" spans="1:20">
      <c r="A12" s="13">
        <v>8</v>
      </c>
      <c r="B12" s="199" t="s">
        <v>208</v>
      </c>
      <c r="C12" s="200"/>
      <c r="D12" s="194">
        <v>44</v>
      </c>
      <c r="E12" s="194">
        <v>0</v>
      </c>
      <c r="F12" s="194">
        <v>3950.6759999999999</v>
      </c>
      <c r="G12" s="195">
        <v>1249.3240000000001</v>
      </c>
      <c r="H12" s="195"/>
      <c r="I12" s="10">
        <v>0</v>
      </c>
      <c r="J12" s="10">
        <v>0</v>
      </c>
      <c r="K12" s="11">
        <v>0</v>
      </c>
      <c r="L12" s="189">
        <v>0</v>
      </c>
      <c r="M12" s="189">
        <v>5060</v>
      </c>
      <c r="N12" s="189">
        <v>0</v>
      </c>
      <c r="O12" s="189">
        <v>56494.67</v>
      </c>
      <c r="P12" s="189">
        <v>17865.330000000002</v>
      </c>
      <c r="Q12" s="189">
        <v>0</v>
      </c>
      <c r="R12" s="189">
        <v>0</v>
      </c>
      <c r="S12" s="189">
        <v>0</v>
      </c>
      <c r="T12" s="189">
        <v>79420</v>
      </c>
    </row>
    <row r="13" spans="1:20">
      <c r="A13" s="13">
        <v>9</v>
      </c>
      <c r="B13" s="199" t="s">
        <v>209</v>
      </c>
      <c r="C13" s="200"/>
      <c r="D13" s="194">
        <v>131</v>
      </c>
      <c r="E13" s="194">
        <v>66</v>
      </c>
      <c r="F13" s="194">
        <v>4015.6759999999999</v>
      </c>
      <c r="G13" s="195">
        <v>1184.3240000000001</v>
      </c>
      <c r="H13" s="195"/>
      <c r="I13" s="10">
        <v>0</v>
      </c>
      <c r="J13" s="10">
        <v>0</v>
      </c>
      <c r="K13" s="11">
        <v>0</v>
      </c>
      <c r="L13" s="189">
        <v>0</v>
      </c>
      <c r="M13" s="189">
        <v>15065</v>
      </c>
      <c r="N13" s="189">
        <v>7590</v>
      </c>
      <c r="O13" s="189">
        <v>57424.17</v>
      </c>
      <c r="P13" s="189">
        <v>16935.830000000002</v>
      </c>
      <c r="Q13" s="189">
        <v>0</v>
      </c>
      <c r="R13" s="189">
        <v>0</v>
      </c>
      <c r="S13" s="189">
        <v>0</v>
      </c>
      <c r="T13" s="189">
        <v>97015</v>
      </c>
    </row>
    <row r="14" spans="1:20">
      <c r="A14" s="13">
        <v>10</v>
      </c>
      <c r="B14" s="199" t="s">
        <v>210</v>
      </c>
      <c r="C14" s="200"/>
      <c r="D14" s="194">
        <v>22</v>
      </c>
      <c r="E14" s="194">
        <v>65</v>
      </c>
      <c r="F14" s="194">
        <v>3972.6759999999999</v>
      </c>
      <c r="G14" s="195">
        <v>1227.3240000000001</v>
      </c>
      <c r="H14" s="195"/>
      <c r="I14" s="10">
        <v>0</v>
      </c>
      <c r="J14" s="10">
        <v>0</v>
      </c>
      <c r="K14" s="11">
        <v>0</v>
      </c>
      <c r="L14" s="189">
        <v>0</v>
      </c>
      <c r="M14" s="189">
        <v>2530</v>
      </c>
      <c r="N14" s="189">
        <v>7475</v>
      </c>
      <c r="O14" s="189">
        <v>56809.27</v>
      </c>
      <c r="P14" s="189">
        <v>17550.73</v>
      </c>
      <c r="Q14" s="189">
        <v>0</v>
      </c>
      <c r="R14" s="189">
        <v>0</v>
      </c>
      <c r="S14" s="189">
        <v>0</v>
      </c>
      <c r="T14" s="189">
        <v>84365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41.625</v>
      </c>
      <c r="F15" s="194">
        <v>3931.0509999999999</v>
      </c>
      <c r="G15" s="195">
        <v>1268.9490000000001</v>
      </c>
      <c r="H15" s="195"/>
      <c r="I15" s="10">
        <v>0</v>
      </c>
      <c r="J15" s="10">
        <v>0</v>
      </c>
      <c r="K15" s="11">
        <v>0</v>
      </c>
      <c r="L15" s="189">
        <v>0</v>
      </c>
      <c r="M15" s="189">
        <v>0</v>
      </c>
      <c r="N15" s="189">
        <v>4786.88</v>
      </c>
      <c r="O15" s="189">
        <v>56214.03</v>
      </c>
      <c r="P15" s="189">
        <v>18145.97</v>
      </c>
      <c r="Q15" s="189">
        <v>0</v>
      </c>
      <c r="R15" s="189">
        <v>0</v>
      </c>
      <c r="S15" s="189">
        <v>0</v>
      </c>
      <c r="T15" s="189">
        <v>79146.880000000005</v>
      </c>
    </row>
    <row r="16" spans="1:20">
      <c r="A16" s="13">
        <v>12</v>
      </c>
      <c r="B16" s="199" t="s">
        <v>212</v>
      </c>
      <c r="C16" s="200"/>
      <c r="D16" s="194">
        <v>85</v>
      </c>
      <c r="E16" s="194">
        <v>64</v>
      </c>
      <c r="F16" s="194">
        <v>3952.0509999999999</v>
      </c>
      <c r="G16" s="195">
        <v>1247.9490000000001</v>
      </c>
      <c r="H16" s="195"/>
      <c r="I16" s="10">
        <v>1.375</v>
      </c>
      <c r="J16" s="10">
        <v>61.225000000000001</v>
      </c>
      <c r="K16" s="11">
        <v>0</v>
      </c>
      <c r="L16" s="189">
        <v>0</v>
      </c>
      <c r="M16" s="189">
        <v>9775</v>
      </c>
      <c r="N16" s="189">
        <v>7360</v>
      </c>
      <c r="O16" s="189">
        <v>56514.33</v>
      </c>
      <c r="P16" s="189">
        <v>17845.669999999998</v>
      </c>
      <c r="Q16" s="189">
        <v>0</v>
      </c>
      <c r="R16" s="189">
        <v>1306.25</v>
      </c>
      <c r="S16" s="189">
        <v>7347</v>
      </c>
      <c r="T16" s="189">
        <v>100148.25</v>
      </c>
    </row>
    <row r="17" spans="1:20">
      <c r="A17" s="13">
        <v>13</v>
      </c>
      <c r="B17" s="199" t="s">
        <v>213</v>
      </c>
      <c r="C17" s="200"/>
      <c r="D17" s="194">
        <v>259.99799999999999</v>
      </c>
      <c r="E17" s="194">
        <v>88</v>
      </c>
      <c r="F17" s="194">
        <v>4124.049</v>
      </c>
      <c r="G17" s="195">
        <v>1075.951</v>
      </c>
      <c r="H17" s="195"/>
      <c r="I17" s="10">
        <v>0</v>
      </c>
      <c r="J17" s="10">
        <v>84</v>
      </c>
      <c r="K17" s="11">
        <v>0</v>
      </c>
      <c r="L17" s="189">
        <v>0</v>
      </c>
      <c r="M17" s="189">
        <v>29899.77</v>
      </c>
      <c r="N17" s="189">
        <v>10120</v>
      </c>
      <c r="O17" s="189">
        <v>58973.9</v>
      </c>
      <c r="P17" s="189">
        <v>15386.1</v>
      </c>
      <c r="Q17" s="189">
        <v>0</v>
      </c>
      <c r="R17" s="189">
        <v>0</v>
      </c>
      <c r="S17" s="189">
        <v>10080</v>
      </c>
      <c r="T17" s="189">
        <v>124459.77</v>
      </c>
    </row>
    <row r="18" spans="1:20">
      <c r="A18" s="13">
        <v>14</v>
      </c>
      <c r="B18" s="199" t="s">
        <v>214</v>
      </c>
      <c r="C18" s="200"/>
      <c r="D18" s="194">
        <v>131.99799999999999</v>
      </c>
      <c r="E18" s="194">
        <v>141.05000000000001</v>
      </c>
      <c r="F18" s="194">
        <v>4114.9970000000003</v>
      </c>
      <c r="G18" s="195">
        <v>1085.0029999999997</v>
      </c>
      <c r="H18" s="195"/>
      <c r="I18" s="10">
        <v>1.375</v>
      </c>
      <c r="J18" s="10">
        <v>23.375</v>
      </c>
      <c r="K18" s="11">
        <v>0</v>
      </c>
      <c r="L18" s="189">
        <v>0</v>
      </c>
      <c r="M18" s="189">
        <v>15179.77</v>
      </c>
      <c r="N18" s="189">
        <v>16220.75</v>
      </c>
      <c r="O18" s="189">
        <v>58844.46</v>
      </c>
      <c r="P18" s="189">
        <v>15515.54</v>
      </c>
      <c r="Q18" s="189">
        <v>0</v>
      </c>
      <c r="R18" s="189">
        <v>1306.25</v>
      </c>
      <c r="S18" s="189">
        <v>2805</v>
      </c>
      <c r="T18" s="189">
        <v>109871.77</v>
      </c>
    </row>
    <row r="19" spans="1:20">
      <c r="A19" s="13">
        <v>15</v>
      </c>
      <c r="B19" s="199" t="s">
        <v>215</v>
      </c>
      <c r="C19" s="200"/>
      <c r="D19" s="194">
        <v>88</v>
      </c>
      <c r="E19" s="194">
        <v>22</v>
      </c>
      <c r="F19" s="194">
        <v>4180.9970000000003</v>
      </c>
      <c r="G19" s="195">
        <v>1019.0029999999997</v>
      </c>
      <c r="H19" s="195"/>
      <c r="I19" s="10">
        <v>0</v>
      </c>
      <c r="J19" s="10">
        <v>0</v>
      </c>
      <c r="K19" s="11">
        <v>0</v>
      </c>
      <c r="L19" s="189">
        <v>0</v>
      </c>
      <c r="M19" s="189">
        <v>10120</v>
      </c>
      <c r="N19" s="189">
        <v>2530</v>
      </c>
      <c r="O19" s="189">
        <v>59788.26</v>
      </c>
      <c r="P19" s="189">
        <v>14571.74</v>
      </c>
      <c r="Q19" s="189">
        <v>0</v>
      </c>
      <c r="R19" s="189">
        <v>0</v>
      </c>
      <c r="S19" s="189">
        <v>0</v>
      </c>
      <c r="T19" s="189">
        <v>87010</v>
      </c>
    </row>
    <row r="20" spans="1:20">
      <c r="A20" s="13">
        <v>16</v>
      </c>
      <c r="B20" s="199" t="s">
        <v>216</v>
      </c>
      <c r="C20" s="200"/>
      <c r="D20" s="194">
        <v>88</v>
      </c>
      <c r="E20" s="194">
        <v>44</v>
      </c>
      <c r="F20" s="194">
        <v>4224.9970000000003</v>
      </c>
      <c r="G20" s="195">
        <v>975.0029999999997</v>
      </c>
      <c r="H20" s="195"/>
      <c r="I20" s="10">
        <v>0</v>
      </c>
      <c r="J20" s="10">
        <v>0</v>
      </c>
      <c r="K20" s="11">
        <v>0</v>
      </c>
      <c r="L20" s="189">
        <v>0</v>
      </c>
      <c r="M20" s="189">
        <v>10120</v>
      </c>
      <c r="N20" s="189">
        <v>5060</v>
      </c>
      <c r="O20" s="189">
        <v>60417.46</v>
      </c>
      <c r="P20" s="189">
        <v>13942.54</v>
      </c>
      <c r="Q20" s="189">
        <v>0</v>
      </c>
      <c r="R20" s="189">
        <v>0</v>
      </c>
      <c r="S20" s="189">
        <v>0</v>
      </c>
      <c r="T20" s="189">
        <v>89540</v>
      </c>
    </row>
    <row r="21" spans="1:20">
      <c r="A21" s="13">
        <v>17</v>
      </c>
      <c r="B21" s="199" t="s">
        <v>217</v>
      </c>
      <c r="C21" s="200"/>
      <c r="D21" s="194">
        <v>44</v>
      </c>
      <c r="E21" s="194">
        <v>110</v>
      </c>
      <c r="F21" s="194">
        <v>4158.9970000000003</v>
      </c>
      <c r="G21" s="195">
        <v>1041.0029999999997</v>
      </c>
      <c r="H21" s="195"/>
      <c r="I21" s="10">
        <v>0</v>
      </c>
      <c r="J21" s="10">
        <v>0</v>
      </c>
      <c r="K21" s="11">
        <v>0</v>
      </c>
      <c r="L21" s="189">
        <v>0</v>
      </c>
      <c r="M21" s="189">
        <v>5060</v>
      </c>
      <c r="N21" s="189">
        <v>12650</v>
      </c>
      <c r="O21" s="189">
        <v>59473.66</v>
      </c>
      <c r="P21" s="189">
        <v>14886.34</v>
      </c>
      <c r="Q21" s="189">
        <v>0</v>
      </c>
      <c r="R21" s="189">
        <v>0</v>
      </c>
      <c r="S21" s="189">
        <v>0</v>
      </c>
      <c r="T21" s="189">
        <v>92070</v>
      </c>
    </row>
    <row r="22" spans="1:20">
      <c r="A22" s="13">
        <v>18</v>
      </c>
      <c r="B22" s="199" t="s">
        <v>218</v>
      </c>
      <c r="C22" s="200"/>
      <c r="D22" s="194">
        <v>22</v>
      </c>
      <c r="E22" s="194">
        <v>199.375</v>
      </c>
      <c r="F22" s="194">
        <v>3981.6219999999998</v>
      </c>
      <c r="G22" s="195">
        <v>1218.3780000000002</v>
      </c>
      <c r="H22" s="195"/>
      <c r="I22" s="10">
        <v>1.375</v>
      </c>
      <c r="J22" s="10">
        <v>1.375</v>
      </c>
      <c r="K22" s="11">
        <v>0</v>
      </c>
      <c r="L22" s="189">
        <v>0</v>
      </c>
      <c r="M22" s="189">
        <v>2530</v>
      </c>
      <c r="N22" s="189">
        <v>22928.13</v>
      </c>
      <c r="O22" s="189">
        <v>56937.19</v>
      </c>
      <c r="P22" s="189">
        <v>17422.810000000001</v>
      </c>
      <c r="Q22" s="189">
        <v>0</v>
      </c>
      <c r="R22" s="189">
        <v>1306.25</v>
      </c>
      <c r="S22" s="189">
        <v>165</v>
      </c>
      <c r="T22" s="189">
        <v>101289.38</v>
      </c>
    </row>
    <row r="23" spans="1:20">
      <c r="A23" s="13">
        <v>19</v>
      </c>
      <c r="B23" s="199" t="s">
        <v>219</v>
      </c>
      <c r="C23" s="200"/>
      <c r="D23" s="194">
        <v>22</v>
      </c>
      <c r="E23" s="194">
        <v>137.5</v>
      </c>
      <c r="F23" s="194">
        <v>3866.1219999999998</v>
      </c>
      <c r="G23" s="195">
        <v>1333.8780000000002</v>
      </c>
      <c r="H23" s="195"/>
      <c r="I23" s="10">
        <v>0</v>
      </c>
      <c r="J23" s="10">
        <v>0</v>
      </c>
      <c r="K23" s="11">
        <v>0</v>
      </c>
      <c r="L23" s="189">
        <v>0</v>
      </c>
      <c r="M23" s="189">
        <v>2530</v>
      </c>
      <c r="N23" s="189">
        <v>15812.5</v>
      </c>
      <c r="O23" s="189">
        <v>55285.54</v>
      </c>
      <c r="P23" s="189">
        <v>19074.46</v>
      </c>
      <c r="Q23" s="189">
        <v>0</v>
      </c>
      <c r="R23" s="189">
        <v>0</v>
      </c>
      <c r="S23" s="189">
        <v>0</v>
      </c>
      <c r="T23" s="189">
        <v>92702.5</v>
      </c>
    </row>
    <row r="24" spans="1:20">
      <c r="A24" s="13">
        <v>20</v>
      </c>
      <c r="B24" s="199" t="s">
        <v>220</v>
      </c>
      <c r="C24" s="200"/>
      <c r="D24" s="194">
        <v>43.997999999999998</v>
      </c>
      <c r="E24" s="194">
        <v>155.75</v>
      </c>
      <c r="F24" s="194">
        <v>3754.37</v>
      </c>
      <c r="G24" s="195">
        <v>1445.63</v>
      </c>
      <c r="H24" s="195"/>
      <c r="I24" s="10">
        <v>1.375</v>
      </c>
      <c r="J24" s="10">
        <v>1.375</v>
      </c>
      <c r="K24" s="11">
        <v>0</v>
      </c>
      <c r="L24" s="189">
        <v>0</v>
      </c>
      <c r="M24" s="189">
        <v>5059.7700000000004</v>
      </c>
      <c r="N24" s="189">
        <v>17911.25</v>
      </c>
      <c r="O24" s="189">
        <v>53687.49</v>
      </c>
      <c r="P24" s="189">
        <v>20672.509999999998</v>
      </c>
      <c r="Q24" s="189">
        <v>0</v>
      </c>
      <c r="R24" s="189">
        <v>1306.25</v>
      </c>
      <c r="S24" s="189">
        <v>165</v>
      </c>
      <c r="T24" s="189">
        <v>98802.27</v>
      </c>
    </row>
    <row r="25" spans="1:20">
      <c r="A25" s="13">
        <v>21</v>
      </c>
      <c r="B25" s="199" t="s">
        <v>221</v>
      </c>
      <c r="C25" s="200"/>
      <c r="D25" s="194">
        <v>220</v>
      </c>
      <c r="E25" s="194">
        <v>132</v>
      </c>
      <c r="F25" s="194">
        <v>3842.37</v>
      </c>
      <c r="G25" s="195">
        <v>1357.63</v>
      </c>
      <c r="H25" s="195"/>
      <c r="I25" s="10">
        <v>0</v>
      </c>
      <c r="J25" s="10">
        <v>0</v>
      </c>
      <c r="K25" s="11">
        <v>0</v>
      </c>
      <c r="L25" s="189">
        <v>0</v>
      </c>
      <c r="M25" s="189">
        <v>25300</v>
      </c>
      <c r="N25" s="189">
        <v>15180</v>
      </c>
      <c r="O25" s="189">
        <v>54945.89</v>
      </c>
      <c r="P25" s="189">
        <v>19414.11</v>
      </c>
      <c r="Q25" s="189">
        <v>0</v>
      </c>
      <c r="R25" s="189">
        <v>0</v>
      </c>
      <c r="S25" s="189">
        <v>0</v>
      </c>
      <c r="T25" s="189">
        <v>114840</v>
      </c>
    </row>
    <row r="26" spans="1:20">
      <c r="A26" s="13">
        <v>22</v>
      </c>
      <c r="B26" s="199" t="s">
        <v>222</v>
      </c>
      <c r="C26" s="200"/>
      <c r="D26" s="194">
        <v>286</v>
      </c>
      <c r="E26" s="194">
        <v>132</v>
      </c>
      <c r="F26" s="194">
        <v>3996.37</v>
      </c>
      <c r="G26" s="195">
        <v>1203.6300000000001</v>
      </c>
      <c r="H26" s="195"/>
      <c r="I26" s="10">
        <v>0</v>
      </c>
      <c r="J26" s="10">
        <v>8.25</v>
      </c>
      <c r="K26" s="11">
        <v>0</v>
      </c>
      <c r="L26" s="189">
        <v>0</v>
      </c>
      <c r="M26" s="189">
        <v>32890</v>
      </c>
      <c r="N26" s="189">
        <v>15180</v>
      </c>
      <c r="O26" s="189">
        <v>57148.09</v>
      </c>
      <c r="P26" s="189">
        <v>17211.91</v>
      </c>
      <c r="Q26" s="189">
        <v>0</v>
      </c>
      <c r="R26" s="189">
        <v>0</v>
      </c>
      <c r="S26" s="189">
        <v>990</v>
      </c>
      <c r="T26" s="189">
        <v>123420</v>
      </c>
    </row>
    <row r="27" spans="1:20">
      <c r="A27" s="13">
        <v>23</v>
      </c>
      <c r="B27" s="199" t="s">
        <v>223</v>
      </c>
      <c r="C27" s="200"/>
      <c r="D27" s="194">
        <v>132</v>
      </c>
      <c r="E27" s="194">
        <v>112.75</v>
      </c>
      <c r="F27" s="194">
        <v>4015.62</v>
      </c>
      <c r="G27" s="195">
        <v>1184.3800000000001</v>
      </c>
      <c r="H27" s="195"/>
      <c r="I27" s="10">
        <v>0</v>
      </c>
      <c r="J27" s="10">
        <v>154</v>
      </c>
      <c r="K27" s="11">
        <v>0</v>
      </c>
      <c r="L27" s="189">
        <v>0</v>
      </c>
      <c r="M27" s="189">
        <v>15180</v>
      </c>
      <c r="N27" s="189">
        <v>12966.25</v>
      </c>
      <c r="O27" s="189">
        <v>57423.37</v>
      </c>
      <c r="P27" s="189">
        <v>16936.63</v>
      </c>
      <c r="Q27" s="189">
        <v>0</v>
      </c>
      <c r="R27" s="189">
        <v>0</v>
      </c>
      <c r="S27" s="189">
        <v>18480</v>
      </c>
      <c r="T27" s="189">
        <v>120986.25</v>
      </c>
    </row>
    <row r="28" spans="1:20">
      <c r="A28" s="13">
        <v>24</v>
      </c>
      <c r="B28" s="199" t="s">
        <v>224</v>
      </c>
      <c r="C28" s="200"/>
      <c r="D28" s="194">
        <v>44</v>
      </c>
      <c r="E28" s="194">
        <v>110</v>
      </c>
      <c r="F28" s="194">
        <v>3949.62</v>
      </c>
      <c r="G28" s="195">
        <v>1250.3800000000001</v>
      </c>
      <c r="H28" s="195"/>
      <c r="I28" s="10">
        <v>0</v>
      </c>
      <c r="J28" s="10">
        <v>0</v>
      </c>
      <c r="K28" s="11">
        <v>0</v>
      </c>
      <c r="L28" s="189">
        <v>0</v>
      </c>
      <c r="M28" s="189">
        <v>5060</v>
      </c>
      <c r="N28" s="189">
        <v>12650</v>
      </c>
      <c r="O28" s="189">
        <v>56479.57</v>
      </c>
      <c r="P28" s="189">
        <v>17880.43</v>
      </c>
      <c r="Q28" s="189">
        <v>0</v>
      </c>
      <c r="R28" s="189">
        <v>0</v>
      </c>
      <c r="S28" s="189">
        <v>0</v>
      </c>
      <c r="T28" s="189">
        <v>92070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301.625</v>
      </c>
      <c r="F29" s="194">
        <v>3647.9949999999999</v>
      </c>
      <c r="G29" s="195">
        <v>1552.0050000000001</v>
      </c>
      <c r="H29" s="195"/>
      <c r="I29" s="10">
        <v>0</v>
      </c>
      <c r="J29" s="10">
        <v>0</v>
      </c>
      <c r="K29" s="11">
        <v>0</v>
      </c>
      <c r="L29" s="189">
        <v>0</v>
      </c>
      <c r="M29" s="189">
        <v>0</v>
      </c>
      <c r="N29" s="189">
        <v>34686.879999999997</v>
      </c>
      <c r="O29" s="189">
        <v>52166.33</v>
      </c>
      <c r="P29" s="189">
        <v>22193.67</v>
      </c>
      <c r="Q29" s="189">
        <v>0</v>
      </c>
      <c r="R29" s="189">
        <v>0</v>
      </c>
      <c r="S29" s="189">
        <v>0</v>
      </c>
      <c r="T29" s="189">
        <v>109046.88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304</v>
      </c>
      <c r="F30" s="194">
        <v>3343.9949999999999</v>
      </c>
      <c r="G30" s="195">
        <v>1856.0050000000001</v>
      </c>
      <c r="H30" s="195"/>
      <c r="I30" s="10">
        <v>0</v>
      </c>
      <c r="J30" s="10">
        <v>0</v>
      </c>
      <c r="K30" s="11">
        <v>0</v>
      </c>
      <c r="L30" s="189">
        <v>0</v>
      </c>
      <c r="M30" s="189">
        <v>0</v>
      </c>
      <c r="N30" s="189">
        <v>34960</v>
      </c>
      <c r="O30" s="189">
        <v>47819.13</v>
      </c>
      <c r="P30" s="189">
        <v>26540.87</v>
      </c>
      <c r="Q30" s="189">
        <v>0</v>
      </c>
      <c r="R30" s="189">
        <v>0</v>
      </c>
      <c r="S30" s="189">
        <v>0</v>
      </c>
      <c r="T30" s="189">
        <v>109320</v>
      </c>
    </row>
    <row r="31" spans="1:20">
      <c r="A31" s="13">
        <v>27</v>
      </c>
      <c r="B31" s="199" t="s">
        <v>227</v>
      </c>
      <c r="C31" s="200"/>
      <c r="D31" s="194">
        <v>22</v>
      </c>
      <c r="E31" s="194">
        <v>215.625</v>
      </c>
      <c r="F31" s="194">
        <v>3150.37</v>
      </c>
      <c r="G31" s="195">
        <v>2049.63</v>
      </c>
      <c r="H31" s="195"/>
      <c r="I31" s="10">
        <v>0</v>
      </c>
      <c r="J31" s="10">
        <v>0</v>
      </c>
      <c r="K31" s="11">
        <v>0</v>
      </c>
      <c r="L31" s="189">
        <v>0</v>
      </c>
      <c r="M31" s="189">
        <v>2530</v>
      </c>
      <c r="N31" s="189">
        <v>24796.880000000001</v>
      </c>
      <c r="O31" s="189">
        <v>45050.29</v>
      </c>
      <c r="P31" s="189">
        <v>29309.71</v>
      </c>
      <c r="Q31" s="189">
        <v>0</v>
      </c>
      <c r="R31" s="189">
        <v>0</v>
      </c>
      <c r="S31" s="189">
        <v>0</v>
      </c>
      <c r="T31" s="189">
        <v>101686.88</v>
      </c>
    </row>
    <row r="32" spans="1:20">
      <c r="A32" s="13">
        <v>28</v>
      </c>
      <c r="B32" s="199" t="s">
        <v>228</v>
      </c>
      <c r="C32" s="200"/>
      <c r="D32" s="194">
        <v>66.150000000000006</v>
      </c>
      <c r="E32" s="194">
        <v>152</v>
      </c>
      <c r="F32" s="194">
        <v>3064.52</v>
      </c>
      <c r="G32" s="195">
        <v>2135.48</v>
      </c>
      <c r="H32" s="195"/>
      <c r="I32" s="10">
        <v>0</v>
      </c>
      <c r="J32" s="10">
        <v>0</v>
      </c>
      <c r="K32" s="11">
        <v>0</v>
      </c>
      <c r="L32" s="189">
        <v>0</v>
      </c>
      <c r="M32" s="189">
        <v>7607.25</v>
      </c>
      <c r="N32" s="189">
        <v>17480</v>
      </c>
      <c r="O32" s="189">
        <v>43822.64</v>
      </c>
      <c r="P32" s="189">
        <v>30537.360000000001</v>
      </c>
      <c r="Q32" s="189">
        <v>0</v>
      </c>
      <c r="R32" s="189">
        <v>0</v>
      </c>
      <c r="S32" s="189">
        <v>0</v>
      </c>
      <c r="T32" s="189">
        <v>99447.25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/>
      <c r="I33" s="10">
        <v>0</v>
      </c>
      <c r="J33" s="10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/>
      <c r="I34" s="10">
        <v>0</v>
      </c>
      <c r="J34" s="10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/>
      <c r="I35" s="10">
        <v>0</v>
      </c>
      <c r="J35" s="10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3246.1390000000001</v>
      </c>
      <c r="E36" s="19">
        <v>2888.55</v>
      </c>
      <c r="F36" s="19">
        <v>105406.62799999998</v>
      </c>
      <c r="G36" s="19">
        <v>40193.37200000001</v>
      </c>
      <c r="H36" s="19">
        <v>0</v>
      </c>
      <c r="I36" s="19">
        <v>29.65</v>
      </c>
      <c r="J36" s="19">
        <v>669.1</v>
      </c>
      <c r="K36" s="20">
        <v>0</v>
      </c>
      <c r="L36" s="190">
        <v>0</v>
      </c>
      <c r="M36" s="190">
        <v>373305.99</v>
      </c>
      <c r="N36" s="190">
        <v>332183.25</v>
      </c>
      <c r="O36" s="190">
        <v>1507314.78</v>
      </c>
      <c r="P36" s="190">
        <v>574765.22</v>
      </c>
      <c r="Q36" s="190">
        <v>0</v>
      </c>
      <c r="R36" s="190">
        <v>28167.5</v>
      </c>
      <c r="S36" s="190">
        <v>80292</v>
      </c>
      <c r="T36" s="190">
        <v>2896028.74</v>
      </c>
    </row>
    <row r="37" spans="1:20">
      <c r="R37" s="22"/>
      <c r="S37" s="22"/>
      <c r="T37" s="191">
        <v>3533155.06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5524-B033-41E6-8B83-11203956595C}">
  <sheetPr codeName="Лист40">
    <pageSetUpPr fitToPage="1"/>
  </sheetPr>
  <dimension ref="A1:T37"/>
  <sheetViews>
    <sheetView workbookViewId="0">
      <selection activeCell="P5" sqref="P5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322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323</v>
      </c>
      <c r="H3" s="202" t="s">
        <v>324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325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27" customHeight="1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32.86</v>
      </c>
      <c r="G5" s="195">
        <v>0</v>
      </c>
      <c r="H5" s="195">
        <v>0</v>
      </c>
      <c r="I5" s="10">
        <v>0</v>
      </c>
      <c r="J5" s="10">
        <v>0</v>
      </c>
      <c r="K5" s="11">
        <v>0</v>
      </c>
      <c r="L5" s="189">
        <v>0</v>
      </c>
      <c r="M5" s="189">
        <v>0</v>
      </c>
      <c r="N5" s="189">
        <v>0</v>
      </c>
      <c r="O5" s="189">
        <v>0</v>
      </c>
      <c r="P5" s="189">
        <v>0</v>
      </c>
      <c r="Q5" s="189">
        <v>0</v>
      </c>
      <c r="R5" s="189">
        <v>0</v>
      </c>
      <c r="S5" s="189">
        <v>0</v>
      </c>
      <c r="T5" s="189">
        <v>0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32.86</v>
      </c>
      <c r="G6" s="195">
        <v>0</v>
      </c>
      <c r="H6" s="195">
        <v>0</v>
      </c>
      <c r="I6" s="10">
        <v>0</v>
      </c>
      <c r="J6" s="10">
        <v>0</v>
      </c>
      <c r="K6" s="11">
        <v>0</v>
      </c>
      <c r="L6" s="189">
        <v>0</v>
      </c>
      <c r="M6" s="189">
        <v>0</v>
      </c>
      <c r="N6" s="189">
        <v>0</v>
      </c>
      <c r="O6" s="189">
        <v>0</v>
      </c>
      <c r="P6" s="189">
        <v>0</v>
      </c>
      <c r="Q6" s="189">
        <v>0</v>
      </c>
      <c r="R6" s="189">
        <v>0</v>
      </c>
      <c r="S6" s="189">
        <v>0</v>
      </c>
      <c r="T6" s="189">
        <v>0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32.86</v>
      </c>
      <c r="G7" s="195">
        <v>0</v>
      </c>
      <c r="H7" s="195">
        <v>0</v>
      </c>
      <c r="I7" s="10">
        <v>0</v>
      </c>
      <c r="J7" s="10">
        <v>0</v>
      </c>
      <c r="K7" s="11">
        <v>0</v>
      </c>
      <c r="L7" s="189">
        <v>0</v>
      </c>
      <c r="M7" s="189">
        <v>0</v>
      </c>
      <c r="N7" s="189">
        <v>0</v>
      </c>
      <c r="O7" s="189">
        <v>0</v>
      </c>
      <c r="P7" s="189">
        <v>0</v>
      </c>
      <c r="Q7" s="189">
        <v>0</v>
      </c>
      <c r="R7" s="189">
        <v>0</v>
      </c>
      <c r="S7" s="189">
        <v>0</v>
      </c>
      <c r="T7" s="189">
        <v>0</v>
      </c>
    </row>
    <row r="8" spans="1:20">
      <c r="A8" s="13">
        <v>4</v>
      </c>
      <c r="B8" s="199" t="s">
        <v>204</v>
      </c>
      <c r="C8" s="200"/>
      <c r="D8" s="194">
        <v>0</v>
      </c>
      <c r="E8" s="194">
        <v>0</v>
      </c>
      <c r="F8" s="194">
        <v>32.86</v>
      </c>
      <c r="G8" s="195">
        <v>0</v>
      </c>
      <c r="H8" s="195">
        <v>0</v>
      </c>
      <c r="I8" s="10">
        <v>0</v>
      </c>
      <c r="J8" s="10">
        <v>0</v>
      </c>
      <c r="K8" s="11">
        <v>0</v>
      </c>
      <c r="L8" s="189">
        <v>0</v>
      </c>
      <c r="M8" s="189">
        <v>0</v>
      </c>
      <c r="N8" s="189">
        <v>0</v>
      </c>
      <c r="O8" s="189">
        <v>0</v>
      </c>
      <c r="P8" s="189">
        <v>0</v>
      </c>
      <c r="Q8" s="189">
        <v>0</v>
      </c>
      <c r="R8" s="189">
        <v>0</v>
      </c>
      <c r="S8" s="189">
        <v>0</v>
      </c>
      <c r="T8" s="189">
        <v>0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32.86</v>
      </c>
      <c r="G9" s="195">
        <v>0</v>
      </c>
      <c r="H9" s="195">
        <v>0</v>
      </c>
      <c r="I9" s="10">
        <v>0</v>
      </c>
      <c r="J9" s="10">
        <v>0</v>
      </c>
      <c r="K9" s="11">
        <v>0</v>
      </c>
      <c r="L9" s="189">
        <v>0</v>
      </c>
      <c r="M9" s="189">
        <v>0</v>
      </c>
      <c r="N9" s="189">
        <v>0</v>
      </c>
      <c r="O9" s="189">
        <v>0</v>
      </c>
      <c r="P9" s="189">
        <v>0</v>
      </c>
      <c r="Q9" s="189">
        <v>0</v>
      </c>
      <c r="R9" s="189">
        <v>0</v>
      </c>
      <c r="S9" s="189">
        <v>0</v>
      </c>
      <c r="T9" s="189">
        <v>0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32.86</v>
      </c>
      <c r="G10" s="195">
        <v>0</v>
      </c>
      <c r="H10" s="195">
        <v>0</v>
      </c>
      <c r="I10" s="10">
        <v>0</v>
      </c>
      <c r="J10" s="10">
        <v>0</v>
      </c>
      <c r="K10" s="11">
        <v>0</v>
      </c>
      <c r="L10" s="189">
        <v>0</v>
      </c>
      <c r="M10" s="189">
        <v>0</v>
      </c>
      <c r="N10" s="189">
        <v>0</v>
      </c>
      <c r="O10" s="189">
        <v>0</v>
      </c>
      <c r="P10" s="189">
        <v>0</v>
      </c>
      <c r="Q10" s="189">
        <v>0</v>
      </c>
      <c r="R10" s="189">
        <v>0</v>
      </c>
      <c r="S10" s="189">
        <v>0</v>
      </c>
      <c r="T10" s="189">
        <v>0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32.86</v>
      </c>
      <c r="G11" s="195">
        <v>0</v>
      </c>
      <c r="H11" s="195">
        <v>0</v>
      </c>
      <c r="I11" s="10">
        <v>0</v>
      </c>
      <c r="J11" s="10">
        <v>0</v>
      </c>
      <c r="K11" s="11">
        <v>0</v>
      </c>
      <c r="L11" s="189">
        <v>0</v>
      </c>
      <c r="M11" s="189">
        <v>0</v>
      </c>
      <c r="N11" s="189">
        <v>0</v>
      </c>
      <c r="O11" s="189">
        <v>0</v>
      </c>
      <c r="P11" s="189">
        <v>0</v>
      </c>
      <c r="Q11" s="189">
        <v>0</v>
      </c>
      <c r="R11" s="189">
        <v>0</v>
      </c>
      <c r="S11" s="189">
        <v>0</v>
      </c>
      <c r="T11" s="189">
        <v>0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2.8250000000000002</v>
      </c>
      <c r="F12" s="194">
        <v>30.035</v>
      </c>
      <c r="G12" s="195">
        <v>0</v>
      </c>
      <c r="H12" s="195">
        <v>0</v>
      </c>
      <c r="I12" s="10">
        <v>0</v>
      </c>
      <c r="J12" s="10">
        <v>0</v>
      </c>
      <c r="K12" s="11">
        <v>0</v>
      </c>
      <c r="L12" s="189">
        <v>0</v>
      </c>
      <c r="M12" s="189">
        <v>0</v>
      </c>
      <c r="N12" s="189">
        <v>423.75</v>
      </c>
      <c r="O12" s="189">
        <v>0</v>
      </c>
      <c r="P12" s="189">
        <v>0</v>
      </c>
      <c r="Q12" s="189">
        <v>0</v>
      </c>
      <c r="R12" s="189">
        <v>0</v>
      </c>
      <c r="S12" s="189">
        <v>0</v>
      </c>
      <c r="T12" s="189">
        <v>423.75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30.035</v>
      </c>
      <c r="G13" s="195">
        <v>0</v>
      </c>
      <c r="H13" s="195">
        <v>0</v>
      </c>
      <c r="I13" s="10">
        <v>0</v>
      </c>
      <c r="J13" s="10">
        <v>0</v>
      </c>
      <c r="K13" s="11">
        <v>0</v>
      </c>
      <c r="L13" s="189">
        <v>0</v>
      </c>
      <c r="M13" s="189">
        <v>0</v>
      </c>
      <c r="N13" s="189">
        <v>0</v>
      </c>
      <c r="O13" s="189">
        <v>0</v>
      </c>
      <c r="P13" s="189">
        <v>0</v>
      </c>
      <c r="Q13" s="189">
        <v>0</v>
      </c>
      <c r="R13" s="189">
        <v>0</v>
      </c>
      <c r="S13" s="189">
        <v>0</v>
      </c>
      <c r="T13" s="189">
        <v>0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30.035</v>
      </c>
      <c r="G14" s="195">
        <v>0</v>
      </c>
      <c r="H14" s="195">
        <v>0</v>
      </c>
      <c r="I14" s="10">
        <v>0</v>
      </c>
      <c r="J14" s="10">
        <v>0</v>
      </c>
      <c r="K14" s="11">
        <v>0</v>
      </c>
      <c r="L14" s="189">
        <v>0</v>
      </c>
      <c r="M14" s="189">
        <v>0</v>
      </c>
      <c r="N14" s="189">
        <v>0</v>
      </c>
      <c r="O14" s="189">
        <v>0</v>
      </c>
      <c r="P14" s="189">
        <v>0</v>
      </c>
      <c r="Q14" s="189">
        <v>0</v>
      </c>
      <c r="R14" s="189">
        <v>0</v>
      </c>
      <c r="S14" s="189">
        <v>0</v>
      </c>
      <c r="T14" s="189">
        <v>0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30.035</v>
      </c>
      <c r="G15" s="195">
        <v>0</v>
      </c>
      <c r="H15" s="195">
        <v>0</v>
      </c>
      <c r="I15" s="10">
        <v>0</v>
      </c>
      <c r="J15" s="10">
        <v>0</v>
      </c>
      <c r="K15" s="11">
        <v>0</v>
      </c>
      <c r="L15" s="189">
        <v>0</v>
      </c>
      <c r="M15" s="189">
        <v>0</v>
      </c>
      <c r="N15" s="189">
        <v>0</v>
      </c>
      <c r="O15" s="189">
        <v>0</v>
      </c>
      <c r="P15" s="189">
        <v>0</v>
      </c>
      <c r="Q15" s="189">
        <v>0</v>
      </c>
      <c r="R15" s="189">
        <v>0</v>
      </c>
      <c r="S15" s="189">
        <v>0</v>
      </c>
      <c r="T15" s="189">
        <v>0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30.035</v>
      </c>
      <c r="G16" s="195">
        <v>0</v>
      </c>
      <c r="H16" s="195">
        <v>0</v>
      </c>
      <c r="I16" s="10">
        <v>0</v>
      </c>
      <c r="J16" s="10">
        <v>0</v>
      </c>
      <c r="K16" s="11">
        <v>0</v>
      </c>
      <c r="L16" s="189">
        <v>0</v>
      </c>
      <c r="M16" s="189">
        <v>0</v>
      </c>
      <c r="N16" s="189">
        <v>0</v>
      </c>
      <c r="O16" s="189">
        <v>0</v>
      </c>
      <c r="P16" s="189">
        <v>0</v>
      </c>
      <c r="Q16" s="189">
        <v>0</v>
      </c>
      <c r="R16" s="189">
        <v>0</v>
      </c>
      <c r="S16" s="189">
        <v>0</v>
      </c>
      <c r="T16" s="189">
        <v>0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30.035</v>
      </c>
      <c r="G17" s="195">
        <v>0</v>
      </c>
      <c r="H17" s="195">
        <v>0</v>
      </c>
      <c r="I17" s="10">
        <v>0</v>
      </c>
      <c r="J17" s="10">
        <v>0</v>
      </c>
      <c r="K17" s="11">
        <v>0</v>
      </c>
      <c r="L17" s="189">
        <v>0</v>
      </c>
      <c r="M17" s="189">
        <v>0</v>
      </c>
      <c r="N17" s="189">
        <v>0</v>
      </c>
      <c r="O17" s="189">
        <v>0</v>
      </c>
      <c r="P17" s="189">
        <v>0</v>
      </c>
      <c r="Q17" s="189">
        <v>0</v>
      </c>
      <c r="R17" s="189">
        <v>0</v>
      </c>
      <c r="S17" s="189">
        <v>0</v>
      </c>
      <c r="T17" s="189">
        <v>0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30.035</v>
      </c>
      <c r="G18" s="195">
        <v>0</v>
      </c>
      <c r="H18" s="195">
        <v>0</v>
      </c>
      <c r="I18" s="10">
        <v>0</v>
      </c>
      <c r="J18" s="10">
        <v>0</v>
      </c>
      <c r="K18" s="11">
        <v>0</v>
      </c>
      <c r="L18" s="189">
        <v>0</v>
      </c>
      <c r="M18" s="189">
        <v>0</v>
      </c>
      <c r="N18" s="189">
        <v>0</v>
      </c>
      <c r="O18" s="189">
        <v>0</v>
      </c>
      <c r="P18" s="189">
        <v>0</v>
      </c>
      <c r="Q18" s="189">
        <v>0</v>
      </c>
      <c r="R18" s="189">
        <v>0</v>
      </c>
      <c r="S18" s="189">
        <v>0</v>
      </c>
      <c r="T18" s="189">
        <v>0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30.035</v>
      </c>
      <c r="G19" s="195">
        <v>0</v>
      </c>
      <c r="H19" s="195">
        <v>0</v>
      </c>
      <c r="I19" s="10">
        <v>0</v>
      </c>
      <c r="J19" s="10">
        <v>0</v>
      </c>
      <c r="K19" s="11">
        <v>0</v>
      </c>
      <c r="L19" s="189">
        <v>0</v>
      </c>
      <c r="M19" s="189">
        <v>0</v>
      </c>
      <c r="N19" s="189">
        <v>0</v>
      </c>
      <c r="O19" s="189">
        <v>0</v>
      </c>
      <c r="P19" s="189">
        <v>0</v>
      </c>
      <c r="Q19" s="189">
        <v>0</v>
      </c>
      <c r="R19" s="189">
        <v>0</v>
      </c>
      <c r="S19" s="189">
        <v>0</v>
      </c>
      <c r="T19" s="189">
        <v>0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30.035</v>
      </c>
      <c r="G20" s="195">
        <v>0</v>
      </c>
      <c r="H20" s="195">
        <v>0</v>
      </c>
      <c r="I20" s="10">
        <v>0</v>
      </c>
      <c r="J20" s="10">
        <v>0</v>
      </c>
      <c r="K20" s="11">
        <v>0</v>
      </c>
      <c r="L20" s="189">
        <v>0</v>
      </c>
      <c r="M20" s="189">
        <v>0</v>
      </c>
      <c r="N20" s="189">
        <v>0</v>
      </c>
      <c r="O20" s="189">
        <v>0</v>
      </c>
      <c r="P20" s="189">
        <v>0</v>
      </c>
      <c r="Q20" s="189">
        <v>0</v>
      </c>
      <c r="R20" s="189">
        <v>0</v>
      </c>
      <c r="S20" s="189">
        <v>0</v>
      </c>
      <c r="T20" s="189">
        <v>0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30.035</v>
      </c>
      <c r="G21" s="195">
        <v>0</v>
      </c>
      <c r="H21" s="195">
        <v>0</v>
      </c>
      <c r="I21" s="10">
        <v>0</v>
      </c>
      <c r="J21" s="10">
        <v>0</v>
      </c>
      <c r="K21" s="11">
        <v>0</v>
      </c>
      <c r="L21" s="189">
        <v>0</v>
      </c>
      <c r="M21" s="189">
        <v>0</v>
      </c>
      <c r="N21" s="189">
        <v>0</v>
      </c>
      <c r="O21" s="189">
        <v>0</v>
      </c>
      <c r="P21" s="189">
        <v>0</v>
      </c>
      <c r="Q21" s="189">
        <v>0</v>
      </c>
      <c r="R21" s="189">
        <v>0</v>
      </c>
      <c r="S21" s="189">
        <v>0</v>
      </c>
      <c r="T21" s="189">
        <v>0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30.035</v>
      </c>
      <c r="G22" s="195">
        <v>0</v>
      </c>
      <c r="H22" s="195">
        <v>0</v>
      </c>
      <c r="I22" s="10">
        <v>0</v>
      </c>
      <c r="J22" s="10">
        <v>0</v>
      </c>
      <c r="K22" s="11">
        <v>0</v>
      </c>
      <c r="L22" s="189">
        <v>0</v>
      </c>
      <c r="M22" s="189">
        <v>0</v>
      </c>
      <c r="N22" s="189">
        <v>0</v>
      </c>
      <c r="O22" s="189">
        <v>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30.035</v>
      </c>
      <c r="G23" s="195">
        <v>0</v>
      </c>
      <c r="H23" s="195">
        <v>0</v>
      </c>
      <c r="I23" s="10">
        <v>0</v>
      </c>
      <c r="J23" s="10">
        <v>0</v>
      </c>
      <c r="K23" s="11">
        <v>0</v>
      </c>
      <c r="L23" s="189">
        <v>0</v>
      </c>
      <c r="M23" s="189">
        <v>0</v>
      </c>
      <c r="N23" s="189">
        <v>0</v>
      </c>
      <c r="O23" s="189">
        <v>0</v>
      </c>
      <c r="P23" s="189">
        <v>0</v>
      </c>
      <c r="Q23" s="189">
        <v>0</v>
      </c>
      <c r="R23" s="189">
        <v>0</v>
      </c>
      <c r="S23" s="189">
        <v>0</v>
      </c>
      <c r="T23" s="189">
        <v>0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30.035</v>
      </c>
      <c r="G24" s="195">
        <v>0</v>
      </c>
      <c r="H24" s="195">
        <v>0</v>
      </c>
      <c r="I24" s="10">
        <v>0</v>
      </c>
      <c r="J24" s="10">
        <v>0</v>
      </c>
      <c r="K24" s="11">
        <v>0</v>
      </c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0</v>
      </c>
      <c r="R24" s="189">
        <v>0</v>
      </c>
      <c r="S24" s="189">
        <v>0</v>
      </c>
      <c r="T24" s="189">
        <v>0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30.035</v>
      </c>
      <c r="G25" s="195">
        <v>0</v>
      </c>
      <c r="H25" s="195">
        <v>0</v>
      </c>
      <c r="I25" s="10">
        <v>0</v>
      </c>
      <c r="J25" s="10">
        <v>0</v>
      </c>
      <c r="K25" s="11">
        <v>0</v>
      </c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89">
        <v>0</v>
      </c>
      <c r="R25" s="189">
        <v>0</v>
      </c>
      <c r="S25" s="189">
        <v>0</v>
      </c>
      <c r="T25" s="189">
        <v>0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30.035</v>
      </c>
      <c r="G26" s="195">
        <v>0</v>
      </c>
      <c r="H26" s="195">
        <v>0</v>
      </c>
      <c r="I26" s="10">
        <v>0</v>
      </c>
      <c r="J26" s="10">
        <v>0</v>
      </c>
      <c r="K26" s="11">
        <v>0</v>
      </c>
      <c r="L26" s="189">
        <v>0</v>
      </c>
      <c r="M26" s="189">
        <v>0</v>
      </c>
      <c r="N26" s="189">
        <v>0</v>
      </c>
      <c r="O26" s="189">
        <v>0</v>
      </c>
      <c r="P26" s="189">
        <v>0</v>
      </c>
      <c r="Q26" s="189">
        <v>0</v>
      </c>
      <c r="R26" s="189">
        <v>0</v>
      </c>
      <c r="S26" s="189">
        <v>0</v>
      </c>
      <c r="T26" s="189">
        <v>0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30.035</v>
      </c>
      <c r="G27" s="195">
        <v>0</v>
      </c>
      <c r="H27" s="195">
        <v>0</v>
      </c>
      <c r="I27" s="10">
        <v>0</v>
      </c>
      <c r="J27" s="10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0</v>
      </c>
      <c r="P27" s="189">
        <v>0</v>
      </c>
      <c r="Q27" s="189">
        <v>0</v>
      </c>
      <c r="R27" s="189">
        <v>0</v>
      </c>
      <c r="S27" s="189">
        <v>0</v>
      </c>
      <c r="T27" s="189">
        <v>0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30.035</v>
      </c>
      <c r="G28" s="195">
        <v>0</v>
      </c>
      <c r="H28" s="195">
        <v>0</v>
      </c>
      <c r="I28" s="10">
        <v>0</v>
      </c>
      <c r="J28" s="10">
        <v>0</v>
      </c>
      <c r="K28" s="11">
        <v>0</v>
      </c>
      <c r="L28" s="189">
        <v>0</v>
      </c>
      <c r="M28" s="189">
        <v>0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  <c r="S28" s="189">
        <v>0</v>
      </c>
      <c r="T28" s="189">
        <v>0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30.035</v>
      </c>
      <c r="G29" s="195">
        <v>0</v>
      </c>
      <c r="H29" s="195">
        <v>0</v>
      </c>
      <c r="I29" s="10">
        <v>0</v>
      </c>
      <c r="J29" s="10">
        <v>0</v>
      </c>
      <c r="K29" s="11">
        <v>0</v>
      </c>
      <c r="L29" s="189">
        <v>0</v>
      </c>
      <c r="M29" s="189">
        <v>0</v>
      </c>
      <c r="N29" s="189">
        <v>0</v>
      </c>
      <c r="O29" s="189">
        <v>0</v>
      </c>
      <c r="P29" s="189">
        <v>0</v>
      </c>
      <c r="Q29" s="189">
        <v>0</v>
      </c>
      <c r="R29" s="189">
        <v>0</v>
      </c>
      <c r="S29" s="189">
        <v>0</v>
      </c>
      <c r="T29" s="189">
        <v>0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30.035</v>
      </c>
      <c r="G30" s="195">
        <v>0</v>
      </c>
      <c r="H30" s="195">
        <v>0</v>
      </c>
      <c r="I30" s="10">
        <v>0</v>
      </c>
      <c r="J30" s="10">
        <v>0</v>
      </c>
      <c r="K30" s="11">
        <v>0</v>
      </c>
      <c r="L30" s="189">
        <v>0</v>
      </c>
      <c r="M30" s="189">
        <v>0</v>
      </c>
      <c r="N30" s="189">
        <v>0</v>
      </c>
      <c r="O30" s="189">
        <v>0</v>
      </c>
      <c r="P30" s="189">
        <v>0</v>
      </c>
      <c r="Q30" s="189">
        <v>0</v>
      </c>
      <c r="R30" s="189">
        <v>0</v>
      </c>
      <c r="S30" s="189">
        <v>0</v>
      </c>
      <c r="T30" s="189">
        <v>0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30.035</v>
      </c>
      <c r="G31" s="195">
        <v>0</v>
      </c>
      <c r="H31" s="195">
        <v>0</v>
      </c>
      <c r="I31" s="10">
        <v>0</v>
      </c>
      <c r="J31" s="10">
        <v>0</v>
      </c>
      <c r="K31" s="11">
        <v>0</v>
      </c>
      <c r="L31" s="189">
        <v>0</v>
      </c>
      <c r="M31" s="189">
        <v>0</v>
      </c>
      <c r="N31" s="189">
        <v>0</v>
      </c>
      <c r="O31" s="189">
        <v>0</v>
      </c>
      <c r="P31" s="189">
        <v>0</v>
      </c>
      <c r="Q31" s="189">
        <v>0</v>
      </c>
      <c r="R31" s="189">
        <v>0</v>
      </c>
      <c r="S31" s="189">
        <v>0</v>
      </c>
      <c r="T31" s="189">
        <v>0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30.035</v>
      </c>
      <c r="G32" s="195">
        <v>0</v>
      </c>
      <c r="H32" s="195">
        <v>0</v>
      </c>
      <c r="I32" s="10">
        <v>0</v>
      </c>
      <c r="J32" s="10">
        <v>0</v>
      </c>
      <c r="K32" s="11">
        <v>0</v>
      </c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0</v>
      </c>
      <c r="R32" s="189">
        <v>0</v>
      </c>
      <c r="S32" s="189">
        <v>0</v>
      </c>
      <c r="T32" s="189">
        <v>0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0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0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0</v>
      </c>
      <c r="E36" s="19">
        <v>2.8250000000000002</v>
      </c>
      <c r="F36" s="19">
        <v>860.75499999999988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0">
        <v>0</v>
      </c>
      <c r="M36" s="190">
        <v>0</v>
      </c>
      <c r="N36" s="190">
        <v>423.75</v>
      </c>
      <c r="O36" s="190">
        <v>33770.82</v>
      </c>
      <c r="P36" s="190">
        <v>0</v>
      </c>
      <c r="Q36" s="190">
        <v>0</v>
      </c>
      <c r="R36" s="190">
        <v>0</v>
      </c>
      <c r="S36" s="190">
        <v>0</v>
      </c>
      <c r="T36" s="190">
        <v>34194.57</v>
      </c>
    </row>
    <row r="37" spans="1:20">
      <c r="R37" s="22"/>
      <c r="S37" s="22"/>
      <c r="T37" s="191">
        <v>41717.379999999997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7686-1291-4FE0-BBE1-96713F7C17B2}">
  <sheetPr codeName="Лист41">
    <pageSetUpPr fitToPage="1"/>
  </sheetPr>
  <dimension ref="A1:T37"/>
  <sheetViews>
    <sheetView workbookViewId="0">
      <selection activeCell="P5" sqref="P5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326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323</v>
      </c>
      <c r="H3" s="202" t="s">
        <v>324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325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27" customHeight="1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111</v>
      </c>
      <c r="E5" s="194">
        <v>25.925000000000001</v>
      </c>
      <c r="F5" s="194">
        <v>5794.5640000000003</v>
      </c>
      <c r="G5" s="195">
        <v>0</v>
      </c>
      <c r="H5" s="195">
        <v>263.07499999999999</v>
      </c>
      <c r="I5" s="10">
        <v>0</v>
      </c>
      <c r="J5" s="10">
        <v>0</v>
      </c>
      <c r="K5" s="11">
        <v>0</v>
      </c>
      <c r="L5" s="189">
        <v>0</v>
      </c>
      <c r="M5" s="189">
        <v>16650</v>
      </c>
      <c r="N5" s="189">
        <v>3888.75</v>
      </c>
      <c r="O5" s="189">
        <v>0</v>
      </c>
      <c r="P5" s="189">
        <v>0</v>
      </c>
      <c r="Q5" s="189">
        <v>39461.25</v>
      </c>
      <c r="R5" s="189">
        <v>0</v>
      </c>
      <c r="S5" s="189">
        <v>0</v>
      </c>
      <c r="T5" s="189">
        <v>60000</v>
      </c>
    </row>
    <row r="6" spans="1:20">
      <c r="A6" s="13">
        <v>2</v>
      </c>
      <c r="B6" s="199" t="s">
        <v>202</v>
      </c>
      <c r="C6" s="200"/>
      <c r="D6" s="194">
        <v>177</v>
      </c>
      <c r="E6" s="194">
        <v>18.7</v>
      </c>
      <c r="F6" s="194">
        <v>5952.8639999999996</v>
      </c>
      <c r="G6" s="195">
        <v>0</v>
      </c>
      <c r="H6" s="195">
        <v>204.3</v>
      </c>
      <c r="I6" s="10">
        <v>0</v>
      </c>
      <c r="J6" s="10">
        <v>0</v>
      </c>
      <c r="K6" s="11">
        <v>0</v>
      </c>
      <c r="L6" s="189">
        <v>0</v>
      </c>
      <c r="M6" s="189">
        <v>26550</v>
      </c>
      <c r="N6" s="189">
        <v>2805</v>
      </c>
      <c r="O6" s="189">
        <v>0</v>
      </c>
      <c r="P6" s="189">
        <v>0</v>
      </c>
      <c r="Q6" s="189">
        <v>30645</v>
      </c>
      <c r="R6" s="189">
        <v>0</v>
      </c>
      <c r="S6" s="189">
        <v>0</v>
      </c>
      <c r="T6" s="189">
        <v>60000</v>
      </c>
    </row>
    <row r="7" spans="1:20">
      <c r="A7" s="13">
        <v>3</v>
      </c>
      <c r="B7" s="199" t="s">
        <v>203</v>
      </c>
      <c r="C7" s="200"/>
      <c r="D7" s="194">
        <v>111.5</v>
      </c>
      <c r="E7" s="194">
        <v>22</v>
      </c>
      <c r="F7" s="194">
        <v>6042.3639999999996</v>
      </c>
      <c r="G7" s="195">
        <v>0</v>
      </c>
      <c r="H7" s="195">
        <v>266.5</v>
      </c>
      <c r="I7" s="10">
        <v>0</v>
      </c>
      <c r="J7" s="10">
        <v>0</v>
      </c>
      <c r="K7" s="11">
        <v>0</v>
      </c>
      <c r="L7" s="189">
        <v>0</v>
      </c>
      <c r="M7" s="189">
        <v>16725</v>
      </c>
      <c r="N7" s="189">
        <v>3300</v>
      </c>
      <c r="O7" s="189">
        <v>0</v>
      </c>
      <c r="P7" s="189">
        <v>0</v>
      </c>
      <c r="Q7" s="189">
        <v>39975</v>
      </c>
      <c r="R7" s="189">
        <v>0</v>
      </c>
      <c r="S7" s="189">
        <v>0</v>
      </c>
      <c r="T7" s="189">
        <v>60000</v>
      </c>
    </row>
    <row r="8" spans="1:20">
      <c r="A8" s="13">
        <v>4</v>
      </c>
      <c r="B8" s="199" t="s">
        <v>204</v>
      </c>
      <c r="C8" s="200"/>
      <c r="D8" s="194">
        <v>155</v>
      </c>
      <c r="E8" s="194">
        <v>44</v>
      </c>
      <c r="F8" s="194">
        <v>6153.3639999999996</v>
      </c>
      <c r="G8" s="195">
        <v>0</v>
      </c>
      <c r="H8" s="195">
        <v>201</v>
      </c>
      <c r="I8" s="10">
        <v>0</v>
      </c>
      <c r="J8" s="10">
        <v>0</v>
      </c>
      <c r="K8" s="11">
        <v>0</v>
      </c>
      <c r="L8" s="189">
        <v>0</v>
      </c>
      <c r="M8" s="189">
        <v>23250</v>
      </c>
      <c r="N8" s="189">
        <v>6600</v>
      </c>
      <c r="O8" s="189">
        <v>0</v>
      </c>
      <c r="P8" s="189">
        <v>0</v>
      </c>
      <c r="Q8" s="189">
        <v>30150</v>
      </c>
      <c r="R8" s="189">
        <v>0</v>
      </c>
      <c r="S8" s="189">
        <v>0</v>
      </c>
      <c r="T8" s="189">
        <v>60000</v>
      </c>
    </row>
    <row r="9" spans="1:20">
      <c r="A9" s="13">
        <v>5</v>
      </c>
      <c r="B9" s="199" t="s">
        <v>205</v>
      </c>
      <c r="C9" s="200"/>
      <c r="D9" s="194">
        <v>134</v>
      </c>
      <c r="E9" s="194">
        <v>44.5</v>
      </c>
      <c r="F9" s="194">
        <v>6242.8639999999996</v>
      </c>
      <c r="G9" s="195">
        <v>0</v>
      </c>
      <c r="H9" s="195">
        <v>221.5</v>
      </c>
      <c r="I9" s="10">
        <v>0</v>
      </c>
      <c r="J9" s="10">
        <v>0</v>
      </c>
      <c r="K9" s="11">
        <v>0</v>
      </c>
      <c r="L9" s="189">
        <v>0</v>
      </c>
      <c r="M9" s="189">
        <v>20100</v>
      </c>
      <c r="N9" s="189">
        <v>6675</v>
      </c>
      <c r="O9" s="189">
        <v>0</v>
      </c>
      <c r="P9" s="189">
        <v>0</v>
      </c>
      <c r="Q9" s="189">
        <v>33225</v>
      </c>
      <c r="R9" s="189">
        <v>0</v>
      </c>
      <c r="S9" s="189">
        <v>0</v>
      </c>
      <c r="T9" s="189">
        <v>60000</v>
      </c>
    </row>
    <row r="10" spans="1:20">
      <c r="A10" s="13">
        <v>6</v>
      </c>
      <c r="B10" s="199" t="s">
        <v>206</v>
      </c>
      <c r="C10" s="200"/>
      <c r="D10" s="194">
        <v>289.5</v>
      </c>
      <c r="E10" s="194">
        <v>22</v>
      </c>
      <c r="F10" s="194">
        <v>6510.3639999999996</v>
      </c>
      <c r="G10" s="195">
        <v>0</v>
      </c>
      <c r="H10" s="195">
        <v>88.5</v>
      </c>
      <c r="I10" s="10">
        <v>0</v>
      </c>
      <c r="J10" s="10">
        <v>0</v>
      </c>
      <c r="K10" s="11">
        <v>0</v>
      </c>
      <c r="L10" s="189">
        <v>0</v>
      </c>
      <c r="M10" s="189">
        <v>43425</v>
      </c>
      <c r="N10" s="189">
        <v>3300</v>
      </c>
      <c r="O10" s="189">
        <v>0</v>
      </c>
      <c r="P10" s="189">
        <v>0</v>
      </c>
      <c r="Q10" s="189">
        <v>13275</v>
      </c>
      <c r="R10" s="189">
        <v>0</v>
      </c>
      <c r="S10" s="189">
        <v>0</v>
      </c>
      <c r="T10" s="189">
        <v>60000</v>
      </c>
    </row>
    <row r="11" spans="1:20">
      <c r="A11" s="13">
        <v>7</v>
      </c>
      <c r="B11" s="199" t="s">
        <v>207</v>
      </c>
      <c r="C11" s="200"/>
      <c r="D11" s="194">
        <v>156</v>
      </c>
      <c r="E11" s="194">
        <v>22</v>
      </c>
      <c r="F11" s="194">
        <v>6644.3639999999996</v>
      </c>
      <c r="G11" s="195">
        <v>0</v>
      </c>
      <c r="H11" s="195">
        <v>222</v>
      </c>
      <c r="I11" s="10">
        <v>0</v>
      </c>
      <c r="J11" s="10">
        <v>0</v>
      </c>
      <c r="K11" s="11">
        <v>0</v>
      </c>
      <c r="L11" s="189">
        <v>0</v>
      </c>
      <c r="M11" s="189">
        <v>23400</v>
      </c>
      <c r="N11" s="189">
        <v>3300</v>
      </c>
      <c r="O11" s="189">
        <v>0</v>
      </c>
      <c r="P11" s="189">
        <v>0</v>
      </c>
      <c r="Q11" s="189">
        <v>33300</v>
      </c>
      <c r="R11" s="189">
        <v>0</v>
      </c>
      <c r="S11" s="189">
        <v>0</v>
      </c>
      <c r="T11" s="189">
        <v>60000</v>
      </c>
    </row>
    <row r="12" spans="1:20">
      <c r="A12" s="13">
        <v>8</v>
      </c>
      <c r="B12" s="199" t="s">
        <v>208</v>
      </c>
      <c r="C12" s="200"/>
      <c r="D12" s="194">
        <v>67.5</v>
      </c>
      <c r="E12" s="194">
        <v>66</v>
      </c>
      <c r="F12" s="194">
        <v>6645.8639999999996</v>
      </c>
      <c r="G12" s="195">
        <v>0</v>
      </c>
      <c r="H12" s="195">
        <v>266.5</v>
      </c>
      <c r="I12" s="10">
        <v>0</v>
      </c>
      <c r="J12" s="10">
        <v>0</v>
      </c>
      <c r="K12" s="11">
        <v>0</v>
      </c>
      <c r="L12" s="189">
        <v>0</v>
      </c>
      <c r="M12" s="189">
        <v>10125</v>
      </c>
      <c r="N12" s="189">
        <v>9900</v>
      </c>
      <c r="O12" s="189">
        <v>0</v>
      </c>
      <c r="P12" s="189">
        <v>0</v>
      </c>
      <c r="Q12" s="189">
        <v>39975</v>
      </c>
      <c r="R12" s="189">
        <v>0</v>
      </c>
      <c r="S12" s="189">
        <v>0</v>
      </c>
      <c r="T12" s="189">
        <v>60000</v>
      </c>
    </row>
    <row r="13" spans="1:20">
      <c r="A13" s="13">
        <v>9</v>
      </c>
      <c r="B13" s="199" t="s">
        <v>209</v>
      </c>
      <c r="C13" s="200"/>
      <c r="D13" s="194">
        <v>111.5</v>
      </c>
      <c r="E13" s="194">
        <v>47.1</v>
      </c>
      <c r="F13" s="194">
        <v>6710.2640000000001</v>
      </c>
      <c r="G13" s="195">
        <v>0</v>
      </c>
      <c r="H13" s="195">
        <v>241.39999999999998</v>
      </c>
      <c r="I13" s="10">
        <v>0</v>
      </c>
      <c r="J13" s="10">
        <v>0</v>
      </c>
      <c r="K13" s="11">
        <v>0</v>
      </c>
      <c r="L13" s="189">
        <v>0</v>
      </c>
      <c r="M13" s="189">
        <v>16725</v>
      </c>
      <c r="N13" s="189">
        <v>7065</v>
      </c>
      <c r="O13" s="189">
        <v>0</v>
      </c>
      <c r="P13" s="189">
        <v>0</v>
      </c>
      <c r="Q13" s="189">
        <v>36210</v>
      </c>
      <c r="R13" s="189">
        <v>0</v>
      </c>
      <c r="S13" s="189">
        <v>0</v>
      </c>
      <c r="T13" s="189">
        <v>60000</v>
      </c>
    </row>
    <row r="14" spans="1:20">
      <c r="A14" s="13">
        <v>10</v>
      </c>
      <c r="B14" s="199" t="s">
        <v>210</v>
      </c>
      <c r="C14" s="200"/>
      <c r="D14" s="194">
        <v>45</v>
      </c>
      <c r="E14" s="194">
        <v>22</v>
      </c>
      <c r="F14" s="194">
        <v>6733.2640000000001</v>
      </c>
      <c r="G14" s="195">
        <v>0</v>
      </c>
      <c r="H14" s="195">
        <v>333</v>
      </c>
      <c r="I14" s="10">
        <v>0</v>
      </c>
      <c r="J14" s="10">
        <v>0</v>
      </c>
      <c r="K14" s="11">
        <v>0</v>
      </c>
      <c r="L14" s="189">
        <v>0</v>
      </c>
      <c r="M14" s="189">
        <v>6750</v>
      </c>
      <c r="N14" s="189">
        <v>3300</v>
      </c>
      <c r="O14" s="189">
        <v>0</v>
      </c>
      <c r="P14" s="189">
        <v>0</v>
      </c>
      <c r="Q14" s="189">
        <v>49950</v>
      </c>
      <c r="R14" s="189">
        <v>0</v>
      </c>
      <c r="S14" s="189">
        <v>0</v>
      </c>
      <c r="T14" s="189">
        <v>60000</v>
      </c>
    </row>
    <row r="15" spans="1:20">
      <c r="A15" s="13">
        <v>11</v>
      </c>
      <c r="B15" s="199" t="s">
        <v>211</v>
      </c>
      <c r="C15" s="200"/>
      <c r="D15" s="194">
        <v>45</v>
      </c>
      <c r="E15" s="194">
        <v>0.5</v>
      </c>
      <c r="F15" s="194">
        <v>6777.7640000000001</v>
      </c>
      <c r="G15" s="195">
        <v>0</v>
      </c>
      <c r="H15" s="195">
        <v>354.5</v>
      </c>
      <c r="I15" s="10">
        <v>0</v>
      </c>
      <c r="J15" s="10">
        <v>0</v>
      </c>
      <c r="K15" s="11">
        <v>0</v>
      </c>
      <c r="L15" s="189">
        <v>0</v>
      </c>
      <c r="M15" s="189">
        <v>6750</v>
      </c>
      <c r="N15" s="189">
        <v>75</v>
      </c>
      <c r="O15" s="189">
        <v>0</v>
      </c>
      <c r="P15" s="189">
        <v>0</v>
      </c>
      <c r="Q15" s="189">
        <v>53175</v>
      </c>
      <c r="R15" s="189">
        <v>0</v>
      </c>
      <c r="S15" s="189">
        <v>0</v>
      </c>
      <c r="T15" s="189">
        <v>60000</v>
      </c>
    </row>
    <row r="16" spans="1:20">
      <c r="A16" s="13">
        <v>12</v>
      </c>
      <c r="B16" s="199" t="s">
        <v>212</v>
      </c>
      <c r="C16" s="200"/>
      <c r="D16" s="194">
        <v>22.5</v>
      </c>
      <c r="E16" s="194">
        <v>225</v>
      </c>
      <c r="F16" s="194">
        <v>6575.2640000000001</v>
      </c>
      <c r="G16" s="195">
        <v>0</v>
      </c>
      <c r="H16" s="195">
        <v>152.5</v>
      </c>
      <c r="I16" s="10">
        <v>0</v>
      </c>
      <c r="J16" s="10">
        <v>0</v>
      </c>
      <c r="K16" s="11">
        <v>0</v>
      </c>
      <c r="L16" s="189">
        <v>0</v>
      </c>
      <c r="M16" s="189">
        <v>3375</v>
      </c>
      <c r="N16" s="189">
        <v>33750</v>
      </c>
      <c r="O16" s="189">
        <v>0</v>
      </c>
      <c r="P16" s="189">
        <v>0</v>
      </c>
      <c r="Q16" s="189">
        <v>22875</v>
      </c>
      <c r="R16" s="189">
        <v>0</v>
      </c>
      <c r="S16" s="189">
        <v>0</v>
      </c>
      <c r="T16" s="189">
        <v>60000</v>
      </c>
    </row>
    <row r="17" spans="1:20">
      <c r="A17" s="13">
        <v>13</v>
      </c>
      <c r="B17" s="199" t="s">
        <v>213</v>
      </c>
      <c r="C17" s="200"/>
      <c r="D17" s="194">
        <v>22.5</v>
      </c>
      <c r="E17" s="194">
        <v>70.5</v>
      </c>
      <c r="F17" s="194">
        <v>6527.2640000000001</v>
      </c>
      <c r="G17" s="195">
        <v>0</v>
      </c>
      <c r="H17" s="195">
        <v>307</v>
      </c>
      <c r="I17" s="10">
        <v>0</v>
      </c>
      <c r="J17" s="10">
        <v>0</v>
      </c>
      <c r="K17" s="11">
        <v>0</v>
      </c>
      <c r="L17" s="189">
        <v>0</v>
      </c>
      <c r="M17" s="189">
        <v>3375</v>
      </c>
      <c r="N17" s="189">
        <v>10575</v>
      </c>
      <c r="O17" s="189">
        <v>0</v>
      </c>
      <c r="P17" s="189">
        <v>0</v>
      </c>
      <c r="Q17" s="189">
        <v>46050</v>
      </c>
      <c r="R17" s="189">
        <v>0</v>
      </c>
      <c r="S17" s="189">
        <v>0</v>
      </c>
      <c r="T17" s="189">
        <v>60000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90</v>
      </c>
      <c r="F18" s="194">
        <v>6437.2640000000001</v>
      </c>
      <c r="G18" s="195">
        <v>0</v>
      </c>
      <c r="H18" s="195">
        <v>310</v>
      </c>
      <c r="I18" s="10">
        <v>0</v>
      </c>
      <c r="J18" s="10">
        <v>0</v>
      </c>
      <c r="K18" s="11">
        <v>0</v>
      </c>
      <c r="L18" s="189">
        <v>0</v>
      </c>
      <c r="M18" s="189">
        <v>0</v>
      </c>
      <c r="N18" s="189">
        <v>13500</v>
      </c>
      <c r="O18" s="189">
        <v>0</v>
      </c>
      <c r="P18" s="189">
        <v>0</v>
      </c>
      <c r="Q18" s="189">
        <v>46500</v>
      </c>
      <c r="R18" s="189">
        <v>0</v>
      </c>
      <c r="S18" s="189">
        <v>0</v>
      </c>
      <c r="T18" s="189">
        <v>60000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44.5</v>
      </c>
      <c r="F19" s="194">
        <v>6392.7640000000001</v>
      </c>
      <c r="G19" s="195">
        <v>0</v>
      </c>
      <c r="H19" s="195">
        <v>355.5</v>
      </c>
      <c r="I19" s="10">
        <v>0</v>
      </c>
      <c r="J19" s="10">
        <v>0</v>
      </c>
      <c r="K19" s="11">
        <v>0</v>
      </c>
      <c r="L19" s="189">
        <v>0</v>
      </c>
      <c r="M19" s="189">
        <v>0</v>
      </c>
      <c r="N19" s="189">
        <v>6675</v>
      </c>
      <c r="O19" s="189">
        <v>0</v>
      </c>
      <c r="P19" s="189">
        <v>0</v>
      </c>
      <c r="Q19" s="189">
        <v>53325</v>
      </c>
      <c r="R19" s="189">
        <v>0</v>
      </c>
      <c r="S19" s="189">
        <v>0</v>
      </c>
      <c r="T19" s="189">
        <v>60000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135.32499999999999</v>
      </c>
      <c r="F20" s="194">
        <v>6257.4390000000003</v>
      </c>
      <c r="G20" s="195">
        <v>0</v>
      </c>
      <c r="H20" s="195">
        <v>264.67500000000001</v>
      </c>
      <c r="I20" s="10">
        <v>0</v>
      </c>
      <c r="J20" s="10">
        <v>0</v>
      </c>
      <c r="K20" s="11">
        <v>0</v>
      </c>
      <c r="L20" s="189">
        <v>0</v>
      </c>
      <c r="M20" s="189">
        <v>0</v>
      </c>
      <c r="N20" s="189">
        <v>20298.75</v>
      </c>
      <c r="O20" s="189">
        <v>0</v>
      </c>
      <c r="P20" s="189">
        <v>0</v>
      </c>
      <c r="Q20" s="189">
        <v>39701.25</v>
      </c>
      <c r="R20" s="189">
        <v>0</v>
      </c>
      <c r="S20" s="189">
        <v>0</v>
      </c>
      <c r="T20" s="189">
        <v>60000</v>
      </c>
    </row>
    <row r="21" spans="1:20">
      <c r="A21" s="13">
        <v>17</v>
      </c>
      <c r="B21" s="199" t="s">
        <v>217</v>
      </c>
      <c r="C21" s="200"/>
      <c r="D21" s="194">
        <v>22.5</v>
      </c>
      <c r="E21" s="194">
        <v>90.5</v>
      </c>
      <c r="F21" s="194">
        <v>6189.4390000000003</v>
      </c>
      <c r="G21" s="195">
        <v>0</v>
      </c>
      <c r="H21" s="195">
        <v>287</v>
      </c>
      <c r="I21" s="10">
        <v>0</v>
      </c>
      <c r="J21" s="10">
        <v>0</v>
      </c>
      <c r="K21" s="11">
        <v>0</v>
      </c>
      <c r="L21" s="189">
        <v>0</v>
      </c>
      <c r="M21" s="189">
        <v>3375</v>
      </c>
      <c r="N21" s="189">
        <v>13575</v>
      </c>
      <c r="O21" s="189">
        <v>0</v>
      </c>
      <c r="P21" s="189">
        <v>0</v>
      </c>
      <c r="Q21" s="189">
        <v>43050</v>
      </c>
      <c r="R21" s="189">
        <v>0</v>
      </c>
      <c r="S21" s="189">
        <v>0</v>
      </c>
      <c r="T21" s="189">
        <v>60000</v>
      </c>
    </row>
    <row r="22" spans="1:20">
      <c r="A22" s="13">
        <v>18</v>
      </c>
      <c r="B22" s="199" t="s">
        <v>218</v>
      </c>
      <c r="C22" s="200"/>
      <c r="D22" s="194">
        <v>45</v>
      </c>
      <c r="E22" s="194">
        <v>83.5</v>
      </c>
      <c r="F22" s="194">
        <v>6150.9390000000003</v>
      </c>
      <c r="G22" s="195">
        <v>0</v>
      </c>
      <c r="H22" s="195">
        <v>271.5</v>
      </c>
      <c r="I22" s="10">
        <v>0</v>
      </c>
      <c r="J22" s="10">
        <v>0</v>
      </c>
      <c r="K22" s="11">
        <v>0</v>
      </c>
      <c r="L22" s="189">
        <v>0</v>
      </c>
      <c r="M22" s="189">
        <v>6750</v>
      </c>
      <c r="N22" s="189">
        <v>12525</v>
      </c>
      <c r="O22" s="189">
        <v>0</v>
      </c>
      <c r="P22" s="189">
        <v>0</v>
      </c>
      <c r="Q22" s="189">
        <v>40725</v>
      </c>
      <c r="R22" s="189">
        <v>0</v>
      </c>
      <c r="S22" s="189">
        <v>0</v>
      </c>
      <c r="T22" s="189">
        <v>60000</v>
      </c>
    </row>
    <row r="23" spans="1:20">
      <c r="A23" s="13">
        <v>19</v>
      </c>
      <c r="B23" s="199" t="s">
        <v>219</v>
      </c>
      <c r="C23" s="200"/>
      <c r="D23" s="194">
        <v>45</v>
      </c>
      <c r="E23" s="194">
        <v>44.5</v>
      </c>
      <c r="F23" s="194">
        <v>6151.4390000000003</v>
      </c>
      <c r="G23" s="195">
        <v>0</v>
      </c>
      <c r="H23" s="195">
        <v>310.5</v>
      </c>
      <c r="I23" s="10">
        <v>0</v>
      </c>
      <c r="J23" s="10">
        <v>0</v>
      </c>
      <c r="K23" s="11">
        <v>0</v>
      </c>
      <c r="L23" s="189">
        <v>0</v>
      </c>
      <c r="M23" s="189">
        <v>6750</v>
      </c>
      <c r="N23" s="189">
        <v>6675</v>
      </c>
      <c r="O23" s="189">
        <v>0</v>
      </c>
      <c r="P23" s="189">
        <v>0</v>
      </c>
      <c r="Q23" s="189">
        <v>46575</v>
      </c>
      <c r="R23" s="189">
        <v>0</v>
      </c>
      <c r="S23" s="189">
        <v>0</v>
      </c>
      <c r="T23" s="189">
        <v>60000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67.5</v>
      </c>
      <c r="F24" s="194">
        <v>6083.9390000000003</v>
      </c>
      <c r="G24" s="195">
        <v>0</v>
      </c>
      <c r="H24" s="195">
        <v>332.5</v>
      </c>
      <c r="I24" s="10">
        <v>0</v>
      </c>
      <c r="J24" s="10">
        <v>0</v>
      </c>
      <c r="K24" s="11">
        <v>0</v>
      </c>
      <c r="L24" s="189">
        <v>0</v>
      </c>
      <c r="M24" s="189">
        <v>0</v>
      </c>
      <c r="N24" s="189">
        <v>10125</v>
      </c>
      <c r="O24" s="189">
        <v>0</v>
      </c>
      <c r="P24" s="189">
        <v>0</v>
      </c>
      <c r="Q24" s="189">
        <v>49875</v>
      </c>
      <c r="R24" s="189">
        <v>0</v>
      </c>
      <c r="S24" s="189">
        <v>0</v>
      </c>
      <c r="T24" s="189">
        <v>60000</v>
      </c>
    </row>
    <row r="25" spans="1:20">
      <c r="A25" s="13">
        <v>21</v>
      </c>
      <c r="B25" s="199" t="s">
        <v>221</v>
      </c>
      <c r="C25" s="200"/>
      <c r="D25" s="194">
        <v>22.5</v>
      </c>
      <c r="E25" s="194">
        <v>89.5</v>
      </c>
      <c r="F25" s="194">
        <v>6016.9390000000003</v>
      </c>
      <c r="G25" s="195">
        <v>0</v>
      </c>
      <c r="H25" s="195">
        <v>288</v>
      </c>
      <c r="I25" s="10">
        <v>0</v>
      </c>
      <c r="J25" s="10">
        <v>0</v>
      </c>
      <c r="K25" s="11">
        <v>0</v>
      </c>
      <c r="L25" s="189">
        <v>0</v>
      </c>
      <c r="M25" s="189">
        <v>3375</v>
      </c>
      <c r="N25" s="189">
        <v>13425</v>
      </c>
      <c r="O25" s="189">
        <v>0</v>
      </c>
      <c r="P25" s="189">
        <v>0</v>
      </c>
      <c r="Q25" s="189">
        <v>43200</v>
      </c>
      <c r="R25" s="189">
        <v>0</v>
      </c>
      <c r="S25" s="189">
        <v>0</v>
      </c>
      <c r="T25" s="189">
        <v>60000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90</v>
      </c>
      <c r="F26" s="194">
        <v>5926.9390000000003</v>
      </c>
      <c r="G26" s="195">
        <v>0</v>
      </c>
      <c r="H26" s="195">
        <v>310</v>
      </c>
      <c r="I26" s="10">
        <v>0</v>
      </c>
      <c r="J26" s="10">
        <v>0</v>
      </c>
      <c r="K26" s="11">
        <v>0</v>
      </c>
      <c r="L26" s="189">
        <v>0</v>
      </c>
      <c r="M26" s="189">
        <v>0</v>
      </c>
      <c r="N26" s="189">
        <v>13500</v>
      </c>
      <c r="O26" s="189">
        <v>0</v>
      </c>
      <c r="P26" s="189">
        <v>0</v>
      </c>
      <c r="Q26" s="189">
        <v>46500</v>
      </c>
      <c r="R26" s="189">
        <v>0</v>
      </c>
      <c r="S26" s="189">
        <v>0</v>
      </c>
      <c r="T26" s="189">
        <v>60000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67</v>
      </c>
      <c r="F27" s="194">
        <v>5859.9390000000003</v>
      </c>
      <c r="G27" s="195">
        <v>0</v>
      </c>
      <c r="H27" s="195">
        <v>333</v>
      </c>
      <c r="I27" s="10">
        <v>0</v>
      </c>
      <c r="J27" s="10">
        <v>0</v>
      </c>
      <c r="K27" s="11">
        <v>0</v>
      </c>
      <c r="L27" s="189">
        <v>0</v>
      </c>
      <c r="M27" s="189">
        <v>0</v>
      </c>
      <c r="N27" s="189">
        <v>10050</v>
      </c>
      <c r="O27" s="189">
        <v>0</v>
      </c>
      <c r="P27" s="189">
        <v>0</v>
      </c>
      <c r="Q27" s="189">
        <v>49950</v>
      </c>
      <c r="R27" s="189">
        <v>0</v>
      </c>
      <c r="S27" s="189">
        <v>0</v>
      </c>
      <c r="T27" s="189">
        <v>60000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67.5</v>
      </c>
      <c r="F28" s="194">
        <v>5792.4390000000003</v>
      </c>
      <c r="G28" s="195">
        <v>0</v>
      </c>
      <c r="H28" s="195">
        <v>332.5</v>
      </c>
      <c r="I28" s="10">
        <v>0</v>
      </c>
      <c r="J28" s="10">
        <v>0</v>
      </c>
      <c r="K28" s="11">
        <v>0</v>
      </c>
      <c r="L28" s="189">
        <v>0</v>
      </c>
      <c r="M28" s="189">
        <v>0</v>
      </c>
      <c r="N28" s="189">
        <v>10125</v>
      </c>
      <c r="O28" s="189">
        <v>0</v>
      </c>
      <c r="P28" s="189">
        <v>0</v>
      </c>
      <c r="Q28" s="189">
        <v>49875</v>
      </c>
      <c r="R28" s="189">
        <v>0</v>
      </c>
      <c r="S28" s="189">
        <v>0</v>
      </c>
      <c r="T28" s="189">
        <v>60000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72.2</v>
      </c>
      <c r="F29" s="194">
        <v>5720.2389999999996</v>
      </c>
      <c r="G29" s="195">
        <v>0</v>
      </c>
      <c r="H29" s="195">
        <v>327.8</v>
      </c>
      <c r="I29" s="10">
        <v>0</v>
      </c>
      <c r="J29" s="10">
        <v>0</v>
      </c>
      <c r="K29" s="11">
        <v>0</v>
      </c>
      <c r="L29" s="189">
        <v>0</v>
      </c>
      <c r="M29" s="189">
        <v>0</v>
      </c>
      <c r="N29" s="189">
        <v>10830</v>
      </c>
      <c r="O29" s="189">
        <v>0</v>
      </c>
      <c r="P29" s="189">
        <v>0</v>
      </c>
      <c r="Q29" s="189">
        <v>49170</v>
      </c>
      <c r="R29" s="189">
        <v>0</v>
      </c>
      <c r="S29" s="189">
        <v>0</v>
      </c>
      <c r="T29" s="189">
        <v>60000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133.375</v>
      </c>
      <c r="F30" s="194">
        <v>5586.8639999999996</v>
      </c>
      <c r="G30" s="195">
        <v>0</v>
      </c>
      <c r="H30" s="195">
        <v>266.625</v>
      </c>
      <c r="I30" s="10">
        <v>0</v>
      </c>
      <c r="J30" s="10">
        <v>0</v>
      </c>
      <c r="K30" s="11">
        <v>0</v>
      </c>
      <c r="L30" s="189">
        <v>0</v>
      </c>
      <c r="M30" s="189">
        <v>0</v>
      </c>
      <c r="N30" s="189">
        <v>20006.25</v>
      </c>
      <c r="O30" s="189">
        <v>0</v>
      </c>
      <c r="P30" s="189">
        <v>0</v>
      </c>
      <c r="Q30" s="189">
        <v>39993.75</v>
      </c>
      <c r="R30" s="189">
        <v>0</v>
      </c>
      <c r="S30" s="189">
        <v>0</v>
      </c>
      <c r="T30" s="189">
        <v>60000</v>
      </c>
    </row>
    <row r="31" spans="1:20">
      <c r="A31" s="13">
        <v>27</v>
      </c>
      <c r="B31" s="199" t="s">
        <v>227</v>
      </c>
      <c r="C31" s="200"/>
      <c r="D31" s="194">
        <v>90</v>
      </c>
      <c r="E31" s="194">
        <v>88</v>
      </c>
      <c r="F31" s="194">
        <v>5588.8639999999996</v>
      </c>
      <c r="G31" s="195">
        <v>0</v>
      </c>
      <c r="H31" s="195">
        <v>222</v>
      </c>
      <c r="I31" s="10">
        <v>0</v>
      </c>
      <c r="J31" s="10">
        <v>0</v>
      </c>
      <c r="K31" s="11">
        <v>0</v>
      </c>
      <c r="L31" s="189">
        <v>0</v>
      </c>
      <c r="M31" s="189">
        <v>13500</v>
      </c>
      <c r="N31" s="189">
        <v>13200</v>
      </c>
      <c r="O31" s="189">
        <v>0</v>
      </c>
      <c r="P31" s="189">
        <v>0</v>
      </c>
      <c r="Q31" s="189">
        <v>33300</v>
      </c>
      <c r="R31" s="189">
        <v>0</v>
      </c>
      <c r="S31" s="189">
        <v>0</v>
      </c>
      <c r="T31" s="189">
        <v>60000</v>
      </c>
    </row>
    <row r="32" spans="1:20">
      <c r="A32" s="13">
        <v>28</v>
      </c>
      <c r="B32" s="199" t="s">
        <v>228</v>
      </c>
      <c r="C32" s="200"/>
      <c r="D32" s="194">
        <v>22.5</v>
      </c>
      <c r="E32" s="194">
        <v>22</v>
      </c>
      <c r="F32" s="194">
        <v>5589.3639999999996</v>
      </c>
      <c r="G32" s="195">
        <v>0</v>
      </c>
      <c r="H32" s="195">
        <v>355.5</v>
      </c>
      <c r="I32" s="10">
        <v>0</v>
      </c>
      <c r="J32" s="10">
        <v>0</v>
      </c>
      <c r="K32" s="11">
        <v>0</v>
      </c>
      <c r="L32" s="189">
        <v>0</v>
      </c>
      <c r="M32" s="189">
        <v>3375</v>
      </c>
      <c r="N32" s="189">
        <v>3300</v>
      </c>
      <c r="O32" s="189">
        <v>0</v>
      </c>
      <c r="P32" s="189">
        <v>0</v>
      </c>
      <c r="Q32" s="189">
        <v>53325</v>
      </c>
      <c r="R32" s="189">
        <v>0</v>
      </c>
      <c r="S32" s="189">
        <v>0</v>
      </c>
      <c r="T32" s="189">
        <v>60000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0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0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1695.5</v>
      </c>
      <c r="E36" s="19">
        <v>1815.625</v>
      </c>
      <c r="F36" s="19">
        <v>173055.24200000003</v>
      </c>
      <c r="G36" s="19">
        <v>0</v>
      </c>
      <c r="H36" s="19">
        <v>7688.8750000000009</v>
      </c>
      <c r="I36" s="19">
        <v>0</v>
      </c>
      <c r="J36" s="19">
        <v>0</v>
      </c>
      <c r="K36" s="19">
        <v>0</v>
      </c>
      <c r="L36" s="190">
        <v>0</v>
      </c>
      <c r="M36" s="190">
        <v>254325</v>
      </c>
      <c r="N36" s="190">
        <v>272343.75</v>
      </c>
      <c r="O36" s="190">
        <v>6789641.0599999996</v>
      </c>
      <c r="P36" s="190">
        <v>0</v>
      </c>
      <c r="Q36" s="190">
        <v>1153331.25</v>
      </c>
      <c r="R36" s="190">
        <v>0</v>
      </c>
      <c r="S36" s="190">
        <v>0</v>
      </c>
      <c r="T36" s="190">
        <v>8469641.0600000005</v>
      </c>
    </row>
    <row r="37" spans="1:20">
      <c r="R37" s="22"/>
      <c r="S37" s="22"/>
      <c r="T37" s="191">
        <v>10332962.1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E40E-57A5-479F-97CD-E3E7688B9BBE}">
  <sheetPr codeName="Лист42">
    <pageSetUpPr fitToPage="1"/>
  </sheetPr>
  <dimension ref="A1:T37"/>
  <sheetViews>
    <sheetView workbookViewId="0">
      <selection activeCell="P5" sqref="P5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327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323</v>
      </c>
      <c r="H3" s="202" t="s">
        <v>324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325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 ht="27" customHeight="1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15.1</v>
      </c>
      <c r="G5" s="195">
        <v>0</v>
      </c>
      <c r="H5" s="195">
        <v>0</v>
      </c>
      <c r="I5" s="10">
        <v>0</v>
      </c>
      <c r="J5" s="10">
        <v>0</v>
      </c>
      <c r="K5" s="11">
        <v>0</v>
      </c>
      <c r="L5" s="189">
        <v>0</v>
      </c>
      <c r="M5" s="189">
        <v>0</v>
      </c>
      <c r="N5" s="189">
        <v>0</v>
      </c>
      <c r="O5" s="189">
        <v>0</v>
      </c>
      <c r="P5" s="189">
        <v>0</v>
      </c>
      <c r="Q5" s="189">
        <v>0</v>
      </c>
      <c r="R5" s="189">
        <v>0</v>
      </c>
      <c r="S5" s="189">
        <v>0</v>
      </c>
      <c r="T5" s="189">
        <v>0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15.1</v>
      </c>
      <c r="G6" s="195">
        <v>0</v>
      </c>
      <c r="H6" s="195">
        <v>0</v>
      </c>
      <c r="I6" s="10">
        <v>0</v>
      </c>
      <c r="J6" s="10">
        <v>0</v>
      </c>
      <c r="K6" s="11">
        <v>0</v>
      </c>
      <c r="L6" s="189">
        <v>0</v>
      </c>
      <c r="M6" s="189">
        <v>0</v>
      </c>
      <c r="N6" s="189">
        <v>0</v>
      </c>
      <c r="O6" s="189">
        <v>0</v>
      </c>
      <c r="P6" s="189">
        <v>0</v>
      </c>
      <c r="Q6" s="189">
        <v>0</v>
      </c>
      <c r="R6" s="189">
        <v>0</v>
      </c>
      <c r="S6" s="189">
        <v>0</v>
      </c>
      <c r="T6" s="189">
        <v>0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15.1</v>
      </c>
      <c r="G7" s="195">
        <v>0</v>
      </c>
      <c r="H7" s="195">
        <v>0</v>
      </c>
      <c r="I7" s="10">
        <v>0</v>
      </c>
      <c r="J7" s="10">
        <v>0</v>
      </c>
      <c r="K7" s="11">
        <v>0</v>
      </c>
      <c r="L7" s="189">
        <v>0</v>
      </c>
      <c r="M7" s="189">
        <v>0</v>
      </c>
      <c r="N7" s="189">
        <v>0</v>
      </c>
      <c r="O7" s="189">
        <v>0</v>
      </c>
      <c r="P7" s="189">
        <v>0</v>
      </c>
      <c r="Q7" s="189">
        <v>0</v>
      </c>
      <c r="R7" s="189">
        <v>0</v>
      </c>
      <c r="S7" s="189">
        <v>0</v>
      </c>
      <c r="T7" s="189">
        <v>0</v>
      </c>
    </row>
    <row r="8" spans="1:20">
      <c r="A8" s="13">
        <v>4</v>
      </c>
      <c r="B8" s="199" t="s">
        <v>204</v>
      </c>
      <c r="C8" s="200"/>
      <c r="D8" s="194">
        <v>0</v>
      </c>
      <c r="E8" s="194">
        <v>0</v>
      </c>
      <c r="F8" s="194">
        <v>15.1</v>
      </c>
      <c r="G8" s="195">
        <v>0</v>
      </c>
      <c r="H8" s="195">
        <v>0</v>
      </c>
      <c r="I8" s="10">
        <v>0</v>
      </c>
      <c r="J8" s="10">
        <v>0</v>
      </c>
      <c r="K8" s="11">
        <v>0</v>
      </c>
      <c r="L8" s="189">
        <v>0</v>
      </c>
      <c r="M8" s="189">
        <v>0</v>
      </c>
      <c r="N8" s="189">
        <v>0</v>
      </c>
      <c r="O8" s="189">
        <v>0</v>
      </c>
      <c r="P8" s="189">
        <v>0</v>
      </c>
      <c r="Q8" s="189">
        <v>0</v>
      </c>
      <c r="R8" s="189">
        <v>0</v>
      </c>
      <c r="S8" s="189">
        <v>0</v>
      </c>
      <c r="T8" s="189">
        <v>0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15.1</v>
      </c>
      <c r="G9" s="195">
        <v>0</v>
      </c>
      <c r="H9" s="195">
        <v>0</v>
      </c>
      <c r="I9" s="10">
        <v>0</v>
      </c>
      <c r="J9" s="10">
        <v>0</v>
      </c>
      <c r="K9" s="11">
        <v>0</v>
      </c>
      <c r="L9" s="189">
        <v>0</v>
      </c>
      <c r="M9" s="189">
        <v>0</v>
      </c>
      <c r="N9" s="189">
        <v>0</v>
      </c>
      <c r="O9" s="189">
        <v>0</v>
      </c>
      <c r="P9" s="189">
        <v>0</v>
      </c>
      <c r="Q9" s="189">
        <v>0</v>
      </c>
      <c r="R9" s="189">
        <v>0</v>
      </c>
      <c r="S9" s="189">
        <v>0</v>
      </c>
      <c r="T9" s="189">
        <v>0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15.1</v>
      </c>
      <c r="G10" s="195">
        <v>0</v>
      </c>
      <c r="H10" s="195">
        <v>0</v>
      </c>
      <c r="I10" s="10">
        <v>0</v>
      </c>
      <c r="J10" s="10">
        <v>0</v>
      </c>
      <c r="K10" s="11">
        <v>0</v>
      </c>
      <c r="L10" s="189">
        <v>0</v>
      </c>
      <c r="M10" s="189">
        <v>0</v>
      </c>
      <c r="N10" s="189">
        <v>0</v>
      </c>
      <c r="O10" s="189">
        <v>0</v>
      </c>
      <c r="P10" s="189">
        <v>0</v>
      </c>
      <c r="Q10" s="189">
        <v>0</v>
      </c>
      <c r="R10" s="189">
        <v>0</v>
      </c>
      <c r="S10" s="189">
        <v>0</v>
      </c>
      <c r="T10" s="189">
        <v>0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15.1</v>
      </c>
      <c r="G11" s="195">
        <v>0</v>
      </c>
      <c r="H11" s="195">
        <v>0</v>
      </c>
      <c r="I11" s="10">
        <v>0</v>
      </c>
      <c r="J11" s="10">
        <v>0</v>
      </c>
      <c r="K11" s="11">
        <v>0</v>
      </c>
      <c r="L11" s="189">
        <v>0</v>
      </c>
      <c r="M11" s="189">
        <v>0</v>
      </c>
      <c r="N11" s="189">
        <v>0</v>
      </c>
      <c r="O11" s="189">
        <v>0</v>
      </c>
      <c r="P11" s="189">
        <v>0</v>
      </c>
      <c r="Q11" s="189">
        <v>0</v>
      </c>
      <c r="R11" s="189">
        <v>0</v>
      </c>
      <c r="S11" s="189">
        <v>0</v>
      </c>
      <c r="T11" s="189">
        <v>0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15.1</v>
      </c>
      <c r="G12" s="195">
        <v>0</v>
      </c>
      <c r="H12" s="195">
        <v>0</v>
      </c>
      <c r="I12" s="10">
        <v>0</v>
      </c>
      <c r="J12" s="10">
        <v>0</v>
      </c>
      <c r="K12" s="11">
        <v>0</v>
      </c>
      <c r="L12" s="189">
        <v>0</v>
      </c>
      <c r="M12" s="189">
        <v>0</v>
      </c>
      <c r="N12" s="189">
        <v>0</v>
      </c>
      <c r="O12" s="189">
        <v>0</v>
      </c>
      <c r="P12" s="189">
        <v>0</v>
      </c>
      <c r="Q12" s="189">
        <v>0</v>
      </c>
      <c r="R12" s="189">
        <v>0</v>
      </c>
      <c r="S12" s="189">
        <v>0</v>
      </c>
      <c r="T12" s="189">
        <v>0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15.1</v>
      </c>
      <c r="G13" s="195">
        <v>0</v>
      </c>
      <c r="H13" s="195">
        <v>0</v>
      </c>
      <c r="I13" s="10">
        <v>0</v>
      </c>
      <c r="J13" s="10">
        <v>0</v>
      </c>
      <c r="K13" s="11">
        <v>0</v>
      </c>
      <c r="L13" s="189">
        <v>0</v>
      </c>
      <c r="M13" s="189">
        <v>0</v>
      </c>
      <c r="N13" s="189">
        <v>0</v>
      </c>
      <c r="O13" s="189">
        <v>0</v>
      </c>
      <c r="P13" s="189">
        <v>0</v>
      </c>
      <c r="Q13" s="189">
        <v>0</v>
      </c>
      <c r="R13" s="189">
        <v>0</v>
      </c>
      <c r="S13" s="189">
        <v>0</v>
      </c>
      <c r="T13" s="189">
        <v>0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15.1</v>
      </c>
      <c r="G14" s="195">
        <v>0</v>
      </c>
      <c r="H14" s="195">
        <v>0</v>
      </c>
      <c r="I14" s="10">
        <v>0</v>
      </c>
      <c r="J14" s="10">
        <v>0</v>
      </c>
      <c r="K14" s="11">
        <v>0</v>
      </c>
      <c r="L14" s="189">
        <v>0</v>
      </c>
      <c r="M14" s="189">
        <v>0</v>
      </c>
      <c r="N14" s="189">
        <v>0</v>
      </c>
      <c r="O14" s="189">
        <v>0</v>
      </c>
      <c r="P14" s="189">
        <v>0</v>
      </c>
      <c r="Q14" s="189">
        <v>0</v>
      </c>
      <c r="R14" s="189">
        <v>0</v>
      </c>
      <c r="S14" s="189">
        <v>0</v>
      </c>
      <c r="T14" s="189">
        <v>0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15.1</v>
      </c>
      <c r="G15" s="195">
        <v>0</v>
      </c>
      <c r="H15" s="195">
        <v>0</v>
      </c>
      <c r="I15" s="10">
        <v>0</v>
      </c>
      <c r="J15" s="10">
        <v>0</v>
      </c>
      <c r="K15" s="11">
        <v>0</v>
      </c>
      <c r="L15" s="189">
        <v>0</v>
      </c>
      <c r="M15" s="189">
        <v>0</v>
      </c>
      <c r="N15" s="189">
        <v>0</v>
      </c>
      <c r="O15" s="189">
        <v>0</v>
      </c>
      <c r="P15" s="189">
        <v>0</v>
      </c>
      <c r="Q15" s="189">
        <v>0</v>
      </c>
      <c r="R15" s="189">
        <v>0</v>
      </c>
      <c r="S15" s="189">
        <v>0</v>
      </c>
      <c r="T15" s="189">
        <v>0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15.1</v>
      </c>
      <c r="G16" s="195">
        <v>0</v>
      </c>
      <c r="H16" s="195">
        <v>0</v>
      </c>
      <c r="I16" s="10">
        <v>0</v>
      </c>
      <c r="J16" s="10">
        <v>0</v>
      </c>
      <c r="K16" s="11">
        <v>0</v>
      </c>
      <c r="L16" s="189">
        <v>0</v>
      </c>
      <c r="M16" s="189">
        <v>0</v>
      </c>
      <c r="N16" s="189">
        <v>0</v>
      </c>
      <c r="O16" s="189">
        <v>0</v>
      </c>
      <c r="P16" s="189">
        <v>0</v>
      </c>
      <c r="Q16" s="189">
        <v>0</v>
      </c>
      <c r="R16" s="189">
        <v>0</v>
      </c>
      <c r="S16" s="189">
        <v>0</v>
      </c>
      <c r="T16" s="189">
        <v>0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15.1</v>
      </c>
      <c r="G17" s="195">
        <v>0</v>
      </c>
      <c r="H17" s="195">
        <v>0</v>
      </c>
      <c r="I17" s="10">
        <v>0</v>
      </c>
      <c r="J17" s="10">
        <v>0</v>
      </c>
      <c r="K17" s="11">
        <v>0</v>
      </c>
      <c r="L17" s="189">
        <v>0</v>
      </c>
      <c r="M17" s="189">
        <v>0</v>
      </c>
      <c r="N17" s="189">
        <v>0</v>
      </c>
      <c r="O17" s="189">
        <v>0</v>
      </c>
      <c r="P17" s="189">
        <v>0</v>
      </c>
      <c r="Q17" s="189">
        <v>0</v>
      </c>
      <c r="R17" s="189">
        <v>0</v>
      </c>
      <c r="S17" s="189">
        <v>0</v>
      </c>
      <c r="T17" s="189">
        <v>0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15.1</v>
      </c>
      <c r="G18" s="195">
        <v>0</v>
      </c>
      <c r="H18" s="195">
        <v>0</v>
      </c>
      <c r="I18" s="10">
        <v>0</v>
      </c>
      <c r="J18" s="10">
        <v>0</v>
      </c>
      <c r="K18" s="11">
        <v>0</v>
      </c>
      <c r="L18" s="189">
        <v>0</v>
      </c>
      <c r="M18" s="189">
        <v>0</v>
      </c>
      <c r="N18" s="189">
        <v>0</v>
      </c>
      <c r="O18" s="189">
        <v>0</v>
      </c>
      <c r="P18" s="189">
        <v>0</v>
      </c>
      <c r="Q18" s="189">
        <v>0</v>
      </c>
      <c r="R18" s="189">
        <v>0</v>
      </c>
      <c r="S18" s="189">
        <v>0</v>
      </c>
      <c r="T18" s="189">
        <v>0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15.1</v>
      </c>
      <c r="G19" s="195">
        <v>0</v>
      </c>
      <c r="H19" s="195">
        <v>0</v>
      </c>
      <c r="I19" s="10">
        <v>0</v>
      </c>
      <c r="J19" s="10">
        <v>0</v>
      </c>
      <c r="K19" s="11">
        <v>0</v>
      </c>
      <c r="L19" s="189">
        <v>0</v>
      </c>
      <c r="M19" s="189">
        <v>0</v>
      </c>
      <c r="N19" s="189">
        <v>0</v>
      </c>
      <c r="O19" s="189">
        <v>0</v>
      </c>
      <c r="P19" s="189">
        <v>0</v>
      </c>
      <c r="Q19" s="189">
        <v>0</v>
      </c>
      <c r="R19" s="189">
        <v>0</v>
      </c>
      <c r="S19" s="189">
        <v>0</v>
      </c>
      <c r="T19" s="189">
        <v>0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15.1</v>
      </c>
      <c r="G20" s="195">
        <v>0</v>
      </c>
      <c r="H20" s="195">
        <v>0</v>
      </c>
      <c r="I20" s="10">
        <v>0</v>
      </c>
      <c r="J20" s="10">
        <v>0</v>
      </c>
      <c r="K20" s="11">
        <v>0</v>
      </c>
      <c r="L20" s="189">
        <v>0</v>
      </c>
      <c r="M20" s="189">
        <v>0</v>
      </c>
      <c r="N20" s="189">
        <v>0</v>
      </c>
      <c r="O20" s="189">
        <v>0</v>
      </c>
      <c r="P20" s="189">
        <v>0</v>
      </c>
      <c r="Q20" s="189">
        <v>0</v>
      </c>
      <c r="R20" s="189">
        <v>0</v>
      </c>
      <c r="S20" s="189">
        <v>0</v>
      </c>
      <c r="T20" s="189">
        <v>0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15.1</v>
      </c>
      <c r="G21" s="195">
        <v>0</v>
      </c>
      <c r="H21" s="195">
        <v>0</v>
      </c>
      <c r="I21" s="10">
        <v>0</v>
      </c>
      <c r="J21" s="10">
        <v>0</v>
      </c>
      <c r="K21" s="11">
        <v>0</v>
      </c>
      <c r="L21" s="189">
        <v>0</v>
      </c>
      <c r="M21" s="189">
        <v>0</v>
      </c>
      <c r="N21" s="189">
        <v>0</v>
      </c>
      <c r="O21" s="189">
        <v>0</v>
      </c>
      <c r="P21" s="189">
        <v>0</v>
      </c>
      <c r="Q21" s="189">
        <v>0</v>
      </c>
      <c r="R21" s="189">
        <v>0</v>
      </c>
      <c r="S21" s="189">
        <v>0</v>
      </c>
      <c r="T21" s="189">
        <v>0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15.1</v>
      </c>
      <c r="G22" s="195">
        <v>0</v>
      </c>
      <c r="H22" s="195">
        <v>0</v>
      </c>
      <c r="I22" s="10">
        <v>0</v>
      </c>
      <c r="J22" s="10">
        <v>0</v>
      </c>
      <c r="K22" s="11">
        <v>0</v>
      </c>
      <c r="L22" s="189">
        <v>0</v>
      </c>
      <c r="M22" s="189">
        <v>0</v>
      </c>
      <c r="N22" s="189">
        <v>0</v>
      </c>
      <c r="O22" s="189">
        <v>0</v>
      </c>
      <c r="P22" s="189">
        <v>0</v>
      </c>
      <c r="Q22" s="189">
        <v>0</v>
      </c>
      <c r="R22" s="189">
        <v>0</v>
      </c>
      <c r="S22" s="189">
        <v>0</v>
      </c>
      <c r="T22" s="189">
        <v>0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15.1</v>
      </c>
      <c r="G23" s="195">
        <v>0</v>
      </c>
      <c r="H23" s="195">
        <v>0</v>
      </c>
      <c r="I23" s="10">
        <v>0</v>
      </c>
      <c r="J23" s="10">
        <v>0</v>
      </c>
      <c r="K23" s="11">
        <v>0</v>
      </c>
      <c r="L23" s="189">
        <v>0</v>
      </c>
      <c r="M23" s="189">
        <v>0</v>
      </c>
      <c r="N23" s="189">
        <v>0</v>
      </c>
      <c r="O23" s="189">
        <v>0</v>
      </c>
      <c r="P23" s="189">
        <v>0</v>
      </c>
      <c r="Q23" s="189">
        <v>0</v>
      </c>
      <c r="R23" s="189">
        <v>0</v>
      </c>
      <c r="S23" s="189">
        <v>0</v>
      </c>
      <c r="T23" s="189">
        <v>0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15.1</v>
      </c>
      <c r="G24" s="195">
        <v>0</v>
      </c>
      <c r="H24" s="195">
        <v>0</v>
      </c>
      <c r="I24" s="10">
        <v>0</v>
      </c>
      <c r="J24" s="10">
        <v>0</v>
      </c>
      <c r="K24" s="11">
        <v>0</v>
      </c>
      <c r="L24" s="189">
        <v>0</v>
      </c>
      <c r="M24" s="189">
        <v>0</v>
      </c>
      <c r="N24" s="189">
        <v>0</v>
      </c>
      <c r="O24" s="189">
        <v>0</v>
      </c>
      <c r="P24" s="189">
        <v>0</v>
      </c>
      <c r="Q24" s="189">
        <v>0</v>
      </c>
      <c r="R24" s="189">
        <v>0</v>
      </c>
      <c r="S24" s="189">
        <v>0</v>
      </c>
      <c r="T24" s="189">
        <v>0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15.1</v>
      </c>
      <c r="G25" s="195">
        <v>0</v>
      </c>
      <c r="H25" s="195">
        <v>0</v>
      </c>
      <c r="I25" s="10">
        <v>0</v>
      </c>
      <c r="J25" s="10">
        <v>0</v>
      </c>
      <c r="K25" s="11">
        <v>0</v>
      </c>
      <c r="L25" s="189">
        <v>0</v>
      </c>
      <c r="M25" s="189">
        <v>0</v>
      </c>
      <c r="N25" s="189">
        <v>0</v>
      </c>
      <c r="O25" s="189">
        <v>0</v>
      </c>
      <c r="P25" s="189">
        <v>0</v>
      </c>
      <c r="Q25" s="189">
        <v>0</v>
      </c>
      <c r="R25" s="189">
        <v>0</v>
      </c>
      <c r="S25" s="189">
        <v>0</v>
      </c>
      <c r="T25" s="189">
        <v>0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15.1</v>
      </c>
      <c r="G26" s="195">
        <v>0</v>
      </c>
      <c r="H26" s="195">
        <v>0</v>
      </c>
      <c r="I26" s="10">
        <v>0</v>
      </c>
      <c r="J26" s="10">
        <v>0</v>
      </c>
      <c r="K26" s="11">
        <v>0</v>
      </c>
      <c r="L26" s="189">
        <v>0</v>
      </c>
      <c r="M26" s="189">
        <v>0</v>
      </c>
      <c r="N26" s="189">
        <v>0</v>
      </c>
      <c r="O26" s="189">
        <v>0</v>
      </c>
      <c r="P26" s="189">
        <v>0</v>
      </c>
      <c r="Q26" s="189">
        <v>0</v>
      </c>
      <c r="R26" s="189">
        <v>0</v>
      </c>
      <c r="S26" s="189">
        <v>0</v>
      </c>
      <c r="T26" s="189">
        <v>0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15.1</v>
      </c>
      <c r="G27" s="195">
        <v>0</v>
      </c>
      <c r="H27" s="195">
        <v>0</v>
      </c>
      <c r="I27" s="10">
        <v>0</v>
      </c>
      <c r="J27" s="10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0</v>
      </c>
      <c r="P27" s="189">
        <v>0</v>
      </c>
      <c r="Q27" s="189">
        <v>0</v>
      </c>
      <c r="R27" s="189">
        <v>0</v>
      </c>
      <c r="S27" s="189">
        <v>0</v>
      </c>
      <c r="T27" s="189">
        <v>0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15.1</v>
      </c>
      <c r="G28" s="195">
        <v>0</v>
      </c>
      <c r="H28" s="195">
        <v>0</v>
      </c>
      <c r="I28" s="10">
        <v>0</v>
      </c>
      <c r="J28" s="10">
        <v>0</v>
      </c>
      <c r="K28" s="11">
        <v>0</v>
      </c>
      <c r="L28" s="189">
        <v>0</v>
      </c>
      <c r="M28" s="189">
        <v>0</v>
      </c>
      <c r="N28" s="189">
        <v>0</v>
      </c>
      <c r="O28" s="189">
        <v>0</v>
      </c>
      <c r="P28" s="189">
        <v>0</v>
      </c>
      <c r="Q28" s="189">
        <v>0</v>
      </c>
      <c r="R28" s="189">
        <v>0</v>
      </c>
      <c r="S28" s="189">
        <v>0</v>
      </c>
      <c r="T28" s="189">
        <v>0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15.1</v>
      </c>
      <c r="G29" s="195">
        <v>0</v>
      </c>
      <c r="H29" s="195">
        <v>0</v>
      </c>
      <c r="I29" s="10">
        <v>0</v>
      </c>
      <c r="J29" s="10">
        <v>0</v>
      </c>
      <c r="K29" s="11">
        <v>0</v>
      </c>
      <c r="L29" s="189">
        <v>0</v>
      </c>
      <c r="M29" s="189">
        <v>0</v>
      </c>
      <c r="N29" s="189">
        <v>0</v>
      </c>
      <c r="O29" s="189">
        <v>0</v>
      </c>
      <c r="P29" s="189">
        <v>0</v>
      </c>
      <c r="Q29" s="189">
        <v>0</v>
      </c>
      <c r="R29" s="189">
        <v>0</v>
      </c>
      <c r="S29" s="189">
        <v>0</v>
      </c>
      <c r="T29" s="189">
        <v>0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15.1</v>
      </c>
      <c r="G30" s="195">
        <v>0</v>
      </c>
      <c r="H30" s="195">
        <v>0</v>
      </c>
      <c r="I30" s="10">
        <v>0</v>
      </c>
      <c r="J30" s="10">
        <v>0</v>
      </c>
      <c r="K30" s="11">
        <v>0</v>
      </c>
      <c r="L30" s="189">
        <v>0</v>
      </c>
      <c r="M30" s="189">
        <v>0</v>
      </c>
      <c r="N30" s="189">
        <v>0</v>
      </c>
      <c r="O30" s="189">
        <v>0</v>
      </c>
      <c r="P30" s="189">
        <v>0</v>
      </c>
      <c r="Q30" s="189">
        <v>0</v>
      </c>
      <c r="R30" s="189">
        <v>0</v>
      </c>
      <c r="S30" s="189">
        <v>0</v>
      </c>
      <c r="T30" s="189">
        <v>0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15.1</v>
      </c>
      <c r="G31" s="195">
        <v>0</v>
      </c>
      <c r="H31" s="195">
        <v>0</v>
      </c>
      <c r="I31" s="10">
        <v>0</v>
      </c>
      <c r="J31" s="10">
        <v>0</v>
      </c>
      <c r="K31" s="11">
        <v>0</v>
      </c>
      <c r="L31" s="189">
        <v>0</v>
      </c>
      <c r="M31" s="189">
        <v>0</v>
      </c>
      <c r="N31" s="189">
        <v>0</v>
      </c>
      <c r="O31" s="189">
        <v>0</v>
      </c>
      <c r="P31" s="189">
        <v>0</v>
      </c>
      <c r="Q31" s="189">
        <v>0</v>
      </c>
      <c r="R31" s="189">
        <v>0</v>
      </c>
      <c r="S31" s="189">
        <v>0</v>
      </c>
      <c r="T31" s="189">
        <v>0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15.1</v>
      </c>
      <c r="G32" s="195">
        <v>0</v>
      </c>
      <c r="H32" s="195">
        <v>0</v>
      </c>
      <c r="I32" s="10">
        <v>0</v>
      </c>
      <c r="J32" s="10">
        <v>0</v>
      </c>
      <c r="K32" s="11">
        <v>0</v>
      </c>
      <c r="L32" s="189">
        <v>0</v>
      </c>
      <c r="M32" s="189">
        <v>0</v>
      </c>
      <c r="N32" s="189">
        <v>0</v>
      </c>
      <c r="O32" s="189">
        <v>0</v>
      </c>
      <c r="P32" s="189">
        <v>0</v>
      </c>
      <c r="Q32" s="189">
        <v>0</v>
      </c>
      <c r="R32" s="189">
        <v>0</v>
      </c>
      <c r="S32" s="189">
        <v>0</v>
      </c>
      <c r="T32" s="189">
        <v>0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0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0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0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0</v>
      </c>
      <c r="E36" s="19">
        <v>0</v>
      </c>
      <c r="F36" s="19">
        <v>422.80000000000018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0">
        <v>0</v>
      </c>
      <c r="M36" s="190">
        <v>0</v>
      </c>
      <c r="N36" s="190">
        <v>0</v>
      </c>
      <c r="O36" s="190">
        <v>16588.11</v>
      </c>
      <c r="P36" s="190">
        <v>0</v>
      </c>
      <c r="Q36" s="190">
        <v>0</v>
      </c>
      <c r="R36" s="190">
        <v>0</v>
      </c>
      <c r="S36" s="190">
        <v>0</v>
      </c>
      <c r="T36" s="190">
        <v>16588.11</v>
      </c>
    </row>
    <row r="37" spans="1:20">
      <c r="R37" s="22"/>
      <c r="S37" s="22"/>
      <c r="T37" s="191">
        <v>20237.5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BDDD-D80A-456A-9AA6-9270FD402AD8}">
  <sheetPr codeName="Лист43">
    <pageSetUpPr fitToPage="1"/>
  </sheetPr>
  <dimension ref="A1:T37"/>
  <sheetViews>
    <sheetView topLeftCell="C1" workbookViewId="0">
      <selection activeCell="M5" sqref="M5:S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328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329</v>
      </c>
      <c r="H3" s="202" t="s">
        <v>233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21.91</v>
      </c>
      <c r="G5" s="195">
        <v>0</v>
      </c>
      <c r="H5" s="195">
        <v>0</v>
      </c>
      <c r="I5" s="10">
        <v>0</v>
      </c>
      <c r="J5" s="11">
        <v>0</v>
      </c>
      <c r="K5" s="11">
        <v>0</v>
      </c>
      <c r="L5" s="189">
        <v>0</v>
      </c>
      <c r="M5" s="189">
        <v>0</v>
      </c>
      <c r="N5" s="189">
        <v>0</v>
      </c>
      <c r="O5" s="189">
        <v>468.87</v>
      </c>
      <c r="P5" s="189">
        <v>0</v>
      </c>
      <c r="Q5" s="189">
        <v>0</v>
      </c>
      <c r="R5" s="189">
        <v>0</v>
      </c>
      <c r="S5" s="189">
        <v>0</v>
      </c>
      <c r="T5" s="189">
        <v>468.87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21.91</v>
      </c>
      <c r="G6" s="195">
        <v>0</v>
      </c>
      <c r="H6" s="195">
        <v>0</v>
      </c>
      <c r="I6" s="10">
        <v>0</v>
      </c>
      <c r="J6" s="11">
        <v>0</v>
      </c>
      <c r="K6" s="11">
        <v>0</v>
      </c>
      <c r="L6" s="189">
        <v>0</v>
      </c>
      <c r="M6" s="189">
        <v>0</v>
      </c>
      <c r="N6" s="189">
        <v>0</v>
      </c>
      <c r="O6" s="189">
        <v>468.87</v>
      </c>
      <c r="P6" s="189">
        <v>0</v>
      </c>
      <c r="Q6" s="189">
        <v>0</v>
      </c>
      <c r="R6" s="189">
        <v>0</v>
      </c>
      <c r="S6" s="189">
        <v>0</v>
      </c>
      <c r="T6" s="189">
        <v>468.87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21.91</v>
      </c>
      <c r="G7" s="195">
        <v>0</v>
      </c>
      <c r="H7" s="195">
        <v>0</v>
      </c>
      <c r="I7" s="10">
        <v>0</v>
      </c>
      <c r="J7" s="11">
        <v>0</v>
      </c>
      <c r="K7" s="11">
        <v>0</v>
      </c>
      <c r="L7" s="189">
        <v>0</v>
      </c>
      <c r="M7" s="189">
        <v>0</v>
      </c>
      <c r="N7" s="189">
        <v>0</v>
      </c>
      <c r="O7" s="189">
        <v>468.87</v>
      </c>
      <c r="P7" s="189">
        <v>0</v>
      </c>
      <c r="Q7" s="189">
        <v>0</v>
      </c>
      <c r="R7" s="189">
        <v>0</v>
      </c>
      <c r="S7" s="189">
        <v>0</v>
      </c>
      <c r="T7" s="189">
        <v>468.87</v>
      </c>
    </row>
    <row r="8" spans="1:20">
      <c r="A8" s="13">
        <v>4</v>
      </c>
      <c r="B8" s="199" t="s">
        <v>204</v>
      </c>
      <c r="C8" s="200"/>
      <c r="D8" s="194">
        <v>0</v>
      </c>
      <c r="E8" s="194">
        <v>0</v>
      </c>
      <c r="F8" s="194">
        <v>21.91</v>
      </c>
      <c r="G8" s="195">
        <v>0</v>
      </c>
      <c r="H8" s="195">
        <v>0</v>
      </c>
      <c r="I8" s="10">
        <v>0</v>
      </c>
      <c r="J8" s="11">
        <v>0</v>
      </c>
      <c r="K8" s="11">
        <v>0</v>
      </c>
      <c r="L8" s="189">
        <v>0</v>
      </c>
      <c r="M8" s="189">
        <v>0</v>
      </c>
      <c r="N8" s="189">
        <v>0</v>
      </c>
      <c r="O8" s="189">
        <v>468.87</v>
      </c>
      <c r="P8" s="189">
        <v>0</v>
      </c>
      <c r="Q8" s="189">
        <v>0</v>
      </c>
      <c r="R8" s="189">
        <v>0</v>
      </c>
      <c r="S8" s="189">
        <v>0</v>
      </c>
      <c r="T8" s="189">
        <v>468.87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21.91</v>
      </c>
      <c r="G9" s="195">
        <v>0</v>
      </c>
      <c r="H9" s="195">
        <v>0</v>
      </c>
      <c r="I9" s="10">
        <v>0</v>
      </c>
      <c r="J9" s="11">
        <v>0</v>
      </c>
      <c r="K9" s="11">
        <v>0</v>
      </c>
      <c r="L9" s="189">
        <v>0</v>
      </c>
      <c r="M9" s="189">
        <v>0</v>
      </c>
      <c r="N9" s="189">
        <v>0</v>
      </c>
      <c r="O9" s="189">
        <v>468.87</v>
      </c>
      <c r="P9" s="189">
        <v>0</v>
      </c>
      <c r="Q9" s="189">
        <v>0</v>
      </c>
      <c r="R9" s="189">
        <v>0</v>
      </c>
      <c r="S9" s="189">
        <v>0</v>
      </c>
      <c r="T9" s="189">
        <v>468.87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21.91</v>
      </c>
      <c r="G10" s="195">
        <v>0</v>
      </c>
      <c r="H10" s="195">
        <v>0</v>
      </c>
      <c r="I10" s="10">
        <v>0</v>
      </c>
      <c r="J10" s="11">
        <v>0</v>
      </c>
      <c r="K10" s="11">
        <v>0</v>
      </c>
      <c r="L10" s="189">
        <v>0</v>
      </c>
      <c r="M10" s="189">
        <v>0</v>
      </c>
      <c r="N10" s="189">
        <v>0</v>
      </c>
      <c r="O10" s="189">
        <v>468.87</v>
      </c>
      <c r="P10" s="189">
        <v>0</v>
      </c>
      <c r="Q10" s="189">
        <v>0</v>
      </c>
      <c r="R10" s="189">
        <v>0</v>
      </c>
      <c r="S10" s="189">
        <v>0</v>
      </c>
      <c r="T10" s="189">
        <v>468.87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21.91</v>
      </c>
      <c r="G11" s="195">
        <v>0</v>
      </c>
      <c r="H11" s="195">
        <v>0</v>
      </c>
      <c r="I11" s="10">
        <v>0</v>
      </c>
      <c r="J11" s="11">
        <v>0</v>
      </c>
      <c r="K11" s="11">
        <v>0</v>
      </c>
      <c r="L11" s="189">
        <v>0</v>
      </c>
      <c r="M11" s="189">
        <v>0</v>
      </c>
      <c r="N11" s="189">
        <v>0</v>
      </c>
      <c r="O11" s="189">
        <v>468.87</v>
      </c>
      <c r="P11" s="189">
        <v>0</v>
      </c>
      <c r="Q11" s="189">
        <v>0</v>
      </c>
      <c r="R11" s="189">
        <v>0</v>
      </c>
      <c r="S11" s="189">
        <v>0</v>
      </c>
      <c r="T11" s="189">
        <v>468.87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21.91</v>
      </c>
      <c r="G12" s="195">
        <v>0</v>
      </c>
      <c r="H12" s="195">
        <v>0</v>
      </c>
      <c r="I12" s="10">
        <v>0</v>
      </c>
      <c r="J12" s="11">
        <v>0</v>
      </c>
      <c r="K12" s="11">
        <v>0</v>
      </c>
      <c r="L12" s="189">
        <v>0</v>
      </c>
      <c r="M12" s="189">
        <v>0</v>
      </c>
      <c r="N12" s="189">
        <v>0</v>
      </c>
      <c r="O12" s="189">
        <v>468.87</v>
      </c>
      <c r="P12" s="189">
        <v>0</v>
      </c>
      <c r="Q12" s="189">
        <v>0</v>
      </c>
      <c r="R12" s="189">
        <v>0</v>
      </c>
      <c r="S12" s="189">
        <v>0</v>
      </c>
      <c r="T12" s="189">
        <v>468.87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21.91</v>
      </c>
      <c r="G13" s="195">
        <v>0</v>
      </c>
      <c r="H13" s="195">
        <v>0</v>
      </c>
      <c r="I13" s="10">
        <v>0</v>
      </c>
      <c r="J13" s="11">
        <v>0</v>
      </c>
      <c r="K13" s="11">
        <v>0</v>
      </c>
      <c r="L13" s="189">
        <v>0</v>
      </c>
      <c r="M13" s="189">
        <v>0</v>
      </c>
      <c r="N13" s="189">
        <v>0</v>
      </c>
      <c r="O13" s="189">
        <v>468.87</v>
      </c>
      <c r="P13" s="189">
        <v>0</v>
      </c>
      <c r="Q13" s="189">
        <v>0</v>
      </c>
      <c r="R13" s="189">
        <v>0</v>
      </c>
      <c r="S13" s="189">
        <v>0</v>
      </c>
      <c r="T13" s="189">
        <v>468.87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21.91</v>
      </c>
      <c r="G14" s="195">
        <v>0</v>
      </c>
      <c r="H14" s="195">
        <v>0</v>
      </c>
      <c r="I14" s="10">
        <v>0</v>
      </c>
      <c r="J14" s="11">
        <v>0</v>
      </c>
      <c r="K14" s="11">
        <v>0</v>
      </c>
      <c r="L14" s="189">
        <v>0</v>
      </c>
      <c r="M14" s="189">
        <v>0</v>
      </c>
      <c r="N14" s="189">
        <v>0</v>
      </c>
      <c r="O14" s="189">
        <v>468.87</v>
      </c>
      <c r="P14" s="189">
        <v>0</v>
      </c>
      <c r="Q14" s="189">
        <v>0</v>
      </c>
      <c r="R14" s="189">
        <v>0</v>
      </c>
      <c r="S14" s="189">
        <v>0</v>
      </c>
      <c r="T14" s="189">
        <v>468.87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21.91</v>
      </c>
      <c r="G15" s="195">
        <v>0</v>
      </c>
      <c r="H15" s="195">
        <v>0</v>
      </c>
      <c r="I15" s="10">
        <v>0</v>
      </c>
      <c r="J15" s="11">
        <v>0</v>
      </c>
      <c r="K15" s="11">
        <v>0</v>
      </c>
      <c r="L15" s="189">
        <v>0</v>
      </c>
      <c r="M15" s="189">
        <v>0</v>
      </c>
      <c r="N15" s="189">
        <v>0</v>
      </c>
      <c r="O15" s="189">
        <v>468.87</v>
      </c>
      <c r="P15" s="189">
        <v>0</v>
      </c>
      <c r="Q15" s="189">
        <v>0</v>
      </c>
      <c r="R15" s="189">
        <v>0</v>
      </c>
      <c r="S15" s="189">
        <v>0</v>
      </c>
      <c r="T15" s="189">
        <v>468.87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21.91</v>
      </c>
      <c r="G16" s="195">
        <v>0</v>
      </c>
      <c r="H16" s="195">
        <v>0</v>
      </c>
      <c r="I16" s="10">
        <v>0</v>
      </c>
      <c r="J16" s="11">
        <v>0</v>
      </c>
      <c r="K16" s="11">
        <v>0</v>
      </c>
      <c r="L16" s="189">
        <v>0</v>
      </c>
      <c r="M16" s="189">
        <v>0</v>
      </c>
      <c r="N16" s="189">
        <v>0</v>
      </c>
      <c r="O16" s="189">
        <v>468.87</v>
      </c>
      <c r="P16" s="189">
        <v>0</v>
      </c>
      <c r="Q16" s="189">
        <v>0</v>
      </c>
      <c r="R16" s="189">
        <v>0</v>
      </c>
      <c r="S16" s="189">
        <v>0</v>
      </c>
      <c r="T16" s="189">
        <v>468.87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21.91</v>
      </c>
      <c r="G17" s="195">
        <v>0</v>
      </c>
      <c r="H17" s="195">
        <v>0</v>
      </c>
      <c r="I17" s="10">
        <v>0</v>
      </c>
      <c r="J17" s="11">
        <v>0</v>
      </c>
      <c r="K17" s="11">
        <v>0</v>
      </c>
      <c r="L17" s="189">
        <v>0</v>
      </c>
      <c r="M17" s="189">
        <v>0</v>
      </c>
      <c r="N17" s="189">
        <v>0</v>
      </c>
      <c r="O17" s="189">
        <v>468.87</v>
      </c>
      <c r="P17" s="189">
        <v>0</v>
      </c>
      <c r="Q17" s="189">
        <v>0</v>
      </c>
      <c r="R17" s="189">
        <v>0</v>
      </c>
      <c r="S17" s="189">
        <v>0</v>
      </c>
      <c r="T17" s="189">
        <v>468.87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21.91</v>
      </c>
      <c r="G18" s="195">
        <v>0</v>
      </c>
      <c r="H18" s="195">
        <v>0</v>
      </c>
      <c r="I18" s="10">
        <v>0</v>
      </c>
      <c r="J18" s="11">
        <v>0</v>
      </c>
      <c r="K18" s="11">
        <v>0</v>
      </c>
      <c r="L18" s="189">
        <v>0</v>
      </c>
      <c r="M18" s="189">
        <v>0</v>
      </c>
      <c r="N18" s="189">
        <v>0</v>
      </c>
      <c r="O18" s="189">
        <v>468.87</v>
      </c>
      <c r="P18" s="189">
        <v>0</v>
      </c>
      <c r="Q18" s="189">
        <v>0</v>
      </c>
      <c r="R18" s="189">
        <v>0</v>
      </c>
      <c r="S18" s="189">
        <v>0</v>
      </c>
      <c r="T18" s="189">
        <v>468.87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21.91</v>
      </c>
      <c r="G19" s="195">
        <v>0</v>
      </c>
      <c r="H19" s="195">
        <v>0</v>
      </c>
      <c r="I19" s="10">
        <v>0</v>
      </c>
      <c r="J19" s="11">
        <v>0</v>
      </c>
      <c r="K19" s="11">
        <v>0</v>
      </c>
      <c r="L19" s="189">
        <v>0</v>
      </c>
      <c r="M19" s="189">
        <v>0</v>
      </c>
      <c r="N19" s="189">
        <v>0</v>
      </c>
      <c r="O19" s="189">
        <v>468.87</v>
      </c>
      <c r="P19" s="189">
        <v>0</v>
      </c>
      <c r="Q19" s="189">
        <v>0</v>
      </c>
      <c r="R19" s="189">
        <v>0</v>
      </c>
      <c r="S19" s="189">
        <v>0</v>
      </c>
      <c r="T19" s="189">
        <v>468.87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21.91</v>
      </c>
      <c r="G20" s="195">
        <v>0</v>
      </c>
      <c r="H20" s="195">
        <v>0</v>
      </c>
      <c r="I20" s="10">
        <v>0</v>
      </c>
      <c r="J20" s="11">
        <v>0</v>
      </c>
      <c r="K20" s="11">
        <v>0</v>
      </c>
      <c r="L20" s="189">
        <v>0</v>
      </c>
      <c r="M20" s="189">
        <v>0</v>
      </c>
      <c r="N20" s="189">
        <v>0</v>
      </c>
      <c r="O20" s="189">
        <v>468.87</v>
      </c>
      <c r="P20" s="189">
        <v>0</v>
      </c>
      <c r="Q20" s="189">
        <v>0</v>
      </c>
      <c r="R20" s="189">
        <v>0</v>
      </c>
      <c r="S20" s="189">
        <v>0</v>
      </c>
      <c r="T20" s="189">
        <v>468.87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21.91</v>
      </c>
      <c r="G21" s="195">
        <v>0</v>
      </c>
      <c r="H21" s="195">
        <v>0</v>
      </c>
      <c r="I21" s="10">
        <v>0</v>
      </c>
      <c r="J21" s="11">
        <v>0</v>
      </c>
      <c r="K21" s="11">
        <v>0</v>
      </c>
      <c r="L21" s="189">
        <v>0</v>
      </c>
      <c r="M21" s="189">
        <v>0</v>
      </c>
      <c r="N21" s="189">
        <v>0</v>
      </c>
      <c r="O21" s="189">
        <v>468.87</v>
      </c>
      <c r="P21" s="189">
        <v>0</v>
      </c>
      <c r="Q21" s="189">
        <v>0</v>
      </c>
      <c r="R21" s="189">
        <v>0</v>
      </c>
      <c r="S21" s="189">
        <v>0</v>
      </c>
      <c r="T21" s="189">
        <v>468.87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21.91</v>
      </c>
      <c r="G22" s="195">
        <v>0</v>
      </c>
      <c r="H22" s="195">
        <v>0</v>
      </c>
      <c r="I22" s="10">
        <v>0</v>
      </c>
      <c r="J22" s="11">
        <v>0</v>
      </c>
      <c r="K22" s="11">
        <v>0</v>
      </c>
      <c r="L22" s="189">
        <v>0</v>
      </c>
      <c r="M22" s="189">
        <v>0</v>
      </c>
      <c r="N22" s="189">
        <v>0</v>
      </c>
      <c r="O22" s="189">
        <v>468.87</v>
      </c>
      <c r="P22" s="189">
        <v>0</v>
      </c>
      <c r="Q22" s="189">
        <v>0</v>
      </c>
      <c r="R22" s="189">
        <v>0</v>
      </c>
      <c r="S22" s="189">
        <v>0</v>
      </c>
      <c r="T22" s="189">
        <v>468.87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21.91</v>
      </c>
      <c r="G23" s="195">
        <v>0</v>
      </c>
      <c r="H23" s="195">
        <v>0</v>
      </c>
      <c r="I23" s="10">
        <v>0</v>
      </c>
      <c r="J23" s="11">
        <v>0</v>
      </c>
      <c r="K23" s="11">
        <v>0</v>
      </c>
      <c r="L23" s="189">
        <v>0</v>
      </c>
      <c r="M23" s="189">
        <v>0</v>
      </c>
      <c r="N23" s="189">
        <v>0</v>
      </c>
      <c r="O23" s="189">
        <v>468.87</v>
      </c>
      <c r="P23" s="189">
        <v>0</v>
      </c>
      <c r="Q23" s="189">
        <v>0</v>
      </c>
      <c r="R23" s="189">
        <v>0</v>
      </c>
      <c r="S23" s="189">
        <v>0</v>
      </c>
      <c r="T23" s="189">
        <v>468.87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21.91</v>
      </c>
      <c r="G24" s="195">
        <v>0</v>
      </c>
      <c r="H24" s="195">
        <v>0</v>
      </c>
      <c r="I24" s="10">
        <v>0</v>
      </c>
      <c r="J24" s="11">
        <v>0</v>
      </c>
      <c r="K24" s="11">
        <v>0</v>
      </c>
      <c r="L24" s="189">
        <v>0</v>
      </c>
      <c r="M24" s="189">
        <v>0</v>
      </c>
      <c r="N24" s="189">
        <v>0</v>
      </c>
      <c r="O24" s="189">
        <v>468.87</v>
      </c>
      <c r="P24" s="189">
        <v>0</v>
      </c>
      <c r="Q24" s="189">
        <v>0</v>
      </c>
      <c r="R24" s="189">
        <v>0</v>
      </c>
      <c r="S24" s="189">
        <v>0</v>
      </c>
      <c r="T24" s="189">
        <v>468.87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21.91</v>
      </c>
      <c r="G25" s="195">
        <v>0</v>
      </c>
      <c r="H25" s="195">
        <v>0</v>
      </c>
      <c r="I25" s="10">
        <v>0</v>
      </c>
      <c r="J25" s="11">
        <v>0</v>
      </c>
      <c r="K25" s="11">
        <v>0</v>
      </c>
      <c r="L25" s="189">
        <v>0</v>
      </c>
      <c r="M25" s="189">
        <v>0</v>
      </c>
      <c r="N25" s="189">
        <v>0</v>
      </c>
      <c r="O25" s="189">
        <v>468.87</v>
      </c>
      <c r="P25" s="189">
        <v>0</v>
      </c>
      <c r="Q25" s="189">
        <v>0</v>
      </c>
      <c r="R25" s="189">
        <v>0</v>
      </c>
      <c r="S25" s="189">
        <v>0</v>
      </c>
      <c r="T25" s="189">
        <v>468.87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21.91</v>
      </c>
      <c r="G26" s="195">
        <v>0</v>
      </c>
      <c r="H26" s="195">
        <v>0</v>
      </c>
      <c r="I26" s="10">
        <v>0</v>
      </c>
      <c r="J26" s="11">
        <v>0</v>
      </c>
      <c r="K26" s="11">
        <v>0</v>
      </c>
      <c r="L26" s="189">
        <v>0</v>
      </c>
      <c r="M26" s="189">
        <v>0</v>
      </c>
      <c r="N26" s="189">
        <v>0</v>
      </c>
      <c r="O26" s="189">
        <v>468.87</v>
      </c>
      <c r="P26" s="189">
        <v>0</v>
      </c>
      <c r="Q26" s="189">
        <v>0</v>
      </c>
      <c r="R26" s="189">
        <v>0</v>
      </c>
      <c r="S26" s="189">
        <v>0</v>
      </c>
      <c r="T26" s="189">
        <v>468.87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21.91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468.87</v>
      </c>
      <c r="P27" s="189">
        <v>0</v>
      </c>
      <c r="Q27" s="189">
        <v>0</v>
      </c>
      <c r="R27" s="189">
        <v>0</v>
      </c>
      <c r="S27" s="189">
        <v>0</v>
      </c>
      <c r="T27" s="189">
        <v>468.87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21.91</v>
      </c>
      <c r="G28" s="195">
        <v>0</v>
      </c>
      <c r="H28" s="195">
        <v>0</v>
      </c>
      <c r="I28" s="10">
        <v>0</v>
      </c>
      <c r="J28" s="11">
        <v>0</v>
      </c>
      <c r="K28" s="11">
        <v>0</v>
      </c>
      <c r="L28" s="189">
        <v>0</v>
      </c>
      <c r="M28" s="189">
        <v>0</v>
      </c>
      <c r="N28" s="189">
        <v>0</v>
      </c>
      <c r="O28" s="189">
        <v>468.87</v>
      </c>
      <c r="P28" s="189">
        <v>0</v>
      </c>
      <c r="Q28" s="189">
        <v>0</v>
      </c>
      <c r="R28" s="189">
        <v>0</v>
      </c>
      <c r="S28" s="189">
        <v>0</v>
      </c>
      <c r="T28" s="189">
        <v>468.87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21.91</v>
      </c>
      <c r="G29" s="195">
        <v>0</v>
      </c>
      <c r="H29" s="195">
        <v>0</v>
      </c>
      <c r="I29" s="10">
        <v>0</v>
      </c>
      <c r="J29" s="11">
        <v>0</v>
      </c>
      <c r="K29" s="11">
        <v>0</v>
      </c>
      <c r="L29" s="189">
        <v>0</v>
      </c>
      <c r="M29" s="189">
        <v>0</v>
      </c>
      <c r="N29" s="189">
        <v>0</v>
      </c>
      <c r="O29" s="189">
        <v>468.87</v>
      </c>
      <c r="P29" s="189">
        <v>0</v>
      </c>
      <c r="Q29" s="189">
        <v>0</v>
      </c>
      <c r="R29" s="189">
        <v>0</v>
      </c>
      <c r="S29" s="189">
        <v>0</v>
      </c>
      <c r="T29" s="189">
        <v>468.87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21.91</v>
      </c>
      <c r="G30" s="195">
        <v>0</v>
      </c>
      <c r="H30" s="195">
        <v>0</v>
      </c>
      <c r="I30" s="10">
        <v>0</v>
      </c>
      <c r="J30" s="11">
        <v>0</v>
      </c>
      <c r="K30" s="11">
        <v>0</v>
      </c>
      <c r="L30" s="189">
        <v>0</v>
      </c>
      <c r="M30" s="189">
        <v>0</v>
      </c>
      <c r="N30" s="189">
        <v>0</v>
      </c>
      <c r="O30" s="189">
        <v>468.87</v>
      </c>
      <c r="P30" s="189">
        <v>0</v>
      </c>
      <c r="Q30" s="189">
        <v>0</v>
      </c>
      <c r="R30" s="189">
        <v>0</v>
      </c>
      <c r="S30" s="189">
        <v>0</v>
      </c>
      <c r="T30" s="189">
        <v>468.87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21.91</v>
      </c>
      <c r="G31" s="195">
        <v>0</v>
      </c>
      <c r="H31" s="195">
        <v>0</v>
      </c>
      <c r="I31" s="10">
        <v>0</v>
      </c>
      <c r="J31" s="11">
        <v>0</v>
      </c>
      <c r="K31" s="11">
        <v>0</v>
      </c>
      <c r="L31" s="189">
        <v>0</v>
      </c>
      <c r="M31" s="189">
        <v>0</v>
      </c>
      <c r="N31" s="189">
        <v>0</v>
      </c>
      <c r="O31" s="189">
        <v>468.87</v>
      </c>
      <c r="P31" s="189">
        <v>0</v>
      </c>
      <c r="Q31" s="189">
        <v>0</v>
      </c>
      <c r="R31" s="189">
        <v>0</v>
      </c>
      <c r="S31" s="189">
        <v>0</v>
      </c>
      <c r="T31" s="189">
        <v>468.87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21.91</v>
      </c>
      <c r="G32" s="195">
        <v>0</v>
      </c>
      <c r="H32" s="195">
        <v>0</v>
      </c>
      <c r="I32" s="10">
        <v>0</v>
      </c>
      <c r="J32" s="11">
        <v>0</v>
      </c>
      <c r="K32" s="11">
        <v>0</v>
      </c>
      <c r="L32" s="189">
        <v>0</v>
      </c>
      <c r="M32" s="189">
        <v>0</v>
      </c>
      <c r="N32" s="189">
        <v>0</v>
      </c>
      <c r="O32" s="189">
        <v>468.87</v>
      </c>
      <c r="P32" s="189">
        <v>0</v>
      </c>
      <c r="Q32" s="189">
        <v>0</v>
      </c>
      <c r="R32" s="189">
        <v>0</v>
      </c>
      <c r="S32" s="189">
        <v>0</v>
      </c>
      <c r="T32" s="189">
        <v>468.87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0</v>
      </c>
      <c r="E36" s="19">
        <v>0</v>
      </c>
      <c r="F36" s="19">
        <v>613.48000000000013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0">
        <v>0</v>
      </c>
      <c r="M36" s="190">
        <v>0</v>
      </c>
      <c r="N36" s="190">
        <v>0</v>
      </c>
      <c r="O36" s="190">
        <v>13128.47</v>
      </c>
      <c r="P36" s="190">
        <v>0</v>
      </c>
      <c r="Q36" s="190">
        <v>0</v>
      </c>
      <c r="R36" s="190">
        <v>0</v>
      </c>
      <c r="S36" s="190">
        <v>0</v>
      </c>
      <c r="T36" s="190">
        <v>13128.47</v>
      </c>
    </row>
    <row r="37" spans="1:20">
      <c r="R37" s="22"/>
      <c r="S37" s="22"/>
      <c r="T37" s="191">
        <v>16016.74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A61A-DE82-4D6F-8821-1DF11E36D8A0}">
  <sheetPr codeName="Лист44">
    <pageSetUpPr fitToPage="1"/>
  </sheetPr>
  <dimension ref="A1:T37"/>
  <sheetViews>
    <sheetView workbookViewId="0">
      <selection activeCell="H6" sqref="H6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330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329</v>
      </c>
      <c r="H3" s="202" t="s">
        <v>324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2352.864</v>
      </c>
      <c r="G5" s="195">
        <v>1647.136</v>
      </c>
      <c r="H5" s="195">
        <v>0</v>
      </c>
      <c r="I5" s="10">
        <v>0</v>
      </c>
      <c r="J5" s="11">
        <v>0</v>
      </c>
      <c r="K5" s="11">
        <v>0</v>
      </c>
      <c r="L5" s="189">
        <v>0</v>
      </c>
      <c r="M5" s="189">
        <v>0</v>
      </c>
      <c r="N5" s="189">
        <v>0</v>
      </c>
      <c r="O5" s="189">
        <v>50351.29</v>
      </c>
      <c r="P5" s="189">
        <v>35248.71</v>
      </c>
      <c r="Q5" s="189">
        <v>0</v>
      </c>
      <c r="R5" s="189">
        <v>0</v>
      </c>
      <c r="S5" s="189">
        <v>0</v>
      </c>
      <c r="T5" s="189">
        <v>85600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22.5</v>
      </c>
      <c r="F6" s="194">
        <v>2330.364</v>
      </c>
      <c r="G6" s="195">
        <v>1669.636</v>
      </c>
      <c r="H6" s="195">
        <v>377.5</v>
      </c>
      <c r="I6" s="10">
        <v>0</v>
      </c>
      <c r="J6" s="11">
        <v>0</v>
      </c>
      <c r="K6" s="11">
        <v>0</v>
      </c>
      <c r="L6" s="189">
        <v>0</v>
      </c>
      <c r="M6" s="189">
        <v>0</v>
      </c>
      <c r="N6" s="189">
        <v>2585.6999999999998</v>
      </c>
      <c r="O6" s="189">
        <v>49869.79</v>
      </c>
      <c r="P6" s="189">
        <v>35730.21</v>
      </c>
      <c r="Q6" s="189">
        <v>43382.3</v>
      </c>
      <c r="R6" s="189">
        <v>0</v>
      </c>
      <c r="S6" s="189">
        <v>0</v>
      </c>
      <c r="T6" s="189">
        <v>131568</v>
      </c>
    </row>
    <row r="7" spans="1:20">
      <c r="A7" s="13">
        <v>3</v>
      </c>
      <c r="B7" s="199" t="s">
        <v>203</v>
      </c>
      <c r="C7" s="200"/>
      <c r="D7" s="194">
        <v>90</v>
      </c>
      <c r="E7" s="194">
        <v>43.5</v>
      </c>
      <c r="F7" s="194">
        <v>2376.864</v>
      </c>
      <c r="G7" s="195">
        <v>1623.136</v>
      </c>
      <c r="H7" s="195">
        <v>266.5</v>
      </c>
      <c r="I7" s="10">
        <v>0</v>
      </c>
      <c r="J7" s="11">
        <v>0</v>
      </c>
      <c r="K7" s="11">
        <v>0</v>
      </c>
      <c r="L7" s="189">
        <v>0</v>
      </c>
      <c r="M7" s="189">
        <v>10342.799999999999</v>
      </c>
      <c r="N7" s="189">
        <v>4999.0200000000004</v>
      </c>
      <c r="O7" s="189">
        <v>50864.89</v>
      </c>
      <c r="P7" s="189">
        <v>34735.11</v>
      </c>
      <c r="Q7" s="189">
        <v>30626.18</v>
      </c>
      <c r="R7" s="189">
        <v>0</v>
      </c>
      <c r="S7" s="189">
        <v>0</v>
      </c>
      <c r="T7" s="189">
        <v>131568</v>
      </c>
    </row>
    <row r="8" spans="1:20">
      <c r="A8" s="13">
        <v>4</v>
      </c>
      <c r="B8" s="199" t="s">
        <v>204</v>
      </c>
      <c r="C8" s="200"/>
      <c r="D8" s="194">
        <v>178.875</v>
      </c>
      <c r="E8" s="194">
        <v>74.375</v>
      </c>
      <c r="F8" s="194">
        <v>2481.364</v>
      </c>
      <c r="G8" s="195">
        <v>1518.636</v>
      </c>
      <c r="H8" s="195">
        <v>146.75</v>
      </c>
      <c r="I8" s="10">
        <v>0</v>
      </c>
      <c r="J8" s="11">
        <v>0</v>
      </c>
      <c r="K8" s="11">
        <v>0</v>
      </c>
      <c r="L8" s="189">
        <v>0</v>
      </c>
      <c r="M8" s="189">
        <v>20556.32</v>
      </c>
      <c r="N8" s="189">
        <v>8547.18</v>
      </c>
      <c r="O8" s="189">
        <v>53101.19</v>
      </c>
      <c r="P8" s="189">
        <v>32498.81</v>
      </c>
      <c r="Q8" s="189">
        <v>16864.509999999998</v>
      </c>
      <c r="R8" s="189">
        <v>0</v>
      </c>
      <c r="S8" s="189">
        <v>0</v>
      </c>
      <c r="T8" s="189">
        <v>131568</v>
      </c>
    </row>
    <row r="9" spans="1:20">
      <c r="A9" s="13">
        <v>5</v>
      </c>
      <c r="B9" s="199" t="s">
        <v>205</v>
      </c>
      <c r="C9" s="200"/>
      <c r="D9" s="194">
        <v>67.5</v>
      </c>
      <c r="E9" s="194">
        <v>0</v>
      </c>
      <c r="F9" s="194">
        <v>2548.864</v>
      </c>
      <c r="G9" s="195">
        <v>1451.136</v>
      </c>
      <c r="H9" s="195">
        <v>332.5</v>
      </c>
      <c r="I9" s="10">
        <v>0</v>
      </c>
      <c r="J9" s="11">
        <v>0</v>
      </c>
      <c r="K9" s="11">
        <v>0</v>
      </c>
      <c r="L9" s="189">
        <v>0</v>
      </c>
      <c r="M9" s="189">
        <v>7757.1</v>
      </c>
      <c r="N9" s="189">
        <v>0</v>
      </c>
      <c r="O9" s="189">
        <v>54545.69</v>
      </c>
      <c r="P9" s="189">
        <v>31054.31</v>
      </c>
      <c r="Q9" s="189">
        <v>38210.9</v>
      </c>
      <c r="R9" s="189">
        <v>0</v>
      </c>
      <c r="S9" s="189">
        <v>0</v>
      </c>
      <c r="T9" s="189">
        <v>131568</v>
      </c>
    </row>
    <row r="10" spans="1:20">
      <c r="A10" s="13">
        <v>6</v>
      </c>
      <c r="B10" s="199" t="s">
        <v>206</v>
      </c>
      <c r="C10" s="200"/>
      <c r="D10" s="194">
        <v>90</v>
      </c>
      <c r="E10" s="194">
        <v>78.75</v>
      </c>
      <c r="F10" s="194">
        <v>2560.114</v>
      </c>
      <c r="G10" s="195">
        <v>1439.886</v>
      </c>
      <c r="H10" s="195">
        <v>231.25</v>
      </c>
      <c r="I10" s="10">
        <v>0</v>
      </c>
      <c r="J10" s="11">
        <v>0</v>
      </c>
      <c r="K10" s="11">
        <v>0</v>
      </c>
      <c r="L10" s="189">
        <v>0</v>
      </c>
      <c r="M10" s="189">
        <v>10342.799999999999</v>
      </c>
      <c r="N10" s="189">
        <v>9049.9500000000007</v>
      </c>
      <c r="O10" s="189">
        <v>54786.44</v>
      </c>
      <c r="P10" s="189">
        <v>30813.56</v>
      </c>
      <c r="Q10" s="189">
        <v>26575.25</v>
      </c>
      <c r="R10" s="189">
        <v>0</v>
      </c>
      <c r="S10" s="189">
        <v>0</v>
      </c>
      <c r="T10" s="189">
        <v>131568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2560.114</v>
      </c>
      <c r="G11" s="195">
        <v>1439.886</v>
      </c>
      <c r="H11" s="195">
        <v>0</v>
      </c>
      <c r="I11" s="10">
        <v>0</v>
      </c>
      <c r="J11" s="11">
        <v>0</v>
      </c>
      <c r="K11" s="11">
        <v>0</v>
      </c>
      <c r="L11" s="189">
        <v>0</v>
      </c>
      <c r="M11" s="189">
        <v>0</v>
      </c>
      <c r="N11" s="189">
        <v>0</v>
      </c>
      <c r="O11" s="189">
        <v>54786.44</v>
      </c>
      <c r="P11" s="189">
        <v>30813.56</v>
      </c>
      <c r="Q11" s="189">
        <v>0</v>
      </c>
      <c r="R11" s="189">
        <v>0</v>
      </c>
      <c r="S11" s="189">
        <v>0</v>
      </c>
      <c r="T11" s="189">
        <v>85600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2560.114</v>
      </c>
      <c r="G12" s="195">
        <v>1439.886</v>
      </c>
      <c r="H12" s="195">
        <v>0</v>
      </c>
      <c r="I12" s="10">
        <v>0</v>
      </c>
      <c r="J12" s="11">
        <v>0</v>
      </c>
      <c r="K12" s="11">
        <v>0</v>
      </c>
      <c r="L12" s="189">
        <v>0</v>
      </c>
      <c r="M12" s="189">
        <v>0</v>
      </c>
      <c r="N12" s="189">
        <v>0</v>
      </c>
      <c r="O12" s="189">
        <v>54786.44</v>
      </c>
      <c r="P12" s="189">
        <v>30813.56</v>
      </c>
      <c r="Q12" s="189">
        <v>0</v>
      </c>
      <c r="R12" s="189">
        <v>0</v>
      </c>
      <c r="S12" s="189">
        <v>0</v>
      </c>
      <c r="T12" s="189">
        <v>85600</v>
      </c>
    </row>
    <row r="13" spans="1:20">
      <c r="A13" s="13">
        <v>9</v>
      </c>
      <c r="B13" s="199" t="s">
        <v>209</v>
      </c>
      <c r="C13" s="200"/>
      <c r="D13" s="194">
        <v>112</v>
      </c>
      <c r="E13" s="194">
        <v>67.5</v>
      </c>
      <c r="F13" s="194">
        <v>2604.614</v>
      </c>
      <c r="G13" s="195">
        <v>1395.386</v>
      </c>
      <c r="H13" s="195">
        <v>220.5</v>
      </c>
      <c r="I13" s="10">
        <v>0</v>
      </c>
      <c r="J13" s="11">
        <v>0</v>
      </c>
      <c r="K13" s="11">
        <v>0</v>
      </c>
      <c r="L13" s="189">
        <v>0</v>
      </c>
      <c r="M13" s="189">
        <v>12871.04</v>
      </c>
      <c r="N13" s="189">
        <v>7757.1</v>
      </c>
      <c r="O13" s="189">
        <v>55738.74</v>
      </c>
      <c r="P13" s="189">
        <v>29861.26</v>
      </c>
      <c r="Q13" s="189">
        <v>25339.86</v>
      </c>
      <c r="R13" s="189">
        <v>0</v>
      </c>
      <c r="S13" s="189">
        <v>0</v>
      </c>
      <c r="T13" s="189">
        <v>131568</v>
      </c>
    </row>
    <row r="14" spans="1:20">
      <c r="A14" s="13">
        <v>10</v>
      </c>
      <c r="B14" s="199" t="s">
        <v>210</v>
      </c>
      <c r="C14" s="200"/>
      <c r="D14" s="194">
        <v>135</v>
      </c>
      <c r="E14" s="194">
        <v>71.25</v>
      </c>
      <c r="F14" s="194">
        <v>2668.364</v>
      </c>
      <c r="G14" s="195">
        <v>1331.636</v>
      </c>
      <c r="H14" s="195">
        <v>193.75</v>
      </c>
      <c r="I14" s="10">
        <v>0</v>
      </c>
      <c r="J14" s="11">
        <v>0</v>
      </c>
      <c r="K14" s="11">
        <v>0</v>
      </c>
      <c r="L14" s="189">
        <v>0</v>
      </c>
      <c r="M14" s="189">
        <v>15514.2</v>
      </c>
      <c r="N14" s="189">
        <v>8188.05</v>
      </c>
      <c r="O14" s="189">
        <v>57102.99</v>
      </c>
      <c r="P14" s="189">
        <v>28497.01</v>
      </c>
      <c r="Q14" s="189">
        <v>22265.75</v>
      </c>
      <c r="R14" s="189">
        <v>0</v>
      </c>
      <c r="S14" s="189">
        <v>0</v>
      </c>
      <c r="T14" s="189">
        <v>131568</v>
      </c>
    </row>
    <row r="15" spans="1:20">
      <c r="A15" s="13">
        <v>11</v>
      </c>
      <c r="B15" s="199" t="s">
        <v>211</v>
      </c>
      <c r="C15" s="200"/>
      <c r="D15" s="194">
        <v>157.5</v>
      </c>
      <c r="E15" s="194">
        <v>0</v>
      </c>
      <c r="F15" s="194">
        <v>2825.864</v>
      </c>
      <c r="G15" s="195">
        <v>1174.136</v>
      </c>
      <c r="H15" s="195">
        <v>242.5</v>
      </c>
      <c r="I15" s="10">
        <v>0</v>
      </c>
      <c r="J15" s="11">
        <v>0</v>
      </c>
      <c r="K15" s="11">
        <v>0</v>
      </c>
      <c r="L15" s="189">
        <v>0</v>
      </c>
      <c r="M15" s="189">
        <v>18099.900000000001</v>
      </c>
      <c r="N15" s="189">
        <v>0</v>
      </c>
      <c r="O15" s="189">
        <v>60473.49</v>
      </c>
      <c r="P15" s="189">
        <v>25126.51</v>
      </c>
      <c r="Q15" s="189">
        <v>27868.1</v>
      </c>
      <c r="R15" s="189">
        <v>0</v>
      </c>
      <c r="S15" s="189">
        <v>0</v>
      </c>
      <c r="T15" s="189">
        <v>131568</v>
      </c>
    </row>
    <row r="16" spans="1:20">
      <c r="A16" s="13">
        <v>12</v>
      </c>
      <c r="B16" s="199" t="s">
        <v>212</v>
      </c>
      <c r="C16" s="200"/>
      <c r="D16" s="194">
        <v>270</v>
      </c>
      <c r="E16" s="194">
        <v>23.875</v>
      </c>
      <c r="F16" s="194">
        <v>3071.989</v>
      </c>
      <c r="G16" s="195">
        <v>928.01099999999997</v>
      </c>
      <c r="H16" s="195">
        <v>106.125</v>
      </c>
      <c r="I16" s="10">
        <v>0</v>
      </c>
      <c r="J16" s="11">
        <v>0</v>
      </c>
      <c r="K16" s="11">
        <v>0</v>
      </c>
      <c r="L16" s="189">
        <v>0</v>
      </c>
      <c r="M16" s="189">
        <v>31028.400000000001</v>
      </c>
      <c r="N16" s="189">
        <v>2743.72</v>
      </c>
      <c r="O16" s="189">
        <v>65740.56</v>
      </c>
      <c r="P16" s="189">
        <v>19859.439999999999</v>
      </c>
      <c r="Q16" s="189">
        <v>12195.89</v>
      </c>
      <c r="R16" s="189">
        <v>0</v>
      </c>
      <c r="S16" s="189">
        <v>0</v>
      </c>
      <c r="T16" s="189">
        <v>131568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22.5</v>
      </c>
      <c r="F17" s="194">
        <v>3049.489</v>
      </c>
      <c r="G17" s="195">
        <v>950.51099999999997</v>
      </c>
      <c r="H17" s="195">
        <v>377.5</v>
      </c>
      <c r="I17" s="10">
        <v>0</v>
      </c>
      <c r="J17" s="11">
        <v>0</v>
      </c>
      <c r="K17" s="11">
        <v>0</v>
      </c>
      <c r="L17" s="189">
        <v>0</v>
      </c>
      <c r="M17" s="189">
        <v>0</v>
      </c>
      <c r="N17" s="189">
        <v>2585.6999999999998</v>
      </c>
      <c r="O17" s="189">
        <v>65259.06</v>
      </c>
      <c r="P17" s="189">
        <v>20340.939999999999</v>
      </c>
      <c r="Q17" s="189">
        <v>43382.3</v>
      </c>
      <c r="R17" s="189">
        <v>0</v>
      </c>
      <c r="S17" s="189">
        <v>0</v>
      </c>
      <c r="T17" s="189">
        <v>131568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3049.489</v>
      </c>
      <c r="G18" s="195">
        <v>950.51099999999997</v>
      </c>
      <c r="H18" s="195">
        <v>0</v>
      </c>
      <c r="I18" s="10">
        <v>0</v>
      </c>
      <c r="J18" s="11">
        <v>0</v>
      </c>
      <c r="K18" s="11">
        <v>0</v>
      </c>
      <c r="L18" s="189">
        <v>0</v>
      </c>
      <c r="M18" s="189">
        <v>0</v>
      </c>
      <c r="N18" s="189">
        <v>0</v>
      </c>
      <c r="O18" s="189">
        <v>65259.06</v>
      </c>
      <c r="P18" s="189">
        <v>20340.939999999999</v>
      </c>
      <c r="Q18" s="189">
        <v>0</v>
      </c>
      <c r="R18" s="189">
        <v>0</v>
      </c>
      <c r="S18" s="189">
        <v>0</v>
      </c>
      <c r="T18" s="189">
        <v>85600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3049.489</v>
      </c>
      <c r="G19" s="195">
        <v>950.51099999999997</v>
      </c>
      <c r="H19" s="195">
        <v>0</v>
      </c>
      <c r="I19" s="10">
        <v>0</v>
      </c>
      <c r="J19" s="11">
        <v>0</v>
      </c>
      <c r="K19" s="11">
        <v>0</v>
      </c>
      <c r="L19" s="189">
        <v>0</v>
      </c>
      <c r="M19" s="189">
        <v>0</v>
      </c>
      <c r="N19" s="189">
        <v>0</v>
      </c>
      <c r="O19" s="189">
        <v>65259.06</v>
      </c>
      <c r="P19" s="189">
        <v>20340.939999999999</v>
      </c>
      <c r="Q19" s="189">
        <v>0</v>
      </c>
      <c r="R19" s="189">
        <v>0</v>
      </c>
      <c r="S19" s="189">
        <v>0</v>
      </c>
      <c r="T19" s="189">
        <v>85600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94</v>
      </c>
      <c r="F20" s="194">
        <v>2955.489</v>
      </c>
      <c r="G20" s="195">
        <v>1044.511</v>
      </c>
      <c r="H20" s="195">
        <v>306</v>
      </c>
      <c r="I20" s="10">
        <v>0</v>
      </c>
      <c r="J20" s="11">
        <v>0</v>
      </c>
      <c r="K20" s="11">
        <v>0</v>
      </c>
      <c r="L20" s="189">
        <v>0</v>
      </c>
      <c r="M20" s="189">
        <v>0</v>
      </c>
      <c r="N20" s="189">
        <v>10802.48</v>
      </c>
      <c r="O20" s="189">
        <v>63247.46</v>
      </c>
      <c r="P20" s="189">
        <v>22352.54</v>
      </c>
      <c r="Q20" s="189">
        <v>35165.519999999997</v>
      </c>
      <c r="R20" s="189">
        <v>0</v>
      </c>
      <c r="S20" s="189">
        <v>0</v>
      </c>
      <c r="T20" s="189">
        <v>131568</v>
      </c>
    </row>
    <row r="21" spans="1:20">
      <c r="A21" s="13">
        <v>17</v>
      </c>
      <c r="B21" s="199" t="s">
        <v>217</v>
      </c>
      <c r="C21" s="200"/>
      <c r="D21" s="194">
        <v>90</v>
      </c>
      <c r="E21" s="194">
        <v>31.975000000000001</v>
      </c>
      <c r="F21" s="194">
        <v>3013.5140000000001</v>
      </c>
      <c r="G21" s="195">
        <v>986.48599999999988</v>
      </c>
      <c r="H21" s="195">
        <v>278.02499999999998</v>
      </c>
      <c r="I21" s="10">
        <v>0</v>
      </c>
      <c r="J21" s="11">
        <v>0</v>
      </c>
      <c r="K21" s="11">
        <v>0</v>
      </c>
      <c r="L21" s="189">
        <v>0</v>
      </c>
      <c r="M21" s="189">
        <v>10342.799999999999</v>
      </c>
      <c r="N21" s="189">
        <v>3674.57</v>
      </c>
      <c r="O21" s="189">
        <v>64489.2</v>
      </c>
      <c r="P21" s="189">
        <v>21110.799999999999</v>
      </c>
      <c r="Q21" s="189">
        <v>31950.63</v>
      </c>
      <c r="R21" s="189">
        <v>0</v>
      </c>
      <c r="S21" s="189">
        <v>0</v>
      </c>
      <c r="T21" s="189">
        <v>131568</v>
      </c>
    </row>
    <row r="22" spans="1:20">
      <c r="A22" s="13">
        <v>18</v>
      </c>
      <c r="B22" s="199" t="s">
        <v>218</v>
      </c>
      <c r="C22" s="200"/>
      <c r="D22" s="194">
        <v>22.5</v>
      </c>
      <c r="E22" s="194">
        <v>22.5</v>
      </c>
      <c r="F22" s="194">
        <v>3013.5140000000001</v>
      </c>
      <c r="G22" s="195">
        <v>986.48599999999988</v>
      </c>
      <c r="H22" s="195">
        <v>355</v>
      </c>
      <c r="I22" s="10">
        <v>0</v>
      </c>
      <c r="J22" s="11">
        <v>0</v>
      </c>
      <c r="K22" s="11">
        <v>0</v>
      </c>
      <c r="L22" s="189">
        <v>0</v>
      </c>
      <c r="M22" s="189">
        <v>2585.6999999999998</v>
      </c>
      <c r="N22" s="189">
        <v>2585.6999999999998</v>
      </c>
      <c r="O22" s="189">
        <v>64489.2</v>
      </c>
      <c r="P22" s="189">
        <v>21110.799999999999</v>
      </c>
      <c r="Q22" s="189">
        <v>40796.6</v>
      </c>
      <c r="R22" s="189">
        <v>0</v>
      </c>
      <c r="S22" s="189">
        <v>0</v>
      </c>
      <c r="T22" s="189">
        <v>131568</v>
      </c>
    </row>
    <row r="23" spans="1:20">
      <c r="A23" s="13">
        <v>19</v>
      </c>
      <c r="B23" s="199" t="s">
        <v>219</v>
      </c>
      <c r="C23" s="200"/>
      <c r="D23" s="194">
        <v>45</v>
      </c>
      <c r="E23" s="194">
        <v>78.75</v>
      </c>
      <c r="F23" s="194">
        <v>2979.7640000000001</v>
      </c>
      <c r="G23" s="195">
        <v>1020.2359999999999</v>
      </c>
      <c r="H23" s="195">
        <v>276.25</v>
      </c>
      <c r="I23" s="10">
        <v>0</v>
      </c>
      <c r="J23" s="11">
        <v>0</v>
      </c>
      <c r="K23" s="11">
        <v>0</v>
      </c>
      <c r="L23" s="189">
        <v>0</v>
      </c>
      <c r="M23" s="189">
        <v>5171.3999999999996</v>
      </c>
      <c r="N23" s="189">
        <v>9049.9500000000007</v>
      </c>
      <c r="O23" s="189">
        <v>63766.95</v>
      </c>
      <c r="P23" s="189">
        <v>21833.05</v>
      </c>
      <c r="Q23" s="189">
        <v>31746.65</v>
      </c>
      <c r="R23" s="189">
        <v>0</v>
      </c>
      <c r="S23" s="189">
        <v>0</v>
      </c>
      <c r="T23" s="189">
        <v>131568</v>
      </c>
    </row>
    <row r="24" spans="1:20">
      <c r="A24" s="13">
        <v>20</v>
      </c>
      <c r="B24" s="199" t="s">
        <v>220</v>
      </c>
      <c r="C24" s="200"/>
      <c r="D24" s="194">
        <v>45</v>
      </c>
      <c r="E24" s="194">
        <v>106.625</v>
      </c>
      <c r="F24" s="194">
        <v>2918.1390000000001</v>
      </c>
      <c r="G24" s="195">
        <v>1081.8609999999999</v>
      </c>
      <c r="H24" s="195">
        <v>248.375</v>
      </c>
      <c r="I24" s="10">
        <v>0</v>
      </c>
      <c r="J24" s="11">
        <v>0</v>
      </c>
      <c r="K24" s="11">
        <v>0</v>
      </c>
      <c r="L24" s="189">
        <v>0</v>
      </c>
      <c r="M24" s="189">
        <v>5171.3999999999996</v>
      </c>
      <c r="N24" s="189">
        <v>12253.35</v>
      </c>
      <c r="O24" s="189">
        <v>62448.17</v>
      </c>
      <c r="P24" s="189">
        <v>23151.83</v>
      </c>
      <c r="Q24" s="189">
        <v>28543.26</v>
      </c>
      <c r="R24" s="189">
        <v>0</v>
      </c>
      <c r="S24" s="189">
        <v>0</v>
      </c>
      <c r="T24" s="189">
        <v>131568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2918.1390000000001</v>
      </c>
      <c r="G25" s="195">
        <v>1081.8609999999999</v>
      </c>
      <c r="H25" s="195">
        <v>0</v>
      </c>
      <c r="I25" s="10">
        <v>0</v>
      </c>
      <c r="J25" s="11">
        <v>0</v>
      </c>
      <c r="K25" s="11">
        <v>0</v>
      </c>
      <c r="L25" s="189">
        <v>0</v>
      </c>
      <c r="M25" s="189">
        <v>0</v>
      </c>
      <c r="N25" s="189">
        <v>0</v>
      </c>
      <c r="O25" s="189">
        <v>62448.17</v>
      </c>
      <c r="P25" s="189">
        <v>23151.83</v>
      </c>
      <c r="Q25" s="189">
        <v>0</v>
      </c>
      <c r="R25" s="189">
        <v>0</v>
      </c>
      <c r="S25" s="189">
        <v>0</v>
      </c>
      <c r="T25" s="189">
        <v>85600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2918.1390000000001</v>
      </c>
      <c r="G26" s="195">
        <v>1081.8609999999999</v>
      </c>
      <c r="H26" s="195">
        <v>0</v>
      </c>
      <c r="I26" s="10">
        <v>0</v>
      </c>
      <c r="J26" s="11">
        <v>0</v>
      </c>
      <c r="K26" s="11">
        <v>0</v>
      </c>
      <c r="L26" s="189">
        <v>0</v>
      </c>
      <c r="M26" s="189">
        <v>0</v>
      </c>
      <c r="N26" s="189">
        <v>0</v>
      </c>
      <c r="O26" s="189">
        <v>62448.17</v>
      </c>
      <c r="P26" s="189">
        <v>23151.83</v>
      </c>
      <c r="Q26" s="189">
        <v>0</v>
      </c>
      <c r="R26" s="189">
        <v>0</v>
      </c>
      <c r="S26" s="189">
        <v>0</v>
      </c>
      <c r="T26" s="189">
        <v>85600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2918.1390000000001</v>
      </c>
      <c r="G27" s="195">
        <v>1081.8609999999999</v>
      </c>
      <c r="H27" s="195">
        <v>0</v>
      </c>
      <c r="I27" s="10">
        <v>0</v>
      </c>
      <c r="J27" s="11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62448.17</v>
      </c>
      <c r="P27" s="189">
        <v>23151.83</v>
      </c>
      <c r="Q27" s="189">
        <v>0</v>
      </c>
      <c r="R27" s="189">
        <v>0</v>
      </c>
      <c r="S27" s="189">
        <v>0</v>
      </c>
      <c r="T27" s="189">
        <v>85600</v>
      </c>
    </row>
    <row r="28" spans="1:20">
      <c r="A28" s="13">
        <v>24</v>
      </c>
      <c r="B28" s="199" t="s">
        <v>224</v>
      </c>
      <c r="C28" s="200"/>
      <c r="D28" s="194">
        <v>135.05000000000001</v>
      </c>
      <c r="E28" s="194">
        <v>88.275000000000006</v>
      </c>
      <c r="F28" s="194">
        <v>2964.9140000000002</v>
      </c>
      <c r="G28" s="195">
        <v>1035.0859999999998</v>
      </c>
      <c r="H28" s="195">
        <v>176.67500000000001</v>
      </c>
      <c r="I28" s="10">
        <v>0</v>
      </c>
      <c r="J28" s="11">
        <v>0</v>
      </c>
      <c r="K28" s="11">
        <v>0</v>
      </c>
      <c r="L28" s="189">
        <v>0</v>
      </c>
      <c r="M28" s="189">
        <v>15519.95</v>
      </c>
      <c r="N28" s="189">
        <v>10144.56</v>
      </c>
      <c r="O28" s="189">
        <v>63449.16</v>
      </c>
      <c r="P28" s="189">
        <v>22150.84</v>
      </c>
      <c r="Q28" s="189">
        <v>20303.490000000002</v>
      </c>
      <c r="R28" s="189">
        <v>0</v>
      </c>
      <c r="S28" s="189">
        <v>0</v>
      </c>
      <c r="T28" s="189">
        <v>131568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22</v>
      </c>
      <c r="F29" s="194">
        <v>2942.9140000000002</v>
      </c>
      <c r="G29" s="195">
        <v>1057.0859999999998</v>
      </c>
      <c r="H29" s="195">
        <v>378</v>
      </c>
      <c r="I29" s="10">
        <v>0</v>
      </c>
      <c r="J29" s="11">
        <v>0</v>
      </c>
      <c r="K29" s="11">
        <v>0</v>
      </c>
      <c r="L29" s="189">
        <v>0</v>
      </c>
      <c r="M29" s="189">
        <v>0</v>
      </c>
      <c r="N29" s="189">
        <v>2528.2399999999998</v>
      </c>
      <c r="O29" s="189">
        <v>62978.36</v>
      </c>
      <c r="P29" s="189">
        <v>22621.64</v>
      </c>
      <c r="Q29" s="189">
        <v>43439.76</v>
      </c>
      <c r="R29" s="189">
        <v>0</v>
      </c>
      <c r="S29" s="189">
        <v>0</v>
      </c>
      <c r="T29" s="189">
        <v>131568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46.125</v>
      </c>
      <c r="F30" s="194">
        <v>2896.7890000000002</v>
      </c>
      <c r="G30" s="195">
        <v>1103.2109999999998</v>
      </c>
      <c r="H30" s="195">
        <v>353.875</v>
      </c>
      <c r="I30" s="10">
        <v>0</v>
      </c>
      <c r="J30" s="11">
        <v>0</v>
      </c>
      <c r="K30" s="11">
        <v>0</v>
      </c>
      <c r="L30" s="189">
        <v>0</v>
      </c>
      <c r="M30" s="189">
        <v>0</v>
      </c>
      <c r="N30" s="189">
        <v>5300.69</v>
      </c>
      <c r="O30" s="189">
        <v>61991.28</v>
      </c>
      <c r="P30" s="189">
        <v>23608.720000000001</v>
      </c>
      <c r="Q30" s="189">
        <v>40667.32</v>
      </c>
      <c r="R30" s="189">
        <v>0</v>
      </c>
      <c r="S30" s="189">
        <v>0</v>
      </c>
      <c r="T30" s="189">
        <v>131568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0.6</v>
      </c>
      <c r="F31" s="194">
        <v>2896.1889999999999</v>
      </c>
      <c r="G31" s="195">
        <v>1103.8110000000001</v>
      </c>
      <c r="H31" s="195">
        <v>399.4</v>
      </c>
      <c r="I31" s="10">
        <v>0</v>
      </c>
      <c r="J31" s="11">
        <v>0</v>
      </c>
      <c r="K31" s="11">
        <v>0</v>
      </c>
      <c r="L31" s="189">
        <v>0</v>
      </c>
      <c r="M31" s="189">
        <v>0</v>
      </c>
      <c r="N31" s="189">
        <v>68.95</v>
      </c>
      <c r="O31" s="189">
        <v>61978.44</v>
      </c>
      <c r="P31" s="189">
        <v>23621.56</v>
      </c>
      <c r="Q31" s="189">
        <v>45899.05</v>
      </c>
      <c r="R31" s="189">
        <v>0</v>
      </c>
      <c r="S31" s="189">
        <v>0</v>
      </c>
      <c r="T31" s="189">
        <v>131568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2896.1889999999999</v>
      </c>
      <c r="G32" s="195">
        <v>1103.8110000000001</v>
      </c>
      <c r="H32" s="195">
        <v>0</v>
      </c>
      <c r="I32" s="10">
        <v>0</v>
      </c>
      <c r="J32" s="11">
        <v>0</v>
      </c>
      <c r="K32" s="11">
        <v>0</v>
      </c>
      <c r="L32" s="189">
        <v>0</v>
      </c>
      <c r="M32" s="189">
        <v>0</v>
      </c>
      <c r="N32" s="189">
        <v>0</v>
      </c>
      <c r="O32" s="189">
        <v>61978.44</v>
      </c>
      <c r="P32" s="189">
        <v>23621.56</v>
      </c>
      <c r="Q32" s="189">
        <v>0</v>
      </c>
      <c r="R32" s="189">
        <v>0</v>
      </c>
      <c r="S32" s="189">
        <v>0</v>
      </c>
      <c r="T32" s="189">
        <v>85600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1438.425</v>
      </c>
      <c r="E36" s="19">
        <v>895.1</v>
      </c>
      <c r="F36" s="19">
        <v>78321.79200000003</v>
      </c>
      <c r="G36" s="19">
        <v>33678.207999999999</v>
      </c>
      <c r="H36" s="19">
        <v>5266.4749999999995</v>
      </c>
      <c r="I36" s="19">
        <v>0</v>
      </c>
      <c r="J36" s="20">
        <v>0</v>
      </c>
      <c r="K36" s="20">
        <v>0</v>
      </c>
      <c r="L36" s="190">
        <v>0</v>
      </c>
      <c r="M36" s="190">
        <v>165303.79999999999</v>
      </c>
      <c r="N36" s="190">
        <v>102864.89</v>
      </c>
      <c r="O36" s="190">
        <v>1676086.35</v>
      </c>
      <c r="P36" s="190">
        <v>720713.65</v>
      </c>
      <c r="Q36" s="190">
        <v>605223.31000000006</v>
      </c>
      <c r="R36" s="190">
        <v>0</v>
      </c>
      <c r="S36" s="190">
        <v>0</v>
      </c>
      <c r="T36" s="190">
        <v>3270192</v>
      </c>
    </row>
    <row r="37" spans="1:20">
      <c r="R37" s="22"/>
      <c r="S37" s="22"/>
      <c r="T37" s="191">
        <v>3989634.24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48B1-6BA5-4BC7-A1C8-EF5EC40AD8C7}">
  <sheetPr codeName="Лист45">
    <pageSetUpPr fitToPage="1"/>
  </sheetPr>
  <dimension ref="A1:T37"/>
  <sheetViews>
    <sheetView topLeftCell="C1" workbookViewId="0">
      <selection activeCell="M5" sqref="M5:S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331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329</v>
      </c>
      <c r="H3" s="202" t="s">
        <v>233</v>
      </c>
      <c r="I3" s="202" t="s">
        <v>7</v>
      </c>
      <c r="J3" s="202" t="s">
        <v>8</v>
      </c>
      <c r="K3" s="202" t="s">
        <v>199</v>
      </c>
      <c r="L3" s="202" t="s">
        <v>267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29.1</v>
      </c>
      <c r="G5" s="195">
        <v>0</v>
      </c>
      <c r="H5" s="195">
        <v>0</v>
      </c>
      <c r="I5" s="10">
        <v>0</v>
      </c>
      <c r="J5" s="11">
        <v>0</v>
      </c>
      <c r="K5" s="11">
        <v>0</v>
      </c>
      <c r="L5" s="189">
        <v>0</v>
      </c>
      <c r="M5" s="189">
        <v>0</v>
      </c>
      <c r="N5" s="189">
        <v>0</v>
      </c>
      <c r="O5" s="189">
        <v>622.74</v>
      </c>
      <c r="P5" s="189">
        <v>0</v>
      </c>
      <c r="Q5" s="189">
        <v>0</v>
      </c>
      <c r="R5" s="189">
        <v>0</v>
      </c>
      <c r="S5" s="189">
        <v>0</v>
      </c>
      <c r="T5" s="189">
        <v>622.74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29.1</v>
      </c>
      <c r="G6" s="195">
        <v>0</v>
      </c>
      <c r="H6" s="195">
        <v>0</v>
      </c>
      <c r="I6" s="10">
        <v>0</v>
      </c>
      <c r="J6" s="11">
        <v>0</v>
      </c>
      <c r="K6" s="11">
        <v>0</v>
      </c>
      <c r="L6" s="189">
        <v>0</v>
      </c>
      <c r="M6" s="189">
        <v>0</v>
      </c>
      <c r="N6" s="189">
        <v>0</v>
      </c>
      <c r="O6" s="189">
        <v>622.74</v>
      </c>
      <c r="P6" s="189">
        <v>0</v>
      </c>
      <c r="Q6" s="189">
        <v>0</v>
      </c>
      <c r="R6" s="189">
        <v>0</v>
      </c>
      <c r="S6" s="189">
        <v>0</v>
      </c>
      <c r="T6" s="189">
        <v>622.74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29.1</v>
      </c>
      <c r="G7" s="195">
        <v>0</v>
      </c>
      <c r="H7" s="195">
        <v>0</v>
      </c>
      <c r="I7" s="10">
        <v>0</v>
      </c>
      <c r="J7" s="11">
        <v>0</v>
      </c>
      <c r="K7" s="11">
        <v>0</v>
      </c>
      <c r="L7" s="189">
        <v>0</v>
      </c>
      <c r="M7" s="189">
        <v>0</v>
      </c>
      <c r="N7" s="189">
        <v>0</v>
      </c>
      <c r="O7" s="189">
        <v>622.74</v>
      </c>
      <c r="P7" s="189">
        <v>0</v>
      </c>
      <c r="Q7" s="189">
        <v>0</v>
      </c>
      <c r="R7" s="189">
        <v>0</v>
      </c>
      <c r="S7" s="189">
        <v>0</v>
      </c>
      <c r="T7" s="189">
        <v>622.74</v>
      </c>
    </row>
    <row r="8" spans="1:20">
      <c r="A8" s="13">
        <v>4</v>
      </c>
      <c r="B8" s="199" t="s">
        <v>204</v>
      </c>
      <c r="C8" s="200"/>
      <c r="D8" s="194">
        <v>0</v>
      </c>
      <c r="E8" s="194">
        <v>0</v>
      </c>
      <c r="F8" s="194">
        <v>29.1</v>
      </c>
      <c r="G8" s="195">
        <v>0</v>
      </c>
      <c r="H8" s="195">
        <v>0</v>
      </c>
      <c r="I8" s="10">
        <v>0</v>
      </c>
      <c r="J8" s="11">
        <v>0</v>
      </c>
      <c r="K8" s="11">
        <v>0</v>
      </c>
      <c r="L8" s="189">
        <v>0</v>
      </c>
      <c r="M8" s="189">
        <v>0</v>
      </c>
      <c r="N8" s="189">
        <v>0</v>
      </c>
      <c r="O8" s="189">
        <v>622.74</v>
      </c>
      <c r="P8" s="189">
        <v>0</v>
      </c>
      <c r="Q8" s="189">
        <v>0</v>
      </c>
      <c r="R8" s="189">
        <v>0</v>
      </c>
      <c r="S8" s="189">
        <v>0</v>
      </c>
      <c r="T8" s="189">
        <v>622.74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29.1</v>
      </c>
      <c r="G9" s="195">
        <v>0</v>
      </c>
      <c r="H9" s="195">
        <v>0</v>
      </c>
      <c r="I9" s="10">
        <v>0</v>
      </c>
      <c r="J9" s="11">
        <v>0</v>
      </c>
      <c r="K9" s="11">
        <v>0</v>
      </c>
      <c r="L9" s="189">
        <v>0</v>
      </c>
      <c r="M9" s="189">
        <v>0</v>
      </c>
      <c r="N9" s="189">
        <v>0</v>
      </c>
      <c r="O9" s="189">
        <v>622.74</v>
      </c>
      <c r="P9" s="189">
        <v>0</v>
      </c>
      <c r="Q9" s="189">
        <v>0</v>
      </c>
      <c r="R9" s="189">
        <v>0</v>
      </c>
      <c r="S9" s="189">
        <v>0</v>
      </c>
      <c r="T9" s="189">
        <v>622.74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29.1</v>
      </c>
      <c r="G10" s="195">
        <v>0</v>
      </c>
      <c r="H10" s="195">
        <v>0</v>
      </c>
      <c r="I10" s="10">
        <v>0</v>
      </c>
      <c r="J10" s="11">
        <v>0</v>
      </c>
      <c r="K10" s="11">
        <v>0</v>
      </c>
      <c r="L10" s="189">
        <v>0</v>
      </c>
      <c r="M10" s="189">
        <v>0</v>
      </c>
      <c r="N10" s="189">
        <v>0</v>
      </c>
      <c r="O10" s="189">
        <v>622.74</v>
      </c>
      <c r="P10" s="189">
        <v>0</v>
      </c>
      <c r="Q10" s="189">
        <v>0</v>
      </c>
      <c r="R10" s="189">
        <v>0</v>
      </c>
      <c r="S10" s="189">
        <v>0</v>
      </c>
      <c r="T10" s="189">
        <v>622.74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29.1</v>
      </c>
      <c r="G11" s="195">
        <v>0</v>
      </c>
      <c r="H11" s="195">
        <v>0</v>
      </c>
      <c r="I11" s="10">
        <v>0</v>
      </c>
      <c r="J11" s="11">
        <v>0</v>
      </c>
      <c r="K11" s="11">
        <v>0</v>
      </c>
      <c r="L11" s="189">
        <v>0</v>
      </c>
      <c r="M11" s="189">
        <v>0</v>
      </c>
      <c r="N11" s="189">
        <v>0</v>
      </c>
      <c r="O11" s="189">
        <v>622.74</v>
      </c>
      <c r="P11" s="189">
        <v>0</v>
      </c>
      <c r="Q11" s="189">
        <v>0</v>
      </c>
      <c r="R11" s="189">
        <v>0</v>
      </c>
      <c r="S11" s="189">
        <v>0</v>
      </c>
      <c r="T11" s="189">
        <v>622.74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29.1</v>
      </c>
      <c r="G12" s="195">
        <v>0</v>
      </c>
      <c r="H12" s="195">
        <v>0</v>
      </c>
      <c r="I12" s="10">
        <v>0</v>
      </c>
      <c r="J12" s="11">
        <v>0</v>
      </c>
      <c r="K12" s="11">
        <v>0</v>
      </c>
      <c r="L12" s="189">
        <v>0</v>
      </c>
      <c r="M12" s="189">
        <v>0</v>
      </c>
      <c r="N12" s="189">
        <v>0</v>
      </c>
      <c r="O12" s="189">
        <v>622.74</v>
      </c>
      <c r="P12" s="189">
        <v>0</v>
      </c>
      <c r="Q12" s="189">
        <v>0</v>
      </c>
      <c r="R12" s="189">
        <v>0</v>
      </c>
      <c r="S12" s="189">
        <v>0</v>
      </c>
      <c r="T12" s="189">
        <v>622.74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29.1</v>
      </c>
      <c r="G13" s="195">
        <v>0</v>
      </c>
      <c r="H13" s="195">
        <v>0</v>
      </c>
      <c r="I13" s="10">
        <v>0</v>
      </c>
      <c r="J13" s="11">
        <v>0</v>
      </c>
      <c r="K13" s="11">
        <v>0</v>
      </c>
      <c r="L13" s="189">
        <v>0</v>
      </c>
      <c r="M13" s="189">
        <v>0</v>
      </c>
      <c r="N13" s="189">
        <v>0</v>
      </c>
      <c r="O13" s="189">
        <v>622.74</v>
      </c>
      <c r="P13" s="189">
        <v>0</v>
      </c>
      <c r="Q13" s="189">
        <v>0</v>
      </c>
      <c r="R13" s="189">
        <v>0</v>
      </c>
      <c r="S13" s="189">
        <v>0</v>
      </c>
      <c r="T13" s="189">
        <v>622.74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29.1</v>
      </c>
      <c r="G14" s="195">
        <v>0</v>
      </c>
      <c r="H14" s="195">
        <v>0</v>
      </c>
      <c r="I14" s="10">
        <v>0</v>
      </c>
      <c r="J14" s="11">
        <v>0</v>
      </c>
      <c r="K14" s="11">
        <v>0</v>
      </c>
      <c r="L14" s="189">
        <v>0</v>
      </c>
      <c r="M14" s="189">
        <v>0</v>
      </c>
      <c r="N14" s="189">
        <v>0</v>
      </c>
      <c r="O14" s="189">
        <v>622.74</v>
      </c>
      <c r="P14" s="189">
        <v>0</v>
      </c>
      <c r="Q14" s="189">
        <v>0</v>
      </c>
      <c r="R14" s="189">
        <v>0</v>
      </c>
      <c r="S14" s="189">
        <v>0</v>
      </c>
      <c r="T14" s="189">
        <v>622.74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29.1</v>
      </c>
      <c r="G15" s="195">
        <v>0</v>
      </c>
      <c r="H15" s="195">
        <v>0</v>
      </c>
      <c r="I15" s="10">
        <v>0</v>
      </c>
      <c r="J15" s="11">
        <v>0</v>
      </c>
      <c r="K15" s="11">
        <v>0</v>
      </c>
      <c r="L15" s="189">
        <v>0</v>
      </c>
      <c r="M15" s="189">
        <v>0</v>
      </c>
      <c r="N15" s="189">
        <v>0</v>
      </c>
      <c r="O15" s="189">
        <v>622.74</v>
      </c>
      <c r="P15" s="189">
        <v>0</v>
      </c>
      <c r="Q15" s="189">
        <v>0</v>
      </c>
      <c r="R15" s="189">
        <v>0</v>
      </c>
      <c r="S15" s="189">
        <v>0</v>
      </c>
      <c r="T15" s="189">
        <v>622.74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29.1</v>
      </c>
      <c r="G16" s="195">
        <v>0</v>
      </c>
      <c r="H16" s="195">
        <v>0</v>
      </c>
      <c r="I16" s="10">
        <v>0</v>
      </c>
      <c r="J16" s="11">
        <v>0</v>
      </c>
      <c r="K16" s="11">
        <v>0</v>
      </c>
      <c r="L16" s="189">
        <v>0</v>
      </c>
      <c r="M16" s="189">
        <v>0</v>
      </c>
      <c r="N16" s="189">
        <v>0</v>
      </c>
      <c r="O16" s="189">
        <v>622.74</v>
      </c>
      <c r="P16" s="189">
        <v>0</v>
      </c>
      <c r="Q16" s="189">
        <v>0</v>
      </c>
      <c r="R16" s="189">
        <v>0</v>
      </c>
      <c r="S16" s="189">
        <v>0</v>
      </c>
      <c r="T16" s="189">
        <v>622.74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29.1</v>
      </c>
      <c r="G17" s="195">
        <v>0</v>
      </c>
      <c r="H17" s="195">
        <v>0</v>
      </c>
      <c r="I17" s="10">
        <v>0</v>
      </c>
      <c r="J17" s="11">
        <v>0</v>
      </c>
      <c r="K17" s="11">
        <v>0</v>
      </c>
      <c r="L17" s="189">
        <v>0</v>
      </c>
      <c r="M17" s="189">
        <v>0</v>
      </c>
      <c r="N17" s="189">
        <v>0</v>
      </c>
      <c r="O17" s="189">
        <v>622.74</v>
      </c>
      <c r="P17" s="189">
        <v>0</v>
      </c>
      <c r="Q17" s="189">
        <v>0</v>
      </c>
      <c r="R17" s="189">
        <v>0</v>
      </c>
      <c r="S17" s="189">
        <v>0</v>
      </c>
      <c r="T17" s="189">
        <v>622.74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29.1</v>
      </c>
      <c r="G18" s="195">
        <v>0</v>
      </c>
      <c r="H18" s="195">
        <v>0</v>
      </c>
      <c r="I18" s="10">
        <v>0</v>
      </c>
      <c r="J18" s="11">
        <v>0</v>
      </c>
      <c r="K18" s="11">
        <v>0</v>
      </c>
      <c r="L18" s="189">
        <v>0</v>
      </c>
      <c r="M18" s="189">
        <v>0</v>
      </c>
      <c r="N18" s="189">
        <v>0</v>
      </c>
      <c r="O18" s="189">
        <v>622.74</v>
      </c>
      <c r="P18" s="189">
        <v>0</v>
      </c>
      <c r="Q18" s="189">
        <v>0</v>
      </c>
      <c r="R18" s="189">
        <v>0</v>
      </c>
      <c r="S18" s="189">
        <v>0</v>
      </c>
      <c r="T18" s="189">
        <v>622.74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29.1</v>
      </c>
      <c r="G19" s="195">
        <v>0</v>
      </c>
      <c r="H19" s="195">
        <v>0</v>
      </c>
      <c r="I19" s="10">
        <v>0</v>
      </c>
      <c r="J19" s="11">
        <v>0</v>
      </c>
      <c r="K19" s="11">
        <v>0</v>
      </c>
      <c r="L19" s="189">
        <v>0</v>
      </c>
      <c r="M19" s="189">
        <v>0</v>
      </c>
      <c r="N19" s="189">
        <v>0</v>
      </c>
      <c r="O19" s="189">
        <v>622.74</v>
      </c>
      <c r="P19" s="189">
        <v>0</v>
      </c>
      <c r="Q19" s="189">
        <v>0</v>
      </c>
      <c r="R19" s="189">
        <v>0</v>
      </c>
      <c r="S19" s="189">
        <v>0</v>
      </c>
      <c r="T19" s="189">
        <v>622.74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29.1</v>
      </c>
      <c r="G20" s="195">
        <v>0</v>
      </c>
      <c r="H20" s="195">
        <v>0</v>
      </c>
      <c r="I20" s="10">
        <v>0</v>
      </c>
      <c r="J20" s="11">
        <v>0</v>
      </c>
      <c r="K20" s="11">
        <v>0</v>
      </c>
      <c r="L20" s="189">
        <v>0</v>
      </c>
      <c r="M20" s="189">
        <v>0</v>
      </c>
      <c r="N20" s="189">
        <v>0</v>
      </c>
      <c r="O20" s="189">
        <v>622.74</v>
      </c>
      <c r="P20" s="189">
        <v>0</v>
      </c>
      <c r="Q20" s="189">
        <v>0</v>
      </c>
      <c r="R20" s="189">
        <v>0</v>
      </c>
      <c r="S20" s="189">
        <v>0</v>
      </c>
      <c r="T20" s="189">
        <v>622.74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29.1</v>
      </c>
      <c r="G21" s="195">
        <v>0</v>
      </c>
      <c r="H21" s="195">
        <v>0</v>
      </c>
      <c r="I21" s="10">
        <v>0</v>
      </c>
      <c r="J21" s="11">
        <v>0</v>
      </c>
      <c r="K21" s="11">
        <v>0</v>
      </c>
      <c r="L21" s="189">
        <v>0</v>
      </c>
      <c r="M21" s="189">
        <v>0</v>
      </c>
      <c r="N21" s="189">
        <v>0</v>
      </c>
      <c r="O21" s="189">
        <v>622.74</v>
      </c>
      <c r="P21" s="189">
        <v>0</v>
      </c>
      <c r="Q21" s="189">
        <v>0</v>
      </c>
      <c r="R21" s="189">
        <v>0</v>
      </c>
      <c r="S21" s="189">
        <v>0</v>
      </c>
      <c r="T21" s="189">
        <v>622.74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29.1</v>
      </c>
      <c r="G22" s="195">
        <v>0</v>
      </c>
      <c r="H22" s="195">
        <v>0</v>
      </c>
      <c r="I22" s="10">
        <v>0</v>
      </c>
      <c r="J22" s="11">
        <v>0</v>
      </c>
      <c r="K22" s="11">
        <v>0</v>
      </c>
      <c r="L22" s="189">
        <v>0</v>
      </c>
      <c r="M22" s="189">
        <v>0</v>
      </c>
      <c r="N22" s="189">
        <v>0</v>
      </c>
      <c r="O22" s="189">
        <v>622.74</v>
      </c>
      <c r="P22" s="189">
        <v>0</v>
      </c>
      <c r="Q22" s="189">
        <v>0</v>
      </c>
      <c r="R22" s="189">
        <v>0</v>
      </c>
      <c r="S22" s="189">
        <v>0</v>
      </c>
      <c r="T22" s="189">
        <v>622.74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29.1</v>
      </c>
      <c r="G23" s="195">
        <v>0</v>
      </c>
      <c r="H23" s="195">
        <v>0</v>
      </c>
      <c r="I23" s="10">
        <v>0</v>
      </c>
      <c r="J23" s="11">
        <v>0</v>
      </c>
      <c r="K23" s="11">
        <v>0</v>
      </c>
      <c r="L23" s="189">
        <v>0</v>
      </c>
      <c r="M23" s="189">
        <v>0</v>
      </c>
      <c r="N23" s="189">
        <v>0</v>
      </c>
      <c r="O23" s="189">
        <v>622.74</v>
      </c>
      <c r="P23" s="189">
        <v>0</v>
      </c>
      <c r="Q23" s="189">
        <v>0</v>
      </c>
      <c r="R23" s="189">
        <v>0</v>
      </c>
      <c r="S23" s="189">
        <v>0</v>
      </c>
      <c r="T23" s="189">
        <v>622.74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29.1</v>
      </c>
      <c r="G24" s="195">
        <v>0</v>
      </c>
      <c r="H24" s="195">
        <v>0</v>
      </c>
      <c r="I24" s="10">
        <v>0</v>
      </c>
      <c r="J24" s="11">
        <v>0</v>
      </c>
      <c r="K24" s="11">
        <v>0</v>
      </c>
      <c r="L24" s="189">
        <v>0</v>
      </c>
      <c r="M24" s="189">
        <v>0</v>
      </c>
      <c r="N24" s="189">
        <v>0</v>
      </c>
      <c r="O24" s="189">
        <v>622.74</v>
      </c>
      <c r="P24" s="189">
        <v>0</v>
      </c>
      <c r="Q24" s="189">
        <v>0</v>
      </c>
      <c r="R24" s="189">
        <v>0</v>
      </c>
      <c r="S24" s="189">
        <v>0</v>
      </c>
      <c r="T24" s="189">
        <v>622.74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29.1</v>
      </c>
      <c r="G25" s="195">
        <v>0</v>
      </c>
      <c r="H25" s="195">
        <v>0</v>
      </c>
      <c r="I25" s="10">
        <v>0</v>
      </c>
      <c r="J25" s="11">
        <v>0</v>
      </c>
      <c r="K25" s="11">
        <v>0</v>
      </c>
      <c r="L25" s="189">
        <v>0</v>
      </c>
      <c r="M25" s="189">
        <v>0</v>
      </c>
      <c r="N25" s="189">
        <v>0</v>
      </c>
      <c r="O25" s="189">
        <v>622.74</v>
      </c>
      <c r="P25" s="189">
        <v>0</v>
      </c>
      <c r="Q25" s="189">
        <v>0</v>
      </c>
      <c r="R25" s="189">
        <v>0</v>
      </c>
      <c r="S25" s="189">
        <v>0</v>
      </c>
      <c r="T25" s="189">
        <v>622.74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29.1</v>
      </c>
      <c r="G26" s="195">
        <v>0</v>
      </c>
      <c r="H26" s="195">
        <v>0</v>
      </c>
      <c r="I26" s="10">
        <v>0</v>
      </c>
      <c r="J26" s="11">
        <v>0</v>
      </c>
      <c r="K26" s="11">
        <v>0</v>
      </c>
      <c r="L26" s="189">
        <v>0</v>
      </c>
      <c r="M26" s="189">
        <v>0</v>
      </c>
      <c r="N26" s="189">
        <v>0</v>
      </c>
      <c r="O26" s="189">
        <v>622.74</v>
      </c>
      <c r="P26" s="189">
        <v>0</v>
      </c>
      <c r="Q26" s="189">
        <v>0</v>
      </c>
      <c r="R26" s="189">
        <v>0</v>
      </c>
      <c r="S26" s="189">
        <v>0</v>
      </c>
      <c r="T26" s="189">
        <v>622.74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29.1</v>
      </c>
      <c r="G27" s="195">
        <v>0</v>
      </c>
      <c r="H27" s="195">
        <v>0</v>
      </c>
      <c r="I27" s="10">
        <v>0</v>
      </c>
      <c r="J27" s="11">
        <v>0</v>
      </c>
      <c r="K27" s="11">
        <v>0</v>
      </c>
      <c r="L27" s="189">
        <v>0</v>
      </c>
      <c r="M27" s="189">
        <v>0</v>
      </c>
      <c r="N27" s="189">
        <v>0</v>
      </c>
      <c r="O27" s="189">
        <v>622.74</v>
      </c>
      <c r="P27" s="189">
        <v>0</v>
      </c>
      <c r="Q27" s="189">
        <v>0</v>
      </c>
      <c r="R27" s="189">
        <v>0</v>
      </c>
      <c r="S27" s="189">
        <v>0</v>
      </c>
      <c r="T27" s="189">
        <v>622.74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29.1</v>
      </c>
      <c r="G28" s="195">
        <v>0</v>
      </c>
      <c r="H28" s="195">
        <v>0</v>
      </c>
      <c r="I28" s="10">
        <v>0</v>
      </c>
      <c r="J28" s="11">
        <v>0</v>
      </c>
      <c r="K28" s="11">
        <v>0</v>
      </c>
      <c r="L28" s="189">
        <v>0</v>
      </c>
      <c r="M28" s="189">
        <v>0</v>
      </c>
      <c r="N28" s="189">
        <v>0</v>
      </c>
      <c r="O28" s="189">
        <v>622.74</v>
      </c>
      <c r="P28" s="189">
        <v>0</v>
      </c>
      <c r="Q28" s="189">
        <v>0</v>
      </c>
      <c r="R28" s="189">
        <v>0</v>
      </c>
      <c r="S28" s="189">
        <v>0</v>
      </c>
      <c r="T28" s="189">
        <v>622.74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29.1</v>
      </c>
      <c r="G29" s="195">
        <v>0</v>
      </c>
      <c r="H29" s="195">
        <v>0</v>
      </c>
      <c r="I29" s="10">
        <v>0</v>
      </c>
      <c r="J29" s="11">
        <v>0</v>
      </c>
      <c r="K29" s="11">
        <v>0</v>
      </c>
      <c r="L29" s="189">
        <v>0</v>
      </c>
      <c r="M29" s="189">
        <v>0</v>
      </c>
      <c r="N29" s="189">
        <v>0</v>
      </c>
      <c r="O29" s="189">
        <v>622.74</v>
      </c>
      <c r="P29" s="189">
        <v>0</v>
      </c>
      <c r="Q29" s="189">
        <v>0</v>
      </c>
      <c r="R29" s="189">
        <v>0</v>
      </c>
      <c r="S29" s="189">
        <v>0</v>
      </c>
      <c r="T29" s="189">
        <v>622.74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29.1</v>
      </c>
      <c r="G30" s="195">
        <v>0</v>
      </c>
      <c r="H30" s="195">
        <v>0</v>
      </c>
      <c r="I30" s="10">
        <v>0</v>
      </c>
      <c r="J30" s="11">
        <v>0</v>
      </c>
      <c r="K30" s="11">
        <v>0</v>
      </c>
      <c r="L30" s="189">
        <v>0</v>
      </c>
      <c r="M30" s="189">
        <v>0</v>
      </c>
      <c r="N30" s="189">
        <v>0</v>
      </c>
      <c r="O30" s="189">
        <v>622.74</v>
      </c>
      <c r="P30" s="189">
        <v>0</v>
      </c>
      <c r="Q30" s="189">
        <v>0</v>
      </c>
      <c r="R30" s="189">
        <v>0</v>
      </c>
      <c r="S30" s="189">
        <v>0</v>
      </c>
      <c r="T30" s="189">
        <v>622.74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29.1</v>
      </c>
      <c r="G31" s="195">
        <v>0</v>
      </c>
      <c r="H31" s="195">
        <v>0</v>
      </c>
      <c r="I31" s="10">
        <v>0</v>
      </c>
      <c r="J31" s="11">
        <v>0</v>
      </c>
      <c r="K31" s="11">
        <v>0</v>
      </c>
      <c r="L31" s="189">
        <v>0</v>
      </c>
      <c r="M31" s="189">
        <v>0</v>
      </c>
      <c r="N31" s="189">
        <v>0</v>
      </c>
      <c r="O31" s="189">
        <v>622.74</v>
      </c>
      <c r="P31" s="189">
        <v>0</v>
      </c>
      <c r="Q31" s="189">
        <v>0</v>
      </c>
      <c r="R31" s="189">
        <v>0</v>
      </c>
      <c r="S31" s="189">
        <v>0</v>
      </c>
      <c r="T31" s="189">
        <v>622.74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29.1</v>
      </c>
      <c r="G32" s="195">
        <v>0</v>
      </c>
      <c r="H32" s="195">
        <v>0</v>
      </c>
      <c r="I32" s="10">
        <v>0</v>
      </c>
      <c r="J32" s="11">
        <v>0</v>
      </c>
      <c r="K32" s="11">
        <v>0</v>
      </c>
      <c r="L32" s="189">
        <v>0</v>
      </c>
      <c r="M32" s="189">
        <v>0</v>
      </c>
      <c r="N32" s="189">
        <v>0</v>
      </c>
      <c r="O32" s="189">
        <v>622.74</v>
      </c>
      <c r="P32" s="189">
        <v>0</v>
      </c>
      <c r="Q32" s="189">
        <v>0</v>
      </c>
      <c r="R32" s="189">
        <v>0</v>
      </c>
      <c r="S32" s="189">
        <v>0</v>
      </c>
      <c r="T32" s="189">
        <v>622.74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>
        <v>0</v>
      </c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>
        <v>0</v>
      </c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>
        <v>0</v>
      </c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0</v>
      </c>
      <c r="E36" s="19">
        <v>0</v>
      </c>
      <c r="F36" s="19">
        <v>814.80000000000041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0">
        <v>0</v>
      </c>
      <c r="M36" s="190">
        <v>0</v>
      </c>
      <c r="N36" s="190">
        <v>0</v>
      </c>
      <c r="O36" s="190">
        <v>17436.72</v>
      </c>
      <c r="P36" s="190">
        <v>0</v>
      </c>
      <c r="Q36" s="190">
        <v>0</v>
      </c>
      <c r="R36" s="190">
        <v>0</v>
      </c>
      <c r="S36" s="190">
        <v>0</v>
      </c>
      <c r="T36" s="190">
        <v>17436.72</v>
      </c>
    </row>
    <row r="37" spans="1:20">
      <c r="R37" s="22"/>
      <c r="S37" s="22"/>
      <c r="T37" s="191">
        <v>21272.799999999999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3198-856B-4907-9A04-D99B0F6DE809}">
  <sheetPr codeName="Лист46">
    <pageSetUpPr fitToPage="1"/>
  </sheetPr>
  <dimension ref="A1:T37"/>
  <sheetViews>
    <sheetView workbookViewId="0">
      <selection activeCell="M5" sqref="M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332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333</v>
      </c>
      <c r="H3" s="202" t="s">
        <v>321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0</v>
      </c>
      <c r="F5" s="194">
        <v>927.84299999999996</v>
      </c>
      <c r="G5" s="195">
        <v>0</v>
      </c>
      <c r="H5" s="195">
        <v>0</v>
      </c>
      <c r="I5" s="10">
        <v>0</v>
      </c>
      <c r="J5" s="11">
        <v>0</v>
      </c>
      <c r="K5" s="11"/>
      <c r="L5" s="189">
        <v>0</v>
      </c>
      <c r="M5" s="189">
        <v>0</v>
      </c>
      <c r="N5" s="189">
        <v>0</v>
      </c>
      <c r="O5" s="189">
        <v>60309.8</v>
      </c>
      <c r="P5" s="189">
        <v>0</v>
      </c>
      <c r="Q5" s="189">
        <v>0</v>
      </c>
      <c r="R5" s="189">
        <v>0</v>
      </c>
      <c r="S5" s="189">
        <v>0</v>
      </c>
      <c r="T5" s="189">
        <v>60309.8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927.84299999999996</v>
      </c>
      <c r="G6" s="195">
        <v>0</v>
      </c>
      <c r="H6" s="195">
        <v>0</v>
      </c>
      <c r="I6" s="10">
        <v>0</v>
      </c>
      <c r="J6" s="11">
        <v>0</v>
      </c>
      <c r="K6" s="11"/>
      <c r="L6" s="189">
        <v>0</v>
      </c>
      <c r="M6" s="189">
        <v>0</v>
      </c>
      <c r="N6" s="189">
        <v>0</v>
      </c>
      <c r="O6" s="189">
        <v>60309.8</v>
      </c>
      <c r="P6" s="189">
        <v>0</v>
      </c>
      <c r="Q6" s="189">
        <v>0</v>
      </c>
      <c r="R6" s="189">
        <v>0</v>
      </c>
      <c r="S6" s="189">
        <v>0</v>
      </c>
      <c r="T6" s="189">
        <v>60309.8</v>
      </c>
    </row>
    <row r="7" spans="1:20">
      <c r="A7" s="13">
        <v>3</v>
      </c>
      <c r="B7" s="199" t="s">
        <v>203</v>
      </c>
      <c r="C7" s="200"/>
      <c r="D7" s="194">
        <v>0</v>
      </c>
      <c r="E7" s="194">
        <v>0</v>
      </c>
      <c r="F7" s="194">
        <v>927.84299999999996</v>
      </c>
      <c r="G7" s="195">
        <v>0</v>
      </c>
      <c r="H7" s="195">
        <v>0</v>
      </c>
      <c r="I7" s="10">
        <v>0</v>
      </c>
      <c r="J7" s="11">
        <v>0</v>
      </c>
      <c r="K7" s="11"/>
      <c r="L7" s="189">
        <v>0</v>
      </c>
      <c r="M7" s="189">
        <v>0</v>
      </c>
      <c r="N7" s="189">
        <v>0</v>
      </c>
      <c r="O7" s="189">
        <v>60309.8</v>
      </c>
      <c r="P7" s="189">
        <v>0</v>
      </c>
      <c r="Q7" s="189">
        <v>0</v>
      </c>
      <c r="R7" s="189">
        <v>0</v>
      </c>
      <c r="S7" s="189">
        <v>0</v>
      </c>
      <c r="T7" s="189">
        <v>60309.8</v>
      </c>
    </row>
    <row r="8" spans="1:20">
      <c r="A8" s="13">
        <v>4</v>
      </c>
      <c r="B8" s="199" t="s">
        <v>204</v>
      </c>
      <c r="C8" s="200"/>
      <c r="D8" s="194">
        <v>0</v>
      </c>
      <c r="E8" s="194">
        <v>0</v>
      </c>
      <c r="F8" s="194">
        <v>927.84299999999996</v>
      </c>
      <c r="G8" s="195">
        <v>0</v>
      </c>
      <c r="H8" s="195">
        <v>0</v>
      </c>
      <c r="I8" s="10">
        <v>0</v>
      </c>
      <c r="J8" s="11">
        <v>0</v>
      </c>
      <c r="K8" s="11"/>
      <c r="L8" s="189">
        <v>0</v>
      </c>
      <c r="M8" s="189">
        <v>0</v>
      </c>
      <c r="N8" s="189">
        <v>0</v>
      </c>
      <c r="O8" s="189">
        <v>60309.8</v>
      </c>
      <c r="P8" s="189">
        <v>0</v>
      </c>
      <c r="Q8" s="189">
        <v>0</v>
      </c>
      <c r="R8" s="189">
        <v>0</v>
      </c>
      <c r="S8" s="189">
        <v>0</v>
      </c>
      <c r="T8" s="189">
        <v>60309.8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927.84299999999996</v>
      </c>
      <c r="G9" s="195">
        <v>0</v>
      </c>
      <c r="H9" s="195">
        <v>0</v>
      </c>
      <c r="I9" s="10">
        <v>0</v>
      </c>
      <c r="J9" s="11">
        <v>0</v>
      </c>
      <c r="K9" s="11"/>
      <c r="L9" s="189">
        <v>0</v>
      </c>
      <c r="M9" s="189">
        <v>0</v>
      </c>
      <c r="N9" s="189">
        <v>0</v>
      </c>
      <c r="O9" s="189">
        <v>60309.8</v>
      </c>
      <c r="P9" s="189">
        <v>0</v>
      </c>
      <c r="Q9" s="189">
        <v>0</v>
      </c>
      <c r="R9" s="189">
        <v>0</v>
      </c>
      <c r="S9" s="189">
        <v>0</v>
      </c>
      <c r="T9" s="189">
        <v>60309.8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927.84299999999996</v>
      </c>
      <c r="G10" s="195">
        <v>0</v>
      </c>
      <c r="H10" s="195">
        <v>0</v>
      </c>
      <c r="I10" s="10">
        <v>0</v>
      </c>
      <c r="J10" s="11">
        <v>0</v>
      </c>
      <c r="K10" s="11"/>
      <c r="L10" s="189">
        <v>0</v>
      </c>
      <c r="M10" s="189">
        <v>0</v>
      </c>
      <c r="N10" s="189">
        <v>0</v>
      </c>
      <c r="O10" s="189">
        <v>60309.8</v>
      </c>
      <c r="P10" s="189">
        <v>0</v>
      </c>
      <c r="Q10" s="189">
        <v>0</v>
      </c>
      <c r="R10" s="189">
        <v>0</v>
      </c>
      <c r="S10" s="189">
        <v>0</v>
      </c>
      <c r="T10" s="189">
        <v>60309.8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927.84299999999996</v>
      </c>
      <c r="G11" s="195">
        <v>0</v>
      </c>
      <c r="H11" s="195">
        <v>0</v>
      </c>
      <c r="I11" s="10">
        <v>0</v>
      </c>
      <c r="J11" s="11">
        <v>0</v>
      </c>
      <c r="K11" s="11"/>
      <c r="L11" s="189">
        <v>0</v>
      </c>
      <c r="M11" s="189">
        <v>0</v>
      </c>
      <c r="N11" s="189">
        <v>0</v>
      </c>
      <c r="O11" s="189">
        <v>60309.8</v>
      </c>
      <c r="P11" s="189">
        <v>0</v>
      </c>
      <c r="Q11" s="189">
        <v>0</v>
      </c>
      <c r="R11" s="189">
        <v>0</v>
      </c>
      <c r="S11" s="189">
        <v>0</v>
      </c>
      <c r="T11" s="189">
        <v>60309.8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927.84299999999996</v>
      </c>
      <c r="G12" s="195">
        <v>0</v>
      </c>
      <c r="H12" s="195">
        <v>0</v>
      </c>
      <c r="I12" s="10">
        <v>0</v>
      </c>
      <c r="J12" s="11">
        <v>0</v>
      </c>
      <c r="K12" s="11"/>
      <c r="L12" s="189">
        <v>0</v>
      </c>
      <c r="M12" s="189">
        <v>0</v>
      </c>
      <c r="N12" s="189">
        <v>0</v>
      </c>
      <c r="O12" s="189">
        <v>60309.8</v>
      </c>
      <c r="P12" s="189">
        <v>0</v>
      </c>
      <c r="Q12" s="189">
        <v>0</v>
      </c>
      <c r="R12" s="189">
        <v>0</v>
      </c>
      <c r="S12" s="189">
        <v>0</v>
      </c>
      <c r="T12" s="189">
        <v>60309.8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927.84299999999996</v>
      </c>
      <c r="G13" s="195">
        <v>0</v>
      </c>
      <c r="H13" s="195">
        <v>0</v>
      </c>
      <c r="I13" s="10">
        <v>0</v>
      </c>
      <c r="J13" s="11">
        <v>0</v>
      </c>
      <c r="K13" s="11"/>
      <c r="L13" s="189">
        <v>0</v>
      </c>
      <c r="M13" s="189">
        <v>0</v>
      </c>
      <c r="N13" s="189">
        <v>0</v>
      </c>
      <c r="O13" s="189">
        <v>60309.8</v>
      </c>
      <c r="P13" s="189">
        <v>0</v>
      </c>
      <c r="Q13" s="189">
        <v>0</v>
      </c>
      <c r="R13" s="189">
        <v>0</v>
      </c>
      <c r="S13" s="189">
        <v>0</v>
      </c>
      <c r="T13" s="189">
        <v>60309.8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927.84299999999996</v>
      </c>
      <c r="G14" s="195">
        <v>0</v>
      </c>
      <c r="H14" s="195">
        <v>0</v>
      </c>
      <c r="I14" s="10">
        <v>0</v>
      </c>
      <c r="J14" s="11">
        <v>0</v>
      </c>
      <c r="K14" s="11"/>
      <c r="L14" s="189">
        <v>0</v>
      </c>
      <c r="M14" s="189">
        <v>0</v>
      </c>
      <c r="N14" s="189">
        <v>0</v>
      </c>
      <c r="O14" s="189">
        <v>60309.8</v>
      </c>
      <c r="P14" s="189">
        <v>0</v>
      </c>
      <c r="Q14" s="189">
        <v>0</v>
      </c>
      <c r="R14" s="189">
        <v>0</v>
      </c>
      <c r="S14" s="189">
        <v>0</v>
      </c>
      <c r="T14" s="189">
        <v>60309.8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927.84299999999996</v>
      </c>
      <c r="G15" s="195">
        <v>0</v>
      </c>
      <c r="H15" s="195">
        <v>0</v>
      </c>
      <c r="I15" s="10">
        <v>0</v>
      </c>
      <c r="J15" s="11">
        <v>0</v>
      </c>
      <c r="K15" s="11"/>
      <c r="L15" s="189">
        <v>0</v>
      </c>
      <c r="M15" s="189">
        <v>0</v>
      </c>
      <c r="N15" s="189">
        <v>0</v>
      </c>
      <c r="O15" s="189">
        <v>60309.8</v>
      </c>
      <c r="P15" s="189">
        <v>0</v>
      </c>
      <c r="Q15" s="189">
        <v>0</v>
      </c>
      <c r="R15" s="189">
        <v>0</v>
      </c>
      <c r="S15" s="189">
        <v>0</v>
      </c>
      <c r="T15" s="189">
        <v>60309.8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927.84299999999996</v>
      </c>
      <c r="G16" s="195">
        <v>0</v>
      </c>
      <c r="H16" s="195">
        <v>0</v>
      </c>
      <c r="I16" s="10">
        <v>0</v>
      </c>
      <c r="J16" s="11">
        <v>0</v>
      </c>
      <c r="K16" s="14"/>
      <c r="L16" s="189">
        <v>0</v>
      </c>
      <c r="M16" s="189">
        <v>0</v>
      </c>
      <c r="N16" s="189">
        <v>0</v>
      </c>
      <c r="O16" s="189">
        <v>60309.8</v>
      </c>
      <c r="P16" s="189">
        <v>0</v>
      </c>
      <c r="Q16" s="189">
        <v>0</v>
      </c>
      <c r="R16" s="189">
        <v>0</v>
      </c>
      <c r="S16" s="189">
        <v>0</v>
      </c>
      <c r="T16" s="189">
        <v>60309.8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927.84299999999996</v>
      </c>
      <c r="G17" s="195">
        <v>0</v>
      </c>
      <c r="H17" s="195">
        <v>0</v>
      </c>
      <c r="I17" s="10">
        <v>0</v>
      </c>
      <c r="J17" s="11">
        <v>0</v>
      </c>
      <c r="K17" s="11"/>
      <c r="L17" s="189">
        <v>0</v>
      </c>
      <c r="M17" s="189">
        <v>0</v>
      </c>
      <c r="N17" s="189">
        <v>0</v>
      </c>
      <c r="O17" s="189">
        <v>60309.8</v>
      </c>
      <c r="P17" s="189">
        <v>0</v>
      </c>
      <c r="Q17" s="189">
        <v>0</v>
      </c>
      <c r="R17" s="189">
        <v>0</v>
      </c>
      <c r="S17" s="189">
        <v>0</v>
      </c>
      <c r="T17" s="189">
        <v>60309.8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927.84299999999996</v>
      </c>
      <c r="G18" s="195">
        <v>0</v>
      </c>
      <c r="H18" s="195">
        <v>0</v>
      </c>
      <c r="I18" s="10">
        <v>0</v>
      </c>
      <c r="J18" s="11">
        <v>0</v>
      </c>
      <c r="K18" s="11"/>
      <c r="L18" s="189">
        <v>0</v>
      </c>
      <c r="M18" s="189">
        <v>0</v>
      </c>
      <c r="N18" s="189">
        <v>0</v>
      </c>
      <c r="O18" s="189">
        <v>60309.8</v>
      </c>
      <c r="P18" s="189">
        <v>0</v>
      </c>
      <c r="Q18" s="189">
        <v>0</v>
      </c>
      <c r="R18" s="189">
        <v>0</v>
      </c>
      <c r="S18" s="189">
        <v>0</v>
      </c>
      <c r="T18" s="189">
        <v>60309.8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927.84299999999996</v>
      </c>
      <c r="G19" s="195">
        <v>0</v>
      </c>
      <c r="H19" s="195">
        <v>0</v>
      </c>
      <c r="I19" s="10">
        <v>0</v>
      </c>
      <c r="J19" s="11">
        <v>0</v>
      </c>
      <c r="K19" s="11"/>
      <c r="L19" s="189">
        <v>0</v>
      </c>
      <c r="M19" s="189">
        <v>0</v>
      </c>
      <c r="N19" s="189">
        <v>0</v>
      </c>
      <c r="O19" s="189">
        <v>60309.8</v>
      </c>
      <c r="P19" s="189">
        <v>0</v>
      </c>
      <c r="Q19" s="189">
        <v>0</v>
      </c>
      <c r="R19" s="189">
        <v>0</v>
      </c>
      <c r="S19" s="189">
        <v>0</v>
      </c>
      <c r="T19" s="189">
        <v>60309.8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927.84299999999996</v>
      </c>
      <c r="G20" s="195">
        <v>0</v>
      </c>
      <c r="H20" s="195">
        <v>0</v>
      </c>
      <c r="I20" s="10">
        <v>0</v>
      </c>
      <c r="J20" s="11">
        <v>0</v>
      </c>
      <c r="K20" s="11"/>
      <c r="L20" s="189">
        <v>0</v>
      </c>
      <c r="M20" s="189">
        <v>0</v>
      </c>
      <c r="N20" s="189">
        <v>0</v>
      </c>
      <c r="O20" s="189">
        <v>60309.8</v>
      </c>
      <c r="P20" s="189">
        <v>0</v>
      </c>
      <c r="Q20" s="189">
        <v>0</v>
      </c>
      <c r="R20" s="189">
        <v>0</v>
      </c>
      <c r="S20" s="189">
        <v>0</v>
      </c>
      <c r="T20" s="189">
        <v>60309.8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927.84299999999996</v>
      </c>
      <c r="G21" s="195">
        <v>0</v>
      </c>
      <c r="H21" s="195">
        <v>0</v>
      </c>
      <c r="I21" s="10">
        <v>0</v>
      </c>
      <c r="J21" s="11">
        <v>0</v>
      </c>
      <c r="K21" s="11"/>
      <c r="L21" s="189">
        <v>0</v>
      </c>
      <c r="M21" s="189">
        <v>0</v>
      </c>
      <c r="N21" s="189">
        <v>0</v>
      </c>
      <c r="O21" s="189">
        <v>60309.8</v>
      </c>
      <c r="P21" s="189">
        <v>0</v>
      </c>
      <c r="Q21" s="189">
        <v>0</v>
      </c>
      <c r="R21" s="189">
        <v>0</v>
      </c>
      <c r="S21" s="189">
        <v>0</v>
      </c>
      <c r="T21" s="189">
        <v>60309.8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927.84299999999996</v>
      </c>
      <c r="G22" s="195">
        <v>0</v>
      </c>
      <c r="H22" s="195">
        <v>0</v>
      </c>
      <c r="I22" s="10">
        <v>0</v>
      </c>
      <c r="J22" s="11">
        <v>0</v>
      </c>
      <c r="K22" s="11"/>
      <c r="L22" s="189">
        <v>0</v>
      </c>
      <c r="M22" s="189">
        <v>0</v>
      </c>
      <c r="N22" s="189">
        <v>0</v>
      </c>
      <c r="O22" s="189">
        <v>60309.8</v>
      </c>
      <c r="P22" s="189">
        <v>0</v>
      </c>
      <c r="Q22" s="189">
        <v>0</v>
      </c>
      <c r="R22" s="189">
        <v>0</v>
      </c>
      <c r="S22" s="189">
        <v>0</v>
      </c>
      <c r="T22" s="189">
        <v>60309.8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927.84299999999996</v>
      </c>
      <c r="G23" s="195">
        <v>0</v>
      </c>
      <c r="H23" s="195">
        <v>0</v>
      </c>
      <c r="I23" s="10">
        <v>0</v>
      </c>
      <c r="J23" s="11">
        <v>0</v>
      </c>
      <c r="K23" s="11"/>
      <c r="L23" s="189">
        <v>0</v>
      </c>
      <c r="M23" s="189">
        <v>0</v>
      </c>
      <c r="N23" s="189">
        <v>0</v>
      </c>
      <c r="O23" s="189">
        <v>60309.8</v>
      </c>
      <c r="P23" s="189">
        <v>0</v>
      </c>
      <c r="Q23" s="189">
        <v>0</v>
      </c>
      <c r="R23" s="189">
        <v>0</v>
      </c>
      <c r="S23" s="189">
        <v>0</v>
      </c>
      <c r="T23" s="189">
        <v>60309.8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927.84299999999996</v>
      </c>
      <c r="G24" s="195">
        <v>0</v>
      </c>
      <c r="H24" s="195">
        <v>0</v>
      </c>
      <c r="I24" s="10">
        <v>0</v>
      </c>
      <c r="J24" s="11">
        <v>0</v>
      </c>
      <c r="K24" s="11"/>
      <c r="L24" s="189">
        <v>0</v>
      </c>
      <c r="M24" s="189">
        <v>0</v>
      </c>
      <c r="N24" s="189">
        <v>0</v>
      </c>
      <c r="O24" s="189">
        <v>60309.8</v>
      </c>
      <c r="P24" s="189">
        <v>0</v>
      </c>
      <c r="Q24" s="189">
        <v>0</v>
      </c>
      <c r="R24" s="189">
        <v>0</v>
      </c>
      <c r="S24" s="189">
        <v>0</v>
      </c>
      <c r="T24" s="189">
        <v>60309.8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927.84299999999996</v>
      </c>
      <c r="G25" s="195">
        <v>0</v>
      </c>
      <c r="H25" s="195">
        <v>0</v>
      </c>
      <c r="I25" s="10">
        <v>0</v>
      </c>
      <c r="J25" s="11">
        <v>0</v>
      </c>
      <c r="K25" s="11"/>
      <c r="L25" s="189">
        <v>0</v>
      </c>
      <c r="M25" s="189">
        <v>0</v>
      </c>
      <c r="N25" s="189">
        <v>0</v>
      </c>
      <c r="O25" s="189">
        <v>60309.8</v>
      </c>
      <c r="P25" s="189">
        <v>0</v>
      </c>
      <c r="Q25" s="189">
        <v>0</v>
      </c>
      <c r="R25" s="189">
        <v>0</v>
      </c>
      <c r="S25" s="189">
        <v>0</v>
      </c>
      <c r="T25" s="189">
        <v>60309.8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927.84299999999996</v>
      </c>
      <c r="G26" s="195">
        <v>0</v>
      </c>
      <c r="H26" s="195">
        <v>0</v>
      </c>
      <c r="I26" s="10">
        <v>0</v>
      </c>
      <c r="J26" s="11">
        <v>0</v>
      </c>
      <c r="K26" s="11"/>
      <c r="L26" s="189">
        <v>0</v>
      </c>
      <c r="M26" s="189">
        <v>0</v>
      </c>
      <c r="N26" s="189">
        <v>0</v>
      </c>
      <c r="O26" s="189">
        <v>60309.8</v>
      </c>
      <c r="P26" s="189">
        <v>0</v>
      </c>
      <c r="Q26" s="189">
        <v>0</v>
      </c>
      <c r="R26" s="189">
        <v>0</v>
      </c>
      <c r="S26" s="189">
        <v>0</v>
      </c>
      <c r="T26" s="189">
        <v>60309.8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927.84299999999996</v>
      </c>
      <c r="G27" s="195">
        <v>0</v>
      </c>
      <c r="H27" s="195">
        <v>0</v>
      </c>
      <c r="I27" s="10">
        <v>0</v>
      </c>
      <c r="J27" s="11">
        <v>0</v>
      </c>
      <c r="K27" s="11"/>
      <c r="L27" s="189">
        <v>0</v>
      </c>
      <c r="M27" s="189">
        <v>0</v>
      </c>
      <c r="N27" s="189">
        <v>0</v>
      </c>
      <c r="O27" s="189">
        <v>60309.8</v>
      </c>
      <c r="P27" s="189">
        <v>0</v>
      </c>
      <c r="Q27" s="189">
        <v>0</v>
      </c>
      <c r="R27" s="189">
        <v>0</v>
      </c>
      <c r="S27" s="189">
        <v>0</v>
      </c>
      <c r="T27" s="189">
        <v>60309.8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927.84299999999996</v>
      </c>
      <c r="G28" s="195">
        <v>0</v>
      </c>
      <c r="H28" s="195">
        <v>0</v>
      </c>
      <c r="I28" s="10">
        <v>0</v>
      </c>
      <c r="J28" s="11">
        <v>0</v>
      </c>
      <c r="K28" s="11"/>
      <c r="L28" s="189">
        <v>0</v>
      </c>
      <c r="M28" s="189">
        <v>0</v>
      </c>
      <c r="N28" s="189">
        <v>0</v>
      </c>
      <c r="O28" s="189">
        <v>60309.8</v>
      </c>
      <c r="P28" s="189">
        <v>0</v>
      </c>
      <c r="Q28" s="189">
        <v>0</v>
      </c>
      <c r="R28" s="189">
        <v>0</v>
      </c>
      <c r="S28" s="189">
        <v>0</v>
      </c>
      <c r="T28" s="189">
        <v>60309.8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927.84299999999996</v>
      </c>
      <c r="G29" s="195">
        <v>0</v>
      </c>
      <c r="H29" s="195">
        <v>0</v>
      </c>
      <c r="I29" s="10">
        <v>0</v>
      </c>
      <c r="J29" s="11">
        <v>0</v>
      </c>
      <c r="K29" s="11"/>
      <c r="L29" s="189">
        <v>0</v>
      </c>
      <c r="M29" s="189">
        <v>0</v>
      </c>
      <c r="N29" s="189">
        <v>0</v>
      </c>
      <c r="O29" s="189">
        <v>60309.8</v>
      </c>
      <c r="P29" s="189">
        <v>0</v>
      </c>
      <c r="Q29" s="189">
        <v>0</v>
      </c>
      <c r="R29" s="189">
        <v>0</v>
      </c>
      <c r="S29" s="189">
        <v>0</v>
      </c>
      <c r="T29" s="189">
        <v>60309.8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927.84299999999996</v>
      </c>
      <c r="G30" s="195">
        <v>0</v>
      </c>
      <c r="H30" s="195">
        <v>0</v>
      </c>
      <c r="I30" s="10">
        <v>0</v>
      </c>
      <c r="J30" s="11">
        <v>0</v>
      </c>
      <c r="K30" s="11"/>
      <c r="L30" s="189">
        <v>0</v>
      </c>
      <c r="M30" s="189">
        <v>0</v>
      </c>
      <c r="N30" s="189">
        <v>0</v>
      </c>
      <c r="O30" s="189">
        <v>60309.8</v>
      </c>
      <c r="P30" s="189">
        <v>0</v>
      </c>
      <c r="Q30" s="189">
        <v>0</v>
      </c>
      <c r="R30" s="189">
        <v>0</v>
      </c>
      <c r="S30" s="189">
        <v>0</v>
      </c>
      <c r="T30" s="189">
        <v>60309.8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927.84299999999996</v>
      </c>
      <c r="G31" s="195">
        <v>0</v>
      </c>
      <c r="H31" s="195">
        <v>0</v>
      </c>
      <c r="I31" s="10">
        <v>0</v>
      </c>
      <c r="J31" s="11">
        <v>0</v>
      </c>
      <c r="K31" s="11"/>
      <c r="L31" s="189">
        <v>0</v>
      </c>
      <c r="M31" s="189">
        <v>0</v>
      </c>
      <c r="N31" s="189">
        <v>0</v>
      </c>
      <c r="O31" s="189">
        <v>60309.8</v>
      </c>
      <c r="P31" s="189">
        <v>0</v>
      </c>
      <c r="Q31" s="189">
        <v>0</v>
      </c>
      <c r="R31" s="189">
        <v>0</v>
      </c>
      <c r="S31" s="189">
        <v>0</v>
      </c>
      <c r="T31" s="189">
        <v>60309.8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927.84299999999996</v>
      </c>
      <c r="G32" s="195">
        <v>0</v>
      </c>
      <c r="H32" s="195">
        <v>0</v>
      </c>
      <c r="I32" s="10">
        <v>0</v>
      </c>
      <c r="J32" s="11">
        <v>0</v>
      </c>
      <c r="K32" s="11"/>
      <c r="L32" s="189">
        <v>0</v>
      </c>
      <c r="M32" s="189">
        <v>0</v>
      </c>
      <c r="N32" s="189">
        <v>0</v>
      </c>
      <c r="O32" s="189">
        <v>60309.8</v>
      </c>
      <c r="P32" s="189">
        <v>0</v>
      </c>
      <c r="Q32" s="189">
        <v>0</v>
      </c>
      <c r="R32" s="189">
        <v>0</v>
      </c>
      <c r="S32" s="189">
        <v>0</v>
      </c>
      <c r="T32" s="189">
        <v>60309.8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0</v>
      </c>
      <c r="E36" s="19">
        <v>0</v>
      </c>
      <c r="F36" s="19">
        <v>25979.604000000014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0">
        <v>0</v>
      </c>
      <c r="M36" s="190">
        <v>0</v>
      </c>
      <c r="N36" s="190">
        <v>0</v>
      </c>
      <c r="O36" s="190">
        <v>1688674.26</v>
      </c>
      <c r="P36" s="190">
        <v>0</v>
      </c>
      <c r="Q36" s="190">
        <v>0</v>
      </c>
      <c r="R36" s="190">
        <v>0</v>
      </c>
      <c r="S36" s="190">
        <v>0</v>
      </c>
      <c r="T36" s="190">
        <v>1688674.26</v>
      </c>
    </row>
    <row r="37" spans="1:20">
      <c r="R37" s="22"/>
      <c r="S37" s="22"/>
      <c r="T37" s="191">
        <v>2060182.6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3680-76ED-46DC-B2D6-6DE2F0A9B346}">
  <sheetPr codeName="Лист47">
    <pageSetUpPr fitToPage="1"/>
  </sheetPr>
  <dimension ref="A1:T37"/>
  <sheetViews>
    <sheetView workbookViewId="0">
      <selection activeCell="H5" sqref="H5:H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1" t="s">
        <v>334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0" ht="28.9" customHeight="1">
      <c r="A3" s="202" t="s">
        <v>0</v>
      </c>
      <c r="B3" s="204" t="s">
        <v>1</v>
      </c>
      <c r="C3" s="205"/>
      <c r="D3" s="202" t="s">
        <v>2</v>
      </c>
      <c r="E3" s="202" t="s">
        <v>3</v>
      </c>
      <c r="F3" s="4" t="s">
        <v>4</v>
      </c>
      <c r="G3" s="202" t="s">
        <v>335</v>
      </c>
      <c r="H3" s="202" t="s">
        <v>336</v>
      </c>
      <c r="I3" s="202" t="s">
        <v>7</v>
      </c>
      <c r="J3" s="202" t="s">
        <v>8</v>
      </c>
      <c r="K3" s="202" t="s">
        <v>9</v>
      </c>
      <c r="L3" s="202" t="s">
        <v>10</v>
      </c>
      <c r="M3" s="202" t="s">
        <v>11</v>
      </c>
      <c r="N3" s="202" t="s">
        <v>12</v>
      </c>
      <c r="O3" s="202" t="s">
        <v>13</v>
      </c>
      <c r="P3" s="202" t="s">
        <v>14</v>
      </c>
      <c r="Q3" s="202" t="s">
        <v>15</v>
      </c>
      <c r="R3" s="202" t="s">
        <v>16</v>
      </c>
      <c r="S3" s="202" t="s">
        <v>17</v>
      </c>
      <c r="T3" s="202" t="s">
        <v>18</v>
      </c>
    </row>
    <row r="4" spans="1:20">
      <c r="A4" s="203"/>
      <c r="B4" s="206"/>
      <c r="C4" s="207"/>
      <c r="D4" s="203"/>
      <c r="E4" s="203"/>
      <c r="F4" s="5"/>
      <c r="G4" s="203"/>
      <c r="H4" s="203"/>
      <c r="I4" s="203"/>
      <c r="J4" s="203"/>
      <c r="K4" s="208"/>
      <c r="L4" s="208"/>
      <c r="M4" s="203"/>
      <c r="N4" s="203"/>
      <c r="O4" s="203"/>
      <c r="P4" s="203"/>
      <c r="Q4" s="203"/>
      <c r="R4" s="203"/>
      <c r="S4" s="203"/>
      <c r="T4" s="203"/>
    </row>
    <row r="5" spans="1:20">
      <c r="A5" s="13">
        <v>1</v>
      </c>
      <c r="B5" s="199" t="s">
        <v>201</v>
      </c>
      <c r="C5" s="200"/>
      <c r="D5" s="194">
        <v>0</v>
      </c>
      <c r="E5" s="194">
        <v>86.353999999999999</v>
      </c>
      <c r="F5" s="194">
        <v>2351.252</v>
      </c>
      <c r="G5" s="195">
        <v>0</v>
      </c>
      <c r="H5" s="195">
        <v>0</v>
      </c>
      <c r="I5" s="10">
        <v>0</v>
      </c>
      <c r="J5" s="11">
        <v>0</v>
      </c>
      <c r="K5" s="11"/>
      <c r="L5" s="189">
        <v>0</v>
      </c>
      <c r="M5" s="189">
        <v>0</v>
      </c>
      <c r="N5" s="189">
        <v>12953.1</v>
      </c>
      <c r="O5" s="189">
        <v>152831.38</v>
      </c>
      <c r="P5" s="189">
        <v>0</v>
      </c>
      <c r="Q5" s="189">
        <v>0</v>
      </c>
      <c r="R5" s="189">
        <v>0</v>
      </c>
      <c r="S5" s="189">
        <v>0</v>
      </c>
      <c r="T5" s="189">
        <v>165784.48000000001</v>
      </c>
    </row>
    <row r="6" spans="1:20">
      <c r="A6" s="13">
        <v>2</v>
      </c>
      <c r="B6" s="199" t="s">
        <v>202</v>
      </c>
      <c r="C6" s="200"/>
      <c r="D6" s="194">
        <v>0</v>
      </c>
      <c r="E6" s="194">
        <v>0</v>
      </c>
      <c r="F6" s="194">
        <v>2351.252</v>
      </c>
      <c r="G6" s="195">
        <v>0</v>
      </c>
      <c r="H6" s="195">
        <v>75</v>
      </c>
      <c r="I6" s="10">
        <v>0</v>
      </c>
      <c r="J6" s="11">
        <v>0</v>
      </c>
      <c r="K6" s="11"/>
      <c r="L6" s="189">
        <v>0</v>
      </c>
      <c r="M6" s="189">
        <v>0</v>
      </c>
      <c r="N6" s="189">
        <v>0</v>
      </c>
      <c r="O6" s="189">
        <v>152831.38</v>
      </c>
      <c r="P6" s="189">
        <v>0</v>
      </c>
      <c r="Q6" s="189">
        <v>11250</v>
      </c>
      <c r="R6" s="189">
        <v>0</v>
      </c>
      <c r="S6" s="189">
        <v>0</v>
      </c>
      <c r="T6" s="189">
        <v>164081.38</v>
      </c>
    </row>
    <row r="7" spans="1:20">
      <c r="A7" s="13">
        <v>3</v>
      </c>
      <c r="B7" s="199" t="s">
        <v>203</v>
      </c>
      <c r="C7" s="200"/>
      <c r="D7" s="194">
        <v>30.023</v>
      </c>
      <c r="E7" s="194">
        <v>0</v>
      </c>
      <c r="F7" s="194">
        <v>2381.2750000000001</v>
      </c>
      <c r="G7" s="195">
        <v>0</v>
      </c>
      <c r="H7" s="195">
        <v>44.977000000000004</v>
      </c>
      <c r="I7" s="10">
        <v>0</v>
      </c>
      <c r="J7" s="11">
        <v>0</v>
      </c>
      <c r="K7" s="11"/>
      <c r="L7" s="189">
        <v>0</v>
      </c>
      <c r="M7" s="189">
        <v>4503.45</v>
      </c>
      <c r="N7" s="189">
        <v>0</v>
      </c>
      <c r="O7" s="189">
        <v>154782.88</v>
      </c>
      <c r="P7" s="189">
        <v>0</v>
      </c>
      <c r="Q7" s="189">
        <v>6746.55</v>
      </c>
      <c r="R7" s="189">
        <v>0</v>
      </c>
      <c r="S7" s="189">
        <v>0</v>
      </c>
      <c r="T7" s="189">
        <v>166032.88</v>
      </c>
    </row>
    <row r="8" spans="1:20">
      <c r="A8" s="13">
        <v>4</v>
      </c>
      <c r="B8" s="199" t="s">
        <v>204</v>
      </c>
      <c r="C8" s="200"/>
      <c r="D8" s="194">
        <v>14.96</v>
      </c>
      <c r="E8" s="194">
        <v>0</v>
      </c>
      <c r="F8" s="194">
        <v>2396.2350000000001</v>
      </c>
      <c r="G8" s="195">
        <v>0</v>
      </c>
      <c r="H8" s="195">
        <v>60.04</v>
      </c>
      <c r="I8" s="10">
        <v>0</v>
      </c>
      <c r="J8" s="11">
        <v>0</v>
      </c>
      <c r="K8" s="11"/>
      <c r="L8" s="189">
        <v>0</v>
      </c>
      <c r="M8" s="189">
        <v>2244</v>
      </c>
      <c r="N8" s="189">
        <v>0</v>
      </c>
      <c r="O8" s="189">
        <v>155755.28</v>
      </c>
      <c r="P8" s="189">
        <v>0</v>
      </c>
      <c r="Q8" s="189">
        <v>9006</v>
      </c>
      <c r="R8" s="189">
        <v>0</v>
      </c>
      <c r="S8" s="189">
        <v>0</v>
      </c>
      <c r="T8" s="189">
        <v>167005.28</v>
      </c>
    </row>
    <row r="9" spans="1:20">
      <c r="A9" s="13">
        <v>5</v>
      </c>
      <c r="B9" s="199" t="s">
        <v>205</v>
      </c>
      <c r="C9" s="200"/>
      <c r="D9" s="194">
        <v>0</v>
      </c>
      <c r="E9" s="194">
        <v>0</v>
      </c>
      <c r="F9" s="194">
        <v>2396.2350000000001</v>
      </c>
      <c r="G9" s="195">
        <v>0</v>
      </c>
      <c r="H9" s="195">
        <v>75</v>
      </c>
      <c r="I9" s="10">
        <v>0</v>
      </c>
      <c r="J9" s="11">
        <v>0</v>
      </c>
      <c r="K9" s="11"/>
      <c r="L9" s="189">
        <v>0</v>
      </c>
      <c r="M9" s="189">
        <v>0</v>
      </c>
      <c r="N9" s="189">
        <v>0</v>
      </c>
      <c r="O9" s="189">
        <v>155755.28</v>
      </c>
      <c r="P9" s="189">
        <v>0</v>
      </c>
      <c r="Q9" s="189">
        <v>11250</v>
      </c>
      <c r="R9" s="189">
        <v>0</v>
      </c>
      <c r="S9" s="189">
        <v>0</v>
      </c>
      <c r="T9" s="189">
        <v>167005.28</v>
      </c>
    </row>
    <row r="10" spans="1:20">
      <c r="A10" s="13">
        <v>6</v>
      </c>
      <c r="B10" s="199" t="s">
        <v>206</v>
      </c>
      <c r="C10" s="200"/>
      <c r="D10" s="194">
        <v>0</v>
      </c>
      <c r="E10" s="194">
        <v>0</v>
      </c>
      <c r="F10" s="194">
        <v>2396.2350000000001</v>
      </c>
      <c r="G10" s="195">
        <v>0</v>
      </c>
      <c r="H10" s="195">
        <v>75</v>
      </c>
      <c r="I10" s="10">
        <v>0</v>
      </c>
      <c r="J10" s="11">
        <v>0</v>
      </c>
      <c r="K10" s="11"/>
      <c r="L10" s="189">
        <v>0</v>
      </c>
      <c r="M10" s="189">
        <v>0</v>
      </c>
      <c r="N10" s="189">
        <v>0</v>
      </c>
      <c r="O10" s="189">
        <v>155755.28</v>
      </c>
      <c r="P10" s="189">
        <v>0</v>
      </c>
      <c r="Q10" s="189">
        <v>11250</v>
      </c>
      <c r="R10" s="189">
        <v>0</v>
      </c>
      <c r="S10" s="189">
        <v>0</v>
      </c>
      <c r="T10" s="189">
        <v>167005.28</v>
      </c>
    </row>
    <row r="11" spans="1:20">
      <c r="A11" s="13">
        <v>7</v>
      </c>
      <c r="B11" s="199" t="s">
        <v>207</v>
      </c>
      <c r="C11" s="200"/>
      <c r="D11" s="194">
        <v>0</v>
      </c>
      <c r="E11" s="194">
        <v>0</v>
      </c>
      <c r="F11" s="194">
        <v>2396.2350000000001</v>
      </c>
      <c r="G11" s="195">
        <v>0</v>
      </c>
      <c r="H11" s="195">
        <v>0</v>
      </c>
      <c r="I11" s="10">
        <v>0</v>
      </c>
      <c r="J11" s="11">
        <v>0</v>
      </c>
      <c r="K11" s="11"/>
      <c r="L11" s="189">
        <v>0</v>
      </c>
      <c r="M11" s="189">
        <v>0</v>
      </c>
      <c r="N11" s="189">
        <v>0</v>
      </c>
      <c r="O11" s="189">
        <v>155755.28</v>
      </c>
      <c r="P11" s="189">
        <v>0</v>
      </c>
      <c r="Q11" s="189">
        <v>0</v>
      </c>
      <c r="R11" s="189">
        <v>0</v>
      </c>
      <c r="S11" s="189">
        <v>0</v>
      </c>
      <c r="T11" s="189">
        <v>155755.28</v>
      </c>
    </row>
    <row r="12" spans="1:20">
      <c r="A12" s="13">
        <v>8</v>
      </c>
      <c r="B12" s="199" t="s">
        <v>208</v>
      </c>
      <c r="C12" s="200"/>
      <c r="D12" s="194">
        <v>0</v>
      </c>
      <c r="E12" s="194">
        <v>0</v>
      </c>
      <c r="F12" s="194">
        <v>2396.2350000000001</v>
      </c>
      <c r="G12" s="195">
        <v>0</v>
      </c>
      <c r="H12" s="195">
        <v>0</v>
      </c>
      <c r="I12" s="10">
        <v>0</v>
      </c>
      <c r="J12" s="11">
        <v>0</v>
      </c>
      <c r="K12" s="11"/>
      <c r="L12" s="189">
        <v>0</v>
      </c>
      <c r="M12" s="189">
        <v>0</v>
      </c>
      <c r="N12" s="189">
        <v>0</v>
      </c>
      <c r="O12" s="189">
        <v>155755.28</v>
      </c>
      <c r="P12" s="189">
        <v>0</v>
      </c>
      <c r="Q12" s="189">
        <v>0</v>
      </c>
      <c r="R12" s="189">
        <v>0</v>
      </c>
      <c r="S12" s="189">
        <v>0</v>
      </c>
      <c r="T12" s="189">
        <v>155755.28</v>
      </c>
    </row>
    <row r="13" spans="1:20">
      <c r="A13" s="13">
        <v>9</v>
      </c>
      <c r="B13" s="199" t="s">
        <v>209</v>
      </c>
      <c r="C13" s="200"/>
      <c r="D13" s="194">
        <v>0</v>
      </c>
      <c r="E13" s="194">
        <v>0</v>
      </c>
      <c r="F13" s="194">
        <v>2396.2350000000001</v>
      </c>
      <c r="G13" s="195">
        <v>0</v>
      </c>
      <c r="H13" s="195">
        <v>75</v>
      </c>
      <c r="I13" s="10">
        <v>0</v>
      </c>
      <c r="J13" s="11">
        <v>0</v>
      </c>
      <c r="K13" s="11"/>
      <c r="L13" s="189">
        <v>0</v>
      </c>
      <c r="M13" s="189">
        <v>0</v>
      </c>
      <c r="N13" s="189">
        <v>0</v>
      </c>
      <c r="O13" s="189">
        <v>155755.28</v>
      </c>
      <c r="P13" s="189">
        <v>0</v>
      </c>
      <c r="Q13" s="189">
        <v>11250</v>
      </c>
      <c r="R13" s="189">
        <v>0</v>
      </c>
      <c r="S13" s="189">
        <v>0</v>
      </c>
      <c r="T13" s="189">
        <v>167005.28</v>
      </c>
    </row>
    <row r="14" spans="1:20">
      <c r="A14" s="13">
        <v>10</v>
      </c>
      <c r="B14" s="199" t="s">
        <v>210</v>
      </c>
      <c r="C14" s="200"/>
      <c r="D14" s="194">
        <v>0</v>
      </c>
      <c r="E14" s="194">
        <v>0</v>
      </c>
      <c r="F14" s="194">
        <v>2396.2350000000001</v>
      </c>
      <c r="G14" s="195">
        <v>0</v>
      </c>
      <c r="H14" s="195">
        <v>75</v>
      </c>
      <c r="I14" s="10">
        <v>0</v>
      </c>
      <c r="J14" s="11">
        <v>0</v>
      </c>
      <c r="K14" s="11"/>
      <c r="L14" s="189">
        <v>0</v>
      </c>
      <c r="M14" s="189">
        <v>0</v>
      </c>
      <c r="N14" s="189">
        <v>0</v>
      </c>
      <c r="O14" s="189">
        <v>155755.28</v>
      </c>
      <c r="P14" s="189">
        <v>0</v>
      </c>
      <c r="Q14" s="189">
        <v>11250</v>
      </c>
      <c r="R14" s="189">
        <v>0</v>
      </c>
      <c r="S14" s="189">
        <v>0</v>
      </c>
      <c r="T14" s="189">
        <v>167005.28</v>
      </c>
    </row>
    <row r="15" spans="1:20">
      <c r="A15" s="13">
        <v>11</v>
      </c>
      <c r="B15" s="199" t="s">
        <v>211</v>
      </c>
      <c r="C15" s="200"/>
      <c r="D15" s="194">
        <v>0</v>
      </c>
      <c r="E15" s="194">
        <v>0</v>
      </c>
      <c r="F15" s="194">
        <v>2396.2350000000001</v>
      </c>
      <c r="G15" s="195">
        <v>0</v>
      </c>
      <c r="H15" s="195">
        <v>75</v>
      </c>
      <c r="I15" s="10">
        <v>0</v>
      </c>
      <c r="J15" s="11">
        <v>0</v>
      </c>
      <c r="K15" s="11"/>
      <c r="L15" s="189">
        <v>0</v>
      </c>
      <c r="M15" s="189">
        <v>0</v>
      </c>
      <c r="N15" s="189">
        <v>0</v>
      </c>
      <c r="O15" s="189">
        <v>155755.28</v>
      </c>
      <c r="P15" s="189">
        <v>0</v>
      </c>
      <c r="Q15" s="189">
        <v>11250</v>
      </c>
      <c r="R15" s="189">
        <v>0</v>
      </c>
      <c r="S15" s="189">
        <v>0</v>
      </c>
      <c r="T15" s="189">
        <v>167005.28</v>
      </c>
    </row>
    <row r="16" spans="1:20">
      <c r="A16" s="13">
        <v>12</v>
      </c>
      <c r="B16" s="199" t="s">
        <v>212</v>
      </c>
      <c r="C16" s="200"/>
      <c r="D16" s="194">
        <v>0</v>
      </c>
      <c r="E16" s="194">
        <v>0</v>
      </c>
      <c r="F16" s="194">
        <v>2396.2350000000001</v>
      </c>
      <c r="G16" s="195">
        <v>0</v>
      </c>
      <c r="H16" s="195">
        <v>75</v>
      </c>
      <c r="I16" s="10">
        <v>0</v>
      </c>
      <c r="J16" s="11">
        <v>0</v>
      </c>
      <c r="K16" s="14"/>
      <c r="L16" s="189">
        <v>0</v>
      </c>
      <c r="M16" s="189">
        <v>0</v>
      </c>
      <c r="N16" s="189">
        <v>0</v>
      </c>
      <c r="O16" s="189">
        <v>155755.28</v>
      </c>
      <c r="P16" s="189">
        <v>0</v>
      </c>
      <c r="Q16" s="189">
        <v>11250</v>
      </c>
      <c r="R16" s="189">
        <v>0</v>
      </c>
      <c r="S16" s="189">
        <v>0</v>
      </c>
      <c r="T16" s="189">
        <v>167005.28</v>
      </c>
    </row>
    <row r="17" spans="1:20">
      <c r="A17" s="13">
        <v>13</v>
      </c>
      <c r="B17" s="199" t="s">
        <v>213</v>
      </c>
      <c r="C17" s="200"/>
      <c r="D17" s="194">
        <v>0</v>
      </c>
      <c r="E17" s="194">
        <v>0</v>
      </c>
      <c r="F17" s="194">
        <v>2396.2350000000001</v>
      </c>
      <c r="G17" s="195">
        <v>0</v>
      </c>
      <c r="H17" s="195">
        <v>75</v>
      </c>
      <c r="I17" s="10">
        <v>0</v>
      </c>
      <c r="J17" s="11">
        <v>0</v>
      </c>
      <c r="K17" s="11"/>
      <c r="L17" s="189">
        <v>0</v>
      </c>
      <c r="M17" s="189">
        <v>0</v>
      </c>
      <c r="N17" s="189">
        <v>0</v>
      </c>
      <c r="O17" s="189">
        <v>155755.28</v>
      </c>
      <c r="P17" s="189">
        <v>0</v>
      </c>
      <c r="Q17" s="189">
        <v>11250</v>
      </c>
      <c r="R17" s="189">
        <v>0</v>
      </c>
      <c r="S17" s="189">
        <v>0</v>
      </c>
      <c r="T17" s="189">
        <v>167005.28</v>
      </c>
    </row>
    <row r="18" spans="1:20">
      <c r="A18" s="13">
        <v>14</v>
      </c>
      <c r="B18" s="199" t="s">
        <v>214</v>
      </c>
      <c r="C18" s="200"/>
      <c r="D18" s="194">
        <v>0</v>
      </c>
      <c r="E18" s="194">
        <v>0</v>
      </c>
      <c r="F18" s="194">
        <v>2396.2350000000001</v>
      </c>
      <c r="G18" s="195">
        <v>0</v>
      </c>
      <c r="H18" s="195">
        <v>0</v>
      </c>
      <c r="I18" s="10">
        <v>0</v>
      </c>
      <c r="J18" s="11">
        <v>0</v>
      </c>
      <c r="K18" s="11"/>
      <c r="L18" s="189">
        <v>0</v>
      </c>
      <c r="M18" s="189">
        <v>0</v>
      </c>
      <c r="N18" s="189">
        <v>0</v>
      </c>
      <c r="O18" s="189">
        <v>155755.28</v>
      </c>
      <c r="P18" s="189">
        <v>0</v>
      </c>
      <c r="Q18" s="189">
        <v>0</v>
      </c>
      <c r="R18" s="189">
        <v>0</v>
      </c>
      <c r="S18" s="189">
        <v>0</v>
      </c>
      <c r="T18" s="189">
        <v>155755.28</v>
      </c>
    </row>
    <row r="19" spans="1:20">
      <c r="A19" s="13">
        <v>15</v>
      </c>
      <c r="B19" s="199" t="s">
        <v>215</v>
      </c>
      <c r="C19" s="200"/>
      <c r="D19" s="194">
        <v>0</v>
      </c>
      <c r="E19" s="194">
        <v>0</v>
      </c>
      <c r="F19" s="194">
        <v>2396.2350000000001</v>
      </c>
      <c r="G19" s="195">
        <v>0</v>
      </c>
      <c r="H19" s="195">
        <v>0</v>
      </c>
      <c r="I19" s="10">
        <v>0</v>
      </c>
      <c r="J19" s="11">
        <v>0</v>
      </c>
      <c r="K19" s="11"/>
      <c r="L19" s="189">
        <v>0</v>
      </c>
      <c r="M19" s="189">
        <v>0</v>
      </c>
      <c r="N19" s="189">
        <v>0</v>
      </c>
      <c r="O19" s="189">
        <v>155755.28</v>
      </c>
      <c r="P19" s="189">
        <v>0</v>
      </c>
      <c r="Q19" s="189">
        <v>0</v>
      </c>
      <c r="R19" s="189">
        <v>0</v>
      </c>
      <c r="S19" s="189">
        <v>0</v>
      </c>
      <c r="T19" s="189">
        <v>155755.28</v>
      </c>
    </row>
    <row r="20" spans="1:20">
      <c r="A20" s="13">
        <v>16</v>
      </c>
      <c r="B20" s="199" t="s">
        <v>216</v>
      </c>
      <c r="C20" s="200"/>
      <c r="D20" s="194">
        <v>0</v>
      </c>
      <c r="E20" s="194">
        <v>0</v>
      </c>
      <c r="F20" s="194">
        <v>2396.2350000000001</v>
      </c>
      <c r="G20" s="195">
        <v>0</v>
      </c>
      <c r="H20" s="195">
        <v>75</v>
      </c>
      <c r="I20" s="10">
        <v>0</v>
      </c>
      <c r="J20" s="11">
        <v>0</v>
      </c>
      <c r="K20" s="11"/>
      <c r="L20" s="189">
        <v>0</v>
      </c>
      <c r="M20" s="189">
        <v>0</v>
      </c>
      <c r="N20" s="189">
        <v>0</v>
      </c>
      <c r="O20" s="189">
        <v>155755.28</v>
      </c>
      <c r="P20" s="189">
        <v>0</v>
      </c>
      <c r="Q20" s="189">
        <v>11250</v>
      </c>
      <c r="R20" s="189">
        <v>0</v>
      </c>
      <c r="S20" s="189">
        <v>0</v>
      </c>
      <c r="T20" s="189">
        <v>167005.28</v>
      </c>
    </row>
    <row r="21" spans="1:20">
      <c r="A21" s="13">
        <v>17</v>
      </c>
      <c r="B21" s="199" t="s">
        <v>217</v>
      </c>
      <c r="C21" s="200"/>
      <c r="D21" s="194">
        <v>0</v>
      </c>
      <c r="E21" s="194">
        <v>0</v>
      </c>
      <c r="F21" s="194">
        <v>2396.2350000000001</v>
      </c>
      <c r="G21" s="195">
        <v>0</v>
      </c>
      <c r="H21" s="195">
        <v>75</v>
      </c>
      <c r="I21" s="10">
        <v>0</v>
      </c>
      <c r="J21" s="11">
        <v>0</v>
      </c>
      <c r="K21" s="11"/>
      <c r="L21" s="189">
        <v>0</v>
      </c>
      <c r="M21" s="189">
        <v>0</v>
      </c>
      <c r="N21" s="189">
        <v>0</v>
      </c>
      <c r="O21" s="189">
        <v>155755.28</v>
      </c>
      <c r="P21" s="189">
        <v>0</v>
      </c>
      <c r="Q21" s="189">
        <v>11250</v>
      </c>
      <c r="R21" s="189">
        <v>0</v>
      </c>
      <c r="S21" s="189">
        <v>0</v>
      </c>
      <c r="T21" s="189">
        <v>167005.28</v>
      </c>
    </row>
    <row r="22" spans="1:20">
      <c r="A22" s="13">
        <v>18</v>
      </c>
      <c r="B22" s="199" t="s">
        <v>218</v>
      </c>
      <c r="C22" s="200"/>
      <c r="D22" s="194">
        <v>0</v>
      </c>
      <c r="E22" s="194">
        <v>0</v>
      </c>
      <c r="F22" s="194">
        <v>2396.2350000000001</v>
      </c>
      <c r="G22" s="195">
        <v>0</v>
      </c>
      <c r="H22" s="195">
        <v>75</v>
      </c>
      <c r="I22" s="10">
        <v>0</v>
      </c>
      <c r="J22" s="11">
        <v>0</v>
      </c>
      <c r="K22" s="11"/>
      <c r="L22" s="189">
        <v>0</v>
      </c>
      <c r="M22" s="189">
        <v>0</v>
      </c>
      <c r="N22" s="189">
        <v>0</v>
      </c>
      <c r="O22" s="189">
        <v>155755.28</v>
      </c>
      <c r="P22" s="189">
        <v>0</v>
      </c>
      <c r="Q22" s="189">
        <v>11250</v>
      </c>
      <c r="R22" s="189">
        <v>0</v>
      </c>
      <c r="S22" s="189">
        <v>0</v>
      </c>
      <c r="T22" s="189">
        <v>167005.28</v>
      </c>
    </row>
    <row r="23" spans="1:20">
      <c r="A23" s="13">
        <v>19</v>
      </c>
      <c r="B23" s="199" t="s">
        <v>219</v>
      </c>
      <c r="C23" s="200"/>
      <c r="D23" s="194">
        <v>0</v>
      </c>
      <c r="E23" s="194">
        <v>0</v>
      </c>
      <c r="F23" s="194">
        <v>2396.2350000000001</v>
      </c>
      <c r="G23" s="195">
        <v>0</v>
      </c>
      <c r="H23" s="195">
        <v>75</v>
      </c>
      <c r="I23" s="10">
        <v>0</v>
      </c>
      <c r="J23" s="11">
        <v>0</v>
      </c>
      <c r="K23" s="11"/>
      <c r="L23" s="189">
        <v>0</v>
      </c>
      <c r="M23" s="189">
        <v>0</v>
      </c>
      <c r="N23" s="189">
        <v>0</v>
      </c>
      <c r="O23" s="189">
        <v>155755.28</v>
      </c>
      <c r="P23" s="189">
        <v>0</v>
      </c>
      <c r="Q23" s="189">
        <v>11250</v>
      </c>
      <c r="R23" s="189">
        <v>0</v>
      </c>
      <c r="S23" s="189">
        <v>0</v>
      </c>
      <c r="T23" s="189">
        <v>167005.28</v>
      </c>
    </row>
    <row r="24" spans="1:20">
      <c r="A24" s="13">
        <v>20</v>
      </c>
      <c r="B24" s="199" t="s">
        <v>220</v>
      </c>
      <c r="C24" s="200"/>
      <c r="D24" s="194">
        <v>0</v>
      </c>
      <c r="E24" s="194">
        <v>0</v>
      </c>
      <c r="F24" s="194">
        <v>2396.2350000000001</v>
      </c>
      <c r="G24" s="195">
        <v>0</v>
      </c>
      <c r="H24" s="195">
        <v>75</v>
      </c>
      <c r="I24" s="10">
        <v>0</v>
      </c>
      <c r="J24" s="11">
        <v>0</v>
      </c>
      <c r="K24" s="11"/>
      <c r="L24" s="189">
        <v>0</v>
      </c>
      <c r="M24" s="189">
        <v>0</v>
      </c>
      <c r="N24" s="189">
        <v>0</v>
      </c>
      <c r="O24" s="189">
        <v>155755.28</v>
      </c>
      <c r="P24" s="189">
        <v>0</v>
      </c>
      <c r="Q24" s="189">
        <v>11250</v>
      </c>
      <c r="R24" s="189">
        <v>0</v>
      </c>
      <c r="S24" s="189">
        <v>0</v>
      </c>
      <c r="T24" s="189">
        <v>167005.28</v>
      </c>
    </row>
    <row r="25" spans="1:20">
      <c r="A25" s="13">
        <v>21</v>
      </c>
      <c r="B25" s="199" t="s">
        <v>221</v>
      </c>
      <c r="C25" s="200"/>
      <c r="D25" s="194">
        <v>0</v>
      </c>
      <c r="E25" s="194">
        <v>0</v>
      </c>
      <c r="F25" s="194">
        <v>2396.2350000000001</v>
      </c>
      <c r="G25" s="195">
        <v>0</v>
      </c>
      <c r="H25" s="195">
        <v>0</v>
      </c>
      <c r="I25" s="10">
        <v>0</v>
      </c>
      <c r="J25" s="11">
        <v>0</v>
      </c>
      <c r="K25" s="11"/>
      <c r="L25" s="189">
        <v>0</v>
      </c>
      <c r="M25" s="189">
        <v>0</v>
      </c>
      <c r="N25" s="189">
        <v>0</v>
      </c>
      <c r="O25" s="189">
        <v>155755.28</v>
      </c>
      <c r="P25" s="189">
        <v>0</v>
      </c>
      <c r="Q25" s="189">
        <v>0</v>
      </c>
      <c r="R25" s="189">
        <v>0</v>
      </c>
      <c r="S25" s="189">
        <v>0</v>
      </c>
      <c r="T25" s="189">
        <v>155755.28</v>
      </c>
    </row>
    <row r="26" spans="1:20">
      <c r="A26" s="13">
        <v>22</v>
      </c>
      <c r="B26" s="199" t="s">
        <v>222</v>
      </c>
      <c r="C26" s="200"/>
      <c r="D26" s="194">
        <v>0</v>
      </c>
      <c r="E26" s="194">
        <v>0</v>
      </c>
      <c r="F26" s="194">
        <v>2396.2350000000001</v>
      </c>
      <c r="G26" s="195">
        <v>0</v>
      </c>
      <c r="H26" s="195">
        <v>0</v>
      </c>
      <c r="I26" s="10">
        <v>0</v>
      </c>
      <c r="J26" s="11">
        <v>0</v>
      </c>
      <c r="K26" s="11"/>
      <c r="L26" s="189">
        <v>0</v>
      </c>
      <c r="M26" s="189">
        <v>0</v>
      </c>
      <c r="N26" s="189">
        <v>0</v>
      </c>
      <c r="O26" s="189">
        <v>155755.28</v>
      </c>
      <c r="P26" s="189">
        <v>0</v>
      </c>
      <c r="Q26" s="189">
        <v>0</v>
      </c>
      <c r="R26" s="189">
        <v>0</v>
      </c>
      <c r="S26" s="189">
        <v>0</v>
      </c>
      <c r="T26" s="189">
        <v>155755.28</v>
      </c>
    </row>
    <row r="27" spans="1:20">
      <c r="A27" s="13">
        <v>23</v>
      </c>
      <c r="B27" s="199" t="s">
        <v>223</v>
      </c>
      <c r="C27" s="200"/>
      <c r="D27" s="194">
        <v>0</v>
      </c>
      <c r="E27" s="194">
        <v>0</v>
      </c>
      <c r="F27" s="194">
        <v>2396.2350000000001</v>
      </c>
      <c r="G27" s="195">
        <v>0</v>
      </c>
      <c r="H27" s="195">
        <v>0</v>
      </c>
      <c r="I27" s="10">
        <v>0</v>
      </c>
      <c r="J27" s="11">
        <v>0</v>
      </c>
      <c r="K27" s="11"/>
      <c r="L27" s="189">
        <v>0</v>
      </c>
      <c r="M27" s="189">
        <v>0</v>
      </c>
      <c r="N27" s="189">
        <v>0</v>
      </c>
      <c r="O27" s="189">
        <v>155755.28</v>
      </c>
      <c r="P27" s="189">
        <v>0</v>
      </c>
      <c r="Q27" s="189">
        <v>0</v>
      </c>
      <c r="R27" s="189">
        <v>0</v>
      </c>
      <c r="S27" s="189">
        <v>0</v>
      </c>
      <c r="T27" s="189">
        <v>155755.28</v>
      </c>
    </row>
    <row r="28" spans="1:20">
      <c r="A28" s="13">
        <v>24</v>
      </c>
      <c r="B28" s="199" t="s">
        <v>224</v>
      </c>
      <c r="C28" s="200"/>
      <c r="D28" s="194">
        <v>0</v>
      </c>
      <c r="E28" s="194">
        <v>0</v>
      </c>
      <c r="F28" s="194">
        <v>2396.2350000000001</v>
      </c>
      <c r="G28" s="195">
        <v>0</v>
      </c>
      <c r="H28" s="195">
        <v>75</v>
      </c>
      <c r="I28" s="10">
        <v>0</v>
      </c>
      <c r="J28" s="11">
        <v>0</v>
      </c>
      <c r="K28" s="11"/>
      <c r="L28" s="189">
        <v>0</v>
      </c>
      <c r="M28" s="189">
        <v>0</v>
      </c>
      <c r="N28" s="189">
        <v>0</v>
      </c>
      <c r="O28" s="189">
        <v>155755.28</v>
      </c>
      <c r="P28" s="189">
        <v>0</v>
      </c>
      <c r="Q28" s="189">
        <v>11250</v>
      </c>
      <c r="R28" s="189">
        <v>0</v>
      </c>
      <c r="S28" s="189">
        <v>0</v>
      </c>
      <c r="T28" s="189">
        <v>167005.28</v>
      </c>
    </row>
    <row r="29" spans="1:20">
      <c r="A29" s="13">
        <v>25</v>
      </c>
      <c r="B29" s="199" t="s">
        <v>225</v>
      </c>
      <c r="C29" s="200"/>
      <c r="D29" s="194">
        <v>0</v>
      </c>
      <c r="E29" s="194">
        <v>0</v>
      </c>
      <c r="F29" s="194">
        <v>2396.2350000000001</v>
      </c>
      <c r="G29" s="195">
        <v>0</v>
      </c>
      <c r="H29" s="195">
        <v>75</v>
      </c>
      <c r="I29" s="10">
        <v>0</v>
      </c>
      <c r="J29" s="11">
        <v>0</v>
      </c>
      <c r="K29" s="11"/>
      <c r="L29" s="189">
        <v>0</v>
      </c>
      <c r="M29" s="189">
        <v>0</v>
      </c>
      <c r="N29" s="189">
        <v>0</v>
      </c>
      <c r="O29" s="189">
        <v>155755.28</v>
      </c>
      <c r="P29" s="189">
        <v>0</v>
      </c>
      <c r="Q29" s="189">
        <v>11250</v>
      </c>
      <c r="R29" s="189">
        <v>0</v>
      </c>
      <c r="S29" s="189">
        <v>0</v>
      </c>
      <c r="T29" s="189">
        <v>167005.28</v>
      </c>
    </row>
    <row r="30" spans="1:20">
      <c r="A30" s="13">
        <v>26</v>
      </c>
      <c r="B30" s="199" t="s">
        <v>226</v>
      </c>
      <c r="C30" s="200"/>
      <c r="D30" s="194">
        <v>0</v>
      </c>
      <c r="E30" s="194">
        <v>0</v>
      </c>
      <c r="F30" s="194">
        <v>2396.2350000000001</v>
      </c>
      <c r="G30" s="195">
        <v>0</v>
      </c>
      <c r="H30" s="195">
        <v>75</v>
      </c>
      <c r="I30" s="10">
        <v>0</v>
      </c>
      <c r="J30" s="11">
        <v>0</v>
      </c>
      <c r="K30" s="11"/>
      <c r="L30" s="189">
        <v>0</v>
      </c>
      <c r="M30" s="189">
        <v>0</v>
      </c>
      <c r="N30" s="189">
        <v>0</v>
      </c>
      <c r="O30" s="189">
        <v>155755.28</v>
      </c>
      <c r="P30" s="189">
        <v>0</v>
      </c>
      <c r="Q30" s="189">
        <v>11250</v>
      </c>
      <c r="R30" s="189">
        <v>0</v>
      </c>
      <c r="S30" s="189">
        <v>0</v>
      </c>
      <c r="T30" s="189">
        <v>167005.28</v>
      </c>
    </row>
    <row r="31" spans="1:20">
      <c r="A31" s="13">
        <v>27</v>
      </c>
      <c r="B31" s="199" t="s">
        <v>227</v>
      </c>
      <c r="C31" s="200"/>
      <c r="D31" s="194">
        <v>0</v>
      </c>
      <c r="E31" s="194">
        <v>0</v>
      </c>
      <c r="F31" s="194">
        <v>2396.2350000000001</v>
      </c>
      <c r="G31" s="195">
        <v>0</v>
      </c>
      <c r="H31" s="195">
        <v>75</v>
      </c>
      <c r="I31" s="10">
        <v>0</v>
      </c>
      <c r="J31" s="11">
        <v>0</v>
      </c>
      <c r="K31" s="11"/>
      <c r="L31" s="189">
        <v>0</v>
      </c>
      <c r="M31" s="189">
        <v>0</v>
      </c>
      <c r="N31" s="189">
        <v>0</v>
      </c>
      <c r="O31" s="189">
        <v>155755.28</v>
      </c>
      <c r="P31" s="189">
        <v>0</v>
      </c>
      <c r="Q31" s="189">
        <v>11250</v>
      </c>
      <c r="R31" s="189">
        <v>0</v>
      </c>
      <c r="S31" s="189">
        <v>0</v>
      </c>
      <c r="T31" s="189">
        <v>167005.28</v>
      </c>
    </row>
    <row r="32" spans="1:20">
      <c r="A32" s="13">
        <v>28</v>
      </c>
      <c r="B32" s="199" t="s">
        <v>228</v>
      </c>
      <c r="C32" s="200"/>
      <c r="D32" s="194">
        <v>0</v>
      </c>
      <c r="E32" s="194">
        <v>0</v>
      </c>
      <c r="F32" s="194">
        <v>2396.2350000000001</v>
      </c>
      <c r="G32" s="195">
        <v>0</v>
      </c>
      <c r="H32" s="195">
        <v>0</v>
      </c>
      <c r="I32" s="10">
        <v>0</v>
      </c>
      <c r="J32" s="11">
        <v>0</v>
      </c>
      <c r="K32" s="11"/>
      <c r="L32" s="189">
        <v>0</v>
      </c>
      <c r="M32" s="189">
        <v>0</v>
      </c>
      <c r="N32" s="189">
        <v>0</v>
      </c>
      <c r="O32" s="189">
        <v>155755.28</v>
      </c>
      <c r="P32" s="189">
        <v>0</v>
      </c>
      <c r="Q32" s="189">
        <v>0</v>
      </c>
      <c r="R32" s="189">
        <v>0</v>
      </c>
      <c r="S32" s="189">
        <v>0</v>
      </c>
      <c r="T32" s="189">
        <v>155755.28</v>
      </c>
    </row>
    <row r="33" spans="1:20">
      <c r="A33" s="13">
        <v>29</v>
      </c>
      <c r="B33" s="199"/>
      <c r="C33" s="200"/>
      <c r="D33" s="194">
        <v>0</v>
      </c>
      <c r="E33" s="194">
        <v>0</v>
      </c>
      <c r="F33" s="194">
        <v>0</v>
      </c>
      <c r="G33" s="195">
        <v>0</v>
      </c>
      <c r="H33" s="195">
        <v>0</v>
      </c>
      <c r="I33" s="10">
        <v>0</v>
      </c>
      <c r="J33" s="11">
        <v>0</v>
      </c>
      <c r="K33" s="11"/>
      <c r="L33" s="189">
        <v>0</v>
      </c>
      <c r="M33" s="189">
        <v>0</v>
      </c>
      <c r="N33" s="189">
        <v>0</v>
      </c>
      <c r="O33" s="189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</row>
    <row r="34" spans="1:20">
      <c r="A34" s="13">
        <v>30</v>
      </c>
      <c r="B34" s="199"/>
      <c r="C34" s="200"/>
      <c r="D34" s="194">
        <v>0</v>
      </c>
      <c r="E34" s="194">
        <v>0</v>
      </c>
      <c r="F34" s="194">
        <v>0</v>
      </c>
      <c r="G34" s="195">
        <v>0</v>
      </c>
      <c r="H34" s="195">
        <v>0</v>
      </c>
      <c r="I34" s="10">
        <v>0</v>
      </c>
      <c r="J34" s="11">
        <v>0</v>
      </c>
      <c r="K34" s="11"/>
      <c r="L34" s="189">
        <v>0</v>
      </c>
      <c r="M34" s="189">
        <v>0</v>
      </c>
      <c r="N34" s="189">
        <v>0</v>
      </c>
      <c r="O34" s="189">
        <v>0</v>
      </c>
      <c r="P34" s="189">
        <v>0</v>
      </c>
      <c r="Q34" s="189">
        <v>0</v>
      </c>
      <c r="R34" s="189">
        <v>0</v>
      </c>
      <c r="S34" s="189">
        <v>0</v>
      </c>
      <c r="T34" s="189">
        <v>0</v>
      </c>
    </row>
    <row r="35" spans="1:20">
      <c r="A35" s="13">
        <v>31</v>
      </c>
      <c r="B35" s="199"/>
      <c r="C35" s="200"/>
      <c r="D35" s="194">
        <v>0</v>
      </c>
      <c r="E35" s="194">
        <v>0</v>
      </c>
      <c r="F35" s="194">
        <v>0</v>
      </c>
      <c r="G35" s="195">
        <v>0</v>
      </c>
      <c r="H35" s="195">
        <v>0</v>
      </c>
      <c r="I35" s="10">
        <v>0</v>
      </c>
      <c r="J35" s="11">
        <v>0</v>
      </c>
      <c r="K35" s="11"/>
      <c r="L35" s="189">
        <v>0</v>
      </c>
      <c r="M35" s="189">
        <v>0</v>
      </c>
      <c r="N35" s="189">
        <v>0</v>
      </c>
      <c r="O35" s="189">
        <v>0</v>
      </c>
      <c r="P35" s="189">
        <v>0</v>
      </c>
      <c r="Q35" s="189">
        <v>0</v>
      </c>
      <c r="R35" s="189">
        <v>0</v>
      </c>
      <c r="S35" s="189">
        <v>0</v>
      </c>
      <c r="T35" s="189">
        <v>0</v>
      </c>
    </row>
    <row r="36" spans="1:20">
      <c r="D36" s="19">
        <v>44.983000000000004</v>
      </c>
      <c r="E36" s="19">
        <v>86.353999999999999</v>
      </c>
      <c r="F36" s="19">
        <v>66989.65400000001</v>
      </c>
      <c r="G36" s="19">
        <v>0</v>
      </c>
      <c r="H36" s="19">
        <v>1380.0170000000001</v>
      </c>
      <c r="I36" s="19">
        <v>0</v>
      </c>
      <c r="J36" s="20">
        <v>0</v>
      </c>
      <c r="K36" s="20">
        <v>0</v>
      </c>
      <c r="L36" s="190">
        <v>0</v>
      </c>
      <c r="M36" s="190">
        <v>6747.45</v>
      </c>
      <c r="N36" s="190">
        <v>12953.1</v>
      </c>
      <c r="O36" s="190">
        <v>4354327.51</v>
      </c>
      <c r="P36" s="190">
        <v>0</v>
      </c>
      <c r="Q36" s="190">
        <v>207002.55</v>
      </c>
      <c r="R36" s="190">
        <v>0</v>
      </c>
      <c r="S36" s="190">
        <v>0</v>
      </c>
      <c r="T36" s="190">
        <v>4581030.6100000003</v>
      </c>
    </row>
    <row r="37" spans="1:20">
      <c r="R37" s="22"/>
      <c r="S37" s="22"/>
      <c r="T37" s="191">
        <v>5588857.3399999999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S3:S4"/>
    <mergeCell ref="T3:T4"/>
    <mergeCell ref="B5:C5"/>
    <mergeCell ref="B6:C6"/>
    <mergeCell ref="P3:P4"/>
    <mergeCell ref="Q3:Q4"/>
    <mergeCell ref="L3:L4"/>
    <mergeCell ref="M3:M4"/>
    <mergeCell ref="N3:N4"/>
    <mergeCell ref="O3:O4"/>
    <mergeCell ref="R3:R4"/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</mergeCells>
  <pageMargins left="0.7" right="0.7" top="0.75" bottom="0.75" header="0.3" footer="0.3"/>
  <pageSetup paperSize="9" fitToHeight="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113D-4444-479C-99A5-988C2527BA93}">
  <sheetPr codeName="Лист48"/>
  <dimension ref="A1:A18"/>
  <sheetViews>
    <sheetView workbookViewId="0">
      <selection activeCell="D31" sqref="D31"/>
    </sheetView>
  </sheetViews>
  <sheetFormatPr defaultRowHeight="15"/>
  <cols>
    <col min="1" max="1" width="9.8984375" style="2" customWidth="1"/>
    <col min="2" max="16384" width="8.796875" style="2"/>
  </cols>
  <sheetData>
    <row r="1" spans="1:1">
      <c r="A1" s="116">
        <v>46023</v>
      </c>
    </row>
    <row r="2" spans="1:1">
      <c r="A2" s="116">
        <v>46024</v>
      </c>
    </row>
    <row r="3" spans="1:1">
      <c r="A3" s="116">
        <v>46025</v>
      </c>
    </row>
    <row r="4" spans="1:1">
      <c r="A4" s="116">
        <v>46026</v>
      </c>
    </row>
    <row r="5" spans="1:1">
      <c r="A5" s="116">
        <v>46027</v>
      </c>
    </row>
    <row r="6" spans="1:1">
      <c r="A6" s="116">
        <v>46028</v>
      </c>
    </row>
    <row r="7" spans="1:1">
      <c r="A7" s="116">
        <v>46029</v>
      </c>
    </row>
    <row r="8" spans="1:1">
      <c r="A8" s="116">
        <v>46030</v>
      </c>
    </row>
    <row r="9" spans="1:1">
      <c r="A9" s="116">
        <v>46031</v>
      </c>
    </row>
    <row r="10" spans="1:1">
      <c r="A10" s="116">
        <v>46032</v>
      </c>
    </row>
    <row r="11" spans="1:1">
      <c r="A11" s="116">
        <v>46033</v>
      </c>
    </row>
    <row r="12" spans="1:1">
      <c r="A12" s="116">
        <v>46076</v>
      </c>
    </row>
    <row r="13" spans="1:1">
      <c r="A13" s="116">
        <v>46090</v>
      </c>
    </row>
    <row r="14" spans="1:1">
      <c r="A14" s="116">
        <v>46143</v>
      </c>
    </row>
    <row r="15" spans="1:1">
      <c r="A15" s="116">
        <v>46153</v>
      </c>
    </row>
    <row r="16" spans="1:1">
      <c r="A16" s="116">
        <v>46185</v>
      </c>
    </row>
    <row r="17" spans="1:1">
      <c r="A17" s="116">
        <v>46330</v>
      </c>
    </row>
    <row r="18" spans="1:1">
      <c r="A18" s="116">
        <v>46387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1544-AA97-4EA9-9A5C-9B397722E9A1}">
  <sheetPr codeName="Лист49"/>
  <dimension ref="A1:A18"/>
  <sheetViews>
    <sheetView workbookViewId="0">
      <selection activeCell="C20" sqref="C20"/>
    </sheetView>
  </sheetViews>
  <sheetFormatPr defaultRowHeight="15"/>
  <cols>
    <col min="1" max="1" width="10" style="2" customWidth="1"/>
    <col min="2" max="16384" width="8.796875" style="2"/>
  </cols>
  <sheetData>
    <row r="1" spans="1:1">
      <c r="A1" s="116">
        <v>46023</v>
      </c>
    </row>
    <row r="2" spans="1:1">
      <c r="A2" s="116">
        <v>46024</v>
      </c>
    </row>
    <row r="3" spans="1:1">
      <c r="A3" s="116">
        <v>46025</v>
      </c>
    </row>
    <row r="4" spans="1:1">
      <c r="A4" s="116">
        <v>46026</v>
      </c>
    </row>
    <row r="5" spans="1:1">
      <c r="A5" s="116">
        <v>46027</v>
      </c>
    </row>
    <row r="6" spans="1:1">
      <c r="A6" s="116">
        <v>46028</v>
      </c>
    </row>
    <row r="7" spans="1:1">
      <c r="A7" s="116">
        <v>46029</v>
      </c>
    </row>
    <row r="8" spans="1:1">
      <c r="A8" s="116">
        <v>46030</v>
      </c>
    </row>
    <row r="9" spans="1:1">
      <c r="A9" s="116">
        <v>46031</v>
      </c>
    </row>
    <row r="10" spans="1:1">
      <c r="A10" s="116">
        <v>46032</v>
      </c>
    </row>
    <row r="11" spans="1:1">
      <c r="A11" s="116">
        <v>46033</v>
      </c>
    </row>
    <row r="12" spans="1:1">
      <c r="A12" s="116">
        <v>46076</v>
      </c>
    </row>
    <row r="13" spans="1:1">
      <c r="A13" s="116">
        <v>46090</v>
      </c>
    </row>
    <row r="14" spans="1:1">
      <c r="A14" s="116">
        <v>46143</v>
      </c>
    </row>
    <row r="15" spans="1:1">
      <c r="A15" s="116">
        <v>46153</v>
      </c>
    </row>
    <row r="16" spans="1:1">
      <c r="A16" s="116">
        <v>46185</v>
      </c>
    </row>
    <row r="17" spans="1:1">
      <c r="A17" s="116">
        <v>46330</v>
      </c>
    </row>
    <row r="18" spans="1:1">
      <c r="A18" s="116">
        <v>46387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3424-2013-427C-B813-F4E6DCCB354A}">
  <sheetPr codeName="Лист50"/>
  <dimension ref="A1:A29"/>
  <sheetViews>
    <sheetView workbookViewId="0">
      <selection activeCell="H15" sqref="H15"/>
    </sheetView>
  </sheetViews>
  <sheetFormatPr defaultRowHeight="15"/>
  <cols>
    <col min="1" max="1" width="10.5" style="2" bestFit="1" customWidth="1"/>
    <col min="2" max="16384" width="8.796875" style="2"/>
  </cols>
  <sheetData>
    <row r="1" spans="1:1">
      <c r="A1" s="116">
        <v>46023</v>
      </c>
    </row>
    <row r="2" spans="1:1">
      <c r="A2" s="116">
        <v>46024</v>
      </c>
    </row>
    <row r="3" spans="1:1">
      <c r="A3" s="116">
        <v>46025</v>
      </c>
    </row>
    <row r="4" spans="1:1">
      <c r="A4" s="116">
        <v>46026</v>
      </c>
    </row>
    <row r="5" spans="1:1">
      <c r="A5" s="116">
        <v>46027</v>
      </c>
    </row>
    <row r="6" spans="1:1">
      <c r="A6" s="116">
        <v>46028</v>
      </c>
    </row>
    <row r="7" spans="1:1">
      <c r="A7" s="116">
        <v>46029</v>
      </c>
    </row>
    <row r="8" spans="1:1">
      <c r="A8" s="116">
        <v>46030</v>
      </c>
    </row>
    <row r="9" spans="1:1">
      <c r="A9" s="116">
        <v>46031</v>
      </c>
    </row>
    <row r="10" spans="1:1">
      <c r="A10" s="116">
        <v>46032</v>
      </c>
    </row>
    <row r="11" spans="1:1">
      <c r="A11" s="116">
        <v>46033</v>
      </c>
    </row>
    <row r="12" spans="1:1">
      <c r="A12" s="116">
        <v>46076</v>
      </c>
    </row>
    <row r="13" spans="1:1">
      <c r="A13" s="116">
        <v>46090</v>
      </c>
    </row>
    <row r="14" spans="1:1">
      <c r="A14" s="116">
        <v>46143</v>
      </c>
    </row>
    <row r="15" spans="1:1">
      <c r="A15" s="116">
        <v>46153</v>
      </c>
    </row>
    <row r="16" spans="1:1">
      <c r="A16" s="116">
        <v>46185</v>
      </c>
    </row>
    <row r="17" spans="1:1">
      <c r="A17" s="116">
        <v>46330</v>
      </c>
    </row>
    <row r="18" spans="1:1">
      <c r="A18" s="116">
        <v>46387</v>
      </c>
    </row>
    <row r="19" spans="1:1">
      <c r="A19" s="116"/>
    </row>
    <row r="20" spans="1:1">
      <c r="A20" s="116"/>
    </row>
    <row r="21" spans="1:1">
      <c r="A21" s="116"/>
    </row>
    <row r="22" spans="1:1">
      <c r="A22" s="116"/>
    </row>
    <row r="23" spans="1:1">
      <c r="A23" s="116"/>
    </row>
    <row r="24" spans="1:1">
      <c r="A24" s="116"/>
    </row>
    <row r="25" spans="1:1">
      <c r="A25" s="116"/>
    </row>
    <row r="26" spans="1:1">
      <c r="A26" s="116"/>
    </row>
    <row r="27" spans="1:1">
      <c r="A27" s="116"/>
    </row>
    <row r="28" spans="1:1">
      <c r="A28" s="116"/>
    </row>
    <row r="29" spans="1:1">
      <c r="A29" s="116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D5D7-9C18-451F-B60D-6D1EB137BF9A}">
  <sheetPr codeName="Лист51"/>
  <dimension ref="A3:F26"/>
  <sheetViews>
    <sheetView workbookViewId="0">
      <selection activeCell="A5" sqref="A5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7" t="str">
        <f ca="1">"Акт  №    от  " &amp; TEXT(TODAY()-DAY(TODAY()), "ДД ММММ ГГГГ")</f>
        <v>Акт  №    от  31 Март 2026</v>
      </c>
    </row>
    <row r="4" spans="1:6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6">
      <c r="A5" s="22" t="s">
        <v>118</v>
      </c>
      <c r="B5" s="22"/>
      <c r="C5" s="22"/>
    </row>
    <row r="6" spans="1:6">
      <c r="A6" s="2" t="s">
        <v>119</v>
      </c>
    </row>
    <row r="7" spans="1:6">
      <c r="A7" s="2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83</v>
      </c>
    </row>
    <row r="10" spans="1:6">
      <c r="A10" s="80">
        <v>1</v>
      </c>
      <c r="B10" s="79" t="s">
        <v>120</v>
      </c>
      <c r="C10" s="80" t="s">
        <v>121</v>
      </c>
      <c r="D10" s="110">
        <f>'[1]РВ Березовая Пойма'!S2</f>
        <v>1702.7099999999998</v>
      </c>
      <c r="E10" s="111">
        <v>150</v>
      </c>
      <c r="F10" s="111">
        <f>D10*E10</f>
        <v>255406.49999999997</v>
      </c>
    </row>
    <row r="11" spans="1:6">
      <c r="A11" s="80">
        <v>2</v>
      </c>
      <c r="B11" s="79" t="s">
        <v>122</v>
      </c>
      <c r="C11" s="6" t="s">
        <v>121</v>
      </c>
      <c r="D11" s="112">
        <f>'[1]РВ Березовая Пойма'!R2</f>
        <v>731.29</v>
      </c>
      <c r="E11" s="111">
        <v>225</v>
      </c>
      <c r="F11" s="111">
        <f t="shared" ref="F11:F15" si="0">D11*E11</f>
        <v>164540.25</v>
      </c>
    </row>
    <row r="12" spans="1:6">
      <c r="A12" s="80">
        <v>3</v>
      </c>
      <c r="B12" s="113" t="s">
        <v>123</v>
      </c>
      <c r="C12" s="6" t="s">
        <v>121</v>
      </c>
      <c r="D12" s="112">
        <v>0</v>
      </c>
      <c r="E12" s="111">
        <v>225</v>
      </c>
      <c r="F12" s="111">
        <f t="shared" si="0"/>
        <v>0</v>
      </c>
    </row>
    <row r="13" spans="1:6">
      <c r="A13" s="80">
        <v>4</v>
      </c>
      <c r="B13" s="113" t="s">
        <v>124</v>
      </c>
      <c r="C13" s="6" t="s">
        <v>121</v>
      </c>
      <c r="D13" s="112">
        <f>'[1]РВ Березовая Пойма'!R3</f>
        <v>877.59</v>
      </c>
      <c r="E13" s="111">
        <v>225</v>
      </c>
      <c r="F13" s="111">
        <f t="shared" si="0"/>
        <v>197457.75</v>
      </c>
    </row>
    <row r="14" spans="1:6">
      <c r="A14" s="80">
        <v>5</v>
      </c>
      <c r="B14" s="114" t="s">
        <v>125</v>
      </c>
      <c r="C14" s="6" t="s">
        <v>121</v>
      </c>
      <c r="D14" s="112">
        <f>'[1]РВ Березовая Пойма'!S3</f>
        <v>2121.4</v>
      </c>
      <c r="E14" s="111">
        <v>150</v>
      </c>
      <c r="F14" s="111">
        <f t="shared" si="0"/>
        <v>318210</v>
      </c>
    </row>
    <row r="15" spans="1:6">
      <c r="A15" s="80">
        <v>6</v>
      </c>
      <c r="B15" s="113" t="s">
        <v>126</v>
      </c>
      <c r="C15" s="6" t="s">
        <v>121</v>
      </c>
      <c r="D15" s="112">
        <f>'[1]РВ Березовая Пойма'!G37</f>
        <v>147197.03000000006</v>
      </c>
      <c r="E15" s="115">
        <v>15</v>
      </c>
      <c r="F15" s="111">
        <f t="shared" si="0"/>
        <v>2207955.4500000007</v>
      </c>
    </row>
    <row r="16" spans="1:6">
      <c r="A16" s="80"/>
      <c r="B16" s="113"/>
      <c r="C16" s="6"/>
      <c r="D16" s="112"/>
      <c r="E16" s="115"/>
      <c r="F16" s="111"/>
    </row>
    <row r="17" spans="1:6">
      <c r="A17" s="2" t="s">
        <v>84</v>
      </c>
      <c r="F17" s="111">
        <f>SUM(F10:F16)</f>
        <v>3143569.9500000007</v>
      </c>
    </row>
    <row r="18" spans="1:6">
      <c r="A18" s="2" t="s">
        <v>85</v>
      </c>
      <c r="F18" s="111">
        <f>SUM(F17)</f>
        <v>3143569.9500000007</v>
      </c>
    </row>
    <row r="19" spans="1:6">
      <c r="A19" s="2" t="s">
        <v>86</v>
      </c>
      <c r="F19" s="111">
        <f>SUM(F18)*1.22</f>
        <v>3835155.3390000006</v>
      </c>
    </row>
    <row r="20" spans="1:6">
      <c r="A20" s="2" t="s">
        <v>87</v>
      </c>
    </row>
    <row r="21" spans="1:6">
      <c r="A21" s="2" t="s">
        <v>88</v>
      </c>
    </row>
    <row r="24" spans="1:6">
      <c r="A24" s="2" t="s">
        <v>90</v>
      </c>
      <c r="D24" s="2" t="s">
        <v>129</v>
      </c>
    </row>
    <row r="26" spans="1:6">
      <c r="A26" s="2" t="s">
        <v>130</v>
      </c>
      <c r="D26" s="2" t="s">
        <v>94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B65C-D303-4984-9705-05268E90C570}">
  <sheetPr codeName="Лист52"/>
  <dimension ref="A3:F26"/>
  <sheetViews>
    <sheetView workbookViewId="0">
      <selection activeCell="A5" sqref="A5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7" t="str">
        <f ca="1">"Акт  №    от  " &amp; TEXT(TODAY()-DAY(TODAY()), "ДД ММММ ГГГГ")</f>
        <v>Акт  №    от  31 Март 2026</v>
      </c>
    </row>
    <row r="4" spans="1:6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6">
      <c r="A5" s="22" t="s">
        <v>118</v>
      </c>
      <c r="B5" s="22"/>
      <c r="C5" s="22"/>
    </row>
    <row r="6" spans="1:6">
      <c r="A6" s="2" t="s">
        <v>119</v>
      </c>
    </row>
    <row r="7" spans="1:6">
      <c r="A7" s="2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83</v>
      </c>
    </row>
    <row r="10" spans="1:6">
      <c r="A10" s="80">
        <v>1</v>
      </c>
      <c r="B10" s="79" t="s">
        <v>120</v>
      </c>
      <c r="C10" s="80" t="s">
        <v>121</v>
      </c>
      <c r="D10" s="110">
        <f>'[1]РВ Новикова-Прибоя'!S2</f>
        <v>420.3</v>
      </c>
      <c r="E10" s="111">
        <v>150</v>
      </c>
      <c r="F10" s="111">
        <f>D10*E10</f>
        <v>63045</v>
      </c>
    </row>
    <row r="11" spans="1:6">
      <c r="A11" s="80">
        <v>2</v>
      </c>
      <c r="B11" s="79" t="s">
        <v>122</v>
      </c>
      <c r="C11" s="6" t="s">
        <v>121</v>
      </c>
      <c r="D11" s="112">
        <f>'[1]РВ Новикова-Прибоя'!R2</f>
        <v>22</v>
      </c>
      <c r="E11" s="111">
        <v>225</v>
      </c>
      <c r="F11" s="111">
        <f t="shared" ref="F11:F15" si="0">D11*E11</f>
        <v>4950</v>
      </c>
    </row>
    <row r="12" spans="1:6">
      <c r="A12" s="80">
        <v>3</v>
      </c>
      <c r="B12" s="113" t="s">
        <v>123</v>
      </c>
      <c r="C12" s="6" t="s">
        <v>121</v>
      </c>
      <c r="D12" s="112">
        <v>0</v>
      </c>
      <c r="E12" s="111">
        <v>225</v>
      </c>
      <c r="F12" s="111">
        <f t="shared" si="0"/>
        <v>0</v>
      </c>
    </row>
    <row r="13" spans="1:6">
      <c r="A13" s="80">
        <v>4</v>
      </c>
      <c r="B13" s="113" t="s">
        <v>124</v>
      </c>
      <c r="C13" s="6" t="s">
        <v>121</v>
      </c>
      <c r="D13" s="112">
        <f>'[1]РВ Новикова-Прибоя'!R3</f>
        <v>396.23</v>
      </c>
      <c r="E13" s="111">
        <v>225</v>
      </c>
      <c r="F13" s="111">
        <f t="shared" si="0"/>
        <v>89151.75</v>
      </c>
    </row>
    <row r="14" spans="1:6">
      <c r="A14" s="80">
        <v>5</v>
      </c>
      <c r="B14" s="114" t="s">
        <v>125</v>
      </c>
      <c r="C14" s="6" t="s">
        <v>121</v>
      </c>
      <c r="D14" s="112">
        <f>'[1]РВ Новикова-Прибоя'!S3</f>
        <v>970.71</v>
      </c>
      <c r="E14" s="111">
        <v>150</v>
      </c>
      <c r="F14" s="111">
        <f t="shared" si="0"/>
        <v>145606.5</v>
      </c>
    </row>
    <row r="15" spans="1:6">
      <c r="A15" s="80">
        <v>6</v>
      </c>
      <c r="B15" s="113" t="s">
        <v>126</v>
      </c>
      <c r="C15" s="6" t="s">
        <v>121</v>
      </c>
      <c r="D15" s="112">
        <f>'[1]РВ Новикова-Прибоя'!G37</f>
        <v>35879.319999999992</v>
      </c>
      <c r="E15" s="115">
        <v>15</v>
      </c>
      <c r="F15" s="111">
        <f t="shared" si="0"/>
        <v>538189.79999999993</v>
      </c>
    </row>
    <row r="16" spans="1:6">
      <c r="A16" s="80"/>
      <c r="B16" s="113"/>
      <c r="C16" s="6"/>
      <c r="D16" s="112"/>
      <c r="E16" s="115"/>
      <c r="F16" s="111"/>
    </row>
    <row r="17" spans="1:6">
      <c r="A17" s="2" t="s">
        <v>84</v>
      </c>
      <c r="F17" s="111">
        <f>SUM(F10:F16)</f>
        <v>840943.04999999993</v>
      </c>
    </row>
    <row r="18" spans="1:6">
      <c r="A18" s="2" t="s">
        <v>85</v>
      </c>
      <c r="F18" s="111">
        <f>SUM(F17)</f>
        <v>840943.04999999993</v>
      </c>
    </row>
    <row r="19" spans="1:6">
      <c r="A19" s="2" t="s">
        <v>86</v>
      </c>
      <c r="F19" s="111">
        <f>SUM(F18)*1.22</f>
        <v>1025950.5209999999</v>
      </c>
    </row>
    <row r="20" spans="1:6">
      <c r="A20" s="2" t="s">
        <v>87</v>
      </c>
    </row>
    <row r="21" spans="1:6">
      <c r="A21" s="2" t="s">
        <v>88</v>
      </c>
    </row>
    <row r="24" spans="1:6">
      <c r="A24" s="2" t="s">
        <v>90</v>
      </c>
      <c r="D24" s="2" t="s">
        <v>129</v>
      </c>
    </row>
    <row r="26" spans="1:6">
      <c r="A26" s="2" t="s">
        <v>130</v>
      </c>
      <c r="D26" s="2" t="s">
        <v>94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1620-FBD1-45ED-A7B1-4BDCDF88CD44}">
  <sheetPr codeName="Лист53"/>
  <dimension ref="A3:F27"/>
  <sheetViews>
    <sheetView workbookViewId="0">
      <selection activeCell="A5" sqref="A5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7" t="str">
        <f ca="1">"Акт  №    от  " &amp; TEXT(TODAY()-DAY(TODAY()), "ДД ММММ ГГГГ")</f>
        <v>Акт  №    от  31 Март 2026</v>
      </c>
    </row>
    <row r="4" spans="1:6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Март 2026</v>
      </c>
      <c r="B4" s="22"/>
      <c r="C4" s="22"/>
    </row>
    <row r="5" spans="1:6">
      <c r="A5" s="22" t="s">
        <v>118</v>
      </c>
      <c r="B5" s="22"/>
      <c r="C5" s="22"/>
    </row>
    <row r="6" spans="1:6">
      <c r="A6" s="2" t="s">
        <v>119</v>
      </c>
    </row>
    <row r="7" spans="1:6">
      <c r="A7" s="2" t="str">
        <f ca="1">IF(DAY(TODAY())&gt;27,
"Во исполнение Договора в период с 01 " &amp;
TEXT(TODAY(),"ММММ ГГГГ") &amp;
" г. по " &amp;
TEXT(EOMONTH(TODAY(),0),"ДД ММММ ГГГГ") &amp;
" г. ХРАНИТЕЛЬ оказал ПОКЛАЖЕДАТЕЛЮ следующие услуги (работы):",
"Во исполнение Договора в период с 01 " &amp;
TEXT(EOMONTH(TODAY(),-1),"ММММ ГГГГ") &amp;
" г. по " &amp;
TEXT(EOMONTH(TODAY(),-1),"ДД ММММ ГГГГ") &amp;
" г. ХРАНИТЕЛЬ оказал ПОКЛАЖЕДАТЕЛЮ следующие услуги (работы):")</f>
        <v>Во исполнение Договора в период с 01 Март 2026 г. по 31 Март 2026 г. ХРАНИТЕЛЬ оказал ПОКЛАЖЕДАТЕЛЮ следующие услуги (работы):</v>
      </c>
    </row>
    <row r="9" spans="1:6">
      <c r="A9" s="79" t="s">
        <v>0</v>
      </c>
      <c r="B9" s="79" t="s">
        <v>79</v>
      </c>
      <c r="C9" s="79" t="s">
        <v>80</v>
      </c>
      <c r="D9" s="79" t="s">
        <v>81</v>
      </c>
      <c r="E9" s="79" t="s">
        <v>82</v>
      </c>
      <c r="F9" s="79" t="s">
        <v>83</v>
      </c>
    </row>
    <row r="10" spans="1:6">
      <c r="A10" s="80">
        <v>1</v>
      </c>
      <c r="B10" s="79" t="s">
        <v>120</v>
      </c>
      <c r="C10" s="80" t="s">
        <v>121</v>
      </c>
      <c r="D10" s="110">
        <f>'[1]РВ Баумана'!S2</f>
        <v>0</v>
      </c>
      <c r="E10" s="111">
        <v>150</v>
      </c>
      <c r="F10" s="111">
        <f>D10*E10</f>
        <v>0</v>
      </c>
    </row>
    <row r="11" spans="1:6">
      <c r="A11" s="80">
        <v>2</v>
      </c>
      <c r="B11" s="79" t="s">
        <v>122</v>
      </c>
      <c r="C11" s="6" t="s">
        <v>121</v>
      </c>
      <c r="D11" s="112">
        <f>'[1]РВ Баумана'!R2</f>
        <v>0</v>
      </c>
      <c r="E11" s="111">
        <v>225</v>
      </c>
      <c r="F11" s="111">
        <f t="shared" ref="F11:F17" si="0">D11*E11</f>
        <v>0</v>
      </c>
    </row>
    <row r="12" spans="1:6">
      <c r="A12" s="80">
        <v>3</v>
      </c>
      <c r="B12" s="113" t="s">
        <v>123</v>
      </c>
      <c r="C12" s="6" t="s">
        <v>121</v>
      </c>
      <c r="D12" s="112">
        <v>0</v>
      </c>
      <c r="E12" s="111">
        <v>225</v>
      </c>
      <c r="F12" s="111">
        <f t="shared" si="0"/>
        <v>0</v>
      </c>
    </row>
    <row r="13" spans="1:6">
      <c r="A13" s="80">
        <v>4</v>
      </c>
      <c r="B13" s="113" t="s">
        <v>124</v>
      </c>
      <c r="C13" s="6" t="s">
        <v>121</v>
      </c>
      <c r="D13" s="112">
        <f>'[1]РВ Баумана'!R3</f>
        <v>41.25</v>
      </c>
      <c r="E13" s="111">
        <v>225</v>
      </c>
      <c r="F13" s="111">
        <f t="shared" si="0"/>
        <v>9281.25</v>
      </c>
    </row>
    <row r="14" spans="1:6">
      <c r="A14" s="80">
        <v>5</v>
      </c>
      <c r="B14" s="114" t="s">
        <v>125</v>
      </c>
      <c r="C14" s="6" t="s">
        <v>121</v>
      </c>
      <c r="D14" s="112">
        <f>'[1]РВ Баумана'!S3</f>
        <v>159.82499999999999</v>
      </c>
      <c r="E14" s="111">
        <v>150</v>
      </c>
      <c r="F14" s="111">
        <f t="shared" si="0"/>
        <v>23973.75</v>
      </c>
    </row>
    <row r="15" spans="1:6">
      <c r="A15" s="80">
        <v>6</v>
      </c>
      <c r="B15" s="113" t="s">
        <v>126</v>
      </c>
      <c r="C15" s="6" t="s">
        <v>121</v>
      </c>
      <c r="D15" s="112">
        <f>'[1]РВ Баумана'!G37</f>
        <v>21155.675000000007</v>
      </c>
      <c r="E15" s="115">
        <v>15</v>
      </c>
      <c r="F15" s="111">
        <f t="shared" si="0"/>
        <v>317335.12500000012</v>
      </c>
    </row>
    <row r="16" spans="1:6">
      <c r="A16" s="80">
        <v>8</v>
      </c>
      <c r="B16" s="113" t="s">
        <v>127</v>
      </c>
      <c r="C16" s="6" t="s">
        <v>121</v>
      </c>
      <c r="D16" s="112">
        <f>[1]Резерв!G37</f>
        <v>19821.129999999997</v>
      </c>
      <c r="E16" s="115">
        <v>15</v>
      </c>
      <c r="F16" s="111">
        <f t="shared" si="0"/>
        <v>297316.94999999995</v>
      </c>
    </row>
    <row r="17" spans="1:6">
      <c r="A17" s="80">
        <v>9</v>
      </c>
      <c r="B17" s="113" t="s">
        <v>128</v>
      </c>
      <c r="C17" s="6" t="s">
        <v>121</v>
      </c>
      <c r="D17" s="112">
        <v>0</v>
      </c>
      <c r="E17" s="115">
        <v>150</v>
      </c>
      <c r="F17" s="111">
        <f t="shared" si="0"/>
        <v>0</v>
      </c>
    </row>
    <row r="18" spans="1:6">
      <c r="A18" s="2" t="s">
        <v>84</v>
      </c>
      <c r="F18" s="111">
        <f>SUM(F10:F17)</f>
        <v>647907.07500000007</v>
      </c>
    </row>
    <row r="19" spans="1:6">
      <c r="A19" s="2" t="s">
        <v>85</v>
      </c>
      <c r="F19" s="111">
        <f>F18</f>
        <v>647907.07500000007</v>
      </c>
    </row>
    <row r="20" spans="1:6">
      <c r="A20" s="2" t="s">
        <v>86</v>
      </c>
      <c r="F20" s="111">
        <f>F19*1.22</f>
        <v>790446.63150000002</v>
      </c>
    </row>
    <row r="21" spans="1:6">
      <c r="A21" s="2" t="s">
        <v>87</v>
      </c>
    </row>
    <row r="22" spans="1:6">
      <c r="A22" s="2" t="s">
        <v>88</v>
      </c>
    </row>
    <row r="25" spans="1:6">
      <c r="A25" s="2" t="s">
        <v>90</v>
      </c>
      <c r="D25" s="2" t="s">
        <v>129</v>
      </c>
    </row>
    <row r="27" spans="1:6">
      <c r="A27" s="2" t="s">
        <v>130</v>
      </c>
      <c r="D27" s="2" t="s">
        <v>94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45C0-4096-40E8-9E98-9AFF23FCC9ED}">
  <sheetPr codeName="Лист54"/>
  <dimension ref="A1:S40"/>
  <sheetViews>
    <sheetView workbookViewId="0">
      <selection activeCell="M6" sqref="M6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9.6992187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9"/>
      <c r="Q1" s="79"/>
      <c r="R1" s="79" t="s">
        <v>107</v>
      </c>
      <c r="S1" s="79" t="s">
        <v>108</v>
      </c>
    </row>
    <row r="2" spans="1:19">
      <c r="M2" s="89"/>
      <c r="Q2" s="79" t="s">
        <v>109</v>
      </c>
      <c r="R2" s="79">
        <f>SUMIF($P$6:$P$36,R$1,$C6:$C36)</f>
        <v>0</v>
      </c>
      <c r="S2" s="79">
        <f>SUMIF($P$6:$P$36,S$1,$C6:$C36)</f>
        <v>0</v>
      </c>
    </row>
    <row r="3" spans="1:19" ht="21">
      <c r="A3" s="77" t="str">
        <f>"Отчет по хранению  товара  РВ " &amp; TEXT(A6,"ММММ ") &amp; YEAR(A6) &amp; " Окская Мешки"</f>
        <v>Отчет по хранению  товара  РВ Ноябрь 2024 Окская Мешки</v>
      </c>
      <c r="G3" s="89"/>
      <c r="M3" s="89"/>
      <c r="Q3" s="79" t="s">
        <v>97</v>
      </c>
      <c r="R3" s="79">
        <f>SUMIF($P$6:$P$36,R$1,$D6:$D36)</f>
        <v>0</v>
      </c>
      <c r="S3" s="79">
        <f>SUMIF($P$6:$P$36,S$1,$D6:$D36)</f>
        <v>0</v>
      </c>
    </row>
    <row r="4" spans="1:19">
      <c r="A4" s="204" t="s">
        <v>1</v>
      </c>
      <c r="B4" s="205"/>
      <c r="C4" s="202" t="s">
        <v>110</v>
      </c>
      <c r="D4" s="202" t="s">
        <v>111</v>
      </c>
      <c r="E4" s="202" t="s">
        <v>112</v>
      </c>
      <c r="F4" s="202" t="s">
        <v>113</v>
      </c>
      <c r="G4" s="101" t="s">
        <v>4</v>
      </c>
      <c r="H4" s="202" t="s">
        <v>7</v>
      </c>
      <c r="I4" s="202" t="s">
        <v>11</v>
      </c>
      <c r="J4" s="202" t="s">
        <v>12</v>
      </c>
      <c r="K4" s="202" t="s">
        <v>114</v>
      </c>
      <c r="L4" s="202" t="s">
        <v>115</v>
      </c>
      <c r="M4" s="226" t="s">
        <v>13</v>
      </c>
      <c r="N4" s="202" t="s">
        <v>16</v>
      </c>
      <c r="O4" s="202" t="s">
        <v>18</v>
      </c>
    </row>
    <row r="5" spans="1:19" ht="30">
      <c r="A5" s="206"/>
      <c r="B5" s="207"/>
      <c r="C5" s="203"/>
      <c r="D5" s="203"/>
      <c r="E5" s="203"/>
      <c r="F5" s="203"/>
      <c r="G5" s="102" t="s">
        <v>116</v>
      </c>
      <c r="H5" s="203"/>
      <c r="I5" s="203"/>
      <c r="J5" s="203"/>
      <c r="K5" s="203"/>
      <c r="L5" s="203"/>
      <c r="M5" s="227"/>
      <c r="N5" s="203"/>
      <c r="O5" s="203"/>
    </row>
    <row r="6" spans="1:19">
      <c r="A6" s="224">
        <v>45597</v>
      </c>
      <c r="B6" s="225"/>
      <c r="C6" s="98">
        <f>IF(A6="",0,[3]TDSheet!D7)</f>
        <v>0</v>
      </c>
      <c r="D6" s="99">
        <f>IF(A6="",0,[3]TDSheet!F7)</f>
        <v>0</v>
      </c>
      <c r="E6" s="99"/>
      <c r="F6" s="100"/>
      <c r="G6" s="90">
        <f>[3]TDSheet!$I$7</f>
        <v>0</v>
      </c>
      <c r="H6" s="91"/>
      <c r="I6" s="92">
        <f t="shared" ref="I6" si="0">IF(P6="Выходной",SUM(C6*129.94)*1.5,SUM(C6*129.94))</f>
        <v>0</v>
      </c>
      <c r="J6" s="92">
        <f t="shared" ref="J6:J36" si="1">IF(P6="Выходной",SUM(D6*129.94)*1.5,SUM(D6*129.94))</f>
        <v>0</v>
      </c>
      <c r="K6" s="92">
        <f>IF(OR(WEEKDAY(A6)=1,WEEKDAY(A6)=7,NOT(ISERROR(MATCH(A6,[1]Праздники!A:A,0)))),SUM(E6*162.5)*1.5,SUM(E6*162.5))</f>
        <v>0</v>
      </c>
      <c r="L6" s="92">
        <f>IF(OR(WEEKDAY(A6)=1,WEEKDAY(A6)=7,NOT(ISERROR(MATCH(A6,[1]Праздники!A:A,0)))),SUM(F6*162.5)*1.5,SUM(F6*162.5))</f>
        <v>0</v>
      </c>
      <c r="M6" s="92">
        <f>SUM(G6*13.32)</f>
        <v>0</v>
      </c>
      <c r="N6" s="92">
        <f>SUM(H6)*750</f>
        <v>0</v>
      </c>
      <c r="O6" s="92">
        <f>SUM(I6:N6)</f>
        <v>0</v>
      </c>
      <c r="P6" s="2" t="str">
        <f>IF(OR(WEEKDAY(A6)=1,WEEKDAY(A6)=7,NOT(ISERROR(MATCH(A6,[1]Праздники!A:A,0)))),"Выходной","Рабочий")</f>
        <v>Рабочий</v>
      </c>
    </row>
    <row r="7" spans="1:19">
      <c r="A7" s="224">
        <v>45598</v>
      </c>
      <c r="B7" s="225"/>
      <c r="C7" s="98">
        <f>IF(A7="",0,[3]TDSheet!D8)</f>
        <v>0</v>
      </c>
      <c r="D7" s="99">
        <f>IF(A7="",0,[3]TDSheet!F8)</f>
        <v>0</v>
      </c>
      <c r="E7" s="99"/>
      <c r="F7" s="100"/>
      <c r="G7" s="90">
        <f>IF(A7 ="",0,G6+C7+E7-D6-F6)</f>
        <v>0</v>
      </c>
      <c r="H7" s="91"/>
      <c r="I7" s="92">
        <f t="shared" ref="I7:I36" si="2">IF(P7="Выходной",SUM(C7*129.94)*1.5,SUM(C7*129.94))</f>
        <v>0</v>
      </c>
      <c r="J7" s="92">
        <f t="shared" si="1"/>
        <v>0</v>
      </c>
      <c r="K7" s="92">
        <f>IF(OR(WEEKDAY(A7)=1,WEEKDAY(A7)=7,NOT(ISERROR(MATCH(A7,[1]Праздники!A:A,0)))),SUM(E7*162.5)*1.5,SUM(E7*162.5))</f>
        <v>0</v>
      </c>
      <c r="L7" s="92">
        <f>IF(OR(WEEKDAY(A7)=1,WEEKDAY(A7)=7,NOT(ISERROR(MATCH(A7,[1]Праздники!A:A,0)))),SUM(F7*162.5)*1.5,SUM(F7*162.5))</f>
        <v>0</v>
      </c>
      <c r="M7" s="92">
        <f t="shared" ref="M7:M36" si="3">SUM(G7*13.32)</f>
        <v>0</v>
      </c>
      <c r="N7" s="92">
        <f t="shared" ref="N7:N36" si="4">SUM(H7)*750</f>
        <v>0</v>
      </c>
      <c r="O7" s="92">
        <f t="shared" ref="O7:O36" si="5">SUM(I7:N7)</f>
        <v>0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24">
        <v>45599</v>
      </c>
      <c r="B8" s="225"/>
      <c r="C8" s="98">
        <f>IF(A8="",0,[3]TDSheet!D9)</f>
        <v>0</v>
      </c>
      <c r="D8" s="99">
        <f>IF(A8="",0,[3]TDSheet!F9)</f>
        <v>0</v>
      </c>
      <c r="E8" s="99"/>
      <c r="F8" s="100"/>
      <c r="G8" s="90">
        <f t="shared" ref="G8:G35" si="6">IF(A8 ="",0,G7+C8+E8-D7-F7)</f>
        <v>0</v>
      </c>
      <c r="H8" s="91"/>
      <c r="I8" s="92">
        <f t="shared" si="2"/>
        <v>0</v>
      </c>
      <c r="J8" s="92">
        <f t="shared" si="1"/>
        <v>0</v>
      </c>
      <c r="K8" s="92">
        <f>IF(OR(WEEKDAY(A8)=1,WEEKDAY(A8)=7,NOT(ISERROR(MATCH(A8,[1]Праздники!A:A,0)))),SUM(E8*162.5)*1.5,SUM(E8*162.5))</f>
        <v>0</v>
      </c>
      <c r="L8" s="92">
        <f>IF(OR(WEEKDAY(A8)=1,WEEKDAY(A8)=7,NOT(ISERROR(MATCH(A8,[1]Праздники!A:A,0)))),SUM(F8*162.5)*1.5,SUM(F8*162.5))</f>
        <v>0</v>
      </c>
      <c r="M8" s="92">
        <f t="shared" si="3"/>
        <v>0</v>
      </c>
      <c r="N8" s="92">
        <f t="shared" si="4"/>
        <v>0</v>
      </c>
      <c r="O8" s="92">
        <f t="shared" si="5"/>
        <v>0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24">
        <v>45600</v>
      </c>
      <c r="B9" s="225"/>
      <c r="C9" s="98">
        <f>IF(A9="",0,[3]TDSheet!D10)</f>
        <v>0</v>
      </c>
      <c r="D9" s="99">
        <f>IF(A9="",0,[3]TDSheet!F10)</f>
        <v>0</v>
      </c>
      <c r="E9" s="99"/>
      <c r="F9" s="100"/>
      <c r="G9" s="90">
        <f t="shared" si="6"/>
        <v>0</v>
      </c>
      <c r="H9" s="91"/>
      <c r="I9" s="92">
        <f t="shared" si="2"/>
        <v>0</v>
      </c>
      <c r="J9" s="92">
        <f t="shared" si="1"/>
        <v>0</v>
      </c>
      <c r="K9" s="92">
        <f>IF(OR(WEEKDAY(A9)=1,WEEKDAY(A9)=7,NOT(ISERROR(MATCH(A9,[1]Праздники!A:A,0)))),SUM(E9*162.5)*1.5,SUM(E9*162.5))</f>
        <v>0</v>
      </c>
      <c r="L9" s="92">
        <f>IF(OR(WEEKDAY(A9)=1,WEEKDAY(A9)=7,NOT(ISERROR(MATCH(A9,[1]Праздники!A:A,0)))),SUM(F9*162.5)*1.5,SUM(F9*162.5))</f>
        <v>0</v>
      </c>
      <c r="M9" s="92">
        <f t="shared" si="3"/>
        <v>0</v>
      </c>
      <c r="N9" s="92">
        <f t="shared" si="4"/>
        <v>0</v>
      </c>
      <c r="O9" s="92">
        <f t="shared" si="5"/>
        <v>0</v>
      </c>
      <c r="P9" s="2" t="str">
        <f>IF(OR(WEEKDAY(A9)=1,WEEKDAY(A9)=7,NOT(ISERROR(MATCH(A9,[1]Праздники!A:A,0)))),"Выходной","Рабочий")</f>
        <v>Рабочий</v>
      </c>
    </row>
    <row r="10" spans="1:19">
      <c r="A10" s="224">
        <v>45601</v>
      </c>
      <c r="B10" s="225"/>
      <c r="C10" s="98">
        <f>IF(A10="",0,[3]TDSheet!D11)</f>
        <v>0</v>
      </c>
      <c r="D10" s="99">
        <f>IF(A10="",0,[3]TDSheet!F11)</f>
        <v>0</v>
      </c>
      <c r="E10" s="99"/>
      <c r="F10" s="100"/>
      <c r="G10" s="90">
        <f t="shared" si="6"/>
        <v>0</v>
      </c>
      <c r="H10" s="91"/>
      <c r="I10" s="92">
        <f t="shared" si="2"/>
        <v>0</v>
      </c>
      <c r="J10" s="92">
        <f t="shared" si="1"/>
        <v>0</v>
      </c>
      <c r="K10" s="92">
        <f>IF(OR(WEEKDAY(A10)=1,WEEKDAY(A10)=7,NOT(ISERROR(MATCH(A10,[1]Праздники!A:A,0)))),SUM(E10*162.5)*1.5,SUM(E10*162.5))</f>
        <v>0</v>
      </c>
      <c r="L10" s="92">
        <f>IF(OR(WEEKDAY(A10)=1,WEEKDAY(A10)=7,NOT(ISERROR(MATCH(A10,[1]Праздники!A:A,0)))),SUM(F10*162.5)*1.5,SUM(F10*162.5))</f>
        <v>0</v>
      </c>
      <c r="M10" s="92">
        <f t="shared" si="3"/>
        <v>0</v>
      </c>
      <c r="N10" s="92">
        <f t="shared" si="4"/>
        <v>0</v>
      </c>
      <c r="O10" s="92">
        <f t="shared" si="5"/>
        <v>0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4">
        <v>45602</v>
      </c>
      <c r="B11" s="225"/>
      <c r="C11" s="98">
        <f>IF(A11="",0,[3]TDSheet!D12)</f>
        <v>0</v>
      </c>
      <c r="D11" s="99">
        <f>IF(A11="",0,[3]TDSheet!F12)</f>
        <v>0</v>
      </c>
      <c r="E11" s="99"/>
      <c r="F11" s="100"/>
      <c r="G11" s="90">
        <f t="shared" si="6"/>
        <v>0</v>
      </c>
      <c r="H11" s="91"/>
      <c r="I11" s="92">
        <f t="shared" si="2"/>
        <v>0</v>
      </c>
      <c r="J11" s="92">
        <f t="shared" si="1"/>
        <v>0</v>
      </c>
      <c r="K11" s="92">
        <f>IF(OR(WEEKDAY(A11)=1,WEEKDAY(A11)=7,NOT(ISERROR(MATCH(A11,[1]Праздники!A:A,0)))),SUM(E11*162.5)*1.5,SUM(E11*162.5))</f>
        <v>0</v>
      </c>
      <c r="L11" s="92">
        <f>IF(OR(WEEKDAY(A11)=1,WEEKDAY(A11)=7,NOT(ISERROR(MATCH(A11,[1]Праздники!A:A,0)))),SUM(F11*162.5)*1.5,SUM(F11*162.5))</f>
        <v>0</v>
      </c>
      <c r="M11" s="92">
        <f t="shared" si="3"/>
        <v>0</v>
      </c>
      <c r="N11" s="92">
        <f t="shared" si="4"/>
        <v>0</v>
      </c>
      <c r="O11" s="92">
        <f t="shared" si="5"/>
        <v>0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4">
        <v>45603</v>
      </c>
      <c r="B12" s="225"/>
      <c r="C12" s="98">
        <f>IF(A12="",0,[3]TDSheet!D13)</f>
        <v>0</v>
      </c>
      <c r="D12" s="99">
        <f>IF(A12="",0,[3]TDSheet!F13)</f>
        <v>0</v>
      </c>
      <c r="E12" s="99"/>
      <c r="F12" s="100"/>
      <c r="G12" s="90">
        <f t="shared" si="6"/>
        <v>0</v>
      </c>
      <c r="H12" s="91"/>
      <c r="I12" s="92">
        <f t="shared" si="2"/>
        <v>0</v>
      </c>
      <c r="J12" s="92">
        <f t="shared" si="1"/>
        <v>0</v>
      </c>
      <c r="K12" s="92">
        <f>IF(OR(WEEKDAY(A12)=1,WEEKDAY(A12)=7,NOT(ISERROR(MATCH(A12,[1]Праздники!A:A,0)))),SUM(E12*162.5)*1.5,SUM(E12*162.5))</f>
        <v>0</v>
      </c>
      <c r="L12" s="92">
        <f>IF(OR(WEEKDAY(A12)=1,WEEKDAY(A12)=7,NOT(ISERROR(MATCH(A12,[1]Праздники!A:A,0)))),SUM(F12*162.5)*1.5,SUM(F12*162.5))</f>
        <v>0</v>
      </c>
      <c r="M12" s="92">
        <f t="shared" si="3"/>
        <v>0</v>
      </c>
      <c r="N12" s="92">
        <f t="shared" si="4"/>
        <v>0</v>
      </c>
      <c r="O12" s="92">
        <f t="shared" si="5"/>
        <v>0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24">
        <v>45604</v>
      </c>
      <c r="B13" s="225"/>
      <c r="C13" s="98">
        <f>IF(A13="",0,[3]TDSheet!D14)</f>
        <v>0</v>
      </c>
      <c r="D13" s="99">
        <f>IF(A13="",0,[3]TDSheet!F14)</f>
        <v>0</v>
      </c>
      <c r="E13" s="99"/>
      <c r="F13" s="103"/>
      <c r="G13" s="90">
        <f t="shared" si="6"/>
        <v>0</v>
      </c>
      <c r="H13" s="91"/>
      <c r="I13" s="92">
        <f t="shared" si="2"/>
        <v>0</v>
      </c>
      <c r="J13" s="92">
        <f t="shared" si="1"/>
        <v>0</v>
      </c>
      <c r="K13" s="92">
        <f>IF(OR(WEEKDAY(A13)=1,WEEKDAY(A13)=7,NOT(ISERROR(MATCH(A13,[1]Праздники!A:A,0)))),SUM(E13*162.5)*1.5,SUM(E13*162.5))</f>
        <v>0</v>
      </c>
      <c r="L13" s="92">
        <f>IF(OR(WEEKDAY(A13)=1,WEEKDAY(A13)=7,NOT(ISERROR(MATCH(A13,[1]Праздники!A:A,0)))),SUM(F13*162.5)*1.5,SUM(F13*162.5))</f>
        <v>0</v>
      </c>
      <c r="M13" s="92">
        <f t="shared" si="3"/>
        <v>0</v>
      </c>
      <c r="N13" s="92">
        <f t="shared" si="4"/>
        <v>0</v>
      </c>
      <c r="O13" s="92">
        <f t="shared" si="5"/>
        <v>0</v>
      </c>
      <c r="P13" s="2" t="str">
        <f>IF(OR(WEEKDAY(A13)=1,WEEKDAY(A13)=7,NOT(ISERROR(MATCH(A13,[1]Праздники!A:A,0)))),"Выходной","Рабочий")</f>
        <v>Рабочий</v>
      </c>
    </row>
    <row r="14" spans="1:19">
      <c r="A14" s="224">
        <v>45605</v>
      </c>
      <c r="B14" s="225"/>
      <c r="C14" s="98">
        <f>IF(A14="",0,[3]TDSheet!D15)</f>
        <v>0</v>
      </c>
      <c r="D14" s="99">
        <f>IF(A14="",0,[3]TDSheet!F15)</f>
        <v>0</v>
      </c>
      <c r="E14" s="99"/>
      <c r="F14" s="103"/>
      <c r="G14" s="90">
        <f t="shared" si="6"/>
        <v>0</v>
      </c>
      <c r="H14" s="91"/>
      <c r="I14" s="92">
        <f t="shared" si="2"/>
        <v>0</v>
      </c>
      <c r="J14" s="92">
        <f t="shared" si="1"/>
        <v>0</v>
      </c>
      <c r="K14" s="92">
        <f>IF(OR(WEEKDAY(A14)=1,WEEKDAY(A14)=7,NOT(ISERROR(MATCH(A14,[1]Праздники!A:A,0)))),SUM(E14*162.5)*1.5,SUM(E14*162.5))</f>
        <v>0</v>
      </c>
      <c r="L14" s="92">
        <f>IF(OR(WEEKDAY(A14)=1,WEEKDAY(A14)=7,NOT(ISERROR(MATCH(A14,[1]Праздники!A:A,0)))),SUM(F14*162.5)*1.5,SUM(F14*162.5))</f>
        <v>0</v>
      </c>
      <c r="M14" s="92">
        <f t="shared" si="3"/>
        <v>0</v>
      </c>
      <c r="N14" s="92">
        <f t="shared" si="4"/>
        <v>0</v>
      </c>
      <c r="O14" s="92">
        <f t="shared" si="5"/>
        <v>0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24">
        <v>45606</v>
      </c>
      <c r="B15" s="225"/>
      <c r="C15" s="98">
        <f>IF(A15="",0,[3]TDSheet!D16)</f>
        <v>0</v>
      </c>
      <c r="D15" s="99">
        <f>IF(A15="",0,[3]TDSheet!F16)</f>
        <v>0</v>
      </c>
      <c r="E15" s="99"/>
      <c r="F15" s="100"/>
      <c r="G15" s="90">
        <f t="shared" si="6"/>
        <v>0</v>
      </c>
      <c r="H15" s="91"/>
      <c r="I15" s="92">
        <f t="shared" si="2"/>
        <v>0</v>
      </c>
      <c r="J15" s="92">
        <f t="shared" si="1"/>
        <v>0</v>
      </c>
      <c r="K15" s="92">
        <f>IF(OR(WEEKDAY(A15)=1,WEEKDAY(A15)=7,NOT(ISERROR(MATCH(A15,[1]Праздники!A:A,0)))),SUM(E15*162.5)*1.5,SUM(E15*162.5))</f>
        <v>0</v>
      </c>
      <c r="L15" s="92">
        <f>IF(OR(WEEKDAY(A15)=1,WEEKDAY(A15)=7,NOT(ISERROR(MATCH(A15,[1]Праздники!A:A,0)))),SUM(F15*162.5)*1.5,SUM(F15*162.5))</f>
        <v>0</v>
      </c>
      <c r="M15" s="92">
        <f t="shared" si="3"/>
        <v>0</v>
      </c>
      <c r="N15" s="92">
        <f t="shared" si="4"/>
        <v>0</v>
      </c>
      <c r="O15" s="92">
        <f t="shared" si="5"/>
        <v>0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24">
        <v>45607</v>
      </c>
      <c r="B16" s="225"/>
      <c r="C16" s="98">
        <f>IF(A16="",0,[3]TDSheet!D17)</f>
        <v>0</v>
      </c>
      <c r="D16" s="99">
        <f>IF(A16="",0,[3]TDSheet!F17)</f>
        <v>0</v>
      </c>
      <c r="E16" s="99"/>
      <c r="F16" s="100"/>
      <c r="G16" s="90">
        <f t="shared" si="6"/>
        <v>0</v>
      </c>
      <c r="H16" s="91"/>
      <c r="I16" s="92">
        <f t="shared" si="2"/>
        <v>0</v>
      </c>
      <c r="J16" s="92">
        <f t="shared" si="1"/>
        <v>0</v>
      </c>
      <c r="K16" s="92">
        <f>IF(OR(WEEKDAY(A16)=1,WEEKDAY(A16)=7,NOT(ISERROR(MATCH(A16,[1]Праздники!A:A,0)))),SUM(E16*162.5)*1.5,SUM(E16*162.5))</f>
        <v>0</v>
      </c>
      <c r="L16" s="92">
        <f>IF(OR(WEEKDAY(A16)=1,WEEKDAY(A16)=7,NOT(ISERROR(MATCH(A16,[1]Праздники!A:A,0)))),SUM(F16*162.5)*1.5,SUM(F16*162.5))</f>
        <v>0</v>
      </c>
      <c r="M16" s="92">
        <f t="shared" si="3"/>
        <v>0</v>
      </c>
      <c r="N16" s="92">
        <f t="shared" si="4"/>
        <v>0</v>
      </c>
      <c r="O16" s="92">
        <f t="shared" si="5"/>
        <v>0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4">
        <v>45608</v>
      </c>
      <c r="B17" s="225"/>
      <c r="C17" s="98">
        <f>IF(A17="",0,[3]TDSheet!D18)</f>
        <v>0</v>
      </c>
      <c r="D17" s="99">
        <f>IF(A17="",0,[3]TDSheet!F18)</f>
        <v>0</v>
      </c>
      <c r="E17" s="99"/>
      <c r="F17" s="100"/>
      <c r="G17" s="90">
        <f t="shared" si="6"/>
        <v>0</v>
      </c>
      <c r="H17" s="91"/>
      <c r="I17" s="92">
        <f t="shared" si="2"/>
        <v>0</v>
      </c>
      <c r="J17" s="92">
        <f t="shared" si="1"/>
        <v>0</v>
      </c>
      <c r="K17" s="92">
        <f>IF(OR(WEEKDAY(A17)=1,WEEKDAY(A17)=7,NOT(ISERROR(MATCH(A17,[1]Праздники!A:A,0)))),SUM(E17*162.5)*1.5,SUM(E17*162.5))</f>
        <v>0</v>
      </c>
      <c r="L17" s="92">
        <f>IF(OR(WEEKDAY(A17)=1,WEEKDAY(A17)=7,NOT(ISERROR(MATCH(A17,[1]Праздники!A:A,0)))),SUM(F17*162.5)*1.5,SUM(F17*162.5))</f>
        <v>0</v>
      </c>
      <c r="M17" s="92">
        <f t="shared" si="3"/>
        <v>0</v>
      </c>
      <c r="N17" s="92">
        <f t="shared" si="4"/>
        <v>0</v>
      </c>
      <c r="O17" s="92">
        <f t="shared" si="5"/>
        <v>0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4">
        <v>45609</v>
      </c>
      <c r="B18" s="225"/>
      <c r="C18" s="98">
        <f>IF(A18="",0,[3]TDSheet!D19)</f>
        <v>0</v>
      </c>
      <c r="D18" s="99">
        <f>IF(A18="",0,[3]TDSheet!F19)</f>
        <v>0</v>
      </c>
      <c r="E18" s="99"/>
      <c r="F18" s="100"/>
      <c r="G18" s="90">
        <f t="shared" si="6"/>
        <v>0</v>
      </c>
      <c r="H18" s="91"/>
      <c r="I18" s="92">
        <f t="shared" si="2"/>
        <v>0</v>
      </c>
      <c r="J18" s="92">
        <f t="shared" si="1"/>
        <v>0</v>
      </c>
      <c r="K18" s="92">
        <f>IF(OR(WEEKDAY(A18)=1,WEEKDAY(A18)=7,NOT(ISERROR(MATCH(A18,[1]Праздники!A:A,0)))),SUM(E18*162.5)*1.5,SUM(E18*162.5))</f>
        <v>0</v>
      </c>
      <c r="L18" s="92">
        <f>IF(OR(WEEKDAY(A18)=1,WEEKDAY(A18)=7,NOT(ISERROR(MATCH(A18,[1]Праздники!A:A,0)))),SUM(F18*162.5)*1.5,SUM(F18*162.5))</f>
        <v>0</v>
      </c>
      <c r="M18" s="92">
        <f t="shared" si="3"/>
        <v>0</v>
      </c>
      <c r="N18" s="92">
        <f t="shared" si="4"/>
        <v>0</v>
      </c>
      <c r="O18" s="92">
        <f t="shared" si="5"/>
        <v>0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4">
        <v>45610</v>
      </c>
      <c r="B19" s="225"/>
      <c r="C19" s="98">
        <f>IF(A19="",0,[3]TDSheet!D20)</f>
        <v>0</v>
      </c>
      <c r="D19" s="99">
        <f>IF(A19="",0,[3]TDSheet!F20)</f>
        <v>0</v>
      </c>
      <c r="E19" s="99"/>
      <c r="F19" s="100"/>
      <c r="G19" s="90">
        <f t="shared" si="6"/>
        <v>0</v>
      </c>
      <c r="H19" s="91"/>
      <c r="I19" s="92">
        <f t="shared" si="2"/>
        <v>0</v>
      </c>
      <c r="J19" s="92">
        <f t="shared" si="1"/>
        <v>0</v>
      </c>
      <c r="K19" s="92">
        <f>IF(OR(WEEKDAY(A19)=1,WEEKDAY(A19)=7,NOT(ISERROR(MATCH(A19,[1]Праздники!A:A,0)))),SUM(E19*162.5)*1.5,SUM(E19*162.5))</f>
        <v>0</v>
      </c>
      <c r="L19" s="92">
        <f>IF(OR(WEEKDAY(A19)=1,WEEKDAY(A19)=7,NOT(ISERROR(MATCH(A19,[1]Праздники!A:A,0)))),SUM(F19*162.5)*1.5,SUM(F19*162.5))</f>
        <v>0</v>
      </c>
      <c r="M19" s="92">
        <f t="shared" si="3"/>
        <v>0</v>
      </c>
      <c r="N19" s="92">
        <f t="shared" si="4"/>
        <v>0</v>
      </c>
      <c r="O19" s="92">
        <f t="shared" si="5"/>
        <v>0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24">
        <v>45611</v>
      </c>
      <c r="B20" s="225"/>
      <c r="C20" s="98">
        <f>IF(A20="",0,[3]TDSheet!D21)</f>
        <v>0</v>
      </c>
      <c r="D20" s="99">
        <f>IF(A20="",0,[3]TDSheet!F21)</f>
        <v>0</v>
      </c>
      <c r="E20" s="99"/>
      <c r="F20" s="100"/>
      <c r="G20" s="90">
        <f t="shared" si="6"/>
        <v>0</v>
      </c>
      <c r="H20" s="91"/>
      <c r="I20" s="92">
        <f t="shared" si="2"/>
        <v>0</v>
      </c>
      <c r="J20" s="92">
        <f t="shared" si="1"/>
        <v>0</v>
      </c>
      <c r="K20" s="92">
        <f>IF(OR(WEEKDAY(A20)=1,WEEKDAY(A20)=7,NOT(ISERROR(MATCH(A20,[1]Праздники!A:A,0)))),SUM(E20*162.5)*1.5,SUM(E20*162.5))</f>
        <v>0</v>
      </c>
      <c r="L20" s="92">
        <f>IF(OR(WEEKDAY(A20)=1,WEEKDAY(A20)=7,NOT(ISERROR(MATCH(A20,[1]Праздники!A:A,0)))),SUM(F20*162.5)*1.5,SUM(F20*162.5))</f>
        <v>0</v>
      </c>
      <c r="M20" s="92">
        <f t="shared" si="3"/>
        <v>0</v>
      </c>
      <c r="N20" s="92">
        <f t="shared" si="4"/>
        <v>0</v>
      </c>
      <c r="O20" s="92">
        <f t="shared" si="5"/>
        <v>0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24">
        <v>45612</v>
      </c>
      <c r="B21" s="225"/>
      <c r="C21" s="98">
        <f>IF(A21="",0,[3]TDSheet!D22)</f>
        <v>0</v>
      </c>
      <c r="D21" s="99">
        <f>IF(A21="",0,[3]TDSheet!F22)</f>
        <v>0</v>
      </c>
      <c r="E21" s="99"/>
      <c r="F21" s="100"/>
      <c r="G21" s="90">
        <f t="shared" si="6"/>
        <v>0</v>
      </c>
      <c r="H21" s="91"/>
      <c r="I21" s="92">
        <f t="shared" si="2"/>
        <v>0</v>
      </c>
      <c r="J21" s="92">
        <f t="shared" si="1"/>
        <v>0</v>
      </c>
      <c r="K21" s="92">
        <f>IF(OR(WEEKDAY(A21)=1,WEEKDAY(A21)=7,NOT(ISERROR(MATCH(A21,[1]Праздники!A:A,0)))),SUM(E21*162.5)*1.5,SUM(E21*162.5))</f>
        <v>0</v>
      </c>
      <c r="L21" s="92">
        <f>IF(OR(WEEKDAY(A21)=1,WEEKDAY(A21)=7,NOT(ISERROR(MATCH(A21,[1]Праздники!A:A,0)))),SUM(F21*162.5)*1.5,SUM(F21*162.5))</f>
        <v>0</v>
      </c>
      <c r="M21" s="92">
        <f t="shared" si="3"/>
        <v>0</v>
      </c>
      <c r="N21" s="92">
        <f>SUM(H21)*750</f>
        <v>0</v>
      </c>
      <c r="O21" s="92">
        <f t="shared" si="5"/>
        <v>0</v>
      </c>
      <c r="P21" s="2" t="str">
        <f>IF(OR(WEEKDAY(A21)=1,WEEKDAY(A21)=7,NOT(ISERROR(MATCH(A21,[1]Праздники!A:A,0)))),"Выходной","Рабочий")</f>
        <v>Выходной</v>
      </c>
    </row>
    <row r="22" spans="1:16">
      <c r="A22" s="224">
        <v>45613</v>
      </c>
      <c r="B22" s="225"/>
      <c r="C22" s="98">
        <f>IF(A22="",0,[3]TDSheet!D23)</f>
        <v>0</v>
      </c>
      <c r="D22" s="99">
        <f>IF(A22="",0,[3]TDSheet!F23)</f>
        <v>0</v>
      </c>
      <c r="E22" s="99"/>
      <c r="F22" s="100"/>
      <c r="G22" s="90">
        <f t="shared" si="6"/>
        <v>0</v>
      </c>
      <c r="H22" s="91"/>
      <c r="I22" s="92">
        <f t="shared" si="2"/>
        <v>0</v>
      </c>
      <c r="J22" s="92">
        <f t="shared" si="1"/>
        <v>0</v>
      </c>
      <c r="K22" s="92">
        <f>IF(OR(WEEKDAY(A22)=1,WEEKDAY(A22)=7,NOT(ISERROR(MATCH(A22,[1]Праздники!A:A,0)))),SUM(E22*162.5)*1.5,SUM(E22*162.5))</f>
        <v>0</v>
      </c>
      <c r="L22" s="92">
        <f>IF(OR(WEEKDAY(A22)=1,WEEKDAY(A22)=7,NOT(ISERROR(MATCH(A22,[1]Праздники!A:A,0)))),SUM(F22*162.5)*1.5,SUM(F22*162.5))</f>
        <v>0</v>
      </c>
      <c r="M22" s="92">
        <f t="shared" si="3"/>
        <v>0</v>
      </c>
      <c r="N22" s="92">
        <f t="shared" si="4"/>
        <v>0</v>
      </c>
      <c r="O22" s="92">
        <f t="shared" si="5"/>
        <v>0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24">
        <v>45614</v>
      </c>
      <c r="B23" s="225"/>
      <c r="C23" s="98">
        <f>IF(A23="",0,[3]TDSheet!D24)</f>
        <v>0</v>
      </c>
      <c r="D23" s="99">
        <f>IF(A23="",0,[3]TDSheet!F24)</f>
        <v>0</v>
      </c>
      <c r="E23" s="99"/>
      <c r="F23" s="100"/>
      <c r="G23" s="90">
        <f t="shared" si="6"/>
        <v>0</v>
      </c>
      <c r="H23" s="91"/>
      <c r="I23" s="92">
        <f t="shared" si="2"/>
        <v>0</v>
      </c>
      <c r="J23" s="92">
        <f t="shared" si="1"/>
        <v>0</v>
      </c>
      <c r="K23" s="92">
        <f>IF(OR(WEEKDAY(A23)=1,WEEKDAY(A23)=7,NOT(ISERROR(MATCH(A23,[1]Праздники!A:A,0)))),SUM(E23*162.5)*1.5,SUM(E23*162.5))</f>
        <v>0</v>
      </c>
      <c r="L23" s="92">
        <f>IF(OR(WEEKDAY(A23)=1,WEEKDAY(A23)=7,NOT(ISERROR(MATCH(A23,[1]Праздники!A:A,0)))),SUM(F23*162.5)*1.5,SUM(F23*162.5))</f>
        <v>0</v>
      </c>
      <c r="M23" s="92">
        <f t="shared" si="3"/>
        <v>0</v>
      </c>
      <c r="N23" s="92">
        <f t="shared" si="4"/>
        <v>0</v>
      </c>
      <c r="O23" s="92">
        <f t="shared" si="5"/>
        <v>0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4">
        <v>45615</v>
      </c>
      <c r="B24" s="225"/>
      <c r="C24" s="98">
        <f>IF(A24="",0,[3]TDSheet!D25)</f>
        <v>0</v>
      </c>
      <c r="D24" s="99">
        <f>IF(A24="",0,[3]TDSheet!F25)</f>
        <v>0</v>
      </c>
      <c r="E24" s="99"/>
      <c r="F24" s="100"/>
      <c r="G24" s="90">
        <f t="shared" si="6"/>
        <v>0</v>
      </c>
      <c r="H24" s="91"/>
      <c r="I24" s="92">
        <f t="shared" si="2"/>
        <v>0</v>
      </c>
      <c r="J24" s="92">
        <f t="shared" si="1"/>
        <v>0</v>
      </c>
      <c r="K24" s="92">
        <f>IF(OR(WEEKDAY(A24)=1,WEEKDAY(A24)=7,NOT(ISERROR(MATCH(A24,[1]Праздники!A:A,0)))),SUM(E24*162.5)*1.5,SUM(E24*162.5))</f>
        <v>0</v>
      </c>
      <c r="L24" s="92">
        <f>IF(OR(WEEKDAY(A24)=1,WEEKDAY(A24)=7,NOT(ISERROR(MATCH(A24,[1]Праздники!A:A,0)))),SUM(F24*162.5)*1.5,SUM(F24*162.5))</f>
        <v>0</v>
      </c>
      <c r="M24" s="92">
        <f t="shared" si="3"/>
        <v>0</v>
      </c>
      <c r="N24" s="92">
        <f t="shared" si="4"/>
        <v>0</v>
      </c>
      <c r="O24" s="92">
        <f t="shared" si="5"/>
        <v>0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4">
        <v>45616</v>
      </c>
      <c r="B25" s="225"/>
      <c r="C25" s="98">
        <f>IF(A25="",0,[3]TDSheet!D26)</f>
        <v>0</v>
      </c>
      <c r="D25" s="99">
        <f>IF(A25="",0,[3]TDSheet!F26)</f>
        <v>0</v>
      </c>
      <c r="E25" s="99"/>
      <c r="F25" s="100"/>
      <c r="G25" s="90">
        <f t="shared" si="6"/>
        <v>0</v>
      </c>
      <c r="H25" s="91"/>
      <c r="I25" s="92">
        <f t="shared" si="2"/>
        <v>0</v>
      </c>
      <c r="J25" s="92">
        <f t="shared" si="1"/>
        <v>0</v>
      </c>
      <c r="K25" s="92">
        <f>IF(OR(WEEKDAY(A25)=1,WEEKDAY(A25)=7,NOT(ISERROR(MATCH(A25,[1]Праздники!A:A,0)))),SUM(E25*162.5)*1.5,SUM(E25*162.5))</f>
        <v>0</v>
      </c>
      <c r="L25" s="92">
        <f>IF(OR(WEEKDAY(A25)=1,WEEKDAY(A25)=7,NOT(ISERROR(MATCH(A25,[1]Праздники!A:A,0)))),SUM(F25*162.5)*1.5,SUM(F25*162.5))</f>
        <v>0</v>
      </c>
      <c r="M25" s="92">
        <f t="shared" si="3"/>
        <v>0</v>
      </c>
      <c r="N25" s="92">
        <f t="shared" si="4"/>
        <v>0</v>
      </c>
      <c r="O25" s="92">
        <f t="shared" si="5"/>
        <v>0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4">
        <v>45617</v>
      </c>
      <c r="B26" s="225"/>
      <c r="C26" s="98">
        <f>IF(A26="",0,[3]TDSheet!D27)</f>
        <v>0</v>
      </c>
      <c r="D26" s="99">
        <f>IF(A26="",0,[3]TDSheet!F27)</f>
        <v>0</v>
      </c>
      <c r="E26" s="104"/>
      <c r="F26" s="100"/>
      <c r="G26" s="90">
        <f t="shared" si="6"/>
        <v>0</v>
      </c>
      <c r="H26" s="91"/>
      <c r="I26" s="92">
        <f t="shared" si="2"/>
        <v>0</v>
      </c>
      <c r="J26" s="92">
        <f t="shared" si="1"/>
        <v>0</v>
      </c>
      <c r="K26" s="92">
        <f>IF(OR(WEEKDAY(A26)=1,WEEKDAY(A26)=7,NOT(ISERROR(MATCH(A26,[1]Праздники!A:A,0)))),SUM(E26*162.5)*1.5,SUM(E26*162.5))</f>
        <v>0</v>
      </c>
      <c r="L26" s="92">
        <f>IF(OR(WEEKDAY(A26)=1,WEEKDAY(A26)=7,NOT(ISERROR(MATCH(A26,[1]Праздники!A:A,0)))),SUM(F26*162.5)*1.5,SUM(F26*162.5))</f>
        <v>0</v>
      </c>
      <c r="M26" s="92">
        <f t="shared" si="3"/>
        <v>0</v>
      </c>
      <c r="N26" s="92">
        <f t="shared" si="4"/>
        <v>0</v>
      </c>
      <c r="O26" s="92">
        <f t="shared" si="5"/>
        <v>0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24">
        <v>45618</v>
      </c>
      <c r="B27" s="225"/>
      <c r="C27" s="98">
        <f>IF(A27="",0,[3]TDSheet!D28)</f>
        <v>0</v>
      </c>
      <c r="D27" s="99">
        <f>IF(A27="",0,[3]TDSheet!F28)</f>
        <v>0</v>
      </c>
      <c r="E27" s="99"/>
      <c r="F27" s="103"/>
      <c r="G27" s="90">
        <f t="shared" si="6"/>
        <v>0</v>
      </c>
      <c r="H27" s="91"/>
      <c r="I27" s="92">
        <f t="shared" si="2"/>
        <v>0</v>
      </c>
      <c r="J27" s="92">
        <f t="shared" si="1"/>
        <v>0</v>
      </c>
      <c r="K27" s="92">
        <f>IF(OR(WEEKDAY(A27)=1,WEEKDAY(A27)=7,NOT(ISERROR(MATCH(A27,[1]Праздники!A:A,0)))),SUM(E27*162.5)*1.5,SUM(E27*162.5))</f>
        <v>0</v>
      </c>
      <c r="L27" s="92">
        <f>IF(OR(WEEKDAY(A27)=1,WEEKDAY(A27)=7,NOT(ISERROR(MATCH(A27,[1]Праздники!A:A,0)))),SUM(F27*162.5)*1.5,SUM(F27*162.5))</f>
        <v>0</v>
      </c>
      <c r="M27" s="92">
        <f t="shared" si="3"/>
        <v>0</v>
      </c>
      <c r="N27" s="92">
        <f t="shared" si="4"/>
        <v>0</v>
      </c>
      <c r="O27" s="92">
        <f t="shared" si="5"/>
        <v>0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24">
        <v>45619</v>
      </c>
      <c r="B28" s="225"/>
      <c r="C28" s="98">
        <f>IF(A28="",0,[3]TDSheet!D29)</f>
        <v>0</v>
      </c>
      <c r="D28" s="99">
        <f>IF(A28="",0,[3]TDSheet!F29)</f>
        <v>0</v>
      </c>
      <c r="E28" s="99"/>
      <c r="F28" s="100"/>
      <c r="G28" s="90">
        <f t="shared" si="6"/>
        <v>0</v>
      </c>
      <c r="H28" s="91"/>
      <c r="I28" s="92">
        <f t="shared" si="2"/>
        <v>0</v>
      </c>
      <c r="J28" s="92">
        <f t="shared" si="1"/>
        <v>0</v>
      </c>
      <c r="K28" s="92">
        <f>IF(OR(WEEKDAY(A28)=1,WEEKDAY(A28)=7,NOT(ISERROR(MATCH(A28,[1]Праздники!A:A,0)))),SUM(E28*162.5)*1.5,SUM(E28*162.5))</f>
        <v>0</v>
      </c>
      <c r="L28" s="92">
        <f>IF(OR(WEEKDAY(A28)=1,WEEKDAY(A28)=7,NOT(ISERROR(MATCH(A28,[1]Праздники!A:A,0)))),SUM(F28*162.5)*1.5,SUM(F28*162.5))</f>
        <v>0</v>
      </c>
      <c r="M28" s="92">
        <f t="shared" si="3"/>
        <v>0</v>
      </c>
      <c r="N28" s="92">
        <f t="shared" si="4"/>
        <v>0</v>
      </c>
      <c r="O28" s="92">
        <f t="shared" si="5"/>
        <v>0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4">
        <v>45620</v>
      </c>
      <c r="B29" s="225"/>
      <c r="C29" s="98">
        <f>IF(A29="",0,[3]TDSheet!D30)</f>
        <v>0</v>
      </c>
      <c r="D29" s="99">
        <f>IF(A29="",0,[3]TDSheet!F30)</f>
        <v>0</v>
      </c>
      <c r="E29" s="99"/>
      <c r="F29" s="100"/>
      <c r="G29" s="90">
        <f t="shared" si="6"/>
        <v>0</v>
      </c>
      <c r="H29" s="91"/>
      <c r="I29" s="92">
        <f t="shared" si="2"/>
        <v>0</v>
      </c>
      <c r="J29" s="92">
        <f t="shared" si="1"/>
        <v>0</v>
      </c>
      <c r="K29" s="92">
        <f>IF(OR(WEEKDAY(A29)=1,WEEKDAY(A29)=7,NOT(ISERROR(MATCH(A29,[1]Праздники!A:A,0)))),SUM(E29*162.5)*1.5,SUM(E29*162.5))</f>
        <v>0</v>
      </c>
      <c r="L29" s="92">
        <f>IF(OR(WEEKDAY(A29)=1,WEEKDAY(A29)=7,NOT(ISERROR(MATCH(A29,[1]Праздники!A:A,0)))),SUM(F29*162.5)*1.5,SUM(F29*162.5))</f>
        <v>0</v>
      </c>
      <c r="M29" s="92">
        <f t="shared" si="3"/>
        <v>0</v>
      </c>
      <c r="N29" s="92">
        <f t="shared" si="4"/>
        <v>0</v>
      </c>
      <c r="O29" s="92">
        <f t="shared" si="5"/>
        <v>0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24">
        <v>45621</v>
      </c>
      <c r="B30" s="225"/>
      <c r="C30" s="98">
        <f>IF(A30="",0,[3]TDSheet!D31)</f>
        <v>0</v>
      </c>
      <c r="D30" s="99">
        <f>IF(A30="",0,[3]TDSheet!F31)</f>
        <v>0</v>
      </c>
      <c r="E30" s="99"/>
      <c r="F30" s="100"/>
      <c r="G30" s="90">
        <f t="shared" si="6"/>
        <v>0</v>
      </c>
      <c r="H30" s="91"/>
      <c r="I30" s="92">
        <f t="shared" si="2"/>
        <v>0</v>
      </c>
      <c r="J30" s="92">
        <f t="shared" si="1"/>
        <v>0</v>
      </c>
      <c r="K30" s="92">
        <f>IF(OR(WEEKDAY(A30)=1,WEEKDAY(A30)=7,NOT(ISERROR(MATCH(A30,[1]Праздники!A:A,0)))),SUM(E30*162.5)*1.5,SUM(E30*162.5))</f>
        <v>0</v>
      </c>
      <c r="L30" s="92">
        <f>IF(OR(WEEKDAY(A30)=1,WEEKDAY(A30)=7,NOT(ISERROR(MATCH(A30,[1]Праздники!A:A,0)))),SUM(F30*162.5)*1.5,SUM(F30*162.5))</f>
        <v>0</v>
      </c>
      <c r="M30" s="92">
        <f t="shared" si="3"/>
        <v>0</v>
      </c>
      <c r="N30" s="92">
        <f t="shared" si="4"/>
        <v>0</v>
      </c>
      <c r="O30" s="92">
        <f t="shared" si="5"/>
        <v>0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4">
        <v>45622</v>
      </c>
      <c r="B31" s="225"/>
      <c r="C31" s="98">
        <f>IF(A31="",0,[3]TDSheet!D32)</f>
        <v>0</v>
      </c>
      <c r="D31" s="99">
        <f>IF(A31="",0,[3]TDSheet!F32)</f>
        <v>0</v>
      </c>
      <c r="E31" s="99"/>
      <c r="F31" s="100"/>
      <c r="G31" s="90">
        <f t="shared" si="6"/>
        <v>0</v>
      </c>
      <c r="H31" s="91"/>
      <c r="I31" s="92">
        <f t="shared" si="2"/>
        <v>0</v>
      </c>
      <c r="J31" s="92">
        <f t="shared" si="1"/>
        <v>0</v>
      </c>
      <c r="K31" s="92">
        <f>IF(OR(WEEKDAY(A31)=1,WEEKDAY(A31)=7,NOT(ISERROR(MATCH(A31,[1]Праздники!A:A,0)))),SUM(E31*162.5)*1.5,SUM(E31*162.5))</f>
        <v>0</v>
      </c>
      <c r="L31" s="92">
        <f>IF(OR(WEEKDAY(A31)=1,WEEKDAY(A31)=7,NOT(ISERROR(MATCH(A31,[1]Праздники!A:A,0)))),SUM(F31*162.5)*1.5,SUM(F31*162.5))</f>
        <v>0</v>
      </c>
      <c r="M31" s="92">
        <f t="shared" si="3"/>
        <v>0</v>
      </c>
      <c r="N31" s="92">
        <f t="shared" si="4"/>
        <v>0</v>
      </c>
      <c r="O31" s="92">
        <f t="shared" si="5"/>
        <v>0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4">
        <v>45623</v>
      </c>
      <c r="B32" s="225"/>
      <c r="C32" s="98">
        <f>IF(A32="",0,[3]TDSheet!D33)</f>
        <v>0</v>
      </c>
      <c r="D32" s="99">
        <f>IF(A32="",0,[3]TDSheet!F33)</f>
        <v>0</v>
      </c>
      <c r="E32" s="99"/>
      <c r="F32" s="100"/>
      <c r="G32" s="90">
        <f t="shared" si="6"/>
        <v>0</v>
      </c>
      <c r="H32" s="91"/>
      <c r="I32" s="92">
        <f t="shared" si="2"/>
        <v>0</v>
      </c>
      <c r="J32" s="92">
        <f t="shared" si="1"/>
        <v>0</v>
      </c>
      <c r="K32" s="92">
        <f>IF(OR(WEEKDAY(A32)=1,WEEKDAY(A32)=7,NOT(ISERROR(MATCH(A32,[1]Праздники!A:A,0)))),SUM(E32*162.5)*1.5,SUM(E32*162.5))</f>
        <v>0</v>
      </c>
      <c r="L32" s="92">
        <f>IF(OR(WEEKDAY(A32)=1,WEEKDAY(A32)=7,NOT(ISERROR(MATCH(A32,[1]Праздники!A:A,0)))),SUM(F32*162.5)*1.5,SUM(F32*162.5))</f>
        <v>0</v>
      </c>
      <c r="M32" s="92">
        <f t="shared" si="3"/>
        <v>0</v>
      </c>
      <c r="N32" s="92">
        <f t="shared" si="4"/>
        <v>0</v>
      </c>
      <c r="O32" s="92">
        <f t="shared" si="5"/>
        <v>0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4">
        <v>45624</v>
      </c>
      <c r="B33" s="225"/>
      <c r="C33" s="98">
        <f>IF(A33="",0,[3]TDSheet!D34)</f>
        <v>0</v>
      </c>
      <c r="D33" s="99">
        <f>IF(A33="",0,[3]TDSheet!F34)</f>
        <v>0</v>
      </c>
      <c r="E33" s="99"/>
      <c r="F33" s="100"/>
      <c r="G33" s="90">
        <f t="shared" si="6"/>
        <v>0</v>
      </c>
      <c r="H33" s="91"/>
      <c r="I33" s="92">
        <f t="shared" si="2"/>
        <v>0</v>
      </c>
      <c r="J33" s="92">
        <f t="shared" si="1"/>
        <v>0</v>
      </c>
      <c r="K33" s="92">
        <f>IF(OR(WEEKDAY(A33)=1,WEEKDAY(A33)=7,NOT(ISERROR(MATCH(A33,[1]Праздники!A:A,0)))),SUM(E33*162.5)*1.5,SUM(E33*162.5))</f>
        <v>0</v>
      </c>
      <c r="L33" s="92">
        <f>IF(OR(WEEKDAY(A33)=1,WEEKDAY(A33)=7,NOT(ISERROR(MATCH(A33,[1]Праздники!A:A,0)))),SUM(F33*162.5)*1.5,SUM(F33*162.5))</f>
        <v>0</v>
      </c>
      <c r="M33" s="92">
        <f t="shared" si="3"/>
        <v>0</v>
      </c>
      <c r="N33" s="92">
        <f t="shared" si="4"/>
        <v>0</v>
      </c>
      <c r="O33" s="92">
        <f t="shared" si="5"/>
        <v>0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24">
        <v>45625</v>
      </c>
      <c r="B34" s="225"/>
      <c r="C34" s="98">
        <f>IF(A34="",0,[3]TDSheet!D35)</f>
        <v>0</v>
      </c>
      <c r="D34" s="99">
        <f>IF(A34="",0,[3]TDSheet!F35)</f>
        <v>0</v>
      </c>
      <c r="E34" s="99"/>
      <c r="F34" s="100"/>
      <c r="G34" s="90">
        <f t="shared" si="6"/>
        <v>0</v>
      </c>
      <c r="H34" s="91"/>
      <c r="I34" s="92">
        <f t="shared" si="2"/>
        <v>0</v>
      </c>
      <c r="J34" s="92">
        <f t="shared" si="1"/>
        <v>0</v>
      </c>
      <c r="K34" s="92">
        <f>IF(OR(WEEKDAY(A34)=1,WEEKDAY(A34)=7,NOT(ISERROR(MATCH(A34,[1]Праздники!A:A,0)))),SUM(E34*162.5)*1.5,SUM(E34*162.5))</f>
        <v>0</v>
      </c>
      <c r="L34" s="92">
        <f>IF(OR(WEEKDAY(A34)=1,WEEKDAY(A34)=7,NOT(ISERROR(MATCH(A34,[1]Праздники!A:A,0)))),SUM(F34*162.5)*1.5,SUM(F34*162.5))</f>
        <v>0</v>
      </c>
      <c r="M34" s="92">
        <f t="shared" si="3"/>
        <v>0</v>
      </c>
      <c r="N34" s="92">
        <f t="shared" si="4"/>
        <v>0</v>
      </c>
      <c r="O34" s="92">
        <f t="shared" si="5"/>
        <v>0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24">
        <v>45626</v>
      </c>
      <c r="B35" s="225"/>
      <c r="C35" s="98">
        <f>IF(A35="",0,[3]TDSheet!D36)</f>
        <v>0</v>
      </c>
      <c r="D35" s="99">
        <f>IF(A35="",0,[3]TDSheet!F36)</f>
        <v>0</v>
      </c>
      <c r="E35" s="90"/>
      <c r="F35" s="100"/>
      <c r="G35" s="90">
        <f t="shared" si="6"/>
        <v>0</v>
      </c>
      <c r="H35" s="91"/>
      <c r="I35" s="92">
        <f t="shared" si="2"/>
        <v>0</v>
      </c>
      <c r="J35" s="92">
        <f t="shared" si="1"/>
        <v>0</v>
      </c>
      <c r="K35" s="92">
        <f>IF(OR(WEEKDAY(A35)=1,WEEKDAY(A35)=7,NOT(ISERROR(MATCH(A35,[1]Праздники!A:A,0)))),SUM(E35*162.5)*1.5,SUM(E35*162.5))</f>
        <v>0</v>
      </c>
      <c r="L35" s="92">
        <f>IF(OR(WEEKDAY(A35)=1,WEEKDAY(A35)=7,NOT(ISERROR(MATCH(A35,[1]Праздники!A:A,0)))),SUM(F35*162.5)*1.5,SUM(F35*162.5))</f>
        <v>0</v>
      </c>
      <c r="M35" s="92">
        <f t="shared" si="3"/>
        <v>0</v>
      </c>
      <c r="N35" s="92">
        <f t="shared" si="4"/>
        <v>0</v>
      </c>
      <c r="O35" s="92">
        <f t="shared" si="5"/>
        <v>0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4"/>
      <c r="B36" s="225"/>
      <c r="C36" s="98"/>
      <c r="D36" s="99"/>
      <c r="E36" s="106"/>
      <c r="F36" s="107"/>
      <c r="G36" s="90"/>
      <c r="H36" s="108"/>
      <c r="I36" s="92">
        <f t="shared" si="2"/>
        <v>0</v>
      </c>
      <c r="J36" s="92">
        <f t="shared" si="1"/>
        <v>0</v>
      </c>
      <c r="K36" s="92">
        <f>IF(OR(WEEKDAY(A36)=1,WEEKDAY(A36)=7,NOT(ISERROR(MATCH(A36,[1]Праздники!A:A,0)))),SUM(E36*162.5)*1.5,SUM(E36*162.5))</f>
        <v>0</v>
      </c>
      <c r="L36" s="92">
        <f>IF(OR(WEEKDAY(A36)=1,WEEKDAY(A36)=7,NOT(ISERROR(MATCH(A36,[1]Праздники!A:A,0)))),SUM(F36*162.5)*1.5,SUM(F36*162.5))</f>
        <v>0</v>
      </c>
      <c r="M36" s="92">
        <f t="shared" si="3"/>
        <v>0</v>
      </c>
      <c r="N36" s="92">
        <f t="shared" si="4"/>
        <v>0</v>
      </c>
      <c r="O36" s="92">
        <f t="shared" si="5"/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3">
        <f>SUM(C6:C36)</f>
        <v>0</v>
      </c>
      <c r="D37" s="93">
        <f t="shared" ref="D37:O37" si="7">SUM(D6:D36)</f>
        <v>0</v>
      </c>
      <c r="E37" s="93">
        <f t="shared" si="7"/>
        <v>0</v>
      </c>
      <c r="F37" s="93">
        <f t="shared" si="7"/>
        <v>0</v>
      </c>
      <c r="G37" s="93">
        <f t="shared" si="7"/>
        <v>0</v>
      </c>
      <c r="H37" s="105">
        <f t="shared" si="7"/>
        <v>0</v>
      </c>
      <c r="I37" s="94">
        <f t="shared" si="7"/>
        <v>0</v>
      </c>
      <c r="J37" s="94">
        <f t="shared" si="7"/>
        <v>0</v>
      </c>
      <c r="K37" s="94">
        <f t="shared" si="7"/>
        <v>0</v>
      </c>
      <c r="L37" s="94">
        <f t="shared" si="7"/>
        <v>0</v>
      </c>
      <c r="M37" s="94">
        <f t="shared" si="7"/>
        <v>0</v>
      </c>
      <c r="N37" s="94">
        <f t="shared" si="7"/>
        <v>0</v>
      </c>
      <c r="O37" s="95">
        <f t="shared" si="7"/>
        <v>0</v>
      </c>
    </row>
    <row r="38" spans="1:17" ht="15.75" thickBot="1">
      <c r="G38" s="89"/>
      <c r="L38" s="14"/>
      <c r="M38" s="89"/>
      <c r="N38" s="105" t="s">
        <v>117</v>
      </c>
      <c r="O38" s="96">
        <f>O37*1.2</f>
        <v>0</v>
      </c>
      <c r="Q38" s="97"/>
    </row>
    <row r="39" spans="1:17">
      <c r="G39" s="89"/>
      <c r="M39" s="89"/>
    </row>
    <row r="40" spans="1:17">
      <c r="G40" s="89"/>
      <c r="M40" s="89"/>
    </row>
  </sheetData>
  <mergeCells count="44">
    <mergeCell ref="A35:B35"/>
    <mergeCell ref="A36:B36"/>
    <mergeCell ref="A29:B29"/>
    <mergeCell ref="A30:B30"/>
    <mergeCell ref="A31:B31"/>
    <mergeCell ref="A32:B32"/>
    <mergeCell ref="A33:B33"/>
    <mergeCell ref="A34:B34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:B5"/>
    <mergeCell ref="C4:C5"/>
    <mergeCell ref="D4:D5"/>
    <mergeCell ref="A11:B11"/>
    <mergeCell ref="A12:B12"/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5356-D52F-4EAB-B0A7-F8AB0BD882CF}">
  <sheetPr codeName="Лист55"/>
  <dimension ref="A1:P40"/>
  <sheetViews>
    <sheetView workbookViewId="0">
      <selection activeCell="G37" sqref="G37"/>
    </sheetView>
  </sheetViews>
  <sheetFormatPr defaultRowHeight="15"/>
  <cols>
    <col min="1" max="2" width="8.796875" style="2"/>
    <col min="3" max="3" width="7.796875" style="2" customWidth="1"/>
    <col min="4" max="4" width="7.296875" style="2" customWidth="1"/>
    <col min="5" max="5" width="7.796875" style="2" customWidth="1"/>
    <col min="6" max="6" width="7.8984375" style="2" customWidth="1"/>
    <col min="7" max="7" width="6.796875" style="2" customWidth="1"/>
    <col min="8" max="8" width="11.5" style="2" customWidth="1"/>
    <col min="9" max="9" width="12.59765625" style="2" customWidth="1"/>
    <col min="10" max="11" width="11.5" style="2" customWidth="1"/>
    <col min="12" max="12" width="11.19921875" style="2" customWidth="1"/>
    <col min="13" max="13" width="8.796875" style="2"/>
    <col min="14" max="14" width="12.796875" style="2" customWidth="1"/>
    <col min="15" max="16384" width="8.796875" style="2"/>
  </cols>
  <sheetData>
    <row r="1" spans="1:16">
      <c r="H1" s="89"/>
      <c r="I1" s="89"/>
      <c r="J1" s="89"/>
      <c r="K1" s="89"/>
      <c r="N1" s="79"/>
      <c r="O1" s="79"/>
      <c r="P1" s="79"/>
    </row>
    <row r="2" spans="1:16">
      <c r="H2" s="89"/>
      <c r="I2" s="89"/>
      <c r="J2" s="89"/>
      <c r="K2" s="89"/>
      <c r="N2" s="79"/>
      <c r="O2" s="79"/>
      <c r="P2" s="79"/>
    </row>
    <row r="3" spans="1:16" ht="21">
      <c r="A3" s="77" t="str">
        <f>"Отчет по хранению  товара  РВ " &amp; TEXT(A6,"ММММ ") &amp; YEAR(A6)</f>
        <v>Отчет по хранению  товара  РВ Май 2025</v>
      </c>
      <c r="C3" s="89"/>
      <c r="H3" s="89"/>
      <c r="I3" s="89"/>
      <c r="J3" s="89"/>
      <c r="K3" s="89"/>
      <c r="N3" s="79"/>
      <c r="O3" s="79"/>
      <c r="P3" s="79"/>
    </row>
    <row r="4" spans="1:16">
      <c r="A4" s="204" t="s">
        <v>1</v>
      </c>
      <c r="B4" s="205"/>
      <c r="C4" s="226" t="s">
        <v>4</v>
      </c>
      <c r="D4" s="202" t="s">
        <v>95</v>
      </c>
      <c r="E4" s="202" t="s">
        <v>96</v>
      </c>
      <c r="F4" s="202" t="s">
        <v>97</v>
      </c>
      <c r="G4" s="202" t="s">
        <v>98</v>
      </c>
      <c r="H4" s="226" t="s">
        <v>13</v>
      </c>
      <c r="I4" s="226" t="s">
        <v>99</v>
      </c>
      <c r="J4" s="226" t="s">
        <v>100</v>
      </c>
      <c r="K4" s="226" t="s">
        <v>101</v>
      </c>
      <c r="L4" s="202" t="s">
        <v>18</v>
      </c>
    </row>
    <row r="5" spans="1:16">
      <c r="A5" s="206"/>
      <c r="B5" s="207"/>
      <c r="C5" s="227"/>
      <c r="D5" s="203"/>
      <c r="E5" s="203"/>
      <c r="F5" s="203"/>
      <c r="G5" s="203"/>
      <c r="H5" s="227"/>
      <c r="I5" s="227"/>
      <c r="J5" s="227"/>
      <c r="K5" s="227"/>
      <c r="L5" s="203"/>
    </row>
    <row r="6" spans="1:16">
      <c r="A6" s="224">
        <v>45778</v>
      </c>
      <c r="B6" s="225"/>
      <c r="C6" s="90" t="e">
        <f>'[1]РВ Баумана'!G6+#REF!+'[1]РВ Березовая Пойма'!G6+#REF!+'[1]РВ Новикова-Прибоя'!G6+#REF!</f>
        <v>#REF!</v>
      </c>
      <c r="D6" s="91" t="e">
        <f>IF(C6 &lt; 8000,8000-C6,0)</f>
        <v>#REF!</v>
      </c>
      <c r="E6" s="91" t="e">
        <f>'[1]РВ Баумана'!C6+#REF!+'[1]РВ Березовая Пойма'!C6+#REF!+'[1]РВ Новикова-Прибоя'!C6+#REF!</f>
        <v>#REF!</v>
      </c>
      <c r="F6" s="91" t="e">
        <f>'[1]РВ Баумана'!D6+#REF!+'[1]РВ Березовая Пойма'!D6+#REF!+'[1]РВ Новикова-Прибоя'!D6+#REF!</f>
        <v>#REF!</v>
      </c>
      <c r="G6" s="91" t="e">
        <f>IF(E6+F6 &lt; 300,300-E6-F6,0)</f>
        <v>#REF!</v>
      </c>
      <c r="H6" s="92" t="e">
        <f>C6*15</f>
        <v>#REF!</v>
      </c>
      <c r="I6" s="92" t="e">
        <f>D6*15</f>
        <v>#REF!</v>
      </c>
      <c r="J6" s="92" t="e">
        <f>IF(M6="Выходной",(E6+G6)*150*1.5,(E6+G6)*150)</f>
        <v>#REF!</v>
      </c>
      <c r="K6" s="92" t="e">
        <f>IF(M6="Выходной",F6*150,F6*150)</f>
        <v>#REF!</v>
      </c>
      <c r="L6" s="92" t="e">
        <f>SUM(H6:K6)</f>
        <v>#REF!</v>
      </c>
      <c r="M6" s="2" t="str">
        <f>IF(OR(WEEKDAY(A6)=1,WEEKDAY(A6)=7,NOT(ISERROR(MATCH(A6,[1]Праздники!A:A,0)))),"Выходной","Рабочий")</f>
        <v>Рабочий</v>
      </c>
    </row>
    <row r="7" spans="1:16">
      <c r="A7" s="224">
        <v>45779</v>
      </c>
      <c r="B7" s="225"/>
      <c r="C7" s="90" t="e">
        <f>'[1]РВ Баумана'!G7+#REF!+'[1]РВ Березовая Пойма'!G7+#REF!+'[1]РВ Новикова-Прибоя'!G7+#REF!</f>
        <v>#REF!</v>
      </c>
      <c r="D7" s="91" t="e">
        <f t="shared" ref="D7:D36" si="0">IF(C7 &lt; 8000,8000-C7,0)</f>
        <v>#REF!</v>
      </c>
      <c r="E7" s="91" t="e">
        <f>'[1]РВ Баумана'!C7+#REF!+'[1]РВ Березовая Пойма'!C7+#REF!+'[1]РВ Новикова-Прибоя'!C7+#REF!</f>
        <v>#REF!</v>
      </c>
      <c r="F7" s="91" t="e">
        <f>'[1]РВ Баумана'!D7+#REF!+'[1]РВ Березовая Пойма'!D7+#REF!+'[1]РВ Новикова-Прибоя'!D7+#REF!</f>
        <v>#REF!</v>
      </c>
      <c r="G7" s="91" t="e">
        <f t="shared" ref="G7:G36" si="1">IF(E7+F7 &lt; 300,300-E7-F7,0)</f>
        <v>#REF!</v>
      </c>
      <c r="H7" s="92" t="e">
        <f t="shared" ref="H7:I36" si="2">C7*15</f>
        <v>#REF!</v>
      </c>
      <c r="I7" s="92" t="e">
        <f t="shared" si="2"/>
        <v>#REF!</v>
      </c>
      <c r="J7" s="92" t="e">
        <f t="shared" ref="J7:J36" si="3">IF(M7="Выходной",(E7+G7+F7)*150*1.5,(E7+G7+F7)*150)</f>
        <v>#REF!</v>
      </c>
      <c r="K7" s="92" t="e">
        <f t="shared" ref="K7:K36" si="4">IF(M7="Выходной",F7*150,F7*150)</f>
        <v>#REF!</v>
      </c>
      <c r="L7" s="92" t="e">
        <f t="shared" ref="L7:L36" si="5">SUM(H7:K7)</f>
        <v>#REF!</v>
      </c>
      <c r="M7" s="2" t="str">
        <f>IF(OR(WEEKDAY(A7)=1,WEEKDAY(A7)=7,NOT(ISERROR(MATCH(A7,[1]Праздники!A:A,0)))),"Выходной","Рабочий")</f>
        <v>Рабочий</v>
      </c>
    </row>
    <row r="8" spans="1:16">
      <c r="A8" s="224">
        <v>45780</v>
      </c>
      <c r="B8" s="225"/>
      <c r="C8" s="90" t="e">
        <f>'[1]РВ Баумана'!G8+#REF!+'[1]РВ Березовая Пойма'!G8+#REF!+'[1]РВ Новикова-Прибоя'!G8+#REF!</f>
        <v>#REF!</v>
      </c>
      <c r="D8" s="91" t="e">
        <f t="shared" si="0"/>
        <v>#REF!</v>
      </c>
      <c r="E8" s="91" t="e">
        <f>'[1]РВ Баумана'!C8+#REF!+'[1]РВ Березовая Пойма'!C8+#REF!+'[1]РВ Новикова-Прибоя'!C8+#REF!</f>
        <v>#REF!</v>
      </c>
      <c r="F8" s="91" t="e">
        <f>'[1]РВ Баумана'!D8+#REF!+'[1]РВ Березовая Пойма'!D8+#REF!+'[1]РВ Новикова-Прибоя'!D8+#REF!</f>
        <v>#REF!</v>
      </c>
      <c r="G8" s="91" t="e">
        <f t="shared" si="1"/>
        <v>#REF!</v>
      </c>
      <c r="H8" s="92" t="e">
        <f t="shared" si="2"/>
        <v>#REF!</v>
      </c>
      <c r="I8" s="92" t="e">
        <f t="shared" si="2"/>
        <v>#REF!</v>
      </c>
      <c r="J8" s="92" t="e">
        <f t="shared" si="3"/>
        <v>#REF!</v>
      </c>
      <c r="K8" s="92" t="e">
        <f t="shared" si="4"/>
        <v>#REF!</v>
      </c>
      <c r="L8" s="92" t="e">
        <f t="shared" si="5"/>
        <v>#REF!</v>
      </c>
      <c r="M8" s="2" t="str">
        <f>IF(OR(WEEKDAY(A8)=1,WEEKDAY(A8)=7,NOT(ISERROR(MATCH(A8,[1]Праздники!A:A,0)))),"Выходной","Рабочий")</f>
        <v>Выходной</v>
      </c>
    </row>
    <row r="9" spans="1:16">
      <c r="A9" s="224">
        <v>45781</v>
      </c>
      <c r="B9" s="225"/>
      <c r="C9" s="90" t="e">
        <f>'[1]РВ Баумана'!G9+#REF!+'[1]РВ Березовая Пойма'!G9+#REF!+'[1]РВ Новикова-Прибоя'!G9+#REF!</f>
        <v>#REF!</v>
      </c>
      <c r="D9" s="91" t="e">
        <f t="shared" si="0"/>
        <v>#REF!</v>
      </c>
      <c r="E9" s="91" t="e">
        <f>'[1]РВ Баумана'!C9+#REF!+'[1]РВ Березовая Пойма'!C9+#REF!+'[1]РВ Новикова-Прибоя'!C9+#REF!</f>
        <v>#REF!</v>
      </c>
      <c r="F9" s="91" t="e">
        <f>'[1]РВ Баумана'!D9+#REF!+'[1]РВ Березовая Пойма'!D9+#REF!+'[1]РВ Новикова-Прибоя'!D9+#REF!</f>
        <v>#REF!</v>
      </c>
      <c r="G9" s="91" t="e">
        <f t="shared" si="1"/>
        <v>#REF!</v>
      </c>
      <c r="H9" s="92" t="e">
        <f t="shared" si="2"/>
        <v>#REF!</v>
      </c>
      <c r="I9" s="92" t="e">
        <f t="shared" si="2"/>
        <v>#REF!</v>
      </c>
      <c r="J9" s="92" t="e">
        <f t="shared" si="3"/>
        <v>#REF!</v>
      </c>
      <c r="K9" s="92" t="e">
        <f t="shared" si="4"/>
        <v>#REF!</v>
      </c>
      <c r="L9" s="92" t="e">
        <f t="shared" si="5"/>
        <v>#REF!</v>
      </c>
      <c r="M9" s="2" t="str">
        <f>IF(OR(WEEKDAY(A9)=1,WEEKDAY(A9)=7,NOT(ISERROR(MATCH(A9,[1]Праздники!A:A,0)))),"Выходной","Рабочий")</f>
        <v>Выходной</v>
      </c>
    </row>
    <row r="10" spans="1:16">
      <c r="A10" s="224">
        <v>45782</v>
      </c>
      <c r="B10" s="225"/>
      <c r="C10" s="90" t="e">
        <f>'[1]РВ Баумана'!G10+#REF!+'[1]РВ Березовая Пойма'!G10+#REF!+'[1]РВ Новикова-Прибоя'!G10+#REF!</f>
        <v>#REF!</v>
      </c>
      <c r="D10" s="91" t="e">
        <f t="shared" si="0"/>
        <v>#REF!</v>
      </c>
      <c r="E10" s="91" t="e">
        <f>'[1]РВ Баумана'!C10+#REF!+'[1]РВ Березовая Пойма'!C10+#REF!+'[1]РВ Новикова-Прибоя'!C10+#REF!</f>
        <v>#REF!</v>
      </c>
      <c r="F10" s="91" t="e">
        <f>'[1]РВ Баумана'!D10+#REF!+'[1]РВ Березовая Пойма'!D10+#REF!+'[1]РВ Новикова-Прибоя'!D10+#REF!</f>
        <v>#REF!</v>
      </c>
      <c r="G10" s="91" t="e">
        <f t="shared" si="1"/>
        <v>#REF!</v>
      </c>
      <c r="H10" s="92" t="e">
        <f t="shared" si="2"/>
        <v>#REF!</v>
      </c>
      <c r="I10" s="92" t="e">
        <f t="shared" si="2"/>
        <v>#REF!</v>
      </c>
      <c r="J10" s="92" t="e">
        <f t="shared" si="3"/>
        <v>#REF!</v>
      </c>
      <c r="K10" s="92" t="e">
        <f t="shared" si="4"/>
        <v>#REF!</v>
      </c>
      <c r="L10" s="92" t="e">
        <f t="shared" si="5"/>
        <v>#REF!</v>
      </c>
      <c r="M10" s="2" t="str">
        <f>IF(OR(WEEKDAY(A10)=1,WEEKDAY(A10)=7,NOT(ISERROR(MATCH(A10,[1]Праздники!A:A,0)))),"Выходной","Рабочий")</f>
        <v>Рабочий</v>
      </c>
    </row>
    <row r="11" spans="1:16">
      <c r="A11" s="224">
        <v>45783</v>
      </c>
      <c r="B11" s="225"/>
      <c r="C11" s="90" t="e">
        <f>'[1]РВ Баумана'!G11+#REF!+'[1]РВ Березовая Пойма'!G11+#REF!+'[1]РВ Новикова-Прибоя'!G11+#REF!</f>
        <v>#REF!</v>
      </c>
      <c r="D11" s="91" t="e">
        <f t="shared" si="0"/>
        <v>#REF!</v>
      </c>
      <c r="E11" s="91" t="e">
        <f>'[1]РВ Баумана'!C11+#REF!+'[1]РВ Березовая Пойма'!C11+#REF!+'[1]РВ Новикова-Прибоя'!C11+#REF!</f>
        <v>#REF!</v>
      </c>
      <c r="F11" s="91" t="e">
        <f>'[1]РВ Баумана'!D11+#REF!+'[1]РВ Березовая Пойма'!D11+#REF!+'[1]РВ Новикова-Прибоя'!D11+#REF!</f>
        <v>#REF!</v>
      </c>
      <c r="G11" s="91" t="e">
        <f t="shared" si="1"/>
        <v>#REF!</v>
      </c>
      <c r="H11" s="92" t="e">
        <f t="shared" si="2"/>
        <v>#REF!</v>
      </c>
      <c r="I11" s="92" t="e">
        <f t="shared" si="2"/>
        <v>#REF!</v>
      </c>
      <c r="J11" s="92" t="e">
        <f t="shared" si="3"/>
        <v>#REF!</v>
      </c>
      <c r="K11" s="92" t="e">
        <f t="shared" si="4"/>
        <v>#REF!</v>
      </c>
      <c r="L11" s="92" t="e">
        <f t="shared" si="5"/>
        <v>#REF!</v>
      </c>
      <c r="M11" s="2" t="str">
        <f>IF(OR(WEEKDAY(A11)=1,WEEKDAY(A11)=7,NOT(ISERROR(MATCH(A11,[1]Праздники!A:A,0)))),"Выходной","Рабочий")</f>
        <v>Рабочий</v>
      </c>
    </row>
    <row r="12" spans="1:16">
      <c r="A12" s="224">
        <v>45784</v>
      </c>
      <c r="B12" s="225"/>
      <c r="C12" s="90" t="e">
        <f>'[1]РВ Баумана'!G12+#REF!+'[1]РВ Березовая Пойма'!G12+#REF!+'[1]РВ Новикова-Прибоя'!G12+#REF!</f>
        <v>#REF!</v>
      </c>
      <c r="D12" s="91" t="e">
        <f t="shared" si="0"/>
        <v>#REF!</v>
      </c>
      <c r="E12" s="91" t="e">
        <f>'[1]РВ Баумана'!C12+#REF!+'[1]РВ Березовая Пойма'!C12+#REF!+'[1]РВ Новикова-Прибоя'!C12+#REF!</f>
        <v>#REF!</v>
      </c>
      <c r="F12" s="91" t="e">
        <f>'[1]РВ Баумана'!D12+#REF!+'[1]РВ Березовая Пойма'!D12+#REF!+'[1]РВ Новикова-Прибоя'!D12+#REF!</f>
        <v>#REF!</v>
      </c>
      <c r="G12" s="91" t="e">
        <f t="shared" si="1"/>
        <v>#REF!</v>
      </c>
      <c r="H12" s="92" t="e">
        <f t="shared" si="2"/>
        <v>#REF!</v>
      </c>
      <c r="I12" s="92" t="e">
        <f t="shared" si="2"/>
        <v>#REF!</v>
      </c>
      <c r="J12" s="92" t="e">
        <f t="shared" si="3"/>
        <v>#REF!</v>
      </c>
      <c r="K12" s="92" t="e">
        <f t="shared" si="4"/>
        <v>#REF!</v>
      </c>
      <c r="L12" s="92" t="e">
        <f t="shared" si="5"/>
        <v>#REF!</v>
      </c>
      <c r="M12" s="2" t="str">
        <f>IF(OR(WEEKDAY(A12)=1,WEEKDAY(A12)=7,NOT(ISERROR(MATCH(A12,[1]Праздники!A:A,0)))),"Выходной","Рабочий")</f>
        <v>Рабочий</v>
      </c>
    </row>
    <row r="13" spans="1:16">
      <c r="A13" s="224">
        <v>45785</v>
      </c>
      <c r="B13" s="225"/>
      <c r="C13" s="90" t="e">
        <f>'[1]РВ Баумана'!G13+#REF!+'[1]РВ Березовая Пойма'!G13+#REF!+'[1]РВ Новикова-Прибоя'!G13+#REF!</f>
        <v>#REF!</v>
      </c>
      <c r="D13" s="91" t="e">
        <f t="shared" si="0"/>
        <v>#REF!</v>
      </c>
      <c r="E13" s="91" t="e">
        <f>'[1]РВ Баумана'!C13+#REF!+'[1]РВ Березовая Пойма'!C13+#REF!+'[1]РВ Новикова-Прибоя'!C13+#REF!</f>
        <v>#REF!</v>
      </c>
      <c r="F13" s="91" t="e">
        <f>'[1]РВ Баумана'!D13+#REF!+'[1]РВ Березовая Пойма'!D13+#REF!+'[1]РВ Новикова-Прибоя'!D13+#REF!</f>
        <v>#REF!</v>
      </c>
      <c r="G13" s="91" t="e">
        <f t="shared" si="1"/>
        <v>#REF!</v>
      </c>
      <c r="H13" s="92" t="e">
        <f t="shared" si="2"/>
        <v>#REF!</v>
      </c>
      <c r="I13" s="92" t="e">
        <f t="shared" si="2"/>
        <v>#REF!</v>
      </c>
      <c r="J13" s="92" t="e">
        <f t="shared" si="3"/>
        <v>#REF!</v>
      </c>
      <c r="K13" s="92" t="e">
        <f t="shared" si="4"/>
        <v>#REF!</v>
      </c>
      <c r="L13" s="92" t="e">
        <f t="shared" si="5"/>
        <v>#REF!</v>
      </c>
      <c r="M13" s="2" t="str">
        <f>IF(OR(WEEKDAY(A13)=1,WEEKDAY(A13)=7,NOT(ISERROR(MATCH(A13,[1]Праздники!A:A,0)))),"Выходной","Рабочий")</f>
        <v>Рабочий</v>
      </c>
    </row>
    <row r="14" spans="1:16">
      <c r="A14" s="224">
        <v>45786</v>
      </c>
      <c r="B14" s="225"/>
      <c r="C14" s="90" t="e">
        <f>'[1]РВ Баумана'!G14+#REF!+'[1]РВ Березовая Пойма'!G14+#REF!+'[1]РВ Новикова-Прибоя'!G14+#REF!</f>
        <v>#REF!</v>
      </c>
      <c r="D14" s="91" t="e">
        <f t="shared" si="0"/>
        <v>#REF!</v>
      </c>
      <c r="E14" s="91" t="e">
        <f>'[1]РВ Баумана'!C14+#REF!+'[1]РВ Березовая Пойма'!C14+#REF!+'[1]РВ Новикова-Прибоя'!C14+#REF!</f>
        <v>#REF!</v>
      </c>
      <c r="F14" s="91" t="e">
        <f>'[1]РВ Баумана'!D14+#REF!+'[1]РВ Березовая Пойма'!D14+#REF!+'[1]РВ Новикова-Прибоя'!D14+#REF!</f>
        <v>#REF!</v>
      </c>
      <c r="G14" s="91" t="e">
        <f t="shared" si="1"/>
        <v>#REF!</v>
      </c>
      <c r="H14" s="92" t="e">
        <f t="shared" si="2"/>
        <v>#REF!</v>
      </c>
      <c r="I14" s="92" t="e">
        <f t="shared" si="2"/>
        <v>#REF!</v>
      </c>
      <c r="J14" s="92" t="e">
        <f t="shared" si="3"/>
        <v>#REF!</v>
      </c>
      <c r="K14" s="92" t="e">
        <f t="shared" si="4"/>
        <v>#REF!</v>
      </c>
      <c r="L14" s="92" t="e">
        <f t="shared" si="5"/>
        <v>#REF!</v>
      </c>
      <c r="M14" s="2" t="str">
        <f>IF(OR(WEEKDAY(A14)=1,WEEKDAY(A14)=7,NOT(ISERROR(MATCH(A14,[1]Праздники!A:A,0)))),"Выходной","Рабочий")</f>
        <v>Рабочий</v>
      </c>
    </row>
    <row r="15" spans="1:16">
      <c r="A15" s="224">
        <v>45787</v>
      </c>
      <c r="B15" s="225"/>
      <c r="C15" s="90" t="e">
        <f>'[1]РВ Баумана'!G15+#REF!+'[1]РВ Березовая Пойма'!G15+#REF!+'[1]РВ Новикова-Прибоя'!G15+#REF!</f>
        <v>#REF!</v>
      </c>
      <c r="D15" s="91" t="e">
        <f t="shared" si="0"/>
        <v>#REF!</v>
      </c>
      <c r="E15" s="91" t="e">
        <f>'[1]РВ Баумана'!C15+#REF!+'[1]РВ Березовая Пойма'!C15+#REF!+'[1]РВ Новикова-Прибоя'!C15+#REF!</f>
        <v>#REF!</v>
      </c>
      <c r="F15" s="91" t="e">
        <f>'[1]РВ Баумана'!D15+#REF!+'[1]РВ Березовая Пойма'!D15+#REF!+'[1]РВ Новикова-Прибоя'!D15+#REF!</f>
        <v>#REF!</v>
      </c>
      <c r="G15" s="91" t="e">
        <f t="shared" si="1"/>
        <v>#REF!</v>
      </c>
      <c r="H15" s="92" t="e">
        <f t="shared" si="2"/>
        <v>#REF!</v>
      </c>
      <c r="I15" s="92" t="e">
        <f t="shared" si="2"/>
        <v>#REF!</v>
      </c>
      <c r="J15" s="92" t="e">
        <f t="shared" si="3"/>
        <v>#REF!</v>
      </c>
      <c r="K15" s="92" t="e">
        <f t="shared" si="4"/>
        <v>#REF!</v>
      </c>
      <c r="L15" s="92" t="e">
        <f t="shared" si="5"/>
        <v>#REF!</v>
      </c>
      <c r="M15" s="2" t="str">
        <f>IF(OR(WEEKDAY(A15)=1,WEEKDAY(A15)=7,NOT(ISERROR(MATCH(A15,[1]Праздники!A:A,0)))),"Выходной","Рабочий")</f>
        <v>Выходной</v>
      </c>
    </row>
    <row r="16" spans="1:16">
      <c r="A16" s="224">
        <v>45788</v>
      </c>
      <c r="B16" s="225"/>
      <c r="C16" s="90" t="e">
        <f>'[1]РВ Баумана'!G16+#REF!+'[1]РВ Березовая Пойма'!G16+#REF!+'[1]РВ Новикова-Прибоя'!G16+#REF!</f>
        <v>#REF!</v>
      </c>
      <c r="D16" s="91" t="e">
        <f t="shared" si="0"/>
        <v>#REF!</v>
      </c>
      <c r="E16" s="91" t="e">
        <f>'[1]РВ Баумана'!C16+#REF!+'[1]РВ Березовая Пойма'!C16+#REF!+'[1]РВ Новикова-Прибоя'!C16+#REF!</f>
        <v>#REF!</v>
      </c>
      <c r="F16" s="91" t="e">
        <f>'[1]РВ Баумана'!D16+#REF!+'[1]РВ Березовая Пойма'!D16+#REF!+'[1]РВ Новикова-Прибоя'!D16+#REF!</f>
        <v>#REF!</v>
      </c>
      <c r="G16" s="91" t="e">
        <f t="shared" si="1"/>
        <v>#REF!</v>
      </c>
      <c r="H16" s="92" t="e">
        <f t="shared" si="2"/>
        <v>#REF!</v>
      </c>
      <c r="I16" s="92" t="e">
        <f t="shared" si="2"/>
        <v>#REF!</v>
      </c>
      <c r="J16" s="92" t="e">
        <f t="shared" si="3"/>
        <v>#REF!</v>
      </c>
      <c r="K16" s="92" t="e">
        <f t="shared" si="4"/>
        <v>#REF!</v>
      </c>
      <c r="L16" s="92" t="e">
        <f t="shared" si="5"/>
        <v>#REF!</v>
      </c>
      <c r="M16" s="2" t="str">
        <f>IF(OR(WEEKDAY(A16)=1,WEEKDAY(A16)=7,NOT(ISERROR(MATCH(A16,[1]Праздники!A:A,0)))),"Выходной","Рабочий")</f>
        <v>Выходной</v>
      </c>
    </row>
    <row r="17" spans="1:13">
      <c r="A17" s="224">
        <v>45789</v>
      </c>
      <c r="B17" s="225"/>
      <c r="C17" s="90" t="e">
        <f>'[1]РВ Баумана'!G17+#REF!+'[1]РВ Березовая Пойма'!G17+#REF!+'[1]РВ Новикова-Прибоя'!G17+#REF!</f>
        <v>#REF!</v>
      </c>
      <c r="D17" s="91" t="e">
        <f t="shared" si="0"/>
        <v>#REF!</v>
      </c>
      <c r="E17" s="91" t="e">
        <f>'[1]РВ Баумана'!C17+#REF!+'[1]РВ Березовая Пойма'!C17+#REF!+'[1]РВ Новикова-Прибоя'!C17+#REF!</f>
        <v>#REF!</v>
      </c>
      <c r="F17" s="91" t="e">
        <f>'[1]РВ Баумана'!D17+#REF!+'[1]РВ Березовая Пойма'!D17+#REF!+'[1]РВ Новикова-Прибоя'!D17+#REF!</f>
        <v>#REF!</v>
      </c>
      <c r="G17" s="91" t="e">
        <f t="shared" si="1"/>
        <v>#REF!</v>
      </c>
      <c r="H17" s="92" t="e">
        <f t="shared" si="2"/>
        <v>#REF!</v>
      </c>
      <c r="I17" s="92" t="e">
        <f t="shared" si="2"/>
        <v>#REF!</v>
      </c>
      <c r="J17" s="92" t="e">
        <f t="shared" si="3"/>
        <v>#REF!</v>
      </c>
      <c r="K17" s="92" t="e">
        <f t="shared" si="4"/>
        <v>#REF!</v>
      </c>
      <c r="L17" s="92" t="e">
        <f t="shared" si="5"/>
        <v>#REF!</v>
      </c>
      <c r="M17" s="2" t="str">
        <f>IF(OR(WEEKDAY(A17)=1,WEEKDAY(A17)=7,NOT(ISERROR(MATCH(A17,[1]Праздники!A:A,0)))),"Выходной","Рабочий")</f>
        <v>Рабочий</v>
      </c>
    </row>
    <row r="18" spans="1:13">
      <c r="A18" s="224">
        <v>45790</v>
      </c>
      <c r="B18" s="225"/>
      <c r="C18" s="90" t="e">
        <f>'[1]РВ Баумана'!G18+#REF!+'[1]РВ Березовая Пойма'!G18+#REF!+'[1]РВ Новикова-Прибоя'!G18+#REF!</f>
        <v>#REF!</v>
      </c>
      <c r="D18" s="91" t="e">
        <f t="shared" si="0"/>
        <v>#REF!</v>
      </c>
      <c r="E18" s="91" t="e">
        <f>'[1]РВ Баумана'!C18+#REF!+'[1]РВ Березовая Пойма'!C18+#REF!+'[1]РВ Новикова-Прибоя'!C18+#REF!</f>
        <v>#REF!</v>
      </c>
      <c r="F18" s="91" t="e">
        <f>'[1]РВ Баумана'!D18+#REF!+'[1]РВ Березовая Пойма'!D18+#REF!+'[1]РВ Новикова-Прибоя'!D18+#REF!</f>
        <v>#REF!</v>
      </c>
      <c r="G18" s="91" t="e">
        <f t="shared" si="1"/>
        <v>#REF!</v>
      </c>
      <c r="H18" s="92" t="e">
        <f t="shared" si="2"/>
        <v>#REF!</v>
      </c>
      <c r="I18" s="92" t="e">
        <f t="shared" si="2"/>
        <v>#REF!</v>
      </c>
      <c r="J18" s="92" t="e">
        <f t="shared" si="3"/>
        <v>#REF!</v>
      </c>
      <c r="K18" s="92" t="e">
        <f t="shared" si="4"/>
        <v>#REF!</v>
      </c>
      <c r="L18" s="92" t="e">
        <f t="shared" si="5"/>
        <v>#REF!</v>
      </c>
      <c r="M18" s="2" t="str">
        <f>IF(OR(WEEKDAY(A18)=1,WEEKDAY(A18)=7,NOT(ISERROR(MATCH(A18,[1]Праздники!A:A,0)))),"Выходной","Рабочий")</f>
        <v>Рабочий</v>
      </c>
    </row>
    <row r="19" spans="1:13">
      <c r="A19" s="224">
        <v>45791</v>
      </c>
      <c r="B19" s="225"/>
      <c r="C19" s="90" t="e">
        <f>'[1]РВ Баумана'!G19+#REF!+'[1]РВ Березовая Пойма'!G19+#REF!+'[1]РВ Новикова-Прибоя'!G19+#REF!</f>
        <v>#REF!</v>
      </c>
      <c r="D19" s="91" t="e">
        <f t="shared" si="0"/>
        <v>#REF!</v>
      </c>
      <c r="E19" s="91" t="e">
        <f>'[1]РВ Баумана'!C19+#REF!+'[1]РВ Березовая Пойма'!C19+#REF!+'[1]РВ Новикова-Прибоя'!C19+#REF!</f>
        <v>#REF!</v>
      </c>
      <c r="F19" s="91" t="e">
        <f>'[1]РВ Баумана'!D19+#REF!+'[1]РВ Березовая Пойма'!D19+#REF!+'[1]РВ Новикова-Прибоя'!D19+#REF!</f>
        <v>#REF!</v>
      </c>
      <c r="G19" s="91" t="e">
        <f t="shared" si="1"/>
        <v>#REF!</v>
      </c>
      <c r="H19" s="92" t="e">
        <f t="shared" si="2"/>
        <v>#REF!</v>
      </c>
      <c r="I19" s="92" t="e">
        <f t="shared" si="2"/>
        <v>#REF!</v>
      </c>
      <c r="J19" s="92" t="e">
        <f t="shared" si="3"/>
        <v>#REF!</v>
      </c>
      <c r="K19" s="92" t="e">
        <f t="shared" si="4"/>
        <v>#REF!</v>
      </c>
      <c r="L19" s="92" t="e">
        <f t="shared" si="5"/>
        <v>#REF!</v>
      </c>
      <c r="M19" s="2" t="str">
        <f>IF(OR(WEEKDAY(A19)=1,WEEKDAY(A19)=7,NOT(ISERROR(MATCH(A19,[1]Праздники!A:A,0)))),"Выходной","Рабочий")</f>
        <v>Рабочий</v>
      </c>
    </row>
    <row r="20" spans="1:13">
      <c r="A20" s="224">
        <v>45792</v>
      </c>
      <c r="B20" s="225"/>
      <c r="C20" s="90" t="e">
        <f>'[1]РВ Баумана'!G20+#REF!+'[1]РВ Березовая Пойма'!G20+#REF!+'[1]РВ Новикова-Прибоя'!G20+#REF!</f>
        <v>#REF!</v>
      </c>
      <c r="D20" s="91" t="e">
        <f t="shared" si="0"/>
        <v>#REF!</v>
      </c>
      <c r="E20" s="91" t="e">
        <f>'[1]РВ Баумана'!C20+#REF!+'[1]РВ Березовая Пойма'!C20+#REF!+'[1]РВ Новикова-Прибоя'!C20+#REF!</f>
        <v>#REF!</v>
      </c>
      <c r="F20" s="91" t="e">
        <f>'[1]РВ Баумана'!D20+#REF!+'[1]РВ Березовая Пойма'!D20+#REF!+'[1]РВ Новикова-Прибоя'!D20+#REF!</f>
        <v>#REF!</v>
      </c>
      <c r="G20" s="91" t="e">
        <f t="shared" si="1"/>
        <v>#REF!</v>
      </c>
      <c r="H20" s="92" t="e">
        <f t="shared" si="2"/>
        <v>#REF!</v>
      </c>
      <c r="I20" s="92" t="e">
        <f t="shared" si="2"/>
        <v>#REF!</v>
      </c>
      <c r="J20" s="92" t="e">
        <f t="shared" si="3"/>
        <v>#REF!</v>
      </c>
      <c r="K20" s="92" t="e">
        <f t="shared" si="4"/>
        <v>#REF!</v>
      </c>
      <c r="L20" s="92" t="e">
        <f t="shared" si="5"/>
        <v>#REF!</v>
      </c>
      <c r="M20" s="2" t="str">
        <f>IF(OR(WEEKDAY(A20)=1,WEEKDAY(A20)=7,NOT(ISERROR(MATCH(A20,[1]Праздники!A:A,0)))),"Выходной","Рабочий")</f>
        <v>Рабочий</v>
      </c>
    </row>
    <row r="21" spans="1:13">
      <c r="A21" s="224">
        <v>45793</v>
      </c>
      <c r="B21" s="225"/>
      <c r="C21" s="90" t="e">
        <f>'[1]РВ Баумана'!G21+#REF!+'[1]РВ Березовая Пойма'!G21+#REF!+'[1]РВ Новикова-Прибоя'!G21+#REF!</f>
        <v>#REF!</v>
      </c>
      <c r="D21" s="91" t="e">
        <f t="shared" si="0"/>
        <v>#REF!</v>
      </c>
      <c r="E21" s="91" t="e">
        <f>'[1]РВ Баумана'!C21+#REF!+'[1]РВ Березовая Пойма'!C21+#REF!+'[1]РВ Новикова-Прибоя'!C21+#REF!</f>
        <v>#REF!</v>
      </c>
      <c r="F21" s="91" t="e">
        <f>'[1]РВ Баумана'!D21+#REF!+'[1]РВ Березовая Пойма'!D21+#REF!+'[1]РВ Новикова-Прибоя'!D21+#REF!</f>
        <v>#REF!</v>
      </c>
      <c r="G21" s="91" t="e">
        <f t="shared" si="1"/>
        <v>#REF!</v>
      </c>
      <c r="H21" s="92" t="e">
        <f t="shared" si="2"/>
        <v>#REF!</v>
      </c>
      <c r="I21" s="92" t="e">
        <f t="shared" si="2"/>
        <v>#REF!</v>
      </c>
      <c r="J21" s="92" t="e">
        <f t="shared" si="3"/>
        <v>#REF!</v>
      </c>
      <c r="K21" s="92" t="e">
        <f t="shared" si="4"/>
        <v>#REF!</v>
      </c>
      <c r="L21" s="92" t="e">
        <f t="shared" si="5"/>
        <v>#REF!</v>
      </c>
      <c r="M21" s="2" t="str">
        <f>IF(OR(WEEKDAY(A21)=1,WEEKDAY(A21)=7,NOT(ISERROR(MATCH(A21,[1]Праздники!A:A,0)))),"Выходной","Рабочий")</f>
        <v>Рабочий</v>
      </c>
    </row>
    <row r="22" spans="1:13">
      <c r="A22" s="224">
        <v>45794</v>
      </c>
      <c r="B22" s="225"/>
      <c r="C22" s="90" t="e">
        <f>'[1]РВ Баумана'!G22+#REF!+'[1]РВ Березовая Пойма'!G22+#REF!+'[1]РВ Новикова-Прибоя'!G22+#REF!</f>
        <v>#REF!</v>
      </c>
      <c r="D22" s="91" t="e">
        <f t="shared" si="0"/>
        <v>#REF!</v>
      </c>
      <c r="E22" s="91" t="e">
        <f>'[1]РВ Баумана'!C22+#REF!+'[1]РВ Березовая Пойма'!C22+#REF!+'[1]РВ Новикова-Прибоя'!C22+#REF!</f>
        <v>#REF!</v>
      </c>
      <c r="F22" s="91" t="e">
        <f>'[1]РВ Баумана'!D22+#REF!+'[1]РВ Березовая Пойма'!D22+#REF!+'[1]РВ Новикова-Прибоя'!D22+#REF!</f>
        <v>#REF!</v>
      </c>
      <c r="G22" s="91" t="e">
        <f t="shared" si="1"/>
        <v>#REF!</v>
      </c>
      <c r="H22" s="92" t="e">
        <f t="shared" si="2"/>
        <v>#REF!</v>
      </c>
      <c r="I22" s="92" t="e">
        <f t="shared" si="2"/>
        <v>#REF!</v>
      </c>
      <c r="J22" s="92" t="e">
        <f t="shared" si="3"/>
        <v>#REF!</v>
      </c>
      <c r="K22" s="92" t="e">
        <f t="shared" si="4"/>
        <v>#REF!</v>
      </c>
      <c r="L22" s="92" t="e">
        <f t="shared" si="5"/>
        <v>#REF!</v>
      </c>
      <c r="M22" s="2" t="str">
        <f>IF(OR(WEEKDAY(A22)=1,WEEKDAY(A22)=7,NOT(ISERROR(MATCH(A22,[1]Праздники!A:A,0)))),"Выходной","Рабочий")</f>
        <v>Выходной</v>
      </c>
    </row>
    <row r="23" spans="1:13">
      <c r="A23" s="224">
        <v>45795</v>
      </c>
      <c r="B23" s="225"/>
      <c r="C23" s="90" t="e">
        <f>'[1]РВ Баумана'!G23+#REF!+'[1]РВ Березовая Пойма'!G23+#REF!+'[1]РВ Новикова-Прибоя'!G23+#REF!</f>
        <v>#REF!</v>
      </c>
      <c r="D23" s="91" t="e">
        <f t="shared" si="0"/>
        <v>#REF!</v>
      </c>
      <c r="E23" s="91" t="e">
        <f>'[1]РВ Баумана'!C23+#REF!+'[1]РВ Березовая Пойма'!C23+#REF!+'[1]РВ Новикова-Прибоя'!C23+#REF!</f>
        <v>#REF!</v>
      </c>
      <c r="F23" s="91" t="e">
        <f>'[1]РВ Баумана'!D23+#REF!+'[1]РВ Березовая Пойма'!D23+#REF!+'[1]РВ Новикова-Прибоя'!D23+#REF!</f>
        <v>#REF!</v>
      </c>
      <c r="G23" s="91" t="e">
        <f t="shared" si="1"/>
        <v>#REF!</v>
      </c>
      <c r="H23" s="92" t="e">
        <f t="shared" si="2"/>
        <v>#REF!</v>
      </c>
      <c r="I23" s="92" t="e">
        <f t="shared" si="2"/>
        <v>#REF!</v>
      </c>
      <c r="J23" s="92" t="e">
        <f t="shared" si="3"/>
        <v>#REF!</v>
      </c>
      <c r="K23" s="92" t="e">
        <f t="shared" si="4"/>
        <v>#REF!</v>
      </c>
      <c r="L23" s="92" t="e">
        <f t="shared" si="5"/>
        <v>#REF!</v>
      </c>
      <c r="M23" s="2" t="str">
        <f>IF(OR(WEEKDAY(A23)=1,WEEKDAY(A23)=7,NOT(ISERROR(MATCH(A23,[1]Праздники!A:A,0)))),"Выходной","Рабочий")</f>
        <v>Выходной</v>
      </c>
    </row>
    <row r="24" spans="1:13">
      <c r="A24" s="224">
        <v>45796</v>
      </c>
      <c r="B24" s="225"/>
      <c r="C24" s="90" t="e">
        <f>'[1]РВ Баумана'!G24+#REF!+'[1]РВ Березовая Пойма'!G24+#REF!+'[1]РВ Новикова-Прибоя'!G24+#REF!</f>
        <v>#REF!</v>
      </c>
      <c r="D24" s="91" t="e">
        <f t="shared" si="0"/>
        <v>#REF!</v>
      </c>
      <c r="E24" s="91" t="e">
        <f>'[1]РВ Баумана'!C24+#REF!+'[1]РВ Березовая Пойма'!C24+#REF!+'[1]РВ Новикова-Прибоя'!C24+#REF!</f>
        <v>#REF!</v>
      </c>
      <c r="F24" s="91" t="e">
        <f>'[1]РВ Баумана'!D24+#REF!+'[1]РВ Березовая Пойма'!D24+#REF!+'[1]РВ Новикова-Прибоя'!D24+#REF!</f>
        <v>#REF!</v>
      </c>
      <c r="G24" s="91" t="e">
        <f t="shared" si="1"/>
        <v>#REF!</v>
      </c>
      <c r="H24" s="92" t="e">
        <f t="shared" si="2"/>
        <v>#REF!</v>
      </c>
      <c r="I24" s="92" t="e">
        <f t="shared" si="2"/>
        <v>#REF!</v>
      </c>
      <c r="J24" s="92" t="e">
        <f t="shared" si="3"/>
        <v>#REF!</v>
      </c>
      <c r="K24" s="92" t="e">
        <f t="shared" si="4"/>
        <v>#REF!</v>
      </c>
      <c r="L24" s="92" t="e">
        <f t="shared" si="5"/>
        <v>#REF!</v>
      </c>
      <c r="M24" s="2" t="str">
        <f>IF(OR(WEEKDAY(A24)=1,WEEKDAY(A24)=7,NOT(ISERROR(MATCH(A24,[1]Праздники!A:A,0)))),"Выходной","Рабочий")</f>
        <v>Рабочий</v>
      </c>
    </row>
    <row r="25" spans="1:13">
      <c r="A25" s="224">
        <v>45797</v>
      </c>
      <c r="B25" s="225"/>
      <c r="C25" s="90" t="e">
        <f>'[1]РВ Баумана'!G25+#REF!+'[1]РВ Березовая Пойма'!G25+#REF!+'[1]РВ Новикова-Прибоя'!G25+#REF!</f>
        <v>#REF!</v>
      </c>
      <c r="D25" s="91" t="e">
        <f t="shared" si="0"/>
        <v>#REF!</v>
      </c>
      <c r="E25" s="91" t="e">
        <f>'[1]РВ Баумана'!C25+#REF!+'[1]РВ Березовая Пойма'!C25+#REF!+'[1]РВ Новикова-Прибоя'!C25+#REF!</f>
        <v>#REF!</v>
      </c>
      <c r="F25" s="91" t="e">
        <f>'[1]РВ Баумана'!D25+#REF!+'[1]РВ Березовая Пойма'!D25+#REF!+'[1]РВ Новикова-Прибоя'!D25+#REF!</f>
        <v>#REF!</v>
      </c>
      <c r="G25" s="91" t="e">
        <f t="shared" si="1"/>
        <v>#REF!</v>
      </c>
      <c r="H25" s="92" t="e">
        <f t="shared" si="2"/>
        <v>#REF!</v>
      </c>
      <c r="I25" s="92" t="e">
        <f t="shared" si="2"/>
        <v>#REF!</v>
      </c>
      <c r="J25" s="92" t="e">
        <f t="shared" si="3"/>
        <v>#REF!</v>
      </c>
      <c r="K25" s="92" t="e">
        <f t="shared" si="4"/>
        <v>#REF!</v>
      </c>
      <c r="L25" s="92" t="e">
        <f t="shared" si="5"/>
        <v>#REF!</v>
      </c>
      <c r="M25" s="2" t="str">
        <f>IF(OR(WEEKDAY(A25)=1,WEEKDAY(A25)=7,NOT(ISERROR(MATCH(A25,[1]Праздники!A:A,0)))),"Выходной","Рабочий")</f>
        <v>Рабочий</v>
      </c>
    </row>
    <row r="26" spans="1:13">
      <c r="A26" s="224">
        <v>45798</v>
      </c>
      <c r="B26" s="225"/>
      <c r="C26" s="90" t="e">
        <f>'[1]РВ Баумана'!G26+#REF!+'[1]РВ Березовая Пойма'!G26+#REF!+'[1]РВ Новикова-Прибоя'!G26+#REF!</f>
        <v>#REF!</v>
      </c>
      <c r="D26" s="91" t="e">
        <f t="shared" si="0"/>
        <v>#REF!</v>
      </c>
      <c r="E26" s="91" t="e">
        <f>'[1]РВ Баумана'!C26+#REF!+'[1]РВ Березовая Пойма'!C26+#REF!+'[1]РВ Новикова-Прибоя'!C26+#REF!</f>
        <v>#REF!</v>
      </c>
      <c r="F26" s="91" t="e">
        <f>'[1]РВ Баумана'!D26+#REF!+'[1]РВ Березовая Пойма'!D26+#REF!+'[1]РВ Новикова-Прибоя'!D26+#REF!</f>
        <v>#REF!</v>
      </c>
      <c r="G26" s="91" t="e">
        <f t="shared" si="1"/>
        <v>#REF!</v>
      </c>
      <c r="H26" s="92" t="e">
        <f t="shared" si="2"/>
        <v>#REF!</v>
      </c>
      <c r="I26" s="92" t="e">
        <f t="shared" si="2"/>
        <v>#REF!</v>
      </c>
      <c r="J26" s="92" t="e">
        <f t="shared" si="3"/>
        <v>#REF!</v>
      </c>
      <c r="K26" s="92" t="e">
        <f t="shared" si="4"/>
        <v>#REF!</v>
      </c>
      <c r="L26" s="92" t="e">
        <f t="shared" si="5"/>
        <v>#REF!</v>
      </c>
      <c r="M26" s="2" t="str">
        <f>IF(OR(WEEKDAY(A26)=1,WEEKDAY(A26)=7,NOT(ISERROR(MATCH(A26,[1]Праздники!A:A,0)))),"Выходной","Рабочий")</f>
        <v>Рабочий</v>
      </c>
    </row>
    <row r="27" spans="1:13" ht="15" customHeight="1">
      <c r="A27" s="224">
        <v>45799</v>
      </c>
      <c r="B27" s="225"/>
      <c r="C27" s="90" t="e">
        <f>'[1]РВ Баумана'!G27+#REF!+'[1]РВ Березовая Пойма'!G27+#REF!+'[1]РВ Новикова-Прибоя'!G27+#REF!</f>
        <v>#REF!</v>
      </c>
      <c r="D27" s="91" t="e">
        <f t="shared" si="0"/>
        <v>#REF!</v>
      </c>
      <c r="E27" s="91" t="e">
        <f>'[1]РВ Баумана'!C27+#REF!+'[1]РВ Березовая Пойма'!C27+#REF!+'[1]РВ Новикова-Прибоя'!C27+#REF!</f>
        <v>#REF!</v>
      </c>
      <c r="F27" s="91" t="e">
        <f>'[1]РВ Баумана'!D27+#REF!+'[1]РВ Березовая Пойма'!D27+#REF!+'[1]РВ Новикова-Прибоя'!D27+#REF!</f>
        <v>#REF!</v>
      </c>
      <c r="G27" s="91" t="e">
        <f t="shared" si="1"/>
        <v>#REF!</v>
      </c>
      <c r="H27" s="92" t="e">
        <f t="shared" si="2"/>
        <v>#REF!</v>
      </c>
      <c r="I27" s="92" t="e">
        <f t="shared" si="2"/>
        <v>#REF!</v>
      </c>
      <c r="J27" s="92" t="e">
        <f t="shared" si="3"/>
        <v>#REF!</v>
      </c>
      <c r="K27" s="92" t="e">
        <f t="shared" si="4"/>
        <v>#REF!</v>
      </c>
      <c r="L27" s="92" t="e">
        <f t="shared" si="5"/>
        <v>#REF!</v>
      </c>
      <c r="M27" s="2" t="str">
        <f>IF(OR(WEEKDAY(A27)=1,WEEKDAY(A27)=7,NOT(ISERROR(MATCH(A27,[1]Праздники!A:A,0)))),"Выходной","Рабочий")</f>
        <v>Рабочий</v>
      </c>
    </row>
    <row r="28" spans="1:13">
      <c r="A28" s="224">
        <v>45800</v>
      </c>
      <c r="B28" s="225"/>
      <c r="C28" s="90" t="e">
        <f>'[1]РВ Баумана'!G28+#REF!+'[1]РВ Березовая Пойма'!G28+#REF!+'[1]РВ Новикова-Прибоя'!G28+#REF!</f>
        <v>#REF!</v>
      </c>
      <c r="D28" s="91" t="e">
        <f t="shared" si="0"/>
        <v>#REF!</v>
      </c>
      <c r="E28" s="91" t="e">
        <f>'[1]РВ Баумана'!C28+#REF!+'[1]РВ Березовая Пойма'!C28+#REF!+'[1]РВ Новикова-Прибоя'!C28+#REF!</f>
        <v>#REF!</v>
      </c>
      <c r="F28" s="91" t="e">
        <f>'[1]РВ Баумана'!D28+#REF!+'[1]РВ Березовая Пойма'!D28+#REF!+'[1]РВ Новикова-Прибоя'!D28+#REF!</f>
        <v>#REF!</v>
      </c>
      <c r="G28" s="91" t="e">
        <f t="shared" si="1"/>
        <v>#REF!</v>
      </c>
      <c r="H28" s="92" t="e">
        <f t="shared" si="2"/>
        <v>#REF!</v>
      </c>
      <c r="I28" s="92" t="e">
        <f t="shared" si="2"/>
        <v>#REF!</v>
      </c>
      <c r="J28" s="92" t="e">
        <f t="shared" si="3"/>
        <v>#REF!</v>
      </c>
      <c r="K28" s="92" t="e">
        <f t="shared" si="4"/>
        <v>#REF!</v>
      </c>
      <c r="L28" s="92" t="e">
        <f t="shared" si="5"/>
        <v>#REF!</v>
      </c>
      <c r="M28" s="2" t="str">
        <f>IF(OR(WEEKDAY(A28)=1,WEEKDAY(A28)=7,NOT(ISERROR(MATCH(A28,[1]Праздники!A:A,0)))),"Выходной","Рабочий")</f>
        <v>Рабочий</v>
      </c>
    </row>
    <row r="29" spans="1:13">
      <c r="A29" s="224">
        <v>45801</v>
      </c>
      <c r="B29" s="225"/>
      <c r="C29" s="90" t="e">
        <f>'[1]РВ Баумана'!G29+#REF!+'[1]РВ Березовая Пойма'!G29+#REF!+'[1]РВ Новикова-Прибоя'!G29+#REF!</f>
        <v>#REF!</v>
      </c>
      <c r="D29" s="91" t="e">
        <f t="shared" si="0"/>
        <v>#REF!</v>
      </c>
      <c r="E29" s="91" t="e">
        <f>'[1]РВ Баумана'!C29+#REF!+'[1]РВ Березовая Пойма'!C29+#REF!+'[1]РВ Новикова-Прибоя'!C29+#REF!</f>
        <v>#REF!</v>
      </c>
      <c r="F29" s="91" t="e">
        <f>'[1]РВ Баумана'!D29+#REF!+'[1]РВ Березовая Пойма'!D29+#REF!+'[1]РВ Новикова-Прибоя'!D29+#REF!</f>
        <v>#REF!</v>
      </c>
      <c r="G29" s="91" t="e">
        <f t="shared" si="1"/>
        <v>#REF!</v>
      </c>
      <c r="H29" s="92" t="e">
        <f t="shared" si="2"/>
        <v>#REF!</v>
      </c>
      <c r="I29" s="92" t="e">
        <f t="shared" si="2"/>
        <v>#REF!</v>
      </c>
      <c r="J29" s="92" t="e">
        <f t="shared" si="3"/>
        <v>#REF!</v>
      </c>
      <c r="K29" s="92" t="e">
        <f t="shared" si="4"/>
        <v>#REF!</v>
      </c>
      <c r="L29" s="92" t="e">
        <f t="shared" si="5"/>
        <v>#REF!</v>
      </c>
      <c r="M29" s="2" t="str">
        <f>IF(OR(WEEKDAY(A29)=1,WEEKDAY(A29)=7,NOT(ISERROR(MATCH(A29,[1]Праздники!A:A,0)))),"Выходной","Рабочий")</f>
        <v>Выходной</v>
      </c>
    </row>
    <row r="30" spans="1:13">
      <c r="A30" s="224">
        <v>45802</v>
      </c>
      <c r="B30" s="225"/>
      <c r="C30" s="90" t="e">
        <f>'[1]РВ Баумана'!G30+#REF!+'[1]РВ Березовая Пойма'!G30+#REF!+'[1]РВ Новикова-Прибоя'!G30+#REF!</f>
        <v>#REF!</v>
      </c>
      <c r="D30" s="91" t="e">
        <f t="shared" si="0"/>
        <v>#REF!</v>
      </c>
      <c r="E30" s="91" t="e">
        <f>'[1]РВ Баумана'!C30+#REF!+'[1]РВ Березовая Пойма'!C30+#REF!+'[1]РВ Новикова-Прибоя'!C30+#REF!</f>
        <v>#REF!</v>
      </c>
      <c r="F30" s="91" t="e">
        <f>'[1]РВ Баумана'!D30+#REF!+'[1]РВ Березовая Пойма'!D30+#REF!+'[1]РВ Новикова-Прибоя'!D30+#REF!</f>
        <v>#REF!</v>
      </c>
      <c r="G30" s="91" t="e">
        <f t="shared" si="1"/>
        <v>#REF!</v>
      </c>
      <c r="H30" s="92" t="e">
        <f t="shared" si="2"/>
        <v>#REF!</v>
      </c>
      <c r="I30" s="92" t="e">
        <f t="shared" si="2"/>
        <v>#REF!</v>
      </c>
      <c r="J30" s="92" t="e">
        <f t="shared" si="3"/>
        <v>#REF!</v>
      </c>
      <c r="K30" s="92" t="e">
        <f t="shared" si="4"/>
        <v>#REF!</v>
      </c>
      <c r="L30" s="92" t="e">
        <f t="shared" si="5"/>
        <v>#REF!</v>
      </c>
      <c r="M30" s="2" t="str">
        <f>IF(OR(WEEKDAY(A30)=1,WEEKDAY(A30)=7,NOT(ISERROR(MATCH(A30,[1]Праздники!A:A,0)))),"Выходной","Рабочий")</f>
        <v>Выходной</v>
      </c>
    </row>
    <row r="31" spans="1:13">
      <c r="A31" s="224">
        <v>45803</v>
      </c>
      <c r="B31" s="225"/>
      <c r="C31" s="90" t="e">
        <f>'[1]РВ Баумана'!G31+#REF!+'[1]РВ Березовая Пойма'!G31+#REF!+'[1]РВ Новикова-Прибоя'!G31+#REF!</f>
        <v>#REF!</v>
      </c>
      <c r="D31" s="91" t="e">
        <f t="shared" si="0"/>
        <v>#REF!</v>
      </c>
      <c r="E31" s="91" t="e">
        <f>'[1]РВ Баумана'!C31+#REF!+'[1]РВ Березовая Пойма'!C31+#REF!+'[1]РВ Новикова-Прибоя'!C31+#REF!</f>
        <v>#REF!</v>
      </c>
      <c r="F31" s="91" t="e">
        <f>'[1]РВ Баумана'!D31+#REF!+'[1]РВ Березовая Пойма'!D31+#REF!+'[1]РВ Новикова-Прибоя'!D31+#REF!</f>
        <v>#REF!</v>
      </c>
      <c r="G31" s="91" t="e">
        <f t="shared" si="1"/>
        <v>#REF!</v>
      </c>
      <c r="H31" s="92" t="e">
        <f t="shared" si="2"/>
        <v>#REF!</v>
      </c>
      <c r="I31" s="92" t="e">
        <f t="shared" si="2"/>
        <v>#REF!</v>
      </c>
      <c r="J31" s="92" t="e">
        <f t="shared" si="3"/>
        <v>#REF!</v>
      </c>
      <c r="K31" s="92" t="e">
        <f t="shared" si="4"/>
        <v>#REF!</v>
      </c>
      <c r="L31" s="92" t="e">
        <f t="shared" si="5"/>
        <v>#REF!</v>
      </c>
      <c r="M31" s="2" t="str">
        <f>IF(OR(WEEKDAY(A31)=1,WEEKDAY(A31)=7,NOT(ISERROR(MATCH(A31,[1]Праздники!A:A,0)))),"Выходной","Рабочий")</f>
        <v>Рабочий</v>
      </c>
    </row>
    <row r="32" spans="1:13">
      <c r="A32" s="224">
        <v>45804</v>
      </c>
      <c r="B32" s="225"/>
      <c r="C32" s="90" t="e">
        <f>'[1]РВ Баумана'!G32+#REF!+'[1]РВ Березовая Пойма'!G32+#REF!+'[1]РВ Новикова-Прибоя'!G32+#REF!</f>
        <v>#REF!</v>
      </c>
      <c r="D32" s="91" t="e">
        <f t="shared" si="0"/>
        <v>#REF!</v>
      </c>
      <c r="E32" s="91" t="e">
        <f>'[1]РВ Баумана'!C32+#REF!+'[1]РВ Березовая Пойма'!C32+#REF!+'[1]РВ Новикова-Прибоя'!C32+#REF!</f>
        <v>#REF!</v>
      </c>
      <c r="F32" s="91" t="e">
        <f>'[1]РВ Баумана'!D32+#REF!+'[1]РВ Березовая Пойма'!D32+#REF!+'[1]РВ Новикова-Прибоя'!D32+#REF!</f>
        <v>#REF!</v>
      </c>
      <c r="G32" s="91" t="e">
        <f t="shared" si="1"/>
        <v>#REF!</v>
      </c>
      <c r="H32" s="92" t="e">
        <f t="shared" si="2"/>
        <v>#REF!</v>
      </c>
      <c r="I32" s="92" t="e">
        <f t="shared" si="2"/>
        <v>#REF!</v>
      </c>
      <c r="J32" s="92" t="e">
        <f t="shared" si="3"/>
        <v>#REF!</v>
      </c>
      <c r="K32" s="92" t="e">
        <f t="shared" si="4"/>
        <v>#REF!</v>
      </c>
      <c r="L32" s="92" t="e">
        <f t="shared" si="5"/>
        <v>#REF!</v>
      </c>
      <c r="M32" s="2" t="str">
        <f>IF(OR(WEEKDAY(A32)=1,WEEKDAY(A32)=7,NOT(ISERROR(MATCH(A32,[1]Праздники!A:A,0)))),"Выходной","Рабочий")</f>
        <v>Рабочий</v>
      </c>
    </row>
    <row r="33" spans="1:14">
      <c r="A33" s="224">
        <v>45805</v>
      </c>
      <c r="B33" s="225"/>
      <c r="C33" s="90" t="e">
        <f>'[1]РВ Баумана'!G33+#REF!+'[1]РВ Березовая Пойма'!G33+#REF!+'[1]РВ Новикова-Прибоя'!G33+#REF!</f>
        <v>#REF!</v>
      </c>
      <c r="D33" s="91" t="e">
        <f t="shared" si="0"/>
        <v>#REF!</v>
      </c>
      <c r="E33" s="91" t="e">
        <f>'[1]РВ Баумана'!C33+#REF!+'[1]РВ Березовая Пойма'!C33+#REF!+'[1]РВ Новикова-Прибоя'!C33+#REF!</f>
        <v>#REF!</v>
      </c>
      <c r="F33" s="91" t="e">
        <f>'[1]РВ Баумана'!D33+#REF!+'[1]РВ Березовая Пойма'!D33+#REF!+'[1]РВ Новикова-Прибоя'!D33+#REF!</f>
        <v>#REF!</v>
      </c>
      <c r="G33" s="91" t="e">
        <f t="shared" si="1"/>
        <v>#REF!</v>
      </c>
      <c r="H33" s="92" t="e">
        <f t="shared" si="2"/>
        <v>#REF!</v>
      </c>
      <c r="I33" s="92" t="e">
        <f t="shared" si="2"/>
        <v>#REF!</v>
      </c>
      <c r="J33" s="92" t="e">
        <f t="shared" si="3"/>
        <v>#REF!</v>
      </c>
      <c r="K33" s="92" t="e">
        <f t="shared" si="4"/>
        <v>#REF!</v>
      </c>
      <c r="L33" s="92" t="e">
        <f t="shared" si="5"/>
        <v>#REF!</v>
      </c>
      <c r="M33" s="2" t="str">
        <f>IF(OR(WEEKDAY(A33)=1,WEEKDAY(A33)=7,NOT(ISERROR(MATCH(A33,[1]Праздники!A:A,0)))),"Выходной","Рабочий")</f>
        <v>Рабочий</v>
      </c>
    </row>
    <row r="34" spans="1:14">
      <c r="A34" s="224">
        <v>45806</v>
      </c>
      <c r="B34" s="225"/>
      <c r="C34" s="90" t="e">
        <f>'[1]РВ Баумана'!G34+#REF!+'[1]РВ Березовая Пойма'!G34+#REF!+'[1]РВ Новикова-Прибоя'!G34+#REF!</f>
        <v>#REF!</v>
      </c>
      <c r="D34" s="91" t="e">
        <f t="shared" si="0"/>
        <v>#REF!</v>
      </c>
      <c r="E34" s="91" t="e">
        <f>'[1]РВ Баумана'!C34+#REF!+'[1]РВ Березовая Пойма'!C34+#REF!+'[1]РВ Новикова-Прибоя'!C34+#REF!</f>
        <v>#REF!</v>
      </c>
      <c r="F34" s="91" t="e">
        <f>'[1]РВ Баумана'!D34+#REF!+'[1]РВ Березовая Пойма'!D34+#REF!+'[1]РВ Новикова-Прибоя'!D34+#REF!</f>
        <v>#REF!</v>
      </c>
      <c r="G34" s="91" t="e">
        <f t="shared" si="1"/>
        <v>#REF!</v>
      </c>
      <c r="H34" s="92" t="e">
        <f t="shared" si="2"/>
        <v>#REF!</v>
      </c>
      <c r="I34" s="92" t="e">
        <f t="shared" si="2"/>
        <v>#REF!</v>
      </c>
      <c r="J34" s="92" t="e">
        <f t="shared" si="3"/>
        <v>#REF!</v>
      </c>
      <c r="K34" s="92" t="e">
        <f t="shared" si="4"/>
        <v>#REF!</v>
      </c>
      <c r="L34" s="92" t="e">
        <f t="shared" si="5"/>
        <v>#REF!</v>
      </c>
      <c r="M34" s="2" t="str">
        <f>IF(OR(WEEKDAY(A34)=1,WEEKDAY(A34)=7,NOT(ISERROR(MATCH(A34,[1]Праздники!A:A,0)))),"Выходной","Рабочий")</f>
        <v>Рабочий</v>
      </c>
    </row>
    <row r="35" spans="1:14">
      <c r="A35" s="224">
        <v>45807</v>
      </c>
      <c r="B35" s="225"/>
      <c r="C35" s="90" t="e">
        <f>'[1]РВ Баумана'!G35+#REF!+'[1]РВ Березовая Пойма'!G35+#REF!+'[1]РВ Новикова-Прибоя'!G35+#REF!</f>
        <v>#REF!</v>
      </c>
      <c r="D35" s="91" t="e">
        <f t="shared" si="0"/>
        <v>#REF!</v>
      </c>
      <c r="E35" s="91" t="e">
        <f>'[1]РВ Баумана'!C35+#REF!+'[1]РВ Березовая Пойма'!C35+#REF!+'[1]РВ Новикова-Прибоя'!C35+#REF!</f>
        <v>#REF!</v>
      </c>
      <c r="F35" s="91" t="e">
        <f>'[1]РВ Баумана'!D35+#REF!+'[1]РВ Березовая Пойма'!D35+#REF!+'[1]РВ Новикова-Прибоя'!D35+#REF!</f>
        <v>#REF!</v>
      </c>
      <c r="G35" s="91" t="e">
        <f t="shared" si="1"/>
        <v>#REF!</v>
      </c>
      <c r="H35" s="92" t="e">
        <f t="shared" si="2"/>
        <v>#REF!</v>
      </c>
      <c r="I35" s="92" t="e">
        <f t="shared" si="2"/>
        <v>#REF!</v>
      </c>
      <c r="J35" s="92" t="e">
        <f t="shared" si="3"/>
        <v>#REF!</v>
      </c>
      <c r="K35" s="92" t="e">
        <f t="shared" si="4"/>
        <v>#REF!</v>
      </c>
      <c r="L35" s="92" t="e">
        <f t="shared" si="5"/>
        <v>#REF!</v>
      </c>
      <c r="M35" s="2" t="str">
        <f>IF(OR(WEEKDAY(A35)=1,WEEKDAY(A35)=7,NOT(ISERROR(MATCH(A35,[1]Праздники!A:A,0)))),"Выходной","Рабочий")</f>
        <v>Рабочий</v>
      </c>
    </row>
    <row r="36" spans="1:14" ht="15.75" thickBot="1">
      <c r="A36" s="224">
        <v>45808</v>
      </c>
      <c r="B36" s="225"/>
      <c r="C36" s="90" t="e">
        <f>'[1]РВ Баумана'!G36+#REF!+'[1]РВ Березовая Пойма'!G36+#REF!+'[1]РВ Новикова-Прибоя'!G36+#REF!</f>
        <v>#REF!</v>
      </c>
      <c r="D36" s="91" t="e">
        <f t="shared" si="0"/>
        <v>#REF!</v>
      </c>
      <c r="E36" s="91" t="e">
        <f>'[1]РВ Баумана'!C36+#REF!+'[1]РВ Березовая Пойма'!C36+#REF!+'[1]РВ Новикова-Прибоя'!C36+#REF!</f>
        <v>#REF!</v>
      </c>
      <c r="F36" s="91" t="e">
        <f>'[1]РВ Баумана'!D36+#REF!+'[1]РВ Березовая Пойма'!D36+#REF!+'[1]РВ Новикова-Прибоя'!D36+#REF!</f>
        <v>#REF!</v>
      </c>
      <c r="G36" s="91" t="e">
        <f t="shared" si="1"/>
        <v>#REF!</v>
      </c>
      <c r="H36" s="92" t="e">
        <f t="shared" si="2"/>
        <v>#REF!</v>
      </c>
      <c r="I36" s="92" t="e">
        <f t="shared" si="2"/>
        <v>#REF!</v>
      </c>
      <c r="J36" s="92" t="e">
        <f t="shared" si="3"/>
        <v>#REF!</v>
      </c>
      <c r="K36" s="92" t="e">
        <f t="shared" si="4"/>
        <v>#REF!</v>
      </c>
      <c r="L36" s="92" t="e">
        <f t="shared" si="5"/>
        <v>#REF!</v>
      </c>
      <c r="M36" s="2" t="str">
        <f>IF(OR(WEEKDAY(A36)=1,WEEKDAY(A36)=7,NOT(ISERROR(MATCH(A36,[1]Праздники!A:A,0)))),"Выходной","Рабочий")</f>
        <v>Выходной</v>
      </c>
    </row>
    <row r="37" spans="1:14" ht="15.75" thickBot="1">
      <c r="C37" s="93" t="e">
        <f t="shared" ref="C37:L37" si="6">SUM(C6:C36)</f>
        <v>#REF!</v>
      </c>
      <c r="D37" s="93" t="e">
        <f t="shared" si="6"/>
        <v>#REF!</v>
      </c>
      <c r="E37" s="93" t="e">
        <f t="shared" si="6"/>
        <v>#REF!</v>
      </c>
      <c r="F37" s="93" t="e">
        <f t="shared" si="6"/>
        <v>#REF!</v>
      </c>
      <c r="G37" s="93" t="e">
        <f t="shared" si="6"/>
        <v>#REF!</v>
      </c>
      <c r="H37" s="94" t="e">
        <f t="shared" si="6"/>
        <v>#REF!</v>
      </c>
      <c r="I37" s="94" t="e">
        <f t="shared" si="6"/>
        <v>#REF!</v>
      </c>
      <c r="J37" s="94" t="e">
        <f t="shared" si="6"/>
        <v>#REF!</v>
      </c>
      <c r="K37" s="94" t="e">
        <f t="shared" si="6"/>
        <v>#REF!</v>
      </c>
      <c r="L37" s="95" t="e">
        <f t="shared" si="6"/>
        <v>#REF!</v>
      </c>
    </row>
    <row r="38" spans="1:14" ht="15.75" thickBot="1">
      <c r="C38" s="89"/>
      <c r="H38" s="89"/>
      <c r="I38" s="89"/>
      <c r="J38" s="89"/>
      <c r="K38" s="89"/>
      <c r="L38" s="96" t="e">
        <f>L37*1.2</f>
        <v>#REF!</v>
      </c>
      <c r="N38" s="97"/>
    </row>
    <row r="39" spans="1:14">
      <c r="C39" s="89"/>
      <c r="H39" s="89"/>
      <c r="I39" s="89"/>
      <c r="J39" s="89"/>
      <c r="K39" s="89"/>
    </row>
    <row r="40" spans="1:14">
      <c r="C40" s="89"/>
      <c r="H40" s="89"/>
      <c r="I40" s="89"/>
      <c r="J40" s="89"/>
      <c r="K40" s="89"/>
    </row>
  </sheetData>
  <mergeCells count="42"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12:B12"/>
    <mergeCell ref="H4:H5"/>
    <mergeCell ref="I4:I5"/>
    <mergeCell ref="J4:J5"/>
    <mergeCell ref="K4:K5"/>
    <mergeCell ref="A7:B7"/>
    <mergeCell ref="A8:B8"/>
    <mergeCell ref="A9:B9"/>
    <mergeCell ref="A10:B10"/>
    <mergeCell ref="A11:B11"/>
    <mergeCell ref="L4:L5"/>
    <mergeCell ref="A6:B6"/>
    <mergeCell ref="A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Лист1</vt:lpstr>
      <vt:lpstr>Биаксплен Новосибирск</vt:lpstr>
      <vt:lpstr>ИТОГО</vt:lpstr>
      <vt:lpstr>Сводка</vt:lpstr>
      <vt:lpstr>Другое</vt:lpstr>
      <vt:lpstr>Нижнекамск завод</vt:lpstr>
      <vt:lpstr>Резерв</vt:lpstr>
      <vt:lpstr>РВ Баумана</vt:lpstr>
      <vt:lpstr>РВ Березовая Пойма</vt:lpstr>
      <vt:lpstr>РВ Новикова-Прибоя</vt:lpstr>
      <vt:lpstr>Нижнекамск экспорт</vt:lpstr>
      <vt:lpstr>Баумана экспорт</vt:lpstr>
      <vt:lpstr>Зеленодольск экспорт</vt:lpstr>
      <vt:lpstr>Литейные решения</vt:lpstr>
      <vt:lpstr>ЛС-Техномет</vt:lpstr>
      <vt:lpstr>Сандекс</vt:lpstr>
      <vt:lpstr>СтройТех</vt:lpstr>
      <vt:lpstr>Доктор Франк</vt:lpstr>
      <vt:lpstr>Ергарда</vt:lpstr>
      <vt:lpstr>Зеленодольск Доп услуги</vt:lpstr>
      <vt:lpstr>Казань_Приволжская экспорт</vt:lpstr>
      <vt:lpstr>Казань_Автосервисная экспорт</vt:lpstr>
      <vt:lpstr>Екатеринбург экспорт</vt:lpstr>
      <vt:lpstr>Баумана KPI</vt:lpstr>
      <vt:lpstr>Баумана Полимеры</vt:lpstr>
      <vt:lpstr>Баумана Полиом</vt:lpstr>
      <vt:lpstr>Лист1 (2)</vt:lpstr>
      <vt:lpstr>Лист1 (3)</vt:lpstr>
      <vt:lpstr>Лист1 (4)</vt:lpstr>
      <vt:lpstr>Екатеринбург KPI</vt:lpstr>
      <vt:lpstr>Екатеринбург Полимеры</vt:lpstr>
      <vt:lpstr>Екатеринбург Полиом</vt:lpstr>
      <vt:lpstr>Екатеринбург НПЭГ</vt:lpstr>
      <vt:lpstr>Зеленодольск Полимеры</vt:lpstr>
      <vt:lpstr>Данафлекс Зеленодольск</vt:lpstr>
      <vt:lpstr>Казань_Автосервисная Полимеры</vt:lpstr>
      <vt:lpstr>Казань_Автосервисная Полиом</vt:lpstr>
      <vt:lpstr>Казань_Приволжская Полимеры</vt:lpstr>
      <vt:lpstr>Нижнекамск НПЭГ</vt:lpstr>
      <vt:lpstr>Нижнекамск ПСОН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 (3)</vt:lpstr>
      <vt:lpstr>Праздники (2)</vt:lpstr>
      <vt:lpstr>Праздники</vt:lpstr>
      <vt:lpstr>АВР Березовая Пойма</vt:lpstr>
      <vt:lpstr>АВР Новикова</vt:lpstr>
      <vt:lpstr>АВР Баумана</vt:lpstr>
      <vt:lpstr>Окская Мешки</vt:lpstr>
      <vt:lpstr>Общее и резерв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2026-03-03T15:32:36Z</dcterms:created>
  <dcterms:modified xsi:type="dcterms:W3CDTF">2026-04-02T18:13:30Z</dcterms:modified>
</cp:coreProperties>
</file>